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Ann Datasets For Portfolio Projects\"/>
    </mc:Choice>
  </mc:AlternateContent>
  <xr:revisionPtr revIDLastSave="0" documentId="8_{973D7710-C8A4-442A-A322-A89DEC4C59E6}" xr6:coauthVersionLast="47" xr6:coauthVersionMax="47" xr10:uidLastSave="{00000000-0000-0000-0000-000000000000}"/>
  <bookViews>
    <workbookView xWindow="-120" yWindow="-120" windowWidth="20730" windowHeight="11040" xr2:uid="{6B74D7E1-4415-40ED-A68A-5E25CC285B09}"/>
  </bookViews>
  <sheets>
    <sheet name="Auto Sales data - Copy" sheetId="2" r:id="rId1"/>
    <sheet name="Segments &amp; Strategies" sheetId="3" r:id="rId2"/>
    <sheet name="RMF Cutoffs" sheetId="1" r:id="rId3"/>
  </sheets>
  <definedNames>
    <definedName name="ExternalData_1" localSheetId="0" hidden="1">'Auto Sales data - Copy'!$A$1:$T$2748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2" l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B2108" i="2"/>
  <c r="AB2109" i="2"/>
  <c r="AB2110" i="2"/>
  <c r="AB2111" i="2"/>
  <c r="AB2112" i="2"/>
  <c r="AB2113" i="2"/>
  <c r="AB2114" i="2"/>
  <c r="AB2115" i="2"/>
  <c r="AB2116" i="2"/>
  <c r="AB2117" i="2"/>
  <c r="AB2118" i="2"/>
  <c r="AB2119" i="2"/>
  <c r="AB2120" i="2"/>
  <c r="AB2121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279" i="2"/>
  <c r="AB2280" i="2"/>
  <c r="AB2281" i="2"/>
  <c r="AB2282" i="2"/>
  <c r="AB2283" i="2"/>
  <c r="AB2284" i="2"/>
  <c r="AB2285" i="2"/>
  <c r="AB2286" i="2"/>
  <c r="AB2287" i="2"/>
  <c r="AB2288" i="2"/>
  <c r="AB2289" i="2"/>
  <c r="AB2290" i="2"/>
  <c r="AB2291" i="2"/>
  <c r="AB2292" i="2"/>
  <c r="AB2293" i="2"/>
  <c r="AB2294" i="2"/>
  <c r="AB2295" i="2"/>
  <c r="AB2296" i="2"/>
  <c r="AB2297" i="2"/>
  <c r="AB2298" i="2"/>
  <c r="AB2299" i="2"/>
  <c r="AB2300" i="2"/>
  <c r="AB2301" i="2"/>
  <c r="AB2302" i="2"/>
  <c r="AB2303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A2" i="2" a="1"/>
  <c r="AA2" i="2" s="1"/>
  <c r="AA3" i="2" a="1"/>
  <c r="AA3" i="2" s="1"/>
  <c r="AA4" i="2" a="1"/>
  <c r="AA4" i="2"/>
  <c r="AA5" i="2" a="1"/>
  <c r="AA5" i="2" s="1"/>
  <c r="AA6" i="2" a="1"/>
  <c r="AA6" i="2" s="1"/>
  <c r="AA7" i="2" a="1"/>
  <c r="AA7" i="2" s="1"/>
  <c r="AA8" i="2" a="1"/>
  <c r="AA8" i="2" s="1"/>
  <c r="AA9" i="2" a="1"/>
  <c r="AA9" i="2" s="1"/>
  <c r="AA10" i="2" a="1"/>
  <c r="AA10" i="2" s="1"/>
  <c r="AA11" i="2" a="1"/>
  <c r="AA11" i="2" s="1"/>
  <c r="AA12" i="2" a="1"/>
  <c r="AA12" i="2" s="1"/>
  <c r="AA13" i="2" a="1"/>
  <c r="AA13" i="2" s="1"/>
  <c r="AA14" i="2" a="1"/>
  <c r="AA14" i="2" s="1"/>
  <c r="AA15" i="2" a="1"/>
  <c r="AA15" i="2" s="1"/>
  <c r="AA16" i="2" a="1"/>
  <c r="AA16" i="2" s="1"/>
  <c r="AA17" i="2" a="1"/>
  <c r="AA17" i="2" s="1"/>
  <c r="AA18" i="2" a="1"/>
  <c r="AA18" i="2" s="1"/>
  <c r="AA19" i="2" a="1"/>
  <c r="AA19" i="2" s="1"/>
  <c r="AA20" i="2" a="1"/>
  <c r="AA20" i="2" s="1"/>
  <c r="AA21" i="2" a="1"/>
  <c r="AA21" i="2" s="1"/>
  <c r="AA22" i="2" a="1"/>
  <c r="AA22" i="2" s="1"/>
  <c r="AA23" i="2" a="1"/>
  <c r="AA23" i="2" s="1"/>
  <c r="AA24" i="2" a="1"/>
  <c r="AA24" i="2" s="1"/>
  <c r="AA25" i="2" a="1"/>
  <c r="AA25" i="2" s="1"/>
  <c r="AA26" i="2" a="1"/>
  <c r="AA26" i="2" s="1"/>
  <c r="AA27" i="2" a="1"/>
  <c r="AA27" i="2" s="1"/>
  <c r="AA28" i="2" a="1"/>
  <c r="AA28" i="2" s="1"/>
  <c r="AA29" i="2" a="1"/>
  <c r="AA29" i="2" s="1"/>
  <c r="AA30" i="2" a="1"/>
  <c r="AA30" i="2" s="1"/>
  <c r="AA31" i="2" a="1"/>
  <c r="AA31" i="2" s="1"/>
  <c r="AA32" i="2" a="1"/>
  <c r="AA32" i="2" s="1"/>
  <c r="AA33" i="2" a="1"/>
  <c r="AA33" i="2" s="1"/>
  <c r="AA34" i="2" a="1"/>
  <c r="AA34" i="2" s="1"/>
  <c r="AA35" i="2" a="1"/>
  <c r="AA35" i="2" s="1"/>
  <c r="AA36" i="2" a="1"/>
  <c r="AA36" i="2" s="1"/>
  <c r="AA37" i="2" a="1"/>
  <c r="AA37" i="2" s="1"/>
  <c r="AA38" i="2" a="1"/>
  <c r="AA38" i="2" s="1"/>
  <c r="AA39" i="2" a="1"/>
  <c r="AA39" i="2" s="1"/>
  <c r="AA40" i="2" a="1"/>
  <c r="AA40" i="2" s="1"/>
  <c r="AA41" i="2" a="1"/>
  <c r="AA41" i="2" s="1"/>
  <c r="AA42" i="2" a="1"/>
  <c r="AA42" i="2" s="1"/>
  <c r="AA43" i="2" a="1"/>
  <c r="AA43" i="2" s="1"/>
  <c r="AA44" i="2" a="1"/>
  <c r="AA44" i="2" s="1"/>
  <c r="AA45" i="2" a="1"/>
  <c r="AA45" i="2" s="1"/>
  <c r="AA46" i="2" a="1"/>
  <c r="AA46" i="2" s="1"/>
  <c r="AA47" i="2" a="1"/>
  <c r="AA47" i="2" s="1"/>
  <c r="AA48" i="2" a="1"/>
  <c r="AA48" i="2" s="1"/>
  <c r="AA49" i="2" a="1"/>
  <c r="AA49" i="2" s="1"/>
  <c r="AA50" i="2" a="1"/>
  <c r="AA50" i="2" s="1"/>
  <c r="AA51" i="2" a="1"/>
  <c r="AA51" i="2" s="1"/>
  <c r="AA52" i="2" a="1"/>
  <c r="AA52" i="2" s="1"/>
  <c r="AA53" i="2" a="1"/>
  <c r="AA53" i="2" s="1"/>
  <c r="AA54" i="2" a="1"/>
  <c r="AA54" i="2" s="1"/>
  <c r="AA55" i="2" a="1"/>
  <c r="AA55" i="2" s="1"/>
  <c r="AA56" i="2" a="1"/>
  <c r="AA56" i="2" s="1"/>
  <c r="AA57" i="2" a="1"/>
  <c r="AA57" i="2" s="1"/>
  <c r="AA58" i="2" a="1"/>
  <c r="AA58" i="2"/>
  <c r="AA59" i="2" a="1"/>
  <c r="AA59" i="2" s="1"/>
  <c r="AA60" i="2" a="1"/>
  <c r="AA60" i="2" s="1"/>
  <c r="AA61" i="2" a="1"/>
  <c r="AA61" i="2" s="1"/>
  <c r="AA62" i="2" a="1"/>
  <c r="AA62" i="2" s="1"/>
  <c r="AA63" i="2" a="1"/>
  <c r="AA63" i="2" s="1"/>
  <c r="AA64" i="2" a="1"/>
  <c r="AA64" i="2" s="1"/>
  <c r="AA65" i="2" a="1"/>
  <c r="AA65" i="2" s="1"/>
  <c r="AA66" i="2" a="1"/>
  <c r="AA66" i="2" s="1"/>
  <c r="AA67" i="2" a="1"/>
  <c r="AA67" i="2" s="1"/>
  <c r="AA68" i="2" a="1"/>
  <c r="AA68" i="2" s="1"/>
  <c r="AA69" i="2" a="1"/>
  <c r="AA69" i="2" s="1"/>
  <c r="AA70" i="2" a="1"/>
  <c r="AA70" i="2" s="1"/>
  <c r="AA71" i="2" a="1"/>
  <c r="AA71" i="2" s="1"/>
  <c r="AA72" i="2" a="1"/>
  <c r="AA72" i="2"/>
  <c r="AA73" i="2" a="1"/>
  <c r="AA73" i="2" s="1"/>
  <c r="AA74" i="2" a="1"/>
  <c r="AA74" i="2"/>
  <c r="AA75" i="2" a="1"/>
  <c r="AA75" i="2" s="1"/>
  <c r="AA76" i="2" a="1"/>
  <c r="AA76" i="2" s="1"/>
  <c r="AA77" i="2" a="1"/>
  <c r="AA77" i="2" s="1"/>
  <c r="AA78" i="2" a="1"/>
  <c r="AA78" i="2" s="1"/>
  <c r="AA79" i="2" a="1"/>
  <c r="AA79" i="2" s="1"/>
  <c r="AA80" i="2" a="1"/>
  <c r="AA80" i="2" s="1"/>
  <c r="AA81" i="2" a="1"/>
  <c r="AA81" i="2" s="1"/>
  <c r="AA82" i="2" a="1"/>
  <c r="AA82" i="2" s="1"/>
  <c r="AA83" i="2" a="1"/>
  <c r="AA83" i="2" s="1"/>
  <c r="AA84" i="2" a="1"/>
  <c r="AA84" i="2" s="1"/>
  <c r="AA85" i="2" a="1"/>
  <c r="AA85" i="2" s="1"/>
  <c r="AA86" i="2" a="1"/>
  <c r="AA86" i="2" s="1"/>
  <c r="AA87" i="2" a="1"/>
  <c r="AA87" i="2" s="1"/>
  <c r="AA88" i="2" a="1"/>
  <c r="AA88" i="2" s="1"/>
  <c r="AA89" i="2" a="1"/>
  <c r="AA89" i="2" s="1"/>
  <c r="AA90" i="2" a="1"/>
  <c r="AA90" i="2" s="1"/>
  <c r="AA91" i="2" a="1"/>
  <c r="AA91" i="2" s="1"/>
  <c r="AA92" i="2" a="1"/>
  <c r="AA92" i="2"/>
  <c r="AA93" i="2" a="1"/>
  <c r="AA93" i="2" s="1"/>
  <c r="AA94" i="2" a="1"/>
  <c r="AA94" i="2" s="1"/>
  <c r="AA95" i="2" a="1"/>
  <c r="AA95" i="2" s="1"/>
  <c r="AA96" i="2" a="1"/>
  <c r="AA96" i="2" s="1"/>
  <c r="AA97" i="2" a="1"/>
  <c r="AA97" i="2" s="1"/>
  <c r="AA98" i="2" a="1"/>
  <c r="AA98" i="2"/>
  <c r="AA99" i="2" a="1"/>
  <c r="AA99" i="2"/>
  <c r="AA100" i="2" a="1"/>
  <c r="AA100" i="2"/>
  <c r="AA101" i="2" a="1"/>
  <c r="AA101" i="2"/>
  <c r="AA102" i="2" a="1"/>
  <c r="AA102" i="2"/>
  <c r="AA103" i="2" a="1"/>
  <c r="AA103" i="2"/>
  <c r="AA104" i="2" a="1"/>
  <c r="AA104" i="2" s="1"/>
  <c r="AA105" i="2" a="1"/>
  <c r="AA105" i="2" s="1"/>
  <c r="AA106" i="2" a="1"/>
  <c r="AA106" i="2" s="1"/>
  <c r="AA107" i="2" a="1"/>
  <c r="AA107" i="2" s="1"/>
  <c r="AA108" i="2" a="1"/>
  <c r="AA108" i="2" s="1"/>
  <c r="AA109" i="2" a="1"/>
  <c r="AA109" i="2" s="1"/>
  <c r="AA110" i="2" a="1"/>
  <c r="AA110" i="2" s="1"/>
  <c r="AA111" i="2" a="1"/>
  <c r="AA111" i="2" s="1"/>
  <c r="AA112" i="2" a="1"/>
  <c r="AA112" i="2" s="1"/>
  <c r="AA113" i="2" a="1"/>
  <c r="AA113" i="2" s="1"/>
  <c r="AA114" i="2" a="1"/>
  <c r="AA114" i="2" s="1"/>
  <c r="AA115" i="2" a="1"/>
  <c r="AA115" i="2" s="1"/>
  <c r="AA116" i="2" a="1"/>
  <c r="AA116" i="2" s="1"/>
  <c r="AA117" i="2" a="1"/>
  <c r="AA117" i="2" s="1"/>
  <c r="AA118" i="2" a="1"/>
  <c r="AA118" i="2" s="1"/>
  <c r="AA119" i="2" a="1"/>
  <c r="AA119" i="2" s="1"/>
  <c r="AA120" i="2" a="1"/>
  <c r="AA120" i="2" s="1"/>
  <c r="AA121" i="2" a="1"/>
  <c r="AA121" i="2" s="1"/>
  <c r="AA122" i="2" a="1"/>
  <c r="AA122" i="2" s="1"/>
  <c r="AA123" i="2" a="1"/>
  <c r="AA123" i="2" s="1"/>
  <c r="AA124" i="2" a="1"/>
  <c r="AA124" i="2" s="1"/>
  <c r="AA125" i="2" a="1"/>
  <c r="AA125" i="2" s="1"/>
  <c r="AA126" i="2" a="1"/>
  <c r="AA126" i="2" s="1"/>
  <c r="AA127" i="2" a="1"/>
  <c r="AA127" i="2" s="1"/>
  <c r="AA128" i="2" a="1"/>
  <c r="AA128" i="2" s="1"/>
  <c r="AA129" i="2" a="1"/>
  <c r="AA129" i="2" s="1"/>
  <c r="AA130" i="2" a="1"/>
  <c r="AA130" i="2" s="1"/>
  <c r="AA131" i="2" a="1"/>
  <c r="AA131" i="2" s="1"/>
  <c r="AA132" i="2" a="1"/>
  <c r="AA132" i="2" s="1"/>
  <c r="AA133" i="2" a="1"/>
  <c r="AA133" i="2" s="1"/>
  <c r="AA134" i="2" a="1"/>
  <c r="AA134" i="2" s="1"/>
  <c r="AA135" i="2" a="1"/>
  <c r="AA135" i="2" s="1"/>
  <c r="AA136" i="2" a="1"/>
  <c r="AA136" i="2" s="1"/>
  <c r="AA137" i="2" a="1"/>
  <c r="AA137" i="2" s="1"/>
  <c r="AA138" i="2" a="1"/>
  <c r="AA138" i="2" s="1"/>
  <c r="AA139" i="2" a="1"/>
  <c r="AA139" i="2" s="1"/>
  <c r="AA140" i="2" a="1"/>
  <c r="AA140" i="2" s="1"/>
  <c r="AA141" i="2" a="1"/>
  <c r="AA141" i="2" s="1"/>
  <c r="AA142" i="2" a="1"/>
  <c r="AA142" i="2" s="1"/>
  <c r="AA143" i="2" a="1"/>
  <c r="AA143" i="2" s="1"/>
  <c r="AA144" i="2" a="1"/>
  <c r="AA144" i="2" s="1"/>
  <c r="AA145" i="2" a="1"/>
  <c r="AA145" i="2" s="1"/>
  <c r="AA146" i="2" a="1"/>
  <c r="AA146" i="2" s="1"/>
  <c r="AA147" i="2" a="1"/>
  <c r="AA147" i="2" s="1"/>
  <c r="AA148" i="2" a="1"/>
  <c r="AA148" i="2" s="1"/>
  <c r="AA149" i="2" a="1"/>
  <c r="AA149" i="2" s="1"/>
  <c r="AA150" i="2" a="1"/>
  <c r="AA150" i="2" s="1"/>
  <c r="AA151" i="2" a="1"/>
  <c r="AA151" i="2" s="1"/>
  <c r="AA152" i="2" a="1"/>
  <c r="AA152" i="2"/>
  <c r="AA153" i="2" a="1"/>
  <c r="AA153" i="2"/>
  <c r="AA154" i="2" a="1"/>
  <c r="AA154" i="2"/>
  <c r="AA155" i="2" a="1"/>
  <c r="AA155" i="2" s="1"/>
  <c r="AA156" i="2" a="1"/>
  <c r="AA156" i="2" s="1"/>
  <c r="AA157" i="2" a="1"/>
  <c r="AA157" i="2" s="1"/>
  <c r="AA158" i="2" a="1"/>
  <c r="AA158" i="2" s="1"/>
  <c r="AA159" i="2" a="1"/>
  <c r="AA159" i="2" s="1"/>
  <c r="AA160" i="2" a="1"/>
  <c r="AA160" i="2" s="1"/>
  <c r="AA161" i="2" a="1"/>
  <c r="AA161" i="2" s="1"/>
  <c r="AA162" i="2" a="1"/>
  <c r="AA162" i="2" s="1"/>
  <c r="AA163" i="2" a="1"/>
  <c r="AA163" i="2" s="1"/>
  <c r="AA164" i="2" a="1"/>
  <c r="AA164" i="2" s="1"/>
  <c r="AA165" i="2" a="1"/>
  <c r="AA165" i="2"/>
  <c r="AA166" i="2" a="1"/>
  <c r="AA166" i="2" s="1"/>
  <c r="AA167" i="2" a="1"/>
  <c r="AA167" i="2" s="1"/>
  <c r="AA168" i="2" a="1"/>
  <c r="AA168" i="2" s="1"/>
  <c r="AA169" i="2" a="1"/>
  <c r="AA169" i="2" s="1"/>
  <c r="AA170" i="2" a="1"/>
  <c r="AA170" i="2" s="1"/>
  <c r="AA171" i="2" a="1"/>
  <c r="AA171" i="2" s="1"/>
  <c r="AA172" i="2" a="1"/>
  <c r="AA172" i="2" s="1"/>
  <c r="AA173" i="2" a="1"/>
  <c r="AA173" i="2" s="1"/>
  <c r="AA174" i="2" a="1"/>
  <c r="AA174" i="2" s="1"/>
  <c r="AA175" i="2" a="1"/>
  <c r="AA175" i="2" s="1"/>
  <c r="AA176" i="2" a="1"/>
  <c r="AA176" i="2" s="1"/>
  <c r="AA177" i="2" a="1"/>
  <c r="AA177" i="2" s="1"/>
  <c r="AA178" i="2" a="1"/>
  <c r="AA178" i="2" s="1"/>
  <c r="AA179" i="2" a="1"/>
  <c r="AA179" i="2" s="1"/>
  <c r="AA180" i="2" a="1"/>
  <c r="AA180" i="2" s="1"/>
  <c r="AA181" i="2" a="1"/>
  <c r="AA181" i="2" s="1"/>
  <c r="AA182" i="2" a="1"/>
  <c r="AA182" i="2" s="1"/>
  <c r="AA183" i="2" a="1"/>
  <c r="AA183" i="2" s="1"/>
  <c r="AA184" i="2" a="1"/>
  <c r="AA184" i="2" s="1"/>
  <c r="AA185" i="2" a="1"/>
  <c r="AA185" i="2" s="1"/>
  <c r="AA186" i="2" a="1"/>
  <c r="AA186" i="2" s="1"/>
  <c r="AA187" i="2" a="1"/>
  <c r="AA187" i="2" s="1"/>
  <c r="AA188" i="2" a="1"/>
  <c r="AA188" i="2" s="1"/>
  <c r="AA189" i="2" a="1"/>
  <c r="AA189" i="2" s="1"/>
  <c r="AA190" i="2" a="1"/>
  <c r="AA190" i="2" s="1"/>
  <c r="AA191" i="2" a="1"/>
  <c r="AA191" i="2" s="1"/>
  <c r="AA192" i="2" a="1"/>
  <c r="AA192" i="2" s="1"/>
  <c r="AA193" i="2" a="1"/>
  <c r="AA193" i="2" s="1"/>
  <c r="AA194" i="2" a="1"/>
  <c r="AA194" i="2" s="1"/>
  <c r="AA195" i="2" a="1"/>
  <c r="AA195" i="2" s="1"/>
  <c r="AA196" i="2" a="1"/>
  <c r="AA196" i="2" s="1"/>
  <c r="AA197" i="2" a="1"/>
  <c r="AA197" i="2" s="1"/>
  <c r="AA198" i="2" a="1"/>
  <c r="AA198" i="2" s="1"/>
  <c r="AA199" i="2" a="1"/>
  <c r="AA199" i="2" s="1"/>
  <c r="AA200" i="2" a="1"/>
  <c r="AA200" i="2" s="1"/>
  <c r="AA201" i="2" a="1"/>
  <c r="AA201" i="2" s="1"/>
  <c r="AA202" i="2" a="1"/>
  <c r="AA202" i="2" s="1"/>
  <c r="AA203" i="2" a="1"/>
  <c r="AA203" i="2" s="1"/>
  <c r="AA204" i="2" a="1"/>
  <c r="AA204" i="2" s="1"/>
  <c r="AA205" i="2" a="1"/>
  <c r="AA205" i="2" s="1"/>
  <c r="AA206" i="2" a="1"/>
  <c r="AA206" i="2" s="1"/>
  <c r="AA207" i="2" a="1"/>
  <c r="AA207" i="2" s="1"/>
  <c r="AA208" i="2" a="1"/>
  <c r="AA208" i="2" s="1"/>
  <c r="AA209" i="2" a="1"/>
  <c r="AA209" i="2" s="1"/>
  <c r="AA210" i="2" a="1"/>
  <c r="AA210" i="2" s="1"/>
  <c r="AA211" i="2" a="1"/>
  <c r="AA211" i="2" s="1"/>
  <c r="AA212" i="2" a="1"/>
  <c r="AA212" i="2" s="1"/>
  <c r="AA213" i="2" a="1"/>
  <c r="AA213" i="2" s="1"/>
  <c r="AA214" i="2" a="1"/>
  <c r="AA214" i="2" s="1"/>
  <c r="AA215" i="2" a="1"/>
  <c r="AA215" i="2" s="1"/>
  <c r="AA216" i="2" a="1"/>
  <c r="AA216" i="2" s="1"/>
  <c r="AA217" i="2" a="1"/>
  <c r="AA217" i="2" s="1"/>
  <c r="AA218" i="2" a="1"/>
  <c r="AA218" i="2" s="1"/>
  <c r="AA219" i="2" a="1"/>
  <c r="AA219" i="2" s="1"/>
  <c r="AA220" i="2" a="1"/>
  <c r="AA220" i="2"/>
  <c r="AA221" i="2" a="1"/>
  <c r="AA221" i="2" s="1"/>
  <c r="AA222" i="2" a="1"/>
  <c r="AA222" i="2" s="1"/>
  <c r="AA223" i="2" a="1"/>
  <c r="AA223" i="2" s="1"/>
  <c r="AA224" i="2" a="1"/>
  <c r="AA224" i="2" s="1"/>
  <c r="AA225" i="2" a="1"/>
  <c r="AA225" i="2" s="1"/>
  <c r="AA226" i="2" a="1"/>
  <c r="AA226" i="2" s="1"/>
  <c r="AA227" i="2" a="1"/>
  <c r="AA227" i="2" s="1"/>
  <c r="AA228" i="2" a="1"/>
  <c r="AA228" i="2" s="1"/>
  <c r="AA229" i="2" a="1"/>
  <c r="AA229" i="2" s="1"/>
  <c r="AA230" i="2" a="1"/>
  <c r="AA230" i="2" s="1"/>
  <c r="AA231" i="2" a="1"/>
  <c r="AA231" i="2" s="1"/>
  <c r="AA232" i="2" a="1"/>
  <c r="AA232" i="2" s="1"/>
  <c r="AA233" i="2" a="1"/>
  <c r="AA233" i="2" s="1"/>
  <c r="AA234" i="2" a="1"/>
  <c r="AA234" i="2" s="1"/>
  <c r="AA235" i="2" a="1"/>
  <c r="AA235" i="2" s="1"/>
  <c r="AA236" i="2" a="1"/>
  <c r="AA236" i="2" s="1"/>
  <c r="AA237" i="2" a="1"/>
  <c r="AA237" i="2"/>
  <c r="AA238" i="2" a="1"/>
  <c r="AA238" i="2" s="1"/>
  <c r="AA239" i="2" a="1"/>
  <c r="AA239" i="2"/>
  <c r="AA240" i="2" a="1"/>
  <c r="AA240" i="2" s="1"/>
  <c r="AA241" i="2" a="1"/>
  <c r="AA241" i="2" s="1"/>
  <c r="AA242" i="2" a="1"/>
  <c r="AA242" i="2" s="1"/>
  <c r="AA243" i="2" a="1"/>
  <c r="AA243" i="2" s="1"/>
  <c r="AA244" i="2" a="1"/>
  <c r="AA244" i="2" s="1"/>
  <c r="AA245" i="2" a="1"/>
  <c r="AA245" i="2" s="1"/>
  <c r="AA246" i="2" a="1"/>
  <c r="AA246" i="2" s="1"/>
  <c r="AA247" i="2" a="1"/>
  <c r="AA247" i="2" s="1"/>
  <c r="AA248" i="2" a="1"/>
  <c r="AA248" i="2" s="1"/>
  <c r="AA249" i="2" a="1"/>
  <c r="AA249" i="2" s="1"/>
  <c r="AA250" i="2" a="1"/>
  <c r="AA250" i="2" s="1"/>
  <c r="AA251" i="2" a="1"/>
  <c r="AA251" i="2" s="1"/>
  <c r="AA252" i="2" a="1"/>
  <c r="AA252" i="2" s="1"/>
  <c r="AA253" i="2" a="1"/>
  <c r="AA253" i="2" s="1"/>
  <c r="AA254" i="2" a="1"/>
  <c r="AA254" i="2" s="1"/>
  <c r="AA255" i="2" a="1"/>
  <c r="AA255" i="2" s="1"/>
  <c r="AA256" i="2" a="1"/>
  <c r="AA256" i="2" s="1"/>
  <c r="AA257" i="2" a="1"/>
  <c r="AA257" i="2" s="1"/>
  <c r="AA258" i="2" a="1"/>
  <c r="AA258" i="2" s="1"/>
  <c r="AA259" i="2" a="1"/>
  <c r="AA259" i="2" s="1"/>
  <c r="AA260" i="2" a="1"/>
  <c r="AA260" i="2" s="1"/>
  <c r="AA261" i="2" a="1"/>
  <c r="AA261" i="2" s="1"/>
  <c r="AA262" i="2" a="1"/>
  <c r="AA262" i="2" s="1"/>
  <c r="AA263" i="2" a="1"/>
  <c r="AA263" i="2" s="1"/>
  <c r="AA264" i="2" a="1"/>
  <c r="AA264" i="2" s="1"/>
  <c r="AA265" i="2" a="1"/>
  <c r="AA265" i="2" s="1"/>
  <c r="AA266" i="2" a="1"/>
  <c r="AA266" i="2" s="1"/>
  <c r="AA267" i="2" a="1"/>
  <c r="AA267" i="2" s="1"/>
  <c r="AA268" i="2" a="1"/>
  <c r="AA268" i="2" s="1"/>
  <c r="AA269" i="2" a="1"/>
  <c r="AA269" i="2" s="1"/>
  <c r="AA270" i="2" a="1"/>
  <c r="AA270" i="2" s="1"/>
  <c r="AA271" i="2" a="1"/>
  <c r="AA271" i="2" s="1"/>
  <c r="AA272" i="2" a="1"/>
  <c r="AA272" i="2" s="1"/>
  <c r="AA273" i="2" a="1"/>
  <c r="AA273" i="2" s="1"/>
  <c r="AA274" i="2" a="1"/>
  <c r="AA274" i="2" s="1"/>
  <c r="AA275" i="2" a="1"/>
  <c r="AA275" i="2" s="1"/>
  <c r="AA276" i="2" a="1"/>
  <c r="AA276" i="2" s="1"/>
  <c r="AA277" i="2" a="1"/>
  <c r="AA277" i="2" s="1"/>
  <c r="AA278" i="2" a="1"/>
  <c r="AA278" i="2" s="1"/>
  <c r="AA279" i="2" a="1"/>
  <c r="AA279" i="2" s="1"/>
  <c r="AA280" i="2" a="1"/>
  <c r="AA280" i="2" s="1"/>
  <c r="AA281" i="2" a="1"/>
  <c r="AA281" i="2" s="1"/>
  <c r="AA282" i="2" a="1"/>
  <c r="AA282" i="2" s="1"/>
  <c r="AA283" i="2" a="1"/>
  <c r="AA283" i="2" s="1"/>
  <c r="AA284" i="2" a="1"/>
  <c r="AA284" i="2" s="1"/>
  <c r="AA285" i="2" a="1"/>
  <c r="AA285" i="2" s="1"/>
  <c r="AA286" i="2" a="1"/>
  <c r="AA286" i="2" s="1"/>
  <c r="AA287" i="2" a="1"/>
  <c r="AA287" i="2" s="1"/>
  <c r="AA288" i="2" a="1"/>
  <c r="AA288" i="2" s="1"/>
  <c r="AA289" i="2" a="1"/>
  <c r="AA289" i="2" s="1"/>
  <c r="AA290" i="2" a="1"/>
  <c r="AA290" i="2" s="1"/>
  <c r="AA291" i="2" a="1"/>
  <c r="AA291" i="2" s="1"/>
  <c r="AA292" i="2" a="1"/>
  <c r="AA292" i="2" s="1"/>
  <c r="AA293" i="2" a="1"/>
  <c r="AA293" i="2" s="1"/>
  <c r="AA294" i="2" a="1"/>
  <c r="AA294" i="2" s="1"/>
  <c r="AA295" i="2" a="1"/>
  <c r="AA295" i="2" s="1"/>
  <c r="AA296" i="2" a="1"/>
  <c r="AA296" i="2" s="1"/>
  <c r="AA297" i="2" a="1"/>
  <c r="AA297" i="2" s="1"/>
  <c r="AA298" i="2" a="1"/>
  <c r="AA298" i="2" s="1"/>
  <c r="AA299" i="2" a="1"/>
  <c r="AA299" i="2" s="1"/>
  <c r="AA300" i="2" a="1"/>
  <c r="AA300" i="2" s="1"/>
  <c r="AA301" i="2" a="1"/>
  <c r="AA301" i="2" s="1"/>
  <c r="AA302" i="2" a="1"/>
  <c r="AA302" i="2" s="1"/>
  <c r="AA303" i="2" a="1"/>
  <c r="AA303" i="2" s="1"/>
  <c r="AA304" i="2" a="1"/>
  <c r="AA304" i="2" s="1"/>
  <c r="AA305" i="2" a="1"/>
  <c r="AA305" i="2" s="1"/>
  <c r="AA306" i="2" a="1"/>
  <c r="AA306" i="2" s="1"/>
  <c r="AA307" i="2" a="1"/>
  <c r="AA307" i="2" s="1"/>
  <c r="AA308" i="2" a="1"/>
  <c r="AA308" i="2" s="1"/>
  <c r="AA309" i="2" a="1"/>
  <c r="AA309" i="2" s="1"/>
  <c r="AA310" i="2" a="1"/>
  <c r="AA310" i="2" s="1"/>
  <c r="AA311" i="2" a="1"/>
  <c r="AA311" i="2" s="1"/>
  <c r="AA312" i="2" a="1"/>
  <c r="AA312" i="2" s="1"/>
  <c r="AA313" i="2" a="1"/>
  <c r="AA313" i="2" s="1"/>
  <c r="AA314" i="2" a="1"/>
  <c r="AA314" i="2" s="1"/>
  <c r="AA315" i="2" a="1"/>
  <c r="AA315" i="2" s="1"/>
  <c r="AA316" i="2" a="1"/>
  <c r="AA316" i="2" s="1"/>
  <c r="AA317" i="2" a="1"/>
  <c r="AA317" i="2" s="1"/>
  <c r="AA318" i="2" a="1"/>
  <c r="AA318" i="2" s="1"/>
  <c r="AA319" i="2" a="1"/>
  <c r="AA319" i="2" s="1"/>
  <c r="AA320" i="2" a="1"/>
  <c r="AA320" i="2" s="1"/>
  <c r="AA321" i="2" a="1"/>
  <c r="AA321" i="2"/>
  <c r="AA322" i="2" a="1"/>
  <c r="AA322" i="2" s="1"/>
  <c r="AA323" i="2" a="1"/>
  <c r="AA323" i="2" s="1"/>
  <c r="AA324" i="2" a="1"/>
  <c r="AA324" i="2" s="1"/>
  <c r="AA325" i="2" a="1"/>
  <c r="AA325" i="2" s="1"/>
  <c r="AA326" i="2" a="1"/>
  <c r="AA326" i="2" s="1"/>
  <c r="AA327" i="2" a="1"/>
  <c r="AA327" i="2" s="1"/>
  <c r="AA328" i="2" a="1"/>
  <c r="AA328" i="2" s="1"/>
  <c r="AA329" i="2" a="1"/>
  <c r="AA329" i="2" s="1"/>
  <c r="AA330" i="2" a="1"/>
  <c r="AA330" i="2" s="1"/>
  <c r="AA331" i="2" a="1"/>
  <c r="AA331" i="2" s="1"/>
  <c r="AA332" i="2" a="1"/>
  <c r="AA332" i="2" s="1"/>
  <c r="AA333" i="2" a="1"/>
  <c r="AA333" i="2" s="1"/>
  <c r="AA334" i="2" a="1"/>
  <c r="AA334" i="2" s="1"/>
  <c r="AA335" i="2" a="1"/>
  <c r="AA335" i="2" s="1"/>
  <c r="AA336" i="2" a="1"/>
  <c r="AA336" i="2" s="1"/>
  <c r="AA337" i="2" a="1"/>
  <c r="AA337" i="2" s="1"/>
  <c r="AA338" i="2" a="1"/>
  <c r="AA338" i="2" s="1"/>
  <c r="AA339" i="2" a="1"/>
  <c r="AA339" i="2" s="1"/>
  <c r="AA340" i="2" a="1"/>
  <c r="AA340" i="2" s="1"/>
  <c r="AA341" i="2" a="1"/>
  <c r="AA341" i="2" s="1"/>
  <c r="AA342" i="2" a="1"/>
  <c r="AA342" i="2" s="1"/>
  <c r="AA343" i="2" a="1"/>
  <c r="AA343" i="2" s="1"/>
  <c r="AA344" i="2" a="1"/>
  <c r="AA344" i="2" s="1"/>
  <c r="AA345" i="2" a="1"/>
  <c r="AA345" i="2" s="1"/>
  <c r="AA346" i="2" a="1"/>
  <c r="AA346" i="2" s="1"/>
  <c r="AA347" i="2" a="1"/>
  <c r="AA347" i="2" s="1"/>
  <c r="AA348" i="2" a="1"/>
  <c r="AA348" i="2" s="1"/>
  <c r="AA349" i="2" a="1"/>
  <c r="AA349" i="2" s="1"/>
  <c r="AA350" i="2" a="1"/>
  <c r="AA350" i="2" s="1"/>
  <c r="AA351" i="2" a="1"/>
  <c r="AA351" i="2" s="1"/>
  <c r="AA352" i="2" a="1"/>
  <c r="AA352" i="2" s="1"/>
  <c r="AA353" i="2" a="1"/>
  <c r="AA353" i="2"/>
  <c r="AA354" i="2" a="1"/>
  <c r="AA354" i="2" s="1"/>
  <c r="AA355" i="2" a="1"/>
  <c r="AA355" i="2" s="1"/>
  <c r="AA356" i="2" a="1"/>
  <c r="AA356" i="2" s="1"/>
  <c r="AA357" i="2" a="1"/>
  <c r="AA357" i="2" s="1"/>
  <c r="AA358" i="2" a="1"/>
  <c r="AA358" i="2" s="1"/>
  <c r="AA359" i="2" a="1"/>
  <c r="AA359" i="2" s="1"/>
  <c r="AA360" i="2" a="1"/>
  <c r="AA360" i="2" s="1"/>
  <c r="AA361" i="2" a="1"/>
  <c r="AA361" i="2" s="1"/>
  <c r="AA362" i="2" a="1"/>
  <c r="AA362" i="2" s="1"/>
  <c r="AA363" i="2" a="1"/>
  <c r="AA363" i="2" s="1"/>
  <c r="AA364" i="2" a="1"/>
  <c r="AA364" i="2" s="1"/>
  <c r="AA365" i="2" a="1"/>
  <c r="AA365" i="2" s="1"/>
  <c r="AA366" i="2" a="1"/>
  <c r="AA366" i="2" s="1"/>
  <c r="AA367" i="2" a="1"/>
  <c r="AA367" i="2"/>
  <c r="AA368" i="2" a="1"/>
  <c r="AA368" i="2"/>
  <c r="AA369" i="2" a="1"/>
  <c r="AA369" i="2"/>
  <c r="AA370" i="2" a="1"/>
  <c r="AA370" i="2" s="1"/>
  <c r="AA371" i="2" a="1"/>
  <c r="AA371" i="2"/>
  <c r="AA372" i="2" a="1"/>
  <c r="AA372" i="2" s="1"/>
  <c r="AA373" i="2" a="1"/>
  <c r="AA373" i="2"/>
  <c r="AA374" i="2" a="1"/>
  <c r="AA374" i="2" s="1"/>
  <c r="AA375" i="2" a="1"/>
  <c r="AA375" i="2"/>
  <c r="AA376" i="2" a="1"/>
  <c r="AA376" i="2" s="1"/>
  <c r="AA377" i="2" a="1"/>
  <c r="AA377" i="2" s="1"/>
  <c r="AA378" i="2" a="1"/>
  <c r="AA378" i="2" s="1"/>
  <c r="AA379" i="2" a="1"/>
  <c r="AA379" i="2"/>
  <c r="AA380" i="2" a="1"/>
  <c r="AA380" i="2" s="1"/>
  <c r="AA381" i="2" a="1"/>
  <c r="AA381" i="2"/>
  <c r="AA382" i="2" a="1"/>
  <c r="AA382" i="2" s="1"/>
  <c r="AA383" i="2" a="1"/>
  <c r="AA383" i="2" s="1"/>
  <c r="AA384" i="2" a="1"/>
  <c r="AA384" i="2" s="1"/>
  <c r="AA385" i="2" a="1"/>
  <c r="AA385" i="2" s="1"/>
  <c r="AA386" i="2" a="1"/>
  <c r="AA386" i="2" s="1"/>
  <c r="AA387" i="2" a="1"/>
  <c r="AA387" i="2" s="1"/>
  <c r="AA388" i="2" a="1"/>
  <c r="AA388" i="2" s="1"/>
  <c r="AA389" i="2" a="1"/>
  <c r="AA389" i="2" s="1"/>
  <c r="AA390" i="2" a="1"/>
  <c r="AA390" i="2" s="1"/>
  <c r="AA391" i="2" a="1"/>
  <c r="AA391" i="2" s="1"/>
  <c r="AA392" i="2" a="1"/>
  <c r="AA392" i="2" s="1"/>
  <c r="AA393" i="2" a="1"/>
  <c r="AA393" i="2" s="1"/>
  <c r="AA394" i="2" a="1"/>
  <c r="AA394" i="2" s="1"/>
  <c r="AA395" i="2" a="1"/>
  <c r="AA395" i="2"/>
  <c r="AA396" i="2" a="1"/>
  <c r="AA396" i="2" s="1"/>
  <c r="AA397" i="2" a="1"/>
  <c r="AA397" i="2" s="1"/>
  <c r="AA398" i="2" a="1"/>
  <c r="AA398" i="2" s="1"/>
  <c r="AA399" i="2" a="1"/>
  <c r="AA399" i="2" s="1"/>
  <c r="AA400" i="2" a="1"/>
  <c r="AA400" i="2" s="1"/>
  <c r="AA401" i="2" a="1"/>
  <c r="AA401" i="2" s="1"/>
  <c r="AA402" i="2" a="1"/>
  <c r="AA402" i="2" s="1"/>
  <c r="AA403" i="2" a="1"/>
  <c r="AA403" i="2"/>
  <c r="AA404" i="2" a="1"/>
  <c r="AA404" i="2" s="1"/>
  <c r="AA405" i="2" a="1"/>
  <c r="AA405" i="2"/>
  <c r="AA406" i="2" a="1"/>
  <c r="AA406" i="2" s="1"/>
  <c r="AA407" i="2" a="1"/>
  <c r="AA407" i="2" s="1"/>
  <c r="AA408" i="2" a="1"/>
  <c r="AA408" i="2" s="1"/>
  <c r="AA409" i="2" a="1"/>
  <c r="AA409" i="2" s="1"/>
  <c r="AA410" i="2" a="1"/>
  <c r="AA410" i="2" s="1"/>
  <c r="AA411" i="2" a="1"/>
  <c r="AA411" i="2"/>
  <c r="AA412" i="2" a="1"/>
  <c r="AA412" i="2" s="1"/>
  <c r="AA413" i="2" a="1"/>
  <c r="AA413" i="2" s="1"/>
  <c r="AA414" i="2" a="1"/>
  <c r="AA414" i="2"/>
  <c r="AA415" i="2" a="1"/>
  <c r="AA415" i="2" s="1"/>
  <c r="AA416" i="2" a="1"/>
  <c r="AA416" i="2" s="1"/>
  <c r="AA417" i="2" a="1"/>
  <c r="AA417" i="2" s="1"/>
  <c r="AA418" i="2" a="1"/>
  <c r="AA418" i="2"/>
  <c r="AA419" i="2" a="1"/>
  <c r="AA419" i="2" s="1"/>
  <c r="AA420" i="2" a="1"/>
  <c r="AA420" i="2"/>
  <c r="AA421" i="2" a="1"/>
  <c r="AA421" i="2" s="1"/>
  <c r="AA422" i="2" a="1"/>
  <c r="AA422" i="2" s="1"/>
  <c r="AA423" i="2" a="1"/>
  <c r="AA423" i="2" s="1"/>
  <c r="AA424" i="2" a="1"/>
  <c r="AA424" i="2"/>
  <c r="AA425" i="2" a="1"/>
  <c r="AA425" i="2" s="1"/>
  <c r="AA426" i="2" a="1"/>
  <c r="AA426" i="2" s="1"/>
  <c r="AA427" i="2" a="1"/>
  <c r="AA427" i="2" s="1"/>
  <c r="AA428" i="2" a="1"/>
  <c r="AA428" i="2"/>
  <c r="AA429" i="2" a="1"/>
  <c r="AA429" i="2" s="1"/>
  <c r="AA430" i="2" a="1"/>
  <c r="AA430" i="2"/>
  <c r="AA431" i="2" a="1"/>
  <c r="AA431" i="2" s="1"/>
  <c r="AA432" i="2" a="1"/>
  <c r="AA432" i="2"/>
  <c r="AA433" i="2" a="1"/>
  <c r="AA433" i="2" s="1"/>
  <c r="AA434" i="2" a="1"/>
  <c r="AA434" i="2"/>
  <c r="AA435" i="2" a="1"/>
  <c r="AA435" i="2" s="1"/>
  <c r="AA436" i="2" a="1"/>
  <c r="AA436" i="2"/>
  <c r="AA437" i="2" a="1"/>
  <c r="AA437" i="2" s="1"/>
  <c r="AA438" i="2" a="1"/>
  <c r="AA438" i="2" s="1"/>
  <c r="AA439" i="2" a="1"/>
  <c r="AA439" i="2" s="1"/>
  <c r="AA440" i="2" a="1"/>
  <c r="AA440" i="2"/>
  <c r="AA441" i="2" a="1"/>
  <c r="AA441" i="2" s="1"/>
  <c r="AA442" i="2" a="1"/>
  <c r="AA442" i="2"/>
  <c r="AA443" i="2" a="1"/>
  <c r="AA443" i="2" s="1"/>
  <c r="AA444" i="2" a="1"/>
  <c r="AA444" i="2"/>
  <c r="AA445" i="2" a="1"/>
  <c r="AA445" i="2" s="1"/>
  <c r="AA446" i="2" a="1"/>
  <c r="AA446" i="2" s="1"/>
  <c r="AA447" i="2" a="1"/>
  <c r="AA447" i="2" s="1"/>
  <c r="AA448" i="2" a="1"/>
  <c r="AA448" i="2"/>
  <c r="AA449" i="2" a="1"/>
  <c r="AA449" i="2" s="1"/>
  <c r="AA450" i="2" a="1"/>
  <c r="AA450" i="2" s="1"/>
  <c r="AA451" i="2" a="1"/>
  <c r="AA451" i="2" s="1"/>
  <c r="AA452" i="2" a="1"/>
  <c r="AA452" i="2"/>
  <c r="AA453" i="2" a="1"/>
  <c r="AA453" i="2" s="1"/>
  <c r="AA454" i="2" a="1"/>
  <c r="AA454" i="2"/>
  <c r="AA455" i="2" a="1"/>
  <c r="AA455" i="2" s="1"/>
  <c r="AA456" i="2" a="1"/>
  <c r="AA456" i="2" s="1"/>
  <c r="AA457" i="2" a="1"/>
  <c r="AA457" i="2" s="1"/>
  <c r="AA458" i="2" a="1"/>
  <c r="AA458" i="2"/>
  <c r="AA459" i="2" a="1"/>
  <c r="AA459" i="2" s="1"/>
  <c r="AA460" i="2" a="1"/>
  <c r="AA460" i="2"/>
  <c r="AA461" i="2" a="1"/>
  <c r="AA461" i="2" s="1"/>
  <c r="AA462" i="2" a="1"/>
  <c r="AA462" i="2"/>
  <c r="AA463" i="2" a="1"/>
  <c r="AA463" i="2" s="1"/>
  <c r="AA464" i="2" a="1"/>
  <c r="AA464" i="2"/>
  <c r="AA465" i="2" a="1"/>
  <c r="AA465" i="2" s="1"/>
  <c r="AA466" i="2" a="1"/>
  <c r="AA466" i="2"/>
  <c r="AA467" i="2" a="1"/>
  <c r="AA467" i="2" s="1"/>
  <c r="AA468" i="2" a="1"/>
  <c r="AA468" i="2"/>
  <c r="AA469" i="2" a="1"/>
  <c r="AA469" i="2"/>
  <c r="AA470" i="2" a="1"/>
  <c r="AA470" i="2"/>
  <c r="AA471" i="2" a="1"/>
  <c r="AA471" i="2"/>
  <c r="AA472" i="2" a="1"/>
  <c r="AA472" i="2" s="1"/>
  <c r="AA473" i="2" a="1"/>
  <c r="AA473" i="2" s="1"/>
  <c r="AA474" i="2" a="1"/>
  <c r="AA474" i="2"/>
  <c r="AA475" i="2" a="1"/>
  <c r="AA475" i="2" s="1"/>
  <c r="AA476" i="2" a="1"/>
  <c r="AA476" i="2" s="1"/>
  <c r="AA477" i="2" a="1"/>
  <c r="AA477" i="2" s="1"/>
  <c r="AA478" i="2" a="1"/>
  <c r="AA478" i="2" s="1"/>
  <c r="AA479" i="2" a="1"/>
  <c r="AA479" i="2" s="1"/>
  <c r="AA480" i="2" a="1"/>
  <c r="AA480" i="2" s="1"/>
  <c r="AA481" i="2" a="1"/>
  <c r="AA481" i="2" s="1"/>
  <c r="AA482" i="2" a="1"/>
  <c r="AA482" i="2" s="1"/>
  <c r="AA483" i="2" a="1"/>
  <c r="AA483" i="2" s="1"/>
  <c r="AA484" i="2" a="1"/>
  <c r="AA484" i="2" s="1"/>
  <c r="AA485" i="2" a="1"/>
  <c r="AA485" i="2" s="1"/>
  <c r="AA486" i="2" a="1"/>
  <c r="AA486" i="2" s="1"/>
  <c r="AA487" i="2" a="1"/>
  <c r="AA487" i="2" s="1"/>
  <c r="AA488" i="2" a="1"/>
  <c r="AA488" i="2" s="1"/>
  <c r="AA489" i="2" a="1"/>
  <c r="AA489" i="2" s="1"/>
  <c r="AA490" i="2" a="1"/>
  <c r="AA490" i="2" s="1"/>
  <c r="AA491" i="2" a="1"/>
  <c r="AA491" i="2" s="1"/>
  <c r="AA492" i="2" a="1"/>
  <c r="AA492" i="2" s="1"/>
  <c r="AA493" i="2" a="1"/>
  <c r="AA493" i="2"/>
  <c r="AA494" i="2" a="1"/>
  <c r="AA494" i="2"/>
  <c r="AA495" i="2" a="1"/>
  <c r="AA495" i="2"/>
  <c r="AA496" i="2" a="1"/>
  <c r="AA496" i="2" s="1"/>
  <c r="AA497" i="2" a="1"/>
  <c r="AA497" i="2" s="1"/>
  <c r="AA498" i="2" a="1"/>
  <c r="AA498" i="2" s="1"/>
  <c r="AA499" i="2" a="1"/>
  <c r="AA499" i="2" s="1"/>
  <c r="AA500" i="2" a="1"/>
  <c r="AA500" i="2" s="1"/>
  <c r="AA501" i="2" a="1"/>
  <c r="AA501" i="2" s="1"/>
  <c r="AA502" i="2" a="1"/>
  <c r="AA502" i="2" s="1"/>
  <c r="AA503" i="2" a="1"/>
  <c r="AA503" i="2" s="1"/>
  <c r="AA504" i="2" a="1"/>
  <c r="AA504" i="2" s="1"/>
  <c r="AA505" i="2" a="1"/>
  <c r="AA505" i="2" s="1"/>
  <c r="AA506" i="2" a="1"/>
  <c r="AA506" i="2" s="1"/>
  <c r="AA507" i="2" a="1"/>
  <c r="AA507" i="2" s="1"/>
  <c r="AA508" i="2" a="1"/>
  <c r="AA508" i="2"/>
  <c r="AA509" i="2" a="1"/>
  <c r="AA509" i="2"/>
  <c r="AA510" i="2" a="1"/>
  <c r="AA510" i="2"/>
  <c r="AA511" i="2" a="1"/>
  <c r="AA511" i="2"/>
  <c r="AA512" i="2" a="1"/>
  <c r="AA512" i="2" s="1"/>
  <c r="AA513" i="2" a="1"/>
  <c r="AA513" i="2" s="1"/>
  <c r="AA514" i="2" a="1"/>
  <c r="AA514" i="2" s="1"/>
  <c r="AA515" i="2" a="1"/>
  <c r="AA515" i="2" s="1"/>
  <c r="AA516" i="2" a="1"/>
  <c r="AA516" i="2"/>
  <c r="AA517" i="2" a="1"/>
  <c r="AA517" i="2" s="1"/>
  <c r="AA518" i="2" a="1"/>
  <c r="AA518" i="2" s="1"/>
  <c r="AA519" i="2" a="1"/>
  <c r="AA519" i="2" s="1"/>
  <c r="AA520" i="2" a="1"/>
  <c r="AA520" i="2" s="1"/>
  <c r="AA521" i="2" a="1"/>
  <c r="AA521" i="2" s="1"/>
  <c r="AA522" i="2" a="1"/>
  <c r="AA522" i="2" s="1"/>
  <c r="AA523" i="2" a="1"/>
  <c r="AA523" i="2" s="1"/>
  <c r="AA524" i="2" a="1"/>
  <c r="AA524" i="2" s="1"/>
  <c r="AA525" i="2" a="1"/>
  <c r="AA525" i="2" s="1"/>
  <c r="AA526" i="2" a="1"/>
  <c r="AA526" i="2" s="1"/>
  <c r="AA527" i="2" a="1"/>
  <c r="AA527" i="2" s="1"/>
  <c r="AA528" i="2" a="1"/>
  <c r="AA528" i="2"/>
  <c r="AA529" i="2" a="1"/>
  <c r="AA529" i="2" s="1"/>
  <c r="AA530" i="2" a="1"/>
  <c r="AA530" i="2"/>
  <c r="AA531" i="2" a="1"/>
  <c r="AA531" i="2" s="1"/>
  <c r="AA532" i="2" a="1"/>
  <c r="AA532" i="2"/>
  <c r="AA533" i="2" a="1"/>
  <c r="AA533" i="2" s="1"/>
  <c r="AA534" i="2" a="1"/>
  <c r="AA534" i="2" s="1"/>
  <c r="AA535" i="2" a="1"/>
  <c r="AA535" i="2" s="1"/>
  <c r="AA536" i="2" a="1"/>
  <c r="AA536" i="2" s="1"/>
  <c r="AA537" i="2" a="1"/>
  <c r="AA537" i="2" s="1"/>
  <c r="AA538" i="2" a="1"/>
  <c r="AA538" i="2" s="1"/>
  <c r="AA539" i="2" a="1"/>
  <c r="AA539" i="2" s="1"/>
  <c r="AA540" i="2" a="1"/>
  <c r="AA540" i="2" s="1"/>
  <c r="AA541" i="2" a="1"/>
  <c r="AA541" i="2" s="1"/>
  <c r="AA542" i="2" a="1"/>
  <c r="AA542" i="2" s="1"/>
  <c r="AA543" i="2" a="1"/>
  <c r="AA543" i="2" s="1"/>
  <c r="AA544" i="2" a="1"/>
  <c r="AA544" i="2" s="1"/>
  <c r="AA545" i="2" a="1"/>
  <c r="AA545" i="2" s="1"/>
  <c r="AA546" i="2" a="1"/>
  <c r="AA546" i="2" s="1"/>
  <c r="AA547" i="2" a="1"/>
  <c r="AA547" i="2" s="1"/>
  <c r="AA548" i="2" a="1"/>
  <c r="AA548" i="2" s="1"/>
  <c r="AA549" i="2" a="1"/>
  <c r="AA549" i="2" s="1"/>
  <c r="AA550" i="2" a="1"/>
  <c r="AA550" i="2" s="1"/>
  <c r="AA551" i="2" a="1"/>
  <c r="AA551" i="2" s="1"/>
  <c r="AA552" i="2" a="1"/>
  <c r="AA552" i="2" s="1"/>
  <c r="AA553" i="2" a="1"/>
  <c r="AA553" i="2" s="1"/>
  <c r="AA554" i="2" a="1"/>
  <c r="AA554" i="2" s="1"/>
  <c r="AA555" i="2" a="1"/>
  <c r="AA555" i="2" s="1"/>
  <c r="AA556" i="2" a="1"/>
  <c r="AA556" i="2" s="1"/>
  <c r="AA557" i="2" a="1"/>
  <c r="AA557" i="2" s="1"/>
  <c r="AA558" i="2" a="1"/>
  <c r="AA558" i="2" s="1"/>
  <c r="AA559" i="2" a="1"/>
  <c r="AA559" i="2" s="1"/>
  <c r="AA560" i="2" a="1"/>
  <c r="AA560" i="2" s="1"/>
  <c r="AA561" i="2" a="1"/>
  <c r="AA561" i="2" s="1"/>
  <c r="AA562" i="2" a="1"/>
  <c r="AA562" i="2" s="1"/>
  <c r="AA563" i="2" a="1"/>
  <c r="AA563" i="2" s="1"/>
  <c r="AA564" i="2" a="1"/>
  <c r="AA564" i="2" s="1"/>
  <c r="AA565" i="2" a="1"/>
  <c r="AA565" i="2" s="1"/>
  <c r="AA566" i="2" a="1"/>
  <c r="AA566" i="2" s="1"/>
  <c r="AA567" i="2" a="1"/>
  <c r="AA567" i="2" s="1"/>
  <c r="AA568" i="2" a="1"/>
  <c r="AA568" i="2" s="1"/>
  <c r="AA569" i="2" a="1"/>
  <c r="AA569" i="2" s="1"/>
  <c r="AA570" i="2" a="1"/>
  <c r="AA570" i="2" s="1"/>
  <c r="AA571" i="2" a="1"/>
  <c r="AA571" i="2" s="1"/>
  <c r="AA572" i="2" a="1"/>
  <c r="AA572" i="2" s="1"/>
  <c r="AA573" i="2" a="1"/>
  <c r="AA573" i="2" s="1"/>
  <c r="AA574" i="2" a="1"/>
  <c r="AA574" i="2" s="1"/>
  <c r="AA575" i="2" a="1"/>
  <c r="AA575" i="2" s="1"/>
  <c r="AA576" i="2" a="1"/>
  <c r="AA576" i="2" s="1"/>
  <c r="AA577" i="2" a="1"/>
  <c r="AA577" i="2" s="1"/>
  <c r="AA578" i="2" a="1"/>
  <c r="AA578" i="2" s="1"/>
  <c r="AA579" i="2" a="1"/>
  <c r="AA579" i="2" s="1"/>
  <c r="AA580" i="2" a="1"/>
  <c r="AA580" i="2" s="1"/>
  <c r="AA581" i="2" a="1"/>
  <c r="AA581" i="2" s="1"/>
  <c r="AA582" i="2" a="1"/>
  <c r="AA582" i="2" s="1"/>
  <c r="AA583" i="2" a="1"/>
  <c r="AA583" i="2" s="1"/>
  <c r="AA584" i="2" a="1"/>
  <c r="AA584" i="2" s="1"/>
  <c r="AA585" i="2" a="1"/>
  <c r="AA585" i="2" s="1"/>
  <c r="AA586" i="2" a="1"/>
  <c r="AA586" i="2" s="1"/>
  <c r="AA587" i="2" a="1"/>
  <c r="AA587" i="2" s="1"/>
  <c r="AA588" i="2" a="1"/>
  <c r="AA588" i="2" s="1"/>
  <c r="AA589" i="2" a="1"/>
  <c r="AA589" i="2" s="1"/>
  <c r="AA590" i="2" a="1"/>
  <c r="AA590" i="2" s="1"/>
  <c r="AA591" i="2" a="1"/>
  <c r="AA591" i="2" s="1"/>
  <c r="AA592" i="2" a="1"/>
  <c r="AA592" i="2" s="1"/>
  <c r="AA593" i="2" a="1"/>
  <c r="AA593" i="2" s="1"/>
  <c r="AA594" i="2" a="1"/>
  <c r="AA594" i="2" s="1"/>
  <c r="AA595" i="2" a="1"/>
  <c r="AA595" i="2" s="1"/>
  <c r="AA596" i="2" a="1"/>
  <c r="AA596" i="2" s="1"/>
  <c r="AA597" i="2" a="1"/>
  <c r="AA597" i="2" s="1"/>
  <c r="AA598" i="2" a="1"/>
  <c r="AA598" i="2" s="1"/>
  <c r="AA599" i="2" a="1"/>
  <c r="AA599" i="2" s="1"/>
  <c r="AA600" i="2" a="1"/>
  <c r="AA600" i="2" s="1"/>
  <c r="AA601" i="2" a="1"/>
  <c r="AA601" i="2" s="1"/>
  <c r="AA602" i="2" a="1"/>
  <c r="AA602" i="2" s="1"/>
  <c r="AA603" i="2" a="1"/>
  <c r="AA603" i="2" s="1"/>
  <c r="AA604" i="2" a="1"/>
  <c r="AA604" i="2" s="1"/>
  <c r="AA605" i="2" a="1"/>
  <c r="AA605" i="2" s="1"/>
  <c r="AA606" i="2" a="1"/>
  <c r="AA606" i="2" s="1"/>
  <c r="AA607" i="2" a="1"/>
  <c r="AA607" i="2" s="1"/>
  <c r="AA608" i="2" a="1"/>
  <c r="AA608" i="2" s="1"/>
  <c r="AA609" i="2" a="1"/>
  <c r="AA609" i="2" s="1"/>
  <c r="AA610" i="2" a="1"/>
  <c r="AA610" i="2" s="1"/>
  <c r="AA611" i="2" a="1"/>
  <c r="AA611" i="2" s="1"/>
  <c r="AA612" i="2" a="1"/>
  <c r="AA612" i="2" s="1"/>
  <c r="AA613" i="2" a="1"/>
  <c r="AA613" i="2" s="1"/>
  <c r="AA614" i="2" a="1"/>
  <c r="AA614" i="2" s="1"/>
  <c r="AA615" i="2" a="1"/>
  <c r="AA615" i="2" s="1"/>
  <c r="AA616" i="2" a="1"/>
  <c r="AA616" i="2" s="1"/>
  <c r="AA617" i="2" a="1"/>
  <c r="AA617" i="2" s="1"/>
  <c r="AA618" i="2" a="1"/>
  <c r="AA618" i="2" s="1"/>
  <c r="AA619" i="2" a="1"/>
  <c r="AA619" i="2" s="1"/>
  <c r="AA620" i="2" a="1"/>
  <c r="AA620" i="2" s="1"/>
  <c r="AA621" i="2" a="1"/>
  <c r="AA621" i="2" s="1"/>
  <c r="AA622" i="2" a="1"/>
  <c r="AA622" i="2" s="1"/>
  <c r="AA623" i="2" a="1"/>
  <c r="AA623" i="2" s="1"/>
  <c r="AA624" i="2" a="1"/>
  <c r="AA624" i="2" s="1"/>
  <c r="AA625" i="2" a="1"/>
  <c r="AA625" i="2" s="1"/>
  <c r="AA626" i="2" a="1"/>
  <c r="AA626" i="2" s="1"/>
  <c r="AA627" i="2" a="1"/>
  <c r="AA627" i="2" s="1"/>
  <c r="AA628" i="2" a="1"/>
  <c r="AA628" i="2" s="1"/>
  <c r="AA629" i="2" a="1"/>
  <c r="AA629" i="2" s="1"/>
  <c r="AA630" i="2" a="1"/>
  <c r="AA630" i="2" s="1"/>
  <c r="AA631" i="2" a="1"/>
  <c r="AA631" i="2" s="1"/>
  <c r="AA632" i="2" a="1"/>
  <c r="AA632" i="2" s="1"/>
  <c r="AA633" i="2" a="1"/>
  <c r="AA633" i="2" s="1"/>
  <c r="AA634" i="2" a="1"/>
  <c r="AA634" i="2" s="1"/>
  <c r="AA635" i="2" a="1"/>
  <c r="AA635" i="2" s="1"/>
  <c r="AA636" i="2" a="1"/>
  <c r="AA636" i="2" s="1"/>
  <c r="AA637" i="2" a="1"/>
  <c r="AA637" i="2" s="1"/>
  <c r="AA638" i="2" a="1"/>
  <c r="AA638" i="2" s="1"/>
  <c r="AA639" i="2" a="1"/>
  <c r="AA639" i="2" s="1"/>
  <c r="AA640" i="2" a="1"/>
  <c r="AA640" i="2" s="1"/>
  <c r="AA641" i="2" a="1"/>
  <c r="AA641" i="2" s="1"/>
  <c r="AA642" i="2" a="1"/>
  <c r="AA642" i="2" s="1"/>
  <c r="AA643" i="2" a="1"/>
  <c r="AA643" i="2" s="1"/>
  <c r="AA644" i="2" a="1"/>
  <c r="AA644" i="2" s="1"/>
  <c r="AA645" i="2" a="1"/>
  <c r="AA645" i="2" s="1"/>
  <c r="AA646" i="2" a="1"/>
  <c r="AA646" i="2" s="1"/>
  <c r="AA647" i="2" a="1"/>
  <c r="AA647" i="2" s="1"/>
  <c r="AA648" i="2" a="1"/>
  <c r="AA648" i="2" s="1"/>
  <c r="AA649" i="2" a="1"/>
  <c r="AA649" i="2" s="1"/>
  <c r="AA650" i="2" a="1"/>
  <c r="AA650" i="2" s="1"/>
  <c r="AA651" i="2" a="1"/>
  <c r="AA651" i="2" s="1"/>
  <c r="AA652" i="2" a="1"/>
  <c r="AA652" i="2" s="1"/>
  <c r="AA653" i="2" a="1"/>
  <c r="AA653" i="2" s="1"/>
  <c r="AA654" i="2" a="1"/>
  <c r="AA654" i="2" s="1"/>
  <c r="AA655" i="2" a="1"/>
  <c r="AA655" i="2" s="1"/>
  <c r="AA656" i="2" a="1"/>
  <c r="AA656" i="2" s="1"/>
  <c r="AA657" i="2" a="1"/>
  <c r="AA657" i="2" s="1"/>
  <c r="AA658" i="2" a="1"/>
  <c r="AA658" i="2" s="1"/>
  <c r="AA659" i="2" a="1"/>
  <c r="AA659" i="2" s="1"/>
  <c r="AA660" i="2" a="1"/>
  <c r="AA660" i="2" s="1"/>
  <c r="AA661" i="2" a="1"/>
  <c r="AA661" i="2" s="1"/>
  <c r="AA662" i="2" a="1"/>
  <c r="AA662" i="2" s="1"/>
  <c r="AA663" i="2" a="1"/>
  <c r="AA663" i="2" s="1"/>
  <c r="AA664" i="2" a="1"/>
  <c r="AA664" i="2" s="1"/>
  <c r="AA665" i="2" a="1"/>
  <c r="AA665" i="2" s="1"/>
  <c r="AA666" i="2" a="1"/>
  <c r="AA666" i="2" s="1"/>
  <c r="AA667" i="2" a="1"/>
  <c r="AA667" i="2" s="1"/>
  <c r="AA668" i="2" a="1"/>
  <c r="AA668" i="2" s="1"/>
  <c r="AA669" i="2" a="1"/>
  <c r="AA669" i="2" s="1"/>
  <c r="AA670" i="2" a="1"/>
  <c r="AA670" i="2" s="1"/>
  <c r="AA671" i="2" a="1"/>
  <c r="AA671" i="2" s="1"/>
  <c r="AA672" i="2" a="1"/>
  <c r="AA672" i="2" s="1"/>
  <c r="AA673" i="2" a="1"/>
  <c r="AA673" i="2" s="1"/>
  <c r="AA674" i="2" a="1"/>
  <c r="AA674" i="2" s="1"/>
  <c r="AA675" i="2" a="1"/>
  <c r="AA675" i="2" s="1"/>
  <c r="AA676" i="2" a="1"/>
  <c r="AA676" i="2" s="1"/>
  <c r="AA677" i="2" a="1"/>
  <c r="AA677" i="2" s="1"/>
  <c r="AA678" i="2" a="1"/>
  <c r="AA678" i="2" s="1"/>
  <c r="AA679" i="2" a="1"/>
  <c r="AA679" i="2" s="1"/>
  <c r="AA680" i="2" a="1"/>
  <c r="AA680" i="2" s="1"/>
  <c r="AA681" i="2" a="1"/>
  <c r="AA681" i="2" s="1"/>
  <c r="AA682" i="2" a="1"/>
  <c r="AA682" i="2" s="1"/>
  <c r="AA683" i="2" a="1"/>
  <c r="AA683" i="2" s="1"/>
  <c r="AA684" i="2" a="1"/>
  <c r="AA684" i="2" s="1"/>
  <c r="AA685" i="2" a="1"/>
  <c r="AA685" i="2" s="1"/>
  <c r="AA686" i="2" a="1"/>
  <c r="AA686" i="2" s="1"/>
  <c r="AA687" i="2" a="1"/>
  <c r="AA687" i="2" s="1"/>
  <c r="AA688" i="2" a="1"/>
  <c r="AA688" i="2" s="1"/>
  <c r="AA689" i="2" a="1"/>
  <c r="AA689" i="2" s="1"/>
  <c r="AA690" i="2" a="1"/>
  <c r="AA690" i="2" s="1"/>
  <c r="AA691" i="2" a="1"/>
  <c r="AA691" i="2" s="1"/>
  <c r="AA692" i="2" a="1"/>
  <c r="AA692" i="2" s="1"/>
  <c r="AA693" i="2" a="1"/>
  <c r="AA693" i="2" s="1"/>
  <c r="AA694" i="2" a="1"/>
  <c r="AA694" i="2" s="1"/>
  <c r="AA695" i="2" a="1"/>
  <c r="AA695" i="2" s="1"/>
  <c r="AA696" i="2" a="1"/>
  <c r="AA696" i="2" s="1"/>
  <c r="AA697" i="2" a="1"/>
  <c r="AA697" i="2" s="1"/>
  <c r="AA698" i="2" a="1"/>
  <c r="AA698" i="2" s="1"/>
  <c r="AA699" i="2" a="1"/>
  <c r="AA699" i="2" s="1"/>
  <c r="AA700" i="2" a="1"/>
  <c r="AA700" i="2"/>
  <c r="AA701" i="2" a="1"/>
  <c r="AA701" i="2" s="1"/>
  <c r="AA702" i="2" a="1"/>
  <c r="AA702" i="2" s="1"/>
  <c r="AA703" i="2" a="1"/>
  <c r="AA703" i="2" s="1"/>
  <c r="AA704" i="2" a="1"/>
  <c r="AA704" i="2" s="1"/>
  <c r="AA705" i="2" a="1"/>
  <c r="AA705" i="2" s="1"/>
  <c r="AA706" i="2" a="1"/>
  <c r="AA706" i="2" s="1"/>
  <c r="AA707" i="2" a="1"/>
  <c r="AA707" i="2" s="1"/>
  <c r="AA708" i="2" a="1"/>
  <c r="AA708" i="2" s="1"/>
  <c r="AA709" i="2" a="1"/>
  <c r="AA709" i="2" s="1"/>
  <c r="AA710" i="2" a="1"/>
  <c r="AA710" i="2" s="1"/>
  <c r="AA711" i="2" a="1"/>
  <c r="AA711" i="2" s="1"/>
  <c r="AA712" i="2" a="1"/>
  <c r="AA712" i="2" s="1"/>
  <c r="AA713" i="2" a="1"/>
  <c r="AA713" i="2" s="1"/>
  <c r="AA714" i="2" a="1"/>
  <c r="AA714" i="2" s="1"/>
  <c r="AA715" i="2" a="1"/>
  <c r="AA715" i="2" s="1"/>
  <c r="AA716" i="2" a="1"/>
  <c r="AA716" i="2" s="1"/>
  <c r="AA717" i="2" a="1"/>
  <c r="AA717" i="2" s="1"/>
  <c r="AA718" i="2" a="1"/>
  <c r="AA718" i="2" s="1"/>
  <c r="AA719" i="2" a="1"/>
  <c r="AA719" i="2" s="1"/>
  <c r="AA720" i="2" a="1"/>
  <c r="AA720" i="2" s="1"/>
  <c r="AA721" i="2" a="1"/>
  <c r="AA721" i="2" s="1"/>
  <c r="AA722" i="2" a="1"/>
  <c r="AA722" i="2" s="1"/>
  <c r="AA723" i="2" a="1"/>
  <c r="AA723" i="2" s="1"/>
  <c r="AA724" i="2" a="1"/>
  <c r="AA724" i="2" s="1"/>
  <c r="AA725" i="2" a="1"/>
  <c r="AA725" i="2" s="1"/>
  <c r="AA726" i="2" a="1"/>
  <c r="AA726" i="2" s="1"/>
  <c r="AA727" i="2" a="1"/>
  <c r="AA727" i="2" s="1"/>
  <c r="AA728" i="2" a="1"/>
  <c r="AA728" i="2" s="1"/>
  <c r="AA729" i="2" a="1"/>
  <c r="AA729" i="2" s="1"/>
  <c r="AA730" i="2" a="1"/>
  <c r="AA730" i="2" s="1"/>
  <c r="AA731" i="2" a="1"/>
  <c r="AA731" i="2" s="1"/>
  <c r="AA732" i="2" a="1"/>
  <c r="AA732" i="2" s="1"/>
  <c r="AA733" i="2" a="1"/>
  <c r="AA733" i="2" s="1"/>
  <c r="AA734" i="2" a="1"/>
  <c r="AA734" i="2" s="1"/>
  <c r="AA735" i="2" a="1"/>
  <c r="AA735" i="2" s="1"/>
  <c r="AA736" i="2" a="1"/>
  <c r="AA736" i="2" s="1"/>
  <c r="AA737" i="2" a="1"/>
  <c r="AA737" i="2" s="1"/>
  <c r="AA738" i="2" a="1"/>
  <c r="AA738" i="2" s="1"/>
  <c r="AA739" i="2" a="1"/>
  <c r="AA739" i="2" s="1"/>
  <c r="AA740" i="2" a="1"/>
  <c r="AA740" i="2" s="1"/>
  <c r="AA741" i="2" a="1"/>
  <c r="AA741" i="2" s="1"/>
  <c r="AA742" i="2" a="1"/>
  <c r="AA742" i="2" s="1"/>
  <c r="AA743" i="2" a="1"/>
  <c r="AA743" i="2" s="1"/>
  <c r="AA744" i="2" a="1"/>
  <c r="AA744" i="2" s="1"/>
  <c r="AA745" i="2" a="1"/>
  <c r="AA745" i="2" s="1"/>
  <c r="AA746" i="2" a="1"/>
  <c r="AA746" i="2" s="1"/>
  <c r="AA747" i="2" a="1"/>
  <c r="AA747" i="2" s="1"/>
  <c r="AA748" i="2" a="1"/>
  <c r="AA748" i="2" s="1"/>
  <c r="AA749" i="2" a="1"/>
  <c r="AA749" i="2" s="1"/>
  <c r="AA750" i="2" a="1"/>
  <c r="AA750" i="2" s="1"/>
  <c r="AA751" i="2" a="1"/>
  <c r="AA751" i="2" s="1"/>
  <c r="AA752" i="2" a="1"/>
  <c r="AA752" i="2" s="1"/>
  <c r="AA753" i="2" a="1"/>
  <c r="AA753" i="2" s="1"/>
  <c r="AA754" i="2" a="1"/>
  <c r="AA754" i="2" s="1"/>
  <c r="AA755" i="2" a="1"/>
  <c r="AA755" i="2" s="1"/>
  <c r="AA756" i="2" a="1"/>
  <c r="AA756" i="2" s="1"/>
  <c r="AA757" i="2" a="1"/>
  <c r="AA757" i="2" s="1"/>
  <c r="AA758" i="2" a="1"/>
  <c r="AA758" i="2" s="1"/>
  <c r="AA759" i="2" a="1"/>
  <c r="AA759" i="2" s="1"/>
  <c r="AA760" i="2" a="1"/>
  <c r="AA760" i="2" s="1"/>
  <c r="AA761" i="2" a="1"/>
  <c r="AA761" i="2" s="1"/>
  <c r="AA762" i="2" a="1"/>
  <c r="AA762" i="2" s="1"/>
  <c r="AA763" i="2" a="1"/>
  <c r="AA763" i="2" s="1"/>
  <c r="AA764" i="2" a="1"/>
  <c r="AA764" i="2" s="1"/>
  <c r="AA765" i="2" a="1"/>
  <c r="AA765" i="2" s="1"/>
  <c r="AA766" i="2" a="1"/>
  <c r="AA766" i="2" s="1"/>
  <c r="AA767" i="2" a="1"/>
  <c r="AA767" i="2" s="1"/>
  <c r="AA768" i="2" a="1"/>
  <c r="AA768" i="2" s="1"/>
  <c r="AA769" i="2" a="1"/>
  <c r="AA769" i="2" s="1"/>
  <c r="AA770" i="2" a="1"/>
  <c r="AA770" i="2" s="1"/>
  <c r="AA771" i="2" a="1"/>
  <c r="AA771" i="2" s="1"/>
  <c r="AA772" i="2" a="1"/>
  <c r="AA772" i="2" s="1"/>
  <c r="AA773" i="2" a="1"/>
  <c r="AA773" i="2" s="1"/>
  <c r="AA774" i="2" a="1"/>
  <c r="AA774" i="2" s="1"/>
  <c r="AA775" i="2" a="1"/>
  <c r="AA775" i="2" s="1"/>
  <c r="AA776" i="2" a="1"/>
  <c r="AA776" i="2" s="1"/>
  <c r="AA777" i="2" a="1"/>
  <c r="AA777" i="2" s="1"/>
  <c r="AA778" i="2" a="1"/>
  <c r="AA778" i="2" s="1"/>
  <c r="AA779" i="2" a="1"/>
  <c r="AA779" i="2" s="1"/>
  <c r="AA780" i="2" a="1"/>
  <c r="AA780" i="2" s="1"/>
  <c r="AA781" i="2" a="1"/>
  <c r="AA781" i="2" s="1"/>
  <c r="AA782" i="2" a="1"/>
  <c r="AA782" i="2" s="1"/>
  <c r="AA783" i="2" a="1"/>
  <c r="AA783" i="2" s="1"/>
  <c r="AA784" i="2" a="1"/>
  <c r="AA784" i="2" s="1"/>
  <c r="AA785" i="2" a="1"/>
  <c r="AA785" i="2" s="1"/>
  <c r="AA786" i="2" a="1"/>
  <c r="AA786" i="2" s="1"/>
  <c r="AA787" i="2" a="1"/>
  <c r="AA787" i="2" s="1"/>
  <c r="AA788" i="2" a="1"/>
  <c r="AA788" i="2" s="1"/>
  <c r="AA789" i="2" a="1"/>
  <c r="AA789" i="2" s="1"/>
  <c r="AA790" i="2" a="1"/>
  <c r="AA790" i="2" s="1"/>
  <c r="AA791" i="2" a="1"/>
  <c r="AA791" i="2" s="1"/>
  <c r="AA792" i="2" a="1"/>
  <c r="AA792" i="2" s="1"/>
  <c r="AA793" i="2" a="1"/>
  <c r="AA793" i="2" s="1"/>
  <c r="AA794" i="2" a="1"/>
  <c r="AA794" i="2" s="1"/>
  <c r="AA795" i="2" a="1"/>
  <c r="AA795" i="2" s="1"/>
  <c r="AA796" i="2" a="1"/>
  <c r="AA796" i="2" s="1"/>
  <c r="AA797" i="2" a="1"/>
  <c r="AA797" i="2" s="1"/>
  <c r="AA798" i="2" a="1"/>
  <c r="AA798" i="2" s="1"/>
  <c r="AA799" i="2" a="1"/>
  <c r="AA799" i="2" s="1"/>
  <c r="AA800" i="2" a="1"/>
  <c r="AA800" i="2" s="1"/>
  <c r="AA801" i="2" a="1"/>
  <c r="AA801" i="2" s="1"/>
  <c r="AA802" i="2" a="1"/>
  <c r="AA802" i="2" s="1"/>
  <c r="AA803" i="2" a="1"/>
  <c r="AA803" i="2" s="1"/>
  <c r="AA804" i="2" a="1"/>
  <c r="AA804" i="2" s="1"/>
  <c r="AA805" i="2" a="1"/>
  <c r="AA805" i="2" s="1"/>
  <c r="AA806" i="2" a="1"/>
  <c r="AA806" i="2" s="1"/>
  <c r="AA807" i="2" a="1"/>
  <c r="AA807" i="2" s="1"/>
  <c r="AA808" i="2" a="1"/>
  <c r="AA808" i="2" s="1"/>
  <c r="AA809" i="2" a="1"/>
  <c r="AA809" i="2" s="1"/>
  <c r="AA810" i="2" a="1"/>
  <c r="AA810" i="2" s="1"/>
  <c r="AA811" i="2" a="1"/>
  <c r="AA811" i="2" s="1"/>
  <c r="AA812" i="2" a="1"/>
  <c r="AA812" i="2" s="1"/>
  <c r="AA813" i="2" a="1"/>
  <c r="AA813" i="2" s="1"/>
  <c r="AA814" i="2" a="1"/>
  <c r="AA814" i="2" s="1"/>
  <c r="AA815" i="2" a="1"/>
  <c r="AA815" i="2" s="1"/>
  <c r="AA816" i="2" a="1"/>
  <c r="AA816" i="2" s="1"/>
  <c r="AA817" i="2" a="1"/>
  <c r="AA817" i="2" s="1"/>
  <c r="AA818" i="2" a="1"/>
  <c r="AA818" i="2" s="1"/>
  <c r="AA819" i="2" a="1"/>
  <c r="AA819" i="2" s="1"/>
  <c r="AA820" i="2" a="1"/>
  <c r="AA820" i="2" s="1"/>
  <c r="AA821" i="2" a="1"/>
  <c r="AA821" i="2" s="1"/>
  <c r="AA822" i="2" a="1"/>
  <c r="AA822" i="2" s="1"/>
  <c r="AA823" i="2" a="1"/>
  <c r="AA823" i="2" s="1"/>
  <c r="AA824" i="2" a="1"/>
  <c r="AA824" i="2" s="1"/>
  <c r="AA825" i="2" a="1"/>
  <c r="AA825" i="2" s="1"/>
  <c r="AA826" i="2" a="1"/>
  <c r="AA826" i="2" s="1"/>
  <c r="AA827" i="2" a="1"/>
  <c r="AA827" i="2" s="1"/>
  <c r="AA828" i="2" a="1"/>
  <c r="AA828" i="2" s="1"/>
  <c r="AA829" i="2" a="1"/>
  <c r="AA829" i="2" s="1"/>
  <c r="AA830" i="2" a="1"/>
  <c r="AA830" i="2" s="1"/>
  <c r="AA831" i="2" a="1"/>
  <c r="AA831" i="2" s="1"/>
  <c r="AA832" i="2" a="1"/>
  <c r="AA832" i="2" s="1"/>
  <c r="AA833" i="2" a="1"/>
  <c r="AA833" i="2" s="1"/>
  <c r="AA834" i="2" a="1"/>
  <c r="AA834" i="2" s="1"/>
  <c r="AA835" i="2" a="1"/>
  <c r="AA835" i="2" s="1"/>
  <c r="AA836" i="2" a="1"/>
  <c r="AA836" i="2" s="1"/>
  <c r="AA837" i="2" a="1"/>
  <c r="AA837" i="2" s="1"/>
  <c r="AA838" i="2" a="1"/>
  <c r="AA838" i="2" s="1"/>
  <c r="AA839" i="2" a="1"/>
  <c r="AA839" i="2" s="1"/>
  <c r="AA840" i="2" a="1"/>
  <c r="AA840" i="2" s="1"/>
  <c r="AA841" i="2" a="1"/>
  <c r="AA841" i="2" s="1"/>
  <c r="AA842" i="2" a="1"/>
  <c r="AA842" i="2" s="1"/>
  <c r="AA843" i="2" a="1"/>
  <c r="AA843" i="2" s="1"/>
  <c r="AA844" i="2" a="1"/>
  <c r="AA844" i="2" s="1"/>
  <c r="AA845" i="2" a="1"/>
  <c r="AA845" i="2" s="1"/>
  <c r="AA846" i="2" a="1"/>
  <c r="AA846" i="2" s="1"/>
  <c r="AA847" i="2" a="1"/>
  <c r="AA847" i="2" s="1"/>
  <c r="AA848" i="2" a="1"/>
  <c r="AA848" i="2" s="1"/>
  <c r="AA849" i="2" a="1"/>
  <c r="AA849" i="2" s="1"/>
  <c r="AA850" i="2" a="1"/>
  <c r="AA850" i="2" s="1"/>
  <c r="AA851" i="2" a="1"/>
  <c r="AA851" i="2" s="1"/>
  <c r="AA852" i="2" a="1"/>
  <c r="AA852" i="2" s="1"/>
  <c r="AA853" i="2" a="1"/>
  <c r="AA853" i="2" s="1"/>
  <c r="AA854" i="2" a="1"/>
  <c r="AA854" i="2" s="1"/>
  <c r="AA855" i="2" a="1"/>
  <c r="AA855" i="2" s="1"/>
  <c r="AA856" i="2" a="1"/>
  <c r="AA856" i="2" s="1"/>
  <c r="AA857" i="2" a="1"/>
  <c r="AA857" i="2" s="1"/>
  <c r="AA858" i="2" a="1"/>
  <c r="AA858" i="2" s="1"/>
  <c r="AA859" i="2" a="1"/>
  <c r="AA859" i="2" s="1"/>
  <c r="AA860" i="2" a="1"/>
  <c r="AA860" i="2" s="1"/>
  <c r="AA861" i="2" a="1"/>
  <c r="AA861" i="2" s="1"/>
  <c r="AA862" i="2" a="1"/>
  <c r="AA862" i="2" s="1"/>
  <c r="AA863" i="2" a="1"/>
  <c r="AA863" i="2" s="1"/>
  <c r="AA864" i="2" a="1"/>
  <c r="AA864" i="2" s="1"/>
  <c r="AA865" i="2" a="1"/>
  <c r="AA865" i="2" s="1"/>
  <c r="AA866" i="2" a="1"/>
  <c r="AA866" i="2" s="1"/>
  <c r="AA867" i="2" a="1"/>
  <c r="AA867" i="2" s="1"/>
  <c r="AA868" i="2" a="1"/>
  <c r="AA868" i="2" s="1"/>
  <c r="AA869" i="2" a="1"/>
  <c r="AA869" i="2" s="1"/>
  <c r="AA870" i="2" a="1"/>
  <c r="AA870" i="2" s="1"/>
  <c r="AA871" i="2" a="1"/>
  <c r="AA871" i="2" s="1"/>
  <c r="AA872" i="2" a="1"/>
  <c r="AA872" i="2" s="1"/>
  <c r="AA873" i="2" a="1"/>
  <c r="AA873" i="2" s="1"/>
  <c r="AA874" i="2" a="1"/>
  <c r="AA874" i="2" s="1"/>
  <c r="AA875" i="2" a="1"/>
  <c r="AA875" i="2" s="1"/>
  <c r="AA876" i="2" a="1"/>
  <c r="AA876" i="2" s="1"/>
  <c r="AA877" i="2" a="1"/>
  <c r="AA877" i="2" s="1"/>
  <c r="AA878" i="2" a="1"/>
  <c r="AA878" i="2" s="1"/>
  <c r="AA879" i="2" a="1"/>
  <c r="AA879" i="2" s="1"/>
  <c r="AA880" i="2" a="1"/>
  <c r="AA880" i="2" s="1"/>
  <c r="AA881" i="2" a="1"/>
  <c r="AA881" i="2" s="1"/>
  <c r="AA882" i="2" a="1"/>
  <c r="AA882" i="2" s="1"/>
  <c r="AA883" i="2" a="1"/>
  <c r="AA883" i="2" s="1"/>
  <c r="AA884" i="2" a="1"/>
  <c r="AA884" i="2" s="1"/>
  <c r="AA885" i="2" a="1"/>
  <c r="AA885" i="2" s="1"/>
  <c r="AA886" i="2" a="1"/>
  <c r="AA886" i="2" s="1"/>
  <c r="AA887" i="2" a="1"/>
  <c r="AA887" i="2" s="1"/>
  <c r="AA888" i="2" a="1"/>
  <c r="AA888" i="2" s="1"/>
  <c r="AA889" i="2" a="1"/>
  <c r="AA889" i="2" s="1"/>
  <c r="AA890" i="2" a="1"/>
  <c r="AA890" i="2" s="1"/>
  <c r="AA891" i="2" a="1"/>
  <c r="AA891" i="2" s="1"/>
  <c r="AA892" i="2" a="1"/>
  <c r="AA892" i="2" s="1"/>
  <c r="AA893" i="2" a="1"/>
  <c r="AA893" i="2" s="1"/>
  <c r="AA894" i="2" a="1"/>
  <c r="AA894" i="2" s="1"/>
  <c r="AA895" i="2" a="1"/>
  <c r="AA895" i="2" s="1"/>
  <c r="AA896" i="2" a="1"/>
  <c r="AA896" i="2" s="1"/>
  <c r="AA897" i="2" a="1"/>
  <c r="AA897" i="2" s="1"/>
  <c r="AA898" i="2" a="1"/>
  <c r="AA898" i="2" s="1"/>
  <c r="AA899" i="2" a="1"/>
  <c r="AA899" i="2" s="1"/>
  <c r="AA900" i="2" a="1"/>
  <c r="AA900" i="2" s="1"/>
  <c r="AA901" i="2" a="1"/>
  <c r="AA901" i="2" s="1"/>
  <c r="AA902" i="2" a="1"/>
  <c r="AA902" i="2" s="1"/>
  <c r="AA903" i="2" a="1"/>
  <c r="AA903" i="2" s="1"/>
  <c r="AA904" i="2" a="1"/>
  <c r="AA904" i="2" s="1"/>
  <c r="AA905" i="2" a="1"/>
  <c r="AA905" i="2" s="1"/>
  <c r="AA906" i="2" a="1"/>
  <c r="AA906" i="2" s="1"/>
  <c r="AA907" i="2" a="1"/>
  <c r="AA907" i="2" s="1"/>
  <c r="AA908" i="2" a="1"/>
  <c r="AA908" i="2" s="1"/>
  <c r="AA909" i="2" a="1"/>
  <c r="AA909" i="2" s="1"/>
  <c r="AA910" i="2" a="1"/>
  <c r="AA910" i="2" s="1"/>
  <c r="AA911" i="2" a="1"/>
  <c r="AA911" i="2" s="1"/>
  <c r="AA912" i="2" a="1"/>
  <c r="AA912" i="2" s="1"/>
  <c r="AA913" i="2" a="1"/>
  <c r="AA913" i="2" s="1"/>
  <c r="AA914" i="2" a="1"/>
  <c r="AA914" i="2" s="1"/>
  <c r="AA915" i="2" a="1"/>
  <c r="AA915" i="2" s="1"/>
  <c r="AA916" i="2" a="1"/>
  <c r="AA916" i="2" s="1"/>
  <c r="AA917" i="2" a="1"/>
  <c r="AA917" i="2" s="1"/>
  <c r="AA918" i="2" a="1"/>
  <c r="AA918" i="2" s="1"/>
  <c r="AA919" i="2" a="1"/>
  <c r="AA919" i="2" s="1"/>
  <c r="AA920" i="2" a="1"/>
  <c r="AA920" i="2" s="1"/>
  <c r="AA921" i="2" a="1"/>
  <c r="AA921" i="2" s="1"/>
  <c r="AA922" i="2" a="1"/>
  <c r="AA922" i="2" s="1"/>
  <c r="AA923" i="2" a="1"/>
  <c r="AA923" i="2" s="1"/>
  <c r="AA924" i="2" a="1"/>
  <c r="AA924" i="2" s="1"/>
  <c r="AA925" i="2" a="1"/>
  <c r="AA925" i="2" s="1"/>
  <c r="AA926" i="2" a="1"/>
  <c r="AA926" i="2" s="1"/>
  <c r="AA927" i="2" a="1"/>
  <c r="AA927" i="2" s="1"/>
  <c r="AA928" i="2" a="1"/>
  <c r="AA928" i="2" s="1"/>
  <c r="AA929" i="2" a="1"/>
  <c r="AA929" i="2" s="1"/>
  <c r="AA930" i="2" a="1"/>
  <c r="AA930" i="2" s="1"/>
  <c r="AA931" i="2" a="1"/>
  <c r="AA931" i="2" s="1"/>
  <c r="AA932" i="2" a="1"/>
  <c r="AA932" i="2" s="1"/>
  <c r="AA933" i="2" a="1"/>
  <c r="AA933" i="2" s="1"/>
  <c r="AA934" i="2" a="1"/>
  <c r="AA934" i="2" s="1"/>
  <c r="AA935" i="2" a="1"/>
  <c r="AA935" i="2" s="1"/>
  <c r="AA936" i="2" a="1"/>
  <c r="AA936" i="2" s="1"/>
  <c r="AA937" i="2" a="1"/>
  <c r="AA937" i="2" s="1"/>
  <c r="AA938" i="2" a="1"/>
  <c r="AA938" i="2" s="1"/>
  <c r="AA939" i="2" a="1"/>
  <c r="AA939" i="2" s="1"/>
  <c r="AA940" i="2" a="1"/>
  <c r="AA940" i="2" s="1"/>
  <c r="AA941" i="2" a="1"/>
  <c r="AA941" i="2" s="1"/>
  <c r="AA942" i="2" a="1"/>
  <c r="AA942" i="2" s="1"/>
  <c r="AA943" i="2" a="1"/>
  <c r="AA943" i="2" s="1"/>
  <c r="AA944" i="2" a="1"/>
  <c r="AA944" i="2" s="1"/>
  <c r="AA945" i="2" a="1"/>
  <c r="AA945" i="2" s="1"/>
  <c r="AA946" i="2" a="1"/>
  <c r="AA946" i="2" s="1"/>
  <c r="AA947" i="2" a="1"/>
  <c r="AA947" i="2" s="1"/>
  <c r="AA948" i="2" a="1"/>
  <c r="AA948" i="2" s="1"/>
  <c r="AA949" i="2" a="1"/>
  <c r="AA949" i="2" s="1"/>
  <c r="AA950" i="2" a="1"/>
  <c r="AA950" i="2" s="1"/>
  <c r="AA951" i="2" a="1"/>
  <c r="AA951" i="2" s="1"/>
  <c r="AA952" i="2" a="1"/>
  <c r="AA952" i="2" s="1"/>
  <c r="AA953" i="2" a="1"/>
  <c r="AA953" i="2" s="1"/>
  <c r="AA954" i="2" a="1"/>
  <c r="AA954" i="2" s="1"/>
  <c r="AA955" i="2" a="1"/>
  <c r="AA955" i="2" s="1"/>
  <c r="AA956" i="2" a="1"/>
  <c r="AA956" i="2" s="1"/>
  <c r="AA957" i="2" a="1"/>
  <c r="AA957" i="2" s="1"/>
  <c r="AA958" i="2" a="1"/>
  <c r="AA958" i="2" s="1"/>
  <c r="AA959" i="2" a="1"/>
  <c r="AA959" i="2" s="1"/>
  <c r="AA960" i="2" a="1"/>
  <c r="AA960" i="2" s="1"/>
  <c r="AA961" i="2" a="1"/>
  <c r="AA961" i="2" s="1"/>
  <c r="AA962" i="2" a="1"/>
  <c r="AA962" i="2"/>
  <c r="AA963" i="2" a="1"/>
  <c r="AA963" i="2" s="1"/>
  <c r="AA964" i="2" a="1"/>
  <c r="AA964" i="2" s="1"/>
  <c r="AA965" i="2" a="1"/>
  <c r="AA965" i="2" s="1"/>
  <c r="AA966" i="2" a="1"/>
  <c r="AA966" i="2" s="1"/>
  <c r="AA967" i="2" a="1"/>
  <c r="AA967" i="2" s="1"/>
  <c r="AA968" i="2" a="1"/>
  <c r="AA968" i="2" s="1"/>
  <c r="AA969" i="2" a="1"/>
  <c r="AA969" i="2" s="1"/>
  <c r="AA970" i="2" a="1"/>
  <c r="AA970" i="2" s="1"/>
  <c r="AA971" i="2" a="1"/>
  <c r="AA971" i="2"/>
  <c r="AA972" i="2" a="1"/>
  <c r="AA972" i="2" s="1"/>
  <c r="AA973" i="2" a="1"/>
  <c r="AA973" i="2" s="1"/>
  <c r="AA974" i="2" a="1"/>
  <c r="AA974" i="2" s="1"/>
  <c r="AA975" i="2" a="1"/>
  <c r="AA975" i="2" s="1"/>
  <c r="AA976" i="2" a="1"/>
  <c r="AA976" i="2" s="1"/>
  <c r="AA977" i="2" a="1"/>
  <c r="AA977" i="2" s="1"/>
  <c r="AA978" i="2" a="1"/>
  <c r="AA978" i="2" s="1"/>
  <c r="AA979" i="2" a="1"/>
  <c r="AA979" i="2" s="1"/>
  <c r="AA980" i="2" a="1"/>
  <c r="AA980" i="2" s="1"/>
  <c r="AA981" i="2" a="1"/>
  <c r="AA981" i="2" s="1"/>
  <c r="AA982" i="2" a="1"/>
  <c r="AA982" i="2" s="1"/>
  <c r="AA983" i="2" a="1"/>
  <c r="AA983" i="2" s="1"/>
  <c r="AA984" i="2" a="1"/>
  <c r="AA984" i="2" s="1"/>
  <c r="AA985" i="2" a="1"/>
  <c r="AA985" i="2" s="1"/>
  <c r="AA986" i="2" a="1"/>
  <c r="AA986" i="2" s="1"/>
  <c r="AA987" i="2" a="1"/>
  <c r="AA987" i="2" s="1"/>
  <c r="AA988" i="2" a="1"/>
  <c r="AA988" i="2" s="1"/>
  <c r="AA989" i="2" a="1"/>
  <c r="AA989" i="2" s="1"/>
  <c r="AA990" i="2" a="1"/>
  <c r="AA990" i="2" s="1"/>
  <c r="AA991" i="2" a="1"/>
  <c r="AA991" i="2" s="1"/>
  <c r="AA992" i="2" a="1"/>
  <c r="AA992" i="2" s="1"/>
  <c r="AA993" i="2" a="1"/>
  <c r="AA993" i="2" s="1"/>
  <c r="AA994" i="2" a="1"/>
  <c r="AA994" i="2" s="1"/>
  <c r="AA995" i="2" a="1"/>
  <c r="AA995" i="2" s="1"/>
  <c r="AA996" i="2" a="1"/>
  <c r="AA996" i="2" s="1"/>
  <c r="AA997" i="2" a="1"/>
  <c r="AA997" i="2" s="1"/>
  <c r="AA998" i="2" a="1"/>
  <c r="AA998" i="2" s="1"/>
  <c r="AA999" i="2" a="1"/>
  <c r="AA999" i="2" s="1"/>
  <c r="AA1000" i="2" a="1"/>
  <c r="AA1000" i="2"/>
  <c r="AA1001" i="2" a="1"/>
  <c r="AA1001" i="2" s="1"/>
  <c r="AA1002" i="2" a="1"/>
  <c r="AA1002" i="2" s="1"/>
  <c r="AA1003" i="2" a="1"/>
  <c r="AA1003" i="2" s="1"/>
  <c r="AA1004" i="2" a="1"/>
  <c r="AA1004" i="2" s="1"/>
  <c r="AA1005" i="2" a="1"/>
  <c r="AA1005" i="2" s="1"/>
  <c r="AA1006" i="2" a="1"/>
  <c r="AA1006" i="2" s="1"/>
  <c r="AA1007" i="2" a="1"/>
  <c r="AA1007" i="2" s="1"/>
  <c r="AA1008" i="2" a="1"/>
  <c r="AA1008" i="2" s="1"/>
  <c r="AA1009" i="2" a="1"/>
  <c r="AA1009" i="2" s="1"/>
  <c r="AA1010" i="2" a="1"/>
  <c r="AA1010" i="2" s="1"/>
  <c r="AA1011" i="2" a="1"/>
  <c r="AA1011" i="2" s="1"/>
  <c r="AA1012" i="2" a="1"/>
  <c r="AA1012" i="2" s="1"/>
  <c r="AA1013" i="2" a="1"/>
  <c r="AA1013" i="2" s="1"/>
  <c r="AA1014" i="2" a="1"/>
  <c r="AA1014" i="2" s="1"/>
  <c r="AA1015" i="2" a="1"/>
  <c r="AA1015" i="2" s="1"/>
  <c r="AA1016" i="2" a="1"/>
  <c r="AA1016" i="2" s="1"/>
  <c r="AA1017" i="2" a="1"/>
  <c r="AA1017" i="2"/>
  <c r="AA1018" i="2" a="1"/>
  <c r="AA1018" i="2" s="1"/>
  <c r="AA1019" i="2" a="1"/>
  <c r="AA1019" i="2" s="1"/>
  <c r="AA1020" i="2" a="1"/>
  <c r="AA1020" i="2" s="1"/>
  <c r="AA1021" i="2" a="1"/>
  <c r="AA1021" i="2" s="1"/>
  <c r="AA1022" i="2" a="1"/>
  <c r="AA1022" i="2" s="1"/>
  <c r="AA1023" i="2" a="1"/>
  <c r="AA1023" i="2"/>
  <c r="AA1024" i="2" a="1"/>
  <c r="AA1024" i="2" s="1"/>
  <c r="AA1025" i="2" a="1"/>
  <c r="AA1025" i="2"/>
  <c r="AA1026" i="2" a="1"/>
  <c r="AA1026" i="2"/>
  <c r="AA1027" i="2" a="1"/>
  <c r="AA1027" i="2"/>
  <c r="AA1028" i="2" a="1"/>
  <c r="AA1028" i="2"/>
  <c r="AA1029" i="2" a="1"/>
  <c r="AA1029" i="2" s="1"/>
  <c r="AA1030" i="2" a="1"/>
  <c r="AA1030" i="2" s="1"/>
  <c r="AA1031" i="2" a="1"/>
  <c r="AA1031" i="2" s="1"/>
  <c r="AA1032" i="2" a="1"/>
  <c r="AA1032" i="2" s="1"/>
  <c r="AA1033" i="2" a="1"/>
  <c r="AA1033" i="2" s="1"/>
  <c r="AA1034" i="2" a="1"/>
  <c r="AA1034" i="2" s="1"/>
  <c r="AA1035" i="2" a="1"/>
  <c r="AA1035" i="2"/>
  <c r="AA1036" i="2" a="1"/>
  <c r="AA1036" i="2" s="1"/>
  <c r="AA1037" i="2" a="1"/>
  <c r="AA1037" i="2" s="1"/>
  <c r="AA1038" i="2" a="1"/>
  <c r="AA1038" i="2" s="1"/>
  <c r="AA1039" i="2" a="1"/>
  <c r="AA1039" i="2" s="1"/>
  <c r="AA1040" i="2" a="1"/>
  <c r="AA1040" i="2" s="1"/>
  <c r="AA1041" i="2" a="1"/>
  <c r="AA1041" i="2" s="1"/>
  <c r="AA1042" i="2" a="1"/>
  <c r="AA1042" i="2" s="1"/>
  <c r="AA1043" i="2" a="1"/>
  <c r="AA1043" i="2" s="1"/>
  <c r="AA1044" i="2" a="1"/>
  <c r="AA1044" i="2" s="1"/>
  <c r="AA1045" i="2" a="1"/>
  <c r="AA1045" i="2" s="1"/>
  <c r="AA1046" i="2" a="1"/>
  <c r="AA1046" i="2" s="1"/>
  <c r="AA1047" i="2" a="1"/>
  <c r="AA1047" i="2" s="1"/>
  <c r="AA1048" i="2" a="1"/>
  <c r="AA1048" i="2" s="1"/>
  <c r="AA1049" i="2" a="1"/>
  <c r="AA1049" i="2" s="1"/>
  <c r="AA1050" i="2" a="1"/>
  <c r="AA1050" i="2" s="1"/>
  <c r="AA1051" i="2" a="1"/>
  <c r="AA1051" i="2" s="1"/>
  <c r="AA1052" i="2" a="1"/>
  <c r="AA1052" i="2" s="1"/>
  <c r="AA1053" i="2" a="1"/>
  <c r="AA1053" i="2" s="1"/>
  <c r="AA1054" i="2" a="1"/>
  <c r="AA1054" i="2" s="1"/>
  <c r="AA1055" i="2" a="1"/>
  <c r="AA1055" i="2" s="1"/>
  <c r="AA1056" i="2" a="1"/>
  <c r="AA1056" i="2" s="1"/>
  <c r="AA1057" i="2" a="1"/>
  <c r="AA1057" i="2" s="1"/>
  <c r="AA1058" i="2" a="1"/>
  <c r="AA1058" i="2" s="1"/>
  <c r="AA1059" i="2" a="1"/>
  <c r="AA1059" i="2" s="1"/>
  <c r="AA1060" i="2" a="1"/>
  <c r="AA1060" i="2" s="1"/>
  <c r="AA1061" i="2" a="1"/>
  <c r="AA1061" i="2" s="1"/>
  <c r="AA1062" i="2" a="1"/>
  <c r="AA1062" i="2" s="1"/>
  <c r="AA1063" i="2" a="1"/>
  <c r="AA1063" i="2" s="1"/>
  <c r="AA1064" i="2" a="1"/>
  <c r="AA1064" i="2" s="1"/>
  <c r="AA1065" i="2" a="1"/>
  <c r="AA1065" i="2" s="1"/>
  <c r="AA1066" i="2" a="1"/>
  <c r="AA1066" i="2"/>
  <c r="AA1067" i="2" a="1"/>
  <c r="AA1067" i="2" s="1"/>
  <c r="AA1068" i="2" a="1"/>
  <c r="AA1068" i="2" s="1"/>
  <c r="AA1069" i="2" a="1"/>
  <c r="AA1069" i="2" s="1"/>
  <c r="AA1070" i="2" a="1"/>
  <c r="AA1070" i="2" s="1"/>
  <c r="AA1071" i="2" a="1"/>
  <c r="AA1071" i="2" s="1"/>
  <c r="AA1072" i="2" a="1"/>
  <c r="AA1072" i="2" s="1"/>
  <c r="AA1073" i="2" a="1"/>
  <c r="AA1073" i="2" s="1"/>
  <c r="AA1074" i="2" a="1"/>
  <c r="AA1074" i="2" s="1"/>
  <c r="AA1075" i="2" a="1"/>
  <c r="AA1075" i="2" s="1"/>
  <c r="AA1076" i="2" a="1"/>
  <c r="AA1076" i="2" s="1"/>
  <c r="AA1077" i="2" a="1"/>
  <c r="AA1077" i="2" s="1"/>
  <c r="AA1078" i="2" a="1"/>
  <c r="AA1078" i="2" s="1"/>
  <c r="AA1079" i="2" a="1"/>
  <c r="AA1079" i="2" s="1"/>
  <c r="AA1080" i="2" a="1"/>
  <c r="AA1080" i="2" s="1"/>
  <c r="AA1081" i="2" a="1"/>
  <c r="AA1081" i="2" s="1"/>
  <c r="AA1082" i="2" a="1"/>
  <c r="AA1082" i="2" s="1"/>
  <c r="AA1083" i="2" a="1"/>
  <c r="AA1083" i="2" s="1"/>
  <c r="AA1084" i="2" a="1"/>
  <c r="AA1084" i="2" s="1"/>
  <c r="AA1085" i="2" a="1"/>
  <c r="AA1085" i="2" s="1"/>
  <c r="AA1086" i="2" a="1"/>
  <c r="AA1086" i="2" s="1"/>
  <c r="AA1087" i="2" a="1"/>
  <c r="AA1087" i="2" s="1"/>
  <c r="AA1088" i="2" a="1"/>
  <c r="AA1088" i="2" s="1"/>
  <c r="AA1089" i="2" a="1"/>
  <c r="AA1089" i="2" s="1"/>
  <c r="AA1090" i="2" a="1"/>
  <c r="AA1090" i="2" s="1"/>
  <c r="AA1091" i="2" a="1"/>
  <c r="AA1091" i="2" s="1"/>
  <c r="AA1092" i="2" a="1"/>
  <c r="AA1092" i="2" s="1"/>
  <c r="AA1093" i="2" a="1"/>
  <c r="AA1093" i="2" s="1"/>
  <c r="AA1094" i="2" a="1"/>
  <c r="AA1094" i="2" s="1"/>
  <c r="AA1095" i="2" a="1"/>
  <c r="AA1095" i="2" s="1"/>
  <c r="AA1096" i="2" a="1"/>
  <c r="AA1096" i="2" s="1"/>
  <c r="AA1097" i="2" a="1"/>
  <c r="AA1097" i="2" s="1"/>
  <c r="AA1098" i="2" a="1"/>
  <c r="AA1098" i="2" s="1"/>
  <c r="AA1099" i="2" a="1"/>
  <c r="AA1099" i="2" s="1"/>
  <c r="AA1100" i="2" a="1"/>
  <c r="AA1100" i="2" s="1"/>
  <c r="AA1101" i="2" a="1"/>
  <c r="AA1101" i="2" s="1"/>
  <c r="AA1102" i="2" a="1"/>
  <c r="AA1102" i="2" s="1"/>
  <c r="AA1103" i="2" a="1"/>
  <c r="AA1103" i="2" s="1"/>
  <c r="AA1104" i="2" a="1"/>
  <c r="AA1104" i="2" s="1"/>
  <c r="AA1105" i="2" a="1"/>
  <c r="AA1105" i="2" s="1"/>
  <c r="AA1106" i="2" a="1"/>
  <c r="AA1106" i="2" s="1"/>
  <c r="AA1107" i="2" a="1"/>
  <c r="AA1107" i="2"/>
  <c r="AA1108" i="2" a="1"/>
  <c r="AA1108" i="2" s="1"/>
  <c r="AA1109" i="2" a="1"/>
  <c r="AA1109" i="2" s="1"/>
  <c r="AA1110" i="2" a="1"/>
  <c r="AA1110" i="2" s="1"/>
  <c r="AA1111" i="2" a="1"/>
  <c r="AA1111" i="2" s="1"/>
  <c r="AA1112" i="2" a="1"/>
  <c r="AA1112" i="2" s="1"/>
  <c r="AA1113" i="2" a="1"/>
  <c r="AA1113" i="2" s="1"/>
  <c r="AA1114" i="2" a="1"/>
  <c r="AA1114" i="2" s="1"/>
  <c r="AA1115" i="2" a="1"/>
  <c r="AA1115" i="2" s="1"/>
  <c r="AA1116" i="2" a="1"/>
  <c r="AA1116" i="2" s="1"/>
  <c r="AA1117" i="2" a="1"/>
  <c r="AA1117" i="2" s="1"/>
  <c r="AA1118" i="2" a="1"/>
  <c r="AA1118" i="2" s="1"/>
  <c r="AA1119" i="2" a="1"/>
  <c r="AA1119" i="2" s="1"/>
  <c r="AA1120" i="2" a="1"/>
  <c r="AA1120" i="2" s="1"/>
  <c r="AA1121" i="2" a="1"/>
  <c r="AA1121" i="2" s="1"/>
  <c r="AA1122" i="2" a="1"/>
  <c r="AA1122" i="2" s="1"/>
  <c r="AA1123" i="2" a="1"/>
  <c r="AA1123" i="2" s="1"/>
  <c r="AA1124" i="2" a="1"/>
  <c r="AA1124" i="2" s="1"/>
  <c r="AA1125" i="2" a="1"/>
  <c r="AA1125" i="2" s="1"/>
  <c r="AA1126" i="2" a="1"/>
  <c r="AA1126" i="2" s="1"/>
  <c r="AA1127" i="2" a="1"/>
  <c r="AA1127" i="2" s="1"/>
  <c r="AA1128" i="2" a="1"/>
  <c r="AA1128" i="2" s="1"/>
  <c r="AA1129" i="2" a="1"/>
  <c r="AA1129" i="2" s="1"/>
  <c r="AA1130" i="2" a="1"/>
  <c r="AA1130" i="2" s="1"/>
  <c r="AA1131" i="2" a="1"/>
  <c r="AA1131" i="2" s="1"/>
  <c r="AA1132" i="2" a="1"/>
  <c r="AA1132" i="2" s="1"/>
  <c r="AA1133" i="2" a="1"/>
  <c r="AA1133" i="2" s="1"/>
  <c r="AA1134" i="2" a="1"/>
  <c r="AA1134" i="2"/>
  <c r="AA1135" i="2" a="1"/>
  <c r="AA1135" i="2" s="1"/>
  <c r="AA1136" i="2" a="1"/>
  <c r="AA1136" i="2" s="1"/>
  <c r="AA1137" i="2" a="1"/>
  <c r="AA1137" i="2" s="1"/>
  <c r="AA1138" i="2" a="1"/>
  <c r="AA1138" i="2" s="1"/>
  <c r="AA1139" i="2" a="1"/>
  <c r="AA1139" i="2" s="1"/>
  <c r="AA1140" i="2" a="1"/>
  <c r="AA1140" i="2" s="1"/>
  <c r="AA1141" i="2" a="1"/>
  <c r="AA1141" i="2" s="1"/>
  <c r="AA1142" i="2" a="1"/>
  <c r="AA1142" i="2" s="1"/>
  <c r="AA1143" i="2" a="1"/>
  <c r="AA1143" i="2" s="1"/>
  <c r="AA1144" i="2" a="1"/>
  <c r="AA1144" i="2" s="1"/>
  <c r="AA1145" i="2" a="1"/>
  <c r="AA1145" i="2" s="1"/>
  <c r="AA1146" i="2" a="1"/>
  <c r="AA1146" i="2" s="1"/>
  <c r="AA1147" i="2" a="1"/>
  <c r="AA1147" i="2" s="1"/>
  <c r="AA1148" i="2" a="1"/>
  <c r="AA1148" i="2" s="1"/>
  <c r="AA1149" i="2" a="1"/>
  <c r="AA1149" i="2" s="1"/>
  <c r="AA1150" i="2" a="1"/>
  <c r="AA1150" i="2" s="1"/>
  <c r="AA1151" i="2" a="1"/>
  <c r="AA1151" i="2" s="1"/>
  <c r="AA1152" i="2" a="1"/>
  <c r="AA1152" i="2" s="1"/>
  <c r="AA1153" i="2" a="1"/>
  <c r="AA1153" i="2" s="1"/>
  <c r="AA1154" i="2" a="1"/>
  <c r="AA1154" i="2" s="1"/>
  <c r="AA1155" i="2" a="1"/>
  <c r="AA1155" i="2" s="1"/>
  <c r="AA1156" i="2" a="1"/>
  <c r="AA1156" i="2" s="1"/>
  <c r="AA1157" i="2" a="1"/>
  <c r="AA1157" i="2" s="1"/>
  <c r="AA1158" i="2" a="1"/>
  <c r="AA1158" i="2" s="1"/>
  <c r="AA1159" i="2" a="1"/>
  <c r="AA1159" i="2" s="1"/>
  <c r="AA1160" i="2" a="1"/>
  <c r="AA1160" i="2" s="1"/>
  <c r="AA1161" i="2" a="1"/>
  <c r="AA1161" i="2" s="1"/>
  <c r="AA1162" i="2" a="1"/>
  <c r="AA1162" i="2" s="1"/>
  <c r="AA1163" i="2" a="1"/>
  <c r="AA1163" i="2" s="1"/>
  <c r="AA1164" i="2" a="1"/>
  <c r="AA1164" i="2" s="1"/>
  <c r="AA1165" i="2" a="1"/>
  <c r="AA1165" i="2"/>
  <c r="AA1166" i="2" a="1"/>
  <c r="AA1166" i="2" s="1"/>
  <c r="AA1167" i="2" a="1"/>
  <c r="AA1167" i="2" s="1"/>
  <c r="AA1168" i="2" a="1"/>
  <c r="AA1168" i="2" s="1"/>
  <c r="AA1169" i="2" a="1"/>
  <c r="AA1169" i="2" s="1"/>
  <c r="AA1170" i="2" a="1"/>
  <c r="AA1170" i="2" s="1"/>
  <c r="AA1171" i="2" a="1"/>
  <c r="AA1171" i="2" s="1"/>
  <c r="AA1172" i="2" a="1"/>
  <c r="AA1172" i="2" s="1"/>
  <c r="AA1173" i="2" a="1"/>
  <c r="AA1173" i="2" s="1"/>
  <c r="AA1174" i="2" a="1"/>
  <c r="AA1174" i="2" s="1"/>
  <c r="AA1175" i="2" a="1"/>
  <c r="AA1175" i="2" s="1"/>
  <c r="AA1176" i="2" a="1"/>
  <c r="AA1176" i="2" s="1"/>
  <c r="AA1177" i="2" a="1"/>
  <c r="AA1177" i="2" s="1"/>
  <c r="AA1178" i="2" a="1"/>
  <c r="AA1178" i="2" s="1"/>
  <c r="AA1179" i="2" a="1"/>
  <c r="AA1179" i="2" s="1"/>
  <c r="AA1180" i="2" a="1"/>
  <c r="AA1180" i="2" s="1"/>
  <c r="AA1181" i="2" a="1"/>
  <c r="AA1181" i="2"/>
  <c r="AA1182" i="2" a="1"/>
  <c r="AA1182" i="2" s="1"/>
  <c r="AA1183" i="2" a="1"/>
  <c r="AA1183" i="2" s="1"/>
  <c r="AA1184" i="2" a="1"/>
  <c r="AA1184" i="2" s="1"/>
  <c r="AA1185" i="2" a="1"/>
  <c r="AA1185" i="2" s="1"/>
  <c r="AA1186" i="2" a="1"/>
  <c r="AA1186" i="2" s="1"/>
  <c r="AA1187" i="2" a="1"/>
  <c r="AA1187" i="2"/>
  <c r="AA1188" i="2" a="1"/>
  <c r="AA1188" i="2" s="1"/>
  <c r="AA1189" i="2" a="1"/>
  <c r="AA1189" i="2" s="1"/>
  <c r="AA1190" i="2" a="1"/>
  <c r="AA1190" i="2" s="1"/>
  <c r="AA1191" i="2" a="1"/>
  <c r="AA1191" i="2" s="1"/>
  <c r="AA1192" i="2" a="1"/>
  <c r="AA1192" i="2" s="1"/>
  <c r="AA1193" i="2" a="1"/>
  <c r="AA1193" i="2" s="1"/>
  <c r="AA1194" i="2" a="1"/>
  <c r="AA1194" i="2" s="1"/>
  <c r="AA1195" i="2" a="1"/>
  <c r="AA1195" i="2" s="1"/>
  <c r="AA1196" i="2" a="1"/>
  <c r="AA1196" i="2" s="1"/>
  <c r="AA1197" i="2" a="1"/>
  <c r="AA1197" i="2" s="1"/>
  <c r="AA1198" i="2" a="1"/>
  <c r="AA1198" i="2" s="1"/>
  <c r="AA1199" i="2" a="1"/>
  <c r="AA1199" i="2" s="1"/>
  <c r="AA1200" i="2" a="1"/>
  <c r="AA1200" i="2" s="1"/>
  <c r="AA1201" i="2" a="1"/>
  <c r="AA1201" i="2" s="1"/>
  <c r="AA1202" i="2" a="1"/>
  <c r="AA1202" i="2" s="1"/>
  <c r="AA1203" i="2" a="1"/>
  <c r="AA1203" i="2" s="1"/>
  <c r="AA1204" i="2" a="1"/>
  <c r="AA1204" i="2" s="1"/>
  <c r="AA1205" i="2" a="1"/>
  <c r="AA1205" i="2" s="1"/>
  <c r="AA1206" i="2" a="1"/>
  <c r="AA1206" i="2" s="1"/>
  <c r="AA1207" i="2" a="1"/>
  <c r="AA1207" i="2" s="1"/>
  <c r="AA1208" i="2" a="1"/>
  <c r="AA1208" i="2" s="1"/>
  <c r="AA1209" i="2" a="1"/>
  <c r="AA1209" i="2" s="1"/>
  <c r="AA1210" i="2" a="1"/>
  <c r="AA1210" i="2" s="1"/>
  <c r="AA1211" i="2" a="1"/>
  <c r="AA1211" i="2" s="1"/>
  <c r="AA1212" i="2" a="1"/>
  <c r="AA1212" i="2" s="1"/>
  <c r="AA1213" i="2" a="1"/>
  <c r="AA1213" i="2" s="1"/>
  <c r="AA1214" i="2" a="1"/>
  <c r="AA1214" i="2" s="1"/>
  <c r="AA1215" i="2" a="1"/>
  <c r="AA1215" i="2" s="1"/>
  <c r="AA1216" i="2" a="1"/>
  <c r="AA1216" i="2" s="1"/>
  <c r="AA1217" i="2" a="1"/>
  <c r="AA1217" i="2"/>
  <c r="AA1218" i="2" a="1"/>
  <c r="AA1218" i="2" s="1"/>
  <c r="AA1219" i="2" a="1"/>
  <c r="AA1219" i="2" s="1"/>
  <c r="AA1220" i="2" a="1"/>
  <c r="AA1220" i="2" s="1"/>
  <c r="AA1221" i="2" a="1"/>
  <c r="AA1221" i="2" s="1"/>
  <c r="AA1222" i="2" a="1"/>
  <c r="AA1222" i="2" s="1"/>
  <c r="AA1223" i="2" a="1"/>
  <c r="AA1223" i="2" s="1"/>
  <c r="AA1224" i="2" a="1"/>
  <c r="AA1224" i="2" s="1"/>
  <c r="AA1225" i="2" a="1"/>
  <c r="AA1225" i="2" s="1"/>
  <c r="AA1226" i="2" a="1"/>
  <c r="AA1226" i="2" s="1"/>
  <c r="AA1227" i="2" a="1"/>
  <c r="AA1227" i="2" s="1"/>
  <c r="AA1228" i="2" a="1"/>
  <c r="AA1228" i="2" s="1"/>
  <c r="AA1229" i="2" a="1"/>
  <c r="AA1229" i="2" s="1"/>
  <c r="AA1230" i="2" a="1"/>
  <c r="AA1230" i="2" s="1"/>
  <c r="AA1231" i="2" a="1"/>
  <c r="AA1231" i="2" s="1"/>
  <c r="AA1232" i="2" a="1"/>
  <c r="AA1232" i="2" s="1"/>
  <c r="AA1233" i="2" a="1"/>
  <c r="AA1233" i="2" s="1"/>
  <c r="AA1234" i="2" a="1"/>
  <c r="AA1234" i="2" s="1"/>
  <c r="AA1235" i="2" a="1"/>
  <c r="AA1235" i="2" s="1"/>
  <c r="AA1236" i="2" a="1"/>
  <c r="AA1236" i="2" s="1"/>
  <c r="AA1237" i="2" a="1"/>
  <c r="AA1237" i="2" s="1"/>
  <c r="AA1238" i="2" a="1"/>
  <c r="AA1238" i="2" s="1"/>
  <c r="AA1239" i="2" a="1"/>
  <c r="AA1239" i="2" s="1"/>
  <c r="AA1240" i="2" a="1"/>
  <c r="AA1240" i="2" s="1"/>
  <c r="AA1241" i="2" a="1"/>
  <c r="AA1241" i="2" s="1"/>
  <c r="AA1242" i="2" a="1"/>
  <c r="AA1242" i="2"/>
  <c r="AA1243" i="2" a="1"/>
  <c r="AA1243" i="2" s="1"/>
  <c r="AA1244" i="2" a="1"/>
  <c r="AA1244" i="2" s="1"/>
  <c r="AA1245" i="2" a="1"/>
  <c r="AA1245" i="2" s="1"/>
  <c r="AA1246" i="2" a="1"/>
  <c r="AA1246" i="2" s="1"/>
  <c r="AA1247" i="2" a="1"/>
  <c r="AA1247" i="2" s="1"/>
  <c r="AA1248" i="2" a="1"/>
  <c r="AA1248" i="2" s="1"/>
  <c r="AA1249" i="2" a="1"/>
  <c r="AA1249" i="2" s="1"/>
  <c r="AA1250" i="2" a="1"/>
  <c r="AA1250" i="2" s="1"/>
  <c r="AA1251" i="2" a="1"/>
  <c r="AA1251" i="2" s="1"/>
  <c r="AA1252" i="2" a="1"/>
  <c r="AA1252" i="2" s="1"/>
  <c r="AA1253" i="2" a="1"/>
  <c r="AA1253" i="2" s="1"/>
  <c r="AA1254" i="2" a="1"/>
  <c r="AA1254" i="2" s="1"/>
  <c r="AA1255" i="2" a="1"/>
  <c r="AA1255" i="2" s="1"/>
  <c r="AA1256" i="2" a="1"/>
  <c r="AA1256" i="2" s="1"/>
  <c r="AA1257" i="2" a="1"/>
  <c r="AA1257" i="2" s="1"/>
  <c r="AA1258" i="2" a="1"/>
  <c r="AA1258" i="2" s="1"/>
  <c r="AA1259" i="2" a="1"/>
  <c r="AA1259" i="2" s="1"/>
  <c r="AA1260" i="2" a="1"/>
  <c r="AA1260" i="2" s="1"/>
  <c r="AA1261" i="2" a="1"/>
  <c r="AA1261" i="2" s="1"/>
  <c r="AA1262" i="2" a="1"/>
  <c r="AA1262" i="2" s="1"/>
  <c r="AA1263" i="2" a="1"/>
  <c r="AA1263" i="2" s="1"/>
  <c r="AA1264" i="2" a="1"/>
  <c r="AA1264" i="2" s="1"/>
  <c r="AA1265" i="2" a="1"/>
  <c r="AA1265" i="2"/>
  <c r="AA1266" i="2" a="1"/>
  <c r="AA1266" i="2" s="1"/>
  <c r="AA1267" i="2" a="1"/>
  <c r="AA1267" i="2" s="1"/>
  <c r="AA1268" i="2" a="1"/>
  <c r="AA1268" i="2" s="1"/>
  <c r="AA1269" i="2" a="1"/>
  <c r="AA1269" i="2" s="1"/>
  <c r="AA1270" i="2" a="1"/>
  <c r="AA1270" i="2" s="1"/>
  <c r="AA1271" i="2" a="1"/>
  <c r="AA1271" i="2" s="1"/>
  <c r="AA1272" i="2" a="1"/>
  <c r="AA1272" i="2" s="1"/>
  <c r="AA1273" i="2" a="1"/>
  <c r="AA1273" i="2" s="1"/>
  <c r="AA1274" i="2" a="1"/>
  <c r="AA1274" i="2" s="1"/>
  <c r="AA1275" i="2" a="1"/>
  <c r="AA1275" i="2" s="1"/>
  <c r="AA1276" i="2" a="1"/>
  <c r="AA1276" i="2" s="1"/>
  <c r="AA1277" i="2" a="1"/>
  <c r="AA1277" i="2" s="1"/>
  <c r="AA1278" i="2" a="1"/>
  <c r="AA1278" i="2" s="1"/>
  <c r="AA1279" i="2" a="1"/>
  <c r="AA1279" i="2" s="1"/>
  <c r="AA1280" i="2" a="1"/>
  <c r="AA1280" i="2" s="1"/>
  <c r="AA1281" i="2" a="1"/>
  <c r="AA1281" i="2" s="1"/>
  <c r="AA1282" i="2" a="1"/>
  <c r="AA1282" i="2" s="1"/>
  <c r="AA1283" i="2" a="1"/>
  <c r="AA1283" i="2" s="1"/>
  <c r="AA1284" i="2" a="1"/>
  <c r="AA1284" i="2" s="1"/>
  <c r="AA1285" i="2" a="1"/>
  <c r="AA1285" i="2" s="1"/>
  <c r="AA1286" i="2" a="1"/>
  <c r="AA1286" i="2" s="1"/>
  <c r="AA1287" i="2" a="1"/>
  <c r="AA1287" i="2" s="1"/>
  <c r="AA1288" i="2" a="1"/>
  <c r="AA1288" i="2" s="1"/>
  <c r="AA1289" i="2" a="1"/>
  <c r="AA1289" i="2" s="1"/>
  <c r="AA1290" i="2" a="1"/>
  <c r="AA1290" i="2" s="1"/>
  <c r="AA1291" i="2" a="1"/>
  <c r="AA1291" i="2" s="1"/>
  <c r="AA1292" i="2" a="1"/>
  <c r="AA1292" i="2" s="1"/>
  <c r="AA1293" i="2" a="1"/>
  <c r="AA1293" i="2" s="1"/>
  <c r="AA1294" i="2" a="1"/>
  <c r="AA1294" i="2" s="1"/>
  <c r="AA1295" i="2" a="1"/>
  <c r="AA1295" i="2" s="1"/>
  <c r="AA1296" i="2" a="1"/>
  <c r="AA1296" i="2" s="1"/>
  <c r="AA1297" i="2" a="1"/>
  <c r="AA1297" i="2" s="1"/>
  <c r="AA1298" i="2" a="1"/>
  <c r="AA1298" i="2" s="1"/>
  <c r="AA1299" i="2" a="1"/>
  <c r="AA1299" i="2" s="1"/>
  <c r="AA1300" i="2" a="1"/>
  <c r="AA1300" i="2" s="1"/>
  <c r="AA1301" i="2" a="1"/>
  <c r="AA1301" i="2" s="1"/>
  <c r="AA1302" i="2" a="1"/>
  <c r="AA1302" i="2" s="1"/>
  <c r="AA1303" i="2" a="1"/>
  <c r="AA1303" i="2" s="1"/>
  <c r="AA1304" i="2" a="1"/>
  <c r="AA1304" i="2" s="1"/>
  <c r="AA1305" i="2" a="1"/>
  <c r="AA1305" i="2" s="1"/>
  <c r="AA1306" i="2" a="1"/>
  <c r="AA1306" i="2" s="1"/>
  <c r="AA1307" i="2" a="1"/>
  <c r="AA1307" i="2" s="1"/>
  <c r="AA1308" i="2" a="1"/>
  <c r="AA1308" i="2"/>
  <c r="AA1309" i="2" a="1"/>
  <c r="AA1309" i="2" s="1"/>
  <c r="AA1310" i="2" a="1"/>
  <c r="AA1310" i="2" s="1"/>
  <c r="AA1311" i="2" a="1"/>
  <c r="AA1311" i="2" s="1"/>
  <c r="AA1312" i="2" a="1"/>
  <c r="AA1312" i="2" s="1"/>
  <c r="AA1313" i="2" a="1"/>
  <c r="AA1313" i="2" s="1"/>
  <c r="AA1314" i="2" a="1"/>
  <c r="AA1314" i="2" s="1"/>
  <c r="AA1315" i="2" a="1"/>
  <c r="AA1315" i="2" s="1"/>
  <c r="AA1316" i="2" a="1"/>
  <c r="AA1316" i="2" s="1"/>
  <c r="AA1317" i="2" a="1"/>
  <c r="AA1317" i="2" s="1"/>
  <c r="AA1318" i="2" a="1"/>
  <c r="AA1318" i="2" s="1"/>
  <c r="AA1319" i="2" a="1"/>
  <c r="AA1319" i="2" s="1"/>
  <c r="AA1320" i="2" a="1"/>
  <c r="AA1320" i="2" s="1"/>
  <c r="AA1321" i="2" a="1"/>
  <c r="AA1321" i="2" s="1"/>
  <c r="AA1322" i="2" a="1"/>
  <c r="AA1322" i="2" s="1"/>
  <c r="AA1323" i="2" a="1"/>
  <c r="AA1323" i="2" s="1"/>
  <c r="AA1324" i="2" a="1"/>
  <c r="AA1324" i="2" s="1"/>
  <c r="AA1325" i="2" a="1"/>
  <c r="AA1325" i="2" s="1"/>
  <c r="AA1326" i="2" a="1"/>
  <c r="AA1326" i="2" s="1"/>
  <c r="AA1327" i="2" a="1"/>
  <c r="AA1327" i="2" s="1"/>
  <c r="AA1328" i="2" a="1"/>
  <c r="AA1328" i="2" s="1"/>
  <c r="AA1329" i="2" a="1"/>
  <c r="AA1329" i="2" s="1"/>
  <c r="AA1330" i="2" a="1"/>
  <c r="AA1330" i="2" s="1"/>
  <c r="AA1331" i="2" a="1"/>
  <c r="AA1331" i="2" s="1"/>
  <c r="AA1332" i="2" a="1"/>
  <c r="AA1332" i="2" s="1"/>
  <c r="AA1333" i="2" a="1"/>
  <c r="AA1333" i="2" s="1"/>
  <c r="AA1334" i="2" a="1"/>
  <c r="AA1334" i="2" s="1"/>
  <c r="AA1335" i="2" a="1"/>
  <c r="AA1335" i="2" s="1"/>
  <c r="AA1336" i="2" a="1"/>
  <c r="AA1336" i="2" s="1"/>
  <c r="AA1337" i="2" a="1"/>
  <c r="AA1337" i="2" s="1"/>
  <c r="AA1338" i="2" a="1"/>
  <c r="AA1338" i="2" s="1"/>
  <c r="AA1339" i="2" a="1"/>
  <c r="AA1339" i="2" s="1"/>
  <c r="AA1340" i="2" a="1"/>
  <c r="AA1340" i="2" s="1"/>
  <c r="AA1341" i="2" a="1"/>
  <c r="AA1341" i="2" s="1"/>
  <c r="AA1342" i="2" a="1"/>
  <c r="AA1342" i="2" s="1"/>
  <c r="AA1343" i="2" a="1"/>
  <c r="AA1343" i="2" s="1"/>
  <c r="AA1344" i="2" a="1"/>
  <c r="AA1344" i="2" s="1"/>
  <c r="AA1345" i="2" a="1"/>
  <c r="AA1345" i="2" s="1"/>
  <c r="AA1346" i="2" a="1"/>
  <c r="AA1346" i="2" s="1"/>
  <c r="AA1347" i="2" a="1"/>
  <c r="AA1347" i="2" s="1"/>
  <c r="AA1348" i="2" a="1"/>
  <c r="AA1348" i="2" s="1"/>
  <c r="AA1349" i="2" a="1"/>
  <c r="AA1349" i="2" s="1"/>
  <c r="AA1350" i="2" a="1"/>
  <c r="AA1350" i="2" s="1"/>
  <c r="AA1351" i="2" a="1"/>
  <c r="AA1351" i="2" s="1"/>
  <c r="AA1352" i="2" a="1"/>
  <c r="AA1352" i="2" s="1"/>
  <c r="AA1353" i="2" a="1"/>
  <c r="AA1353" i="2" s="1"/>
  <c r="AA1354" i="2" a="1"/>
  <c r="AA1354" i="2" s="1"/>
  <c r="AA1355" i="2" a="1"/>
  <c r="AA1355" i="2" s="1"/>
  <c r="AA1356" i="2" a="1"/>
  <c r="AA1356" i="2" s="1"/>
  <c r="AA1357" i="2" a="1"/>
  <c r="AA1357" i="2" s="1"/>
  <c r="AA1358" i="2" a="1"/>
  <c r="AA1358" i="2" s="1"/>
  <c r="AA1359" i="2" a="1"/>
  <c r="AA1359" i="2" s="1"/>
  <c r="AA1360" i="2" a="1"/>
  <c r="AA1360" i="2" s="1"/>
  <c r="AA1361" i="2" a="1"/>
  <c r="AA1361" i="2" s="1"/>
  <c r="AA1362" i="2" a="1"/>
  <c r="AA1362" i="2" s="1"/>
  <c r="AA1363" i="2" a="1"/>
  <c r="AA1363" i="2" s="1"/>
  <c r="AA1364" i="2" a="1"/>
  <c r="AA1364" i="2" s="1"/>
  <c r="AA1365" i="2" a="1"/>
  <c r="AA1365" i="2"/>
  <c r="AA1366" i="2" a="1"/>
  <c r="AA1366" i="2" s="1"/>
  <c r="AA1367" i="2" a="1"/>
  <c r="AA1367" i="2" s="1"/>
  <c r="AA1368" i="2" a="1"/>
  <c r="AA1368" i="2" s="1"/>
  <c r="AA1369" i="2" a="1"/>
  <c r="AA1369" i="2" s="1"/>
  <c r="AA1370" i="2" a="1"/>
  <c r="AA1370" i="2" s="1"/>
  <c r="AA1371" i="2" a="1"/>
  <c r="AA1371" i="2" s="1"/>
  <c r="AA1372" i="2" a="1"/>
  <c r="AA1372" i="2" s="1"/>
  <c r="AA1373" i="2" a="1"/>
  <c r="AA1373" i="2" s="1"/>
  <c r="AA1374" i="2" a="1"/>
  <c r="AA1374" i="2" s="1"/>
  <c r="AA1375" i="2" a="1"/>
  <c r="AA1375" i="2" s="1"/>
  <c r="AA1376" i="2" a="1"/>
  <c r="AA1376" i="2" s="1"/>
  <c r="AA1377" i="2" a="1"/>
  <c r="AA1377" i="2" s="1"/>
  <c r="AA1378" i="2" a="1"/>
  <c r="AA1378" i="2" s="1"/>
  <c r="AA1379" i="2" a="1"/>
  <c r="AA1379" i="2"/>
  <c r="AA1380" i="2" a="1"/>
  <c r="AA1380" i="2" s="1"/>
  <c r="AA1381" i="2" a="1"/>
  <c r="AA1381" i="2" s="1"/>
  <c r="AA1382" i="2" a="1"/>
  <c r="AA1382" i="2" s="1"/>
  <c r="AA1383" i="2" a="1"/>
  <c r="AA1383" i="2" s="1"/>
  <c r="AA1384" i="2" a="1"/>
  <c r="AA1384" i="2" s="1"/>
  <c r="AA1385" i="2" a="1"/>
  <c r="AA1385" i="2" s="1"/>
  <c r="AA1386" i="2" a="1"/>
  <c r="AA1386" i="2" s="1"/>
  <c r="AA1387" i="2" a="1"/>
  <c r="AA1387" i="2" s="1"/>
  <c r="AA1388" i="2" a="1"/>
  <c r="AA1388" i="2" s="1"/>
  <c r="AA1389" i="2" a="1"/>
  <c r="AA1389" i="2" s="1"/>
  <c r="AA1390" i="2" a="1"/>
  <c r="AA1390" i="2" s="1"/>
  <c r="AA1391" i="2" a="1"/>
  <c r="AA1391" i="2" s="1"/>
  <c r="AA1392" i="2" a="1"/>
  <c r="AA1392" i="2" s="1"/>
  <c r="AA1393" i="2" a="1"/>
  <c r="AA1393" i="2" s="1"/>
  <c r="AA1394" i="2" a="1"/>
  <c r="AA1394" i="2" s="1"/>
  <c r="AA1395" i="2" a="1"/>
  <c r="AA1395" i="2" s="1"/>
  <c r="AA1396" i="2" a="1"/>
  <c r="AA1396" i="2" s="1"/>
  <c r="AA1397" i="2" a="1"/>
  <c r="AA1397" i="2" s="1"/>
  <c r="AA1398" i="2" a="1"/>
  <c r="AA1398" i="2" s="1"/>
  <c r="AA1399" i="2" a="1"/>
  <c r="AA1399" i="2"/>
  <c r="AA1400" i="2" a="1"/>
  <c r="AA1400" i="2"/>
  <c r="AA1401" i="2" a="1"/>
  <c r="AA1401" i="2"/>
  <c r="AA1402" i="2" a="1"/>
  <c r="AA1402" i="2"/>
  <c r="AA1403" i="2" a="1"/>
  <c r="AA1403" i="2" s="1"/>
  <c r="AA1404" i="2" a="1"/>
  <c r="AA1404" i="2" s="1"/>
  <c r="AA1405" i="2" a="1"/>
  <c r="AA1405" i="2"/>
  <c r="AA1406" i="2" a="1"/>
  <c r="AA1406" i="2" s="1"/>
  <c r="AA1407" i="2" a="1"/>
  <c r="AA1407" i="2" s="1"/>
  <c r="AA1408" i="2" a="1"/>
  <c r="AA1408" i="2" s="1"/>
  <c r="AA1409" i="2" a="1"/>
  <c r="AA1409" i="2" s="1"/>
  <c r="AA1410" i="2" a="1"/>
  <c r="AA1410" i="2" s="1"/>
  <c r="AA1411" i="2" a="1"/>
  <c r="AA1411" i="2" s="1"/>
  <c r="AA1412" i="2" a="1"/>
  <c r="AA1412" i="2" s="1"/>
  <c r="AA1413" i="2" a="1"/>
  <c r="AA1413" i="2" s="1"/>
  <c r="AA1414" i="2" a="1"/>
  <c r="AA1414" i="2" s="1"/>
  <c r="AA1415" i="2" a="1"/>
  <c r="AA1415" i="2" s="1"/>
  <c r="AA1416" i="2" a="1"/>
  <c r="AA1416" i="2" s="1"/>
  <c r="AA1417" i="2" a="1"/>
  <c r="AA1417" i="2" s="1"/>
  <c r="AA1418" i="2" a="1"/>
  <c r="AA1418" i="2"/>
  <c r="AA1419" i="2" a="1"/>
  <c r="AA1419" i="2" s="1"/>
  <c r="AA1420" i="2" a="1"/>
  <c r="AA1420" i="2" s="1"/>
  <c r="AA1421" i="2" a="1"/>
  <c r="AA1421" i="2" s="1"/>
  <c r="AA1422" i="2" a="1"/>
  <c r="AA1422" i="2" s="1"/>
  <c r="AA1423" i="2" a="1"/>
  <c r="AA1423" i="2" s="1"/>
  <c r="AA1424" i="2" a="1"/>
  <c r="AA1424" i="2" s="1"/>
  <c r="AA1425" i="2" a="1"/>
  <c r="AA1425" i="2" s="1"/>
  <c r="AA1426" i="2" a="1"/>
  <c r="AA1426" i="2" s="1"/>
  <c r="AA1427" i="2" a="1"/>
  <c r="AA1427" i="2" s="1"/>
  <c r="AA1428" i="2" a="1"/>
  <c r="AA1428" i="2" s="1"/>
  <c r="AA1429" i="2" a="1"/>
  <c r="AA1429" i="2" s="1"/>
  <c r="AA1430" i="2" a="1"/>
  <c r="AA1430" i="2" s="1"/>
  <c r="AA1431" i="2" a="1"/>
  <c r="AA1431" i="2" s="1"/>
  <c r="AA1432" i="2" a="1"/>
  <c r="AA1432" i="2" s="1"/>
  <c r="AA1433" i="2" a="1"/>
  <c r="AA1433" i="2" s="1"/>
  <c r="AA1434" i="2" a="1"/>
  <c r="AA1434" i="2" s="1"/>
  <c r="AA1435" i="2" a="1"/>
  <c r="AA1435" i="2"/>
  <c r="AA1436" i="2" a="1"/>
  <c r="AA1436" i="2"/>
  <c r="AA1437" i="2" a="1"/>
  <c r="AA1437" i="2"/>
  <c r="AA1438" i="2" a="1"/>
  <c r="AA1438" i="2"/>
  <c r="AA1439" i="2" a="1"/>
  <c r="AA1439" i="2" s="1"/>
  <c r="AA1440" i="2" a="1"/>
  <c r="AA1440" i="2" s="1"/>
  <c r="AA1441" i="2" a="1"/>
  <c r="AA1441" i="2"/>
  <c r="AA1442" i="2" a="1"/>
  <c r="AA1442" i="2"/>
  <c r="AA1443" i="2" a="1"/>
  <c r="AA1443" i="2" s="1"/>
  <c r="AA1444" i="2" a="1"/>
  <c r="AA1444" i="2" s="1"/>
  <c r="AA1445" i="2" a="1"/>
  <c r="AA1445" i="2"/>
  <c r="AA1446" i="2" a="1"/>
  <c r="AA1446" i="2"/>
  <c r="AA1447" i="2" a="1"/>
  <c r="AA1447" i="2"/>
  <c r="AA1448" i="2" a="1"/>
  <c r="AA1448" i="2"/>
  <c r="AA1449" i="2" a="1"/>
  <c r="AA1449" i="2" s="1"/>
  <c r="AA1450" i="2" a="1"/>
  <c r="AA1450" i="2" s="1"/>
  <c r="AA1451" i="2" a="1"/>
  <c r="AA1451" i="2" s="1"/>
  <c r="AA1452" i="2" a="1"/>
  <c r="AA1452" i="2" s="1"/>
  <c r="AA1453" i="2" a="1"/>
  <c r="AA1453" i="2" s="1"/>
  <c r="AA1454" i="2" a="1"/>
  <c r="AA1454" i="2" s="1"/>
  <c r="AA1455" i="2" a="1"/>
  <c r="AA1455" i="2" s="1"/>
  <c r="AA1456" i="2" a="1"/>
  <c r="AA1456" i="2" s="1"/>
  <c r="AA1457" i="2" a="1"/>
  <c r="AA1457" i="2" s="1"/>
  <c r="AA1458" i="2" a="1"/>
  <c r="AA1458" i="2" s="1"/>
  <c r="AA1459" i="2" a="1"/>
  <c r="AA1459" i="2" s="1"/>
  <c r="AA1460" i="2" a="1"/>
  <c r="AA1460" i="2" s="1"/>
  <c r="AA1461" i="2" a="1"/>
  <c r="AA1461" i="2" s="1"/>
  <c r="AA1462" i="2" a="1"/>
  <c r="AA1462" i="2" s="1"/>
  <c r="AA1463" i="2" a="1"/>
  <c r="AA1463" i="2" s="1"/>
  <c r="AA1464" i="2" a="1"/>
  <c r="AA1464" i="2" s="1"/>
  <c r="AA1465" i="2" a="1"/>
  <c r="AA1465" i="2" s="1"/>
  <c r="AA1466" i="2" a="1"/>
  <c r="AA1466" i="2" s="1"/>
  <c r="AA1467" i="2" a="1"/>
  <c r="AA1467" i="2" s="1"/>
  <c r="AA1468" i="2" a="1"/>
  <c r="AA1468" i="2" s="1"/>
  <c r="AA1469" i="2" a="1"/>
  <c r="AA1469" i="2" s="1"/>
  <c r="AA1470" i="2" a="1"/>
  <c r="AA1470" i="2" s="1"/>
  <c r="AA1471" i="2" a="1"/>
  <c r="AA1471" i="2" s="1"/>
  <c r="AA1472" i="2" a="1"/>
  <c r="AA1472" i="2" s="1"/>
  <c r="AA1473" i="2" a="1"/>
  <c r="AA1473" i="2" s="1"/>
  <c r="AA1474" i="2" a="1"/>
  <c r="AA1474" i="2" s="1"/>
  <c r="AA1475" i="2" a="1"/>
  <c r="AA1475" i="2" s="1"/>
  <c r="AA1476" i="2" a="1"/>
  <c r="AA1476" i="2" s="1"/>
  <c r="AA1477" i="2" a="1"/>
  <c r="AA1477" i="2" s="1"/>
  <c r="AA1478" i="2" a="1"/>
  <c r="AA1478" i="2" s="1"/>
  <c r="AA1479" i="2" a="1"/>
  <c r="AA1479" i="2" s="1"/>
  <c r="AA1480" i="2" a="1"/>
  <c r="AA1480" i="2" s="1"/>
  <c r="AA1481" i="2" a="1"/>
  <c r="AA1481" i="2" s="1"/>
  <c r="AA1482" i="2" a="1"/>
  <c r="AA1482" i="2" s="1"/>
  <c r="AA1483" i="2" a="1"/>
  <c r="AA1483" i="2" s="1"/>
  <c r="AA1484" i="2" a="1"/>
  <c r="AA1484" i="2" s="1"/>
  <c r="AA1485" i="2" a="1"/>
  <c r="AA1485" i="2" s="1"/>
  <c r="AA1486" i="2" a="1"/>
  <c r="AA1486" i="2" s="1"/>
  <c r="AA1487" i="2" a="1"/>
  <c r="AA1487" i="2" s="1"/>
  <c r="AA1488" i="2" a="1"/>
  <c r="AA1488" i="2" s="1"/>
  <c r="AA1489" i="2" a="1"/>
  <c r="AA1489" i="2" s="1"/>
  <c r="AA1490" i="2" a="1"/>
  <c r="AA1490" i="2" s="1"/>
  <c r="AA1491" i="2" a="1"/>
  <c r="AA1491" i="2" s="1"/>
  <c r="AA1492" i="2" a="1"/>
  <c r="AA1492" i="2" s="1"/>
  <c r="AA1493" i="2" a="1"/>
  <c r="AA1493" i="2" s="1"/>
  <c r="AA1494" i="2" a="1"/>
  <c r="AA1494" i="2" s="1"/>
  <c r="AA1495" i="2" a="1"/>
  <c r="AA1495" i="2" s="1"/>
  <c r="AA1496" i="2" a="1"/>
  <c r="AA1496" i="2" s="1"/>
  <c r="AA1497" i="2" a="1"/>
  <c r="AA1497" i="2" s="1"/>
  <c r="AA1498" i="2" a="1"/>
  <c r="AA1498" i="2" s="1"/>
  <c r="AA1499" i="2" a="1"/>
  <c r="AA1499" i="2"/>
  <c r="AA1500" i="2" a="1"/>
  <c r="AA1500" i="2"/>
  <c r="AA1501" i="2" a="1"/>
  <c r="AA1501" i="2"/>
  <c r="AA1502" i="2" a="1"/>
  <c r="AA1502" i="2"/>
  <c r="AA1503" i="2" a="1"/>
  <c r="AA1503" i="2"/>
  <c r="AA1504" i="2" a="1"/>
  <c r="AA1504" i="2"/>
  <c r="AA1505" i="2" a="1"/>
  <c r="AA1505" i="2"/>
  <c r="AA1506" i="2" a="1"/>
  <c r="AA1506" i="2"/>
  <c r="AA1507" i="2" a="1"/>
  <c r="AA1507" i="2"/>
  <c r="AA1508" i="2" a="1"/>
  <c r="AA1508" i="2"/>
  <c r="AA1509" i="2" a="1"/>
  <c r="AA1509" i="2"/>
  <c r="AA1510" i="2" a="1"/>
  <c r="AA1510" i="2"/>
  <c r="AA1511" i="2" a="1"/>
  <c r="AA1511" i="2"/>
  <c r="AA1512" i="2" a="1"/>
  <c r="AA1512" i="2"/>
  <c r="AA1513" i="2" a="1"/>
  <c r="AA1513" i="2"/>
  <c r="AA1514" i="2" a="1"/>
  <c r="AA1514" i="2"/>
  <c r="AA1515" i="2" a="1"/>
  <c r="AA1515" i="2"/>
  <c r="AA1516" i="2" a="1"/>
  <c r="AA1516" i="2"/>
  <c r="AA1517" i="2" a="1"/>
  <c r="AA1517" i="2"/>
  <c r="AA1518" i="2" a="1"/>
  <c r="AA1518" i="2"/>
  <c r="AA1519" i="2" a="1"/>
  <c r="AA1519" i="2"/>
  <c r="AA1520" i="2" a="1"/>
  <c r="AA1520" i="2"/>
  <c r="AA1521" i="2" a="1"/>
  <c r="AA1521" i="2"/>
  <c r="AA1522" i="2" a="1"/>
  <c r="AA1522" i="2"/>
  <c r="AA1523" i="2" a="1"/>
  <c r="AA1523" i="2"/>
  <c r="AA1524" i="2" a="1"/>
  <c r="AA1524" i="2"/>
  <c r="AA1525" i="2" a="1"/>
  <c r="AA1525" i="2"/>
  <c r="AA1526" i="2" a="1"/>
  <c r="AA1526" i="2"/>
  <c r="AA1527" i="2" a="1"/>
  <c r="AA1527" i="2"/>
  <c r="AA1528" i="2" a="1"/>
  <c r="AA1528" i="2"/>
  <c r="AA1529" i="2" a="1"/>
  <c r="AA1529" i="2"/>
  <c r="AA1530" i="2" a="1"/>
  <c r="AA1530" i="2"/>
  <c r="AA1531" i="2" a="1"/>
  <c r="AA1531" i="2"/>
  <c r="AA1532" i="2" a="1"/>
  <c r="AA1532" i="2"/>
  <c r="AA1533" i="2" a="1"/>
  <c r="AA1533" i="2"/>
  <c r="AA1534" i="2" a="1"/>
  <c r="AA1534" i="2"/>
  <c r="AA1535" i="2" a="1"/>
  <c r="AA1535" i="2"/>
  <c r="AA1536" i="2" a="1"/>
  <c r="AA1536" i="2"/>
  <c r="AA1537" i="2" a="1"/>
  <c r="AA1537" i="2"/>
  <c r="AA1538" i="2" a="1"/>
  <c r="AA1538" i="2"/>
  <c r="AA1539" i="2" a="1"/>
  <c r="AA1539" i="2"/>
  <c r="AA1540" i="2" a="1"/>
  <c r="AA1540" i="2"/>
  <c r="AA1541" i="2" a="1"/>
  <c r="AA1541" i="2"/>
  <c r="AA1542" i="2" a="1"/>
  <c r="AA1542" i="2"/>
  <c r="AA1543" i="2" a="1"/>
  <c r="AA1543" i="2"/>
  <c r="AA1544" i="2" a="1"/>
  <c r="AA1544" i="2"/>
  <c r="AA1545" i="2" a="1"/>
  <c r="AA1545" i="2"/>
  <c r="AA1546" i="2" a="1"/>
  <c r="AA1546" i="2"/>
  <c r="AA1547" i="2" a="1"/>
  <c r="AA1547" i="2"/>
  <c r="AA1548" i="2" a="1"/>
  <c r="AA1548" i="2"/>
  <c r="AA1549" i="2" a="1"/>
  <c r="AA1549" i="2"/>
  <c r="AA1550" i="2" a="1"/>
  <c r="AA1550" i="2"/>
  <c r="AA1551" i="2" a="1"/>
  <c r="AA1551" i="2"/>
  <c r="AA1552" i="2" a="1"/>
  <c r="AA1552" i="2"/>
  <c r="AA1553" i="2" a="1"/>
  <c r="AA1553" i="2"/>
  <c r="AA1554" i="2" a="1"/>
  <c r="AA1554" i="2"/>
  <c r="AA1555" i="2" a="1"/>
  <c r="AA1555" i="2"/>
  <c r="AA1556" i="2" a="1"/>
  <c r="AA1556" i="2"/>
  <c r="AA1557" i="2" a="1"/>
  <c r="AA1557" i="2"/>
  <c r="AA1558" i="2" a="1"/>
  <c r="AA1558" i="2"/>
  <c r="AA1559" i="2" a="1"/>
  <c r="AA1559" i="2"/>
  <c r="AA1560" i="2" a="1"/>
  <c r="AA1560" i="2"/>
  <c r="AA1561" i="2" a="1"/>
  <c r="AA1561" i="2"/>
  <c r="AA1562" i="2" a="1"/>
  <c r="AA1562" i="2"/>
  <c r="AA1563" i="2" a="1"/>
  <c r="AA1563" i="2"/>
  <c r="AA1564" i="2" a="1"/>
  <c r="AA1564" i="2"/>
  <c r="AA1565" i="2" a="1"/>
  <c r="AA1565" i="2"/>
  <c r="AA1566" i="2" a="1"/>
  <c r="AA1566" i="2"/>
  <c r="AA1567" i="2" a="1"/>
  <c r="AA1567" i="2"/>
  <c r="AA1568" i="2" a="1"/>
  <c r="AA1568" i="2"/>
  <c r="AA1569" i="2" a="1"/>
  <c r="AA1569" i="2"/>
  <c r="AA1570" i="2" a="1"/>
  <c r="AA1570" i="2"/>
  <c r="AA1571" i="2" a="1"/>
  <c r="AA1571" i="2"/>
  <c r="AA1572" i="2" a="1"/>
  <c r="AA1572" i="2"/>
  <c r="AA1573" i="2" a="1"/>
  <c r="AA1573" i="2"/>
  <c r="AA1574" i="2" a="1"/>
  <c r="AA1574" i="2"/>
  <c r="AA1575" i="2" a="1"/>
  <c r="AA1575" i="2"/>
  <c r="AA1576" i="2" a="1"/>
  <c r="AA1576" i="2"/>
  <c r="AA1577" i="2" a="1"/>
  <c r="AA1577" i="2"/>
  <c r="AA1578" i="2" a="1"/>
  <c r="AA1578" i="2"/>
  <c r="AA1579" i="2" a="1"/>
  <c r="AA1579" i="2"/>
  <c r="AA1580" i="2" a="1"/>
  <c r="AA1580" i="2"/>
  <c r="AA1581" i="2" a="1"/>
  <c r="AA1581" i="2"/>
  <c r="AA1582" i="2" a="1"/>
  <c r="AA1582" i="2"/>
  <c r="AA1583" i="2" a="1"/>
  <c r="AA1583" i="2"/>
  <c r="AA1584" i="2" a="1"/>
  <c r="AA1584" i="2"/>
  <c r="AA1585" i="2" a="1"/>
  <c r="AA1585" i="2"/>
  <c r="AA1586" i="2" a="1"/>
  <c r="AA1586" i="2"/>
  <c r="AA1587" i="2" a="1"/>
  <c r="AA1587" i="2"/>
  <c r="AA1588" i="2" a="1"/>
  <c r="AA1588" i="2"/>
  <c r="AA1589" i="2" a="1"/>
  <c r="AA1589" i="2"/>
  <c r="AA1590" i="2" a="1"/>
  <c r="AA1590" i="2"/>
  <c r="AA1591" i="2" a="1"/>
  <c r="AA1591" i="2"/>
  <c r="AA1592" i="2" a="1"/>
  <c r="AA1592" i="2"/>
  <c r="AA1593" i="2" a="1"/>
  <c r="AA1593" i="2"/>
  <c r="AA1594" i="2" a="1"/>
  <c r="AA1594" i="2"/>
  <c r="AA1595" i="2" a="1"/>
  <c r="AA1595" i="2"/>
  <c r="AA1596" i="2" a="1"/>
  <c r="AA1596" i="2"/>
  <c r="AA1597" i="2" a="1"/>
  <c r="AA1597" i="2"/>
  <c r="AA1598" i="2" a="1"/>
  <c r="AA1598" i="2"/>
  <c r="AA1599" i="2" a="1"/>
  <c r="AA1599" i="2"/>
  <c r="AA1600" i="2" a="1"/>
  <c r="AA1600" i="2"/>
  <c r="AA1601" i="2" a="1"/>
  <c r="AA1601" i="2"/>
  <c r="AA1602" i="2" a="1"/>
  <c r="AA1602" i="2"/>
  <c r="AA1603" i="2" a="1"/>
  <c r="AA1603" i="2"/>
  <c r="AA1604" i="2" a="1"/>
  <c r="AA1604" i="2"/>
  <c r="AA1605" i="2" a="1"/>
  <c r="AA1605" i="2"/>
  <c r="AA1606" i="2" a="1"/>
  <c r="AA1606" i="2"/>
  <c r="AA1607" i="2" a="1"/>
  <c r="AA1607" i="2"/>
  <c r="AA1608" i="2" a="1"/>
  <c r="AA1608" i="2"/>
  <c r="AA1609" i="2" a="1"/>
  <c r="AA1609" i="2"/>
  <c r="AA1610" i="2" a="1"/>
  <c r="AA1610" i="2"/>
  <c r="AA1611" i="2" a="1"/>
  <c r="AA1611" i="2"/>
  <c r="AA1612" i="2" a="1"/>
  <c r="AA1612" i="2"/>
  <c r="AA1613" i="2" a="1"/>
  <c r="AA1613" i="2"/>
  <c r="AA1614" i="2" a="1"/>
  <c r="AA1614" i="2"/>
  <c r="AA1615" i="2" a="1"/>
  <c r="AA1615" i="2"/>
  <c r="AA1616" i="2" a="1"/>
  <c r="AA1616" i="2"/>
  <c r="AA1617" i="2" a="1"/>
  <c r="AA1617" i="2"/>
  <c r="AA1618" i="2" a="1"/>
  <c r="AA1618" i="2"/>
  <c r="AA1619" i="2" a="1"/>
  <c r="AA1619" i="2"/>
  <c r="AA1620" i="2" a="1"/>
  <c r="AA1620" i="2"/>
  <c r="AA1621" i="2" a="1"/>
  <c r="AA1621" i="2"/>
  <c r="AA1622" i="2" a="1"/>
  <c r="AA1622" i="2"/>
  <c r="AA1623" i="2" a="1"/>
  <c r="AA1623" i="2"/>
  <c r="AA1624" i="2" a="1"/>
  <c r="AA1624" i="2"/>
  <c r="AA1625" i="2" a="1"/>
  <c r="AA1625" i="2"/>
  <c r="AA1626" i="2" a="1"/>
  <c r="AA1626" i="2"/>
  <c r="AA1627" i="2" a="1"/>
  <c r="AA1627" i="2"/>
  <c r="AA1628" i="2" a="1"/>
  <c r="AA1628" i="2"/>
  <c r="AA1629" i="2" a="1"/>
  <c r="AA1629" i="2"/>
  <c r="AA1630" i="2" a="1"/>
  <c r="AA1630" i="2"/>
  <c r="AA1631" i="2" a="1"/>
  <c r="AA1631" i="2"/>
  <c r="AA1632" i="2" a="1"/>
  <c r="AA1632" i="2"/>
  <c r="AA1633" i="2" a="1"/>
  <c r="AA1633" i="2"/>
  <c r="AA1634" i="2" a="1"/>
  <c r="AA1634" i="2"/>
  <c r="AA1635" i="2" a="1"/>
  <c r="AA1635" i="2"/>
  <c r="AA1636" i="2" a="1"/>
  <c r="AA1636" i="2"/>
  <c r="AA1637" i="2" a="1"/>
  <c r="AA1637" i="2"/>
  <c r="AA1638" i="2" a="1"/>
  <c r="AA1638" i="2"/>
  <c r="AA1639" i="2" a="1"/>
  <c r="AA1639" i="2"/>
  <c r="AA1640" i="2" a="1"/>
  <c r="AA1640" i="2"/>
  <c r="AA1641" i="2" a="1"/>
  <c r="AA1641" i="2"/>
  <c r="AA1642" i="2" a="1"/>
  <c r="AA1642" i="2"/>
  <c r="AA1643" i="2" a="1"/>
  <c r="AA1643" i="2"/>
  <c r="AA1644" i="2" a="1"/>
  <c r="AA1644" i="2"/>
  <c r="AA1645" i="2" a="1"/>
  <c r="AA1645" i="2"/>
  <c r="AA1646" i="2" a="1"/>
  <c r="AA1646" i="2"/>
  <c r="AA1647" i="2" a="1"/>
  <c r="AA1647" i="2"/>
  <c r="AA1648" i="2" a="1"/>
  <c r="AA1648" i="2"/>
  <c r="AA1649" i="2" a="1"/>
  <c r="AA1649" i="2"/>
  <c r="AA1650" i="2" a="1"/>
  <c r="AA1650" i="2"/>
  <c r="AA1651" i="2" a="1"/>
  <c r="AA1651" i="2"/>
  <c r="AA1652" i="2" a="1"/>
  <c r="AA1652" i="2"/>
  <c r="AA1653" i="2" a="1"/>
  <c r="AA1653" i="2"/>
  <c r="AA1654" i="2" a="1"/>
  <c r="AA1654" i="2"/>
  <c r="AA1655" i="2" a="1"/>
  <c r="AA1655" i="2"/>
  <c r="AA1656" i="2" a="1"/>
  <c r="AA1656" i="2"/>
  <c r="AA1657" i="2" a="1"/>
  <c r="AA1657" i="2"/>
  <c r="AA1658" i="2" a="1"/>
  <c r="AA1658" i="2"/>
  <c r="AA1659" i="2" a="1"/>
  <c r="AA1659" i="2"/>
  <c r="AA1660" i="2" a="1"/>
  <c r="AA1660" i="2"/>
  <c r="AA1661" i="2" a="1"/>
  <c r="AA1661" i="2"/>
  <c r="AA1662" i="2" a="1"/>
  <c r="AA1662" i="2"/>
  <c r="AA1663" i="2" a="1"/>
  <c r="AA1663" i="2"/>
  <c r="AA1664" i="2" a="1"/>
  <c r="AA1664" i="2"/>
  <c r="AA1665" i="2" a="1"/>
  <c r="AA1665" i="2"/>
  <c r="AA1666" i="2" a="1"/>
  <c r="AA1666" i="2"/>
  <c r="AA1667" i="2" a="1"/>
  <c r="AA1667" i="2"/>
  <c r="AA1668" i="2" a="1"/>
  <c r="AA1668" i="2"/>
  <c r="AA1669" i="2" a="1"/>
  <c r="AA1669" i="2"/>
  <c r="AA1670" i="2" a="1"/>
  <c r="AA1670" i="2"/>
  <c r="AA1671" i="2" a="1"/>
  <c r="AA1671" i="2"/>
  <c r="AA1672" i="2" a="1"/>
  <c r="AA1672" i="2"/>
  <c r="AA1673" i="2" a="1"/>
  <c r="AA1673" i="2"/>
  <c r="AA1674" i="2" a="1"/>
  <c r="AA1674" i="2"/>
  <c r="AA1675" i="2" a="1"/>
  <c r="AA1675" i="2"/>
  <c r="AA1676" i="2" a="1"/>
  <c r="AA1676" i="2"/>
  <c r="AA1677" i="2" a="1"/>
  <c r="AA1677" i="2"/>
  <c r="AA1678" i="2" a="1"/>
  <c r="AA1678" i="2"/>
  <c r="AA1679" i="2" a="1"/>
  <c r="AA1679" i="2"/>
  <c r="AA1680" i="2" a="1"/>
  <c r="AA1680" i="2"/>
  <c r="AA1681" i="2" a="1"/>
  <c r="AA1681" i="2"/>
  <c r="AA1682" i="2" a="1"/>
  <c r="AA1682" i="2"/>
  <c r="AA1683" i="2" a="1"/>
  <c r="AA1683" i="2"/>
  <c r="AA1684" i="2" a="1"/>
  <c r="AA1684" i="2"/>
  <c r="AA1685" i="2" a="1"/>
  <c r="AA1685" i="2"/>
  <c r="AA1686" i="2" a="1"/>
  <c r="AA1686" i="2"/>
  <c r="AA1687" i="2" a="1"/>
  <c r="AA1687" i="2"/>
  <c r="AA1688" i="2" a="1"/>
  <c r="AA1688" i="2"/>
  <c r="AA1689" i="2" a="1"/>
  <c r="AA1689" i="2"/>
  <c r="AA1690" i="2" a="1"/>
  <c r="AA1690" i="2"/>
  <c r="AA1691" i="2" a="1"/>
  <c r="AA1691" i="2"/>
  <c r="AA1692" i="2" a="1"/>
  <c r="AA1692" i="2"/>
  <c r="AA1693" i="2" a="1"/>
  <c r="AA1693" i="2"/>
  <c r="AA1694" i="2" a="1"/>
  <c r="AA1694" i="2"/>
  <c r="AA1695" i="2" a="1"/>
  <c r="AA1695" i="2"/>
  <c r="AA1696" i="2" a="1"/>
  <c r="AA1696" i="2"/>
  <c r="AA1697" i="2" a="1"/>
  <c r="AA1697" i="2"/>
  <c r="AA1698" i="2" a="1"/>
  <c r="AA1698" i="2"/>
  <c r="AA1699" i="2" a="1"/>
  <c r="AA1699" i="2"/>
  <c r="AA1700" i="2" a="1"/>
  <c r="AA1700" i="2"/>
  <c r="AA1701" i="2" a="1"/>
  <c r="AA1701" i="2"/>
  <c r="AA1702" i="2" a="1"/>
  <c r="AA1702" i="2"/>
  <c r="AA1703" i="2" a="1"/>
  <c r="AA1703" i="2"/>
  <c r="AA1704" i="2" a="1"/>
  <c r="AA1704" i="2"/>
  <c r="AA1705" i="2" a="1"/>
  <c r="AA1705" i="2"/>
  <c r="AA1706" i="2" a="1"/>
  <c r="AA1706" i="2"/>
  <c r="AA1707" i="2" a="1"/>
  <c r="AA1707" i="2"/>
  <c r="AA1708" i="2" a="1"/>
  <c r="AA1708" i="2"/>
  <c r="AA1709" i="2" a="1"/>
  <c r="AA1709" i="2"/>
  <c r="AA1710" i="2" a="1"/>
  <c r="AA1710" i="2"/>
  <c r="AA1711" i="2" a="1"/>
  <c r="AA1711" i="2"/>
  <c r="AA1712" i="2" a="1"/>
  <c r="AA1712" i="2"/>
  <c r="AA1713" i="2" a="1"/>
  <c r="AA1713" i="2"/>
  <c r="AA1714" i="2" a="1"/>
  <c r="AA1714" i="2"/>
  <c r="AA1715" i="2" a="1"/>
  <c r="AA1715" i="2"/>
  <c r="AA1716" i="2" a="1"/>
  <c r="AA1716" i="2"/>
  <c r="AA1717" i="2" a="1"/>
  <c r="AA1717" i="2"/>
  <c r="AA1718" i="2" a="1"/>
  <c r="AA1718" i="2"/>
  <c r="AA1719" i="2" a="1"/>
  <c r="AA1719" i="2"/>
  <c r="AA1720" i="2" a="1"/>
  <c r="AA1720" i="2"/>
  <c r="AA1721" i="2" a="1"/>
  <c r="AA1721" i="2"/>
  <c r="AA1722" i="2" a="1"/>
  <c r="AA1722" i="2"/>
  <c r="AA1723" i="2" a="1"/>
  <c r="AA1723" i="2"/>
  <c r="AA1724" i="2" a="1"/>
  <c r="AA1724" i="2"/>
  <c r="AA1725" i="2" a="1"/>
  <c r="AA1725" i="2"/>
  <c r="AA1726" i="2" a="1"/>
  <c r="AA1726" i="2"/>
  <c r="AA1727" i="2" a="1"/>
  <c r="AA1727" i="2"/>
  <c r="AA1728" i="2" a="1"/>
  <c r="AA1728" i="2"/>
  <c r="AA1729" i="2" a="1"/>
  <c r="AA1729" i="2"/>
  <c r="AA1730" i="2" a="1"/>
  <c r="AA1730" i="2"/>
  <c r="AA1731" i="2" a="1"/>
  <c r="AA1731" i="2"/>
  <c r="AA1732" i="2" a="1"/>
  <c r="AA1732" i="2"/>
  <c r="AA1733" i="2" a="1"/>
  <c r="AA1733" i="2"/>
  <c r="AA1734" i="2" a="1"/>
  <c r="AA1734" i="2"/>
  <c r="AA1735" i="2" a="1"/>
  <c r="AA1735" i="2"/>
  <c r="AA1736" i="2" a="1"/>
  <c r="AA1736" i="2"/>
  <c r="AA1737" i="2" a="1"/>
  <c r="AA1737" i="2"/>
  <c r="AA1738" i="2" a="1"/>
  <c r="AA1738" i="2"/>
  <c r="AA1739" i="2" a="1"/>
  <c r="AA1739" i="2"/>
  <c r="AA1740" i="2" a="1"/>
  <c r="AA1740" i="2"/>
  <c r="AA1741" i="2" a="1"/>
  <c r="AA1741" i="2"/>
  <c r="AA1742" i="2" a="1"/>
  <c r="AA1742" i="2"/>
  <c r="AA1743" i="2" a="1"/>
  <c r="AA1743" i="2"/>
  <c r="AA1744" i="2" a="1"/>
  <c r="AA1744" i="2"/>
  <c r="AA1745" i="2" a="1"/>
  <c r="AA1745" i="2"/>
  <c r="AA1746" i="2" a="1"/>
  <c r="AA1746" i="2"/>
  <c r="AA1747" i="2" a="1"/>
  <c r="AA1747" i="2"/>
  <c r="AA1748" i="2" a="1"/>
  <c r="AA1748" i="2"/>
  <c r="AA1749" i="2" a="1"/>
  <c r="AA1749" i="2"/>
  <c r="AA1750" i="2" a="1"/>
  <c r="AA1750" i="2"/>
  <c r="AA1751" i="2" a="1"/>
  <c r="AA1751" i="2"/>
  <c r="AA1752" i="2" a="1"/>
  <c r="AA1752" i="2"/>
  <c r="AA1753" i="2" a="1"/>
  <c r="AA1753" i="2"/>
  <c r="AA1754" i="2" a="1"/>
  <c r="AA1754" i="2"/>
  <c r="AA1755" i="2" a="1"/>
  <c r="AA1755" i="2"/>
  <c r="AA1756" i="2" a="1"/>
  <c r="AA1756" i="2"/>
  <c r="AA1757" i="2" a="1"/>
  <c r="AA1757" i="2"/>
  <c r="AA1758" i="2" a="1"/>
  <c r="AA1758" i="2"/>
  <c r="AA1759" i="2" a="1"/>
  <c r="AA1759" i="2"/>
  <c r="AA1760" i="2" a="1"/>
  <c r="AA1760" i="2"/>
  <c r="AA1761" i="2" a="1"/>
  <c r="AA1761" i="2"/>
  <c r="AA1762" i="2" a="1"/>
  <c r="AA1762" i="2"/>
  <c r="AA1763" i="2" a="1"/>
  <c r="AA1763" i="2"/>
  <c r="AA1764" i="2" a="1"/>
  <c r="AA1764" i="2"/>
  <c r="AA1765" i="2" a="1"/>
  <c r="AA1765" i="2"/>
  <c r="AA1766" i="2" a="1"/>
  <c r="AA1766" i="2"/>
  <c r="AA1767" i="2" a="1"/>
  <c r="AA1767" i="2"/>
  <c r="AA1768" i="2" a="1"/>
  <c r="AA1768" i="2"/>
  <c r="AA1769" i="2" a="1"/>
  <c r="AA1769" i="2"/>
  <c r="AA1770" i="2" a="1"/>
  <c r="AA1770" i="2"/>
  <c r="AA1771" i="2" a="1"/>
  <c r="AA1771" i="2"/>
  <c r="AA1772" i="2" a="1"/>
  <c r="AA1772" i="2"/>
  <c r="AA1773" i="2" a="1"/>
  <c r="AA1773" i="2"/>
  <c r="AA1774" i="2" a="1"/>
  <c r="AA1774" i="2"/>
  <c r="AA1775" i="2" a="1"/>
  <c r="AA1775" i="2"/>
  <c r="AA1776" i="2" a="1"/>
  <c r="AA1776" i="2"/>
  <c r="AA1777" i="2" a="1"/>
  <c r="AA1777" i="2"/>
  <c r="AA1778" i="2" a="1"/>
  <c r="AA1778" i="2"/>
  <c r="AA1779" i="2" a="1"/>
  <c r="AA1779" i="2"/>
  <c r="AA1780" i="2" a="1"/>
  <c r="AA1780" i="2"/>
  <c r="AA1781" i="2" a="1"/>
  <c r="AA1781" i="2"/>
  <c r="AA1782" i="2" a="1"/>
  <c r="AA1782" i="2"/>
  <c r="AA1783" i="2" a="1"/>
  <c r="AA1783" i="2"/>
  <c r="AA1784" i="2" a="1"/>
  <c r="AA1784" i="2"/>
  <c r="AA1785" i="2" a="1"/>
  <c r="AA1785" i="2"/>
  <c r="AA1786" i="2" a="1"/>
  <c r="AA1786" i="2"/>
  <c r="AA1787" i="2" a="1"/>
  <c r="AA1787" i="2"/>
  <c r="AA1788" i="2" a="1"/>
  <c r="AA1788" i="2"/>
  <c r="AA1789" i="2" a="1"/>
  <c r="AA1789" i="2"/>
  <c r="AA1790" i="2" a="1"/>
  <c r="AA1790" i="2"/>
  <c r="AA1791" i="2" a="1"/>
  <c r="AA1791" i="2"/>
  <c r="AA1792" i="2" a="1"/>
  <c r="AA1792" i="2"/>
  <c r="AA1793" i="2" a="1"/>
  <c r="AA1793" i="2"/>
  <c r="AA1794" i="2" a="1"/>
  <c r="AA1794" i="2"/>
  <c r="AA1795" i="2" a="1"/>
  <c r="AA1795" i="2"/>
  <c r="AA1796" i="2" a="1"/>
  <c r="AA1796" i="2"/>
  <c r="AA1797" i="2" a="1"/>
  <c r="AA1797" i="2"/>
  <c r="AA1798" i="2" a="1"/>
  <c r="AA1798" i="2"/>
  <c r="AA1799" i="2" a="1"/>
  <c r="AA1799" i="2"/>
  <c r="AA1800" i="2" a="1"/>
  <c r="AA1800" i="2"/>
  <c r="AA1801" i="2" a="1"/>
  <c r="AA1801" i="2"/>
  <c r="AA1802" i="2" a="1"/>
  <c r="AA1802" i="2"/>
  <c r="AA1803" i="2" a="1"/>
  <c r="AA1803" i="2"/>
  <c r="AA1804" i="2" a="1"/>
  <c r="AA1804" i="2"/>
  <c r="AA1805" i="2" a="1"/>
  <c r="AA1805" i="2"/>
  <c r="AA1806" i="2" a="1"/>
  <c r="AA1806" i="2"/>
  <c r="AA1807" i="2" a="1"/>
  <c r="AA1807" i="2"/>
  <c r="AA1808" i="2" a="1"/>
  <c r="AA1808" i="2"/>
  <c r="AA1809" i="2" a="1"/>
  <c r="AA1809" i="2"/>
  <c r="AA1810" i="2" a="1"/>
  <c r="AA1810" i="2"/>
  <c r="AA1811" i="2" a="1"/>
  <c r="AA1811" i="2"/>
  <c r="AA1812" i="2" a="1"/>
  <c r="AA1812" i="2"/>
  <c r="AA1813" i="2" a="1"/>
  <c r="AA1813" i="2"/>
  <c r="AA1814" i="2" a="1"/>
  <c r="AA1814" i="2"/>
  <c r="AA1815" i="2" a="1"/>
  <c r="AA1815" i="2"/>
  <c r="AA1816" i="2" a="1"/>
  <c r="AA1816" i="2"/>
  <c r="AA1817" i="2" a="1"/>
  <c r="AA1817" i="2"/>
  <c r="AA1818" i="2" a="1"/>
  <c r="AA1818" i="2"/>
  <c r="AA1819" i="2" a="1"/>
  <c r="AA1819" i="2"/>
  <c r="AA1820" i="2" a="1"/>
  <c r="AA1820" i="2"/>
  <c r="AA1821" i="2" a="1"/>
  <c r="AA1821" i="2"/>
  <c r="AA1822" i="2" a="1"/>
  <c r="AA1822" i="2"/>
  <c r="AA1823" i="2" a="1"/>
  <c r="AA1823" i="2"/>
  <c r="AA1824" i="2" a="1"/>
  <c r="AA1824" i="2"/>
  <c r="AA1825" i="2" a="1"/>
  <c r="AA1825" i="2"/>
  <c r="AA1826" i="2" a="1"/>
  <c r="AA1826" i="2"/>
  <c r="AA1827" i="2" a="1"/>
  <c r="AA1827" i="2"/>
  <c r="AA1828" i="2" a="1"/>
  <c r="AA1828" i="2"/>
  <c r="AA1829" i="2" a="1"/>
  <c r="AA1829" i="2"/>
  <c r="AA1830" i="2" a="1"/>
  <c r="AA1830" i="2"/>
  <c r="AA1831" i="2" a="1"/>
  <c r="AA1831" i="2"/>
  <c r="AA1832" i="2" a="1"/>
  <c r="AA1832" i="2"/>
  <c r="AA1833" i="2" a="1"/>
  <c r="AA1833" i="2"/>
  <c r="AA1834" i="2" a="1"/>
  <c r="AA1834" i="2"/>
  <c r="AA1835" i="2" a="1"/>
  <c r="AA1835" i="2"/>
  <c r="AA1836" i="2" a="1"/>
  <c r="AA1836" i="2"/>
  <c r="AA1837" i="2" a="1"/>
  <c r="AA1837" i="2"/>
  <c r="AA1838" i="2" a="1"/>
  <c r="AA1838" i="2"/>
  <c r="AA1839" i="2" a="1"/>
  <c r="AA1839" i="2"/>
  <c r="AA1840" i="2" a="1"/>
  <c r="AA1840" i="2"/>
  <c r="AA1841" i="2" a="1"/>
  <c r="AA1841" i="2"/>
  <c r="AA1842" i="2" a="1"/>
  <c r="AA1842" i="2"/>
  <c r="AA1843" i="2" a="1"/>
  <c r="AA1843" i="2"/>
  <c r="AA1844" i="2" a="1"/>
  <c r="AA1844" i="2"/>
  <c r="AA1845" i="2" a="1"/>
  <c r="AA1845" i="2"/>
  <c r="AA1846" i="2" a="1"/>
  <c r="AA1846" i="2"/>
  <c r="AA1847" i="2" a="1"/>
  <c r="AA1847" i="2"/>
  <c r="AA1848" i="2" a="1"/>
  <c r="AA1848" i="2"/>
  <c r="AA1849" i="2" a="1"/>
  <c r="AA1849" i="2"/>
  <c r="AA1850" i="2" a="1"/>
  <c r="AA1850" i="2"/>
  <c r="AA1851" i="2" a="1"/>
  <c r="AA1851" i="2"/>
  <c r="AA1852" i="2" a="1"/>
  <c r="AA1852" i="2"/>
  <c r="AA1853" i="2" a="1"/>
  <c r="AA1853" i="2"/>
  <c r="AA1854" i="2" a="1"/>
  <c r="AA1854" i="2"/>
  <c r="AA1855" i="2" a="1"/>
  <c r="AA1855" i="2"/>
  <c r="AA1856" i="2" a="1"/>
  <c r="AA1856" i="2"/>
  <c r="AA1857" i="2" a="1"/>
  <c r="AA1857" i="2"/>
  <c r="AA1858" i="2" a="1"/>
  <c r="AA1858" i="2"/>
  <c r="AA1859" i="2" a="1"/>
  <c r="AA1859" i="2"/>
  <c r="AA1860" i="2" a="1"/>
  <c r="AA1860" i="2"/>
  <c r="AA1861" i="2" a="1"/>
  <c r="AA1861" i="2"/>
  <c r="AA1862" i="2" a="1"/>
  <c r="AA1862" i="2"/>
  <c r="AA1863" i="2" a="1"/>
  <c r="AA1863" i="2"/>
  <c r="AA1864" i="2" a="1"/>
  <c r="AA1864" i="2"/>
  <c r="AA1865" i="2" a="1"/>
  <c r="AA1865" i="2"/>
  <c r="AA1866" i="2" a="1"/>
  <c r="AA1866" i="2"/>
  <c r="AA1867" i="2" a="1"/>
  <c r="AA1867" i="2"/>
  <c r="AA1868" i="2" a="1"/>
  <c r="AA1868" i="2"/>
  <c r="AA1869" i="2" a="1"/>
  <c r="AA1869" i="2"/>
  <c r="AA1870" i="2" a="1"/>
  <c r="AA1870" i="2"/>
  <c r="AA1871" i="2" a="1"/>
  <c r="AA1871" i="2"/>
  <c r="AA1872" i="2" a="1"/>
  <c r="AA1872" i="2"/>
  <c r="AA1873" i="2" a="1"/>
  <c r="AA1873" i="2"/>
  <c r="AA1874" i="2" a="1"/>
  <c r="AA1874" i="2"/>
  <c r="AA1875" i="2" a="1"/>
  <c r="AA1875" i="2"/>
  <c r="AA1876" i="2" a="1"/>
  <c r="AA1876" i="2"/>
  <c r="AA1877" i="2" a="1"/>
  <c r="AA1877" i="2"/>
  <c r="AA1878" i="2" a="1"/>
  <c r="AA1878" i="2"/>
  <c r="AA1879" i="2" a="1"/>
  <c r="AA1879" i="2"/>
  <c r="AA1880" i="2" a="1"/>
  <c r="AA1880" i="2"/>
  <c r="AA1881" i="2" a="1"/>
  <c r="AA1881" i="2"/>
  <c r="AA1882" i="2" a="1"/>
  <c r="AA1882" i="2"/>
  <c r="AA1883" i="2" a="1"/>
  <c r="AA1883" i="2"/>
  <c r="AA1884" i="2" a="1"/>
  <c r="AA1884" i="2"/>
  <c r="AA1885" i="2" a="1"/>
  <c r="AA1885" i="2"/>
  <c r="AA1886" i="2" a="1"/>
  <c r="AA1886" i="2"/>
  <c r="AA1887" i="2" a="1"/>
  <c r="AA1887" i="2"/>
  <c r="AA1888" i="2" a="1"/>
  <c r="AA1888" i="2"/>
  <c r="AA1889" i="2" a="1"/>
  <c r="AA1889" i="2"/>
  <c r="AA1890" i="2" a="1"/>
  <c r="AA1890" i="2"/>
  <c r="AA1891" i="2" a="1"/>
  <c r="AA1891" i="2"/>
  <c r="AA1892" i="2" a="1"/>
  <c r="AA1892" i="2"/>
  <c r="AA1893" i="2" a="1"/>
  <c r="AA1893" i="2"/>
  <c r="AA1894" i="2" a="1"/>
  <c r="AA1894" i="2"/>
  <c r="AA1895" i="2" a="1"/>
  <c r="AA1895" i="2"/>
  <c r="AA1896" i="2" a="1"/>
  <c r="AA1896" i="2"/>
  <c r="AA1897" i="2" a="1"/>
  <c r="AA1897" i="2"/>
  <c r="AA1898" i="2" a="1"/>
  <c r="AA1898" i="2"/>
  <c r="AA1899" i="2" a="1"/>
  <c r="AA1899" i="2"/>
  <c r="AA1900" i="2" a="1"/>
  <c r="AA1900" i="2"/>
  <c r="AA1901" i="2" a="1"/>
  <c r="AA1901" i="2"/>
  <c r="AA1902" i="2" a="1"/>
  <c r="AA1902" i="2"/>
  <c r="AA1903" i="2" a="1"/>
  <c r="AA1903" i="2"/>
  <c r="AA1904" i="2" a="1"/>
  <c r="AA1904" i="2"/>
  <c r="AA1905" i="2" a="1"/>
  <c r="AA1905" i="2"/>
  <c r="AA1906" i="2" a="1"/>
  <c r="AA1906" i="2"/>
  <c r="AA1907" i="2" a="1"/>
  <c r="AA1907" i="2"/>
  <c r="AA1908" i="2" a="1"/>
  <c r="AA1908" i="2"/>
  <c r="AA1909" i="2" a="1"/>
  <c r="AA1909" i="2"/>
  <c r="AA1910" i="2" a="1"/>
  <c r="AA1910" i="2"/>
  <c r="AA1911" i="2" a="1"/>
  <c r="AA1911" i="2"/>
  <c r="AA1912" i="2" a="1"/>
  <c r="AA1912" i="2"/>
  <c r="AA1913" i="2" a="1"/>
  <c r="AA1913" i="2"/>
  <c r="AA1914" i="2" a="1"/>
  <c r="AA1914" i="2"/>
  <c r="AA1915" i="2" a="1"/>
  <c r="AA1915" i="2"/>
  <c r="AA1916" i="2" a="1"/>
  <c r="AA1916" i="2"/>
  <c r="AA1917" i="2" a="1"/>
  <c r="AA1917" i="2"/>
  <c r="AA1918" i="2" a="1"/>
  <c r="AA1918" i="2"/>
  <c r="AA1919" i="2" a="1"/>
  <c r="AA1919" i="2"/>
  <c r="AA1920" i="2" a="1"/>
  <c r="AA1920" i="2"/>
  <c r="AA1921" i="2" a="1"/>
  <c r="AA1921" i="2"/>
  <c r="AA1922" i="2" a="1"/>
  <c r="AA1922" i="2"/>
  <c r="AA1923" i="2" a="1"/>
  <c r="AA1923" i="2"/>
  <c r="AA1924" i="2" a="1"/>
  <c r="AA1924" i="2"/>
  <c r="AA1925" i="2" a="1"/>
  <c r="AA1925" i="2"/>
  <c r="AA1926" i="2" a="1"/>
  <c r="AA1926" i="2"/>
  <c r="AA1927" i="2" a="1"/>
  <c r="AA1927" i="2"/>
  <c r="AA1928" i="2" a="1"/>
  <c r="AA1928" i="2"/>
  <c r="AA1929" i="2" a="1"/>
  <c r="AA1929" i="2"/>
  <c r="AA1930" i="2" a="1"/>
  <c r="AA1930" i="2"/>
  <c r="AA1931" i="2" a="1"/>
  <c r="AA1931" i="2"/>
  <c r="AA1932" i="2" a="1"/>
  <c r="AA1932" i="2"/>
  <c r="AA1933" i="2" a="1"/>
  <c r="AA1933" i="2"/>
  <c r="AA1934" i="2" a="1"/>
  <c r="AA1934" i="2"/>
  <c r="AA1935" i="2" a="1"/>
  <c r="AA1935" i="2"/>
  <c r="AA1936" i="2" a="1"/>
  <c r="AA1936" i="2"/>
  <c r="AA1937" i="2" a="1"/>
  <c r="AA1937" i="2"/>
  <c r="AA1938" i="2" a="1"/>
  <c r="AA1938" i="2"/>
  <c r="AA1939" i="2" a="1"/>
  <c r="AA1939" i="2"/>
  <c r="AA1940" i="2" a="1"/>
  <c r="AA1940" i="2"/>
  <c r="AA1941" i="2" a="1"/>
  <c r="AA1941" i="2"/>
  <c r="AA1942" i="2" a="1"/>
  <c r="AA1942" i="2"/>
  <c r="AA1943" i="2" a="1"/>
  <c r="AA1943" i="2"/>
  <c r="AA1944" i="2" a="1"/>
  <c r="AA1944" i="2"/>
  <c r="AA1945" i="2" a="1"/>
  <c r="AA1945" i="2"/>
  <c r="AA1946" i="2" a="1"/>
  <c r="AA1946" i="2"/>
  <c r="AA1947" i="2" a="1"/>
  <c r="AA1947" i="2"/>
  <c r="AA1948" i="2" a="1"/>
  <c r="AA1948" i="2"/>
  <c r="AA1949" i="2" a="1"/>
  <c r="AA1949" i="2"/>
  <c r="AA1950" i="2" a="1"/>
  <c r="AA1950" i="2"/>
  <c r="AA1951" i="2" a="1"/>
  <c r="AA1951" i="2"/>
  <c r="AA1952" i="2" a="1"/>
  <c r="AA1952" i="2"/>
  <c r="AA1953" i="2" a="1"/>
  <c r="AA1953" i="2"/>
  <c r="AA1954" i="2" a="1"/>
  <c r="AA1954" i="2"/>
  <c r="AA1955" i="2" a="1"/>
  <c r="AA1955" i="2"/>
  <c r="AA1956" i="2" a="1"/>
  <c r="AA1956" i="2"/>
  <c r="AA1957" i="2" a="1"/>
  <c r="AA1957" i="2"/>
  <c r="AA1958" i="2" a="1"/>
  <c r="AA1958" i="2"/>
  <c r="AA1959" i="2" a="1"/>
  <c r="AA1959" i="2"/>
  <c r="AA1960" i="2" a="1"/>
  <c r="AA1960" i="2"/>
  <c r="AA1961" i="2" a="1"/>
  <c r="AA1961" i="2"/>
  <c r="AA1962" i="2" a="1"/>
  <c r="AA1962" i="2"/>
  <c r="AA1963" i="2" a="1"/>
  <c r="AA1963" i="2"/>
  <c r="AA1964" i="2" a="1"/>
  <c r="AA1964" i="2"/>
  <c r="AA1965" i="2" a="1"/>
  <c r="AA1965" i="2"/>
  <c r="AA1966" i="2" a="1"/>
  <c r="AA1966" i="2"/>
  <c r="AA1967" i="2" a="1"/>
  <c r="AA1967" i="2"/>
  <c r="AA1968" i="2" a="1"/>
  <c r="AA1968" i="2"/>
  <c r="AA1969" i="2" a="1"/>
  <c r="AA1969" i="2"/>
  <c r="AA1970" i="2" a="1"/>
  <c r="AA1970" i="2"/>
  <c r="AA1971" i="2" a="1"/>
  <c r="AA1971" i="2"/>
  <c r="AA1972" i="2" a="1"/>
  <c r="AA1972" i="2"/>
  <c r="AA1973" i="2" a="1"/>
  <c r="AA1973" i="2"/>
  <c r="AA1974" i="2" a="1"/>
  <c r="AA1974" i="2"/>
  <c r="AA1975" i="2" a="1"/>
  <c r="AA1975" i="2"/>
  <c r="AA1976" i="2" a="1"/>
  <c r="AA1976" i="2"/>
  <c r="AA1977" i="2" a="1"/>
  <c r="AA1977" i="2"/>
  <c r="AA1978" i="2" a="1"/>
  <c r="AA1978" i="2"/>
  <c r="AA1979" i="2" a="1"/>
  <c r="AA1979" i="2"/>
  <c r="AA1980" i="2" a="1"/>
  <c r="AA1980" i="2"/>
  <c r="AA1981" i="2" a="1"/>
  <c r="AA1981" i="2"/>
  <c r="AA1982" i="2" a="1"/>
  <c r="AA1982" i="2"/>
  <c r="AA1983" i="2" a="1"/>
  <c r="AA1983" i="2"/>
  <c r="AA1984" i="2" a="1"/>
  <c r="AA1984" i="2"/>
  <c r="AA1985" i="2" a="1"/>
  <c r="AA1985" i="2"/>
  <c r="AA1986" i="2" a="1"/>
  <c r="AA1986" i="2"/>
  <c r="AA1987" i="2" a="1"/>
  <c r="AA1987" i="2"/>
  <c r="AA1988" i="2" a="1"/>
  <c r="AA1988" i="2"/>
  <c r="AA1989" i="2" a="1"/>
  <c r="AA1989" i="2"/>
  <c r="AA1990" i="2" a="1"/>
  <c r="AA1990" i="2"/>
  <c r="AA1991" i="2" a="1"/>
  <c r="AA1991" i="2"/>
  <c r="AA1992" i="2" a="1"/>
  <c r="AA1992" i="2"/>
  <c r="AA1993" i="2" a="1"/>
  <c r="AA1993" i="2"/>
  <c r="AA1994" i="2" a="1"/>
  <c r="AA1994" i="2"/>
  <c r="AA1995" i="2" a="1"/>
  <c r="AA1995" i="2"/>
  <c r="AA1996" i="2" a="1"/>
  <c r="AA1996" i="2"/>
  <c r="AA1997" i="2" a="1"/>
  <c r="AA1997" i="2"/>
  <c r="AA1998" i="2" a="1"/>
  <c r="AA1998" i="2"/>
  <c r="AA1999" i="2" a="1"/>
  <c r="AA1999" i="2"/>
  <c r="AA2000" i="2" a="1"/>
  <c r="AA2000" i="2"/>
  <c r="AA2001" i="2" a="1"/>
  <c r="AA2001" i="2"/>
  <c r="AA2002" i="2" a="1"/>
  <c r="AA2002" i="2"/>
  <c r="AA2003" i="2" a="1"/>
  <c r="AA2003" i="2"/>
  <c r="AA2004" i="2" a="1"/>
  <c r="AA2004" i="2"/>
  <c r="AA2005" i="2" a="1"/>
  <c r="AA2005" i="2"/>
  <c r="AA2006" i="2" a="1"/>
  <c r="AA2006" i="2"/>
  <c r="AA2007" i="2" a="1"/>
  <c r="AA2007" i="2"/>
  <c r="AA2008" i="2" a="1"/>
  <c r="AA2008" i="2"/>
  <c r="AA2009" i="2" a="1"/>
  <c r="AA2009" i="2"/>
  <c r="AA2010" i="2" a="1"/>
  <c r="AA2010" i="2"/>
  <c r="AA2011" i="2" a="1"/>
  <c r="AA2011" i="2"/>
  <c r="AA2012" i="2" a="1"/>
  <c r="AA2012" i="2"/>
  <c r="AA2013" i="2" a="1"/>
  <c r="AA2013" i="2"/>
  <c r="AA2014" i="2" a="1"/>
  <c r="AA2014" i="2"/>
  <c r="AA2015" i="2" a="1"/>
  <c r="AA2015" i="2"/>
  <c r="AA2016" i="2" a="1"/>
  <c r="AA2016" i="2"/>
  <c r="AA2017" i="2" a="1"/>
  <c r="AA2017" i="2"/>
  <c r="AA2018" i="2" a="1"/>
  <c r="AA2018" i="2"/>
  <c r="AA2019" i="2" a="1"/>
  <c r="AA2019" i="2"/>
  <c r="AA2020" i="2" a="1"/>
  <c r="AA2020" i="2"/>
  <c r="AA2021" i="2" a="1"/>
  <c r="AA2021" i="2"/>
  <c r="AA2022" i="2" a="1"/>
  <c r="AA2022" i="2"/>
  <c r="AA2023" i="2" a="1"/>
  <c r="AA2023" i="2"/>
  <c r="AA2024" i="2" a="1"/>
  <c r="AA2024" i="2"/>
  <c r="AA2025" i="2" a="1"/>
  <c r="AA2025" i="2"/>
  <c r="AA2026" i="2" a="1"/>
  <c r="AA2026" i="2"/>
  <c r="AA2027" i="2" a="1"/>
  <c r="AA2027" i="2"/>
  <c r="AA2028" i="2" a="1"/>
  <c r="AA2028" i="2"/>
  <c r="AA2029" i="2" a="1"/>
  <c r="AA2029" i="2"/>
  <c r="AA2030" i="2" a="1"/>
  <c r="AA2030" i="2"/>
  <c r="AA2031" i="2" a="1"/>
  <c r="AA2031" i="2"/>
  <c r="AA2032" i="2" a="1"/>
  <c r="AA2032" i="2"/>
  <c r="AA2033" i="2" a="1"/>
  <c r="AA2033" i="2"/>
  <c r="AA2034" i="2" a="1"/>
  <c r="AA2034" i="2"/>
  <c r="AA2035" i="2" a="1"/>
  <c r="AA2035" i="2"/>
  <c r="AA2036" i="2" a="1"/>
  <c r="AA2036" i="2"/>
  <c r="AA2037" i="2" a="1"/>
  <c r="AA2037" i="2"/>
  <c r="AA2038" i="2" a="1"/>
  <c r="AA2038" i="2"/>
  <c r="AA2039" i="2" a="1"/>
  <c r="AA2039" i="2"/>
  <c r="AA2040" i="2" a="1"/>
  <c r="AA2040" i="2"/>
  <c r="AA2041" i="2" a="1"/>
  <c r="AA2041" i="2"/>
  <c r="AA2042" i="2" a="1"/>
  <c r="AA2042" i="2"/>
  <c r="AA2043" i="2" a="1"/>
  <c r="AA2043" i="2"/>
  <c r="AA2044" i="2" a="1"/>
  <c r="AA2044" i="2"/>
  <c r="AA2045" i="2" a="1"/>
  <c r="AA2045" i="2"/>
  <c r="AA2046" i="2" a="1"/>
  <c r="AA2046" i="2"/>
  <c r="AA2047" i="2" a="1"/>
  <c r="AA2047" i="2"/>
  <c r="AA2048" i="2" a="1"/>
  <c r="AA2048" i="2"/>
  <c r="AA2049" i="2" a="1"/>
  <c r="AA2049" i="2"/>
  <c r="AA2050" i="2" a="1"/>
  <c r="AA2050" i="2"/>
  <c r="AA2051" i="2" a="1"/>
  <c r="AA2051" i="2"/>
  <c r="AA2052" i="2" a="1"/>
  <c r="AA2052" i="2"/>
  <c r="AA2053" i="2" a="1"/>
  <c r="AA2053" i="2"/>
  <c r="AA2054" i="2" a="1"/>
  <c r="AA2054" i="2"/>
  <c r="AA2055" i="2" a="1"/>
  <c r="AA2055" i="2"/>
  <c r="AA2056" i="2" a="1"/>
  <c r="AA2056" i="2"/>
  <c r="AA2057" i="2" a="1"/>
  <c r="AA2057" i="2"/>
  <c r="AA2058" i="2" a="1"/>
  <c r="AA2058" i="2"/>
  <c r="AA2059" i="2" a="1"/>
  <c r="AA2059" i="2"/>
  <c r="AA2060" i="2" a="1"/>
  <c r="AA2060" i="2"/>
  <c r="AA2061" i="2" a="1"/>
  <c r="AA2061" i="2"/>
  <c r="AA2062" i="2" a="1"/>
  <c r="AA2062" i="2"/>
  <c r="AA2063" i="2" a="1"/>
  <c r="AA2063" i="2"/>
  <c r="AA2064" i="2" a="1"/>
  <c r="AA2064" i="2"/>
  <c r="AA2065" i="2" a="1"/>
  <c r="AA2065" i="2"/>
  <c r="AA2066" i="2" a="1"/>
  <c r="AA2066" i="2"/>
  <c r="AA2067" i="2" a="1"/>
  <c r="AA2067" i="2"/>
  <c r="AA2068" i="2" a="1"/>
  <c r="AA2068" i="2"/>
  <c r="AA2069" i="2" a="1"/>
  <c r="AA2069" i="2"/>
  <c r="AA2070" i="2" a="1"/>
  <c r="AA2070" i="2"/>
  <c r="AA2071" i="2" a="1"/>
  <c r="AA2071" i="2"/>
  <c r="AA2072" i="2" a="1"/>
  <c r="AA2072" i="2"/>
  <c r="AA2073" i="2" a="1"/>
  <c r="AA2073" i="2"/>
  <c r="AA2074" i="2" a="1"/>
  <c r="AA2074" i="2"/>
  <c r="AA2075" i="2" a="1"/>
  <c r="AA2075" i="2"/>
  <c r="AA2076" i="2" a="1"/>
  <c r="AA2076" i="2"/>
  <c r="AA2077" i="2" a="1"/>
  <c r="AA2077" i="2"/>
  <c r="AA2078" i="2" a="1"/>
  <c r="AA2078" i="2"/>
  <c r="AA2079" i="2" a="1"/>
  <c r="AA2079" i="2"/>
  <c r="AA2080" i="2" a="1"/>
  <c r="AA2080" i="2"/>
  <c r="AA2081" i="2" a="1"/>
  <c r="AA2081" i="2"/>
  <c r="AA2082" i="2" a="1"/>
  <c r="AA2082" i="2"/>
  <c r="AA2083" i="2" a="1"/>
  <c r="AA2083" i="2"/>
  <c r="AA2084" i="2" a="1"/>
  <c r="AA2084" i="2"/>
  <c r="AA2085" i="2" a="1"/>
  <c r="AA2085" i="2"/>
  <c r="AA2086" i="2" a="1"/>
  <c r="AA2086" i="2"/>
  <c r="AA2087" i="2" a="1"/>
  <c r="AA2087" i="2"/>
  <c r="AA2088" i="2" a="1"/>
  <c r="AA2088" i="2"/>
  <c r="AA2089" i="2" a="1"/>
  <c r="AA2089" i="2"/>
  <c r="AA2090" i="2" a="1"/>
  <c r="AA2090" i="2"/>
  <c r="AA2091" i="2" a="1"/>
  <c r="AA2091" i="2"/>
  <c r="AA2092" i="2" a="1"/>
  <c r="AA2092" i="2"/>
  <c r="AA2093" i="2" a="1"/>
  <c r="AA2093" i="2"/>
  <c r="AA2094" i="2" a="1"/>
  <c r="AA2094" i="2"/>
  <c r="AA2095" i="2" a="1"/>
  <c r="AA2095" i="2"/>
  <c r="AA2096" i="2" a="1"/>
  <c r="AA2096" i="2"/>
  <c r="AA2097" i="2" a="1"/>
  <c r="AA2097" i="2"/>
  <c r="AA2098" i="2" a="1"/>
  <c r="AA2098" i="2"/>
  <c r="AA2099" i="2" a="1"/>
  <c r="AA2099" i="2"/>
  <c r="AA2100" i="2" a="1"/>
  <c r="AA2100" i="2"/>
  <c r="AA2101" i="2" a="1"/>
  <c r="AA2101" i="2"/>
  <c r="AA2102" i="2" a="1"/>
  <c r="AA2102" i="2"/>
  <c r="AA2103" i="2" a="1"/>
  <c r="AA2103" i="2"/>
  <c r="AA2104" i="2" a="1"/>
  <c r="AA2104" i="2"/>
  <c r="AA2105" i="2" a="1"/>
  <c r="AA2105" i="2"/>
  <c r="AA2106" i="2" a="1"/>
  <c r="AA2106" i="2"/>
  <c r="AA2107" i="2" a="1"/>
  <c r="AA2107" i="2"/>
  <c r="AA2108" i="2" a="1"/>
  <c r="AA2108" i="2"/>
  <c r="AA2109" i="2" a="1"/>
  <c r="AA2109" i="2"/>
  <c r="AA2110" i="2" a="1"/>
  <c r="AA2110" i="2"/>
  <c r="AA2111" i="2" a="1"/>
  <c r="AA2111" i="2"/>
  <c r="AA2112" i="2" a="1"/>
  <c r="AA2112" i="2"/>
  <c r="AA2113" i="2" a="1"/>
  <c r="AA2113" i="2"/>
  <c r="AA2114" i="2" a="1"/>
  <c r="AA2114" i="2"/>
  <c r="AA2115" i="2" a="1"/>
  <c r="AA2115" i="2"/>
  <c r="AA2116" i="2" a="1"/>
  <c r="AA2116" i="2"/>
  <c r="AA2117" i="2" a="1"/>
  <c r="AA2117" i="2"/>
  <c r="AA2118" i="2" a="1"/>
  <c r="AA2118" i="2"/>
  <c r="AA2119" i="2" a="1"/>
  <c r="AA2119" i="2"/>
  <c r="AA2120" i="2" a="1"/>
  <c r="AA2120" i="2"/>
  <c r="AA2121" i="2" a="1"/>
  <c r="AA2121" i="2"/>
  <c r="AA2122" i="2" a="1"/>
  <c r="AA2122" i="2"/>
  <c r="AA2123" i="2" a="1"/>
  <c r="AA2123" i="2"/>
  <c r="AA2124" i="2" a="1"/>
  <c r="AA2124" i="2"/>
  <c r="AA2125" i="2" a="1"/>
  <c r="AA2125" i="2"/>
  <c r="AA2126" i="2" a="1"/>
  <c r="AA2126" i="2"/>
  <c r="AA2127" i="2" a="1"/>
  <c r="AA2127" i="2"/>
  <c r="AA2128" i="2" a="1"/>
  <c r="AA2128" i="2"/>
  <c r="AA2129" i="2" a="1"/>
  <c r="AA2129" i="2"/>
  <c r="AA2130" i="2" a="1"/>
  <c r="AA2130" i="2"/>
  <c r="AA2131" i="2" a="1"/>
  <c r="AA2131" i="2"/>
  <c r="AA2132" i="2" a="1"/>
  <c r="AA2132" i="2"/>
  <c r="AA2133" i="2" a="1"/>
  <c r="AA2133" i="2"/>
  <c r="AA2134" i="2" a="1"/>
  <c r="AA2134" i="2"/>
  <c r="AA2135" i="2" a="1"/>
  <c r="AA2135" i="2"/>
  <c r="AA2136" i="2" a="1"/>
  <c r="AA2136" i="2"/>
  <c r="AA2137" i="2" a="1"/>
  <c r="AA2137" i="2"/>
  <c r="AA2138" i="2" a="1"/>
  <c r="AA2138" i="2"/>
  <c r="AA2139" i="2" a="1"/>
  <c r="AA2139" i="2"/>
  <c r="AA2140" i="2" a="1"/>
  <c r="AA2140" i="2"/>
  <c r="AA2141" i="2" a="1"/>
  <c r="AA2141" i="2"/>
  <c r="AA2142" i="2" a="1"/>
  <c r="AA2142" i="2"/>
  <c r="AA2143" i="2" a="1"/>
  <c r="AA2143" i="2"/>
  <c r="AA2144" i="2" a="1"/>
  <c r="AA2144" i="2"/>
  <c r="AA2145" i="2" a="1"/>
  <c r="AA2145" i="2"/>
  <c r="AA2146" i="2" a="1"/>
  <c r="AA2146" i="2"/>
  <c r="AA2147" i="2" a="1"/>
  <c r="AA2147" i="2"/>
  <c r="AA2148" i="2" a="1"/>
  <c r="AA2148" i="2"/>
  <c r="AA2149" i="2" a="1"/>
  <c r="AA2149" i="2"/>
  <c r="AA2150" i="2" a="1"/>
  <c r="AA2150" i="2"/>
  <c r="AA2151" i="2" a="1"/>
  <c r="AA2151" i="2"/>
  <c r="AA2152" i="2" a="1"/>
  <c r="AA2152" i="2"/>
  <c r="AA2153" i="2" a="1"/>
  <c r="AA2153" i="2"/>
  <c r="AA2154" i="2" a="1"/>
  <c r="AA2154" i="2"/>
  <c r="AA2155" i="2" a="1"/>
  <c r="AA2155" i="2"/>
  <c r="AA2156" i="2" a="1"/>
  <c r="AA2156" i="2"/>
  <c r="AA2157" i="2" a="1"/>
  <c r="AA2157" i="2"/>
  <c r="AA2158" i="2" a="1"/>
  <c r="AA2158" i="2"/>
  <c r="AA2159" i="2" a="1"/>
  <c r="AA2159" i="2"/>
  <c r="AA2160" i="2" a="1"/>
  <c r="AA2160" i="2"/>
  <c r="AA2161" i="2" a="1"/>
  <c r="AA2161" i="2"/>
  <c r="AA2162" i="2" a="1"/>
  <c r="AA2162" i="2"/>
  <c r="AA2163" i="2" a="1"/>
  <c r="AA2163" i="2"/>
  <c r="AA2164" i="2" a="1"/>
  <c r="AA2164" i="2"/>
  <c r="AA2165" i="2" a="1"/>
  <c r="AA2165" i="2"/>
  <c r="AA2166" i="2" a="1"/>
  <c r="AA2166" i="2"/>
  <c r="AA2167" i="2" a="1"/>
  <c r="AA2167" i="2"/>
  <c r="AA2168" i="2" a="1"/>
  <c r="AA2168" i="2"/>
  <c r="AA2169" i="2" a="1"/>
  <c r="AA2169" i="2"/>
  <c r="AA2170" i="2" a="1"/>
  <c r="AA2170" i="2"/>
  <c r="AA2171" i="2" a="1"/>
  <c r="AA2171" i="2"/>
  <c r="AA2172" i="2" a="1"/>
  <c r="AA2172" i="2"/>
  <c r="AA2173" i="2" a="1"/>
  <c r="AA2173" i="2"/>
  <c r="AA2174" i="2" a="1"/>
  <c r="AA2174" i="2"/>
  <c r="AA2175" i="2" a="1"/>
  <c r="AA2175" i="2"/>
  <c r="AA2176" i="2" a="1"/>
  <c r="AA2176" i="2"/>
  <c r="AA2177" i="2" a="1"/>
  <c r="AA2177" i="2"/>
  <c r="AA2178" i="2" a="1"/>
  <c r="AA2178" i="2"/>
  <c r="AA2179" i="2" a="1"/>
  <c r="AA2179" i="2"/>
  <c r="AA2180" i="2" a="1"/>
  <c r="AA2180" i="2"/>
  <c r="AA2181" i="2" a="1"/>
  <c r="AA2181" i="2"/>
  <c r="AA2182" i="2" a="1"/>
  <c r="AA2182" i="2"/>
  <c r="AA2183" i="2" a="1"/>
  <c r="AA2183" i="2"/>
  <c r="AA2184" i="2" a="1"/>
  <c r="AA2184" i="2"/>
  <c r="AA2185" i="2" a="1"/>
  <c r="AA2185" i="2"/>
  <c r="AA2186" i="2" a="1"/>
  <c r="AA2186" i="2"/>
  <c r="AA2187" i="2" a="1"/>
  <c r="AA2187" i="2"/>
  <c r="AA2188" i="2" a="1"/>
  <c r="AA2188" i="2"/>
  <c r="AA2189" i="2" a="1"/>
  <c r="AA2189" i="2"/>
  <c r="AA2190" i="2" a="1"/>
  <c r="AA2190" i="2"/>
  <c r="AA2191" i="2" a="1"/>
  <c r="AA2191" i="2"/>
  <c r="AA2192" i="2" a="1"/>
  <c r="AA2192" i="2"/>
  <c r="AA2193" i="2" a="1"/>
  <c r="AA2193" i="2"/>
  <c r="AA2194" i="2" a="1"/>
  <c r="AA2194" i="2"/>
  <c r="AA2195" i="2" a="1"/>
  <c r="AA2195" i="2"/>
  <c r="AA2196" i="2" a="1"/>
  <c r="AA2196" i="2"/>
  <c r="AA2197" i="2" a="1"/>
  <c r="AA2197" i="2"/>
  <c r="AA2198" i="2" a="1"/>
  <c r="AA2198" i="2"/>
  <c r="AA2199" i="2" a="1"/>
  <c r="AA2199" i="2"/>
  <c r="AA2200" i="2" a="1"/>
  <c r="AA2200" i="2"/>
  <c r="AA2201" i="2" a="1"/>
  <c r="AA2201" i="2"/>
  <c r="AA2202" i="2" a="1"/>
  <c r="AA2202" i="2"/>
  <c r="AA2203" i="2" a="1"/>
  <c r="AA2203" i="2"/>
  <c r="AA2204" i="2" a="1"/>
  <c r="AA2204" i="2"/>
  <c r="AA2205" i="2" a="1"/>
  <c r="AA2205" i="2"/>
  <c r="AA2206" i="2" a="1"/>
  <c r="AA2206" i="2" s="1"/>
  <c r="AA2207" i="2" a="1"/>
  <c r="AA2207" i="2" s="1"/>
  <c r="AA2208" i="2" a="1"/>
  <c r="AA2208" i="2" s="1"/>
  <c r="AA2209" i="2" a="1"/>
  <c r="AA2209" i="2" s="1"/>
  <c r="AA2210" i="2" a="1"/>
  <c r="AA2210" i="2" s="1"/>
  <c r="AA2211" i="2" a="1"/>
  <c r="AA2211" i="2" s="1"/>
  <c r="AA2212" i="2" a="1"/>
  <c r="AA2212" i="2" s="1"/>
  <c r="AA2213" i="2" a="1"/>
  <c r="AA2213" i="2" s="1"/>
  <c r="AA2214" i="2" a="1"/>
  <c r="AA2214" i="2" s="1"/>
  <c r="AA2215" i="2" a="1"/>
  <c r="AA2215" i="2" s="1"/>
  <c r="AA2216" i="2" a="1"/>
  <c r="AA2216" i="2" s="1"/>
  <c r="AA2217" i="2" a="1"/>
  <c r="AA2217" i="2" s="1"/>
  <c r="AA2218" i="2" a="1"/>
  <c r="AA2218" i="2" s="1"/>
  <c r="AA2219" i="2" a="1"/>
  <c r="AA2219" i="2" s="1"/>
  <c r="AA2220" i="2" a="1"/>
  <c r="AA2220" i="2" s="1"/>
  <c r="AA2221" i="2" a="1"/>
  <c r="AA2221" i="2" s="1"/>
  <c r="AA2222" i="2" a="1"/>
  <c r="AA2222" i="2" s="1"/>
  <c r="AA2223" i="2" a="1"/>
  <c r="AA2223" i="2" s="1"/>
  <c r="AA2224" i="2" a="1"/>
  <c r="AA2224" i="2" s="1"/>
  <c r="AA2225" i="2" a="1"/>
  <c r="AA2225" i="2" s="1"/>
  <c r="AA2226" i="2" a="1"/>
  <c r="AA2226" i="2" s="1"/>
  <c r="AA2227" i="2" a="1"/>
  <c r="AA2227" i="2" s="1"/>
  <c r="AA2228" i="2" a="1"/>
  <c r="AA2228" i="2" s="1"/>
  <c r="AA2229" i="2" a="1"/>
  <c r="AA2229" i="2" s="1"/>
  <c r="AA2230" i="2" a="1"/>
  <c r="AA2230" i="2" s="1"/>
  <c r="AA2231" i="2" a="1"/>
  <c r="AA2231" i="2" s="1"/>
  <c r="AA2232" i="2" a="1"/>
  <c r="AA2232" i="2" s="1"/>
  <c r="AA2233" i="2" a="1"/>
  <c r="AA2233" i="2" s="1"/>
  <c r="AA2234" i="2" a="1"/>
  <c r="AA2234" i="2" s="1"/>
  <c r="AA2235" i="2" a="1"/>
  <c r="AA2235" i="2" s="1"/>
  <c r="AA2236" i="2" a="1"/>
  <c r="AA2236" i="2" s="1"/>
  <c r="AA2237" i="2" a="1"/>
  <c r="AA2237" i="2" s="1"/>
  <c r="AA2238" i="2" a="1"/>
  <c r="AA2238" i="2" s="1"/>
  <c r="AA2239" i="2" a="1"/>
  <c r="AA2239" i="2" s="1"/>
  <c r="AA2240" i="2" a="1"/>
  <c r="AA2240" i="2" s="1"/>
  <c r="AA2241" i="2" a="1"/>
  <c r="AA2241" i="2" s="1"/>
  <c r="AA2242" i="2" a="1"/>
  <c r="AA2242" i="2" s="1"/>
  <c r="AA2243" i="2" a="1"/>
  <c r="AA2243" i="2" s="1"/>
  <c r="AA2244" i="2" a="1"/>
  <c r="AA2244" i="2" s="1"/>
  <c r="AA2245" i="2" a="1"/>
  <c r="AA2245" i="2" s="1"/>
  <c r="AA2246" i="2" a="1"/>
  <c r="AA2246" i="2" s="1"/>
  <c r="AA2247" i="2" a="1"/>
  <c r="AA2247" i="2" s="1"/>
  <c r="AA2248" i="2" a="1"/>
  <c r="AA2248" i="2" s="1"/>
  <c r="AA2249" i="2" a="1"/>
  <c r="AA2249" i="2" s="1"/>
  <c r="AA2250" i="2" a="1"/>
  <c r="AA2250" i="2" s="1"/>
  <c r="AA2251" i="2" a="1"/>
  <c r="AA2251" i="2" s="1"/>
  <c r="AA2252" i="2" a="1"/>
  <c r="AA2252" i="2" s="1"/>
  <c r="AA2253" i="2" a="1"/>
  <c r="AA2253" i="2" s="1"/>
  <c r="AA2254" i="2" a="1"/>
  <c r="AA2254" i="2" s="1"/>
  <c r="AA2255" i="2" a="1"/>
  <c r="AA2255" i="2" s="1"/>
  <c r="AA2256" i="2" a="1"/>
  <c r="AA2256" i="2" s="1"/>
  <c r="AA2257" i="2" a="1"/>
  <c r="AA2257" i="2" s="1"/>
  <c r="AA2258" i="2" a="1"/>
  <c r="AA2258" i="2" s="1"/>
  <c r="AA2259" i="2" a="1"/>
  <c r="AA2259" i="2" s="1"/>
  <c r="AA2260" i="2" a="1"/>
  <c r="AA2260" i="2" s="1"/>
  <c r="AA2261" i="2" a="1"/>
  <c r="AA2261" i="2" s="1"/>
  <c r="AA2262" i="2" a="1"/>
  <c r="AA2262" i="2" s="1"/>
  <c r="AA2263" i="2" a="1"/>
  <c r="AA2263" i="2" s="1"/>
  <c r="AA2264" i="2" a="1"/>
  <c r="AA2264" i="2" s="1"/>
  <c r="AA2265" i="2" a="1"/>
  <c r="AA2265" i="2" s="1"/>
  <c r="AA2266" i="2" a="1"/>
  <c r="AA2266" i="2" s="1"/>
  <c r="AA2267" i="2" a="1"/>
  <c r="AA2267" i="2" s="1"/>
  <c r="AA2268" i="2" a="1"/>
  <c r="AA2268" i="2" s="1"/>
  <c r="AA2269" i="2" a="1"/>
  <c r="AA2269" i="2" s="1"/>
  <c r="AA2270" i="2" a="1"/>
  <c r="AA2270" i="2" s="1"/>
  <c r="AA2271" i="2" a="1"/>
  <c r="AA2271" i="2" s="1"/>
  <c r="AA2272" i="2" a="1"/>
  <c r="AA2272" i="2" s="1"/>
  <c r="AA2273" i="2" a="1"/>
  <c r="AA2273" i="2" s="1"/>
  <c r="AA2274" i="2" a="1"/>
  <c r="AA2274" i="2" s="1"/>
  <c r="AA2275" i="2" a="1"/>
  <c r="AA2275" i="2" s="1"/>
  <c r="AA2276" i="2" a="1"/>
  <c r="AA2276" i="2" s="1"/>
  <c r="AA2277" i="2" a="1"/>
  <c r="AA2277" i="2" s="1"/>
  <c r="AA2278" i="2" a="1"/>
  <c r="AA2278" i="2" s="1"/>
  <c r="AA2279" i="2" a="1"/>
  <c r="AA2279" i="2" s="1"/>
  <c r="AA2280" i="2" a="1"/>
  <c r="AA2280" i="2" s="1"/>
  <c r="AA2281" i="2" a="1"/>
  <c r="AA2281" i="2" s="1"/>
  <c r="AA2282" i="2" a="1"/>
  <c r="AA2282" i="2" s="1"/>
  <c r="AA2283" i="2" a="1"/>
  <c r="AA2283" i="2" s="1"/>
  <c r="AA2284" i="2" a="1"/>
  <c r="AA2284" i="2" s="1"/>
  <c r="AA2285" i="2" a="1"/>
  <c r="AA2285" i="2" s="1"/>
  <c r="AA2286" i="2" a="1"/>
  <c r="AA2286" i="2" s="1"/>
  <c r="AA2287" i="2" a="1"/>
  <c r="AA2287" i="2" s="1"/>
  <c r="AA2288" i="2" a="1"/>
  <c r="AA2288" i="2" s="1"/>
  <c r="AA2289" i="2" a="1"/>
  <c r="AA2289" i="2" s="1"/>
  <c r="AA2290" i="2" a="1"/>
  <c r="AA2290" i="2" s="1"/>
  <c r="AA2291" i="2" a="1"/>
  <c r="AA2291" i="2" s="1"/>
  <c r="AA2292" i="2" a="1"/>
  <c r="AA2292" i="2" s="1"/>
  <c r="AA2293" i="2" a="1"/>
  <c r="AA2293" i="2" s="1"/>
  <c r="AA2294" i="2" a="1"/>
  <c r="AA2294" i="2" s="1"/>
  <c r="AA2295" i="2" a="1"/>
  <c r="AA2295" i="2" s="1"/>
  <c r="AA2296" i="2" a="1"/>
  <c r="AA2296" i="2" s="1"/>
  <c r="AA2297" i="2" a="1"/>
  <c r="AA2297" i="2" s="1"/>
  <c r="AA2298" i="2" a="1"/>
  <c r="AA2298" i="2" s="1"/>
  <c r="AA2299" i="2" a="1"/>
  <c r="AA2299" i="2" s="1"/>
  <c r="AA2300" i="2" a="1"/>
  <c r="AA2300" i="2"/>
  <c r="AA2301" i="2" a="1"/>
  <c r="AA2301" i="2" s="1"/>
  <c r="AA2302" i="2" a="1"/>
  <c r="AA2302" i="2" s="1"/>
  <c r="AA2303" i="2" a="1"/>
  <c r="AA2303" i="2"/>
  <c r="AA2304" i="2" a="1"/>
  <c r="AA2304" i="2" s="1"/>
  <c r="AA2305" i="2" a="1"/>
  <c r="AA2305" i="2" s="1"/>
  <c r="AA2306" i="2" a="1"/>
  <c r="AA2306" i="2" s="1"/>
  <c r="AA2307" i="2" a="1"/>
  <c r="AA2307" i="2"/>
  <c r="AA2308" i="2" a="1"/>
  <c r="AA2308" i="2" s="1"/>
  <c r="AA2309" i="2" a="1"/>
  <c r="AA2309" i="2" s="1"/>
  <c r="AA2310" i="2" a="1"/>
  <c r="AA2310" i="2" s="1"/>
  <c r="AA2311" i="2" a="1"/>
  <c r="AA2311" i="2"/>
  <c r="AA2312" i="2" a="1"/>
  <c r="AA2312" i="2" s="1"/>
  <c r="AA2313" i="2" a="1"/>
  <c r="AA2313" i="2" s="1"/>
  <c r="AA2314" i="2" a="1"/>
  <c r="AA2314" i="2" s="1"/>
  <c r="AA2315" i="2" a="1"/>
  <c r="AA2315" i="2"/>
  <c r="AA2316" i="2" a="1"/>
  <c r="AA2316" i="2" s="1"/>
  <c r="AA2317" i="2" a="1"/>
  <c r="AA2317" i="2" s="1"/>
  <c r="AA2318" i="2" a="1"/>
  <c r="AA2318" i="2" s="1"/>
  <c r="AA2319" i="2" a="1"/>
  <c r="AA2319" i="2" s="1"/>
  <c r="AA2320" i="2" a="1"/>
  <c r="AA2320" i="2" s="1"/>
  <c r="AA2321" i="2" a="1"/>
  <c r="AA2321" i="2" s="1"/>
  <c r="AA2322" i="2" a="1"/>
  <c r="AA2322" i="2" s="1"/>
  <c r="AA2323" i="2" a="1"/>
  <c r="AA2323" i="2" s="1"/>
  <c r="AA2324" i="2" a="1"/>
  <c r="AA2324" i="2" s="1"/>
  <c r="AA2325" i="2" a="1"/>
  <c r="AA2325" i="2" s="1"/>
  <c r="AA2326" i="2" a="1"/>
  <c r="AA2326" i="2" s="1"/>
  <c r="AA2327" i="2" a="1"/>
  <c r="AA2327" i="2" s="1"/>
  <c r="AA2328" i="2" a="1"/>
  <c r="AA2328" i="2" s="1"/>
  <c r="AA2329" i="2" a="1"/>
  <c r="AA2329" i="2" s="1"/>
  <c r="AA2330" i="2" a="1"/>
  <c r="AA2330" i="2" s="1"/>
  <c r="AA2331" i="2" a="1"/>
  <c r="AA2331" i="2" s="1"/>
  <c r="AA2332" i="2" a="1"/>
  <c r="AA2332" i="2" s="1"/>
  <c r="AA2333" i="2" a="1"/>
  <c r="AA2333" i="2" s="1"/>
  <c r="AA2334" i="2" a="1"/>
  <c r="AA2334" i="2" s="1"/>
  <c r="AA2335" i="2" a="1"/>
  <c r="AA2335" i="2" s="1"/>
  <c r="AA2336" i="2" a="1"/>
  <c r="AA2336" i="2" s="1"/>
  <c r="AA2337" i="2" a="1"/>
  <c r="AA2337" i="2" s="1"/>
  <c r="AA2338" i="2" a="1"/>
  <c r="AA2338" i="2" s="1"/>
  <c r="AA2339" i="2" a="1"/>
  <c r="AA2339" i="2" s="1"/>
  <c r="AA2340" i="2" a="1"/>
  <c r="AA2340" i="2" s="1"/>
  <c r="AA2341" i="2" a="1"/>
  <c r="AA2341" i="2" s="1"/>
  <c r="AA2342" i="2" a="1"/>
  <c r="AA2342" i="2" s="1"/>
  <c r="AA2343" i="2" a="1"/>
  <c r="AA2343" i="2" s="1"/>
  <c r="AA2344" i="2" a="1"/>
  <c r="AA2344" i="2" s="1"/>
  <c r="AA2345" i="2" a="1"/>
  <c r="AA2345" i="2" s="1"/>
  <c r="AA2346" i="2" a="1"/>
  <c r="AA2346" i="2" s="1"/>
  <c r="AA2347" i="2" a="1"/>
  <c r="AA2347" i="2" s="1"/>
  <c r="AA2348" i="2" a="1"/>
  <c r="AA2348" i="2" s="1"/>
  <c r="AA2349" i="2" a="1"/>
  <c r="AA2349" i="2" s="1"/>
  <c r="AA2350" i="2" a="1"/>
  <c r="AA2350" i="2" s="1"/>
  <c r="AA2351" i="2" a="1"/>
  <c r="AA2351" i="2" s="1"/>
  <c r="AA2352" i="2" a="1"/>
  <c r="AA2352" i="2" s="1"/>
  <c r="AA2353" i="2" a="1"/>
  <c r="AA2353" i="2" s="1"/>
  <c r="AA2354" i="2" a="1"/>
  <c r="AA2354" i="2" s="1"/>
  <c r="AA2355" i="2" a="1"/>
  <c r="AA2355" i="2" s="1"/>
  <c r="AA2356" i="2" a="1"/>
  <c r="AA2356" i="2" s="1"/>
  <c r="AA2357" i="2" a="1"/>
  <c r="AA2357" i="2" s="1"/>
  <c r="AA2358" i="2" a="1"/>
  <c r="AA2358" i="2" s="1"/>
  <c r="AA2359" i="2" a="1"/>
  <c r="AA2359" i="2" s="1"/>
  <c r="AA2360" i="2" a="1"/>
  <c r="AA2360" i="2" s="1"/>
  <c r="AA2361" i="2" a="1"/>
  <c r="AA2361" i="2" s="1"/>
  <c r="AA2362" i="2" a="1"/>
  <c r="AA2362" i="2" s="1"/>
  <c r="AA2363" i="2" a="1"/>
  <c r="AA2363" i="2" s="1"/>
  <c r="AA2364" i="2" a="1"/>
  <c r="AA2364" i="2" s="1"/>
  <c r="AA2365" i="2" a="1"/>
  <c r="AA2365" i="2" s="1"/>
  <c r="AA2366" i="2" a="1"/>
  <c r="AA2366" i="2"/>
  <c r="AA2367" i="2" a="1"/>
  <c r="AA2367" i="2" s="1"/>
  <c r="AA2368" i="2" a="1"/>
  <c r="AA2368" i="2"/>
  <c r="AA2369" i="2" a="1"/>
  <c r="AA2369" i="2" s="1"/>
  <c r="AA2370" i="2" a="1"/>
  <c r="AA2370" i="2" s="1"/>
  <c r="AA2371" i="2" a="1"/>
  <c r="AA2371" i="2" s="1"/>
  <c r="AA2372" i="2" a="1"/>
  <c r="AA2372" i="2" s="1"/>
  <c r="AA2373" i="2" a="1"/>
  <c r="AA2373" i="2"/>
  <c r="AA2374" i="2" a="1"/>
  <c r="AA2374" i="2" s="1"/>
  <c r="AA2375" i="2" a="1"/>
  <c r="AA2375" i="2" s="1"/>
  <c r="AA2376" i="2" a="1"/>
  <c r="AA2376" i="2" s="1"/>
  <c r="AA2377" i="2" a="1"/>
  <c r="AA2377" i="2" s="1"/>
  <c r="AA2378" i="2" a="1"/>
  <c r="AA2378" i="2" s="1"/>
  <c r="AA2379" i="2" a="1"/>
  <c r="AA2379" i="2" s="1"/>
  <c r="AA2380" i="2" a="1"/>
  <c r="AA2380" i="2" s="1"/>
  <c r="AA2381" i="2" a="1"/>
  <c r="AA2381" i="2" s="1"/>
  <c r="AA2382" i="2" a="1"/>
  <c r="AA2382" i="2" s="1"/>
  <c r="AA2383" i="2" a="1"/>
  <c r="AA2383" i="2" s="1"/>
  <c r="AA2384" i="2" a="1"/>
  <c r="AA2384" i="2" s="1"/>
  <c r="AA2385" i="2" a="1"/>
  <c r="AA2385" i="2" s="1"/>
  <c r="AA2386" i="2" a="1"/>
  <c r="AA2386" i="2" s="1"/>
  <c r="AA2387" i="2" a="1"/>
  <c r="AA2387" i="2" s="1"/>
  <c r="AA2388" i="2" a="1"/>
  <c r="AA2388" i="2" s="1"/>
  <c r="AA2389" i="2" a="1"/>
  <c r="AA2389" i="2" s="1"/>
  <c r="AA2390" i="2" a="1"/>
  <c r="AA2390" i="2" s="1"/>
  <c r="AA2391" i="2" a="1"/>
  <c r="AA2391" i="2" s="1"/>
  <c r="AA2392" i="2" a="1"/>
  <c r="AA2392" i="2" s="1"/>
  <c r="AA2393" i="2" a="1"/>
  <c r="AA2393" i="2" s="1"/>
  <c r="AA2394" i="2" a="1"/>
  <c r="AA2394" i="2" s="1"/>
  <c r="AA2395" i="2" a="1"/>
  <c r="AA2395" i="2" s="1"/>
  <c r="AA2396" i="2" a="1"/>
  <c r="AA2396" i="2" s="1"/>
  <c r="AA2397" i="2" a="1"/>
  <c r="AA2397" i="2" s="1"/>
  <c r="AA2398" i="2" a="1"/>
  <c r="AA2398" i="2" s="1"/>
  <c r="AA2399" i="2" a="1"/>
  <c r="AA2399" i="2" s="1"/>
  <c r="AA2400" i="2" a="1"/>
  <c r="AA2400" i="2" s="1"/>
  <c r="AA2401" i="2" a="1"/>
  <c r="AA2401" i="2" s="1"/>
  <c r="AA2402" i="2" a="1"/>
  <c r="AA2402" i="2" s="1"/>
  <c r="AA2403" i="2" a="1"/>
  <c r="AA2403" i="2" s="1"/>
  <c r="AA2404" i="2" a="1"/>
  <c r="AA2404" i="2" s="1"/>
  <c r="AA2405" i="2" a="1"/>
  <c r="AA2405" i="2" s="1"/>
  <c r="AA2406" i="2" a="1"/>
  <c r="AA2406" i="2" s="1"/>
  <c r="AA2407" i="2" a="1"/>
  <c r="AA2407" i="2" s="1"/>
  <c r="AA2408" i="2" a="1"/>
  <c r="AA2408" i="2" s="1"/>
  <c r="AA2409" i="2" a="1"/>
  <c r="AA2409" i="2" s="1"/>
  <c r="AA2410" i="2" a="1"/>
  <c r="AA2410" i="2" s="1"/>
  <c r="AA2411" i="2" a="1"/>
  <c r="AA2411" i="2" s="1"/>
  <c r="AA2412" i="2" a="1"/>
  <c r="AA2412" i="2" s="1"/>
  <c r="AA2413" i="2" a="1"/>
  <c r="AA2413" i="2" s="1"/>
  <c r="AA2414" i="2" a="1"/>
  <c r="AA2414" i="2" s="1"/>
  <c r="AA2415" i="2" a="1"/>
  <c r="AA2415" i="2"/>
  <c r="AA2416" i="2" a="1"/>
  <c r="AA2416" i="2" s="1"/>
  <c r="AA2417" i="2" a="1"/>
  <c r="AA2417" i="2" s="1"/>
  <c r="AA2418" i="2" a="1"/>
  <c r="AA2418" i="2" s="1"/>
  <c r="AA2419" i="2" a="1"/>
  <c r="AA2419" i="2"/>
  <c r="AA2420" i="2" a="1"/>
  <c r="AA2420" i="2" s="1"/>
  <c r="AA2421" i="2" a="1"/>
  <c r="AA2421" i="2" s="1"/>
  <c r="AA2422" i="2" a="1"/>
  <c r="AA2422" i="2" s="1"/>
  <c r="AA2423" i="2" a="1"/>
  <c r="AA2423" i="2" s="1"/>
  <c r="AA2424" i="2" a="1"/>
  <c r="AA2424" i="2" s="1"/>
  <c r="AA2425" i="2" a="1"/>
  <c r="AA2425" i="2" s="1"/>
  <c r="AA2426" i="2" a="1"/>
  <c r="AA2426" i="2" s="1"/>
  <c r="AA2427" i="2" a="1"/>
  <c r="AA2427" i="2" s="1"/>
  <c r="AA2428" i="2" a="1"/>
  <c r="AA2428" i="2" s="1"/>
  <c r="AA2429" i="2" a="1"/>
  <c r="AA2429" i="2" s="1"/>
  <c r="AA2430" i="2" a="1"/>
  <c r="AA2430" i="2" s="1"/>
  <c r="AA2431" i="2" a="1"/>
  <c r="AA2431" i="2" s="1"/>
  <c r="AA2432" i="2" a="1"/>
  <c r="AA2432" i="2" s="1"/>
  <c r="AA2433" i="2" a="1"/>
  <c r="AA2433" i="2" s="1"/>
  <c r="AA2434" i="2" a="1"/>
  <c r="AA2434" i="2" s="1"/>
  <c r="AA2435" i="2" a="1"/>
  <c r="AA2435" i="2" s="1"/>
  <c r="AA2436" i="2" a="1"/>
  <c r="AA2436" i="2" s="1"/>
  <c r="AA2437" i="2" a="1"/>
  <c r="AA2437" i="2" s="1"/>
  <c r="AA2438" i="2" a="1"/>
  <c r="AA2438" i="2" s="1"/>
  <c r="AA2439" i="2" a="1"/>
  <c r="AA2439" i="2" s="1"/>
  <c r="AA2440" i="2" a="1"/>
  <c r="AA2440" i="2" s="1"/>
  <c r="AA2441" i="2" a="1"/>
  <c r="AA2441" i="2" s="1"/>
  <c r="AA2442" i="2" a="1"/>
  <c r="AA2442" i="2" s="1"/>
  <c r="AA2443" i="2" a="1"/>
  <c r="AA2443" i="2" s="1"/>
  <c r="AA2444" i="2" a="1"/>
  <c r="AA2444" i="2" s="1"/>
  <c r="AA2445" i="2" a="1"/>
  <c r="AA2445" i="2" s="1"/>
  <c r="AA2446" i="2" a="1"/>
  <c r="AA2446" i="2" s="1"/>
  <c r="AA2447" i="2" a="1"/>
  <c r="AA2447" i="2" s="1"/>
  <c r="AA2448" i="2" a="1"/>
  <c r="AA2448" i="2" s="1"/>
  <c r="AA2449" i="2" a="1"/>
  <c r="AA2449" i="2" s="1"/>
  <c r="AA2450" i="2" a="1"/>
  <c r="AA2450" i="2" s="1"/>
  <c r="AA2451" i="2" a="1"/>
  <c r="AA2451" i="2" s="1"/>
  <c r="AA2452" i="2" a="1"/>
  <c r="AA2452" i="2" s="1"/>
  <c r="AA2453" i="2" a="1"/>
  <c r="AA2453" i="2" s="1"/>
  <c r="AA2454" i="2" a="1"/>
  <c r="AA2454" i="2" s="1"/>
  <c r="AA2455" i="2" a="1"/>
  <c r="AA2455" i="2" s="1"/>
  <c r="AA2456" i="2" a="1"/>
  <c r="AA2456" i="2" s="1"/>
  <c r="AA2457" i="2" a="1"/>
  <c r="AA2457" i="2" s="1"/>
  <c r="AA2458" i="2" a="1"/>
  <c r="AA2458" i="2" s="1"/>
  <c r="AA2459" i="2" a="1"/>
  <c r="AA2459" i="2" s="1"/>
  <c r="AA2460" i="2" a="1"/>
  <c r="AA2460" i="2" s="1"/>
  <c r="AA2461" i="2" a="1"/>
  <c r="AA2461" i="2" s="1"/>
  <c r="AA2462" i="2" a="1"/>
  <c r="AA2462" i="2" s="1"/>
  <c r="AA2463" i="2" a="1"/>
  <c r="AA2463" i="2" s="1"/>
  <c r="AA2464" i="2" a="1"/>
  <c r="AA2464" i="2" s="1"/>
  <c r="AA2465" i="2" a="1"/>
  <c r="AA2465" i="2" s="1"/>
  <c r="AA2466" i="2" a="1"/>
  <c r="AA2466" i="2" s="1"/>
  <c r="AA2467" i="2" a="1"/>
  <c r="AA2467" i="2" s="1"/>
  <c r="AA2468" i="2" a="1"/>
  <c r="AA2468" i="2" s="1"/>
  <c r="AA2469" i="2" a="1"/>
  <c r="AA2469" i="2" s="1"/>
  <c r="AA2470" i="2" a="1"/>
  <c r="AA2470" i="2" s="1"/>
  <c r="AA2471" i="2" a="1"/>
  <c r="AA2471" i="2" s="1"/>
  <c r="AA2472" i="2" a="1"/>
  <c r="AA2472" i="2" s="1"/>
  <c r="AA2473" i="2" a="1"/>
  <c r="AA2473" i="2" s="1"/>
  <c r="AA2474" i="2" a="1"/>
  <c r="AA2474" i="2" s="1"/>
  <c r="AA2475" i="2" a="1"/>
  <c r="AA2475" i="2" s="1"/>
  <c r="AA2476" i="2" a="1"/>
  <c r="AA2476" i="2" s="1"/>
  <c r="AA2477" i="2" a="1"/>
  <c r="AA2477" i="2"/>
  <c r="AA2478" i="2" a="1"/>
  <c r="AA2478" i="2" s="1"/>
  <c r="AA2479" i="2" a="1"/>
  <c r="AA2479" i="2" s="1"/>
  <c r="AA2480" i="2" a="1"/>
  <c r="AA2480" i="2" s="1"/>
  <c r="AA2481" i="2" a="1"/>
  <c r="AA2481" i="2" s="1"/>
  <c r="AA2482" i="2" a="1"/>
  <c r="AA2482" i="2" s="1"/>
  <c r="AA2483" i="2" a="1"/>
  <c r="AA2483" i="2" s="1"/>
  <c r="AA2484" i="2" a="1"/>
  <c r="AA2484" i="2" s="1"/>
  <c r="AA2485" i="2" a="1"/>
  <c r="AA2485" i="2" s="1"/>
  <c r="AA2486" i="2" a="1"/>
  <c r="AA2486" i="2" s="1"/>
  <c r="AA2487" i="2" a="1"/>
  <c r="AA2487" i="2" s="1"/>
  <c r="AA2488" i="2" a="1"/>
  <c r="AA2488" i="2" s="1"/>
  <c r="AA2489" i="2" a="1"/>
  <c r="AA2489" i="2" s="1"/>
  <c r="AA2490" i="2" a="1"/>
  <c r="AA2490" i="2" s="1"/>
  <c r="AA2491" i="2" a="1"/>
  <c r="AA2491" i="2" s="1"/>
  <c r="AA2492" i="2" a="1"/>
  <c r="AA2492" i="2" s="1"/>
  <c r="AA2493" i="2" a="1"/>
  <c r="AA2493" i="2" s="1"/>
  <c r="AA2494" i="2" a="1"/>
  <c r="AA2494" i="2" s="1"/>
  <c r="AA2495" i="2" a="1"/>
  <c r="AA2495" i="2" s="1"/>
  <c r="AA2496" i="2" a="1"/>
  <c r="AA2496" i="2" s="1"/>
  <c r="AA2497" i="2" a="1"/>
  <c r="AA2497" i="2" s="1"/>
  <c r="AA2498" i="2" a="1"/>
  <c r="AA2498" i="2" s="1"/>
  <c r="AA2499" i="2" a="1"/>
  <c r="AA2499" i="2" s="1"/>
  <c r="AA2500" i="2" a="1"/>
  <c r="AA2500" i="2" s="1"/>
  <c r="AA2501" i="2" a="1"/>
  <c r="AA2501" i="2" s="1"/>
  <c r="AA2502" i="2" a="1"/>
  <c r="AA2502" i="2" s="1"/>
  <c r="AA2503" i="2" a="1"/>
  <c r="AA2503" i="2" s="1"/>
  <c r="AA2504" i="2" a="1"/>
  <c r="AA2504" i="2" s="1"/>
  <c r="AA2505" i="2" a="1"/>
  <c r="AA2505" i="2" s="1"/>
  <c r="AA2506" i="2" a="1"/>
  <c r="AA2506" i="2" s="1"/>
  <c r="AA2507" i="2" a="1"/>
  <c r="AA2507" i="2" s="1"/>
  <c r="AA2508" i="2" a="1"/>
  <c r="AA2508" i="2" s="1"/>
  <c r="AA2509" i="2" a="1"/>
  <c r="AA2509" i="2" s="1"/>
  <c r="AA2510" i="2" a="1"/>
  <c r="AA2510" i="2" s="1"/>
  <c r="AA2511" i="2" a="1"/>
  <c r="AA2511" i="2" s="1"/>
  <c r="AA2512" i="2" a="1"/>
  <c r="AA2512" i="2" s="1"/>
  <c r="AA2513" i="2" a="1"/>
  <c r="AA2513" i="2" s="1"/>
  <c r="AA2514" i="2" a="1"/>
  <c r="AA2514" i="2" s="1"/>
  <c r="AA2515" i="2" a="1"/>
  <c r="AA2515" i="2" s="1"/>
  <c r="AA2516" i="2" a="1"/>
  <c r="AA2516" i="2" s="1"/>
  <c r="AA2517" i="2" a="1"/>
  <c r="AA2517" i="2" s="1"/>
  <c r="AA2518" i="2" a="1"/>
  <c r="AA2518" i="2" s="1"/>
  <c r="AA2519" i="2" a="1"/>
  <c r="AA2519" i="2" s="1"/>
  <c r="AA2520" i="2" a="1"/>
  <c r="AA2520" i="2" s="1"/>
  <c r="AA2521" i="2" a="1"/>
  <c r="AA2521" i="2" s="1"/>
  <c r="AA2522" i="2" a="1"/>
  <c r="AA2522" i="2" s="1"/>
  <c r="AA2523" i="2" a="1"/>
  <c r="AA2523" i="2" s="1"/>
  <c r="AA2524" i="2" a="1"/>
  <c r="AA2524" i="2" s="1"/>
  <c r="AA2525" i="2" a="1"/>
  <c r="AA2525" i="2" s="1"/>
  <c r="AA2526" i="2" a="1"/>
  <c r="AA2526" i="2" s="1"/>
  <c r="AA2527" i="2" a="1"/>
  <c r="AA2527" i="2" s="1"/>
  <c r="AA2528" i="2" a="1"/>
  <c r="AA2528" i="2" s="1"/>
  <c r="AA2529" i="2" a="1"/>
  <c r="AA2529" i="2" s="1"/>
  <c r="AA2530" i="2" a="1"/>
  <c r="AA2530" i="2" s="1"/>
  <c r="AA2531" i="2" a="1"/>
  <c r="AA2531" i="2" s="1"/>
  <c r="AA2532" i="2" a="1"/>
  <c r="AA2532" i="2" s="1"/>
  <c r="AA2533" i="2" a="1"/>
  <c r="AA2533" i="2" s="1"/>
  <c r="AA2534" i="2" a="1"/>
  <c r="AA2534" i="2" s="1"/>
  <c r="AA2535" i="2" a="1"/>
  <c r="AA2535" i="2" s="1"/>
  <c r="AA2536" i="2" a="1"/>
  <c r="AA2536" i="2" s="1"/>
  <c r="AA2537" i="2" a="1"/>
  <c r="AA2537" i="2" s="1"/>
  <c r="AA2538" i="2" a="1"/>
  <c r="AA2538" i="2" s="1"/>
  <c r="AA2539" i="2" a="1"/>
  <c r="AA2539" i="2" s="1"/>
  <c r="AA2540" i="2" a="1"/>
  <c r="AA2540" i="2" s="1"/>
  <c r="AA2541" i="2" a="1"/>
  <c r="AA2541" i="2" s="1"/>
  <c r="AA2542" i="2" a="1"/>
  <c r="AA2542" i="2" s="1"/>
  <c r="AA2543" i="2" a="1"/>
  <c r="AA2543" i="2" s="1"/>
  <c r="AA2544" i="2" a="1"/>
  <c r="AA2544" i="2" s="1"/>
  <c r="AA2545" i="2" a="1"/>
  <c r="AA2545" i="2" s="1"/>
  <c r="AA2546" i="2" a="1"/>
  <c r="AA2546" i="2" s="1"/>
  <c r="AA2547" i="2" a="1"/>
  <c r="AA2547" i="2" s="1"/>
  <c r="AA2548" i="2" a="1"/>
  <c r="AA2548" i="2" s="1"/>
  <c r="AA2549" i="2" a="1"/>
  <c r="AA2549" i="2" s="1"/>
  <c r="AA2550" i="2" a="1"/>
  <c r="AA2550" i="2" s="1"/>
  <c r="AA2551" i="2" a="1"/>
  <c r="AA2551" i="2" s="1"/>
  <c r="AA2552" i="2" a="1"/>
  <c r="AA2552" i="2" s="1"/>
  <c r="AA2553" i="2" a="1"/>
  <c r="AA2553" i="2" s="1"/>
  <c r="AA2554" i="2" a="1"/>
  <c r="AA2554" i="2" s="1"/>
  <c r="AA2555" i="2" a="1"/>
  <c r="AA2555" i="2" s="1"/>
  <c r="AA2556" i="2" a="1"/>
  <c r="AA2556" i="2" s="1"/>
  <c r="AA2557" i="2" a="1"/>
  <c r="AA2557" i="2" s="1"/>
  <c r="AA2558" i="2" a="1"/>
  <c r="AA2558" i="2" s="1"/>
  <c r="AA2559" i="2" a="1"/>
  <c r="AA2559" i="2" s="1"/>
  <c r="AA2560" i="2" a="1"/>
  <c r="AA2560" i="2" s="1"/>
  <c r="AA2561" i="2" a="1"/>
  <c r="AA2561" i="2" s="1"/>
  <c r="AA2562" i="2" a="1"/>
  <c r="AA2562" i="2" s="1"/>
  <c r="AA2563" i="2" a="1"/>
  <c r="AA2563" i="2" s="1"/>
  <c r="AA2564" i="2" a="1"/>
  <c r="AA2564" i="2" s="1"/>
  <c r="AA2565" i="2" a="1"/>
  <c r="AA2565" i="2" s="1"/>
  <c r="AA2566" i="2" a="1"/>
  <c r="AA2566" i="2" s="1"/>
  <c r="AA2567" i="2" a="1"/>
  <c r="AA2567" i="2" s="1"/>
  <c r="AA2568" i="2" a="1"/>
  <c r="AA2568" i="2" s="1"/>
  <c r="AA2569" i="2" a="1"/>
  <c r="AA2569" i="2" s="1"/>
  <c r="AA2570" i="2" a="1"/>
  <c r="AA2570" i="2" s="1"/>
  <c r="AA2571" i="2" a="1"/>
  <c r="AA2571" i="2" s="1"/>
  <c r="AA2572" i="2" a="1"/>
  <c r="AA2572" i="2" s="1"/>
  <c r="AA2573" i="2" a="1"/>
  <c r="AA2573" i="2" s="1"/>
  <c r="AA2574" i="2" a="1"/>
  <c r="AA2574" i="2" s="1"/>
  <c r="AA2575" i="2" a="1"/>
  <c r="AA2575" i="2" s="1"/>
  <c r="AA2576" i="2" a="1"/>
  <c r="AA2576" i="2" s="1"/>
  <c r="AA2577" i="2" a="1"/>
  <c r="AA2577" i="2" s="1"/>
  <c r="AA2578" i="2" a="1"/>
  <c r="AA2578" i="2" s="1"/>
  <c r="AA2579" i="2" a="1"/>
  <c r="AA2579" i="2" s="1"/>
  <c r="AA2580" i="2" a="1"/>
  <c r="AA2580" i="2" s="1"/>
  <c r="AA2581" i="2" a="1"/>
  <c r="AA2581" i="2" s="1"/>
  <c r="AA2582" i="2" a="1"/>
  <c r="AA2582" i="2" s="1"/>
  <c r="AA2583" i="2" a="1"/>
  <c r="AA2583" i="2" s="1"/>
  <c r="AA2584" i="2" a="1"/>
  <c r="AA2584" i="2" s="1"/>
  <c r="AA2585" i="2" a="1"/>
  <c r="AA2585" i="2" s="1"/>
  <c r="AA2586" i="2" a="1"/>
  <c r="AA2586" i="2" s="1"/>
  <c r="AA2587" i="2" a="1"/>
  <c r="AA2587" i="2" s="1"/>
  <c r="AA2588" i="2" a="1"/>
  <c r="AA2588" i="2" s="1"/>
  <c r="AA2589" i="2" a="1"/>
  <c r="AA2589" i="2" s="1"/>
  <c r="AA2590" i="2" a="1"/>
  <c r="AA2590" i="2" s="1"/>
  <c r="AA2591" i="2" a="1"/>
  <c r="AA2591" i="2" s="1"/>
  <c r="AA2592" i="2" a="1"/>
  <c r="AA2592" i="2" s="1"/>
  <c r="AA2593" i="2" a="1"/>
  <c r="AA2593" i="2" s="1"/>
  <c r="AA2594" i="2" a="1"/>
  <c r="AA2594" i="2" s="1"/>
  <c r="AA2595" i="2" a="1"/>
  <c r="AA2595" i="2" s="1"/>
  <c r="AA2596" i="2" a="1"/>
  <c r="AA2596" i="2" s="1"/>
  <c r="AA2597" i="2" a="1"/>
  <c r="AA2597" i="2" s="1"/>
  <c r="AA2598" i="2" a="1"/>
  <c r="AA2598" i="2" s="1"/>
  <c r="AA2599" i="2" a="1"/>
  <c r="AA2599" i="2" s="1"/>
  <c r="AA2600" i="2" a="1"/>
  <c r="AA2600" i="2" s="1"/>
  <c r="AA2601" i="2" a="1"/>
  <c r="AA2601" i="2" s="1"/>
  <c r="AA2602" i="2" a="1"/>
  <c r="AA2602" i="2" s="1"/>
  <c r="AA2603" i="2" a="1"/>
  <c r="AA2603" i="2" s="1"/>
  <c r="AA2604" i="2" a="1"/>
  <c r="AA2604" i="2" s="1"/>
  <c r="AA2605" i="2" a="1"/>
  <c r="AA2605" i="2" s="1"/>
  <c r="AA2606" i="2" a="1"/>
  <c r="AA2606" i="2" s="1"/>
  <c r="AA2607" i="2" a="1"/>
  <c r="AA2607" i="2" s="1"/>
  <c r="AA2608" i="2" a="1"/>
  <c r="AA2608" i="2" s="1"/>
  <c r="AA2609" i="2" a="1"/>
  <c r="AA2609" i="2" s="1"/>
  <c r="AA2610" i="2" a="1"/>
  <c r="AA2610" i="2" s="1"/>
  <c r="AA2611" i="2" a="1"/>
  <c r="AA2611" i="2" s="1"/>
  <c r="AA2612" i="2" a="1"/>
  <c r="AA2612" i="2" s="1"/>
  <c r="AA2613" i="2" a="1"/>
  <c r="AA2613" i="2" s="1"/>
  <c r="AA2614" i="2" a="1"/>
  <c r="AA2614" i="2" s="1"/>
  <c r="AA2615" i="2" a="1"/>
  <c r="AA2615" i="2" s="1"/>
  <c r="AA2616" i="2" a="1"/>
  <c r="AA2616" i="2" s="1"/>
  <c r="AA2617" i="2" a="1"/>
  <c r="AA2617" i="2" s="1"/>
  <c r="AA2618" i="2" a="1"/>
  <c r="AA2618" i="2" s="1"/>
  <c r="AA2619" i="2" a="1"/>
  <c r="AA2619" i="2" s="1"/>
  <c r="AA2620" i="2" a="1"/>
  <c r="AA2620" i="2" s="1"/>
  <c r="AA2621" i="2" a="1"/>
  <c r="AA2621" i="2" s="1"/>
  <c r="AA2622" i="2" a="1"/>
  <c r="AA2622" i="2" s="1"/>
  <c r="AA2623" i="2" a="1"/>
  <c r="AA2623" i="2" s="1"/>
  <c r="AA2624" i="2" a="1"/>
  <c r="AA2624" i="2" s="1"/>
  <c r="AA2625" i="2" a="1"/>
  <c r="AA2625" i="2" s="1"/>
  <c r="AA2626" i="2" a="1"/>
  <c r="AA2626" i="2" s="1"/>
  <c r="AA2627" i="2" a="1"/>
  <c r="AA2627" i="2" s="1"/>
  <c r="AA2628" i="2" a="1"/>
  <c r="AA2628" i="2" s="1"/>
  <c r="AA2629" i="2" a="1"/>
  <c r="AA2629" i="2" s="1"/>
  <c r="AA2630" i="2" a="1"/>
  <c r="AA2630" i="2" s="1"/>
  <c r="AA2631" i="2" a="1"/>
  <c r="AA2631" i="2" s="1"/>
  <c r="AA2632" i="2" a="1"/>
  <c r="AA2632" i="2" s="1"/>
  <c r="AA2633" i="2" a="1"/>
  <c r="AA2633" i="2" s="1"/>
  <c r="AA2634" i="2" a="1"/>
  <c r="AA2634" i="2" s="1"/>
  <c r="AA2635" i="2" a="1"/>
  <c r="AA2635" i="2" s="1"/>
  <c r="AA2636" i="2" a="1"/>
  <c r="AA2636" i="2" s="1"/>
  <c r="AA2637" i="2" a="1"/>
  <c r="AA2637" i="2" s="1"/>
  <c r="AA2638" i="2" a="1"/>
  <c r="AA2638" i="2" s="1"/>
  <c r="AA2639" i="2" a="1"/>
  <c r="AA2639" i="2" s="1"/>
  <c r="AA2640" i="2" a="1"/>
  <c r="AA2640" i="2" s="1"/>
  <c r="AA2641" i="2" a="1"/>
  <c r="AA2641" i="2" s="1"/>
  <c r="AA2642" i="2" a="1"/>
  <c r="AA2642" i="2" s="1"/>
  <c r="AA2643" i="2" a="1"/>
  <c r="AA2643" i="2" s="1"/>
  <c r="AA2644" i="2" a="1"/>
  <c r="AA2644" i="2" s="1"/>
  <c r="AA2645" i="2" a="1"/>
  <c r="AA2645" i="2" s="1"/>
  <c r="AA2646" i="2" a="1"/>
  <c r="AA2646" i="2" s="1"/>
  <c r="AA2647" i="2" a="1"/>
  <c r="AA2647" i="2" s="1"/>
  <c r="AA2648" i="2" a="1"/>
  <c r="AA2648" i="2" s="1"/>
  <c r="AA2649" i="2" a="1"/>
  <c r="AA2649" i="2" s="1"/>
  <c r="AA2650" i="2" a="1"/>
  <c r="AA2650" i="2" s="1"/>
  <c r="AA2651" i="2" a="1"/>
  <c r="AA2651" i="2" s="1"/>
  <c r="AA2652" i="2" a="1"/>
  <c r="AA2652" i="2" s="1"/>
  <c r="AA2653" i="2" a="1"/>
  <c r="AA2653" i="2" s="1"/>
  <c r="AA2654" i="2" a="1"/>
  <c r="AA2654" i="2" s="1"/>
  <c r="AA2655" i="2" a="1"/>
  <c r="AA2655" i="2" s="1"/>
  <c r="AA2656" i="2" a="1"/>
  <c r="AA2656" i="2" s="1"/>
  <c r="AA2657" i="2" a="1"/>
  <c r="AA2657" i="2" s="1"/>
  <c r="AA2658" i="2" a="1"/>
  <c r="AA2658" i="2" s="1"/>
  <c r="AA2659" i="2" a="1"/>
  <c r="AA2659" i="2" s="1"/>
  <c r="AA2660" i="2" a="1"/>
  <c r="AA2660" i="2" s="1"/>
  <c r="AA2661" i="2" a="1"/>
  <c r="AA2661" i="2" s="1"/>
  <c r="AA2662" i="2" a="1"/>
  <c r="AA2662" i="2" s="1"/>
  <c r="AA2663" i="2" a="1"/>
  <c r="AA2663" i="2" s="1"/>
  <c r="AA2664" i="2" a="1"/>
  <c r="AA2664" i="2" s="1"/>
  <c r="AA2665" i="2" a="1"/>
  <c r="AA2665" i="2" s="1"/>
  <c r="AA2666" i="2" a="1"/>
  <c r="AA2666" i="2" s="1"/>
  <c r="AA2667" i="2" a="1"/>
  <c r="AA2667" i="2" s="1"/>
  <c r="AA2668" i="2" a="1"/>
  <c r="AA2668" i="2" s="1"/>
  <c r="AA2669" i="2" a="1"/>
  <c r="AA2669" i="2" s="1"/>
  <c r="AA2670" i="2" a="1"/>
  <c r="AA2670" i="2" s="1"/>
  <c r="AA2671" i="2" a="1"/>
  <c r="AA2671" i="2" s="1"/>
  <c r="AA2672" i="2" a="1"/>
  <c r="AA2672" i="2" s="1"/>
  <c r="AA2673" i="2" a="1"/>
  <c r="AA2673" i="2" s="1"/>
  <c r="AA2674" i="2" a="1"/>
  <c r="AA2674" i="2" s="1"/>
  <c r="AA2675" i="2" a="1"/>
  <c r="AA2675" i="2" s="1"/>
  <c r="AA2676" i="2" a="1"/>
  <c r="AA2676" i="2" s="1"/>
  <c r="AA2677" i="2" a="1"/>
  <c r="AA2677" i="2" s="1"/>
  <c r="AA2678" i="2" a="1"/>
  <c r="AA2678" i="2" s="1"/>
  <c r="AA2679" i="2" a="1"/>
  <c r="AA2679" i="2" s="1"/>
  <c r="AA2680" i="2" a="1"/>
  <c r="AA2680" i="2" s="1"/>
  <c r="AA2681" i="2" a="1"/>
  <c r="AA2681" i="2" s="1"/>
  <c r="AA2682" i="2" a="1"/>
  <c r="AA2682" i="2" s="1"/>
  <c r="AA2683" i="2" a="1"/>
  <c r="AA2683" i="2" s="1"/>
  <c r="AA2684" i="2" a="1"/>
  <c r="AA2684" i="2" s="1"/>
  <c r="AA2685" i="2" a="1"/>
  <c r="AA2685" i="2" s="1"/>
  <c r="AA2686" i="2" a="1"/>
  <c r="AA2686" i="2" s="1"/>
  <c r="AA2687" i="2" a="1"/>
  <c r="AA2687" i="2" s="1"/>
  <c r="AA2688" i="2" a="1"/>
  <c r="AA2688" i="2" s="1"/>
  <c r="AA2689" i="2" a="1"/>
  <c r="AA2689" i="2" s="1"/>
  <c r="AA2690" i="2" a="1"/>
  <c r="AA2690" i="2" s="1"/>
  <c r="AA2691" i="2" a="1"/>
  <c r="AA2691" i="2" s="1"/>
  <c r="AA2692" i="2" a="1"/>
  <c r="AA2692" i="2" s="1"/>
  <c r="AA2693" i="2" a="1"/>
  <c r="AA2693" i="2" s="1"/>
  <c r="AA2694" i="2" a="1"/>
  <c r="AA2694" i="2" s="1"/>
  <c r="AA2695" i="2" a="1"/>
  <c r="AA2695" i="2" s="1"/>
  <c r="AA2696" i="2" a="1"/>
  <c r="AA2696" i="2" s="1"/>
  <c r="AA2697" i="2" a="1"/>
  <c r="AA2697" i="2" s="1"/>
  <c r="AA2698" i="2" a="1"/>
  <c r="AA2698" i="2" s="1"/>
  <c r="AA2699" i="2" a="1"/>
  <c r="AA2699" i="2" s="1"/>
  <c r="AA2700" i="2" a="1"/>
  <c r="AA2700" i="2" s="1"/>
  <c r="AA2701" i="2" a="1"/>
  <c r="AA2701" i="2" s="1"/>
  <c r="AA2702" i="2" a="1"/>
  <c r="AA2702" i="2" s="1"/>
  <c r="AA2703" i="2" a="1"/>
  <c r="AA2703" i="2" s="1"/>
  <c r="AA2704" i="2" a="1"/>
  <c r="AA2704" i="2" s="1"/>
  <c r="AA2705" i="2" a="1"/>
  <c r="AA2705" i="2" s="1"/>
  <c r="AA2706" i="2" a="1"/>
  <c r="AA2706" i="2" s="1"/>
  <c r="AA2707" i="2" a="1"/>
  <c r="AA2707" i="2" s="1"/>
  <c r="AA2708" i="2" a="1"/>
  <c r="AA2708" i="2" s="1"/>
  <c r="AA2709" i="2" a="1"/>
  <c r="AA2709" i="2" s="1"/>
  <c r="AA2710" i="2" a="1"/>
  <c r="AA2710" i="2" s="1"/>
  <c r="AA2711" i="2" a="1"/>
  <c r="AA2711" i="2" s="1"/>
  <c r="AA2712" i="2" a="1"/>
  <c r="AA2712" i="2" s="1"/>
  <c r="AA2713" i="2" a="1"/>
  <c r="AA2713" i="2" s="1"/>
  <c r="AA2714" i="2" a="1"/>
  <c r="AA2714" i="2" s="1"/>
  <c r="AA2715" i="2" a="1"/>
  <c r="AA2715" i="2" s="1"/>
  <c r="AA2716" i="2" a="1"/>
  <c r="AA2716" i="2" s="1"/>
  <c r="AA2717" i="2" a="1"/>
  <c r="AA2717" i="2" s="1"/>
  <c r="AA2718" i="2" a="1"/>
  <c r="AA2718" i="2" s="1"/>
  <c r="AA2719" i="2" a="1"/>
  <c r="AA2719" i="2" s="1"/>
  <c r="AA2720" i="2" a="1"/>
  <c r="AA2720" i="2" s="1"/>
  <c r="AA2721" i="2" a="1"/>
  <c r="AA2721" i="2" s="1"/>
  <c r="AA2722" i="2" a="1"/>
  <c r="AA2722" i="2" s="1"/>
  <c r="AA2723" i="2" a="1"/>
  <c r="AA2723" i="2" s="1"/>
  <c r="AA2724" i="2" a="1"/>
  <c r="AA2724" i="2" s="1"/>
  <c r="AA2725" i="2" a="1"/>
  <c r="AA2725" i="2" s="1"/>
  <c r="AA2726" i="2" a="1"/>
  <c r="AA2726" i="2" s="1"/>
  <c r="AA2727" i="2" a="1"/>
  <c r="AA2727" i="2" s="1"/>
  <c r="AA2728" i="2" a="1"/>
  <c r="AA2728" i="2" s="1"/>
  <c r="AA2729" i="2" a="1"/>
  <c r="AA2729" i="2" s="1"/>
  <c r="AA2730" i="2" a="1"/>
  <c r="AA2730" i="2" s="1"/>
  <c r="AA2731" i="2" a="1"/>
  <c r="AA2731" i="2" s="1"/>
  <c r="AA2732" i="2" a="1"/>
  <c r="AA2732" i="2" s="1"/>
  <c r="AA2733" i="2" a="1"/>
  <c r="AA2733" i="2" s="1"/>
  <c r="AA2734" i="2" a="1"/>
  <c r="AA2734" i="2" s="1"/>
  <c r="AA2735" i="2" a="1"/>
  <c r="AA2735" i="2" s="1"/>
  <c r="AA2736" i="2" a="1"/>
  <c r="AA2736" i="2" s="1"/>
  <c r="AA2737" i="2" a="1"/>
  <c r="AA2737" i="2" s="1"/>
  <c r="AA2738" i="2" a="1"/>
  <c r="AA2738" i="2" s="1"/>
  <c r="AA2739" i="2" a="1"/>
  <c r="AA2739" i="2" s="1"/>
  <c r="AA2740" i="2" a="1"/>
  <c r="AA2740" i="2" s="1"/>
  <c r="AA2741" i="2" a="1"/>
  <c r="AA2741" i="2" s="1"/>
  <c r="AA2742" i="2" a="1"/>
  <c r="AA2742" i="2" s="1"/>
  <c r="AA2743" i="2" a="1"/>
  <c r="AA2743" i="2" s="1"/>
  <c r="AA2744" i="2" a="1"/>
  <c r="AA2744" i="2" s="1"/>
  <c r="AA2745" i="2" a="1"/>
  <c r="AA2745" i="2" s="1"/>
  <c r="AA2746" i="2" a="1"/>
  <c r="AA2746" i="2" s="1"/>
  <c r="AA2747" i="2" a="1"/>
  <c r="AA2747" i="2" s="1"/>
  <c r="AA2748" i="2" a="1"/>
  <c r="AA2748" i="2" s="1"/>
  <c r="V609" i="2"/>
  <c r="V1155" i="2"/>
  <c r="V1707" i="2"/>
  <c r="V2247" i="2"/>
  <c r="V1537" i="2"/>
  <c r="V1538" i="2"/>
  <c r="V2086" i="2"/>
  <c r="V2087" i="2"/>
  <c r="V898" i="2"/>
  <c r="V899" i="2"/>
  <c r="V43" i="2"/>
  <c r="V610" i="2"/>
  <c r="V611" i="2"/>
  <c r="V612" i="2"/>
  <c r="V1156" i="2"/>
  <c r="V1157" i="2"/>
  <c r="V1158" i="2"/>
  <c r="V1159" i="2"/>
  <c r="V1160" i="2"/>
  <c r="V1708" i="2"/>
  <c r="V1709" i="2"/>
  <c r="V1710" i="2"/>
  <c r="V2248" i="2"/>
  <c r="V2249" i="2"/>
  <c r="V2250" i="2"/>
  <c r="V2251" i="2"/>
  <c r="V552" i="2"/>
  <c r="V553" i="2"/>
  <c r="V554" i="2"/>
  <c r="V1100" i="2"/>
  <c r="V1101" i="2"/>
  <c r="V1649" i="2"/>
  <c r="V1650" i="2"/>
  <c r="V1651" i="2"/>
  <c r="V2199" i="2"/>
  <c r="V2200" i="2"/>
  <c r="V2201" i="2"/>
  <c r="V2202" i="2"/>
  <c r="V2203" i="2"/>
  <c r="V44" i="2"/>
  <c r="V613" i="2"/>
  <c r="V614" i="2"/>
  <c r="V1161" i="2"/>
  <c r="V1162" i="2"/>
  <c r="V1711" i="2"/>
  <c r="V1712" i="2"/>
  <c r="V2252" i="2"/>
  <c r="V2253" i="2"/>
  <c r="V2254" i="2"/>
  <c r="V2255" i="2"/>
  <c r="V2256" i="2"/>
  <c r="V2257" i="2"/>
  <c r="V2258" i="2"/>
  <c r="V2259" i="2"/>
  <c r="V615" i="2"/>
  <c r="V1163" i="2"/>
  <c r="V1164" i="2"/>
  <c r="V1165" i="2"/>
  <c r="V1713" i="2"/>
  <c r="V1714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45" i="2"/>
  <c r="V46" i="2"/>
  <c r="V47" i="2"/>
  <c r="V616" i="2"/>
  <c r="V1166" i="2"/>
  <c r="V1715" i="2"/>
  <c r="V1716" i="2"/>
  <c r="V2272" i="2"/>
  <c r="V900" i="2"/>
  <c r="V901" i="2"/>
  <c r="V902" i="2"/>
  <c r="V903" i="2"/>
  <c r="V904" i="2"/>
  <c r="V1463" i="2"/>
  <c r="V1464" i="2"/>
  <c r="V1465" i="2"/>
  <c r="V2009" i="2"/>
  <c r="V2010" i="2"/>
  <c r="V2520" i="2"/>
  <c r="V2521" i="2"/>
  <c r="V2522" i="2"/>
  <c r="V2523" i="2"/>
  <c r="V2524" i="2"/>
  <c r="V2525" i="2"/>
  <c r="V974" i="2"/>
  <c r="V975" i="2"/>
  <c r="V1539" i="2"/>
  <c r="V1540" i="2"/>
  <c r="V1541" i="2"/>
  <c r="V2088" i="2"/>
  <c r="V617" i="2"/>
  <c r="V618" i="2"/>
  <c r="V619" i="2"/>
  <c r="V1167" i="2"/>
  <c r="V1168" i="2"/>
  <c r="V1717" i="2"/>
  <c r="V1718" i="2"/>
  <c r="V1719" i="2"/>
  <c r="V1720" i="2"/>
  <c r="V1721" i="2"/>
  <c r="V1722" i="2"/>
  <c r="V1723" i="2"/>
  <c r="V1724" i="2"/>
  <c r="V2273" i="2"/>
  <c r="V2274" i="2"/>
  <c r="V2275" i="2"/>
  <c r="V460" i="2"/>
  <c r="V1563" i="2"/>
  <c r="V620" i="2"/>
  <c r="V621" i="2"/>
  <c r="V1725" i="2"/>
  <c r="V2276" i="2"/>
  <c r="V438" i="2"/>
  <c r="V976" i="2"/>
  <c r="V1542" i="2"/>
  <c r="V1543" i="2"/>
  <c r="V2089" i="2"/>
  <c r="V2090" i="2"/>
  <c r="V2091" i="2"/>
  <c r="V2614" i="2"/>
  <c r="V2615" i="2"/>
  <c r="V2616" i="2"/>
  <c r="V995" i="2"/>
  <c r="V996" i="2"/>
  <c r="V2111" i="2"/>
  <c r="V2628" i="2"/>
  <c r="V2629" i="2"/>
  <c r="V2703" i="2"/>
  <c r="V622" i="2"/>
  <c r="V623" i="2"/>
  <c r="V624" i="2"/>
  <c r="V1169" i="2"/>
  <c r="V1170" i="2"/>
  <c r="V1171" i="2"/>
  <c r="V1172" i="2"/>
  <c r="V1726" i="2"/>
  <c r="V2277" i="2"/>
  <c r="V2278" i="2"/>
  <c r="V2279" i="2"/>
  <c r="V2280" i="2"/>
  <c r="V2630" i="2"/>
  <c r="V48" i="2"/>
  <c r="V625" i="2"/>
  <c r="V1173" i="2"/>
  <c r="V1174" i="2"/>
  <c r="V1727" i="2"/>
  <c r="V1728" i="2"/>
  <c r="V2281" i="2"/>
  <c r="V2282" i="2"/>
  <c r="V2283" i="2"/>
  <c r="V2284" i="2"/>
  <c r="V2285" i="2"/>
  <c r="V2286" i="2"/>
  <c r="V2287" i="2"/>
  <c r="V2288" i="2"/>
  <c r="V49" i="2"/>
  <c r="V50" i="2"/>
  <c r="V1175" i="2"/>
  <c r="V1176" i="2"/>
  <c r="V1729" i="2"/>
  <c r="V1730" i="2"/>
  <c r="V1731" i="2"/>
  <c r="V2289" i="2"/>
  <c r="V2290" i="2"/>
  <c r="V2291" i="2"/>
  <c r="V2292" i="2"/>
  <c r="V2293" i="2"/>
  <c r="V2294" i="2"/>
  <c r="V2295" i="2"/>
  <c r="V2296" i="2"/>
  <c r="V51" i="2"/>
  <c r="V626" i="2"/>
  <c r="V1732" i="2"/>
  <c r="V2297" i="2"/>
  <c r="V2298" i="2"/>
  <c r="V427" i="2"/>
  <c r="V949" i="2"/>
  <c r="V950" i="2"/>
  <c r="V951" i="2"/>
  <c r="V952" i="2"/>
  <c r="V953" i="2"/>
  <c r="V954" i="2"/>
  <c r="V1512" i="2"/>
  <c r="V1513" i="2"/>
  <c r="V1514" i="2"/>
  <c r="V1515" i="2"/>
  <c r="V2061" i="2"/>
  <c r="V2062" i="2"/>
  <c r="V2063" i="2"/>
  <c r="V2574" i="2"/>
  <c r="V2575" i="2"/>
  <c r="V2576" i="2"/>
  <c r="V1057" i="2"/>
  <c r="V1616" i="2"/>
  <c r="V1617" i="2"/>
  <c r="V2163" i="2"/>
  <c r="V627" i="2"/>
  <c r="V885" i="2"/>
  <c r="V886" i="2"/>
  <c r="V887" i="2"/>
  <c r="V1177" i="2"/>
  <c r="V1444" i="2"/>
  <c r="V1986" i="2"/>
  <c r="V1987" i="2"/>
  <c r="V1988" i="2"/>
  <c r="V1989" i="2"/>
  <c r="V1990" i="2"/>
  <c r="V1991" i="2"/>
  <c r="V1992" i="2"/>
  <c r="V2512" i="2"/>
  <c r="V2513" i="2"/>
  <c r="V52" i="2"/>
  <c r="V53" i="2"/>
  <c r="V54" i="2"/>
  <c r="V628" i="2"/>
  <c r="V629" i="2"/>
  <c r="V630" i="2"/>
  <c r="V1178" i="2"/>
  <c r="V1179" i="2"/>
  <c r="V1180" i="2"/>
  <c r="V1181" i="2"/>
  <c r="V1182" i="2"/>
  <c r="V1733" i="2"/>
  <c r="V1734" i="2"/>
  <c r="V2299" i="2"/>
  <c r="V2300" i="2"/>
  <c r="V2301" i="2"/>
  <c r="V2302" i="2"/>
  <c r="V55" i="2"/>
  <c r="V631" i="2"/>
  <c r="V632" i="2"/>
  <c r="V633" i="2"/>
  <c r="V634" i="2"/>
  <c r="V635" i="2"/>
  <c r="V1183" i="2"/>
  <c r="V1184" i="2"/>
  <c r="V1735" i="2"/>
  <c r="V1736" i="2"/>
  <c r="V2303" i="2"/>
  <c r="V2304" i="2"/>
  <c r="V2305" i="2"/>
  <c r="V2306" i="2"/>
  <c r="V2307" i="2"/>
  <c r="V1102" i="2"/>
  <c r="V1103" i="2"/>
  <c r="V1104" i="2"/>
  <c r="V2204" i="2"/>
  <c r="V377" i="2"/>
  <c r="V2011" i="2"/>
  <c r="V2012" i="2"/>
  <c r="V2526" i="2"/>
  <c r="V2527" i="2"/>
  <c r="V2528" i="2"/>
  <c r="V2529" i="2"/>
  <c r="V2530" i="2"/>
  <c r="V2531" i="2"/>
  <c r="V1043" i="2"/>
  <c r="V1618" i="2"/>
  <c r="V1619" i="2"/>
  <c r="V2152" i="2"/>
  <c r="V2153" i="2"/>
  <c r="V2689" i="2"/>
  <c r="V2690" i="2"/>
  <c r="V2691" i="2"/>
  <c r="V2692" i="2"/>
  <c r="V2693" i="2"/>
  <c r="V555" i="2"/>
  <c r="V1652" i="2"/>
  <c r="V2205" i="2"/>
  <c r="V2206" i="2"/>
  <c r="V2207" i="2"/>
  <c r="V2208" i="2"/>
  <c r="V2209" i="2"/>
  <c r="V2210" i="2"/>
  <c r="V461" i="2"/>
  <c r="V462" i="2"/>
  <c r="V463" i="2"/>
  <c r="V464" i="2"/>
  <c r="V997" i="2"/>
  <c r="V2112" i="2"/>
  <c r="V2113" i="2"/>
  <c r="V56" i="2"/>
  <c r="V636" i="2"/>
  <c r="V637" i="2"/>
  <c r="V638" i="2"/>
  <c r="V639" i="2"/>
  <c r="V1185" i="2"/>
  <c r="V1186" i="2"/>
  <c r="V1187" i="2"/>
  <c r="V1188" i="2"/>
  <c r="V1737" i="2"/>
  <c r="V1738" i="2"/>
  <c r="V1739" i="2"/>
  <c r="V2308" i="2"/>
  <c r="V2309" i="2"/>
  <c r="V2310" i="2"/>
  <c r="V2311" i="2"/>
  <c r="V2312" i="2"/>
  <c r="V998" i="2"/>
  <c r="V999" i="2"/>
  <c r="V1564" i="2"/>
  <c r="V640" i="2"/>
  <c r="V1189" i="2"/>
  <c r="V1190" i="2"/>
  <c r="V1740" i="2"/>
  <c r="V641" i="2"/>
  <c r="V642" i="2"/>
  <c r="V643" i="2"/>
  <c r="V1191" i="2"/>
  <c r="V1192" i="2"/>
  <c r="V1193" i="2"/>
  <c r="V1194" i="2"/>
  <c r="V2313" i="2"/>
  <c r="V57" i="2"/>
  <c r="V58" i="2"/>
  <c r="V59" i="2"/>
  <c r="V644" i="2"/>
  <c r="V645" i="2"/>
  <c r="V1195" i="2"/>
  <c r="V1196" i="2"/>
  <c r="V1741" i="2"/>
  <c r="V2314" i="2"/>
  <c r="V2315" i="2"/>
  <c r="V2316" i="2"/>
  <c r="V646" i="2"/>
  <c r="V647" i="2"/>
  <c r="V648" i="2"/>
  <c r="V1197" i="2"/>
  <c r="V1742" i="2"/>
  <c r="V1743" i="2"/>
  <c r="V2317" i="2"/>
  <c r="V2318" i="2"/>
  <c r="V2319" i="2"/>
  <c r="V60" i="2"/>
  <c r="V61" i="2"/>
  <c r="V649" i="2"/>
  <c r="V1198" i="2"/>
  <c r="V1199" i="2"/>
  <c r="V1200" i="2"/>
  <c r="V1201" i="2"/>
  <c r="V1744" i="2"/>
  <c r="V1745" i="2"/>
  <c r="V2320" i="2"/>
  <c r="V2321" i="2"/>
  <c r="V2322" i="2"/>
  <c r="V2323" i="2"/>
  <c r="V2324" i="2"/>
  <c r="V2325" i="2"/>
  <c r="V2326" i="2"/>
  <c r="V62" i="2"/>
  <c r="V650" i="2"/>
  <c r="V1202" i="2"/>
  <c r="V1203" i="2"/>
  <c r="V1746" i="2"/>
  <c r="V1747" i="2"/>
  <c r="V1748" i="2"/>
  <c r="V2327" i="2"/>
  <c r="V2328" i="2"/>
  <c r="V2329" i="2"/>
  <c r="V2330" i="2"/>
  <c r="V2331" i="2"/>
  <c r="V2332" i="2"/>
  <c r="V2333" i="2"/>
  <c r="V2334" i="2"/>
  <c r="V2335" i="2"/>
  <c r="V2704" i="2"/>
  <c r="V63" i="2"/>
  <c r="V64" i="2"/>
  <c r="V65" i="2"/>
  <c r="V66" i="2"/>
  <c r="V651" i="2"/>
  <c r="V652" i="2"/>
  <c r="V1749" i="2"/>
  <c r="V1750" i="2"/>
  <c r="V1751" i="2"/>
  <c r="V1752" i="2"/>
  <c r="V2336" i="2"/>
  <c r="V2337" i="2"/>
  <c r="V2338" i="2"/>
  <c r="V2339" i="2"/>
  <c r="V2340" i="2"/>
  <c r="V2341" i="2"/>
  <c r="V1603" i="2"/>
  <c r="V1604" i="2"/>
  <c r="V378" i="2"/>
  <c r="V379" i="2"/>
  <c r="V905" i="2"/>
  <c r="V906" i="2"/>
  <c r="V907" i="2"/>
  <c r="V1466" i="2"/>
  <c r="V1467" i="2"/>
  <c r="V2013" i="2"/>
  <c r="V2014" i="2"/>
  <c r="V2015" i="2"/>
  <c r="V2532" i="2"/>
  <c r="V653" i="2"/>
  <c r="V654" i="2"/>
  <c r="V655" i="2"/>
  <c r="V656" i="2"/>
  <c r="V1204" i="2"/>
  <c r="V1205" i="2"/>
  <c r="V1206" i="2"/>
  <c r="V1207" i="2"/>
  <c r="V1208" i="2"/>
  <c r="V1753" i="2"/>
  <c r="V1754" i="2"/>
  <c r="V1755" i="2"/>
  <c r="V1756" i="2"/>
  <c r="V1757" i="2"/>
  <c r="V1058" i="2"/>
  <c r="V1059" i="2"/>
  <c r="V1060" i="2"/>
  <c r="V1061" i="2"/>
  <c r="V1062" i="2"/>
  <c r="V1063" i="2"/>
  <c r="V1620" i="2"/>
  <c r="V2164" i="2"/>
  <c r="V2165" i="2"/>
  <c r="V2705" i="2"/>
  <c r="V2706" i="2"/>
  <c r="V67" i="2"/>
  <c r="V68" i="2"/>
  <c r="V69" i="2"/>
  <c r="V657" i="2"/>
  <c r="V658" i="2"/>
  <c r="V1209" i="2"/>
  <c r="V1210" i="2"/>
  <c r="V1211" i="2"/>
  <c r="V1212" i="2"/>
  <c r="V2342" i="2"/>
  <c r="V2343" i="2"/>
  <c r="V659" i="2"/>
  <c r="V660" i="2"/>
  <c r="V661" i="2"/>
  <c r="V662" i="2"/>
  <c r="V1213" i="2"/>
  <c r="V1758" i="2"/>
  <c r="V1759" i="2"/>
  <c r="V2344" i="2"/>
  <c r="V2345" i="2"/>
  <c r="V2346" i="2"/>
  <c r="V1621" i="2"/>
  <c r="V1622" i="2"/>
  <c r="V2707" i="2"/>
  <c r="V2708" i="2"/>
  <c r="V2" i="2"/>
  <c r="V3" i="2"/>
  <c r="V4" i="2"/>
  <c r="V1105" i="2"/>
  <c r="V1106" i="2"/>
  <c r="V1107" i="2"/>
  <c r="V1653" i="2"/>
  <c r="V2211" i="2"/>
  <c r="V2212" i="2"/>
  <c r="V2213" i="2"/>
  <c r="V2214" i="2"/>
  <c r="V2215" i="2"/>
  <c r="V2216" i="2"/>
  <c r="V2166" i="2"/>
  <c r="V2709" i="2"/>
  <c r="V439" i="2"/>
  <c r="V440" i="2"/>
  <c r="V977" i="2"/>
  <c r="V978" i="2"/>
  <c r="V979" i="2"/>
  <c r="V1544" i="2"/>
  <c r="V1545" i="2"/>
  <c r="V2092" i="2"/>
  <c r="V955" i="2"/>
  <c r="V956" i="2"/>
  <c r="V957" i="2"/>
  <c r="V958" i="2"/>
  <c r="V1516" i="2"/>
  <c r="V1517" i="2"/>
  <c r="V1518" i="2"/>
  <c r="V2064" i="2"/>
  <c r="V2065" i="2"/>
  <c r="V2066" i="2"/>
  <c r="V2067" i="2"/>
  <c r="V70" i="2"/>
  <c r="V663" i="2"/>
  <c r="V664" i="2"/>
  <c r="V1214" i="2"/>
  <c r="V1215" i="2"/>
  <c r="V1216" i="2"/>
  <c r="V1217" i="2"/>
  <c r="V1760" i="2"/>
  <c r="V1761" i="2"/>
  <c r="V1762" i="2"/>
  <c r="V1763" i="2"/>
  <c r="V1764" i="2"/>
  <c r="V1765" i="2"/>
  <c r="V1766" i="2"/>
  <c r="V2347" i="2"/>
  <c r="V2348" i="2"/>
  <c r="V2349" i="2"/>
  <c r="V2350" i="2"/>
  <c r="V2351" i="2"/>
  <c r="V2217" i="2"/>
  <c r="V2218" i="2"/>
  <c r="V1767" i="2"/>
  <c r="V665" i="2"/>
  <c r="V666" i="2"/>
  <c r="V667" i="2"/>
  <c r="V668" i="2"/>
  <c r="V1218" i="2"/>
  <c r="V1219" i="2"/>
  <c r="V1220" i="2"/>
  <c r="V1768" i="2"/>
  <c r="V1769" i="2"/>
  <c r="V1770" i="2"/>
  <c r="V1771" i="2"/>
  <c r="V1772" i="2"/>
  <c r="V465" i="2"/>
  <c r="V1000" i="2"/>
  <c r="V1001" i="2"/>
  <c r="V1565" i="2"/>
  <c r="V1566" i="2"/>
  <c r="V2631" i="2"/>
  <c r="V520" i="2"/>
  <c r="V521" i="2"/>
  <c r="V1064" i="2"/>
  <c r="V1468" i="2"/>
  <c r="V1469" i="2"/>
  <c r="V1623" i="2"/>
  <c r="V1624" i="2"/>
  <c r="V2710" i="2"/>
  <c r="V2711" i="2"/>
  <c r="V2533" i="2"/>
  <c r="V2712" i="2"/>
  <c r="V71" i="2"/>
  <c r="V72" i="2"/>
  <c r="V73" i="2"/>
  <c r="V669" i="2"/>
  <c r="V670" i="2"/>
  <c r="V671" i="2"/>
  <c r="V672" i="2"/>
  <c r="V1221" i="2"/>
  <c r="V1222" i="2"/>
  <c r="V1223" i="2"/>
  <c r="V1224" i="2"/>
  <c r="V1773" i="2"/>
  <c r="V1774" i="2"/>
  <c r="V2352" i="2"/>
  <c r="V2353" i="2"/>
  <c r="V2354" i="2"/>
  <c r="V2355" i="2"/>
  <c r="V2356" i="2"/>
  <c r="V74" i="2"/>
  <c r="V673" i="2"/>
  <c r="V674" i="2"/>
  <c r="V1225" i="2"/>
  <c r="V1775" i="2"/>
  <c r="V1776" i="2"/>
  <c r="V1777" i="2"/>
  <c r="V1778" i="2"/>
  <c r="V1779" i="2"/>
  <c r="V2357" i="2"/>
  <c r="V2358" i="2"/>
  <c r="V2359" i="2"/>
  <c r="V2360" i="2"/>
  <c r="V2361" i="2"/>
  <c r="V2362" i="2"/>
  <c r="V2363" i="2"/>
  <c r="V75" i="2"/>
  <c r="V76" i="2"/>
  <c r="V77" i="2"/>
  <c r="V675" i="2"/>
  <c r="V676" i="2"/>
  <c r="V1226" i="2"/>
  <c r="V1780" i="2"/>
  <c r="V1781" i="2"/>
  <c r="V1782" i="2"/>
  <c r="V2364" i="2"/>
  <c r="V2365" i="2"/>
  <c r="V2366" i="2"/>
  <c r="V2367" i="2"/>
  <c r="V2368" i="2"/>
  <c r="V2369" i="2"/>
  <c r="V2370" i="2"/>
  <c r="V2371" i="2"/>
  <c r="V2372" i="2"/>
  <c r="V78" i="2"/>
  <c r="V79" i="2"/>
  <c r="V522" i="2"/>
  <c r="V80" i="2"/>
  <c r="V1065" i="2"/>
  <c r="V1066" i="2"/>
  <c r="V1227" i="2"/>
  <c r="V1228" i="2"/>
  <c r="V1229" i="2"/>
  <c r="V1230" i="2"/>
  <c r="V1783" i="2"/>
  <c r="V1784" i="2"/>
  <c r="V2167" i="2"/>
  <c r="V2373" i="2"/>
  <c r="V2374" i="2"/>
  <c r="V2375" i="2"/>
  <c r="V2376" i="2"/>
  <c r="V1002" i="2"/>
  <c r="V677" i="2"/>
  <c r="V678" i="2"/>
  <c r="V893" i="2"/>
  <c r="V679" i="2"/>
  <c r="V1003" i="2"/>
  <c r="V680" i="2"/>
  <c r="V681" i="2"/>
  <c r="V682" i="2"/>
  <c r="V894" i="2"/>
  <c r="V683" i="2"/>
  <c r="V1231" i="2"/>
  <c r="V1567" i="2"/>
  <c r="V1232" i="2"/>
  <c r="V1458" i="2"/>
  <c r="V1233" i="2"/>
  <c r="V1234" i="2"/>
  <c r="V1459" i="2"/>
  <c r="V1460" i="2"/>
  <c r="V1785" i="2"/>
  <c r="V1786" i="2"/>
  <c r="V2002" i="2"/>
  <c r="V1787" i="2"/>
  <c r="V2114" i="2"/>
  <c r="V2003" i="2"/>
  <c r="V2004" i="2"/>
  <c r="V1788" i="2"/>
  <c r="V2377" i="2"/>
  <c r="V523" i="2"/>
  <c r="V380" i="2"/>
  <c r="V81" i="2"/>
  <c r="V524" i="2"/>
  <c r="V82" i="2"/>
  <c r="V83" i="2"/>
  <c r="V381" i="2"/>
  <c r="V1067" i="2"/>
  <c r="V684" i="2"/>
  <c r="V908" i="2"/>
  <c r="V909" i="2"/>
  <c r="V1068" i="2"/>
  <c r="V1470" i="2"/>
  <c r="V1235" i="2"/>
  <c r="V1471" i="2"/>
  <c r="V1625" i="2"/>
  <c r="V1236" i="2"/>
  <c r="V2016" i="2"/>
  <c r="V2017" i="2"/>
  <c r="V1789" i="2"/>
  <c r="V2534" i="2"/>
  <c r="V2535" i="2"/>
  <c r="V2378" i="2"/>
  <c r="V2536" i="2"/>
  <c r="V2379" i="2"/>
  <c r="V2380" i="2"/>
  <c r="V2537" i="2"/>
  <c r="V1626" i="2"/>
  <c r="V1627" i="2"/>
  <c r="V1628" i="2"/>
  <c r="V2168" i="2"/>
  <c r="V2169" i="2"/>
  <c r="V2713" i="2"/>
  <c r="V2714" i="2"/>
  <c r="V2715" i="2"/>
  <c r="V2716" i="2"/>
  <c r="V2717" i="2"/>
  <c r="V2718" i="2"/>
  <c r="V466" i="2"/>
  <c r="V1004" i="2"/>
  <c r="V1005" i="2"/>
  <c r="V1568" i="2"/>
  <c r="V2115" i="2"/>
  <c r="V2116" i="2"/>
  <c r="V2117" i="2"/>
  <c r="V2118" i="2"/>
  <c r="V2632" i="2"/>
  <c r="V2633" i="2"/>
  <c r="V2634" i="2"/>
  <c r="V2635" i="2"/>
  <c r="V467" i="2"/>
  <c r="V468" i="2"/>
  <c r="V469" i="2"/>
  <c r="V470" i="2"/>
  <c r="V1006" i="2"/>
  <c r="V1569" i="2"/>
  <c r="V1570" i="2"/>
  <c r="V1571" i="2"/>
  <c r="V2119" i="2"/>
  <c r="V2120" i="2"/>
  <c r="V2636" i="2"/>
  <c r="V2637" i="2"/>
  <c r="V2638" i="2"/>
  <c r="V2639" i="2"/>
  <c r="V84" i="2"/>
  <c r="V85" i="2"/>
  <c r="V86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1237" i="2"/>
  <c r="V1238" i="2"/>
  <c r="V1239" i="2"/>
  <c r="V1240" i="2"/>
  <c r="V1241" i="2"/>
  <c r="V1242" i="2"/>
  <c r="V1243" i="2"/>
  <c r="V1244" i="2"/>
  <c r="V1245" i="2"/>
  <c r="V1790" i="2"/>
  <c r="V1791" i="2"/>
  <c r="V1792" i="2"/>
  <c r="V1793" i="2"/>
  <c r="V1794" i="2"/>
  <c r="V1795" i="2"/>
  <c r="V1796" i="2"/>
  <c r="V1797" i="2"/>
  <c r="V1798" i="2"/>
  <c r="V1799" i="2"/>
  <c r="V471" i="2"/>
  <c r="V472" i="2"/>
  <c r="V473" i="2"/>
  <c r="V1007" i="2"/>
  <c r="V1008" i="2"/>
  <c r="V1009" i="2"/>
  <c r="V1572" i="2"/>
  <c r="V1573" i="2"/>
  <c r="V1574" i="2"/>
  <c r="V2640" i="2"/>
  <c r="V2641" i="2"/>
  <c r="V2642" i="2"/>
  <c r="V525" i="2"/>
  <c r="V87" i="2"/>
  <c r="V88" i="2"/>
  <c r="V89" i="2"/>
  <c r="V526" i="2"/>
  <c r="V1069" i="2"/>
  <c r="V1070" i="2"/>
  <c r="V1071" i="2"/>
  <c r="V1072" i="2"/>
  <c r="V1073" i="2"/>
  <c r="V1246" i="2"/>
  <c r="V1629" i="2"/>
  <c r="V1247" i="2"/>
  <c r="V1630" i="2"/>
  <c r="V1248" i="2"/>
  <c r="V1249" i="2"/>
  <c r="V1631" i="2"/>
  <c r="V1800" i="2"/>
  <c r="V2170" i="2"/>
  <c r="V2171" i="2"/>
  <c r="V2172" i="2"/>
  <c r="V1801" i="2"/>
  <c r="V2173" i="2"/>
  <c r="V2174" i="2"/>
  <c r="V2175" i="2"/>
  <c r="V2719" i="2"/>
  <c r="V2720" i="2"/>
  <c r="V2721" i="2"/>
  <c r="V2722" i="2"/>
  <c r="V2381" i="2"/>
  <c r="V2382" i="2"/>
  <c r="V2383" i="2"/>
  <c r="V2723" i="2"/>
  <c r="V2384" i="2"/>
  <c r="V2385" i="2"/>
  <c r="V2386" i="2"/>
  <c r="V2724" i="2"/>
  <c r="V2387" i="2"/>
  <c r="V90" i="2"/>
  <c r="V91" i="2"/>
  <c r="V92" i="2"/>
  <c r="V93" i="2"/>
  <c r="V697" i="2"/>
  <c r="V1250" i="2"/>
  <c r="V1802" i="2"/>
  <c r="V2388" i="2"/>
  <c r="V2389" i="2"/>
  <c r="V1654" i="2"/>
  <c r="V2219" i="2"/>
  <c r="V2220" i="2"/>
  <c r="V2221" i="2"/>
  <c r="V382" i="2"/>
  <c r="V383" i="2"/>
  <c r="V384" i="2"/>
  <c r="V698" i="2"/>
  <c r="V699" i="2"/>
  <c r="V700" i="2"/>
  <c r="V701" i="2"/>
  <c r="V702" i="2"/>
  <c r="V703" i="2"/>
  <c r="V1251" i="2"/>
  <c r="V1472" i="2"/>
  <c r="V1473" i="2"/>
  <c r="V1252" i="2"/>
  <c r="V1474" i="2"/>
  <c r="V1475" i="2"/>
  <c r="V1253" i="2"/>
  <c r="V1254" i="2"/>
  <c r="V1803" i="2"/>
  <c r="V1804" i="2"/>
  <c r="V1805" i="2"/>
  <c r="V1806" i="2"/>
  <c r="V2018" i="2"/>
  <c r="V1807" i="2"/>
  <c r="V1808" i="2"/>
  <c r="V2538" i="2"/>
  <c r="V1044" i="2"/>
  <c r="V1045" i="2"/>
  <c r="V1046" i="2"/>
  <c r="V1047" i="2"/>
  <c r="V1048" i="2"/>
  <c r="V1049" i="2"/>
  <c r="V1050" i="2"/>
  <c r="V1051" i="2"/>
  <c r="V1052" i="2"/>
  <c r="V1605" i="2"/>
  <c r="V1606" i="2"/>
  <c r="V1607" i="2"/>
  <c r="V2154" i="2"/>
  <c r="V2155" i="2"/>
  <c r="V2156" i="2"/>
  <c r="V2694" i="2"/>
  <c r="V94" i="2"/>
  <c r="V95" i="2"/>
  <c r="V96" i="2"/>
  <c r="V385" i="2"/>
  <c r="V704" i="2"/>
  <c r="V910" i="2"/>
  <c r="V911" i="2"/>
  <c r="V705" i="2"/>
  <c r="V1476" i="2"/>
  <c r="V1255" i="2"/>
  <c r="V1256" i="2"/>
  <c r="V1477" i="2"/>
  <c r="V1809" i="2"/>
  <c r="V2019" i="2"/>
  <c r="V2020" i="2"/>
  <c r="V2390" i="2"/>
  <c r="V2539" i="2"/>
  <c r="V2540" i="2"/>
  <c r="V2391" i="2"/>
  <c r="V2541" i="2"/>
  <c r="V2392" i="2"/>
  <c r="V474" i="2"/>
  <c r="V513" i="2"/>
  <c r="V514" i="2"/>
  <c r="V515" i="2"/>
  <c r="V1010" i="2"/>
  <c r="V1611" i="2"/>
  <c r="V1612" i="2"/>
  <c r="V1575" i="2"/>
  <c r="V1613" i="2"/>
  <c r="V1576" i="2"/>
  <c r="V2121" i="2"/>
  <c r="V2122" i="2"/>
  <c r="V2123" i="2"/>
  <c r="V2699" i="2"/>
  <c r="V2643" i="2"/>
  <c r="V2700" i="2"/>
  <c r="V2644" i="2"/>
  <c r="V2645" i="2"/>
  <c r="V2646" i="2"/>
  <c r="V2647" i="2"/>
  <c r="V2648" i="2"/>
  <c r="V2649" i="2"/>
  <c r="V912" i="2"/>
  <c r="V2021" i="2"/>
  <c r="V2022" i="2"/>
  <c r="V2023" i="2"/>
  <c r="V2542" i="2"/>
  <c r="V2543" i="2"/>
  <c r="V2725" i="2"/>
  <c r="V2726" i="2"/>
  <c r="V2727" i="2"/>
  <c r="V5" i="2"/>
  <c r="V6" i="2"/>
  <c r="V7" i="2"/>
  <c r="V8" i="2"/>
  <c r="V706" i="2"/>
  <c r="V707" i="2"/>
  <c r="V708" i="2"/>
  <c r="V556" i="2"/>
  <c r="V709" i="2"/>
  <c r="V710" i="2"/>
  <c r="V711" i="2"/>
  <c r="V712" i="2"/>
  <c r="V1108" i="2"/>
  <c r="V1109" i="2"/>
  <c r="V1110" i="2"/>
  <c r="V1257" i="2"/>
  <c r="V1258" i="2"/>
  <c r="V1259" i="2"/>
  <c r="V1260" i="2"/>
  <c r="V1261" i="2"/>
  <c r="V1810" i="2"/>
  <c r="V1811" i="2"/>
  <c r="V1655" i="2"/>
  <c r="V1812" i="2"/>
  <c r="V1656" i="2"/>
  <c r="V1813" i="2"/>
  <c r="V1657" i="2"/>
  <c r="V1814" i="2"/>
  <c r="V557" i="2"/>
  <c r="V558" i="2"/>
  <c r="V559" i="2"/>
  <c r="V1658" i="2"/>
  <c r="V1659" i="2"/>
  <c r="V475" i="2"/>
  <c r="V476" i="2"/>
  <c r="V1011" i="2"/>
  <c r="V1012" i="2"/>
  <c r="V1013" i="2"/>
  <c r="V1014" i="2"/>
  <c r="V1577" i="2"/>
  <c r="V1578" i="2"/>
  <c r="V2124" i="2"/>
  <c r="V2650" i="2"/>
  <c r="V2651" i="2"/>
  <c r="V477" i="2"/>
  <c r="V478" i="2"/>
  <c r="V1015" i="2"/>
  <c r="V1016" i="2"/>
  <c r="V1017" i="2"/>
  <c r="V1579" i="2"/>
  <c r="V1580" i="2"/>
  <c r="V1581" i="2"/>
  <c r="V1582" i="2"/>
  <c r="V2125" i="2"/>
  <c r="V2126" i="2"/>
  <c r="V2127" i="2"/>
  <c r="V2652" i="2"/>
  <c r="V2653" i="2"/>
  <c r="V2654" i="2"/>
  <c r="V2655" i="2"/>
  <c r="V97" i="2"/>
  <c r="V98" i="2"/>
  <c r="V99" i="2"/>
  <c r="V713" i="2"/>
  <c r="V1262" i="2"/>
  <c r="V1263" i="2"/>
  <c r="V1815" i="2"/>
  <c r="V1816" i="2"/>
  <c r="V2393" i="2"/>
  <c r="V2394" i="2"/>
  <c r="V2395" i="2"/>
  <c r="V2396" i="2"/>
  <c r="V2397" i="2"/>
  <c r="V2398" i="2"/>
  <c r="V2399" i="2"/>
  <c r="V479" i="2"/>
  <c r="V480" i="2"/>
  <c r="V1018" i="2"/>
  <c r="V1019" i="2"/>
  <c r="V1020" i="2"/>
  <c r="V1583" i="2"/>
  <c r="V1584" i="2"/>
  <c r="V2128" i="2"/>
  <c r="V2129" i="2"/>
  <c r="V2656" i="2"/>
  <c r="V2657" i="2"/>
  <c r="V2658" i="2"/>
  <c r="V2659" i="2"/>
  <c r="V2660" i="2"/>
  <c r="V2661" i="2"/>
  <c r="V2662" i="2"/>
  <c r="V2663" i="2"/>
  <c r="V359" i="2"/>
  <c r="V360" i="2"/>
  <c r="V361" i="2"/>
  <c r="V362" i="2"/>
  <c r="V1445" i="2"/>
  <c r="V1446" i="2"/>
  <c r="V1447" i="2"/>
  <c r="V1448" i="2"/>
  <c r="V1449" i="2"/>
  <c r="V1993" i="2"/>
  <c r="V1994" i="2"/>
  <c r="V1995" i="2"/>
  <c r="V2514" i="2"/>
  <c r="V2515" i="2"/>
  <c r="V2516" i="2"/>
  <c r="V9" i="2"/>
  <c r="V10" i="2"/>
  <c r="V11" i="2"/>
  <c r="V560" i="2"/>
  <c r="V561" i="2"/>
  <c r="V562" i="2"/>
  <c r="V563" i="2"/>
  <c r="V1111" i="2"/>
  <c r="V1112" i="2"/>
  <c r="V1113" i="2"/>
  <c r="V1114" i="2"/>
  <c r="V1660" i="2"/>
  <c r="V1661" i="2"/>
  <c r="V1662" i="2"/>
  <c r="V1663" i="2"/>
  <c r="V1664" i="2"/>
  <c r="V1632" i="2"/>
  <c r="V1633" i="2"/>
  <c r="V2176" i="2"/>
  <c r="V714" i="2"/>
  <c r="V715" i="2"/>
  <c r="V716" i="2"/>
  <c r="V717" i="2"/>
  <c r="V1264" i="2"/>
  <c r="V1817" i="2"/>
  <c r="V1818" i="2"/>
  <c r="V527" i="2"/>
  <c r="V528" i="2"/>
  <c r="V1074" i="2"/>
  <c r="V1075" i="2"/>
  <c r="V1076" i="2"/>
  <c r="V1077" i="2"/>
  <c r="V1078" i="2"/>
  <c r="V1634" i="2"/>
  <c r="V1635" i="2"/>
  <c r="V2177" i="2"/>
  <c r="V481" i="2"/>
  <c r="V100" i="2"/>
  <c r="V718" i="2"/>
  <c r="V1265" i="2"/>
  <c r="V1819" i="2"/>
  <c r="V2400" i="2"/>
  <c r="V2401" i="2"/>
  <c r="V2402" i="2"/>
  <c r="V529" i="2"/>
  <c r="V1079" i="2"/>
  <c r="V2178" i="2"/>
  <c r="V2728" i="2"/>
  <c r="V530" i="2"/>
  <c r="V531" i="2"/>
  <c r="V532" i="2"/>
  <c r="V1636" i="2"/>
  <c r="V1637" i="2"/>
  <c r="V2179" i="2"/>
  <c r="V2729" i="2"/>
  <c r="V2730" i="2"/>
  <c r="V2731" i="2"/>
  <c r="V959" i="2"/>
  <c r="V1519" i="2"/>
  <c r="V1520" i="2"/>
  <c r="V1521" i="2"/>
  <c r="V2577" i="2"/>
  <c r="V386" i="2"/>
  <c r="V913" i="2"/>
  <c r="V914" i="2"/>
  <c r="V1478" i="2"/>
  <c r="V2024" i="2"/>
  <c r="V2025" i="2"/>
  <c r="V2026" i="2"/>
  <c r="V2027" i="2"/>
  <c r="V2028" i="2"/>
  <c r="V2544" i="2"/>
  <c r="V2545" i="2"/>
  <c r="V2546" i="2"/>
  <c r="V2547" i="2"/>
  <c r="V2548" i="2"/>
  <c r="V2549" i="2"/>
  <c r="V2550" i="2"/>
  <c r="V2551" i="2"/>
  <c r="V2552" i="2"/>
  <c r="V101" i="2"/>
  <c r="V102" i="2"/>
  <c r="V103" i="2"/>
  <c r="V719" i="2"/>
  <c r="V720" i="2"/>
  <c r="V1266" i="2"/>
  <c r="V1267" i="2"/>
  <c r="V1268" i="2"/>
  <c r="V1820" i="2"/>
  <c r="V2403" i="2"/>
  <c r="V2404" i="2"/>
  <c r="V2405" i="2"/>
  <c r="V2406" i="2"/>
  <c r="V2407" i="2"/>
  <c r="V2408" i="2"/>
  <c r="V482" i="2"/>
  <c r="V1585" i="2"/>
  <c r="V2130" i="2"/>
  <c r="V2664" i="2"/>
  <c r="V2665" i="2"/>
  <c r="V2666" i="2"/>
  <c r="V104" i="2"/>
  <c r="V105" i="2"/>
  <c r="V106" i="2"/>
  <c r="V107" i="2"/>
  <c r="V108" i="2"/>
  <c r="V721" i="2"/>
  <c r="V722" i="2"/>
  <c r="V1269" i="2"/>
  <c r="V1270" i="2"/>
  <c r="V1271" i="2"/>
  <c r="V1821" i="2"/>
  <c r="V1822" i="2"/>
  <c r="V1823" i="2"/>
  <c r="V1824" i="2"/>
  <c r="V915" i="2"/>
  <c r="V916" i="2"/>
  <c r="V917" i="2"/>
  <c r="V1479" i="2"/>
  <c r="V1480" i="2"/>
  <c r="V1481" i="2"/>
  <c r="V2029" i="2"/>
  <c r="V109" i="2"/>
  <c r="V723" i="2"/>
  <c r="V724" i="2"/>
  <c r="V725" i="2"/>
  <c r="V726" i="2"/>
  <c r="V727" i="2"/>
  <c r="V1272" i="2"/>
  <c r="V1273" i="2"/>
  <c r="V1274" i="2"/>
  <c r="V1275" i="2"/>
  <c r="V1825" i="2"/>
  <c r="V1826" i="2"/>
  <c r="V1827" i="2"/>
  <c r="V1828" i="2"/>
  <c r="V1829" i="2"/>
  <c r="V533" i="2"/>
  <c r="V534" i="2"/>
  <c r="V1080" i="2"/>
  <c r="V1081" i="2"/>
  <c r="V1082" i="2"/>
  <c r="V2180" i="2"/>
  <c r="V110" i="2"/>
  <c r="V111" i="2"/>
  <c r="V112" i="2"/>
  <c r="V728" i="2"/>
  <c r="V729" i="2"/>
  <c r="V730" i="2"/>
  <c r="V1276" i="2"/>
  <c r="V1277" i="2"/>
  <c r="V1830" i="2"/>
  <c r="V1831" i="2"/>
  <c r="V1832" i="2"/>
  <c r="V2409" i="2"/>
  <c r="V2410" i="2"/>
  <c r="V2411" i="2"/>
  <c r="V441" i="2"/>
  <c r="V980" i="2"/>
  <c r="V1546" i="2"/>
  <c r="V1547" i="2"/>
  <c r="V2093" i="2"/>
  <c r="V2617" i="2"/>
  <c r="V2618" i="2"/>
  <c r="V2619" i="2"/>
  <c r="V535" i="2"/>
  <c r="V536" i="2"/>
  <c r="V960" i="2"/>
  <c r="V961" i="2"/>
  <c r="V1522" i="2"/>
  <c r="V1523" i="2"/>
  <c r="V2578" i="2"/>
  <c r="V2579" i="2"/>
  <c r="V2580" i="2"/>
  <c r="V2581" i="2"/>
  <c r="V2094" i="2"/>
  <c r="V2620" i="2"/>
  <c r="V2621" i="2"/>
  <c r="V962" i="2"/>
  <c r="V1524" i="2"/>
  <c r="V2068" i="2"/>
  <c r="V2069" i="2"/>
  <c r="V2070" i="2"/>
  <c r="V2582" i="2"/>
  <c r="V2583" i="2"/>
  <c r="V2584" i="2"/>
  <c r="V2585" i="2"/>
  <c r="V2586" i="2"/>
  <c r="V2587" i="2"/>
  <c r="V2588" i="2"/>
  <c r="V442" i="2"/>
  <c r="V981" i="2"/>
  <c r="V1548" i="2"/>
  <c r="V387" i="2"/>
  <c r="V388" i="2"/>
  <c r="V389" i="2"/>
  <c r="V1482" i="2"/>
  <c r="V1483" i="2"/>
  <c r="V2030" i="2"/>
  <c r="V2031" i="2"/>
  <c r="V2553" i="2"/>
  <c r="V2554" i="2"/>
  <c r="V113" i="2"/>
  <c r="V114" i="2"/>
  <c r="V115" i="2"/>
  <c r="V731" i="2"/>
  <c r="V1278" i="2"/>
  <c r="V1279" i="2"/>
  <c r="V1833" i="2"/>
  <c r="V1834" i="2"/>
  <c r="V116" i="2"/>
  <c r="V732" i="2"/>
  <c r="V733" i="2"/>
  <c r="V1835" i="2"/>
  <c r="V1836" i="2"/>
  <c r="V483" i="2"/>
  <c r="V443" i="2"/>
  <c r="V982" i="2"/>
  <c r="V1021" i="2"/>
  <c r="V983" i="2"/>
  <c r="V984" i="2"/>
  <c r="V1586" i="2"/>
  <c r="V1549" i="2"/>
  <c r="V1550" i="2"/>
  <c r="V1551" i="2"/>
  <c r="V1552" i="2"/>
  <c r="V2095" i="2"/>
  <c r="V2096" i="2"/>
  <c r="V2097" i="2"/>
  <c r="V2098" i="2"/>
  <c r="V2181" i="2"/>
  <c r="V1022" i="2"/>
  <c r="V1587" i="2"/>
  <c r="V12" i="2"/>
  <c r="V13" i="2"/>
  <c r="V564" i="2"/>
  <c r="V565" i="2"/>
  <c r="V566" i="2"/>
  <c r="V567" i="2"/>
  <c r="V568" i="2"/>
  <c r="V1115" i="2"/>
  <c r="V1665" i="2"/>
  <c r="V516" i="2"/>
  <c r="V517" i="2"/>
  <c r="V518" i="2"/>
  <c r="V519" i="2"/>
  <c r="V1614" i="2"/>
  <c r="V1615" i="2"/>
  <c r="V2162" i="2"/>
  <c r="V2701" i="2"/>
  <c r="V2702" i="2"/>
  <c r="V117" i="2"/>
  <c r="V118" i="2"/>
  <c r="V119" i="2"/>
  <c r="V14" i="2"/>
  <c r="V569" i="2"/>
  <c r="V570" i="2"/>
  <c r="V571" i="2"/>
  <c r="V572" i="2"/>
  <c r="V1280" i="2"/>
  <c r="V1116" i="2"/>
  <c r="V1117" i="2"/>
  <c r="V1666" i="2"/>
  <c r="V1667" i="2"/>
  <c r="V1668" i="2"/>
  <c r="V2412" i="2"/>
  <c r="V2222" i="2"/>
  <c r="V2413" i="2"/>
  <c r="V120" i="2"/>
  <c r="V734" i="2"/>
  <c r="V735" i="2"/>
  <c r="V736" i="2"/>
  <c r="V1281" i="2"/>
  <c r="V1282" i="2"/>
  <c r="V1837" i="2"/>
  <c r="V1838" i="2"/>
  <c r="V2414" i="2"/>
  <c r="V2415" i="2"/>
  <c r="V2416" i="2"/>
  <c r="V2417" i="2"/>
  <c r="V2418" i="2"/>
  <c r="V2419" i="2"/>
  <c r="V1638" i="2"/>
  <c r="V2182" i="2"/>
  <c r="V2183" i="2"/>
  <c r="V2732" i="2"/>
  <c r="V2733" i="2"/>
  <c r="V121" i="2"/>
  <c r="V737" i="2"/>
  <c r="V1283" i="2"/>
  <c r="V1284" i="2"/>
  <c r="V1839" i="2"/>
  <c r="V1840" i="2"/>
  <c r="V1841" i="2"/>
  <c r="V2420" i="2"/>
  <c r="V2421" i="2"/>
  <c r="V2422" i="2"/>
  <c r="V2423" i="2"/>
  <c r="V2424" i="2"/>
  <c r="V2425" i="2"/>
  <c r="V2426" i="2"/>
  <c r="V444" i="2"/>
  <c r="V445" i="2"/>
  <c r="V446" i="2"/>
  <c r="V447" i="2"/>
  <c r="V985" i="2"/>
  <c r="V1553" i="2"/>
  <c r="V888" i="2"/>
  <c r="V889" i="2"/>
  <c r="V1450" i="2"/>
  <c r="V1451" i="2"/>
  <c r="V1452" i="2"/>
  <c r="V1996" i="2"/>
  <c r="V1997" i="2"/>
  <c r="V2517" i="2"/>
  <c r="V2518" i="2"/>
  <c r="V122" i="2"/>
  <c r="V123" i="2"/>
  <c r="V124" i="2"/>
  <c r="V125" i="2"/>
  <c r="V126" i="2"/>
  <c r="V127" i="2"/>
  <c r="V738" i="2"/>
  <c r="V739" i="2"/>
  <c r="V740" i="2"/>
  <c r="V741" i="2"/>
  <c r="V1285" i="2"/>
  <c r="V1842" i="2"/>
  <c r="V1843" i="2"/>
  <c r="V1844" i="2"/>
  <c r="V986" i="2"/>
  <c r="V1554" i="2"/>
  <c r="V128" i="2"/>
  <c r="V129" i="2"/>
  <c r="V742" i="2"/>
  <c r="V743" i="2"/>
  <c r="V744" i="2"/>
  <c r="V745" i="2"/>
  <c r="V1845" i="2"/>
  <c r="V130" i="2"/>
  <c r="V131" i="2"/>
  <c r="V132" i="2"/>
  <c r="V133" i="2"/>
  <c r="V134" i="2"/>
  <c r="V746" i="2"/>
  <c r="V747" i="2"/>
  <c r="V748" i="2"/>
  <c r="V749" i="2"/>
  <c r="V1286" i="2"/>
  <c r="V1287" i="2"/>
  <c r="V1288" i="2"/>
  <c r="V1289" i="2"/>
  <c r="V1290" i="2"/>
  <c r="V1846" i="2"/>
  <c r="V1847" i="2"/>
  <c r="V2427" i="2"/>
  <c r="V2428" i="2"/>
  <c r="V2429" i="2"/>
  <c r="V484" i="2"/>
  <c r="V1588" i="2"/>
  <c r="V1589" i="2"/>
  <c r="V2131" i="2"/>
  <c r="V2667" i="2"/>
  <c r="V2668" i="2"/>
  <c r="V2669" i="2"/>
  <c r="V2670" i="2"/>
  <c r="V2671" i="2"/>
  <c r="V15" i="2"/>
  <c r="V573" i="2"/>
  <c r="V1118" i="2"/>
  <c r="V1119" i="2"/>
  <c r="V1669" i="2"/>
  <c r="V1670" i="2"/>
  <c r="V1671" i="2"/>
  <c r="V1672" i="2"/>
  <c r="V2223" i="2"/>
  <c r="V2224" i="2"/>
  <c r="V2225" i="2"/>
  <c r="V2226" i="2"/>
  <c r="V2227" i="2"/>
  <c r="V2228" i="2"/>
  <c r="V2229" i="2"/>
  <c r="V2230" i="2"/>
  <c r="V370" i="2"/>
  <c r="V371" i="2"/>
  <c r="V372" i="2"/>
  <c r="V373" i="2"/>
  <c r="V895" i="2"/>
  <c r="V896" i="2"/>
  <c r="V1461" i="2"/>
  <c r="V1462" i="2"/>
  <c r="V2005" i="2"/>
  <c r="V2006" i="2"/>
  <c r="V2519" i="2"/>
  <c r="V1484" i="2"/>
  <c r="V1485" i="2"/>
  <c r="V1486" i="2"/>
  <c r="V2032" i="2"/>
  <c r="V2033" i="2"/>
  <c r="V2555" i="2"/>
  <c r="V2556" i="2"/>
  <c r="V1053" i="2"/>
  <c r="V1054" i="2"/>
  <c r="V135" i="2"/>
  <c r="V136" i="2"/>
  <c r="V137" i="2"/>
  <c r="V138" i="2"/>
  <c r="V139" i="2"/>
  <c r="V140" i="2"/>
  <c r="V141" i="2"/>
  <c r="V750" i="2"/>
  <c r="V751" i="2"/>
  <c r="V752" i="2"/>
  <c r="V753" i="2"/>
  <c r="V1291" i="2"/>
  <c r="V1848" i="2"/>
  <c r="V1849" i="2"/>
  <c r="V1850" i="2"/>
  <c r="V1292" i="2"/>
  <c r="V1293" i="2"/>
  <c r="V1294" i="2"/>
  <c r="V1851" i="2"/>
  <c r="V1852" i="2"/>
  <c r="V1853" i="2"/>
  <c r="V754" i="2"/>
  <c r="V1854" i="2"/>
  <c r="V142" i="2"/>
  <c r="V143" i="2"/>
  <c r="V144" i="2"/>
  <c r="V145" i="2"/>
  <c r="V755" i="2"/>
  <c r="V756" i="2"/>
  <c r="V1295" i="2"/>
  <c r="V1296" i="2"/>
  <c r="V1855" i="2"/>
  <c r="V1856" i="2"/>
  <c r="V2430" i="2"/>
  <c r="V146" i="2"/>
  <c r="V147" i="2"/>
  <c r="V148" i="2"/>
  <c r="V149" i="2"/>
  <c r="V757" i="2"/>
  <c r="V758" i="2"/>
  <c r="V759" i="2"/>
  <c r="V760" i="2"/>
  <c r="V1297" i="2"/>
  <c r="V1298" i="2"/>
  <c r="V1299" i="2"/>
  <c r="V1300" i="2"/>
  <c r="V1857" i="2"/>
  <c r="V1858" i="2"/>
  <c r="V1859" i="2"/>
  <c r="V2431" i="2"/>
  <c r="V2432" i="2"/>
  <c r="V428" i="2"/>
  <c r="V390" i="2"/>
  <c r="V963" i="2"/>
  <c r="V964" i="2"/>
  <c r="V965" i="2"/>
  <c r="V1525" i="2"/>
  <c r="V1526" i="2"/>
  <c r="V1527" i="2"/>
  <c r="V1487" i="2"/>
  <c r="V2071" i="2"/>
  <c r="V2034" i="2"/>
  <c r="V2072" i="2"/>
  <c r="V2589" i="2"/>
  <c r="V2590" i="2"/>
  <c r="V2557" i="2"/>
  <c r="V2591" i="2"/>
  <c r="V2592" i="2"/>
  <c r="V2593" i="2"/>
  <c r="V2558" i="2"/>
  <c r="V2594" i="2"/>
  <c r="V150" i="2"/>
  <c r="V151" i="2"/>
  <c r="V152" i="2"/>
  <c r="V761" i="2"/>
  <c r="V762" i="2"/>
  <c r="V1301" i="2"/>
  <c r="V1302" i="2"/>
  <c r="V1303" i="2"/>
  <c r="V1860" i="2"/>
  <c r="V1861" i="2"/>
  <c r="V1862" i="2"/>
  <c r="V1863" i="2"/>
  <c r="V2433" i="2"/>
  <c r="V2434" i="2"/>
  <c r="V2435" i="2"/>
  <c r="V2436" i="2"/>
  <c r="V2437" i="2"/>
  <c r="V2438" i="2"/>
  <c r="V537" i="2"/>
  <c r="V538" i="2"/>
  <c r="V539" i="2"/>
  <c r="V540" i="2"/>
  <c r="V1083" i="2"/>
  <c r="V1084" i="2"/>
  <c r="V1085" i="2"/>
  <c r="V1639" i="2"/>
  <c r="V1640" i="2"/>
  <c r="V2184" i="2"/>
  <c r="V2185" i="2"/>
  <c r="V2186" i="2"/>
  <c r="V2734" i="2"/>
  <c r="V2735" i="2"/>
  <c r="V153" i="2"/>
  <c r="V363" i="2"/>
  <c r="V364" i="2"/>
  <c r="V365" i="2"/>
  <c r="V366" i="2"/>
  <c r="V890" i="2"/>
  <c r="V891" i="2"/>
  <c r="V892" i="2"/>
  <c r="V1453" i="2"/>
  <c r="V1998" i="2"/>
  <c r="V1999" i="2"/>
  <c r="V1120" i="2"/>
  <c r="V1121" i="2"/>
  <c r="V1122" i="2"/>
  <c r="V1123" i="2"/>
  <c r="V1673" i="2"/>
  <c r="V1674" i="2"/>
  <c r="V391" i="2"/>
  <c r="V392" i="2"/>
  <c r="V393" i="2"/>
  <c r="V394" i="2"/>
  <c r="V395" i="2"/>
  <c r="V918" i="2"/>
  <c r="V919" i="2"/>
  <c r="V920" i="2"/>
  <c r="V921" i="2"/>
  <c r="V922" i="2"/>
  <c r="V923" i="2"/>
  <c r="V924" i="2"/>
  <c r="V1488" i="2"/>
  <c r="V1489" i="2"/>
  <c r="V1490" i="2"/>
  <c r="V2035" i="2"/>
  <c r="V2036" i="2"/>
  <c r="V154" i="2"/>
  <c r="V155" i="2"/>
  <c r="V156" i="2"/>
  <c r="V763" i="2"/>
  <c r="V764" i="2"/>
  <c r="V765" i="2"/>
  <c r="V1304" i="2"/>
  <c r="V1305" i="2"/>
  <c r="V1306" i="2"/>
  <c r="V1307" i="2"/>
  <c r="V1864" i="2"/>
  <c r="V1865" i="2"/>
  <c r="V1866" i="2"/>
  <c r="V2439" i="2"/>
  <c r="V429" i="2"/>
  <c r="V157" i="2"/>
  <c r="V158" i="2"/>
  <c r="V159" i="2"/>
  <c r="V160" i="2"/>
  <c r="V966" i="2"/>
  <c r="V766" i="2"/>
  <c r="V767" i="2"/>
  <c r="V967" i="2"/>
  <c r="V1308" i="2"/>
  <c r="V1528" i="2"/>
  <c r="V1309" i="2"/>
  <c r="V1529" i="2"/>
  <c r="V2073" i="2"/>
  <c r="V2074" i="2"/>
  <c r="V1867" i="2"/>
  <c r="V1868" i="2"/>
  <c r="V2440" i="2"/>
  <c r="V2441" i="2"/>
  <c r="V2595" i="2"/>
  <c r="V2442" i="2"/>
  <c r="V2596" i="2"/>
  <c r="V2597" i="2"/>
  <c r="V2598" i="2"/>
  <c r="V2599" i="2"/>
  <c r="V2600" i="2"/>
  <c r="V2601" i="2"/>
  <c r="V430" i="2"/>
  <c r="V968" i="2"/>
  <c r="V1530" i="2"/>
  <c r="V1531" i="2"/>
  <c r="V2075" i="2"/>
  <c r="V2076" i="2"/>
  <c r="V2077" i="2"/>
  <c r="V2078" i="2"/>
  <c r="V2602" i="2"/>
  <c r="V2603" i="2"/>
  <c r="V2604" i="2"/>
  <c r="V2605" i="2"/>
  <c r="V2606" i="2"/>
  <c r="V161" i="2"/>
  <c r="V162" i="2"/>
  <c r="V163" i="2"/>
  <c r="V164" i="2"/>
  <c r="V768" i="2"/>
  <c r="V1310" i="2"/>
  <c r="V1311" i="2"/>
  <c r="V1312" i="2"/>
  <c r="V1869" i="2"/>
  <c r="V1870" i="2"/>
  <c r="V1871" i="2"/>
  <c r="V2443" i="2"/>
  <c r="V2444" i="2"/>
  <c r="Y2444" i="2" s="1"/>
  <c r="V987" i="2"/>
  <c r="Y987" i="2" s="1"/>
  <c r="V165" i="2"/>
  <c r="Y165" i="2" s="1"/>
  <c r="V166" i="2"/>
  <c r="Y166" i="2" s="1"/>
  <c r="V167" i="2"/>
  <c r="Y167" i="2" s="1"/>
  <c r="V168" i="2"/>
  <c r="Y168" i="2" s="1"/>
  <c r="V169" i="2"/>
  <c r="Y169" i="2" s="1"/>
  <c r="V170" i="2"/>
  <c r="Y170" i="2" s="1"/>
  <c r="V171" i="2"/>
  <c r="Y171" i="2" s="1"/>
  <c r="V769" i="2"/>
  <c r="Y769" i="2" s="1"/>
  <c r="V770" i="2"/>
  <c r="Y770" i="2" s="1"/>
  <c r="V771" i="2"/>
  <c r="Y771" i="2" s="1"/>
  <c r="V772" i="2"/>
  <c r="Y772" i="2" s="1"/>
  <c r="V773" i="2"/>
  <c r="Y773" i="2" s="1"/>
  <c r="V1313" i="2"/>
  <c r="Y1313" i="2" s="1"/>
  <c r="V1314" i="2"/>
  <c r="Y1314" i="2" s="1"/>
  <c r="V1872" i="2"/>
  <c r="Y1872" i="2" s="1"/>
  <c r="V1873" i="2"/>
  <c r="Y1873" i="2" s="1"/>
  <c r="V1874" i="2"/>
  <c r="Y1874" i="2" s="1"/>
  <c r="V172" i="2"/>
  <c r="Y172" i="2" s="1"/>
  <c r="V173" i="2"/>
  <c r="Y173" i="2" s="1"/>
  <c r="V174" i="2"/>
  <c r="Y174" i="2" s="1"/>
  <c r="V774" i="2"/>
  <c r="Y774" i="2" s="1"/>
  <c r="V1315" i="2"/>
  <c r="Y1315" i="2" s="1"/>
  <c r="V1316" i="2"/>
  <c r="Y1316" i="2" s="1"/>
  <c r="V1317" i="2"/>
  <c r="Y1317" i="2" s="1"/>
  <c r="V1318" i="2"/>
  <c r="Y1318" i="2" s="1"/>
  <c r="V1319" i="2"/>
  <c r="Y1319" i="2" s="1"/>
  <c r="V1320" i="2"/>
  <c r="Y1320" i="2" s="1"/>
  <c r="V1321" i="2"/>
  <c r="Y1321" i="2" s="1"/>
  <c r="V1875" i="2"/>
  <c r="Y1875" i="2" s="1"/>
  <c r="V1876" i="2"/>
  <c r="Y1876" i="2" s="1"/>
  <c r="V1877" i="2"/>
  <c r="Y1877" i="2" s="1"/>
  <c r="V175" i="2"/>
  <c r="Y175" i="2" s="1"/>
  <c r="V176" i="2"/>
  <c r="Y176" i="2" s="1"/>
  <c r="V775" i="2"/>
  <c r="Y775" i="2" s="1"/>
  <c r="V1322" i="2"/>
  <c r="Y1322" i="2" s="1"/>
  <c r="V1086" i="2"/>
  <c r="Y1086" i="2" s="1"/>
  <c r="V2187" i="2"/>
  <c r="Y2187" i="2" s="1"/>
  <c r="V177" i="2"/>
  <c r="Y177" i="2" s="1"/>
  <c r="V178" i="2"/>
  <c r="Y178" i="2" s="1"/>
  <c r="V179" i="2"/>
  <c r="Y179" i="2" s="1"/>
  <c r="V180" i="2"/>
  <c r="Y180" i="2" s="1"/>
  <c r="V181" i="2"/>
  <c r="Y181" i="2" s="1"/>
  <c r="V182" i="2"/>
  <c r="Y182" i="2" s="1"/>
  <c r="V776" i="2"/>
  <c r="Y776" i="2" s="1"/>
  <c r="V777" i="2"/>
  <c r="Y777" i="2" s="1"/>
  <c r="V778" i="2"/>
  <c r="Y778" i="2" s="1"/>
  <c r="V779" i="2"/>
  <c r="Y779" i="2" s="1"/>
  <c r="V780" i="2"/>
  <c r="Y780" i="2" s="1"/>
  <c r="V781" i="2"/>
  <c r="Y781" i="2" s="1"/>
  <c r="V782" i="2"/>
  <c r="Y782" i="2" s="1"/>
  <c r="V1323" i="2"/>
  <c r="Y1323" i="2" s="1"/>
  <c r="V1324" i="2"/>
  <c r="Y1324" i="2" s="1"/>
  <c r="V1325" i="2"/>
  <c r="Y1325" i="2" s="1"/>
  <c r="V1326" i="2"/>
  <c r="Y1326" i="2" s="1"/>
  <c r="V1327" i="2"/>
  <c r="Y1327" i="2" s="1"/>
  <c r="V1878" i="2"/>
  <c r="Y1878" i="2" s="1"/>
  <c r="V1879" i="2"/>
  <c r="Y1879" i="2" s="1"/>
  <c r="V1880" i="2"/>
  <c r="Y1880" i="2" s="1"/>
  <c r="V1881" i="2"/>
  <c r="Y1881" i="2" s="1"/>
  <c r="V1882" i="2"/>
  <c r="Y1882" i="2" s="1"/>
  <c r="V2445" i="2"/>
  <c r="Y2445" i="2" s="1"/>
  <c r="V2446" i="2"/>
  <c r="V2447" i="2"/>
  <c r="V396" i="2"/>
  <c r="V397" i="2"/>
  <c r="V398" i="2"/>
  <c r="V925" i="2"/>
  <c r="V926" i="2"/>
  <c r="V1491" i="2"/>
  <c r="V1492" i="2"/>
  <c r="V2559" i="2"/>
  <c r="V2560" i="2"/>
  <c r="V399" i="2"/>
  <c r="V2037" i="2"/>
  <c r="V2561" i="2"/>
  <c r="V2562" i="2"/>
  <c r="V2563" i="2"/>
  <c r="V2736" i="2"/>
  <c r="V541" i="2"/>
  <c r="V1087" i="2"/>
  <c r="V1088" i="2"/>
  <c r="V1641" i="2"/>
  <c r="V2188" i="2"/>
  <c r="V2189" i="2"/>
  <c r="V2190" i="2"/>
  <c r="V2191" i="2"/>
  <c r="V2737" i="2"/>
  <c r="V2738" i="2"/>
  <c r="V2739" i="2"/>
  <c r="V2740" i="2"/>
  <c r="V2741" i="2"/>
  <c r="V2742" i="2"/>
  <c r="V1089" i="2"/>
  <c r="V1642" i="2"/>
  <c r="V1643" i="2"/>
  <c r="V2192" i="2"/>
  <c r="V2193" i="2"/>
  <c r="V2194" i="2"/>
  <c r="V2743" i="2"/>
  <c r="V542" i="2"/>
  <c r="V1090" i="2"/>
  <c r="V183" i="2"/>
  <c r="V184" i="2"/>
  <c r="V185" i="2"/>
  <c r="V783" i="2"/>
  <c r="V1328" i="2"/>
  <c r="V1329" i="2"/>
  <c r="V1330" i="2"/>
  <c r="V1883" i="2"/>
  <c r="V1884" i="2"/>
  <c r="V1885" i="2"/>
  <c r="V2448" i="2"/>
  <c r="V543" i="2"/>
  <c r="V2195" i="2"/>
  <c r="V485" i="2"/>
  <c r="V486" i="2"/>
  <c r="V487" i="2"/>
  <c r="V488" i="2"/>
  <c r="V489" i="2"/>
  <c r="V1023" i="2"/>
  <c r="V1024" i="2"/>
  <c r="V1025" i="2"/>
  <c r="V1026" i="2"/>
  <c r="V1027" i="2"/>
  <c r="V1028" i="2"/>
  <c r="V1590" i="2"/>
  <c r="V1591" i="2"/>
  <c r="V1592" i="2"/>
  <c r="V2132" i="2"/>
  <c r="V2133" i="2"/>
  <c r="V2672" i="2"/>
  <c r="V186" i="2"/>
  <c r="V187" i="2"/>
  <c r="V188" i="2"/>
  <c r="V189" i="2"/>
  <c r="V784" i="2"/>
  <c r="V785" i="2"/>
  <c r="V1331" i="2"/>
  <c r="V1332" i="2"/>
  <c r="V1333" i="2"/>
  <c r="V1334" i="2"/>
  <c r="V1886" i="2"/>
  <c r="V1887" i="2"/>
  <c r="V1888" i="2"/>
  <c r="V1889" i="2"/>
  <c r="V490" i="2"/>
  <c r="V190" i="2"/>
  <c r="V191" i="2"/>
  <c r="V192" i="2"/>
  <c r="V491" i="2"/>
  <c r="V1029" i="2"/>
  <c r="V786" i="2"/>
  <c r="V787" i="2"/>
  <c r="V1030" i="2"/>
  <c r="V788" i="2"/>
  <c r="V789" i="2"/>
  <c r="V1335" i="2"/>
  <c r="V1593" i="2"/>
  <c r="V1336" i="2"/>
  <c r="V2134" i="2"/>
  <c r="V2135" i="2"/>
  <c r="V1890" i="2"/>
  <c r="V2449" i="2"/>
  <c r="V2450" i="2"/>
  <c r="V2451" i="2"/>
  <c r="V2673" i="2"/>
  <c r="V2452" i="2"/>
  <c r="V2453" i="2"/>
  <c r="V2454" i="2"/>
  <c r="V2674" i="2"/>
  <c r="V2455" i="2"/>
  <c r="V193" i="2"/>
  <c r="V400" i="2"/>
  <c r="V401" i="2"/>
  <c r="V194" i="2"/>
  <c r="V927" i="2"/>
  <c r="V928" i="2"/>
  <c r="V1337" i="2"/>
  <c r="V1493" i="2"/>
  <c r="V1494" i="2"/>
  <c r="V1338" i="2"/>
  <c r="V2038" i="2"/>
  <c r="V2039" i="2"/>
  <c r="V2040" i="2"/>
  <c r="V2041" i="2"/>
  <c r="V1891" i="2"/>
  <c r="V2042" i="2"/>
  <c r="V2456" i="2"/>
  <c r="V2564" i="2"/>
  <c r="V2565" i="2"/>
  <c r="V2566" i="2"/>
  <c r="V2567" i="2"/>
  <c r="V2568" i="2"/>
  <c r="V402" i="2"/>
  <c r="V403" i="2"/>
  <c r="V404" i="2"/>
  <c r="V405" i="2"/>
  <c r="V406" i="2"/>
  <c r="V16" i="2"/>
  <c r="V407" i="2"/>
  <c r="V408" i="2"/>
  <c r="V574" i="2"/>
  <c r="V929" i="2"/>
  <c r="V930" i="2"/>
  <c r="V931" i="2"/>
  <c r="V575" i="2"/>
  <c r="V932" i="2"/>
  <c r="V576" i="2"/>
  <c r="V1495" i="2"/>
  <c r="V1124" i="2"/>
  <c r="V1125" i="2"/>
  <c r="V1126" i="2"/>
  <c r="V1127" i="2"/>
  <c r="V1128" i="2"/>
  <c r="V1496" i="2"/>
  <c r="V1675" i="2"/>
  <c r="V2043" i="2"/>
  <c r="V1676" i="2"/>
  <c r="V2044" i="2"/>
  <c r="V2045" i="2"/>
  <c r="V2046" i="2"/>
  <c r="V195" i="2"/>
  <c r="V196" i="2"/>
  <c r="V197" i="2"/>
  <c r="V198" i="2"/>
  <c r="V199" i="2"/>
  <c r="V200" i="2"/>
  <c r="V201" i="2"/>
  <c r="V790" i="2"/>
  <c r="V791" i="2"/>
  <c r="V792" i="2"/>
  <c r="V793" i="2"/>
  <c r="V794" i="2"/>
  <c r="V1339" i="2"/>
  <c r="V1340" i="2"/>
  <c r="V1341" i="2"/>
  <c r="V1892" i="2"/>
  <c r="V1893" i="2"/>
  <c r="V492" i="2"/>
  <c r="V202" i="2"/>
  <c r="V493" i="2"/>
  <c r="V203" i="2"/>
  <c r="V204" i="2"/>
  <c r="V205" i="2"/>
  <c r="V206" i="2"/>
  <c r="V494" i="2"/>
  <c r="V1031" i="2"/>
  <c r="V795" i="2"/>
  <c r="V1032" i="2"/>
  <c r="V796" i="2"/>
  <c r="V797" i="2"/>
  <c r="V1594" i="2"/>
  <c r="V1342" i="2"/>
  <c r="V1595" i="2"/>
  <c r="V1343" i="2"/>
  <c r="V1894" i="2"/>
  <c r="V2136" i="2"/>
  <c r="V2137" i="2"/>
  <c r="V1895" i="2"/>
  <c r="V2138" i="2"/>
  <c r="V1896" i="2"/>
  <c r="V2457" i="2"/>
  <c r="V2458" i="2"/>
  <c r="V2675" i="2"/>
  <c r="V798" i="2"/>
  <c r="V1344" i="2"/>
  <c r="V1345" i="2"/>
  <c r="V2459" i="2"/>
  <c r="V2460" i="2"/>
  <c r="V2461" i="2"/>
  <c r="V2462" i="2"/>
  <c r="V431" i="2"/>
  <c r="V207" i="2"/>
  <c r="V208" i="2"/>
  <c r="V432" i="2"/>
  <c r="V969" i="2"/>
  <c r="V970" i="2"/>
  <c r="V1346" i="2"/>
  <c r="V1532" i="2"/>
  <c r="V1347" i="2"/>
  <c r="V1533" i="2"/>
  <c r="V2079" i="2"/>
  <c r="V2080" i="2"/>
  <c r="V2081" i="2"/>
  <c r="V1897" i="2"/>
  <c r="V1898" i="2"/>
  <c r="V1899" i="2"/>
  <c r="V2082" i="2"/>
  <c r="V2083" i="2"/>
  <c r="V2607" i="2"/>
  <c r="V2608" i="2"/>
  <c r="V2609" i="2"/>
  <c r="V2610" i="2"/>
  <c r="V2463" i="2"/>
  <c r="V2611" i="2"/>
  <c r="V2612" i="2"/>
  <c r="V2613" i="2"/>
  <c r="V209" i="2"/>
  <c r="V210" i="2"/>
  <c r="V211" i="2"/>
  <c r="V799" i="2"/>
  <c r="V800" i="2"/>
  <c r="V1348" i="2"/>
  <c r="V1349" i="2"/>
  <c r="V1900" i="2"/>
  <c r="V1901" i="2"/>
  <c r="V2464" i="2"/>
  <c r="V495" i="2"/>
  <c r="V544" i="2"/>
  <c r="V496" i="2"/>
  <c r="V497" i="2"/>
  <c r="V1091" i="2"/>
  <c r="V1033" i="2"/>
  <c r="V1092" i="2"/>
  <c r="V1644" i="2"/>
  <c r="V1645" i="2"/>
  <c r="V2139" i="2"/>
  <c r="V2196" i="2"/>
  <c r="V2197" i="2"/>
  <c r="V2198" i="2"/>
  <c r="V2744" i="2"/>
  <c r="V212" i="2"/>
  <c r="V213" i="2"/>
  <c r="V214" i="2"/>
  <c r="V409" i="2"/>
  <c r="V215" i="2"/>
  <c r="V410" i="2"/>
  <c r="V216" i="2"/>
  <c r="V217" i="2"/>
  <c r="V411" i="2"/>
  <c r="V412" i="2"/>
  <c r="V413" i="2"/>
  <c r="V218" i="2"/>
  <c r="V801" i="2"/>
  <c r="V802" i="2"/>
  <c r="V933" i="2"/>
  <c r="V803" i="2"/>
  <c r="V804" i="2"/>
  <c r="V805" i="2"/>
  <c r="V934" i="2"/>
  <c r="V935" i="2"/>
  <c r="V1497" i="2"/>
  <c r="V1498" i="2"/>
  <c r="V1350" i="2"/>
  <c r="V1351" i="2"/>
  <c r="V1499" i="2"/>
  <c r="V1500" i="2"/>
  <c r="V1501" i="2"/>
  <c r="V2047" i="2"/>
  <c r="V2048" i="2"/>
  <c r="V219" i="2"/>
  <c r="V220" i="2"/>
  <c r="V414" i="2"/>
  <c r="V221" i="2"/>
  <c r="V415" i="2"/>
  <c r="V416" i="2"/>
  <c r="V417" i="2"/>
  <c r="V806" i="2"/>
  <c r="V936" i="2"/>
  <c r="V988" i="2"/>
  <c r="V937" i="2"/>
  <c r="V1555" i="2"/>
  <c r="V1502" i="2"/>
  <c r="V1503" i="2"/>
  <c r="V1504" i="2"/>
  <c r="V1505" i="2"/>
  <c r="V1902" i="2"/>
  <c r="V2049" i="2"/>
  <c r="V2050" i="2"/>
  <c r="V1903" i="2"/>
  <c r="V1904" i="2"/>
  <c r="V2051" i="2"/>
  <c r="V1905" i="2"/>
  <c r="V1906" i="2"/>
  <c r="V2569" i="2"/>
  <c r="V1034" i="2"/>
  <c r="V1035" i="2"/>
  <c r="V1596" i="2"/>
  <c r="V1597" i="2"/>
  <c r="V2140" i="2"/>
  <c r="V2676" i="2"/>
  <c r="V222" i="2"/>
  <c r="V807" i="2"/>
  <c r="V808" i="2"/>
  <c r="V2465" i="2"/>
  <c r="V2466" i="2"/>
  <c r="V2467" i="2"/>
  <c r="V2468" i="2"/>
  <c r="V2469" i="2"/>
  <c r="V809" i="2"/>
  <c r="V1352" i="2"/>
  <c r="V1353" i="2"/>
  <c r="V1907" i="2"/>
  <c r="V1908" i="2"/>
  <c r="V1909" i="2"/>
  <c r="V1910" i="2"/>
  <c r="V1911" i="2"/>
  <c r="V2470" i="2"/>
  <c r="V2471" i="2"/>
  <c r="V2472" i="2"/>
  <c r="V2473" i="2"/>
  <c r="V2474" i="2"/>
  <c r="V2475" i="2"/>
  <c r="V223" i="2"/>
  <c r="V224" i="2"/>
  <c r="V225" i="2"/>
  <c r="V226" i="2"/>
  <c r="V227" i="2"/>
  <c r="V228" i="2"/>
  <c r="V229" i="2"/>
  <c r="V230" i="2"/>
  <c r="V231" i="2"/>
  <c r="V810" i="2"/>
  <c r="V811" i="2"/>
  <c r="V1354" i="2"/>
  <c r="V1355" i="2"/>
  <c r="V1912" i="2"/>
  <c r="V2476" i="2"/>
  <c r="V938" i="2"/>
  <c r="V939" i="2"/>
  <c r="V1506" i="2"/>
  <c r="V1507" i="2"/>
  <c r="V448" i="2"/>
  <c r="V232" i="2"/>
  <c r="V233" i="2"/>
  <c r="V449" i="2"/>
  <c r="V450" i="2"/>
  <c r="V451" i="2"/>
  <c r="V234" i="2"/>
  <c r="V235" i="2"/>
  <c r="V812" i="2"/>
  <c r="V989" i="2"/>
  <c r="V813" i="2"/>
  <c r="V814" i="2"/>
  <c r="V990" i="2"/>
  <c r="V991" i="2"/>
  <c r="V815" i="2"/>
  <c r="V1356" i="2"/>
  <c r="V1357" i="2"/>
  <c r="V1358" i="2"/>
  <c r="V1359" i="2"/>
  <c r="V1360" i="2"/>
  <c r="V1361" i="2"/>
  <c r="V1362" i="2"/>
  <c r="V1556" i="2"/>
  <c r="V1363" i="2"/>
  <c r="V1557" i="2"/>
  <c r="V1913" i="2"/>
  <c r="V2099" i="2"/>
  <c r="V1914" i="2"/>
  <c r="V2100" i="2"/>
  <c r="V2101" i="2"/>
  <c r="V2102" i="2"/>
  <c r="V2622" i="2"/>
  <c r="V498" i="2"/>
  <c r="V499" i="2"/>
  <c r="V500" i="2"/>
  <c r="V1036" i="2"/>
  <c r="V1037" i="2"/>
  <c r="V1598" i="2"/>
  <c r="V1364" i="2"/>
  <c r="V1915" i="2"/>
  <c r="V1916" i="2"/>
  <c r="V452" i="2"/>
  <c r="V453" i="2"/>
  <c r="V454" i="2"/>
  <c r="V455" i="2"/>
  <c r="V456" i="2"/>
  <c r="V992" i="2"/>
  <c r="V993" i="2"/>
  <c r="V1558" i="2"/>
  <c r="V2103" i="2"/>
  <c r="V2104" i="2"/>
  <c r="V2105" i="2"/>
  <c r="V2623" i="2"/>
  <c r="V501" i="2"/>
  <c r="V1038" i="2"/>
  <c r="V1039" i="2"/>
  <c r="V1599" i="2"/>
  <c r="V2141" i="2"/>
  <c r="V2677" i="2"/>
  <c r="V2678" i="2"/>
  <c r="V2679" i="2"/>
  <c r="V2680" i="2"/>
  <c r="V545" i="2"/>
  <c r="V1093" i="2"/>
  <c r="V1094" i="2"/>
  <c r="V236" i="2"/>
  <c r="V237" i="2"/>
  <c r="V816" i="2"/>
  <c r="V817" i="2"/>
  <c r="V1365" i="2"/>
  <c r="V1366" i="2"/>
  <c r="V1367" i="2"/>
  <c r="V1368" i="2"/>
  <c r="V1917" i="2"/>
  <c r="V1918" i="2"/>
  <c r="V1919" i="2"/>
  <c r="V2477" i="2"/>
  <c r="V2478" i="2"/>
  <c r="V2479" i="2"/>
  <c r="V2480" i="2"/>
  <c r="V2481" i="2"/>
  <c r="V238" i="2"/>
  <c r="V239" i="2"/>
  <c r="V240" i="2"/>
  <c r="V241" i="2"/>
  <c r="V242" i="2"/>
  <c r="V243" i="2"/>
  <c r="V244" i="2"/>
  <c r="V245" i="2"/>
  <c r="V246" i="2"/>
  <c r="V247" i="2"/>
  <c r="V818" i="2"/>
  <c r="V819" i="2"/>
  <c r="V820" i="2"/>
  <c r="V821" i="2"/>
  <c r="V822" i="2"/>
  <c r="V823" i="2"/>
  <c r="V1369" i="2"/>
  <c r="V1370" i="2"/>
  <c r="V1600" i="2"/>
  <c r="V1371" i="2"/>
  <c r="V1372" i="2"/>
  <c r="V1373" i="2"/>
  <c r="V1920" i="2"/>
  <c r="V2142" i="2"/>
  <c r="V1921" i="2"/>
  <c r="V2143" i="2"/>
  <c r="V1922" i="2"/>
  <c r="V2144" i="2"/>
  <c r="V1923" i="2"/>
  <c r="V2145" i="2"/>
  <c r="V1924" i="2"/>
  <c r="V2681" i="2"/>
  <c r="V2682" i="2"/>
  <c r="V2683" i="2"/>
  <c r="V2482" i="2"/>
  <c r="V433" i="2"/>
  <c r="V434" i="2"/>
  <c r="V435" i="2"/>
  <c r="V971" i="2"/>
  <c r="V1534" i="2"/>
  <c r="V1535" i="2"/>
  <c r="V1536" i="2"/>
  <c r="V1646" i="2"/>
  <c r="V248" i="2"/>
  <c r="V249" i="2"/>
  <c r="V250" i="2"/>
  <c r="V251" i="2"/>
  <c r="V367" i="2"/>
  <c r="V252" i="2"/>
  <c r="V253" i="2"/>
  <c r="V824" i="2"/>
  <c r="V825" i="2"/>
  <c r="V826" i="2"/>
  <c r="V827" i="2"/>
  <c r="V828" i="2"/>
  <c r="V829" i="2"/>
  <c r="V1454" i="2"/>
  <c r="V1455" i="2"/>
  <c r="V1456" i="2"/>
  <c r="V2000" i="2"/>
  <c r="V2001" i="2"/>
  <c r="V254" i="2"/>
  <c r="V255" i="2"/>
  <c r="V256" i="2"/>
  <c r="V257" i="2"/>
  <c r="V830" i="2"/>
  <c r="V831" i="2"/>
  <c r="V1374" i="2"/>
  <c r="V1375" i="2"/>
  <c r="V1925" i="2"/>
  <c r="V1926" i="2"/>
  <c r="V17" i="2"/>
  <c r="V577" i="2"/>
  <c r="V578" i="2"/>
  <c r="V579" i="2"/>
  <c r="V580" i="2"/>
  <c r="V1129" i="2"/>
  <c r="V1130" i="2"/>
  <c r="V1677" i="2"/>
  <c r="V1678" i="2"/>
  <c r="V1679" i="2"/>
  <c r="V1680" i="2"/>
  <c r="V2231" i="2"/>
  <c r="V2232" i="2"/>
  <c r="V2233" i="2"/>
  <c r="V2234" i="2"/>
  <c r="V2235" i="2"/>
  <c r="V2236" i="2"/>
  <c r="V418" i="2"/>
  <c r="V940" i="2"/>
  <c r="V1508" i="2"/>
  <c r="V2052" i="2"/>
  <c r="V2053" i="2"/>
  <c r="V2745" i="2"/>
  <c r="V2746" i="2"/>
  <c r="V2747" i="2"/>
  <c r="V2748" i="2"/>
  <c r="V1055" i="2"/>
  <c r="V1608" i="2"/>
  <c r="V2157" i="2"/>
  <c r="V2158" i="2"/>
  <c r="V2159" i="2"/>
  <c r="V2160" i="2"/>
  <c r="V2695" i="2"/>
  <c r="V2696" i="2"/>
  <c r="V2697" i="2"/>
  <c r="V581" i="2"/>
  <c r="V582" i="2"/>
  <c r="V1131" i="2"/>
  <c r="V1132" i="2"/>
  <c r="V1133" i="2"/>
  <c r="V1134" i="2"/>
  <c r="V1681" i="2"/>
  <c r="V1682" i="2"/>
  <c r="V1683" i="2"/>
  <c r="V1684" i="2"/>
  <c r="V502" i="2"/>
  <c r="V503" i="2"/>
  <c r="V504" i="2"/>
  <c r="V505" i="2"/>
  <c r="V506" i="2"/>
  <c r="V1040" i="2"/>
  <c r="V1601" i="2"/>
  <c r="V1602" i="2"/>
  <c r="V2146" i="2"/>
  <c r="V258" i="2"/>
  <c r="V259" i="2"/>
  <c r="V260" i="2"/>
  <c r="V18" i="2"/>
  <c r="V19" i="2"/>
  <c r="V261" i="2"/>
  <c r="V20" i="2"/>
  <c r="V21" i="2"/>
  <c r="V262" i="2"/>
  <c r="V832" i="2"/>
  <c r="V833" i="2"/>
  <c r="V834" i="2"/>
  <c r="V583" i="2"/>
  <c r="V835" i="2"/>
  <c r="V584" i="2"/>
  <c r="V836" i="2"/>
  <c r="V585" i="2"/>
  <c r="V1135" i="2"/>
  <c r="V1136" i="2"/>
  <c r="V1137" i="2"/>
  <c r="V1685" i="2"/>
  <c r="V1686" i="2"/>
  <c r="V1687" i="2"/>
  <c r="V2237" i="2"/>
  <c r="V263" i="2"/>
  <c r="V264" i="2"/>
  <c r="V265" i="2"/>
  <c r="V1927" i="2"/>
  <c r="V1928" i="2"/>
  <c r="V1929" i="2"/>
  <c r="V1930" i="2"/>
  <c r="V1931" i="2"/>
  <c r="V266" i="2"/>
  <c r="V267" i="2"/>
  <c r="V1376" i="2"/>
  <c r="V1932" i="2"/>
  <c r="V1933" i="2"/>
  <c r="V1934" i="2"/>
  <c r="V1935" i="2"/>
  <c r="V2483" i="2"/>
  <c r="V2484" i="2"/>
  <c r="V2485" i="2"/>
  <c r="V2486" i="2"/>
  <c r="V2487" i="2"/>
  <c r="V2488" i="2"/>
  <c r="V2489" i="2"/>
  <c r="V268" i="2"/>
  <c r="V269" i="2"/>
  <c r="V837" i="2"/>
  <c r="V1377" i="2"/>
  <c r="V270" i="2"/>
  <c r="V271" i="2"/>
  <c r="V272" i="2"/>
  <c r="V273" i="2"/>
  <c r="V274" i="2"/>
  <c r="V838" i="2"/>
  <c r="V839" i="2"/>
  <c r="V840" i="2"/>
  <c r="V841" i="2"/>
  <c r="V1378" i="2"/>
  <c r="V1379" i="2"/>
  <c r="V1380" i="2"/>
  <c r="V1936" i="2"/>
  <c r="V1937" i="2"/>
  <c r="V1938" i="2"/>
  <c r="V2084" i="2"/>
  <c r="V275" i="2"/>
  <c r="V1939" i="2"/>
  <c r="V1940" i="2"/>
  <c r="V546" i="2"/>
  <c r="V1095" i="2"/>
  <c r="V1096" i="2"/>
  <c r="V276" i="2"/>
  <c r="V277" i="2"/>
  <c r="V278" i="2"/>
  <c r="V279" i="2"/>
  <c r="V842" i="2"/>
  <c r="V843" i="2"/>
  <c r="V844" i="2"/>
  <c r="V1381" i="2"/>
  <c r="V1382" i="2"/>
  <c r="V1383" i="2"/>
  <c r="V1384" i="2"/>
  <c r="V1385" i="2"/>
  <c r="V1386" i="2"/>
  <c r="V1387" i="2"/>
  <c r="V1388" i="2"/>
  <c r="V1389" i="2"/>
  <c r="V1390" i="2"/>
  <c r="V1941" i="2"/>
  <c r="V419" i="2"/>
  <c r="V280" i="2"/>
  <c r="V281" i="2"/>
  <c r="V282" i="2"/>
  <c r="V420" i="2"/>
  <c r="V421" i="2"/>
  <c r="V283" i="2"/>
  <c r="V284" i="2"/>
  <c r="V941" i="2"/>
  <c r="V942" i="2"/>
  <c r="V943" i="2"/>
  <c r="V845" i="2"/>
  <c r="V944" i="2"/>
  <c r="V846" i="2"/>
  <c r="V847" i="2"/>
  <c r="V2054" i="2"/>
  <c r="V1942" i="2"/>
  <c r="V285" i="2"/>
  <c r="V286" i="2"/>
  <c r="V287" i="2"/>
  <c r="V1391" i="2"/>
  <c r="V1392" i="2"/>
  <c r="V1393" i="2"/>
  <c r="V1943" i="2"/>
  <c r="V1944" i="2"/>
  <c r="V1945" i="2"/>
  <c r="V1946" i="2"/>
  <c r="V1947" i="2"/>
  <c r="V2490" i="2"/>
  <c r="V288" i="2"/>
  <c r="V289" i="2"/>
  <c r="V848" i="2"/>
  <c r="V849" i="2"/>
  <c r="V850" i="2"/>
  <c r="V851" i="2"/>
  <c r="V1394" i="2"/>
  <c r="V1948" i="2"/>
  <c r="V2491" i="2"/>
  <c r="V290" i="2"/>
  <c r="V291" i="2"/>
  <c r="V852" i="2"/>
  <c r="V853" i="2"/>
  <c r="V1395" i="2"/>
  <c r="V1396" i="2"/>
  <c r="V1397" i="2"/>
  <c r="V1398" i="2"/>
  <c r="V1949" i="2"/>
  <c r="V1950" i="2"/>
  <c r="V2492" i="2"/>
  <c r="V2493" i="2"/>
  <c r="V2494" i="2"/>
  <c r="V2495" i="2"/>
  <c r="V2496" i="2"/>
  <c r="V2497" i="2"/>
  <c r="V2498" i="2"/>
  <c r="V547" i="2"/>
  <c r="V548" i="2"/>
  <c r="V549" i="2"/>
  <c r="V550" i="2"/>
  <c r="V1647" i="2"/>
  <c r="V1648" i="2"/>
  <c r="V292" i="2"/>
  <c r="V293" i="2"/>
  <c r="V294" i="2"/>
  <c r="V1399" i="2"/>
  <c r="V1400" i="2"/>
  <c r="V1951" i="2"/>
  <c r="V1952" i="2"/>
  <c r="V1953" i="2"/>
  <c r="V1954" i="2"/>
  <c r="V1955" i="2"/>
  <c r="V1956" i="2"/>
  <c r="V1957" i="2"/>
  <c r="V2499" i="2"/>
  <c r="V2500" i="2"/>
  <c r="V2501" i="2"/>
  <c r="V551" i="2"/>
  <c r="V295" i="2"/>
  <c r="V296" i="2"/>
  <c r="V297" i="2"/>
  <c r="V298" i="2"/>
  <c r="V299" i="2"/>
  <c r="V854" i="2"/>
  <c r="V22" i="2"/>
  <c r="V23" i="2"/>
  <c r="V24" i="2"/>
  <c r="V586" i="2"/>
  <c r="V587" i="2"/>
  <c r="V588" i="2"/>
  <c r="V589" i="2"/>
  <c r="V590" i="2"/>
  <c r="V591" i="2"/>
  <c r="V1138" i="2"/>
  <c r="V1139" i="2"/>
  <c r="V1140" i="2"/>
  <c r="V1688" i="2"/>
  <c r="V1689" i="2"/>
  <c r="V1690" i="2"/>
  <c r="V25" i="2"/>
  <c r="V26" i="2"/>
  <c r="V27" i="2"/>
  <c r="V592" i="2"/>
  <c r="V593" i="2"/>
  <c r="V594" i="2"/>
  <c r="V1141" i="2"/>
  <c r="V1142" i="2"/>
  <c r="V1143" i="2"/>
  <c r="V1144" i="2"/>
  <c r="V1145" i="2"/>
  <c r="V1146" i="2"/>
  <c r="V1691" i="2"/>
  <c r="V300" i="2"/>
  <c r="V301" i="2"/>
  <c r="V302" i="2"/>
  <c r="V303" i="2"/>
  <c r="V304" i="2"/>
  <c r="V855" i="2"/>
  <c r="V856" i="2"/>
  <c r="V857" i="2"/>
  <c r="V1401" i="2"/>
  <c r="V1958" i="2"/>
  <c r="V1959" i="2"/>
  <c r="V1960" i="2"/>
  <c r="V2502" i="2"/>
  <c r="V28" i="2"/>
  <c r="V595" i="2"/>
  <c r="V596" i="2"/>
  <c r="V597" i="2"/>
  <c r="V598" i="2"/>
  <c r="V599" i="2"/>
  <c r="V1147" i="2"/>
  <c r="V1148" i="2"/>
  <c r="V1692" i="2"/>
  <c r="V1693" i="2"/>
  <c r="V1694" i="2"/>
  <c r="V1695" i="2"/>
  <c r="V1696" i="2"/>
  <c r="V1402" i="2"/>
  <c r="V1961" i="2"/>
  <c r="V29" i="2"/>
  <c r="V30" i="2"/>
  <c r="V600" i="2"/>
  <c r="V601" i="2"/>
  <c r="V1149" i="2"/>
  <c r="V1150" i="2"/>
  <c r="V1151" i="2"/>
  <c r="V1697" i="2"/>
  <c r="V1698" i="2"/>
  <c r="V2238" i="2"/>
  <c r="V2239" i="2"/>
  <c r="V2240" i="2"/>
  <c r="V2241" i="2"/>
  <c r="V2242" i="2"/>
  <c r="V2243" i="2"/>
  <c r="V2244" i="2"/>
  <c r="V2245" i="2"/>
  <c r="V2246" i="2"/>
  <c r="V1962" i="2"/>
  <c r="V422" i="2"/>
  <c r="V423" i="2"/>
  <c r="V424" i="2"/>
  <c r="V305" i="2"/>
  <c r="V425" i="2"/>
  <c r="V306" i="2"/>
  <c r="V307" i="2"/>
  <c r="V308" i="2"/>
  <c r="V309" i="2"/>
  <c r="V310" i="2"/>
  <c r="V1403" i="2"/>
  <c r="V1404" i="2"/>
  <c r="V2055" i="2"/>
  <c r="V2056" i="2"/>
  <c r="V2057" i="2"/>
  <c r="V2570" i="2"/>
  <c r="V311" i="2"/>
  <c r="V312" i="2"/>
  <c r="V313" i="2"/>
  <c r="V314" i="2"/>
  <c r="V858" i="2"/>
  <c r="V859" i="2"/>
  <c r="V860" i="2"/>
  <c r="V861" i="2"/>
  <c r="V1405" i="2"/>
  <c r="V1406" i="2"/>
  <c r="V1407" i="2"/>
  <c r="V1408" i="2"/>
  <c r="V1963" i="2"/>
  <c r="V1964" i="2"/>
  <c r="V1965" i="2"/>
  <c r="V1966" i="2"/>
  <c r="V315" i="2"/>
  <c r="V316" i="2"/>
  <c r="V317" i="2"/>
  <c r="V318" i="2"/>
  <c r="V319" i="2"/>
  <c r="V320" i="2"/>
  <c r="V321" i="2"/>
  <c r="V862" i="2"/>
  <c r="V1409" i="2"/>
  <c r="V1410" i="2"/>
  <c r="V1097" i="2"/>
  <c r="V1098" i="2"/>
  <c r="V1099" i="2"/>
  <c r="V602" i="2"/>
  <c r="V603" i="2"/>
  <c r="V604" i="2"/>
  <c r="V1152" i="2"/>
  <c r="V1699" i="2"/>
  <c r="V1700" i="2"/>
  <c r="V1701" i="2"/>
  <c r="V507" i="2"/>
  <c r="V508" i="2"/>
  <c r="V2147" i="2"/>
  <c r="V2148" i="2"/>
  <c r="V322" i="2"/>
  <c r="V863" i="2"/>
  <c r="V864" i="2"/>
  <c r="V865" i="2"/>
  <c r="V1411" i="2"/>
  <c r="V1412" i="2"/>
  <c r="V1413" i="2"/>
  <c r="V1967" i="2"/>
  <c r="V2149" i="2"/>
  <c r="V2684" i="2"/>
  <c r="V2685" i="2"/>
  <c r="V2686" i="2"/>
  <c r="V2687" i="2"/>
  <c r="V323" i="2"/>
  <c r="V324" i="2"/>
  <c r="V866" i="2"/>
  <c r="V867" i="2"/>
  <c r="V1414" i="2"/>
  <c r="V1415" i="2"/>
  <c r="V1416" i="2"/>
  <c r="V1417" i="2"/>
  <c r="V1968" i="2"/>
  <c r="V1969" i="2"/>
  <c r="V1970" i="2"/>
  <c r="V1971" i="2"/>
  <c r="V1972" i="2"/>
  <c r="V2503" i="2"/>
  <c r="V2504" i="2"/>
  <c r="V2505" i="2"/>
  <c r="V2506" i="2"/>
  <c r="V2507" i="2"/>
  <c r="V325" i="2"/>
  <c r="V326" i="2"/>
  <c r="V868" i="2"/>
  <c r="V869" i="2"/>
  <c r="V1418" i="2"/>
  <c r="V1419" i="2"/>
  <c r="V1420" i="2"/>
  <c r="V1973" i="2"/>
  <c r="V2508" i="2"/>
  <c r="V457" i="2"/>
  <c r="V1559" i="2"/>
  <c r="V1560" i="2"/>
  <c r="V2106" i="2"/>
  <c r="V2107" i="2"/>
  <c r="V2108" i="2"/>
  <c r="V2109" i="2"/>
  <c r="V2110" i="2"/>
  <c r="V2624" i="2"/>
  <c r="V2625" i="2"/>
  <c r="V2626" i="2"/>
  <c r="V2627" i="2"/>
  <c r="V368" i="2"/>
  <c r="V369" i="2"/>
  <c r="V1457" i="2"/>
  <c r="V327" i="2"/>
  <c r="V328" i="2"/>
  <c r="V329" i="2"/>
  <c r="V870" i="2"/>
  <c r="V871" i="2"/>
  <c r="V1421" i="2"/>
  <c r="V1974" i="2"/>
  <c r="V1975" i="2"/>
  <c r="V1976" i="2"/>
  <c r="V458" i="2"/>
  <c r="V459" i="2"/>
  <c r="V994" i="2"/>
  <c r="V1561" i="2"/>
  <c r="V1562" i="2"/>
  <c r="V330" i="2"/>
  <c r="V331" i="2"/>
  <c r="V872" i="2"/>
  <c r="V332" i="2"/>
  <c r="V333" i="2"/>
  <c r="V334" i="2"/>
  <c r="V335" i="2"/>
  <c r="V873" i="2"/>
  <c r="V874" i="2"/>
  <c r="V875" i="2"/>
  <c r="V1422" i="2"/>
  <c r="V1423" i="2"/>
  <c r="V1424" i="2"/>
  <c r="V1425" i="2"/>
  <c r="V1426" i="2"/>
  <c r="V1427" i="2"/>
  <c r="V336" i="2"/>
  <c r="V1428" i="2"/>
  <c r="V509" i="2"/>
  <c r="V510" i="2"/>
  <c r="V511" i="2"/>
  <c r="V512" i="2"/>
  <c r="V1041" i="2"/>
  <c r="V1042" i="2"/>
  <c r="V2150" i="2"/>
  <c r="V2151" i="2"/>
  <c r="V2688" i="2"/>
  <c r="V31" i="2"/>
  <c r="V32" i="2"/>
  <c r="V33" i="2"/>
  <c r="V34" i="2"/>
  <c r="V605" i="2"/>
  <c r="V606" i="2"/>
  <c r="V1153" i="2"/>
  <c r="V1154" i="2"/>
  <c r="V1702" i="2"/>
  <c r="V1703" i="2"/>
  <c r="V1704" i="2"/>
  <c r="V374" i="2"/>
  <c r="V375" i="2"/>
  <c r="V376" i="2"/>
  <c r="V897" i="2"/>
  <c r="V2007" i="2"/>
  <c r="V2008" i="2"/>
  <c r="V426" i="2"/>
  <c r="V945" i="2"/>
  <c r="V946" i="2"/>
  <c r="V947" i="2"/>
  <c r="V948" i="2"/>
  <c r="V1509" i="2"/>
  <c r="V1510" i="2"/>
  <c r="V1511" i="2"/>
  <c r="V2058" i="2"/>
  <c r="V2059" i="2"/>
  <c r="V2060" i="2"/>
  <c r="V2571" i="2"/>
  <c r="V2572" i="2"/>
  <c r="V2573" i="2"/>
  <c r="V1056" i="2"/>
  <c r="V1609" i="2"/>
  <c r="V1610" i="2"/>
  <c r="V2161" i="2"/>
  <c r="V2698" i="2"/>
  <c r="V337" i="2"/>
  <c r="V338" i="2"/>
  <c r="V1429" i="2"/>
  <c r="V1430" i="2"/>
  <c r="V1431" i="2"/>
  <c r="V1977" i="2"/>
  <c r="V1978" i="2"/>
  <c r="V1979" i="2"/>
  <c r="V1980" i="2"/>
  <c r="V1981" i="2"/>
  <c r="V1982" i="2"/>
  <c r="V2509" i="2"/>
  <c r="V2510" i="2"/>
  <c r="V2511" i="2"/>
  <c r="V35" i="2"/>
  <c r="V36" i="2"/>
  <c r="V37" i="2"/>
  <c r="V38" i="2"/>
  <c r="V39" i="2"/>
  <c r="V607" i="2"/>
  <c r="V339" i="2"/>
  <c r="V340" i="2"/>
  <c r="V341" i="2"/>
  <c r="V342" i="2"/>
  <c r="V343" i="2"/>
  <c r="V344" i="2"/>
  <c r="V345" i="2"/>
  <c r="V346" i="2"/>
  <c r="V347" i="2"/>
  <c r="V876" i="2"/>
  <c r="V877" i="2"/>
  <c r="V1432" i="2"/>
  <c r="V1433" i="2"/>
  <c r="V1434" i="2"/>
  <c r="V348" i="2"/>
  <c r="V349" i="2"/>
  <c r="V350" i="2"/>
  <c r="V351" i="2"/>
  <c r="V878" i="2"/>
  <c r="V879" i="2"/>
  <c r="V880" i="2"/>
  <c r="V881" i="2"/>
  <c r="V1435" i="2"/>
  <c r="V1436" i="2"/>
  <c r="V1437" i="2"/>
  <c r="V1438" i="2"/>
  <c r="V1439" i="2"/>
  <c r="V1440" i="2"/>
  <c r="V1441" i="2"/>
  <c r="V352" i="2"/>
  <c r="V353" i="2"/>
  <c r="V436" i="2"/>
  <c r="V437" i="2"/>
  <c r="V972" i="2"/>
  <c r="V973" i="2"/>
  <c r="V2085" i="2"/>
  <c r="V40" i="2"/>
  <c r="V354" i="2"/>
  <c r="V41" i="2"/>
  <c r="V355" i="2"/>
  <c r="V42" i="2"/>
  <c r="V356" i="2"/>
  <c r="V357" i="2"/>
  <c r="V358" i="2"/>
  <c r="V882" i="2"/>
  <c r="V883" i="2"/>
  <c r="V608" i="2"/>
  <c r="V884" i="2"/>
  <c r="V1442" i="2"/>
  <c r="V1443" i="2"/>
  <c r="V1983" i="2"/>
  <c r="V1984" i="2"/>
  <c r="V1705" i="2"/>
  <c r="V1985" i="2"/>
  <c r="V1706" i="2"/>
  <c r="U1706" i="2"/>
  <c r="U1985" i="2"/>
  <c r="U1705" i="2"/>
  <c r="U1984" i="2"/>
  <c r="U1983" i="2"/>
  <c r="U1443" i="2"/>
  <c r="U1442" i="2"/>
  <c r="U884" i="2"/>
  <c r="U608" i="2"/>
  <c r="U883" i="2"/>
  <c r="U882" i="2"/>
  <c r="U358" i="2"/>
  <c r="U357" i="2"/>
  <c r="U356" i="2"/>
  <c r="U42" i="2"/>
  <c r="U355" i="2"/>
  <c r="U41" i="2"/>
  <c r="U354" i="2"/>
  <c r="U40" i="2"/>
  <c r="U2085" i="2"/>
  <c r="U973" i="2"/>
  <c r="U972" i="2"/>
  <c r="U437" i="2"/>
  <c r="U436" i="2"/>
  <c r="U353" i="2"/>
  <c r="U352" i="2"/>
  <c r="U1441" i="2"/>
  <c r="U1440" i="2"/>
  <c r="U1439" i="2"/>
  <c r="U1438" i="2"/>
  <c r="U1437" i="2"/>
  <c r="U1436" i="2"/>
  <c r="U1435" i="2"/>
  <c r="U881" i="2"/>
  <c r="U880" i="2"/>
  <c r="U879" i="2"/>
  <c r="U878" i="2"/>
  <c r="U351" i="2"/>
  <c r="U350" i="2"/>
  <c r="U349" i="2"/>
  <c r="U348" i="2"/>
  <c r="U1434" i="2"/>
  <c r="U1433" i="2"/>
  <c r="U1432" i="2"/>
  <c r="U877" i="2"/>
  <c r="U876" i="2"/>
  <c r="U347" i="2"/>
  <c r="U346" i="2"/>
  <c r="U345" i="2"/>
  <c r="U344" i="2"/>
  <c r="U343" i="2"/>
  <c r="U342" i="2"/>
  <c r="U341" i="2"/>
  <c r="U340" i="2"/>
  <c r="U339" i="2"/>
  <c r="U607" i="2"/>
  <c r="U39" i="2"/>
  <c r="U38" i="2"/>
  <c r="U37" i="2"/>
  <c r="U36" i="2"/>
  <c r="U35" i="2"/>
  <c r="U2511" i="2"/>
  <c r="U2510" i="2"/>
  <c r="U2509" i="2"/>
  <c r="U1982" i="2"/>
  <c r="U1981" i="2"/>
  <c r="U1980" i="2"/>
  <c r="U1979" i="2"/>
  <c r="U1978" i="2"/>
  <c r="U1977" i="2"/>
  <c r="U1431" i="2"/>
  <c r="U1430" i="2"/>
  <c r="U1429" i="2"/>
  <c r="U338" i="2"/>
  <c r="U337" i="2"/>
  <c r="U2698" i="2"/>
  <c r="U2161" i="2"/>
  <c r="U1610" i="2"/>
  <c r="U1609" i="2"/>
  <c r="U1056" i="2"/>
  <c r="U2573" i="2"/>
  <c r="U2572" i="2"/>
  <c r="U2571" i="2"/>
  <c r="U2060" i="2"/>
  <c r="U2059" i="2"/>
  <c r="U2058" i="2"/>
  <c r="U1511" i="2"/>
  <c r="U1510" i="2"/>
  <c r="U1509" i="2"/>
  <c r="U948" i="2"/>
  <c r="U947" i="2"/>
  <c r="U946" i="2"/>
  <c r="U945" i="2"/>
  <c r="U426" i="2"/>
  <c r="U2008" i="2"/>
  <c r="U2007" i="2"/>
  <c r="U897" i="2"/>
  <c r="U376" i="2"/>
  <c r="U375" i="2"/>
  <c r="U374" i="2"/>
  <c r="U1704" i="2"/>
  <c r="U1703" i="2"/>
  <c r="U1702" i="2"/>
  <c r="U1154" i="2"/>
  <c r="U1153" i="2"/>
  <c r="U606" i="2"/>
  <c r="U605" i="2"/>
  <c r="U34" i="2"/>
  <c r="U33" i="2"/>
  <c r="U32" i="2"/>
  <c r="U31" i="2"/>
  <c r="U2688" i="2"/>
  <c r="U2151" i="2"/>
  <c r="U2150" i="2"/>
  <c r="U1042" i="2"/>
  <c r="U1041" i="2"/>
  <c r="U512" i="2"/>
  <c r="U511" i="2"/>
  <c r="U510" i="2"/>
  <c r="U509" i="2"/>
  <c r="U1428" i="2"/>
  <c r="U336" i="2"/>
  <c r="U1427" i="2"/>
  <c r="U1426" i="2"/>
  <c r="U1425" i="2"/>
  <c r="U1424" i="2"/>
  <c r="U1423" i="2"/>
  <c r="U1422" i="2"/>
  <c r="U875" i="2"/>
  <c r="U874" i="2"/>
  <c r="U873" i="2"/>
  <c r="U335" i="2"/>
  <c r="U334" i="2"/>
  <c r="U333" i="2"/>
  <c r="U332" i="2"/>
  <c r="U872" i="2"/>
  <c r="U331" i="2"/>
  <c r="U330" i="2"/>
  <c r="U1562" i="2"/>
  <c r="U1561" i="2"/>
  <c r="U994" i="2"/>
  <c r="U459" i="2"/>
  <c r="U458" i="2"/>
  <c r="U1976" i="2"/>
  <c r="U1975" i="2"/>
  <c r="U1974" i="2"/>
  <c r="U1421" i="2"/>
  <c r="U871" i="2"/>
  <c r="U870" i="2"/>
  <c r="U329" i="2"/>
  <c r="U328" i="2"/>
  <c r="U327" i="2"/>
  <c r="U1457" i="2"/>
  <c r="U369" i="2"/>
  <c r="U368" i="2"/>
  <c r="U2627" i="2"/>
  <c r="U2626" i="2"/>
  <c r="U2625" i="2"/>
  <c r="U2624" i="2"/>
  <c r="U2110" i="2"/>
  <c r="U2109" i="2"/>
  <c r="U2108" i="2"/>
  <c r="U2107" i="2"/>
  <c r="U2106" i="2"/>
  <c r="U1560" i="2"/>
  <c r="U1559" i="2"/>
  <c r="U457" i="2"/>
  <c r="U2508" i="2"/>
  <c r="U1973" i="2"/>
  <c r="U1420" i="2"/>
  <c r="U1419" i="2"/>
  <c r="U1418" i="2"/>
  <c r="U869" i="2"/>
  <c r="U868" i="2"/>
  <c r="U326" i="2"/>
  <c r="U325" i="2"/>
  <c r="U2507" i="2"/>
  <c r="U2506" i="2"/>
  <c r="U2505" i="2"/>
  <c r="U2504" i="2"/>
  <c r="U2503" i="2"/>
  <c r="U1972" i="2"/>
  <c r="U1971" i="2"/>
  <c r="U1970" i="2"/>
  <c r="U1969" i="2"/>
  <c r="U1968" i="2"/>
  <c r="U1417" i="2"/>
  <c r="U1416" i="2"/>
  <c r="U1415" i="2"/>
  <c r="U1414" i="2"/>
  <c r="U867" i="2"/>
  <c r="U866" i="2"/>
  <c r="U324" i="2"/>
  <c r="U323" i="2"/>
  <c r="U2687" i="2"/>
  <c r="U2686" i="2"/>
  <c r="U2685" i="2"/>
  <c r="U2684" i="2"/>
  <c r="U2149" i="2"/>
  <c r="U1967" i="2"/>
  <c r="U1413" i="2"/>
  <c r="U1412" i="2"/>
  <c r="U1411" i="2"/>
  <c r="U865" i="2"/>
  <c r="U864" i="2"/>
  <c r="U863" i="2"/>
  <c r="U322" i="2"/>
  <c r="U2148" i="2"/>
  <c r="U2147" i="2"/>
  <c r="U508" i="2"/>
  <c r="U507" i="2"/>
  <c r="U1701" i="2"/>
  <c r="U1700" i="2"/>
  <c r="U1699" i="2"/>
  <c r="U1152" i="2"/>
  <c r="U604" i="2"/>
  <c r="U603" i="2"/>
  <c r="U602" i="2"/>
  <c r="U1099" i="2"/>
  <c r="U1098" i="2"/>
  <c r="U1097" i="2"/>
  <c r="U1410" i="2"/>
  <c r="U1409" i="2"/>
  <c r="U862" i="2"/>
  <c r="U321" i="2"/>
  <c r="U320" i="2"/>
  <c r="U319" i="2"/>
  <c r="U318" i="2"/>
  <c r="U317" i="2"/>
  <c r="U316" i="2"/>
  <c r="U315" i="2"/>
  <c r="U1966" i="2"/>
  <c r="U1965" i="2"/>
  <c r="U1964" i="2"/>
  <c r="U1963" i="2"/>
  <c r="U1408" i="2"/>
  <c r="U1407" i="2"/>
  <c r="U1406" i="2"/>
  <c r="U1405" i="2"/>
  <c r="U861" i="2"/>
  <c r="U860" i="2"/>
  <c r="U859" i="2"/>
  <c r="U858" i="2"/>
  <c r="U314" i="2"/>
  <c r="U313" i="2"/>
  <c r="U312" i="2"/>
  <c r="U311" i="2"/>
  <c r="U2570" i="2"/>
  <c r="U2057" i="2"/>
  <c r="U2056" i="2"/>
  <c r="U2055" i="2"/>
  <c r="U1404" i="2"/>
  <c r="U1403" i="2"/>
  <c r="U310" i="2"/>
  <c r="U309" i="2"/>
  <c r="U308" i="2"/>
  <c r="U307" i="2"/>
  <c r="U306" i="2"/>
  <c r="U425" i="2"/>
  <c r="U305" i="2"/>
  <c r="U424" i="2"/>
  <c r="U423" i="2"/>
  <c r="U422" i="2"/>
  <c r="U1962" i="2"/>
  <c r="U2246" i="2"/>
  <c r="U2245" i="2"/>
  <c r="U2244" i="2"/>
  <c r="U2243" i="2"/>
  <c r="U2242" i="2"/>
  <c r="U2241" i="2"/>
  <c r="U2240" i="2"/>
  <c r="U2239" i="2"/>
  <c r="U2238" i="2"/>
  <c r="U1698" i="2"/>
  <c r="U1697" i="2"/>
  <c r="U1151" i="2"/>
  <c r="U1150" i="2"/>
  <c r="U1149" i="2"/>
  <c r="U601" i="2"/>
  <c r="U600" i="2"/>
  <c r="U30" i="2"/>
  <c r="U29" i="2"/>
  <c r="U1961" i="2"/>
  <c r="U1402" i="2"/>
  <c r="U1696" i="2"/>
  <c r="U1695" i="2"/>
  <c r="U1694" i="2"/>
  <c r="U1693" i="2"/>
  <c r="U1692" i="2"/>
  <c r="U1148" i="2"/>
  <c r="U1147" i="2"/>
  <c r="U599" i="2"/>
  <c r="U598" i="2"/>
  <c r="U597" i="2"/>
  <c r="U596" i="2"/>
  <c r="U595" i="2"/>
  <c r="U28" i="2"/>
  <c r="U2502" i="2"/>
  <c r="U1960" i="2"/>
  <c r="U1959" i="2"/>
  <c r="U1958" i="2"/>
  <c r="U1401" i="2"/>
  <c r="U857" i="2"/>
  <c r="U856" i="2"/>
  <c r="U855" i="2"/>
  <c r="U304" i="2"/>
  <c r="U303" i="2"/>
  <c r="U302" i="2"/>
  <c r="U301" i="2"/>
  <c r="U300" i="2"/>
  <c r="U1691" i="2"/>
  <c r="U1146" i="2"/>
  <c r="U1145" i="2"/>
  <c r="U1144" i="2"/>
  <c r="U1143" i="2"/>
  <c r="U1142" i="2"/>
  <c r="U1141" i="2"/>
  <c r="U594" i="2"/>
  <c r="U593" i="2"/>
  <c r="U592" i="2"/>
  <c r="U27" i="2"/>
  <c r="U26" i="2"/>
  <c r="U25" i="2"/>
  <c r="U1690" i="2"/>
  <c r="U1689" i="2"/>
  <c r="U1688" i="2"/>
  <c r="U1140" i="2"/>
  <c r="U1139" i="2"/>
  <c r="U1138" i="2"/>
  <c r="U591" i="2"/>
  <c r="U590" i="2"/>
  <c r="U589" i="2"/>
  <c r="U588" i="2"/>
  <c r="U587" i="2"/>
  <c r="U586" i="2"/>
  <c r="U24" i="2"/>
  <c r="U23" i="2"/>
  <c r="U22" i="2"/>
  <c r="U854" i="2"/>
  <c r="U299" i="2"/>
  <c r="U298" i="2"/>
  <c r="U297" i="2"/>
  <c r="U296" i="2"/>
  <c r="U295" i="2"/>
  <c r="U551" i="2"/>
  <c r="U2501" i="2"/>
  <c r="U2500" i="2"/>
  <c r="U2499" i="2"/>
  <c r="U1957" i="2"/>
  <c r="U1956" i="2"/>
  <c r="U1955" i="2"/>
  <c r="U1954" i="2"/>
  <c r="U1953" i="2"/>
  <c r="U1952" i="2"/>
  <c r="U1951" i="2"/>
  <c r="U1400" i="2"/>
  <c r="U1399" i="2"/>
  <c r="U294" i="2"/>
  <c r="U293" i="2"/>
  <c r="U292" i="2"/>
  <c r="U1648" i="2"/>
  <c r="U1647" i="2"/>
  <c r="U550" i="2"/>
  <c r="U549" i="2"/>
  <c r="U548" i="2"/>
  <c r="U547" i="2"/>
  <c r="U2498" i="2"/>
  <c r="U2497" i="2"/>
  <c r="U2496" i="2"/>
  <c r="U2495" i="2"/>
  <c r="U2494" i="2"/>
  <c r="U2493" i="2"/>
  <c r="U2492" i="2"/>
  <c r="U1950" i="2"/>
  <c r="U1949" i="2"/>
  <c r="U1398" i="2"/>
  <c r="U1397" i="2"/>
  <c r="U1396" i="2"/>
  <c r="U1395" i="2"/>
  <c r="U853" i="2"/>
  <c r="U852" i="2"/>
  <c r="U291" i="2"/>
  <c r="U290" i="2"/>
  <c r="U2491" i="2"/>
  <c r="U1948" i="2"/>
  <c r="U1394" i="2"/>
  <c r="U851" i="2"/>
  <c r="U850" i="2"/>
  <c r="U849" i="2"/>
  <c r="U848" i="2"/>
  <c r="U289" i="2"/>
  <c r="U288" i="2"/>
  <c r="U2490" i="2"/>
  <c r="U1947" i="2"/>
  <c r="U1946" i="2"/>
  <c r="U1945" i="2"/>
  <c r="U1944" i="2"/>
  <c r="U1943" i="2"/>
  <c r="U1393" i="2"/>
  <c r="U1392" i="2"/>
  <c r="U1391" i="2"/>
  <c r="U287" i="2"/>
  <c r="U286" i="2"/>
  <c r="U285" i="2"/>
  <c r="U1942" i="2"/>
  <c r="U2054" i="2"/>
  <c r="U847" i="2"/>
  <c r="U846" i="2"/>
  <c r="U944" i="2"/>
  <c r="U845" i="2"/>
  <c r="U943" i="2"/>
  <c r="U942" i="2"/>
  <c r="U941" i="2"/>
  <c r="U284" i="2"/>
  <c r="U283" i="2"/>
  <c r="U421" i="2"/>
  <c r="U420" i="2"/>
  <c r="U282" i="2"/>
  <c r="U281" i="2"/>
  <c r="U280" i="2"/>
  <c r="U419" i="2"/>
  <c r="U1941" i="2"/>
  <c r="U1390" i="2"/>
  <c r="U1389" i="2"/>
  <c r="U1388" i="2"/>
  <c r="U1387" i="2"/>
  <c r="U1386" i="2"/>
  <c r="U1385" i="2"/>
  <c r="U1384" i="2"/>
  <c r="U1383" i="2"/>
  <c r="U1382" i="2"/>
  <c r="U1381" i="2"/>
  <c r="U844" i="2"/>
  <c r="U843" i="2"/>
  <c r="U842" i="2"/>
  <c r="U279" i="2"/>
  <c r="U278" i="2"/>
  <c r="U277" i="2"/>
  <c r="U276" i="2"/>
  <c r="U1096" i="2"/>
  <c r="U1095" i="2"/>
  <c r="U546" i="2"/>
  <c r="U1940" i="2"/>
  <c r="U1939" i="2"/>
  <c r="U275" i="2"/>
  <c r="U2084" i="2"/>
  <c r="U1938" i="2"/>
  <c r="U1937" i="2"/>
  <c r="U1936" i="2"/>
  <c r="U1380" i="2"/>
  <c r="U1379" i="2"/>
  <c r="U1378" i="2"/>
  <c r="U841" i="2"/>
  <c r="U840" i="2"/>
  <c r="U839" i="2"/>
  <c r="U838" i="2"/>
  <c r="U274" i="2"/>
  <c r="U273" i="2"/>
  <c r="U272" i="2"/>
  <c r="U271" i="2"/>
  <c r="U270" i="2"/>
  <c r="U1377" i="2"/>
  <c r="U837" i="2"/>
  <c r="U269" i="2"/>
  <c r="U268" i="2"/>
  <c r="U2489" i="2"/>
  <c r="U2488" i="2"/>
  <c r="U2487" i="2"/>
  <c r="U2486" i="2"/>
  <c r="U2485" i="2"/>
  <c r="U2484" i="2"/>
  <c r="U2483" i="2"/>
  <c r="U1935" i="2"/>
  <c r="U1934" i="2"/>
  <c r="U1933" i="2"/>
  <c r="U1932" i="2"/>
  <c r="U1376" i="2"/>
  <c r="U267" i="2"/>
  <c r="U266" i="2"/>
  <c r="U1931" i="2"/>
  <c r="U1930" i="2"/>
  <c r="U1929" i="2"/>
  <c r="U1928" i="2"/>
  <c r="U1927" i="2"/>
  <c r="U265" i="2"/>
  <c r="U264" i="2"/>
  <c r="U263" i="2"/>
  <c r="U2237" i="2"/>
  <c r="U1687" i="2"/>
  <c r="U1686" i="2"/>
  <c r="U1685" i="2"/>
  <c r="U1137" i="2"/>
  <c r="U1136" i="2"/>
  <c r="U1135" i="2"/>
  <c r="U585" i="2"/>
  <c r="U836" i="2"/>
  <c r="U584" i="2"/>
  <c r="U835" i="2"/>
  <c r="U583" i="2"/>
  <c r="U834" i="2"/>
  <c r="U833" i="2"/>
  <c r="U832" i="2"/>
  <c r="U262" i="2"/>
  <c r="U21" i="2"/>
  <c r="U20" i="2"/>
  <c r="U261" i="2"/>
  <c r="U19" i="2"/>
  <c r="U18" i="2"/>
  <c r="U260" i="2"/>
  <c r="U259" i="2"/>
  <c r="U258" i="2"/>
  <c r="U2146" i="2"/>
  <c r="U1602" i="2"/>
  <c r="U1601" i="2"/>
  <c r="U1040" i="2"/>
  <c r="U506" i="2"/>
  <c r="U505" i="2"/>
  <c r="U504" i="2"/>
  <c r="U503" i="2"/>
  <c r="U502" i="2"/>
  <c r="U1684" i="2"/>
  <c r="U1683" i="2"/>
  <c r="U1682" i="2"/>
  <c r="U1681" i="2"/>
  <c r="U1134" i="2"/>
  <c r="U1133" i="2"/>
  <c r="U1132" i="2"/>
  <c r="U1131" i="2"/>
  <c r="U582" i="2"/>
  <c r="U581" i="2"/>
  <c r="U2697" i="2"/>
  <c r="U2696" i="2"/>
  <c r="U2695" i="2"/>
  <c r="U2160" i="2"/>
  <c r="U2159" i="2"/>
  <c r="U2158" i="2"/>
  <c r="U2157" i="2"/>
  <c r="U1608" i="2"/>
  <c r="U1055" i="2"/>
  <c r="U2748" i="2"/>
  <c r="U2747" i="2"/>
  <c r="U2746" i="2"/>
  <c r="U2745" i="2"/>
  <c r="U2053" i="2"/>
  <c r="U2052" i="2"/>
  <c r="U1508" i="2"/>
  <c r="U940" i="2"/>
  <c r="U418" i="2"/>
  <c r="U2236" i="2"/>
  <c r="U2235" i="2"/>
  <c r="U2234" i="2"/>
  <c r="U2233" i="2"/>
  <c r="U2232" i="2"/>
  <c r="U2231" i="2"/>
  <c r="U1680" i="2"/>
  <c r="U1679" i="2"/>
  <c r="U1678" i="2"/>
  <c r="U1677" i="2"/>
  <c r="U1130" i="2"/>
  <c r="U1129" i="2"/>
  <c r="U580" i="2"/>
  <c r="U579" i="2"/>
  <c r="U578" i="2"/>
  <c r="U577" i="2"/>
  <c r="U17" i="2"/>
  <c r="U1926" i="2"/>
  <c r="U1925" i="2"/>
  <c r="U1375" i="2"/>
  <c r="U1374" i="2"/>
  <c r="U831" i="2"/>
  <c r="U830" i="2"/>
  <c r="U257" i="2"/>
  <c r="U256" i="2"/>
  <c r="U255" i="2"/>
  <c r="U254" i="2"/>
  <c r="U2001" i="2"/>
  <c r="U2000" i="2"/>
  <c r="U1456" i="2"/>
  <c r="U1455" i="2"/>
  <c r="U1454" i="2"/>
  <c r="U829" i="2"/>
  <c r="U828" i="2"/>
  <c r="U827" i="2"/>
  <c r="U826" i="2"/>
  <c r="U825" i="2"/>
  <c r="U824" i="2"/>
  <c r="U253" i="2"/>
  <c r="U252" i="2"/>
  <c r="U367" i="2"/>
  <c r="U251" i="2"/>
  <c r="U250" i="2"/>
  <c r="U249" i="2"/>
  <c r="U248" i="2"/>
  <c r="U1646" i="2"/>
  <c r="U1536" i="2"/>
  <c r="U1535" i="2"/>
  <c r="U1534" i="2"/>
  <c r="U971" i="2"/>
  <c r="U435" i="2"/>
  <c r="U434" i="2"/>
  <c r="U433" i="2"/>
  <c r="U2482" i="2"/>
  <c r="U2683" i="2"/>
  <c r="U2682" i="2"/>
  <c r="U2681" i="2"/>
  <c r="U1924" i="2"/>
  <c r="U2145" i="2"/>
  <c r="U1923" i="2"/>
  <c r="U2144" i="2"/>
  <c r="U1922" i="2"/>
  <c r="U2143" i="2"/>
  <c r="U1921" i="2"/>
  <c r="U2142" i="2"/>
  <c r="U1920" i="2"/>
  <c r="U1373" i="2"/>
  <c r="U1372" i="2"/>
  <c r="U1371" i="2"/>
  <c r="U1600" i="2"/>
  <c r="U1370" i="2"/>
  <c r="U1369" i="2"/>
  <c r="U823" i="2"/>
  <c r="U822" i="2"/>
  <c r="U821" i="2"/>
  <c r="U820" i="2"/>
  <c r="U819" i="2"/>
  <c r="U818" i="2"/>
  <c r="U247" i="2"/>
  <c r="U246" i="2"/>
  <c r="U245" i="2"/>
  <c r="U244" i="2"/>
  <c r="U243" i="2"/>
  <c r="U242" i="2"/>
  <c r="U241" i="2"/>
  <c r="U240" i="2"/>
  <c r="U239" i="2"/>
  <c r="U238" i="2"/>
  <c r="U2481" i="2"/>
  <c r="U2480" i="2"/>
  <c r="U2479" i="2"/>
  <c r="U2478" i="2"/>
  <c r="U2477" i="2"/>
  <c r="U1919" i="2"/>
  <c r="U1918" i="2"/>
  <c r="U1917" i="2"/>
  <c r="U1368" i="2"/>
  <c r="U1367" i="2"/>
  <c r="U1366" i="2"/>
  <c r="U1365" i="2"/>
  <c r="U817" i="2"/>
  <c r="U816" i="2"/>
  <c r="U237" i="2"/>
  <c r="U236" i="2"/>
  <c r="U1094" i="2"/>
  <c r="U1093" i="2"/>
  <c r="U545" i="2"/>
  <c r="U2680" i="2"/>
  <c r="U2679" i="2"/>
  <c r="U2678" i="2"/>
  <c r="U2677" i="2"/>
  <c r="U2141" i="2"/>
  <c r="U1599" i="2"/>
  <c r="U1039" i="2"/>
  <c r="U1038" i="2"/>
  <c r="U501" i="2"/>
  <c r="U2623" i="2"/>
  <c r="U2105" i="2"/>
  <c r="U2104" i="2"/>
  <c r="U2103" i="2"/>
  <c r="U1558" i="2"/>
  <c r="U993" i="2"/>
  <c r="U992" i="2"/>
  <c r="U456" i="2"/>
  <c r="U455" i="2"/>
  <c r="U454" i="2"/>
  <c r="U453" i="2"/>
  <c r="U452" i="2"/>
  <c r="U1916" i="2"/>
  <c r="U1915" i="2"/>
  <c r="U1364" i="2"/>
  <c r="U1598" i="2"/>
  <c r="U1037" i="2"/>
  <c r="U1036" i="2"/>
  <c r="U500" i="2"/>
  <c r="U499" i="2"/>
  <c r="U498" i="2"/>
  <c r="U2622" i="2"/>
  <c r="U2102" i="2"/>
  <c r="U2101" i="2"/>
  <c r="U2100" i="2"/>
  <c r="U1914" i="2"/>
  <c r="U2099" i="2"/>
  <c r="U1913" i="2"/>
  <c r="U1557" i="2"/>
  <c r="U1363" i="2"/>
  <c r="U1556" i="2"/>
  <c r="U1362" i="2"/>
  <c r="U1361" i="2"/>
  <c r="U1360" i="2"/>
  <c r="U1359" i="2"/>
  <c r="U1358" i="2"/>
  <c r="U1357" i="2"/>
  <c r="U1356" i="2"/>
  <c r="U815" i="2"/>
  <c r="U991" i="2"/>
  <c r="U990" i="2"/>
  <c r="U814" i="2"/>
  <c r="U813" i="2"/>
  <c r="U989" i="2"/>
  <c r="U812" i="2"/>
  <c r="U235" i="2"/>
  <c r="U234" i="2"/>
  <c r="U451" i="2"/>
  <c r="U450" i="2"/>
  <c r="U449" i="2"/>
  <c r="U233" i="2"/>
  <c r="U232" i="2"/>
  <c r="U448" i="2"/>
  <c r="U1507" i="2"/>
  <c r="U1506" i="2"/>
  <c r="U939" i="2"/>
  <c r="U938" i="2"/>
  <c r="U2476" i="2"/>
  <c r="U1912" i="2"/>
  <c r="U1355" i="2"/>
  <c r="U1354" i="2"/>
  <c r="U811" i="2"/>
  <c r="U810" i="2"/>
  <c r="U231" i="2"/>
  <c r="U230" i="2"/>
  <c r="U229" i="2"/>
  <c r="U228" i="2"/>
  <c r="U227" i="2"/>
  <c r="U226" i="2"/>
  <c r="U225" i="2"/>
  <c r="U224" i="2"/>
  <c r="U223" i="2"/>
  <c r="U2475" i="2"/>
  <c r="U2474" i="2"/>
  <c r="U2473" i="2"/>
  <c r="U2472" i="2"/>
  <c r="U2471" i="2"/>
  <c r="U2470" i="2"/>
  <c r="U1911" i="2"/>
  <c r="U1910" i="2"/>
  <c r="U1909" i="2"/>
  <c r="U1908" i="2"/>
  <c r="U1907" i="2"/>
  <c r="U1353" i="2"/>
  <c r="U1352" i="2"/>
  <c r="U809" i="2"/>
  <c r="U2469" i="2"/>
  <c r="U2468" i="2"/>
  <c r="U2467" i="2"/>
  <c r="U2466" i="2"/>
  <c r="U2465" i="2"/>
  <c r="U808" i="2"/>
  <c r="U807" i="2"/>
  <c r="U222" i="2"/>
  <c r="U2676" i="2"/>
  <c r="U2140" i="2"/>
  <c r="U1597" i="2"/>
  <c r="U1596" i="2"/>
  <c r="U1035" i="2"/>
  <c r="U1034" i="2"/>
  <c r="U2569" i="2"/>
  <c r="U1906" i="2"/>
  <c r="U1905" i="2"/>
  <c r="U2051" i="2"/>
  <c r="U1904" i="2"/>
  <c r="U1903" i="2"/>
  <c r="U2050" i="2"/>
  <c r="U2049" i="2"/>
  <c r="U1902" i="2"/>
  <c r="U1505" i="2"/>
  <c r="U1504" i="2"/>
  <c r="U1503" i="2"/>
  <c r="U1502" i="2"/>
  <c r="U1555" i="2"/>
  <c r="U937" i="2"/>
  <c r="U988" i="2"/>
  <c r="U936" i="2"/>
  <c r="U806" i="2"/>
  <c r="U417" i="2"/>
  <c r="U416" i="2"/>
  <c r="U415" i="2"/>
  <c r="U221" i="2"/>
  <c r="U414" i="2"/>
  <c r="U220" i="2"/>
  <c r="U219" i="2"/>
  <c r="U2048" i="2"/>
  <c r="U2047" i="2"/>
  <c r="U1501" i="2"/>
  <c r="U1500" i="2"/>
  <c r="U1499" i="2"/>
  <c r="U1351" i="2"/>
  <c r="U1350" i="2"/>
  <c r="U1498" i="2"/>
  <c r="U1497" i="2"/>
  <c r="U935" i="2"/>
  <c r="U934" i="2"/>
  <c r="U805" i="2"/>
  <c r="U804" i="2"/>
  <c r="U803" i="2"/>
  <c r="U933" i="2"/>
  <c r="U802" i="2"/>
  <c r="U801" i="2"/>
  <c r="U218" i="2"/>
  <c r="U413" i="2"/>
  <c r="U412" i="2"/>
  <c r="U411" i="2"/>
  <c r="U217" i="2"/>
  <c r="U216" i="2"/>
  <c r="U410" i="2"/>
  <c r="U215" i="2"/>
  <c r="U409" i="2"/>
  <c r="U214" i="2"/>
  <c r="U213" i="2"/>
  <c r="U212" i="2"/>
  <c r="U2744" i="2"/>
  <c r="U2198" i="2"/>
  <c r="U2197" i="2"/>
  <c r="U2196" i="2"/>
  <c r="U2139" i="2"/>
  <c r="U1645" i="2"/>
  <c r="U1644" i="2"/>
  <c r="U1092" i="2"/>
  <c r="U1033" i="2"/>
  <c r="U1091" i="2"/>
  <c r="U497" i="2"/>
  <c r="U496" i="2"/>
  <c r="U544" i="2"/>
  <c r="U495" i="2"/>
  <c r="U2464" i="2"/>
  <c r="U1901" i="2"/>
  <c r="U1900" i="2"/>
  <c r="U1349" i="2"/>
  <c r="U1348" i="2"/>
  <c r="U800" i="2"/>
  <c r="U799" i="2"/>
  <c r="U211" i="2"/>
  <c r="U210" i="2"/>
  <c r="U209" i="2"/>
  <c r="U2613" i="2"/>
  <c r="U2612" i="2"/>
  <c r="U2611" i="2"/>
  <c r="U2463" i="2"/>
  <c r="U2610" i="2"/>
  <c r="U2609" i="2"/>
  <c r="U2608" i="2"/>
  <c r="U2607" i="2"/>
  <c r="U2083" i="2"/>
  <c r="U2082" i="2"/>
  <c r="U1899" i="2"/>
  <c r="U1898" i="2"/>
  <c r="U1897" i="2"/>
  <c r="U2081" i="2"/>
  <c r="U2080" i="2"/>
  <c r="U2079" i="2"/>
  <c r="U1533" i="2"/>
  <c r="U1347" i="2"/>
  <c r="U1532" i="2"/>
  <c r="U1346" i="2"/>
  <c r="U970" i="2"/>
  <c r="U969" i="2"/>
  <c r="U432" i="2"/>
  <c r="U208" i="2"/>
  <c r="U207" i="2"/>
  <c r="U431" i="2"/>
  <c r="U2462" i="2"/>
  <c r="U2461" i="2"/>
  <c r="U2460" i="2"/>
  <c r="U2459" i="2"/>
  <c r="U1345" i="2"/>
  <c r="U1344" i="2"/>
  <c r="U798" i="2"/>
  <c r="U2675" i="2"/>
  <c r="U2458" i="2"/>
  <c r="U2457" i="2"/>
  <c r="U1896" i="2"/>
  <c r="U2138" i="2"/>
  <c r="U1895" i="2"/>
  <c r="U2137" i="2"/>
  <c r="U2136" i="2"/>
  <c r="U1894" i="2"/>
  <c r="U1343" i="2"/>
  <c r="U1595" i="2"/>
  <c r="U1342" i="2"/>
  <c r="U1594" i="2"/>
  <c r="U797" i="2"/>
  <c r="U796" i="2"/>
  <c r="U1032" i="2"/>
  <c r="U795" i="2"/>
  <c r="U1031" i="2"/>
  <c r="U494" i="2"/>
  <c r="U206" i="2"/>
  <c r="U205" i="2"/>
  <c r="U204" i="2"/>
  <c r="U203" i="2"/>
  <c r="U493" i="2"/>
  <c r="U202" i="2"/>
  <c r="U492" i="2"/>
  <c r="U1893" i="2"/>
  <c r="U1892" i="2"/>
  <c r="U1341" i="2"/>
  <c r="U1340" i="2"/>
  <c r="U1339" i="2"/>
  <c r="U794" i="2"/>
  <c r="U793" i="2"/>
  <c r="U792" i="2"/>
  <c r="U791" i="2"/>
  <c r="U790" i="2"/>
  <c r="U201" i="2"/>
  <c r="U200" i="2"/>
  <c r="U199" i="2"/>
  <c r="U198" i="2"/>
  <c r="U197" i="2"/>
  <c r="U196" i="2"/>
  <c r="U195" i="2"/>
  <c r="U2046" i="2"/>
  <c r="U2045" i="2"/>
  <c r="U2044" i="2"/>
  <c r="U1676" i="2"/>
  <c r="U2043" i="2"/>
  <c r="U1675" i="2"/>
  <c r="U1496" i="2"/>
  <c r="U1128" i="2"/>
  <c r="U1127" i="2"/>
  <c r="U1126" i="2"/>
  <c r="U1125" i="2"/>
  <c r="U1124" i="2"/>
  <c r="U1495" i="2"/>
  <c r="U576" i="2"/>
  <c r="U932" i="2"/>
  <c r="U575" i="2"/>
  <c r="U931" i="2"/>
  <c r="U930" i="2"/>
  <c r="U929" i="2"/>
  <c r="U574" i="2"/>
  <c r="U408" i="2"/>
  <c r="U407" i="2"/>
  <c r="U16" i="2"/>
  <c r="U406" i="2"/>
  <c r="U405" i="2"/>
  <c r="U404" i="2"/>
  <c r="U403" i="2"/>
  <c r="U402" i="2"/>
  <c r="U2568" i="2"/>
  <c r="U2567" i="2"/>
  <c r="U2566" i="2"/>
  <c r="U2565" i="2"/>
  <c r="U2564" i="2"/>
  <c r="U2456" i="2"/>
  <c r="U2042" i="2"/>
  <c r="U1891" i="2"/>
  <c r="U2041" i="2"/>
  <c r="U2040" i="2"/>
  <c r="U2039" i="2"/>
  <c r="U2038" i="2"/>
  <c r="U1338" i="2"/>
  <c r="U1494" i="2"/>
  <c r="U1493" i="2"/>
  <c r="U1337" i="2"/>
  <c r="U928" i="2"/>
  <c r="U927" i="2"/>
  <c r="U194" i="2"/>
  <c r="U401" i="2"/>
  <c r="U400" i="2"/>
  <c r="U193" i="2"/>
  <c r="U2455" i="2"/>
  <c r="U2674" i="2"/>
  <c r="U2454" i="2"/>
  <c r="U2453" i="2"/>
  <c r="U2452" i="2"/>
  <c r="U2673" i="2"/>
  <c r="U2451" i="2"/>
  <c r="U2450" i="2"/>
  <c r="U2449" i="2"/>
  <c r="U1890" i="2"/>
  <c r="U2135" i="2"/>
  <c r="U2134" i="2"/>
  <c r="U1336" i="2"/>
  <c r="U1593" i="2"/>
  <c r="U1335" i="2"/>
  <c r="U789" i="2"/>
  <c r="U788" i="2"/>
  <c r="U1030" i="2"/>
  <c r="U787" i="2"/>
  <c r="U786" i="2"/>
  <c r="U1029" i="2"/>
  <c r="U491" i="2"/>
  <c r="U192" i="2"/>
  <c r="U191" i="2"/>
  <c r="U190" i="2"/>
  <c r="U490" i="2"/>
  <c r="U1889" i="2"/>
  <c r="U1888" i="2"/>
  <c r="U1887" i="2"/>
  <c r="U1886" i="2"/>
  <c r="U1334" i="2"/>
  <c r="U1333" i="2"/>
  <c r="U1332" i="2"/>
  <c r="U1331" i="2"/>
  <c r="U785" i="2"/>
  <c r="U784" i="2"/>
  <c r="U189" i="2"/>
  <c r="U188" i="2"/>
  <c r="U187" i="2"/>
  <c r="U186" i="2"/>
  <c r="U2672" i="2"/>
  <c r="U2133" i="2"/>
  <c r="U2132" i="2"/>
  <c r="U1592" i="2"/>
  <c r="U1591" i="2"/>
  <c r="U1590" i="2"/>
  <c r="U1028" i="2"/>
  <c r="U1027" i="2"/>
  <c r="U1026" i="2"/>
  <c r="U1025" i="2"/>
  <c r="U1024" i="2"/>
  <c r="U1023" i="2"/>
  <c r="U489" i="2"/>
  <c r="U488" i="2"/>
  <c r="U487" i="2"/>
  <c r="U486" i="2"/>
  <c r="U485" i="2"/>
  <c r="U2195" i="2"/>
  <c r="U543" i="2"/>
  <c r="U2448" i="2"/>
  <c r="U1885" i="2"/>
  <c r="U1884" i="2"/>
  <c r="U1883" i="2"/>
  <c r="U1330" i="2"/>
  <c r="U1329" i="2"/>
  <c r="U1328" i="2"/>
  <c r="U783" i="2"/>
  <c r="U185" i="2"/>
  <c r="U184" i="2"/>
  <c r="U183" i="2"/>
  <c r="U1090" i="2"/>
  <c r="U542" i="2"/>
  <c r="U2743" i="2"/>
  <c r="U2194" i="2"/>
  <c r="U2193" i="2"/>
  <c r="U2192" i="2"/>
  <c r="U1643" i="2"/>
  <c r="U1642" i="2"/>
  <c r="U1089" i="2"/>
  <c r="U2742" i="2"/>
  <c r="U2741" i="2"/>
  <c r="U2740" i="2"/>
  <c r="U2739" i="2"/>
  <c r="U2738" i="2"/>
  <c r="U2737" i="2"/>
  <c r="U2191" i="2"/>
  <c r="U2190" i="2"/>
  <c r="U2189" i="2"/>
  <c r="U2188" i="2"/>
  <c r="U1641" i="2"/>
  <c r="U1088" i="2"/>
  <c r="U1087" i="2"/>
  <c r="U541" i="2"/>
  <c r="U2736" i="2"/>
  <c r="U2563" i="2"/>
  <c r="U2562" i="2"/>
  <c r="U2561" i="2"/>
  <c r="U2037" i="2"/>
  <c r="U399" i="2"/>
  <c r="U2560" i="2"/>
  <c r="U2559" i="2"/>
  <c r="U1492" i="2"/>
  <c r="U1491" i="2"/>
  <c r="U926" i="2"/>
  <c r="U925" i="2"/>
  <c r="U398" i="2"/>
  <c r="U397" i="2"/>
  <c r="U396" i="2"/>
  <c r="U2447" i="2"/>
  <c r="U2446" i="2"/>
  <c r="U2445" i="2"/>
  <c r="U1882" i="2"/>
  <c r="U1881" i="2"/>
  <c r="U1880" i="2"/>
  <c r="U1879" i="2"/>
  <c r="U1878" i="2"/>
  <c r="U1327" i="2"/>
  <c r="U1326" i="2"/>
  <c r="U1325" i="2"/>
  <c r="U1324" i="2"/>
  <c r="U1323" i="2"/>
  <c r="U782" i="2"/>
  <c r="U781" i="2"/>
  <c r="U780" i="2"/>
  <c r="U779" i="2"/>
  <c r="U778" i="2"/>
  <c r="U777" i="2"/>
  <c r="U776" i="2"/>
  <c r="U182" i="2"/>
  <c r="U181" i="2"/>
  <c r="U180" i="2"/>
  <c r="U179" i="2"/>
  <c r="U178" i="2"/>
  <c r="U177" i="2"/>
  <c r="U2187" i="2"/>
  <c r="U1086" i="2"/>
  <c r="U1322" i="2"/>
  <c r="U775" i="2"/>
  <c r="U176" i="2"/>
  <c r="U175" i="2"/>
  <c r="U1877" i="2"/>
  <c r="U1876" i="2"/>
  <c r="U1875" i="2"/>
  <c r="U1321" i="2"/>
  <c r="U1320" i="2"/>
  <c r="U1319" i="2"/>
  <c r="U1318" i="2"/>
  <c r="U1317" i="2"/>
  <c r="U1316" i="2"/>
  <c r="U1315" i="2"/>
  <c r="U774" i="2"/>
  <c r="U174" i="2"/>
  <c r="U173" i="2"/>
  <c r="U172" i="2"/>
  <c r="U1874" i="2"/>
  <c r="U1873" i="2"/>
  <c r="U1872" i="2"/>
  <c r="U1314" i="2"/>
  <c r="U1313" i="2"/>
  <c r="U773" i="2"/>
  <c r="U772" i="2"/>
  <c r="U771" i="2"/>
  <c r="U770" i="2"/>
  <c r="U769" i="2"/>
  <c r="U171" i="2"/>
  <c r="U170" i="2"/>
  <c r="U169" i="2"/>
  <c r="U168" i="2"/>
  <c r="U167" i="2"/>
  <c r="U166" i="2"/>
  <c r="U165" i="2"/>
  <c r="U987" i="2"/>
  <c r="U2444" i="2"/>
  <c r="U2443" i="2"/>
  <c r="U1871" i="2"/>
  <c r="U1870" i="2"/>
  <c r="U1869" i="2"/>
  <c r="U1312" i="2"/>
  <c r="U1311" i="2"/>
  <c r="U1310" i="2"/>
  <c r="U768" i="2"/>
  <c r="U164" i="2"/>
  <c r="U163" i="2"/>
  <c r="U162" i="2"/>
  <c r="U161" i="2"/>
  <c r="U2606" i="2"/>
  <c r="U2605" i="2"/>
  <c r="U2604" i="2"/>
  <c r="U2603" i="2"/>
  <c r="U2602" i="2"/>
  <c r="U2078" i="2"/>
  <c r="U2077" i="2"/>
  <c r="U2076" i="2"/>
  <c r="U2075" i="2"/>
  <c r="U1531" i="2"/>
  <c r="U1530" i="2"/>
  <c r="U968" i="2"/>
  <c r="U430" i="2"/>
  <c r="U2601" i="2"/>
  <c r="U2600" i="2"/>
  <c r="U2599" i="2"/>
  <c r="U2598" i="2"/>
  <c r="U2597" i="2"/>
  <c r="U2596" i="2"/>
  <c r="U2442" i="2"/>
  <c r="U2595" i="2"/>
  <c r="U2441" i="2"/>
  <c r="U2440" i="2"/>
  <c r="U1868" i="2"/>
  <c r="U1867" i="2"/>
  <c r="U2074" i="2"/>
  <c r="U2073" i="2"/>
  <c r="U1529" i="2"/>
  <c r="U1309" i="2"/>
  <c r="U1528" i="2"/>
  <c r="U1308" i="2"/>
  <c r="U967" i="2"/>
  <c r="U767" i="2"/>
  <c r="U766" i="2"/>
  <c r="U966" i="2"/>
  <c r="U160" i="2"/>
  <c r="U159" i="2"/>
  <c r="U158" i="2"/>
  <c r="U157" i="2"/>
  <c r="U429" i="2"/>
  <c r="U2439" i="2"/>
  <c r="U1866" i="2"/>
  <c r="U1865" i="2"/>
  <c r="U1864" i="2"/>
  <c r="U1307" i="2"/>
  <c r="U1306" i="2"/>
  <c r="U1305" i="2"/>
  <c r="U1304" i="2"/>
  <c r="U765" i="2"/>
  <c r="U764" i="2"/>
  <c r="U763" i="2"/>
  <c r="U156" i="2"/>
  <c r="U155" i="2"/>
  <c r="U154" i="2"/>
  <c r="U2036" i="2"/>
  <c r="U2035" i="2"/>
  <c r="U1490" i="2"/>
  <c r="U1489" i="2"/>
  <c r="U1488" i="2"/>
  <c r="U924" i="2"/>
  <c r="U923" i="2"/>
  <c r="U922" i="2"/>
  <c r="U921" i="2"/>
  <c r="U920" i="2"/>
  <c r="U919" i="2"/>
  <c r="U918" i="2"/>
  <c r="U395" i="2"/>
  <c r="U394" i="2"/>
  <c r="U393" i="2"/>
  <c r="U392" i="2"/>
  <c r="U391" i="2"/>
  <c r="U1674" i="2"/>
  <c r="U1673" i="2"/>
  <c r="U1123" i="2"/>
  <c r="U1122" i="2"/>
  <c r="U1121" i="2"/>
  <c r="U1120" i="2"/>
  <c r="U1999" i="2"/>
  <c r="U1998" i="2"/>
  <c r="U1453" i="2"/>
  <c r="U892" i="2"/>
  <c r="U891" i="2"/>
  <c r="U890" i="2"/>
  <c r="U366" i="2"/>
  <c r="U365" i="2"/>
  <c r="U364" i="2"/>
  <c r="U363" i="2"/>
  <c r="U153" i="2"/>
  <c r="U2735" i="2"/>
  <c r="U2734" i="2"/>
  <c r="U2186" i="2"/>
  <c r="U2185" i="2"/>
  <c r="U2184" i="2"/>
  <c r="U1640" i="2"/>
  <c r="U1639" i="2"/>
  <c r="U1085" i="2"/>
  <c r="U1084" i="2"/>
  <c r="U1083" i="2"/>
  <c r="U540" i="2"/>
  <c r="U539" i="2"/>
  <c r="U538" i="2"/>
  <c r="U537" i="2"/>
  <c r="U2438" i="2"/>
  <c r="U2437" i="2"/>
  <c r="U2436" i="2"/>
  <c r="U2435" i="2"/>
  <c r="U2434" i="2"/>
  <c r="U2433" i="2"/>
  <c r="U1863" i="2"/>
  <c r="U1862" i="2"/>
  <c r="U1861" i="2"/>
  <c r="U1860" i="2"/>
  <c r="U1303" i="2"/>
  <c r="U1302" i="2"/>
  <c r="U1301" i="2"/>
  <c r="U762" i="2"/>
  <c r="U761" i="2"/>
  <c r="U152" i="2"/>
  <c r="U151" i="2"/>
  <c r="U150" i="2"/>
  <c r="U2594" i="2"/>
  <c r="U2558" i="2"/>
  <c r="U2593" i="2"/>
  <c r="U2592" i="2"/>
  <c r="U2591" i="2"/>
  <c r="U2557" i="2"/>
  <c r="U2590" i="2"/>
  <c r="U2589" i="2"/>
  <c r="U2072" i="2"/>
  <c r="U2034" i="2"/>
  <c r="U2071" i="2"/>
  <c r="U1487" i="2"/>
  <c r="U1527" i="2"/>
  <c r="U1526" i="2"/>
  <c r="U1525" i="2"/>
  <c r="U965" i="2"/>
  <c r="U964" i="2"/>
  <c r="U963" i="2"/>
  <c r="U390" i="2"/>
  <c r="U428" i="2"/>
  <c r="U2432" i="2"/>
  <c r="U2431" i="2"/>
  <c r="U1859" i="2"/>
  <c r="U1858" i="2"/>
  <c r="U1857" i="2"/>
  <c r="U1300" i="2"/>
  <c r="U1299" i="2"/>
  <c r="U1298" i="2"/>
  <c r="U1297" i="2"/>
  <c r="U760" i="2"/>
  <c r="U759" i="2"/>
  <c r="U758" i="2"/>
  <c r="U757" i="2"/>
  <c r="U149" i="2"/>
  <c r="U148" i="2"/>
  <c r="U147" i="2"/>
  <c r="U146" i="2"/>
  <c r="U2430" i="2"/>
  <c r="U1856" i="2"/>
  <c r="U1855" i="2"/>
  <c r="U1296" i="2"/>
  <c r="U1295" i="2"/>
  <c r="U756" i="2"/>
  <c r="U755" i="2"/>
  <c r="U145" i="2"/>
  <c r="U144" i="2"/>
  <c r="U143" i="2"/>
  <c r="U142" i="2"/>
  <c r="U1854" i="2"/>
  <c r="U754" i="2"/>
  <c r="U1853" i="2"/>
  <c r="U1852" i="2"/>
  <c r="U1851" i="2"/>
  <c r="U1294" i="2"/>
  <c r="U1293" i="2"/>
  <c r="U1292" i="2"/>
  <c r="U1850" i="2"/>
  <c r="U1849" i="2"/>
  <c r="U1848" i="2"/>
  <c r="U1291" i="2"/>
  <c r="U753" i="2"/>
  <c r="U752" i="2"/>
  <c r="U751" i="2"/>
  <c r="U750" i="2"/>
  <c r="U141" i="2"/>
  <c r="U140" i="2"/>
  <c r="U139" i="2"/>
  <c r="U138" i="2"/>
  <c r="U137" i="2"/>
  <c r="U136" i="2"/>
  <c r="U135" i="2"/>
  <c r="U1054" i="2"/>
  <c r="U1053" i="2"/>
  <c r="U2556" i="2"/>
  <c r="U2555" i="2"/>
  <c r="U2033" i="2"/>
  <c r="U2032" i="2"/>
  <c r="U1486" i="2"/>
  <c r="U1485" i="2"/>
  <c r="U1484" i="2"/>
  <c r="U2519" i="2"/>
  <c r="U2006" i="2"/>
  <c r="U2005" i="2"/>
  <c r="U1462" i="2"/>
  <c r="U1461" i="2"/>
  <c r="U896" i="2"/>
  <c r="U895" i="2"/>
  <c r="U373" i="2"/>
  <c r="U372" i="2"/>
  <c r="U371" i="2"/>
  <c r="U370" i="2"/>
  <c r="U2230" i="2"/>
  <c r="U2229" i="2"/>
  <c r="U2228" i="2"/>
  <c r="U2227" i="2"/>
  <c r="U2226" i="2"/>
  <c r="U2225" i="2"/>
  <c r="U2224" i="2"/>
  <c r="U2223" i="2"/>
  <c r="U1672" i="2"/>
  <c r="U1671" i="2"/>
  <c r="U1670" i="2"/>
  <c r="U1669" i="2"/>
  <c r="U1119" i="2"/>
  <c r="U1118" i="2"/>
  <c r="U573" i="2"/>
  <c r="U15" i="2"/>
  <c r="U2671" i="2"/>
  <c r="U2670" i="2"/>
  <c r="U2669" i="2"/>
  <c r="U2668" i="2"/>
  <c r="U2667" i="2"/>
  <c r="U2131" i="2"/>
  <c r="U1589" i="2"/>
  <c r="U1588" i="2"/>
  <c r="U484" i="2"/>
  <c r="U2429" i="2"/>
  <c r="U2428" i="2"/>
  <c r="U2427" i="2"/>
  <c r="U1847" i="2"/>
  <c r="U1846" i="2"/>
  <c r="U1290" i="2"/>
  <c r="U1289" i="2"/>
  <c r="U1288" i="2"/>
  <c r="U1287" i="2"/>
  <c r="U1286" i="2"/>
  <c r="U749" i="2"/>
  <c r="U748" i="2"/>
  <c r="U747" i="2"/>
  <c r="U746" i="2"/>
  <c r="U134" i="2"/>
  <c r="U133" i="2"/>
  <c r="U132" i="2"/>
  <c r="U131" i="2"/>
  <c r="U130" i="2"/>
  <c r="U1845" i="2"/>
  <c r="U745" i="2"/>
  <c r="U744" i="2"/>
  <c r="U743" i="2"/>
  <c r="U742" i="2"/>
  <c r="U129" i="2"/>
  <c r="U128" i="2"/>
  <c r="U1554" i="2"/>
  <c r="U986" i="2"/>
  <c r="U1844" i="2"/>
  <c r="U1843" i="2"/>
  <c r="U1842" i="2"/>
  <c r="U1285" i="2"/>
  <c r="U741" i="2"/>
  <c r="U740" i="2"/>
  <c r="U739" i="2"/>
  <c r="U738" i="2"/>
  <c r="U127" i="2"/>
  <c r="U126" i="2"/>
  <c r="U125" i="2"/>
  <c r="U124" i="2"/>
  <c r="U123" i="2"/>
  <c r="U122" i="2"/>
  <c r="U2518" i="2"/>
  <c r="U2517" i="2"/>
  <c r="U1997" i="2"/>
  <c r="U1996" i="2"/>
  <c r="U1452" i="2"/>
  <c r="U1451" i="2"/>
  <c r="U1450" i="2"/>
  <c r="U889" i="2"/>
  <c r="U888" i="2"/>
  <c r="U1553" i="2"/>
  <c r="U985" i="2"/>
  <c r="U447" i="2"/>
  <c r="U446" i="2"/>
  <c r="U445" i="2"/>
  <c r="U444" i="2"/>
  <c r="U2426" i="2"/>
  <c r="U2425" i="2"/>
  <c r="U2424" i="2"/>
  <c r="U2423" i="2"/>
  <c r="U2422" i="2"/>
  <c r="U2421" i="2"/>
  <c r="U2420" i="2"/>
  <c r="U1841" i="2"/>
  <c r="U1840" i="2"/>
  <c r="U1839" i="2"/>
  <c r="U1284" i="2"/>
  <c r="U1283" i="2"/>
  <c r="U737" i="2"/>
  <c r="U121" i="2"/>
  <c r="U2733" i="2"/>
  <c r="U2732" i="2"/>
  <c r="U2183" i="2"/>
  <c r="U2182" i="2"/>
  <c r="U1638" i="2"/>
  <c r="U2419" i="2"/>
  <c r="U2418" i="2"/>
  <c r="U2417" i="2"/>
  <c r="U2416" i="2"/>
  <c r="U2415" i="2"/>
  <c r="U2414" i="2"/>
  <c r="U1838" i="2"/>
  <c r="U1837" i="2"/>
  <c r="U1282" i="2"/>
  <c r="U1281" i="2"/>
  <c r="U736" i="2"/>
  <c r="U735" i="2"/>
  <c r="U734" i="2"/>
  <c r="U120" i="2"/>
  <c r="U2413" i="2"/>
  <c r="U2222" i="2"/>
  <c r="U2412" i="2"/>
  <c r="U1668" i="2"/>
  <c r="U1667" i="2"/>
  <c r="U1666" i="2"/>
  <c r="U1117" i="2"/>
  <c r="U1116" i="2"/>
  <c r="U1280" i="2"/>
  <c r="U572" i="2"/>
  <c r="U571" i="2"/>
  <c r="U570" i="2"/>
  <c r="U569" i="2"/>
  <c r="U14" i="2"/>
  <c r="U119" i="2"/>
  <c r="U118" i="2"/>
  <c r="U117" i="2"/>
  <c r="U2702" i="2"/>
  <c r="U2701" i="2"/>
  <c r="U2162" i="2"/>
  <c r="U1615" i="2"/>
  <c r="U1614" i="2"/>
  <c r="U519" i="2"/>
  <c r="U518" i="2"/>
  <c r="U517" i="2"/>
  <c r="U516" i="2"/>
  <c r="U1665" i="2"/>
  <c r="U1115" i="2"/>
  <c r="U568" i="2"/>
  <c r="U567" i="2"/>
  <c r="U566" i="2"/>
  <c r="U565" i="2"/>
  <c r="U564" i="2"/>
  <c r="U13" i="2"/>
  <c r="U12" i="2"/>
  <c r="U1587" i="2"/>
  <c r="U1022" i="2"/>
  <c r="U2181" i="2"/>
  <c r="U2098" i="2"/>
  <c r="U2097" i="2"/>
  <c r="U2096" i="2"/>
  <c r="U2095" i="2"/>
  <c r="U1552" i="2"/>
  <c r="U1551" i="2"/>
  <c r="U1550" i="2"/>
  <c r="U1549" i="2"/>
  <c r="U1586" i="2"/>
  <c r="U984" i="2"/>
  <c r="U983" i="2"/>
  <c r="U1021" i="2"/>
  <c r="U982" i="2"/>
  <c r="U443" i="2"/>
  <c r="U483" i="2"/>
  <c r="U1836" i="2"/>
  <c r="U1835" i="2"/>
  <c r="U733" i="2"/>
  <c r="U732" i="2"/>
  <c r="U116" i="2"/>
  <c r="U1834" i="2"/>
  <c r="U1833" i="2"/>
  <c r="U1279" i="2"/>
  <c r="U1278" i="2"/>
  <c r="U731" i="2"/>
  <c r="U115" i="2"/>
  <c r="U114" i="2"/>
  <c r="U113" i="2"/>
  <c r="U2554" i="2"/>
  <c r="U2553" i="2"/>
  <c r="U2031" i="2"/>
  <c r="U2030" i="2"/>
  <c r="U1483" i="2"/>
  <c r="U1482" i="2"/>
  <c r="U389" i="2"/>
  <c r="U388" i="2"/>
  <c r="U387" i="2"/>
  <c r="U1548" i="2"/>
  <c r="U981" i="2"/>
  <c r="U442" i="2"/>
  <c r="U2588" i="2"/>
  <c r="U2587" i="2"/>
  <c r="U2586" i="2"/>
  <c r="U2585" i="2"/>
  <c r="U2584" i="2"/>
  <c r="U2583" i="2"/>
  <c r="U2582" i="2"/>
  <c r="U2070" i="2"/>
  <c r="U2069" i="2"/>
  <c r="U2068" i="2"/>
  <c r="U1524" i="2"/>
  <c r="U962" i="2"/>
  <c r="U2621" i="2"/>
  <c r="U2620" i="2"/>
  <c r="U2094" i="2"/>
  <c r="U2581" i="2"/>
  <c r="U2580" i="2"/>
  <c r="U2579" i="2"/>
  <c r="U2578" i="2"/>
  <c r="U1523" i="2"/>
  <c r="U1522" i="2"/>
  <c r="U961" i="2"/>
  <c r="U960" i="2"/>
  <c r="U536" i="2"/>
  <c r="U535" i="2"/>
  <c r="U2619" i="2"/>
  <c r="U2618" i="2"/>
  <c r="U2617" i="2"/>
  <c r="U2093" i="2"/>
  <c r="U1547" i="2"/>
  <c r="U1546" i="2"/>
  <c r="U980" i="2"/>
  <c r="U441" i="2"/>
  <c r="U2411" i="2"/>
  <c r="U2410" i="2"/>
  <c r="U2409" i="2"/>
  <c r="U1832" i="2"/>
  <c r="U1831" i="2"/>
  <c r="U1830" i="2"/>
  <c r="U1277" i="2"/>
  <c r="U1276" i="2"/>
  <c r="U730" i="2"/>
  <c r="U729" i="2"/>
  <c r="U728" i="2"/>
  <c r="U112" i="2"/>
  <c r="U111" i="2"/>
  <c r="U110" i="2"/>
  <c r="U2180" i="2"/>
  <c r="U1082" i="2"/>
  <c r="U1081" i="2"/>
  <c r="U1080" i="2"/>
  <c r="U534" i="2"/>
  <c r="U533" i="2"/>
  <c r="U1829" i="2"/>
  <c r="U1828" i="2"/>
  <c r="U1827" i="2"/>
  <c r="U1826" i="2"/>
  <c r="U1825" i="2"/>
  <c r="U1275" i="2"/>
  <c r="U1274" i="2"/>
  <c r="U1273" i="2"/>
  <c r="U1272" i="2"/>
  <c r="U727" i="2"/>
  <c r="U726" i="2"/>
  <c r="U725" i="2"/>
  <c r="U724" i="2"/>
  <c r="U723" i="2"/>
  <c r="U109" i="2"/>
  <c r="U2029" i="2"/>
  <c r="U1481" i="2"/>
  <c r="U1480" i="2"/>
  <c r="U1479" i="2"/>
  <c r="U917" i="2"/>
  <c r="U916" i="2"/>
  <c r="U915" i="2"/>
  <c r="U1824" i="2"/>
  <c r="U1823" i="2"/>
  <c r="U1822" i="2"/>
  <c r="U1821" i="2"/>
  <c r="U1271" i="2"/>
  <c r="U1270" i="2"/>
  <c r="U1269" i="2"/>
  <c r="U722" i="2"/>
  <c r="U721" i="2"/>
  <c r="U108" i="2"/>
  <c r="U107" i="2"/>
  <c r="U106" i="2"/>
  <c r="U105" i="2"/>
  <c r="U104" i="2"/>
  <c r="U2666" i="2"/>
  <c r="U2665" i="2"/>
  <c r="U2664" i="2"/>
  <c r="U2130" i="2"/>
  <c r="U1585" i="2"/>
  <c r="U482" i="2"/>
  <c r="U2408" i="2"/>
  <c r="U2407" i="2"/>
  <c r="U2406" i="2"/>
  <c r="U2405" i="2"/>
  <c r="U2404" i="2"/>
  <c r="U2403" i="2"/>
  <c r="U1820" i="2"/>
  <c r="U1268" i="2"/>
  <c r="U1267" i="2"/>
  <c r="U1266" i="2"/>
  <c r="U720" i="2"/>
  <c r="U719" i="2"/>
  <c r="U103" i="2"/>
  <c r="U102" i="2"/>
  <c r="U101" i="2"/>
  <c r="U2552" i="2"/>
  <c r="U2551" i="2"/>
  <c r="U2550" i="2"/>
  <c r="U2549" i="2"/>
  <c r="U2548" i="2"/>
  <c r="U2547" i="2"/>
  <c r="U2546" i="2"/>
  <c r="U2545" i="2"/>
  <c r="U2544" i="2"/>
  <c r="U2028" i="2"/>
  <c r="U2027" i="2"/>
  <c r="U2026" i="2"/>
  <c r="U2025" i="2"/>
  <c r="U2024" i="2"/>
  <c r="U1478" i="2"/>
  <c r="U914" i="2"/>
  <c r="U913" i="2"/>
  <c r="U386" i="2"/>
  <c r="U2577" i="2"/>
  <c r="U1521" i="2"/>
  <c r="U1520" i="2"/>
  <c r="U1519" i="2"/>
  <c r="U959" i="2"/>
  <c r="U2731" i="2"/>
  <c r="U2730" i="2"/>
  <c r="U2729" i="2"/>
  <c r="U2179" i="2"/>
  <c r="U1637" i="2"/>
  <c r="U1636" i="2"/>
  <c r="U532" i="2"/>
  <c r="U531" i="2"/>
  <c r="U530" i="2"/>
  <c r="U2728" i="2"/>
  <c r="U2178" i="2"/>
  <c r="U1079" i="2"/>
  <c r="U529" i="2"/>
  <c r="U2402" i="2"/>
  <c r="U2401" i="2"/>
  <c r="U2400" i="2"/>
  <c r="U1819" i="2"/>
  <c r="U1265" i="2"/>
  <c r="U718" i="2"/>
  <c r="U100" i="2"/>
  <c r="U481" i="2"/>
  <c r="U2177" i="2"/>
  <c r="U1635" i="2"/>
  <c r="U1634" i="2"/>
  <c r="U1078" i="2"/>
  <c r="U1077" i="2"/>
  <c r="U1076" i="2"/>
  <c r="U1075" i="2"/>
  <c r="U1074" i="2"/>
  <c r="U528" i="2"/>
  <c r="U527" i="2"/>
  <c r="U1818" i="2"/>
  <c r="U1817" i="2"/>
  <c r="U1264" i="2"/>
  <c r="U717" i="2"/>
  <c r="U716" i="2"/>
  <c r="U715" i="2"/>
  <c r="U714" i="2"/>
  <c r="U2176" i="2"/>
  <c r="U1633" i="2"/>
  <c r="U1632" i="2"/>
  <c r="U1664" i="2"/>
  <c r="U1663" i="2"/>
  <c r="U1662" i="2"/>
  <c r="U1661" i="2"/>
  <c r="U1660" i="2"/>
  <c r="U1114" i="2"/>
  <c r="U1113" i="2"/>
  <c r="U1112" i="2"/>
  <c r="U1111" i="2"/>
  <c r="U563" i="2"/>
  <c r="U562" i="2"/>
  <c r="U561" i="2"/>
  <c r="U560" i="2"/>
  <c r="U11" i="2"/>
  <c r="U10" i="2"/>
  <c r="U9" i="2"/>
  <c r="U2516" i="2"/>
  <c r="U2515" i="2"/>
  <c r="U2514" i="2"/>
  <c r="U1995" i="2"/>
  <c r="U1994" i="2"/>
  <c r="U1993" i="2"/>
  <c r="U1449" i="2"/>
  <c r="U1448" i="2"/>
  <c r="U1447" i="2"/>
  <c r="U1446" i="2"/>
  <c r="U1445" i="2"/>
  <c r="U362" i="2"/>
  <c r="U361" i="2"/>
  <c r="U360" i="2"/>
  <c r="U359" i="2"/>
  <c r="U2663" i="2"/>
  <c r="U2662" i="2"/>
  <c r="U2661" i="2"/>
  <c r="U2660" i="2"/>
  <c r="U2659" i="2"/>
  <c r="U2658" i="2"/>
  <c r="U2657" i="2"/>
  <c r="U2656" i="2"/>
  <c r="U2129" i="2"/>
  <c r="U2128" i="2"/>
  <c r="U1584" i="2"/>
  <c r="U1583" i="2"/>
  <c r="U1020" i="2"/>
  <c r="U1019" i="2"/>
  <c r="U1018" i="2"/>
  <c r="U480" i="2"/>
  <c r="U479" i="2"/>
  <c r="U2399" i="2"/>
  <c r="U2398" i="2"/>
  <c r="U2397" i="2"/>
  <c r="U2396" i="2"/>
  <c r="U2395" i="2"/>
  <c r="U2394" i="2"/>
  <c r="U2393" i="2"/>
  <c r="U1816" i="2"/>
  <c r="U1815" i="2"/>
  <c r="U1263" i="2"/>
  <c r="U1262" i="2"/>
  <c r="U713" i="2"/>
  <c r="U99" i="2"/>
  <c r="U98" i="2"/>
  <c r="U97" i="2"/>
  <c r="U2655" i="2"/>
  <c r="U2654" i="2"/>
  <c r="U2653" i="2"/>
  <c r="U2652" i="2"/>
  <c r="U2127" i="2"/>
  <c r="U2126" i="2"/>
  <c r="U2125" i="2"/>
  <c r="U1582" i="2"/>
  <c r="U1581" i="2"/>
  <c r="U1580" i="2"/>
  <c r="U1579" i="2"/>
  <c r="U1017" i="2"/>
  <c r="U1016" i="2"/>
  <c r="U1015" i="2"/>
  <c r="U478" i="2"/>
  <c r="U477" i="2"/>
  <c r="U2651" i="2"/>
  <c r="U2650" i="2"/>
  <c r="U2124" i="2"/>
  <c r="U1578" i="2"/>
  <c r="U1577" i="2"/>
  <c r="U1014" i="2"/>
  <c r="U1013" i="2"/>
  <c r="U1012" i="2"/>
  <c r="U1011" i="2"/>
  <c r="U476" i="2"/>
  <c r="U475" i="2"/>
  <c r="U1659" i="2"/>
  <c r="U1658" i="2"/>
  <c r="U559" i="2"/>
  <c r="U558" i="2"/>
  <c r="U557" i="2"/>
  <c r="U1814" i="2"/>
  <c r="U1657" i="2"/>
  <c r="U1813" i="2"/>
  <c r="U1656" i="2"/>
  <c r="U1812" i="2"/>
  <c r="U1655" i="2"/>
  <c r="U1811" i="2"/>
  <c r="U1810" i="2"/>
  <c r="U1261" i="2"/>
  <c r="U1260" i="2"/>
  <c r="U1259" i="2"/>
  <c r="U1258" i="2"/>
  <c r="U1257" i="2"/>
  <c r="U1110" i="2"/>
  <c r="U1109" i="2"/>
  <c r="U1108" i="2"/>
  <c r="U712" i="2"/>
  <c r="U711" i="2"/>
  <c r="U710" i="2"/>
  <c r="U709" i="2"/>
  <c r="U556" i="2"/>
  <c r="U708" i="2"/>
  <c r="U707" i="2"/>
  <c r="U706" i="2"/>
  <c r="U8" i="2"/>
  <c r="U7" i="2"/>
  <c r="U6" i="2"/>
  <c r="U5" i="2"/>
  <c r="U2727" i="2"/>
  <c r="U2726" i="2"/>
  <c r="U2725" i="2"/>
  <c r="U2543" i="2"/>
  <c r="U2542" i="2"/>
  <c r="U2023" i="2"/>
  <c r="U2022" i="2"/>
  <c r="U2021" i="2"/>
  <c r="U912" i="2"/>
  <c r="U2649" i="2"/>
  <c r="U2648" i="2"/>
  <c r="U2647" i="2"/>
  <c r="U2646" i="2"/>
  <c r="U2645" i="2"/>
  <c r="U2644" i="2"/>
  <c r="U2700" i="2"/>
  <c r="U2643" i="2"/>
  <c r="U2699" i="2"/>
  <c r="U2123" i="2"/>
  <c r="U2122" i="2"/>
  <c r="U2121" i="2"/>
  <c r="U1576" i="2"/>
  <c r="U1613" i="2"/>
  <c r="U1575" i="2"/>
  <c r="U1612" i="2"/>
  <c r="U1611" i="2"/>
  <c r="U1010" i="2"/>
  <c r="U515" i="2"/>
  <c r="U514" i="2"/>
  <c r="U513" i="2"/>
  <c r="U474" i="2"/>
  <c r="U2392" i="2"/>
  <c r="U2541" i="2"/>
  <c r="U2391" i="2"/>
  <c r="U2540" i="2"/>
  <c r="U2539" i="2"/>
  <c r="U2390" i="2"/>
  <c r="U2020" i="2"/>
  <c r="U2019" i="2"/>
  <c r="U1809" i="2"/>
  <c r="U1477" i="2"/>
  <c r="U1256" i="2"/>
  <c r="U1255" i="2"/>
  <c r="U1476" i="2"/>
  <c r="U705" i="2"/>
  <c r="U911" i="2"/>
  <c r="U910" i="2"/>
  <c r="U704" i="2"/>
  <c r="U385" i="2"/>
  <c r="U96" i="2"/>
  <c r="U95" i="2"/>
  <c r="U94" i="2"/>
  <c r="U2694" i="2"/>
  <c r="U2156" i="2"/>
  <c r="U2155" i="2"/>
  <c r="U2154" i="2"/>
  <c r="U1607" i="2"/>
  <c r="U1606" i="2"/>
  <c r="U1605" i="2"/>
  <c r="U1052" i="2"/>
  <c r="U1051" i="2"/>
  <c r="U1050" i="2"/>
  <c r="U1049" i="2"/>
  <c r="U1048" i="2"/>
  <c r="U1047" i="2"/>
  <c r="U1046" i="2"/>
  <c r="U1045" i="2"/>
  <c r="U1044" i="2"/>
  <c r="U2538" i="2"/>
  <c r="U1808" i="2"/>
  <c r="U1807" i="2"/>
  <c r="U2018" i="2"/>
  <c r="U1806" i="2"/>
  <c r="U1805" i="2"/>
  <c r="U1804" i="2"/>
  <c r="U1803" i="2"/>
  <c r="U1254" i="2"/>
  <c r="U1253" i="2"/>
  <c r="U1475" i="2"/>
  <c r="U1474" i="2"/>
  <c r="U1252" i="2"/>
  <c r="U1473" i="2"/>
  <c r="U1472" i="2"/>
  <c r="U1251" i="2"/>
  <c r="U703" i="2"/>
  <c r="U702" i="2"/>
  <c r="U701" i="2"/>
  <c r="U700" i="2"/>
  <c r="U699" i="2"/>
  <c r="U698" i="2"/>
  <c r="U384" i="2"/>
  <c r="U383" i="2"/>
  <c r="U382" i="2"/>
  <c r="U2221" i="2"/>
  <c r="U2220" i="2"/>
  <c r="U2219" i="2"/>
  <c r="U1654" i="2"/>
  <c r="U2389" i="2"/>
  <c r="U2388" i="2"/>
  <c r="U1802" i="2"/>
  <c r="U1250" i="2"/>
  <c r="U697" i="2"/>
  <c r="U93" i="2"/>
  <c r="U92" i="2"/>
  <c r="U91" i="2"/>
  <c r="U90" i="2"/>
  <c r="U2387" i="2"/>
  <c r="U2724" i="2"/>
  <c r="U2386" i="2"/>
  <c r="U2385" i="2"/>
  <c r="U2384" i="2"/>
  <c r="U2723" i="2"/>
  <c r="U2383" i="2"/>
  <c r="U2382" i="2"/>
  <c r="U2381" i="2"/>
  <c r="U2722" i="2"/>
  <c r="U2721" i="2"/>
  <c r="U2720" i="2"/>
  <c r="U2719" i="2"/>
  <c r="U2175" i="2"/>
  <c r="U2174" i="2"/>
  <c r="U2173" i="2"/>
  <c r="U1801" i="2"/>
  <c r="U2172" i="2"/>
  <c r="U2171" i="2"/>
  <c r="U2170" i="2"/>
  <c r="U1800" i="2"/>
  <c r="U1631" i="2"/>
  <c r="U1249" i="2"/>
  <c r="U1248" i="2"/>
  <c r="U1630" i="2"/>
  <c r="U1247" i="2"/>
  <c r="U1629" i="2"/>
  <c r="U1246" i="2"/>
  <c r="U1073" i="2"/>
  <c r="U1072" i="2"/>
  <c r="U1071" i="2"/>
  <c r="U1070" i="2"/>
  <c r="U1069" i="2"/>
  <c r="U526" i="2"/>
  <c r="U89" i="2"/>
  <c r="U88" i="2"/>
  <c r="U87" i="2"/>
  <c r="U525" i="2"/>
  <c r="U2642" i="2"/>
  <c r="U2641" i="2"/>
  <c r="U2640" i="2"/>
  <c r="U1574" i="2"/>
  <c r="U1573" i="2"/>
  <c r="U1572" i="2"/>
  <c r="U1009" i="2"/>
  <c r="U1008" i="2"/>
  <c r="U1007" i="2"/>
  <c r="U473" i="2"/>
  <c r="U472" i="2"/>
  <c r="U471" i="2"/>
  <c r="U1799" i="2"/>
  <c r="U1798" i="2"/>
  <c r="U1797" i="2"/>
  <c r="U1796" i="2"/>
  <c r="U1795" i="2"/>
  <c r="U1794" i="2"/>
  <c r="U1793" i="2"/>
  <c r="U1792" i="2"/>
  <c r="U1791" i="2"/>
  <c r="U1790" i="2"/>
  <c r="U1245" i="2"/>
  <c r="U1244" i="2"/>
  <c r="U1243" i="2"/>
  <c r="U1242" i="2"/>
  <c r="U1241" i="2"/>
  <c r="U1240" i="2"/>
  <c r="U1239" i="2"/>
  <c r="U1238" i="2"/>
  <c r="U123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86" i="2"/>
  <c r="U85" i="2"/>
  <c r="U84" i="2"/>
  <c r="U2639" i="2"/>
  <c r="U2638" i="2"/>
  <c r="U2637" i="2"/>
  <c r="U2636" i="2"/>
  <c r="U2120" i="2"/>
  <c r="U2119" i="2"/>
  <c r="U1571" i="2"/>
  <c r="U1570" i="2"/>
  <c r="U1569" i="2"/>
  <c r="U1006" i="2"/>
  <c r="U470" i="2"/>
  <c r="U469" i="2"/>
  <c r="U468" i="2"/>
  <c r="U467" i="2"/>
  <c r="U2635" i="2"/>
  <c r="U2634" i="2"/>
  <c r="U2633" i="2"/>
  <c r="U2632" i="2"/>
  <c r="U2118" i="2"/>
  <c r="U2117" i="2"/>
  <c r="U2116" i="2"/>
  <c r="U2115" i="2"/>
  <c r="U1568" i="2"/>
  <c r="U1005" i="2"/>
  <c r="U1004" i="2"/>
  <c r="U466" i="2"/>
  <c r="U2718" i="2"/>
  <c r="U2717" i="2"/>
  <c r="U2716" i="2"/>
  <c r="U2715" i="2"/>
  <c r="U2714" i="2"/>
  <c r="U2713" i="2"/>
  <c r="U2169" i="2"/>
  <c r="U2168" i="2"/>
  <c r="U1628" i="2"/>
  <c r="U1627" i="2"/>
  <c r="U1626" i="2"/>
  <c r="U2537" i="2"/>
  <c r="U2380" i="2"/>
  <c r="U2379" i="2"/>
  <c r="U2536" i="2"/>
  <c r="U2378" i="2"/>
  <c r="U2535" i="2"/>
  <c r="U2534" i="2"/>
  <c r="U1789" i="2"/>
  <c r="U2017" i="2"/>
  <c r="U2016" i="2"/>
  <c r="U1236" i="2"/>
  <c r="U1625" i="2"/>
  <c r="U1471" i="2"/>
  <c r="U1235" i="2"/>
  <c r="U1470" i="2"/>
  <c r="U1068" i="2"/>
  <c r="U909" i="2"/>
  <c r="U908" i="2"/>
  <c r="U684" i="2"/>
  <c r="U1067" i="2"/>
  <c r="U381" i="2"/>
  <c r="U83" i="2"/>
  <c r="U82" i="2"/>
  <c r="U524" i="2"/>
  <c r="U81" i="2"/>
  <c r="U380" i="2"/>
  <c r="U523" i="2"/>
  <c r="U2377" i="2"/>
  <c r="U1788" i="2"/>
  <c r="U2004" i="2"/>
  <c r="U2003" i="2"/>
  <c r="U2114" i="2"/>
  <c r="U1787" i="2"/>
  <c r="U2002" i="2"/>
  <c r="U1786" i="2"/>
  <c r="U1785" i="2"/>
  <c r="U1460" i="2"/>
  <c r="U1459" i="2"/>
  <c r="U1234" i="2"/>
  <c r="U1233" i="2"/>
  <c r="U1458" i="2"/>
  <c r="U1232" i="2"/>
  <c r="U1567" i="2"/>
  <c r="U1231" i="2"/>
  <c r="U683" i="2"/>
  <c r="U894" i="2"/>
  <c r="U682" i="2"/>
  <c r="U681" i="2"/>
  <c r="U680" i="2"/>
  <c r="U1003" i="2"/>
  <c r="U679" i="2"/>
  <c r="U893" i="2"/>
  <c r="U678" i="2"/>
  <c r="U677" i="2"/>
  <c r="U1002" i="2"/>
  <c r="U2376" i="2"/>
  <c r="U2375" i="2"/>
  <c r="U2374" i="2"/>
  <c r="U2373" i="2"/>
  <c r="U2167" i="2"/>
  <c r="U1784" i="2"/>
  <c r="U1783" i="2"/>
  <c r="U1230" i="2"/>
  <c r="U1229" i="2"/>
  <c r="U1228" i="2"/>
  <c r="U1227" i="2"/>
  <c r="U1066" i="2"/>
  <c r="U1065" i="2"/>
  <c r="U80" i="2"/>
  <c r="U522" i="2"/>
  <c r="U79" i="2"/>
  <c r="U78" i="2"/>
  <c r="U2372" i="2"/>
  <c r="U2371" i="2"/>
  <c r="U2370" i="2"/>
  <c r="U2369" i="2"/>
  <c r="U2368" i="2"/>
  <c r="U2367" i="2"/>
  <c r="U2366" i="2"/>
  <c r="U2365" i="2"/>
  <c r="U2364" i="2"/>
  <c r="U1782" i="2"/>
  <c r="U1781" i="2"/>
  <c r="U1780" i="2"/>
  <c r="U1226" i="2"/>
  <c r="U676" i="2"/>
  <c r="U675" i="2"/>
  <c r="U77" i="2"/>
  <c r="U76" i="2"/>
  <c r="U75" i="2"/>
  <c r="U2363" i="2"/>
  <c r="U2362" i="2"/>
  <c r="U2361" i="2"/>
  <c r="U2360" i="2"/>
  <c r="U2359" i="2"/>
  <c r="U2358" i="2"/>
  <c r="U2357" i="2"/>
  <c r="U1779" i="2"/>
  <c r="U1778" i="2"/>
  <c r="U1777" i="2"/>
  <c r="U1776" i="2"/>
  <c r="U1775" i="2"/>
  <c r="U1225" i="2"/>
  <c r="U674" i="2"/>
  <c r="U673" i="2"/>
  <c r="U74" i="2"/>
  <c r="U2356" i="2"/>
  <c r="U2355" i="2"/>
  <c r="U2354" i="2"/>
  <c r="U2353" i="2"/>
  <c r="U2352" i="2"/>
  <c r="U1774" i="2"/>
  <c r="U1773" i="2"/>
  <c r="U1224" i="2"/>
  <c r="U1223" i="2"/>
  <c r="U1222" i="2"/>
  <c r="U1221" i="2"/>
  <c r="U672" i="2"/>
  <c r="U671" i="2"/>
  <c r="U670" i="2"/>
  <c r="U669" i="2"/>
  <c r="U73" i="2"/>
  <c r="U72" i="2"/>
  <c r="U71" i="2"/>
  <c r="U2712" i="2"/>
  <c r="U2533" i="2"/>
  <c r="U2711" i="2"/>
  <c r="U2710" i="2"/>
  <c r="U1624" i="2"/>
  <c r="U1623" i="2"/>
  <c r="U1469" i="2"/>
  <c r="U1468" i="2"/>
  <c r="U1064" i="2"/>
  <c r="U521" i="2"/>
  <c r="U520" i="2"/>
  <c r="U2631" i="2"/>
  <c r="U1566" i="2"/>
  <c r="U1565" i="2"/>
  <c r="U1001" i="2"/>
  <c r="U1000" i="2"/>
  <c r="U465" i="2"/>
  <c r="U1772" i="2"/>
  <c r="U1771" i="2"/>
  <c r="U1770" i="2"/>
  <c r="U1769" i="2"/>
  <c r="U1768" i="2"/>
  <c r="U1220" i="2"/>
  <c r="U1219" i="2"/>
  <c r="U1218" i="2"/>
  <c r="U668" i="2"/>
  <c r="U667" i="2"/>
  <c r="U666" i="2"/>
  <c r="U665" i="2"/>
  <c r="U1767" i="2"/>
  <c r="U2218" i="2"/>
  <c r="U2217" i="2"/>
  <c r="U2351" i="2"/>
  <c r="U2350" i="2"/>
  <c r="U2349" i="2"/>
  <c r="U2348" i="2"/>
  <c r="U2347" i="2"/>
  <c r="U1766" i="2"/>
  <c r="U1765" i="2"/>
  <c r="U1764" i="2"/>
  <c r="U1763" i="2"/>
  <c r="U1762" i="2"/>
  <c r="U1761" i="2"/>
  <c r="U1760" i="2"/>
  <c r="U1217" i="2"/>
  <c r="U1216" i="2"/>
  <c r="U1215" i="2"/>
  <c r="U1214" i="2"/>
  <c r="U664" i="2"/>
  <c r="U663" i="2"/>
  <c r="U70" i="2"/>
  <c r="U2067" i="2"/>
  <c r="U2066" i="2"/>
  <c r="U2065" i="2"/>
  <c r="U2064" i="2"/>
  <c r="U1518" i="2"/>
  <c r="U1517" i="2"/>
  <c r="U1516" i="2"/>
  <c r="U958" i="2"/>
  <c r="U957" i="2"/>
  <c r="U956" i="2"/>
  <c r="U955" i="2"/>
  <c r="U2092" i="2"/>
  <c r="U1545" i="2"/>
  <c r="U1544" i="2"/>
  <c r="U979" i="2"/>
  <c r="U978" i="2"/>
  <c r="U977" i="2"/>
  <c r="U440" i="2"/>
  <c r="U439" i="2"/>
  <c r="U2709" i="2"/>
  <c r="U2166" i="2"/>
  <c r="U2216" i="2"/>
  <c r="U2215" i="2"/>
  <c r="U2214" i="2"/>
  <c r="U2213" i="2"/>
  <c r="U2212" i="2"/>
  <c r="U2211" i="2"/>
  <c r="U1653" i="2"/>
  <c r="U1107" i="2"/>
  <c r="U1106" i="2"/>
  <c r="U1105" i="2"/>
  <c r="U4" i="2"/>
  <c r="U3" i="2"/>
  <c r="U2" i="2"/>
  <c r="U2708" i="2"/>
  <c r="U2707" i="2"/>
  <c r="U1622" i="2"/>
  <c r="U1621" i="2"/>
  <c r="U2346" i="2"/>
  <c r="U2345" i="2"/>
  <c r="U2344" i="2"/>
  <c r="U1759" i="2"/>
  <c r="U1758" i="2"/>
  <c r="U1213" i="2"/>
  <c r="U662" i="2"/>
  <c r="U661" i="2"/>
  <c r="U660" i="2"/>
  <c r="U659" i="2"/>
  <c r="U2343" i="2"/>
  <c r="U2342" i="2"/>
  <c r="U1212" i="2"/>
  <c r="U1211" i="2"/>
  <c r="U1210" i="2"/>
  <c r="U1209" i="2"/>
  <c r="U658" i="2"/>
  <c r="U657" i="2"/>
  <c r="U69" i="2"/>
  <c r="U68" i="2"/>
  <c r="U67" i="2"/>
  <c r="U2706" i="2"/>
  <c r="U2705" i="2"/>
  <c r="U2165" i="2"/>
  <c r="U2164" i="2"/>
  <c r="U1620" i="2"/>
  <c r="U1063" i="2"/>
  <c r="U1062" i="2"/>
  <c r="U1061" i="2"/>
  <c r="U1060" i="2"/>
  <c r="U1059" i="2"/>
  <c r="U1058" i="2"/>
  <c r="U1757" i="2"/>
  <c r="U1756" i="2"/>
  <c r="U1755" i="2"/>
  <c r="U1754" i="2"/>
  <c r="U1753" i="2"/>
  <c r="U1208" i="2"/>
  <c r="U1207" i="2"/>
  <c r="U1206" i="2"/>
  <c r="U1205" i="2"/>
  <c r="U1204" i="2"/>
  <c r="U656" i="2"/>
  <c r="U655" i="2"/>
  <c r="U654" i="2"/>
  <c r="U653" i="2"/>
  <c r="U2532" i="2"/>
  <c r="U2015" i="2"/>
  <c r="U2014" i="2"/>
  <c r="U2013" i="2"/>
  <c r="U1467" i="2"/>
  <c r="U1466" i="2"/>
  <c r="U907" i="2"/>
  <c r="U906" i="2"/>
  <c r="U905" i="2"/>
  <c r="U379" i="2"/>
  <c r="U378" i="2"/>
  <c r="U1604" i="2"/>
  <c r="U1603" i="2"/>
  <c r="U2341" i="2"/>
  <c r="U2340" i="2"/>
  <c r="U2339" i="2"/>
  <c r="U2338" i="2"/>
  <c r="U2337" i="2"/>
  <c r="U2336" i="2"/>
  <c r="U1752" i="2"/>
  <c r="U1751" i="2"/>
  <c r="U1750" i="2"/>
  <c r="U1749" i="2"/>
  <c r="U652" i="2"/>
  <c r="U651" i="2"/>
  <c r="U66" i="2"/>
  <c r="U65" i="2"/>
  <c r="U64" i="2"/>
  <c r="U63" i="2"/>
  <c r="U2704" i="2"/>
  <c r="U2335" i="2"/>
  <c r="U2334" i="2"/>
  <c r="U2333" i="2"/>
  <c r="U2332" i="2"/>
  <c r="U2331" i="2"/>
  <c r="U2330" i="2"/>
  <c r="U2329" i="2"/>
  <c r="U2328" i="2"/>
  <c r="U2327" i="2"/>
  <c r="U1748" i="2"/>
  <c r="U1747" i="2"/>
  <c r="U1746" i="2"/>
  <c r="U1203" i="2"/>
  <c r="U1202" i="2"/>
  <c r="U650" i="2"/>
  <c r="U62" i="2"/>
  <c r="U2326" i="2"/>
  <c r="U2325" i="2"/>
  <c r="U2324" i="2"/>
  <c r="U2323" i="2"/>
  <c r="U2322" i="2"/>
  <c r="U2321" i="2"/>
  <c r="U2320" i="2"/>
  <c r="U1745" i="2"/>
  <c r="U1744" i="2"/>
  <c r="U1201" i="2"/>
  <c r="U1200" i="2"/>
  <c r="U1199" i="2"/>
  <c r="U1198" i="2"/>
  <c r="U649" i="2"/>
  <c r="U61" i="2"/>
  <c r="U60" i="2"/>
  <c r="U2319" i="2"/>
  <c r="U2318" i="2"/>
  <c r="U2317" i="2"/>
  <c r="U1743" i="2"/>
  <c r="U1742" i="2"/>
  <c r="U1197" i="2"/>
  <c r="U648" i="2"/>
  <c r="U647" i="2"/>
  <c r="U646" i="2"/>
  <c r="U2316" i="2"/>
  <c r="U2315" i="2"/>
  <c r="U2314" i="2"/>
  <c r="U1741" i="2"/>
  <c r="U1196" i="2"/>
  <c r="U1195" i="2"/>
  <c r="U645" i="2"/>
  <c r="U644" i="2"/>
  <c r="U59" i="2"/>
  <c r="U58" i="2"/>
  <c r="U57" i="2"/>
  <c r="U2313" i="2"/>
  <c r="U1194" i="2"/>
  <c r="U1193" i="2"/>
  <c r="U1192" i="2"/>
  <c r="U1191" i="2"/>
  <c r="U643" i="2"/>
  <c r="U642" i="2"/>
  <c r="U641" i="2"/>
  <c r="U1740" i="2"/>
  <c r="U1190" i="2"/>
  <c r="U1189" i="2"/>
  <c r="U640" i="2"/>
  <c r="U1564" i="2"/>
  <c r="U999" i="2"/>
  <c r="U998" i="2"/>
  <c r="U2312" i="2"/>
  <c r="U2311" i="2"/>
  <c r="U2310" i="2"/>
  <c r="U2309" i="2"/>
  <c r="U2308" i="2"/>
  <c r="U1739" i="2"/>
  <c r="U1738" i="2"/>
  <c r="U1737" i="2"/>
  <c r="U1188" i="2"/>
  <c r="U1187" i="2"/>
  <c r="U1186" i="2"/>
  <c r="U1185" i="2"/>
  <c r="U639" i="2"/>
  <c r="U638" i="2"/>
  <c r="U637" i="2"/>
  <c r="U636" i="2"/>
  <c r="U56" i="2"/>
  <c r="U2113" i="2"/>
  <c r="U2112" i="2"/>
  <c r="U997" i="2"/>
  <c r="U464" i="2"/>
  <c r="U463" i="2"/>
  <c r="U462" i="2"/>
  <c r="U461" i="2"/>
  <c r="U2210" i="2"/>
  <c r="U2209" i="2"/>
  <c r="U2208" i="2"/>
  <c r="U2207" i="2"/>
  <c r="U2206" i="2"/>
  <c r="U2205" i="2"/>
  <c r="U1652" i="2"/>
  <c r="U555" i="2"/>
  <c r="U2693" i="2"/>
  <c r="U2692" i="2"/>
  <c r="U2691" i="2"/>
  <c r="U2690" i="2"/>
  <c r="U2689" i="2"/>
  <c r="U2153" i="2"/>
  <c r="U2152" i="2"/>
  <c r="U1619" i="2"/>
  <c r="U1618" i="2"/>
  <c r="U1043" i="2"/>
  <c r="U2531" i="2"/>
  <c r="U2530" i="2"/>
  <c r="U2529" i="2"/>
  <c r="U2528" i="2"/>
  <c r="U2527" i="2"/>
  <c r="U2526" i="2"/>
  <c r="U2012" i="2"/>
  <c r="U2011" i="2"/>
  <c r="U377" i="2"/>
  <c r="U2204" i="2"/>
  <c r="U1104" i="2"/>
  <c r="U1103" i="2"/>
  <c r="U1102" i="2"/>
  <c r="U2307" i="2"/>
  <c r="U2306" i="2"/>
  <c r="U2305" i="2"/>
  <c r="U2304" i="2"/>
  <c r="U2303" i="2"/>
  <c r="U1736" i="2"/>
  <c r="U1735" i="2"/>
  <c r="U1184" i="2"/>
  <c r="U1183" i="2"/>
  <c r="U635" i="2"/>
  <c r="U634" i="2"/>
  <c r="U633" i="2"/>
  <c r="U632" i="2"/>
  <c r="U631" i="2"/>
  <c r="U55" i="2"/>
  <c r="U2302" i="2"/>
  <c r="U2301" i="2"/>
  <c r="U2300" i="2"/>
  <c r="U2299" i="2"/>
  <c r="U1734" i="2"/>
  <c r="U1733" i="2"/>
  <c r="U1182" i="2"/>
  <c r="U1181" i="2"/>
  <c r="U1180" i="2"/>
  <c r="U1179" i="2"/>
  <c r="U1178" i="2"/>
  <c r="U630" i="2"/>
  <c r="U629" i="2"/>
  <c r="U628" i="2"/>
  <c r="U54" i="2"/>
  <c r="U53" i="2"/>
  <c r="U52" i="2"/>
  <c r="U2513" i="2"/>
  <c r="U2512" i="2"/>
  <c r="U1992" i="2"/>
  <c r="U1991" i="2"/>
  <c r="U1990" i="2"/>
  <c r="U1989" i="2"/>
  <c r="U1988" i="2"/>
  <c r="U1987" i="2"/>
  <c r="U1986" i="2"/>
  <c r="U1444" i="2"/>
  <c r="U1177" i="2"/>
  <c r="U887" i="2"/>
  <c r="U886" i="2"/>
  <c r="U885" i="2"/>
  <c r="U627" i="2"/>
  <c r="U2163" i="2"/>
  <c r="U1617" i="2"/>
  <c r="U1616" i="2"/>
  <c r="U1057" i="2"/>
  <c r="U2576" i="2"/>
  <c r="U2575" i="2"/>
  <c r="U2574" i="2"/>
  <c r="U2063" i="2"/>
  <c r="U2062" i="2"/>
  <c r="U2061" i="2"/>
  <c r="U1515" i="2"/>
  <c r="U1514" i="2"/>
  <c r="U1513" i="2"/>
  <c r="U1512" i="2"/>
  <c r="U954" i="2"/>
  <c r="U953" i="2"/>
  <c r="U952" i="2"/>
  <c r="U951" i="2"/>
  <c r="U950" i="2"/>
  <c r="U949" i="2"/>
  <c r="U427" i="2"/>
  <c r="U2298" i="2"/>
  <c r="U2297" i="2"/>
  <c r="U1732" i="2"/>
  <c r="U626" i="2"/>
  <c r="U51" i="2"/>
  <c r="U2296" i="2"/>
  <c r="U2295" i="2"/>
  <c r="U2294" i="2"/>
  <c r="U2293" i="2"/>
  <c r="U2292" i="2"/>
  <c r="U2291" i="2"/>
  <c r="U2290" i="2"/>
  <c r="U2289" i="2"/>
  <c r="U1731" i="2"/>
  <c r="U1730" i="2"/>
  <c r="U1729" i="2"/>
  <c r="U1176" i="2"/>
  <c r="U1175" i="2"/>
  <c r="U50" i="2"/>
  <c r="U49" i="2"/>
  <c r="U2288" i="2"/>
  <c r="U2287" i="2"/>
  <c r="U2286" i="2"/>
  <c r="U2285" i="2"/>
  <c r="U2284" i="2"/>
  <c r="U2283" i="2"/>
  <c r="U2282" i="2"/>
  <c r="U2281" i="2"/>
  <c r="U1728" i="2"/>
  <c r="U1727" i="2"/>
  <c r="U1174" i="2"/>
  <c r="U1173" i="2"/>
  <c r="U625" i="2"/>
  <c r="U48" i="2"/>
  <c r="U2630" i="2"/>
  <c r="U2280" i="2"/>
  <c r="U2279" i="2"/>
  <c r="U2278" i="2"/>
  <c r="U2277" i="2"/>
  <c r="U1726" i="2"/>
  <c r="U1172" i="2"/>
  <c r="U1171" i="2"/>
  <c r="U1170" i="2"/>
  <c r="U1169" i="2"/>
  <c r="U624" i="2"/>
  <c r="U623" i="2"/>
  <c r="U622" i="2"/>
  <c r="U2703" i="2"/>
  <c r="U2629" i="2"/>
  <c r="U2628" i="2"/>
  <c r="U2111" i="2"/>
  <c r="U996" i="2"/>
  <c r="U995" i="2"/>
  <c r="U2616" i="2"/>
  <c r="U2615" i="2"/>
  <c r="U2614" i="2"/>
  <c r="U2091" i="2"/>
  <c r="U2090" i="2"/>
  <c r="U2089" i="2"/>
  <c r="U1543" i="2"/>
  <c r="U1542" i="2"/>
  <c r="U976" i="2"/>
  <c r="U438" i="2"/>
  <c r="U2276" i="2"/>
  <c r="U1725" i="2"/>
  <c r="U621" i="2"/>
  <c r="U620" i="2"/>
  <c r="U1563" i="2"/>
  <c r="U460" i="2"/>
  <c r="U2275" i="2"/>
  <c r="U2274" i="2"/>
  <c r="U2273" i="2"/>
  <c r="U1724" i="2"/>
  <c r="U1723" i="2"/>
  <c r="U1722" i="2"/>
  <c r="U1721" i="2"/>
  <c r="U1720" i="2"/>
  <c r="U1719" i="2"/>
  <c r="U1718" i="2"/>
  <c r="U1717" i="2"/>
  <c r="U1168" i="2"/>
  <c r="U1167" i="2"/>
  <c r="U619" i="2"/>
  <c r="U618" i="2"/>
  <c r="U617" i="2"/>
  <c r="U2088" i="2"/>
  <c r="U1541" i="2"/>
  <c r="U1540" i="2"/>
  <c r="U1539" i="2"/>
  <c r="U975" i="2"/>
  <c r="U974" i="2"/>
  <c r="U2525" i="2"/>
  <c r="U2524" i="2"/>
  <c r="U2523" i="2"/>
  <c r="U2522" i="2"/>
  <c r="U2521" i="2"/>
  <c r="U2520" i="2"/>
  <c r="U2010" i="2"/>
  <c r="U2009" i="2"/>
  <c r="U1465" i="2"/>
  <c r="U1464" i="2"/>
  <c r="U1463" i="2"/>
  <c r="U904" i="2"/>
  <c r="U903" i="2"/>
  <c r="U902" i="2"/>
  <c r="U901" i="2"/>
  <c r="U900" i="2"/>
  <c r="U2272" i="2"/>
  <c r="U1716" i="2"/>
  <c r="U1715" i="2"/>
  <c r="U1166" i="2"/>
  <c r="U616" i="2"/>
  <c r="U47" i="2"/>
  <c r="U46" i="2"/>
  <c r="U45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1714" i="2"/>
  <c r="U1713" i="2"/>
  <c r="U1165" i="2"/>
  <c r="U1164" i="2"/>
  <c r="U1163" i="2"/>
  <c r="U615" i="2"/>
  <c r="U2259" i="2"/>
  <c r="U2258" i="2"/>
  <c r="U2257" i="2"/>
  <c r="U2256" i="2"/>
  <c r="U2255" i="2"/>
  <c r="U2254" i="2"/>
  <c r="U2253" i="2"/>
  <c r="U2252" i="2"/>
  <c r="U1712" i="2"/>
  <c r="U1711" i="2"/>
  <c r="U1162" i="2"/>
  <c r="U1161" i="2"/>
  <c r="U614" i="2"/>
  <c r="U613" i="2"/>
  <c r="U44" i="2"/>
  <c r="U2203" i="2"/>
  <c r="U2202" i="2"/>
  <c r="U2201" i="2"/>
  <c r="U2200" i="2"/>
  <c r="U2199" i="2"/>
  <c r="U1651" i="2"/>
  <c r="U1650" i="2"/>
  <c r="U1649" i="2"/>
  <c r="U1101" i="2"/>
  <c r="U1100" i="2"/>
  <c r="U554" i="2"/>
  <c r="U553" i="2"/>
  <c r="U552" i="2"/>
  <c r="U2251" i="2"/>
  <c r="U2250" i="2"/>
  <c r="U2249" i="2"/>
  <c r="U2248" i="2"/>
  <c r="U1710" i="2"/>
  <c r="U1709" i="2"/>
  <c r="U1708" i="2"/>
  <c r="U1160" i="2"/>
  <c r="U1159" i="2"/>
  <c r="U1158" i="2"/>
  <c r="U1157" i="2"/>
  <c r="U1156" i="2"/>
  <c r="U612" i="2"/>
  <c r="U611" i="2"/>
  <c r="U610" i="2"/>
  <c r="U43" i="2"/>
  <c r="U899" i="2"/>
  <c r="U898" i="2"/>
  <c r="U2087" i="2"/>
  <c r="U2086" i="2"/>
  <c r="U1538" i="2"/>
  <c r="U1537" i="2"/>
  <c r="U2247" i="2"/>
  <c r="U1707" i="2"/>
  <c r="U1155" i="2"/>
  <c r="U609" i="2"/>
  <c r="E2" i="1"/>
  <c r="E3" i="1"/>
  <c r="E4" i="1"/>
  <c r="E5" i="1"/>
  <c r="D2" i="1"/>
  <c r="D3" i="1"/>
  <c r="D4" i="1"/>
  <c r="D5" i="1"/>
  <c r="C2" i="1"/>
  <c r="C3" i="1"/>
  <c r="C4" i="1"/>
  <c r="C5" i="1"/>
  <c r="C6" i="1"/>
  <c r="Y2446" i="2" l="1"/>
  <c r="Y2447" i="2"/>
  <c r="Y396" i="2"/>
  <c r="Y397" i="2"/>
  <c r="Y398" i="2"/>
  <c r="Y925" i="2"/>
  <c r="Y926" i="2"/>
  <c r="Y1491" i="2"/>
  <c r="Y1492" i="2"/>
  <c r="Y2559" i="2"/>
  <c r="Y2560" i="2"/>
  <c r="Y399" i="2"/>
  <c r="Y2037" i="2"/>
  <c r="Y2561" i="2"/>
  <c r="Y2562" i="2"/>
  <c r="Y2563" i="2"/>
  <c r="Y2736" i="2"/>
  <c r="Y541" i="2"/>
  <c r="Y1087" i="2"/>
  <c r="Y1088" i="2"/>
  <c r="Y1641" i="2"/>
  <c r="Y2188" i="2"/>
  <c r="Y2189" i="2"/>
  <c r="Y2190" i="2"/>
  <c r="Y2191" i="2"/>
  <c r="Y2737" i="2"/>
  <c r="Y2738" i="2"/>
  <c r="Y2739" i="2"/>
  <c r="Y2740" i="2"/>
  <c r="Y2741" i="2"/>
  <c r="Y2742" i="2"/>
  <c r="Y1089" i="2"/>
  <c r="Y1642" i="2"/>
  <c r="Y1643" i="2"/>
  <c r="Y2192" i="2"/>
  <c r="Y2193" i="2"/>
  <c r="Y2194" i="2"/>
  <c r="Y2743" i="2"/>
  <c r="Y542" i="2"/>
  <c r="Y1090" i="2"/>
  <c r="Y183" i="2"/>
  <c r="Y184" i="2"/>
  <c r="Y185" i="2"/>
  <c r="Y783" i="2"/>
  <c r="Y1328" i="2"/>
  <c r="Y1329" i="2"/>
  <c r="Y1330" i="2"/>
  <c r="Y1883" i="2"/>
  <c r="Y1884" i="2"/>
  <c r="Y1885" i="2"/>
  <c r="Y2448" i="2"/>
  <c r="Y543" i="2"/>
  <c r="Y2195" i="2"/>
  <c r="Y485" i="2"/>
  <c r="Y486" i="2"/>
  <c r="Y487" i="2"/>
  <c r="Y488" i="2"/>
  <c r="Y489" i="2"/>
  <c r="Y1023" i="2"/>
  <c r="Y1024" i="2"/>
  <c r="Y1025" i="2"/>
  <c r="Y1026" i="2"/>
  <c r="Y1027" i="2"/>
  <c r="Y1028" i="2"/>
  <c r="Y1590" i="2"/>
  <c r="Y1591" i="2"/>
  <c r="Y1592" i="2"/>
  <c r="Y2132" i="2"/>
  <c r="Y2133" i="2"/>
  <c r="Y2672" i="2"/>
  <c r="Y186" i="2"/>
  <c r="Y187" i="2"/>
  <c r="Y188" i="2"/>
  <c r="Y189" i="2"/>
  <c r="Y784" i="2"/>
  <c r="Y785" i="2"/>
  <c r="Y1331" i="2"/>
  <c r="Y1332" i="2"/>
  <c r="Y1333" i="2"/>
  <c r="Y1334" i="2"/>
  <c r="Y1886" i="2"/>
  <c r="Y1887" i="2"/>
  <c r="Y1888" i="2"/>
  <c r="Y1889" i="2"/>
  <c r="Y490" i="2"/>
  <c r="Y190" i="2"/>
  <c r="Y191" i="2"/>
  <c r="Y192" i="2"/>
  <c r="Y491" i="2"/>
  <c r="Y1029" i="2"/>
  <c r="Y786" i="2"/>
  <c r="Y787" i="2"/>
  <c r="Y1030" i="2"/>
  <c r="Y788" i="2"/>
  <c r="Y789" i="2"/>
  <c r="Y1335" i="2"/>
  <c r="Y1593" i="2"/>
  <c r="Y1336" i="2"/>
  <c r="Y2134" i="2"/>
  <c r="Y2135" i="2"/>
  <c r="Y1890" i="2"/>
  <c r="Y2449" i="2"/>
  <c r="Y2450" i="2"/>
  <c r="Y2451" i="2"/>
  <c r="Y2673" i="2"/>
  <c r="Y2452" i="2"/>
  <c r="Y2453" i="2"/>
  <c r="Y2454" i="2"/>
  <c r="Y2674" i="2"/>
  <c r="Y2455" i="2"/>
  <c r="Y193" i="2"/>
  <c r="Y400" i="2"/>
  <c r="Y401" i="2"/>
  <c r="Y194" i="2"/>
  <c r="Y927" i="2"/>
  <c r="Y928" i="2"/>
  <c r="Y1337" i="2"/>
  <c r="Y1493" i="2"/>
  <c r="Y1494" i="2"/>
  <c r="Y1338" i="2"/>
  <c r="Y2038" i="2"/>
  <c r="Y2039" i="2"/>
  <c r="Y2040" i="2"/>
  <c r="Y2041" i="2"/>
  <c r="Y1891" i="2"/>
  <c r="Y2042" i="2"/>
  <c r="Y2456" i="2"/>
  <c r="Y2564" i="2"/>
  <c r="Y2565" i="2"/>
  <c r="Y2566" i="2"/>
  <c r="Y2567" i="2"/>
  <c r="Y2568" i="2"/>
  <c r="Y402" i="2"/>
  <c r="Y403" i="2"/>
  <c r="Y404" i="2"/>
  <c r="Y405" i="2"/>
  <c r="Y406" i="2"/>
  <c r="Y16" i="2"/>
  <c r="Y407" i="2"/>
  <c r="Y408" i="2"/>
  <c r="Y574" i="2"/>
  <c r="Y929" i="2"/>
  <c r="Y930" i="2"/>
  <c r="Y931" i="2"/>
  <c r="Y575" i="2"/>
  <c r="Y932" i="2"/>
  <c r="Y576" i="2"/>
  <c r="Y1495" i="2"/>
  <c r="Y1124" i="2"/>
  <c r="Y1125" i="2"/>
  <c r="Y1126" i="2"/>
  <c r="Y1127" i="2"/>
  <c r="Y1128" i="2"/>
  <c r="Y1496" i="2"/>
  <c r="Y1675" i="2"/>
  <c r="Y2043" i="2"/>
  <c r="Y1676" i="2"/>
  <c r="Y2044" i="2"/>
  <c r="Y2045" i="2"/>
  <c r="Y2046" i="2"/>
  <c r="Y195" i="2"/>
  <c r="Y196" i="2"/>
  <c r="Y197" i="2"/>
  <c r="Y198" i="2"/>
  <c r="Y199" i="2"/>
  <c r="Y200" i="2"/>
  <c r="Y201" i="2"/>
  <c r="Y790" i="2"/>
  <c r="Y791" i="2"/>
  <c r="Y792" i="2"/>
  <c r="Y793" i="2"/>
  <c r="Y794" i="2"/>
  <c r="Y1339" i="2"/>
  <c r="Y1340" i="2"/>
  <c r="Y1341" i="2"/>
  <c r="Y1892" i="2"/>
  <c r="Y1893" i="2"/>
  <c r="Y492" i="2"/>
  <c r="Y202" i="2"/>
  <c r="Y493" i="2"/>
  <c r="Y203" i="2"/>
  <c r="Y204" i="2"/>
  <c r="Y205" i="2"/>
  <c r="Y206" i="2"/>
  <c r="Y494" i="2"/>
  <c r="Y1031" i="2"/>
  <c r="Y795" i="2"/>
  <c r="Y1032" i="2"/>
  <c r="Y796" i="2"/>
  <c r="Y797" i="2"/>
  <c r="Y1594" i="2"/>
  <c r="Y1342" i="2"/>
  <c r="Y1595" i="2"/>
  <c r="Y1343" i="2"/>
  <c r="Y1894" i="2"/>
  <c r="Y2136" i="2"/>
  <c r="Y2137" i="2"/>
  <c r="Y1895" i="2"/>
  <c r="Y2138" i="2"/>
  <c r="Y1896" i="2"/>
  <c r="Y2457" i="2"/>
  <c r="Y2458" i="2"/>
  <c r="Y2675" i="2"/>
  <c r="Y798" i="2"/>
  <c r="Y1344" i="2"/>
  <c r="Y1345" i="2"/>
  <c r="Y2459" i="2"/>
  <c r="Y2460" i="2"/>
  <c r="Y2461" i="2"/>
  <c r="Y2462" i="2"/>
  <c r="Y431" i="2"/>
  <c r="Y207" i="2"/>
  <c r="Y208" i="2"/>
  <c r="Y432" i="2"/>
  <c r="Y969" i="2"/>
  <c r="Y970" i="2"/>
  <c r="Y1346" i="2"/>
  <c r="Y1532" i="2"/>
  <c r="Y1347" i="2"/>
  <c r="Y1533" i="2"/>
  <c r="Y2079" i="2"/>
  <c r="Y2080" i="2"/>
  <c r="Y2081" i="2"/>
  <c r="Y1897" i="2"/>
  <c r="Y1898" i="2"/>
  <c r="Y1899" i="2"/>
  <c r="Y2082" i="2"/>
  <c r="Y2083" i="2"/>
  <c r="Y2607" i="2"/>
  <c r="Y2608" i="2"/>
  <c r="Y2609" i="2"/>
  <c r="Y2610" i="2"/>
  <c r="Y2463" i="2"/>
  <c r="Y2611" i="2"/>
  <c r="Y2612" i="2"/>
  <c r="Y2613" i="2"/>
  <c r="Y209" i="2"/>
  <c r="Y210" i="2"/>
  <c r="Y211" i="2"/>
  <c r="Y799" i="2"/>
  <c r="Y800" i="2"/>
  <c r="Y1348" i="2"/>
  <c r="Y1349" i="2"/>
  <c r="Y1900" i="2"/>
  <c r="Y1901" i="2"/>
  <c r="Y2464" i="2"/>
  <c r="Y495" i="2"/>
  <c r="Y544" i="2"/>
  <c r="Y496" i="2"/>
  <c r="Y497" i="2"/>
  <c r="Y1091" i="2"/>
  <c r="Y1033" i="2"/>
  <c r="Y1092" i="2"/>
  <c r="Y1644" i="2"/>
  <c r="Y1645" i="2"/>
  <c r="Y2139" i="2"/>
  <c r="Y2196" i="2"/>
  <c r="Y2197" i="2"/>
  <c r="Y2198" i="2"/>
  <c r="Y2744" i="2"/>
  <c r="Y212" i="2"/>
  <c r="Y213" i="2"/>
  <c r="Y214" i="2"/>
  <c r="Y409" i="2"/>
  <c r="Y215" i="2"/>
  <c r="Y410" i="2"/>
  <c r="Y216" i="2"/>
  <c r="Y217" i="2"/>
  <c r="Y411" i="2"/>
  <c r="Y412" i="2"/>
  <c r="Y413" i="2"/>
  <c r="Y218" i="2"/>
  <c r="Y801" i="2"/>
  <c r="Y802" i="2"/>
  <c r="Y933" i="2"/>
  <c r="Y803" i="2"/>
  <c r="Y804" i="2"/>
  <c r="Y805" i="2"/>
  <c r="Y934" i="2"/>
  <c r="Y935" i="2"/>
  <c r="Y1497" i="2"/>
  <c r="Y1498" i="2"/>
  <c r="Y1350" i="2"/>
  <c r="Y1351" i="2"/>
  <c r="Y1499" i="2"/>
  <c r="Y1500" i="2"/>
  <c r="Y1501" i="2"/>
  <c r="Y2047" i="2"/>
  <c r="Y2048" i="2"/>
  <c r="Y219" i="2"/>
  <c r="Y220" i="2"/>
  <c r="Y414" i="2"/>
  <c r="Y221" i="2"/>
  <c r="Y415" i="2"/>
  <c r="Y416" i="2"/>
  <c r="Y417" i="2"/>
  <c r="Y806" i="2"/>
  <c r="Y936" i="2"/>
  <c r="Y988" i="2"/>
  <c r="Y937" i="2"/>
  <c r="Y1555" i="2"/>
  <c r="Y1502" i="2"/>
  <c r="Y1503" i="2"/>
  <c r="Y1504" i="2"/>
  <c r="Y1505" i="2"/>
  <c r="Y1902" i="2"/>
  <c r="Y2049" i="2"/>
  <c r="Y2050" i="2"/>
  <c r="Y1903" i="2"/>
  <c r="Y1904" i="2"/>
  <c r="Y2051" i="2"/>
  <c r="Y1905" i="2"/>
  <c r="Y1906" i="2"/>
  <c r="Y2569" i="2"/>
  <c r="Y1034" i="2"/>
  <c r="Y1035" i="2"/>
  <c r="Y1596" i="2"/>
  <c r="Y1597" i="2"/>
  <c r="Y2140" i="2"/>
  <c r="Y2676" i="2"/>
  <c r="Y222" i="2"/>
  <c r="Y807" i="2"/>
  <c r="Y808" i="2"/>
  <c r="Y2465" i="2"/>
  <c r="Y2466" i="2"/>
  <c r="Y2467" i="2"/>
  <c r="Y2468" i="2"/>
  <c r="Y2469" i="2"/>
  <c r="Y809" i="2"/>
  <c r="Y1352" i="2"/>
  <c r="Y1353" i="2"/>
  <c r="Y1907" i="2"/>
  <c r="Y1908" i="2"/>
  <c r="Y1909" i="2"/>
  <c r="Y1910" i="2"/>
  <c r="Y1911" i="2"/>
  <c r="Y2470" i="2"/>
  <c r="Y2471" i="2"/>
  <c r="Y2472" i="2"/>
  <c r="Y2473" i="2"/>
  <c r="Y2474" i="2"/>
  <c r="Y2475" i="2"/>
  <c r="Y223" i="2"/>
  <c r="Y224" i="2"/>
  <c r="Y225" i="2"/>
  <c r="Y226" i="2"/>
  <c r="Y227" i="2"/>
  <c r="Y228" i="2"/>
  <c r="Y229" i="2"/>
  <c r="Y230" i="2"/>
  <c r="Y231" i="2"/>
  <c r="Y810" i="2"/>
  <c r="Y811" i="2"/>
  <c r="Y1354" i="2"/>
  <c r="Y1355" i="2"/>
  <c r="Y1912" i="2"/>
  <c r="Y2476" i="2"/>
  <c r="Y938" i="2"/>
  <c r="Y939" i="2"/>
  <c r="Y1506" i="2"/>
  <c r="Y1507" i="2"/>
  <c r="Y448" i="2"/>
  <c r="Y232" i="2"/>
  <c r="Y233" i="2"/>
  <c r="Y449" i="2"/>
  <c r="Y450" i="2"/>
  <c r="Y451" i="2"/>
  <c r="Y234" i="2"/>
  <c r="Y235" i="2"/>
  <c r="Y812" i="2"/>
  <c r="Y989" i="2"/>
  <c r="Y813" i="2"/>
  <c r="Y814" i="2"/>
  <c r="Y990" i="2"/>
  <c r="Y991" i="2"/>
  <c r="Y815" i="2"/>
  <c r="Y1356" i="2"/>
  <c r="Y1357" i="2"/>
  <c r="Y1358" i="2"/>
  <c r="Y1359" i="2"/>
  <c r="Y1360" i="2"/>
  <c r="Y1361" i="2"/>
  <c r="Y1362" i="2"/>
  <c r="Y1556" i="2"/>
  <c r="Y1363" i="2"/>
  <c r="Y1557" i="2"/>
  <c r="Y1913" i="2"/>
  <c r="Y2099" i="2"/>
  <c r="Y1914" i="2"/>
  <c r="Y2100" i="2"/>
  <c r="Y2101" i="2"/>
  <c r="Y2102" i="2"/>
  <c r="Y2622" i="2"/>
  <c r="Y498" i="2"/>
  <c r="Y499" i="2"/>
  <c r="Y500" i="2"/>
  <c r="Y1036" i="2"/>
  <c r="Y1037" i="2"/>
  <c r="Y1598" i="2"/>
  <c r="Y1364" i="2"/>
  <c r="Y1915" i="2"/>
  <c r="Y1916" i="2"/>
  <c r="Y452" i="2"/>
  <c r="Y453" i="2"/>
  <c r="Y454" i="2"/>
  <c r="Y455" i="2"/>
  <c r="Y456" i="2"/>
  <c r="Y992" i="2"/>
  <c r="Y993" i="2"/>
  <c r="Y1558" i="2"/>
  <c r="Y2103" i="2"/>
  <c r="Y2104" i="2"/>
  <c r="Y2105" i="2"/>
  <c r="Y2623" i="2"/>
  <c r="Y501" i="2"/>
  <c r="Y1038" i="2"/>
  <c r="Y1039" i="2"/>
  <c r="Y1599" i="2"/>
  <c r="Y2141" i="2"/>
  <c r="Y2677" i="2"/>
  <c r="Y2678" i="2"/>
  <c r="Y2679" i="2"/>
  <c r="Y2680" i="2"/>
  <c r="Y545" i="2"/>
  <c r="Y1093" i="2"/>
  <c r="Y1094" i="2"/>
  <c r="Y236" i="2"/>
  <c r="Y237" i="2"/>
  <c r="Y816" i="2"/>
  <c r="Y817" i="2"/>
  <c r="Y1365" i="2"/>
  <c r="Y1366" i="2"/>
  <c r="Y1367" i="2"/>
  <c r="Y1368" i="2"/>
  <c r="Y1917" i="2"/>
  <c r="Y1918" i="2"/>
  <c r="Y1919" i="2"/>
  <c r="Y2477" i="2"/>
  <c r="Y2478" i="2"/>
  <c r="Y2479" i="2"/>
  <c r="Y2480" i="2"/>
  <c r="Y2481" i="2"/>
  <c r="Y238" i="2"/>
  <c r="Y239" i="2"/>
  <c r="Y240" i="2"/>
  <c r="Y241" i="2"/>
  <c r="X241" i="2"/>
  <c r="Y2286" i="2"/>
  <c r="Y49" i="2"/>
  <c r="Y1175" i="2"/>
  <c r="Y1729" i="2"/>
  <c r="Y1731" i="2"/>
  <c r="Y2290" i="2"/>
  <c r="Y2292" i="2"/>
  <c r="Y2294" i="2"/>
  <c r="Y2296" i="2"/>
  <c r="Y626" i="2"/>
  <c r="Y2297" i="2"/>
  <c r="Y427" i="2"/>
  <c r="Y950" i="2"/>
  <c r="Y952" i="2"/>
  <c r="Y1512" i="2"/>
  <c r="Y1513" i="2"/>
  <c r="Y2061" i="2"/>
  <c r="Y2062" i="2"/>
  <c r="Y2575" i="2"/>
  <c r="Y2576" i="2"/>
  <c r="Y1616" i="2"/>
  <c r="Y2163" i="2"/>
  <c r="Y886" i="2"/>
  <c r="Y1177" i="2"/>
  <c r="Y1444" i="2"/>
  <c r="Y1988" i="2"/>
  <c r="Y1989" i="2"/>
  <c r="Y1992" i="2"/>
  <c r="Y2512" i="2"/>
  <c r="Y53" i="2"/>
  <c r="Y54" i="2"/>
  <c r="Y630" i="2"/>
  <c r="Y1178" i="2"/>
  <c r="Y1181" i="2"/>
  <c r="Y1182" i="2"/>
  <c r="Y2299" i="2"/>
  <c r="Y2300" i="2"/>
  <c r="Y55" i="2"/>
  <c r="Y631" i="2"/>
  <c r="Y633" i="2"/>
  <c r="Y635" i="2"/>
  <c r="Y1184" i="2"/>
  <c r="Y1736" i="2"/>
  <c r="Y2304" i="2"/>
  <c r="Y2306" i="2"/>
  <c r="Y1103" i="2"/>
  <c r="Y1104" i="2"/>
  <c r="Y377" i="2"/>
  <c r="Y2526" i="2"/>
  <c r="Y2527" i="2"/>
  <c r="Y2530" i="2"/>
  <c r="Y2531" i="2"/>
  <c r="Y1618" i="2"/>
  <c r="Y2152" i="2"/>
  <c r="Y2689" i="2"/>
  <c r="Y2691" i="2"/>
  <c r="Y2693" i="2"/>
  <c r="Y2206" i="2"/>
  <c r="Y2208" i="2"/>
  <c r="Y2210" i="2"/>
  <c r="Y462" i="2"/>
  <c r="Y464" i="2"/>
  <c r="Y997" i="2"/>
  <c r="Y56" i="2"/>
  <c r="Y636" i="2"/>
  <c r="Y637" i="2"/>
  <c r="Y1185" i="2"/>
  <c r="Y1186" i="2"/>
  <c r="Y1737" i="2"/>
  <c r="Y1739" i="2"/>
  <c r="Y2308" i="2"/>
  <c r="Y2311" i="2"/>
  <c r="Y998" i="2"/>
  <c r="Y1564" i="2"/>
  <c r="Y1190" i="2"/>
  <c r="Y641" i="2"/>
  <c r="Y643" i="2"/>
  <c r="Y1192" i="2"/>
  <c r="Y1194" i="2"/>
  <c r="Y57" i="2"/>
  <c r="Y59" i="2"/>
  <c r="Y645" i="2"/>
  <c r="Y1196" i="2"/>
  <c r="Y2314" i="2"/>
  <c r="Y2316" i="2"/>
  <c r="Y647" i="2"/>
  <c r="Y1742" i="2"/>
  <c r="Y1743" i="2"/>
  <c r="Y2318" i="2"/>
  <c r="Y61" i="2"/>
  <c r="Y1198" i="2"/>
  <c r="Y1199" i="2"/>
  <c r="Y1744" i="2"/>
  <c r="Y1745" i="2"/>
  <c r="Y2322" i="2"/>
  <c r="Y2323" i="2"/>
  <c r="Y2325" i="2"/>
  <c r="Y650" i="2"/>
  <c r="Y1202" i="2"/>
  <c r="Y1747" i="2"/>
  <c r="Y2327" i="2"/>
  <c r="Y2328" i="2"/>
  <c r="Y2331" i="2"/>
  <c r="Y2333" i="2"/>
  <c r="Y2335" i="2"/>
  <c r="Y2704" i="2"/>
  <c r="Y65" i="2"/>
  <c r="Y651" i="2"/>
  <c r="Y1749" i="2"/>
  <c r="Y1751" i="2"/>
  <c r="Y2336" i="2"/>
  <c r="Y2338" i="2"/>
  <c r="Y2340" i="2"/>
  <c r="Y1603" i="2"/>
  <c r="Y379" i="2"/>
  <c r="Y905" i="2"/>
  <c r="Y1466" i="2"/>
  <c r="Y1467" i="2"/>
  <c r="Y2015" i="2"/>
  <c r="Y2532" i="2"/>
  <c r="Y655" i="2"/>
  <c r="Y1204" i="2"/>
  <c r="Y1206" i="2"/>
  <c r="Y1208" i="2"/>
  <c r="Y1754" i="2"/>
  <c r="Y1756" i="2"/>
  <c r="Y1058" i="2"/>
  <c r="Y1060" i="2"/>
  <c r="Y1062" i="2"/>
  <c r="Y2164" i="2"/>
  <c r="Y2165" i="2"/>
  <c r="Y67" i="2"/>
  <c r="Y68" i="2"/>
  <c r="Y69" i="2"/>
  <c r="Y658" i="2"/>
  <c r="Y1210" i="2"/>
  <c r="Y1212" i="2"/>
  <c r="Y2343" i="2"/>
  <c r="Y660" i="2"/>
  <c r="Y662" i="2"/>
  <c r="Y1758" i="2"/>
  <c r="Y2344" i="2"/>
  <c r="Y2346" i="2"/>
  <c r="Y1622" i="2"/>
  <c r="Y2708" i="2"/>
  <c r="Y4" i="2"/>
  <c r="Y1106" i="2"/>
  <c r="Y1107" i="2"/>
  <c r="Y2212" i="2"/>
  <c r="Y2213" i="2"/>
  <c r="Y2216" i="2"/>
  <c r="Y2166" i="2"/>
  <c r="Y440" i="2"/>
  <c r="Y977" i="2"/>
  <c r="Y1544" i="2"/>
  <c r="Y1545" i="2"/>
  <c r="Y956" i="2"/>
  <c r="Y957" i="2"/>
  <c r="Y1517" i="2"/>
  <c r="Y1518" i="2"/>
  <c r="Y2066" i="2"/>
  <c r="Y70" i="2"/>
  <c r="Y663" i="2"/>
  <c r="Y1214" i="2"/>
  <c r="Y1217" i="2"/>
  <c r="Y1760" i="2"/>
  <c r="Y1762" i="2"/>
  <c r="Y1764" i="2"/>
  <c r="Y1766" i="2"/>
  <c r="Y2348" i="2"/>
  <c r="Y2349" i="2"/>
  <c r="Y2217" i="2"/>
  <c r="Y2218" i="2"/>
  <c r="Y665" i="2"/>
  <c r="Y667" i="2"/>
  <c r="Y1218" i="2"/>
  <c r="Y1220" i="2"/>
  <c r="Y1769" i="2"/>
  <c r="Y1771" i="2"/>
  <c r="Y465" i="2"/>
  <c r="Y1001" i="2"/>
  <c r="Y1566" i="2"/>
  <c r="Y520" i="2"/>
  <c r="Y1064" i="2"/>
  <c r="Y1469" i="2"/>
  <c r="Y1624" i="2"/>
  <c r="Y2711" i="2"/>
  <c r="Y2712" i="2"/>
  <c r="Y73" i="2"/>
  <c r="Y670" i="2"/>
  <c r="Y672" i="2"/>
  <c r="Y1222" i="2"/>
  <c r="Y1224" i="2"/>
  <c r="Y1774" i="2"/>
  <c r="Y2353" i="2"/>
  <c r="Y2356" i="2"/>
  <c r="Y673" i="2"/>
  <c r="Y1225" i="2"/>
  <c r="Y1775" i="2"/>
  <c r="Y1778" i="2"/>
  <c r="Y1779" i="2"/>
  <c r="Y2359" i="2"/>
  <c r="Y2361" i="2"/>
  <c r="Y2362" i="2"/>
  <c r="Y76" i="2"/>
  <c r="Y77" i="2"/>
  <c r="Y1226" i="2"/>
  <c r="Y1781" i="2"/>
  <c r="Y2364" i="2"/>
  <c r="Y2365" i="2"/>
  <c r="Y2368" i="2"/>
  <c r="Y2369" i="2"/>
  <c r="Y2372" i="2"/>
  <c r="Y78" i="2"/>
  <c r="Y80" i="2"/>
  <c r="Y1065" i="2"/>
  <c r="Y1227" i="2"/>
  <c r="Y1228" i="2"/>
  <c r="Y1230" i="2"/>
  <c r="Y1784" i="2"/>
  <c r="Y2373" i="2"/>
  <c r="Y2374" i="2"/>
  <c r="Y2376" i="2"/>
  <c r="Y677" i="2"/>
  <c r="Y678" i="2"/>
  <c r="Y679" i="2"/>
  <c r="Y680" i="2"/>
  <c r="Y681" i="2"/>
  <c r="Y894" i="2"/>
  <c r="Y1567" i="2"/>
  <c r="Y1458" i="2"/>
  <c r="Y1459" i="2"/>
  <c r="Y1785" i="2"/>
  <c r="Y1786" i="2"/>
  <c r="Y1787" i="2"/>
  <c r="Y2003" i="2"/>
  <c r="Y1788" i="2"/>
  <c r="Y2377" i="2"/>
  <c r="Y380" i="2"/>
  <c r="Y524" i="2"/>
  <c r="Y381" i="2"/>
  <c r="Y684" i="2"/>
  <c r="Y909" i="2"/>
  <c r="Y1068" i="2"/>
  <c r="Y1471" i="2"/>
  <c r="Y1236" i="2"/>
  <c r="Y2016" i="2"/>
  <c r="Y2534" i="2"/>
  <c r="Y2378" i="2"/>
  <c r="Y2536" i="2"/>
  <c r="Y2537" i="2"/>
  <c r="Y1627" i="2"/>
  <c r="Y2168" i="2"/>
  <c r="Y2713" i="2"/>
  <c r="Y2715" i="2"/>
  <c r="Y2717" i="2"/>
  <c r="Y466" i="2"/>
  <c r="Y1004" i="2"/>
  <c r="Y1568" i="2"/>
  <c r="Y2117" i="2"/>
  <c r="Y2118" i="2"/>
  <c r="Y2634" i="2"/>
  <c r="Y2635" i="2"/>
  <c r="Y469" i="2"/>
  <c r="Y470" i="2"/>
  <c r="Y1570" i="2"/>
  <c r="Y1571" i="2"/>
  <c r="Y2636" i="2"/>
  <c r="Y2637" i="2"/>
  <c r="Y84" i="2"/>
  <c r="Y85" i="2"/>
  <c r="Y685" i="2"/>
  <c r="Y687" i="2"/>
  <c r="Y689" i="2"/>
  <c r="Y692" i="2"/>
  <c r="Y694" i="2"/>
  <c r="Y696" i="2"/>
  <c r="Y1238" i="2"/>
  <c r="Y1240" i="2"/>
  <c r="Y1243" i="2"/>
  <c r="Y1244" i="2"/>
  <c r="Y1790" i="2"/>
  <c r="Y1792" i="2"/>
  <c r="Y1794" i="2"/>
  <c r="Y1797" i="2"/>
  <c r="Y1798" i="2"/>
  <c r="Y472" i="2"/>
  <c r="Y473" i="2"/>
  <c r="Y1009" i="2"/>
  <c r="Y1572" i="2"/>
  <c r="Y2640" i="2"/>
  <c r="Y2641" i="2"/>
  <c r="Y87" i="2"/>
  <c r="Y88" i="2"/>
  <c r="Y526" i="2"/>
  <c r="Y1070" i="2"/>
  <c r="Y1072" i="2"/>
  <c r="Y1246" i="2"/>
  <c r="Y1247" i="2"/>
  <c r="Y1248" i="2"/>
  <c r="Y1249" i="2"/>
  <c r="Y1800" i="2"/>
  <c r="Y2171" i="2"/>
  <c r="Y1801" i="2"/>
  <c r="Y2173" i="2"/>
  <c r="Y2175" i="2"/>
  <c r="Y2721" i="2"/>
  <c r="Y2381" i="2"/>
  <c r="Y2382" i="2"/>
  <c r="Y2723" i="2"/>
  <c r="Y2386" i="2"/>
  <c r="Y2387" i="2"/>
  <c r="Y90" i="2"/>
  <c r="Y92" i="2"/>
  <c r="Y697" i="2"/>
  <c r="Y1802" i="2"/>
  <c r="Y2389" i="2"/>
  <c r="Y2220" i="2"/>
  <c r="Y2221" i="2"/>
  <c r="Y383" i="2"/>
  <c r="Y698" i="2"/>
  <c r="Y700" i="2"/>
  <c r="Y702" i="2"/>
  <c r="Y1251" i="2"/>
  <c r="Y1473" i="2"/>
  <c r="Y1474" i="2"/>
  <c r="Y1253" i="2"/>
  <c r="Y1803" i="2"/>
  <c r="Y1805" i="2"/>
  <c r="Y2018" i="2"/>
  <c r="Y1808" i="2"/>
  <c r="Y1044" i="2"/>
  <c r="Y1046" i="2"/>
  <c r="Y1048" i="2"/>
  <c r="Y1050" i="2"/>
  <c r="Y1052" i="2"/>
  <c r="Y1606" i="2"/>
  <c r="Y2154" i="2"/>
  <c r="Y2156" i="2"/>
  <c r="Y94" i="2"/>
  <c r="Y96" i="2"/>
  <c r="Y910" i="2"/>
  <c r="Y705" i="2"/>
  <c r="Y1255" i="2"/>
  <c r="Y1256" i="2"/>
  <c r="Y1809" i="2"/>
  <c r="Y2020" i="2"/>
  <c r="Y2539" i="2"/>
  <c r="Y2391" i="2"/>
  <c r="Y2392" i="2"/>
  <c r="Y474" i="2"/>
  <c r="Y514" i="2"/>
  <c r="Y1010" i="2"/>
  <c r="Y1612" i="2"/>
  <c r="Y1613" i="2"/>
  <c r="Y2121" i="2"/>
  <c r="Y2123" i="2"/>
  <c r="Y2643" i="2"/>
  <c r="Y2644" i="2"/>
  <c r="Y2646" i="2"/>
  <c r="Y2649" i="2"/>
  <c r="Y912" i="2"/>
  <c r="Y2023" i="2"/>
  <c r="Y2542" i="2"/>
  <c r="Y2725" i="2"/>
  <c r="Y5" i="2"/>
  <c r="Y6" i="2"/>
  <c r="Y7" i="2"/>
  <c r="Y706" i="2"/>
  <c r="Y708" i="2"/>
  <c r="Y709" i="2"/>
  <c r="Y711" i="2"/>
  <c r="Y1108" i="2"/>
  <c r="Y1110" i="2"/>
  <c r="Y1258" i="2"/>
  <c r="Y1260" i="2"/>
  <c r="Y1810" i="2"/>
  <c r="Y1655" i="2"/>
  <c r="Y1656" i="2"/>
  <c r="Y1657" i="2"/>
  <c r="Y557" i="2"/>
  <c r="Y559" i="2"/>
  <c r="Y1659" i="2"/>
  <c r="Y476" i="2"/>
  <c r="Y1012" i="2"/>
  <c r="Y1014" i="2"/>
  <c r="Y1578" i="2"/>
  <c r="Y2124" i="2"/>
  <c r="Y2651" i="2"/>
  <c r="Y478" i="2"/>
  <c r="Y1016" i="2"/>
  <c r="Y1579" i="2"/>
  <c r="Y1580" i="2"/>
  <c r="Y2125" i="2"/>
  <c r="Y2127" i="2"/>
  <c r="Y2652" i="2"/>
  <c r="Y2655" i="2"/>
  <c r="Y97" i="2"/>
  <c r="Y713" i="2"/>
  <c r="Y1262" i="2"/>
  <c r="Y1816" i="2"/>
  <c r="Y2393" i="2"/>
  <c r="Y2396" i="2"/>
  <c r="Y2398" i="2"/>
  <c r="Y479" i="2"/>
  <c r="Y1018" i="2"/>
  <c r="Y1020" i="2"/>
  <c r="Y1584" i="2"/>
  <c r="Y2129" i="2"/>
  <c r="Y2657" i="2"/>
  <c r="Y2659" i="2"/>
  <c r="Y2661" i="2"/>
  <c r="Y2663" i="2"/>
  <c r="Y360" i="2"/>
  <c r="Y362" i="2"/>
  <c r="Y1447" i="2"/>
  <c r="Y1448" i="2"/>
  <c r="Y1994" i="2"/>
  <c r="Y1995" i="2"/>
  <c r="Y2516" i="2"/>
  <c r="Y9" i="2"/>
  <c r="Y560" i="2"/>
  <c r="Y562" i="2"/>
  <c r="Y563" i="2"/>
  <c r="Y1113" i="2"/>
  <c r="Y1114" i="2"/>
  <c r="Y1662" i="2"/>
  <c r="Y1664" i="2"/>
  <c r="Y1632" i="2"/>
  <c r="Y714" i="2"/>
  <c r="Y715" i="2"/>
  <c r="Y717" i="2"/>
  <c r="Y1817" i="2"/>
  <c r="Y527" i="2"/>
  <c r="Y1074" i="2"/>
  <c r="Y1076" i="2"/>
  <c r="Y1078" i="2"/>
  <c r="Y1635" i="2"/>
  <c r="Y481" i="2"/>
  <c r="Y1265" i="2"/>
  <c r="Y2400" i="2"/>
  <c r="Y2401" i="2"/>
  <c r="Y1079" i="2"/>
  <c r="Y2728" i="2"/>
  <c r="Y530" i="2"/>
  <c r="Y1636" i="2"/>
  <c r="Y1637" i="2"/>
  <c r="Y2730" i="2"/>
  <c r="Y2731" i="2"/>
  <c r="Y1520" i="2"/>
  <c r="Y1521" i="2"/>
  <c r="Y913" i="2"/>
  <c r="Y914" i="2"/>
  <c r="Y2024" i="2"/>
  <c r="Y2027" i="2"/>
  <c r="Y2028" i="2"/>
  <c r="Y2546" i="2"/>
  <c r="Y2548" i="2"/>
  <c r="Y2550" i="2"/>
  <c r="Y2552" i="2"/>
  <c r="Y101" i="2"/>
  <c r="Y103" i="2"/>
  <c r="Y1266" i="2"/>
  <c r="Y1268" i="2"/>
  <c r="Y2403" i="2"/>
  <c r="Y2405" i="2"/>
  <c r="Y2407" i="2"/>
  <c r="Y482" i="2"/>
  <c r="Y2130" i="2"/>
  <c r="Y2665" i="2"/>
  <c r="Y104" i="2"/>
  <c r="Y106" i="2"/>
  <c r="Y108" i="2"/>
  <c r="Y722" i="2"/>
  <c r="Y1270" i="2"/>
  <c r="Y1821" i="2"/>
  <c r="Y1823" i="2"/>
  <c r="Y915" i="2"/>
  <c r="Y917" i="2"/>
  <c r="Y1480" i="2"/>
  <c r="Y2029" i="2"/>
  <c r="Y723" i="2"/>
  <c r="Y725" i="2"/>
  <c r="Y727" i="2"/>
  <c r="Y1273" i="2"/>
  <c r="Y1275" i="2"/>
  <c r="Y1080" i="2"/>
  <c r="Y1082" i="2"/>
  <c r="Y110" i="2"/>
  <c r="Y111" i="2"/>
  <c r="Y728" i="2"/>
  <c r="Y730" i="2"/>
  <c r="Y1277" i="2"/>
  <c r="Y1831" i="2"/>
  <c r="Y2409" i="2"/>
  <c r="Y2411" i="2"/>
  <c r="Y980" i="2"/>
  <c r="Y1547" i="2"/>
  <c r="Y2617" i="2"/>
  <c r="Y2619" i="2"/>
  <c r="Y536" i="2"/>
  <c r="Y960" i="2"/>
  <c r="Y1523" i="2"/>
  <c r="Y2578" i="2"/>
  <c r="Y2580" i="2"/>
  <c r="Y2620" i="2"/>
  <c r="Y2621" i="2"/>
  <c r="Y1524" i="2"/>
  <c r="Y2069" i="2"/>
  <c r="Y2583" i="2"/>
  <c r="Y2584" i="2"/>
  <c r="Y2587" i="2"/>
  <c r="Y2588" i="2"/>
  <c r="Y1548" i="2"/>
  <c r="Y388" i="2"/>
  <c r="Y1482" i="2"/>
  <c r="Y2030" i="2"/>
  <c r="Y2553" i="2"/>
  <c r="Y113" i="2"/>
  <c r="Y115" i="2"/>
  <c r="Y1278" i="2"/>
  <c r="Y1834" i="2"/>
  <c r="Y116" i="2"/>
  <c r="Y1835" i="2"/>
  <c r="Y1836" i="2"/>
  <c r="Y443" i="2"/>
  <c r="Y1021" i="2"/>
  <c r="Y984" i="2"/>
  <c r="Y1549" i="2"/>
  <c r="Y1551" i="2"/>
  <c r="Y2095" i="2"/>
  <c r="Y2097" i="2"/>
  <c r="Y2181" i="2"/>
  <c r="Y12" i="2"/>
  <c r="Y13" i="2"/>
  <c r="Y564" i="2"/>
  <c r="Y566" i="2"/>
  <c r="Y568" i="2"/>
  <c r="Y1665" i="2"/>
  <c r="Y517" i="2"/>
  <c r="Y519" i="2"/>
  <c r="Y1615" i="2"/>
  <c r="Y2701" i="2"/>
  <c r="Y117" i="2"/>
  <c r="Y119" i="2"/>
  <c r="Y14" i="2"/>
  <c r="Y571" i="2"/>
  <c r="Y1280" i="2"/>
  <c r="Y1117" i="2"/>
  <c r="Y1667" i="2"/>
  <c r="Y2412" i="2"/>
  <c r="Y120" i="2"/>
  <c r="Y734" i="2"/>
  <c r="Y736" i="2"/>
  <c r="Y1282" i="2"/>
  <c r="Y1838" i="2"/>
  <c r="Y2415" i="2"/>
  <c r="Y2418" i="2"/>
  <c r="Y2419" i="2"/>
  <c r="Y2182" i="2"/>
  <c r="Y2732" i="2"/>
  <c r="Y121" i="2"/>
  <c r="Y737" i="2"/>
  <c r="Y1284" i="2"/>
  <c r="Y1841" i="2"/>
  <c r="Y2421" i="2"/>
  <c r="Y2422" i="2"/>
  <c r="Y2425" i="2"/>
  <c r="Y444" i="2"/>
  <c r="Y446" i="2"/>
  <c r="Y985" i="2"/>
  <c r="Y888" i="2"/>
  <c r="Y1450" i="2"/>
  <c r="Y1452" i="2"/>
  <c r="Y1997" i="2"/>
  <c r="Y2518" i="2"/>
  <c r="Y123" i="2"/>
  <c r="Y125" i="2"/>
  <c r="Y127" i="2"/>
  <c r="Y739" i="2"/>
  <c r="Y741" i="2"/>
  <c r="Y1842" i="2"/>
  <c r="Y1844" i="2"/>
  <c r="Y1554" i="2"/>
  <c r="Y129" i="2"/>
  <c r="Y743" i="2"/>
  <c r="Y745" i="2"/>
  <c r="Y130" i="2"/>
  <c r="Y132" i="2"/>
  <c r="Y134" i="2"/>
  <c r="Y747" i="2"/>
  <c r="Y749" i="2"/>
  <c r="Y1287" i="2"/>
  <c r="Y854" i="2"/>
  <c r="Y586" i="2"/>
  <c r="Y589" i="2"/>
  <c r="Y1138" i="2"/>
  <c r="Y1140" i="2"/>
  <c r="Y1690" i="2"/>
  <c r="Y592" i="2"/>
  <c r="Y594" i="2"/>
  <c r="Y1144" i="2"/>
  <c r="Y1146" i="2"/>
  <c r="Y300" i="2"/>
  <c r="Y302" i="2"/>
  <c r="Y855" i="2"/>
  <c r="Y1401" i="2"/>
  <c r="Y1959" i="2"/>
  <c r="Y2502" i="2"/>
  <c r="Y595" i="2"/>
  <c r="Y597" i="2"/>
  <c r="Y1147" i="2"/>
  <c r="Y1692" i="2"/>
  <c r="Y1694" i="2"/>
  <c r="Y1696" i="2"/>
  <c r="Y1961" i="2"/>
  <c r="Y30" i="2"/>
  <c r="Y601" i="2"/>
  <c r="Y1150" i="2"/>
  <c r="Y1697" i="2"/>
  <c r="Y2238" i="2"/>
  <c r="Y2240" i="2"/>
  <c r="Y2242" i="2"/>
  <c r="Y2244" i="2"/>
  <c r="Y2246" i="2"/>
  <c r="Y422" i="2"/>
  <c r="Y305" i="2"/>
  <c r="Y306" i="2"/>
  <c r="Y308" i="2"/>
  <c r="Y310" i="2"/>
  <c r="Y2055" i="2"/>
  <c r="Y2057" i="2"/>
  <c r="Y311" i="2"/>
  <c r="Y313" i="2"/>
  <c r="Y858" i="2"/>
  <c r="Y860" i="2"/>
  <c r="Y1405" i="2"/>
  <c r="Y1407" i="2"/>
  <c r="Y1963" i="2"/>
  <c r="Y1965" i="2"/>
  <c r="Y315" i="2"/>
  <c r="Y317" i="2"/>
  <c r="Y319" i="2"/>
  <c r="Y321" i="2"/>
  <c r="Y862" i="2"/>
  <c r="Y1410" i="2"/>
  <c r="Y1098" i="2"/>
  <c r="Y602" i="2"/>
  <c r="Y603" i="2"/>
  <c r="Y1152" i="2"/>
  <c r="Y1700" i="2"/>
  <c r="Y508" i="2"/>
  <c r="Y2148" i="2"/>
  <c r="Y865" i="2"/>
  <c r="Y1412" i="2"/>
  <c r="Y2685" i="2"/>
  <c r="Y2687" i="2"/>
  <c r="Y867" i="2"/>
  <c r="Y1416" i="2"/>
  <c r="Y1969" i="2"/>
  <c r="Y1972" i="2"/>
  <c r="Y2505" i="2"/>
  <c r="Y325" i="2"/>
  <c r="Y869" i="2"/>
  <c r="Y1420" i="2"/>
  <c r="Y457" i="2"/>
  <c r="Y2106" i="2"/>
  <c r="Y2110" i="2"/>
  <c r="Y2625" i="2"/>
  <c r="Y368" i="2"/>
  <c r="Y1457" i="2"/>
  <c r="Y328" i="2"/>
  <c r="Y870" i="2"/>
  <c r="Y1421" i="2"/>
  <c r="Y1975" i="2"/>
  <c r="Y459" i="2"/>
  <c r="Y1561" i="2"/>
  <c r="Y330" i="2"/>
  <c r="Y331" i="2"/>
  <c r="Y872" i="2"/>
  <c r="Y332" i="2"/>
  <c r="Y333" i="2"/>
  <c r="Y334" i="2"/>
  <c r="Y335" i="2"/>
  <c r="Y873" i="2"/>
  <c r="Y874" i="2"/>
  <c r="Y875" i="2"/>
  <c r="Y1422" i="2"/>
  <c r="Y1423" i="2"/>
  <c r="Y1424" i="2"/>
  <c r="Y1425" i="2"/>
  <c r="Y1426" i="2"/>
  <c r="Y1427" i="2"/>
  <c r="Y336" i="2"/>
  <c r="Y1428" i="2"/>
  <c r="Y509" i="2"/>
  <c r="Y510" i="2"/>
  <c r="Y511" i="2"/>
  <c r="Y512" i="2"/>
  <c r="Y1041" i="2"/>
  <c r="Y2150" i="2"/>
  <c r="Y2688" i="2"/>
  <c r="Y32" i="2"/>
  <c r="Y34" i="2"/>
  <c r="Y606" i="2"/>
  <c r="Y1154" i="2"/>
  <c r="Y1704" i="2"/>
  <c r="Y375" i="2"/>
  <c r="Y2007" i="2"/>
  <c r="Y945" i="2"/>
  <c r="Y948" i="2"/>
  <c r="Y1511" i="2"/>
  <c r="Y2059" i="2"/>
  <c r="Y2573" i="2"/>
  <c r="Y1609" i="2"/>
  <c r="Y337" i="2"/>
  <c r="Y1429" i="2"/>
  <c r="Y1431" i="2"/>
  <c r="Y1979" i="2"/>
  <c r="Y1982" i="2"/>
  <c r="Y2511" i="2"/>
  <c r="Y38" i="2"/>
  <c r="Y339" i="2"/>
  <c r="Y343" i="2"/>
  <c r="Y345" i="2"/>
  <c r="Y876" i="2"/>
  <c r="Y1433" i="2"/>
  <c r="Y348" i="2"/>
  <c r="Y878" i="2"/>
  <c r="Y881" i="2"/>
  <c r="Y1438" i="2"/>
  <c r="Y1441" i="2"/>
  <c r="Y436" i="2"/>
  <c r="Y40" i="2"/>
  <c r="Y354" i="2"/>
  <c r="Y42" i="2"/>
  <c r="Y358" i="2"/>
  <c r="Y608" i="2"/>
  <c r="Y1443" i="2"/>
  <c r="Y1705" i="2"/>
  <c r="Y1706" i="2"/>
  <c r="X1985" i="2"/>
  <c r="X1984" i="2"/>
  <c r="X1443" i="2"/>
  <c r="X608" i="2"/>
  <c r="X358" i="2"/>
  <c r="X42" i="2"/>
  <c r="X355" i="2"/>
  <c r="X2085" i="2"/>
  <c r="X437" i="2"/>
  <c r="X1441" i="2"/>
  <c r="X1439" i="2"/>
  <c r="X1435" i="2"/>
  <c r="X879" i="2"/>
  <c r="X350" i="2"/>
  <c r="X1434" i="2"/>
  <c r="X877" i="2"/>
  <c r="X346" i="2"/>
  <c r="X344" i="2"/>
  <c r="X341" i="2"/>
  <c r="X607" i="2"/>
  <c r="X38" i="2"/>
  <c r="X2511" i="2"/>
  <c r="X1982" i="2"/>
  <c r="X1979" i="2"/>
  <c r="X1431" i="2"/>
  <c r="X338" i="2"/>
  <c r="X2161" i="2"/>
  <c r="X1056" i="2"/>
  <c r="X2571" i="2"/>
  <c r="X2058" i="2"/>
  <c r="X1509" i="2"/>
  <c r="X946" i="2"/>
  <c r="X2008" i="2"/>
  <c r="X2007" i="2"/>
  <c r="X375" i="2"/>
  <c r="X1154" i="2"/>
  <c r="X605" i="2"/>
  <c r="X33" i="2"/>
  <c r="X2688" i="2"/>
  <c r="X1041" i="2"/>
  <c r="X511" i="2"/>
  <c r="X336" i="2"/>
  <c r="X1426" i="2"/>
  <c r="X1422" i="2"/>
  <c r="X873" i="2"/>
  <c r="X333" i="2"/>
  <c r="X331" i="2"/>
  <c r="X1561" i="2"/>
  <c r="X459" i="2"/>
  <c r="X1421" i="2"/>
  <c r="X870" i="2"/>
  <c r="X328" i="2"/>
  <c r="X369" i="2"/>
  <c r="X2626" i="2"/>
  <c r="X2624" i="2"/>
  <c r="X2109" i="2"/>
  <c r="X1560" i="2"/>
  <c r="X457" i="2"/>
  <c r="X1418" i="2"/>
  <c r="X326" i="2"/>
  <c r="X2506" i="2"/>
  <c r="X2503" i="2"/>
  <c r="X1970" i="2"/>
  <c r="X1417" i="2"/>
  <c r="X1415" i="2"/>
  <c r="X324" i="2"/>
  <c r="X2686" i="2"/>
  <c r="X2684" i="2"/>
  <c r="X1411" i="2"/>
  <c r="X864" i="2"/>
  <c r="X2147" i="2"/>
  <c r="X507" i="2"/>
  <c r="X603" i="2"/>
  <c r="X1098" i="2"/>
  <c r="X1409" i="2"/>
  <c r="X320" i="2"/>
  <c r="X859" i="2"/>
  <c r="X313" i="2"/>
  <c r="X2570" i="2"/>
  <c r="X2055" i="2"/>
  <c r="X308" i="2"/>
  <c r="X425" i="2"/>
  <c r="X423" i="2"/>
  <c r="X2246" i="2"/>
  <c r="X2243" i="2"/>
  <c r="X2241" i="2"/>
  <c r="X2238" i="2"/>
  <c r="X1151" i="2"/>
  <c r="X601" i="2"/>
  <c r="X29" i="2"/>
  <c r="X1696" i="2"/>
  <c r="X1693" i="2"/>
  <c r="X1147" i="2"/>
  <c r="X597" i="2"/>
  <c r="X28" i="2"/>
  <c r="X1959" i="2"/>
  <c r="X857" i="2"/>
  <c r="X855" i="2"/>
  <c r="X302" i="2"/>
  <c r="X1691" i="2"/>
  <c r="X1144" i="2"/>
  <c r="X1141" i="2"/>
  <c r="X592" i="2"/>
  <c r="X25" i="2"/>
  <c r="X1688" i="2"/>
  <c r="X1138" i="2"/>
  <c r="X589" i="2"/>
  <c r="X586" i="2"/>
  <c r="X22" i="2"/>
  <c r="X298" i="2"/>
  <c r="X295" i="2"/>
  <c r="X2501" i="2"/>
  <c r="X2499" i="2"/>
  <c r="X1956" i="2"/>
  <c r="X1954" i="2"/>
  <c r="X1400" i="2"/>
  <c r="X294" i="2"/>
  <c r="X1647" i="2"/>
  <c r="X548" i="2"/>
  <c r="X2497" i="2"/>
  <c r="X2495" i="2"/>
  <c r="X1950" i="2"/>
  <c r="X1398" i="2"/>
  <c r="X1395" i="2"/>
  <c r="X290" i="2"/>
  <c r="X1948" i="2"/>
  <c r="X849" i="2"/>
  <c r="X288" i="2"/>
  <c r="X1946" i="2"/>
  <c r="X1943" i="2"/>
  <c r="X1391" i="2"/>
  <c r="X286" i="2"/>
  <c r="X2054" i="2"/>
  <c r="X845" i="2"/>
  <c r="X942" i="2"/>
  <c r="X283" i="2"/>
  <c r="X282" i="2"/>
  <c r="X281" i="2"/>
  <c r="X1390" i="2"/>
  <c r="X1388" i="2"/>
  <c r="X1384" i="2"/>
  <c r="X1382" i="2"/>
  <c r="X844" i="2"/>
  <c r="X278" i="2"/>
  <c r="X276" i="2"/>
  <c r="X546" i="2"/>
  <c r="X2084" i="2"/>
  <c r="X1936" i="2"/>
  <c r="X1378" i="2"/>
  <c r="X839" i="2"/>
  <c r="X273" i="2"/>
  <c r="X270" i="2"/>
  <c r="X269" i="2"/>
  <c r="X2488" i="2"/>
  <c r="X2485" i="2"/>
  <c r="X1935" i="2"/>
  <c r="X1932" i="2"/>
  <c r="X266" i="2"/>
  <c r="X1929" i="2"/>
  <c r="X265" i="2"/>
  <c r="X2237" i="2"/>
  <c r="X1686" i="2"/>
  <c r="X1136" i="2"/>
  <c r="X836" i="2"/>
  <c r="X583" i="2"/>
  <c r="X832" i="2"/>
  <c r="X20" i="2"/>
  <c r="X261" i="2"/>
  <c r="X259" i="2"/>
  <c r="X1602" i="2"/>
  <c r="X1040" i="2"/>
  <c r="X503" i="2"/>
  <c r="X1684" i="2"/>
  <c r="X1134" i="2"/>
  <c r="X1131" i="2"/>
  <c r="X581" i="2"/>
  <c r="X2695" i="2"/>
  <c r="X2158" i="2"/>
  <c r="X1055" i="2"/>
  <c r="X2747" i="2"/>
  <c r="X2053" i="2"/>
  <c r="X1508" i="2"/>
  <c r="X2236" i="2"/>
  <c r="X2233" i="2"/>
  <c r="X1680" i="2"/>
  <c r="X1678" i="2"/>
  <c r="X1129" i="2"/>
  <c r="X578" i="2"/>
  <c r="X1926" i="2"/>
  <c r="X1374" i="2"/>
  <c r="X830" i="2"/>
  <c r="X256" i="2"/>
  <c r="X2001" i="2"/>
  <c r="X1455" i="2"/>
  <c r="X827" i="2"/>
  <c r="X824" i="2"/>
  <c r="X251" i="2"/>
  <c r="X249" i="2"/>
  <c r="X1536" i="2"/>
  <c r="X1534" i="2"/>
  <c r="X434" i="2"/>
  <c r="X2482" i="2"/>
  <c r="X2681" i="2"/>
  <c r="X2144" i="2"/>
  <c r="X1921" i="2"/>
  <c r="X1920" i="2"/>
  <c r="X1372" i="2"/>
  <c r="X1370" i="2"/>
  <c r="X822" i="2"/>
  <c r="X818" i="2"/>
  <c r="X245" i="2"/>
  <c r="X242" i="2"/>
  <c r="X238" i="2"/>
  <c r="X2479" i="2"/>
  <c r="X1919" i="2"/>
  <c r="X1368" i="2"/>
  <c r="X1365" i="2"/>
  <c r="X237" i="2"/>
  <c r="X1093" i="2"/>
  <c r="X2679" i="2"/>
  <c r="X2677" i="2"/>
  <c r="X1039" i="2"/>
  <c r="X2623" i="2"/>
  <c r="X2103" i="2"/>
  <c r="X992" i="2"/>
  <c r="X454" i="2"/>
  <c r="X1916" i="2"/>
  <c r="X1598" i="2"/>
  <c r="X499" i="2"/>
  <c r="X2102" i="2"/>
  <c r="X2100" i="2"/>
  <c r="X1363" i="2"/>
  <c r="X1362" i="2"/>
  <c r="X1359" i="2"/>
  <c r="X1356" i="2"/>
  <c r="X990" i="2"/>
  <c r="X989" i="2"/>
  <c r="X449" i="2"/>
  <c r="X448" i="2"/>
  <c r="X939" i="2"/>
  <c r="X1912" i="2"/>
  <c r="X811" i="2"/>
  <c r="X229" i="2"/>
  <c r="X226" i="2"/>
  <c r="X2475" i="2"/>
  <c r="X2472" i="2"/>
  <c r="X1911" i="2"/>
  <c r="X1908" i="2"/>
  <c r="X1353" i="2"/>
  <c r="X2469" i="2"/>
  <c r="X2466" i="2"/>
  <c r="X807" i="2"/>
  <c r="X2140" i="2"/>
  <c r="X1035" i="2"/>
  <c r="X2569" i="2"/>
  <c r="X1904" i="2"/>
  <c r="X2050" i="2"/>
  <c r="X1504" i="2"/>
  <c r="X1502" i="2"/>
  <c r="X937" i="2"/>
  <c r="X936" i="2"/>
  <c r="X416" i="2"/>
  <c r="X414" i="2"/>
  <c r="X2048" i="2"/>
  <c r="X1500" i="2"/>
  <c r="X1350" i="2"/>
  <c r="X935" i="2"/>
  <c r="X804" i="2"/>
  <c r="X802" i="2"/>
  <c r="X218" i="2"/>
  <c r="X411" i="2"/>
  <c r="X410" i="2"/>
  <c r="X213" i="2"/>
  <c r="X2198" i="2"/>
  <c r="X2139" i="2"/>
  <c r="X1644" i="2"/>
  <c r="X1091" i="2"/>
  <c r="X2464" i="2"/>
  <c r="X1901" i="2"/>
  <c r="X1348" i="2"/>
  <c r="X211" i="2"/>
  <c r="X2613" i="2"/>
  <c r="X2463" i="2"/>
  <c r="X2608" i="2"/>
  <c r="X2082" i="2"/>
  <c r="X1897" i="2"/>
  <c r="X2079" i="2"/>
  <c r="X1532" i="2"/>
  <c r="X432" i="2"/>
  <c r="X431" i="2"/>
  <c r="X2459" i="2"/>
  <c r="X798" i="2"/>
  <c r="X2457" i="2"/>
  <c r="X1895" i="2"/>
  <c r="X2136" i="2"/>
  <c r="X1595" i="2"/>
  <c r="X796" i="2"/>
  <c r="X795" i="2"/>
  <c r="X494" i="2"/>
  <c r="X493" i="2"/>
  <c r="X1893" i="2"/>
  <c r="X1892" i="2"/>
  <c r="X1339" i="2"/>
  <c r="X792" i="2"/>
  <c r="X201" i="2"/>
  <c r="X198" i="2"/>
  <c r="X195" i="2"/>
  <c r="X2044" i="2"/>
  <c r="X1675" i="2"/>
  <c r="X1128" i="2"/>
  <c r="X1126" i="2"/>
  <c r="X1495" i="2"/>
  <c r="X931" i="2"/>
  <c r="X574" i="2"/>
  <c r="X16" i="2"/>
  <c r="X405" i="2"/>
  <c r="X402" i="2"/>
  <c r="X2566" i="2"/>
  <c r="X2456" i="2"/>
  <c r="X1891" i="2"/>
  <c r="X2039" i="2"/>
  <c r="X1494" i="2"/>
  <c r="X928" i="2"/>
  <c r="X401" i="2"/>
  <c r="X2674" i="2"/>
  <c r="X2451" i="2"/>
  <c r="X2449" i="2"/>
  <c r="X2134" i="2"/>
  <c r="X1335" i="2"/>
  <c r="X1030" i="2"/>
  <c r="X192" i="2"/>
  <c r="X191" i="2"/>
  <c r="X1889" i="2"/>
  <c r="X1887" i="2"/>
  <c r="X1333" i="2"/>
  <c r="X785" i="2"/>
  <c r="X188" i="2"/>
  <c r="X2133" i="2"/>
  <c r="X1591" i="2"/>
  <c r="X1028" i="2"/>
  <c r="X1024" i="2"/>
  <c r="X489" i="2"/>
  <c r="X485" i="2"/>
  <c r="X543" i="2"/>
  <c r="X1330" i="2"/>
  <c r="X1208" i="2"/>
  <c r="X1204" i="2"/>
  <c r="X653" i="2"/>
  <c r="X2013" i="2"/>
  <c r="X906" i="2"/>
  <c r="X1604" i="2"/>
  <c r="X2339" i="2"/>
  <c r="X1752" i="2"/>
  <c r="X652" i="2"/>
  <c r="X64" i="2"/>
  <c r="X2334" i="2"/>
  <c r="X2331" i="2"/>
  <c r="X2327" i="2"/>
  <c r="X1203" i="2"/>
  <c r="X2326" i="2"/>
  <c r="X2323" i="2"/>
  <c r="X1745" i="2"/>
  <c r="X1198" i="2"/>
  <c r="X2319" i="2"/>
  <c r="X1197" i="2"/>
  <c r="X646" i="2"/>
  <c r="X1195" i="2"/>
  <c r="X58" i="2"/>
  <c r="X1194" i="2"/>
  <c r="X1191" i="2"/>
  <c r="X1740" i="2"/>
  <c r="X1564" i="2"/>
  <c r="X2310" i="2"/>
  <c r="X1738" i="2"/>
  <c r="X1186" i="2"/>
  <c r="X637" i="2"/>
  <c r="X2112" i="2"/>
  <c r="X462" i="2"/>
  <c r="X2206" i="2"/>
  <c r="X555" i="2"/>
  <c r="X2690" i="2"/>
  <c r="X1619" i="2"/>
  <c r="X2530" i="2"/>
  <c r="X2526" i="2"/>
  <c r="X2204" i="2"/>
  <c r="X1103" i="2"/>
  <c r="X2305" i="2"/>
  <c r="X1735" i="2"/>
  <c r="X634" i="2"/>
  <c r="X55" i="2"/>
  <c r="X2299" i="2"/>
  <c r="X1181" i="2"/>
  <c r="X630" i="2"/>
  <c r="X53" i="2"/>
  <c r="X1992" i="2"/>
  <c r="X1988" i="2"/>
  <c r="X1177" i="2"/>
  <c r="X887" i="2"/>
  <c r="X1617" i="2"/>
  <c r="X2575" i="2"/>
  <c r="X2062" i="2"/>
  <c r="X1512" i="2"/>
  <c r="X952" i="2"/>
  <c r="X2298" i="2"/>
  <c r="X626" i="2"/>
  <c r="X2293" i="2"/>
  <c r="X2289" i="2"/>
  <c r="X1176" i="2"/>
  <c r="X49" i="2"/>
  <c r="X2285" i="2"/>
  <c r="X2281" i="2"/>
  <c r="X1173" i="2"/>
  <c r="X2280" i="2"/>
  <c r="X2279" i="2"/>
  <c r="X2277" i="2"/>
  <c r="X1170" i="2"/>
  <c r="X622" i="2"/>
  <c r="X2111" i="2"/>
  <c r="X2615" i="2"/>
  <c r="X2614" i="2"/>
  <c r="X2089" i="2"/>
  <c r="X438" i="2"/>
  <c r="X1563" i="2"/>
  <c r="X2273" i="2"/>
  <c r="X1721" i="2"/>
  <c r="X1168" i="2"/>
  <c r="X617" i="2"/>
  <c r="X1539" i="2"/>
  <c r="X2524" i="2"/>
  <c r="X2520" i="2"/>
  <c r="X1464" i="2"/>
  <c r="X902" i="2"/>
  <c r="X1716" i="2"/>
  <c r="X616" i="2"/>
  <c r="X2271" i="2"/>
  <c r="X2267" i="2"/>
  <c r="X2263" i="2"/>
  <c r="X1714" i="2"/>
  <c r="X1163" i="2"/>
  <c r="X2257" i="2"/>
  <c r="X2252" i="2"/>
  <c r="X614" i="2"/>
  <c r="X2202" i="2"/>
  <c r="X2199" i="2"/>
  <c r="X1649" i="2"/>
  <c r="X552" i="2"/>
  <c r="X2248" i="2"/>
  <c r="X1708" i="2"/>
  <c r="X1157" i="2"/>
  <c r="X610" i="2"/>
  <c r="X2087" i="2"/>
  <c r="X1707" i="2"/>
  <c r="Y609" i="2"/>
  <c r="Y1155" i="2"/>
  <c r="Y1707" i="2"/>
  <c r="Y2247" i="2"/>
  <c r="Y1537" i="2"/>
  <c r="Y1538" i="2"/>
  <c r="Y2086" i="2"/>
  <c r="Y2087" i="2"/>
  <c r="Y898" i="2"/>
  <c r="Y899" i="2"/>
  <c r="Y43" i="2"/>
  <c r="Y610" i="2"/>
  <c r="Y611" i="2"/>
  <c r="Y612" i="2"/>
  <c r="Y1156" i="2"/>
  <c r="Y1157" i="2"/>
  <c r="Y1158" i="2"/>
  <c r="Y1159" i="2"/>
  <c r="Y1160" i="2"/>
  <c r="Y1708" i="2"/>
  <c r="Y1709" i="2"/>
  <c r="Y1710" i="2"/>
  <c r="Y2248" i="2"/>
  <c r="Y2249" i="2"/>
  <c r="Y2250" i="2"/>
  <c r="Y2251" i="2"/>
  <c r="Y552" i="2"/>
  <c r="Y553" i="2"/>
  <c r="Y554" i="2"/>
  <c r="Y1100" i="2"/>
  <c r="Y1101" i="2"/>
  <c r="Y1649" i="2"/>
  <c r="Y1650" i="2"/>
  <c r="Y1651" i="2"/>
  <c r="Y2199" i="2"/>
  <c r="Y2200" i="2"/>
  <c r="Y2201" i="2"/>
  <c r="Y2202" i="2"/>
  <c r="Y2203" i="2"/>
  <c r="Y44" i="2"/>
  <c r="Y613" i="2"/>
  <c r="Y614" i="2"/>
  <c r="Y1161" i="2"/>
  <c r="Y1162" i="2"/>
  <c r="Y1711" i="2"/>
  <c r="Y1712" i="2"/>
  <c r="Y2252" i="2"/>
  <c r="Y2253" i="2"/>
  <c r="Y2254" i="2"/>
  <c r="Y2255" i="2"/>
  <c r="Y2256" i="2"/>
  <c r="Y2257" i="2"/>
  <c r="Y2258" i="2"/>
  <c r="Y2259" i="2"/>
  <c r="Y615" i="2"/>
  <c r="Y1163" i="2"/>
  <c r="Y1164" i="2"/>
  <c r="Y1165" i="2"/>
  <c r="Y1713" i="2"/>
  <c r="Y1714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45" i="2"/>
  <c r="Y46" i="2"/>
  <c r="Y47" i="2"/>
  <c r="Y616" i="2"/>
  <c r="Y1166" i="2"/>
  <c r="Y1715" i="2"/>
  <c r="Y1716" i="2"/>
  <c r="Y2272" i="2"/>
  <c r="Y900" i="2"/>
  <c r="Y901" i="2"/>
  <c r="Y902" i="2"/>
  <c r="Y903" i="2"/>
  <c r="Y904" i="2"/>
  <c r="Y1463" i="2"/>
  <c r="Y1464" i="2"/>
  <c r="Y1465" i="2"/>
  <c r="Y2009" i="2"/>
  <c r="Y2010" i="2"/>
  <c r="Y2520" i="2"/>
  <c r="Y2521" i="2"/>
  <c r="Y2522" i="2"/>
  <c r="Y2523" i="2"/>
  <c r="Y2524" i="2"/>
  <c r="Y2525" i="2"/>
  <c r="Y974" i="2"/>
  <c r="Y975" i="2"/>
  <c r="Y1539" i="2"/>
  <c r="Y1540" i="2"/>
  <c r="Y1541" i="2"/>
  <c r="Y2088" i="2"/>
  <c r="Y617" i="2"/>
  <c r="Y618" i="2"/>
  <c r="Y619" i="2"/>
  <c r="Y1167" i="2"/>
  <c r="Y1168" i="2"/>
  <c r="Y1717" i="2"/>
  <c r="Y1718" i="2"/>
  <c r="Y1719" i="2"/>
  <c r="Y1720" i="2"/>
  <c r="Y1721" i="2"/>
  <c r="Y1722" i="2"/>
  <c r="Y1723" i="2"/>
  <c r="Y1724" i="2"/>
  <c r="Y2273" i="2"/>
  <c r="Y2274" i="2"/>
  <c r="Y2275" i="2"/>
  <c r="Y460" i="2"/>
  <c r="Y1563" i="2"/>
  <c r="Y620" i="2"/>
  <c r="Y621" i="2"/>
  <c r="Y1725" i="2"/>
  <c r="Y2276" i="2"/>
  <c r="Y438" i="2"/>
  <c r="Y976" i="2"/>
  <c r="Y1542" i="2"/>
  <c r="Y1543" i="2"/>
  <c r="Y2089" i="2"/>
  <c r="Y2090" i="2"/>
  <c r="Y2091" i="2"/>
  <c r="Y2614" i="2"/>
  <c r="Y2615" i="2"/>
  <c r="Y2616" i="2"/>
  <c r="Y995" i="2"/>
  <c r="Y996" i="2"/>
  <c r="Y2111" i="2"/>
  <c r="Y2628" i="2"/>
  <c r="Y2629" i="2"/>
  <c r="Y2703" i="2"/>
  <c r="Y622" i="2"/>
  <c r="Y623" i="2"/>
  <c r="Y624" i="2"/>
  <c r="Y1169" i="2"/>
  <c r="Y1170" i="2"/>
  <c r="Y1171" i="2"/>
  <c r="Y1172" i="2"/>
  <c r="Y1726" i="2"/>
  <c r="Y2277" i="2"/>
  <c r="Y2278" i="2"/>
  <c r="Y2279" i="2"/>
  <c r="Y2280" i="2"/>
  <c r="Y2630" i="2"/>
  <c r="Y48" i="2"/>
  <c r="Y625" i="2"/>
  <c r="Y1173" i="2"/>
  <c r="Y1174" i="2"/>
  <c r="Y1727" i="2"/>
  <c r="Y1728" i="2"/>
  <c r="Y2281" i="2"/>
  <c r="Y2282" i="2"/>
  <c r="Y2283" i="2"/>
  <c r="Y2284" i="2"/>
  <c r="Y2285" i="2"/>
  <c r="Y2287" i="2"/>
  <c r="Y2288" i="2"/>
  <c r="Y50" i="2"/>
  <c r="Y1176" i="2"/>
  <c r="Y1730" i="2"/>
  <c r="Y2289" i="2"/>
  <c r="Y2291" i="2"/>
  <c r="Y2293" i="2"/>
  <c r="Y2295" i="2"/>
  <c r="Y51" i="2"/>
  <c r="Y1732" i="2"/>
  <c r="Y2298" i="2"/>
  <c r="Y949" i="2"/>
  <c r="Y951" i="2"/>
  <c r="Y953" i="2"/>
  <c r="Y954" i="2"/>
  <c r="Y1514" i="2"/>
  <c r="Y1515" i="2"/>
  <c r="Y2063" i="2"/>
  <c r="Y2574" i="2"/>
  <c r="Y1057" i="2"/>
  <c r="Y1617" i="2"/>
  <c r="Y627" i="2"/>
  <c r="Y885" i="2"/>
  <c r="Y887" i="2"/>
  <c r="Y1986" i="2"/>
  <c r="Y1987" i="2"/>
  <c r="Y1990" i="2"/>
  <c r="Y1991" i="2"/>
  <c r="Y2513" i="2"/>
  <c r="Y52" i="2"/>
  <c r="Y628" i="2"/>
  <c r="Y629" i="2"/>
  <c r="Y1179" i="2"/>
  <c r="Y1180" i="2"/>
  <c r="Y1733" i="2"/>
  <c r="Y1734" i="2"/>
  <c r="Y2301" i="2"/>
  <c r="Y2302" i="2"/>
  <c r="Y632" i="2"/>
  <c r="Y634" i="2"/>
  <c r="Y1183" i="2"/>
  <c r="Y1735" i="2"/>
  <c r="Y2303" i="2"/>
  <c r="Y2305" i="2"/>
  <c r="Y2307" i="2"/>
  <c r="Y1102" i="2"/>
  <c r="Y2204" i="2"/>
  <c r="Y2011" i="2"/>
  <c r="Y2012" i="2"/>
  <c r="Y2528" i="2"/>
  <c r="Y2529" i="2"/>
  <c r="Y1043" i="2"/>
  <c r="Y1619" i="2"/>
  <c r="Y2153" i="2"/>
  <c r="Y2690" i="2"/>
  <c r="Y2692" i="2"/>
  <c r="Y555" i="2"/>
  <c r="Y1652" i="2"/>
  <c r="Y2205" i="2"/>
  <c r="Y2207" i="2"/>
  <c r="Y2209" i="2"/>
  <c r="Y461" i="2"/>
  <c r="Y463" i="2"/>
  <c r="Y2112" i="2"/>
  <c r="Y2113" i="2"/>
  <c r="Y638" i="2"/>
  <c r="Y639" i="2"/>
  <c r="Y1187" i="2"/>
  <c r="Y1188" i="2"/>
  <c r="Y1738" i="2"/>
  <c r="Y2309" i="2"/>
  <c r="Y2310" i="2"/>
  <c r="Y2312" i="2"/>
  <c r="Y999" i="2"/>
  <c r="Y640" i="2"/>
  <c r="Y1189" i="2"/>
  <c r="Y1740" i="2"/>
  <c r="Y642" i="2"/>
  <c r="Y1191" i="2"/>
  <c r="Y1193" i="2"/>
  <c r="Y2313" i="2"/>
  <c r="Y58" i="2"/>
  <c r="Y644" i="2"/>
  <c r="Y1195" i="2"/>
  <c r="Y1741" i="2"/>
  <c r="Y2315" i="2"/>
  <c r="Y646" i="2"/>
  <c r="Y648" i="2"/>
  <c r="Y1197" i="2"/>
  <c r="Y2317" i="2"/>
  <c r="Y2319" i="2"/>
  <c r="Y60" i="2"/>
  <c r="Y649" i="2"/>
  <c r="Y1200" i="2"/>
  <c r="Y1201" i="2"/>
  <c r="Y2320" i="2"/>
  <c r="Y2321" i="2"/>
  <c r="Y2324" i="2"/>
  <c r="Y2326" i="2"/>
  <c r="Y62" i="2"/>
  <c r="Y1203" i="2"/>
  <c r="Y1746" i="2"/>
  <c r="Y1748" i="2"/>
  <c r="Y2329" i="2"/>
  <c r="Y2330" i="2"/>
  <c r="Y2332" i="2"/>
  <c r="Y2334" i="2"/>
  <c r="Y63" i="2"/>
  <c r="Y64" i="2"/>
  <c r="Y66" i="2"/>
  <c r="Y652" i="2"/>
  <c r="Y1750" i="2"/>
  <c r="Y1752" i="2"/>
  <c r="Y2337" i="2"/>
  <c r="Y2339" i="2"/>
  <c r="Y2341" i="2"/>
  <c r="Y1604" i="2"/>
  <c r="Y378" i="2"/>
  <c r="Y906" i="2"/>
  <c r="Y907" i="2"/>
  <c r="Y2013" i="2"/>
  <c r="Y2014" i="2"/>
  <c r="Y653" i="2"/>
  <c r="Y654" i="2"/>
  <c r="Y656" i="2"/>
  <c r="Y1205" i="2"/>
  <c r="Y1207" i="2"/>
  <c r="Y1753" i="2"/>
  <c r="Y1755" i="2"/>
  <c r="Y1757" i="2"/>
  <c r="Y1059" i="2"/>
  <c r="Y1061" i="2"/>
  <c r="Y1063" i="2"/>
  <c r="Y1620" i="2"/>
  <c r="Y2705" i="2"/>
  <c r="Y2706" i="2"/>
  <c r="Y657" i="2"/>
  <c r="Y1209" i="2"/>
  <c r="Y1211" i="2"/>
  <c r="Y2342" i="2"/>
  <c r="Y659" i="2"/>
  <c r="Y661" i="2"/>
  <c r="Y1213" i="2"/>
  <c r="Y1759" i="2"/>
  <c r="Y2345" i="2"/>
  <c r="Y1621" i="2"/>
  <c r="Y2707" i="2"/>
  <c r="Y2" i="2"/>
  <c r="Y3" i="2"/>
  <c r="Y1105" i="2"/>
  <c r="Y1653" i="2"/>
  <c r="Y2211" i="2"/>
  <c r="Y2214" i="2"/>
  <c r="Y2215" i="2"/>
  <c r="Y2709" i="2"/>
  <c r="Y439" i="2"/>
  <c r="Y978" i="2"/>
  <c r="Y979" i="2"/>
  <c r="Y2092" i="2"/>
  <c r="Y955" i="2"/>
  <c r="Y958" i="2"/>
  <c r="Y1516" i="2"/>
  <c r="Y2064" i="2"/>
  <c r="Y2065" i="2"/>
  <c r="Y2067" i="2"/>
  <c r="Y664" i="2"/>
  <c r="Y1215" i="2"/>
  <c r="Y1216" i="2"/>
  <c r="Y1761" i="2"/>
  <c r="Y1763" i="2"/>
  <c r="Y1765" i="2"/>
  <c r="Y2347" i="2"/>
  <c r="Y2350" i="2"/>
  <c r="Y2351" i="2"/>
  <c r="Y1767" i="2"/>
  <c r="Y666" i="2"/>
  <c r="Y668" i="2"/>
  <c r="Y1219" i="2"/>
  <c r="Y1768" i="2"/>
  <c r="Y1770" i="2"/>
  <c r="Y1772" i="2"/>
  <c r="Y1000" i="2"/>
  <c r="Y1565" i="2"/>
  <c r="Y2631" i="2"/>
  <c r="Y521" i="2"/>
  <c r="Y1468" i="2"/>
  <c r="Y1623" i="2"/>
  <c r="Y2710" i="2"/>
  <c r="Y2533" i="2"/>
  <c r="Y71" i="2"/>
  <c r="Y72" i="2"/>
  <c r="Y669" i="2"/>
  <c r="Y671" i="2"/>
  <c r="Y1221" i="2"/>
  <c r="Y1223" i="2"/>
  <c r="Y1773" i="2"/>
  <c r="Y2352" i="2"/>
  <c r="Y2354" i="2"/>
  <c r="Y2355" i="2"/>
  <c r="Y74" i="2"/>
  <c r="Y674" i="2"/>
  <c r="Y1776" i="2"/>
  <c r="Y1777" i="2"/>
  <c r="Y2357" i="2"/>
  <c r="Y2358" i="2"/>
  <c r="Y2360" i="2"/>
  <c r="Y2363" i="2"/>
  <c r="Y75" i="2"/>
  <c r="Y675" i="2"/>
  <c r="Y676" i="2"/>
  <c r="Y1780" i="2"/>
  <c r="Y1782" i="2"/>
  <c r="Y2366" i="2"/>
  <c r="Y2367" i="2"/>
  <c r="Y2370" i="2"/>
  <c r="Y2371" i="2"/>
  <c r="Y79" i="2"/>
  <c r="Y522" i="2"/>
  <c r="Y1066" i="2"/>
  <c r="Y1229" i="2"/>
  <c r="Y1783" i="2"/>
  <c r="Y2167" i="2"/>
  <c r="Y2375" i="2"/>
  <c r="Y1002" i="2"/>
  <c r="Y893" i="2"/>
  <c r="Y1003" i="2"/>
  <c r="Y682" i="2"/>
  <c r="Y683" i="2"/>
  <c r="Y1231" i="2"/>
  <c r="Y1232" i="2"/>
  <c r="Y1233" i="2"/>
  <c r="Y1234" i="2"/>
  <c r="Y1460" i="2"/>
  <c r="Y2002" i="2"/>
  <c r="Y2114" i="2"/>
  <c r="Y2004" i="2"/>
  <c r="Y523" i="2"/>
  <c r="Y81" i="2"/>
  <c r="Y82" i="2"/>
  <c r="Y83" i="2"/>
  <c r="Y1067" i="2"/>
  <c r="Y908" i="2"/>
  <c r="Y1470" i="2"/>
  <c r="Y1235" i="2"/>
  <c r="Y1625" i="2"/>
  <c r="Y2017" i="2"/>
  <c r="Y1789" i="2"/>
  <c r="Y2535" i="2"/>
  <c r="Y2379" i="2"/>
  <c r="Y2380" i="2"/>
  <c r="Y1626" i="2"/>
  <c r="Y1628" i="2"/>
  <c r="Y2169" i="2"/>
  <c r="Y2714" i="2"/>
  <c r="Y2716" i="2"/>
  <c r="Y2718" i="2"/>
  <c r="Y1005" i="2"/>
  <c r="Y2115" i="2"/>
  <c r="Y2116" i="2"/>
  <c r="Y2632" i="2"/>
  <c r="Y2633" i="2"/>
  <c r="Y467" i="2"/>
  <c r="Y468" i="2"/>
  <c r="Y1006" i="2"/>
  <c r="Y1569" i="2"/>
  <c r="Y2119" i="2"/>
  <c r="Y2120" i="2"/>
  <c r="Y2638" i="2"/>
  <c r="Y2639" i="2"/>
  <c r="Y86" i="2"/>
  <c r="Y686" i="2"/>
  <c r="Y688" i="2"/>
  <c r="Y690" i="2"/>
  <c r="Y691" i="2"/>
  <c r="Y693" i="2"/>
  <c r="Y695" i="2"/>
  <c r="Y1237" i="2"/>
  <c r="Y1239" i="2"/>
  <c r="Y1241" i="2"/>
  <c r="Y1242" i="2"/>
  <c r="Y1245" i="2"/>
  <c r="Y1791" i="2"/>
  <c r="Y1793" i="2"/>
  <c r="Y1795" i="2"/>
  <c r="Y1796" i="2"/>
  <c r="Y1799" i="2"/>
  <c r="Y471" i="2"/>
  <c r="Y1007" i="2"/>
  <c r="Y1008" i="2"/>
  <c r="Y1573" i="2"/>
  <c r="Y1574" i="2"/>
  <c r="Y2642" i="2"/>
  <c r="Y525" i="2"/>
  <c r="Y89" i="2"/>
  <c r="Y1069" i="2"/>
  <c r="Y1071" i="2"/>
  <c r="Y1073" i="2"/>
  <c r="Y1629" i="2"/>
  <c r="Y1630" i="2"/>
  <c r="Y1631" i="2"/>
  <c r="Y2170" i="2"/>
  <c r="Y2172" i="2"/>
  <c r="Y2174" i="2"/>
  <c r="Y2719" i="2"/>
  <c r="Y2720" i="2"/>
  <c r="Y2722" i="2"/>
  <c r="Y2383" i="2"/>
  <c r="Y2384" i="2"/>
  <c r="Y2385" i="2"/>
  <c r="Y2724" i="2"/>
  <c r="Y91" i="2"/>
  <c r="Y93" i="2"/>
  <c r="Y1250" i="2"/>
  <c r="Y2388" i="2"/>
  <c r="Y1654" i="2"/>
  <c r="Y2219" i="2"/>
  <c r="Y382" i="2"/>
  <c r="Y384" i="2"/>
  <c r="Y699" i="2"/>
  <c r="Y701" i="2"/>
  <c r="Y703" i="2"/>
  <c r="Y1472" i="2"/>
  <c r="Y1252" i="2"/>
  <c r="Y1475" i="2"/>
  <c r="Y1254" i="2"/>
  <c r="Y1804" i="2"/>
  <c r="Y1806" i="2"/>
  <c r="Y1807" i="2"/>
  <c r="Y2538" i="2"/>
  <c r="Y1045" i="2"/>
  <c r="Y1047" i="2"/>
  <c r="Y1049" i="2"/>
  <c r="Y1051" i="2"/>
  <c r="Y1605" i="2"/>
  <c r="Y1607" i="2"/>
  <c r="Y2155" i="2"/>
  <c r="Y2694" i="2"/>
  <c r="Y95" i="2"/>
  <c r="Y385" i="2"/>
  <c r="Y704" i="2"/>
  <c r="Y911" i="2"/>
  <c r="Y1476" i="2"/>
  <c r="Y1477" i="2"/>
  <c r="Y2019" i="2"/>
  <c r="Y2390" i="2"/>
  <c r="Y2540" i="2"/>
  <c r="Y2541" i="2"/>
  <c r="Y513" i="2"/>
  <c r="Y515" i="2"/>
  <c r="Y1611" i="2"/>
  <c r="Y1575" i="2"/>
  <c r="Y1576" i="2"/>
  <c r="Y2122" i="2"/>
  <c r="Y2699" i="2"/>
  <c r="Y2700" i="2"/>
  <c r="Y2645" i="2"/>
  <c r="Y2647" i="2"/>
  <c r="Y2648" i="2"/>
  <c r="Y2021" i="2"/>
  <c r="Y2022" i="2"/>
  <c r="Y2543" i="2"/>
  <c r="Y2726" i="2"/>
  <c r="Y2727" i="2"/>
  <c r="Y8" i="2"/>
  <c r="Y707" i="2"/>
  <c r="Y556" i="2"/>
  <c r="Y710" i="2"/>
  <c r="Y712" i="2"/>
  <c r="Y1109" i="2"/>
  <c r="Y1257" i="2"/>
  <c r="Y1259" i="2"/>
  <c r="Y1261" i="2"/>
  <c r="Y1811" i="2"/>
  <c r="Y1812" i="2"/>
  <c r="Y1813" i="2"/>
  <c r="Y1814" i="2"/>
  <c r="Y558" i="2"/>
  <c r="Y1658" i="2"/>
  <c r="Y475" i="2"/>
  <c r="Y1011" i="2"/>
  <c r="Y1013" i="2"/>
  <c r="Y1577" i="2"/>
  <c r="Y2650" i="2"/>
  <c r="Y477" i="2"/>
  <c r="Y1015" i="2"/>
  <c r="Y1017" i="2"/>
  <c r="Y1581" i="2"/>
  <c r="Y1582" i="2"/>
  <c r="Y2126" i="2"/>
  <c r="Y2653" i="2"/>
  <c r="Y2654" i="2"/>
  <c r="Y98" i="2"/>
  <c r="Y99" i="2"/>
  <c r="Y1263" i="2"/>
  <c r="Y1815" i="2"/>
  <c r="Y2394" i="2"/>
  <c r="Y2395" i="2"/>
  <c r="Y2397" i="2"/>
  <c r="Y2399" i="2"/>
  <c r="Y480" i="2"/>
  <c r="Y1019" i="2"/>
  <c r="Y1583" i="2"/>
  <c r="Y2128" i="2"/>
  <c r="Y2656" i="2"/>
  <c r="Y2658" i="2"/>
  <c r="Y2660" i="2"/>
  <c r="Y2662" i="2"/>
  <c r="Y359" i="2"/>
  <c r="Y361" i="2"/>
  <c r="Y1445" i="2"/>
  <c r="Y1446" i="2"/>
  <c r="Y1449" i="2"/>
  <c r="Y1993" i="2"/>
  <c r="Y2514" i="2"/>
  <c r="Y2515" i="2"/>
  <c r="Y10" i="2"/>
  <c r="Y11" i="2"/>
  <c r="Y561" i="2"/>
  <c r="Y1111" i="2"/>
  <c r="Y1112" i="2"/>
  <c r="Y1660" i="2"/>
  <c r="Y1661" i="2"/>
  <c r="Y1663" i="2"/>
  <c r="Y1633" i="2"/>
  <c r="Y2176" i="2"/>
  <c r="Y716" i="2"/>
  <c r="Y1264" i="2"/>
  <c r="Y1818" i="2"/>
  <c r="Y528" i="2"/>
  <c r="Y1075" i="2"/>
  <c r="Y1077" i="2"/>
  <c r="Y1634" i="2"/>
  <c r="Y2177" i="2"/>
  <c r="Y100" i="2"/>
  <c r="Y718" i="2"/>
  <c r="Y1819" i="2"/>
  <c r="Y2402" i="2"/>
  <c r="Y529" i="2"/>
  <c r="Y2178" i="2"/>
  <c r="Y531" i="2"/>
  <c r="Y532" i="2"/>
  <c r="Y2179" i="2"/>
  <c r="Y2729" i="2"/>
  <c r="Y959" i="2"/>
  <c r="Y1519" i="2"/>
  <c r="Y2577" i="2"/>
  <c r="Y386" i="2"/>
  <c r="Y1478" i="2"/>
  <c r="Y2025" i="2"/>
  <c r="Y2026" i="2"/>
  <c r="Y2544" i="2"/>
  <c r="Y2545" i="2"/>
  <c r="Y2547" i="2"/>
  <c r="Y2549" i="2"/>
  <c r="Y2551" i="2"/>
  <c r="Y102" i="2"/>
  <c r="Y719" i="2"/>
  <c r="Y720" i="2"/>
  <c r="Y1267" i="2"/>
  <c r="Y1820" i="2"/>
  <c r="Y2404" i="2"/>
  <c r="Y2406" i="2"/>
  <c r="Y2408" i="2"/>
  <c r="Y1585" i="2"/>
  <c r="Y2664" i="2"/>
  <c r="Y2666" i="2"/>
  <c r="Y105" i="2"/>
  <c r="Y107" i="2"/>
  <c r="Y721" i="2"/>
  <c r="Y1269" i="2"/>
  <c r="Y1271" i="2"/>
  <c r="Y1822" i="2"/>
  <c r="Y1824" i="2"/>
  <c r="Y916" i="2"/>
  <c r="Y1479" i="2"/>
  <c r="Y1481" i="2"/>
  <c r="Y109" i="2"/>
  <c r="Y724" i="2"/>
  <c r="Y726" i="2"/>
  <c r="Y1272" i="2"/>
  <c r="Y1274" i="2"/>
  <c r="Y1825" i="2"/>
  <c r="Y1826" i="2"/>
  <c r="Y1827" i="2"/>
  <c r="Y1828" i="2"/>
  <c r="Y1829" i="2"/>
  <c r="Y533" i="2"/>
  <c r="Y534" i="2"/>
  <c r="Y1081" i="2"/>
  <c r="Y2180" i="2"/>
  <c r="Y112" i="2"/>
  <c r="Y729" i="2"/>
  <c r="Y1276" i="2"/>
  <c r="Y1830" i="2"/>
  <c r="Y1832" i="2"/>
  <c r="Y2410" i="2"/>
  <c r="Y441" i="2"/>
  <c r="Y1546" i="2"/>
  <c r="Y2093" i="2"/>
  <c r="Y2618" i="2"/>
  <c r="Y535" i="2"/>
  <c r="Y961" i="2"/>
  <c r="Y1522" i="2"/>
  <c r="Y2579" i="2"/>
  <c r="Y2581" i="2"/>
  <c r="Y2094" i="2"/>
  <c r="Y962" i="2"/>
  <c r="Y2068" i="2"/>
  <c r="Y2070" i="2"/>
  <c r="Y2582" i="2"/>
  <c r="Y2585" i="2"/>
  <c r="Y2586" i="2"/>
  <c r="Y442" i="2"/>
  <c r="Y981" i="2"/>
  <c r="Y387" i="2"/>
  <c r="Y389" i="2"/>
  <c r="Y1483" i="2"/>
  <c r="Y2031" i="2"/>
  <c r="Y2554" i="2"/>
  <c r="Y114" i="2"/>
  <c r="Y731" i="2"/>
  <c r="Y1279" i="2"/>
  <c r="Y1833" i="2"/>
  <c r="Y732" i="2"/>
  <c r="Y733" i="2"/>
  <c r="Y483" i="2"/>
  <c r="Y982" i="2"/>
  <c r="Y983" i="2"/>
  <c r="Y1586" i="2"/>
  <c r="Y1550" i="2"/>
  <c r="Y1552" i="2"/>
  <c r="Y2096" i="2"/>
  <c r="Y2098" i="2"/>
  <c r="Y1022" i="2"/>
  <c r="Y1587" i="2"/>
  <c r="Y565" i="2"/>
  <c r="Y567" i="2"/>
  <c r="Y1115" i="2"/>
  <c r="Y516" i="2"/>
  <c r="Y518" i="2"/>
  <c r="Y1614" i="2"/>
  <c r="Y2162" i="2"/>
  <c r="Y2702" i="2"/>
  <c r="Y118" i="2"/>
  <c r="Y569" i="2"/>
  <c r="Y570" i="2"/>
  <c r="Y572" i="2"/>
  <c r="Y1116" i="2"/>
  <c r="Y1666" i="2"/>
  <c r="Y1668" i="2"/>
  <c r="Y2222" i="2"/>
  <c r="Y2413" i="2"/>
  <c r="Y735" i="2"/>
  <c r="Y1281" i="2"/>
  <c r="Y1837" i="2"/>
  <c r="Y2414" i="2"/>
  <c r="Y2416" i="2"/>
  <c r="Y2417" i="2"/>
  <c r="Y1638" i="2"/>
  <c r="Y2183" i="2"/>
  <c r="Y2733" i="2"/>
  <c r="Y1283" i="2"/>
  <c r="Y1839" i="2"/>
  <c r="Y1840" i="2"/>
  <c r="Y2420" i="2"/>
  <c r="Y2423" i="2"/>
  <c r="Y2424" i="2"/>
  <c r="Y2426" i="2"/>
  <c r="Y445" i="2"/>
  <c r="Y447" i="2"/>
  <c r="Y1553" i="2"/>
  <c r="Y889" i="2"/>
  <c r="Y1451" i="2"/>
  <c r="Y1996" i="2"/>
  <c r="Y2517" i="2"/>
  <c r="Y122" i="2"/>
  <c r="Y124" i="2"/>
  <c r="Y126" i="2"/>
  <c r="Y738" i="2"/>
  <c r="Y740" i="2"/>
  <c r="Y1285" i="2"/>
  <c r="Y1843" i="2"/>
  <c r="Y986" i="2"/>
  <c r="Y128" i="2"/>
  <c r="Y742" i="2"/>
  <c r="Y744" i="2"/>
  <c r="Y1845" i="2"/>
  <c r="Y131" i="2"/>
  <c r="Y133" i="2"/>
  <c r="Y746" i="2"/>
  <c r="Y748" i="2"/>
  <c r="Y1286" i="2"/>
  <c r="Y299" i="2"/>
  <c r="Y24" i="2"/>
  <c r="Y588" i="2"/>
  <c r="Y591" i="2"/>
  <c r="Y1688" i="2"/>
  <c r="Y25" i="2"/>
  <c r="Y27" i="2"/>
  <c r="Y1141" i="2"/>
  <c r="Y1143" i="2"/>
  <c r="Y864" i="2"/>
  <c r="Y1413" i="2"/>
  <c r="Y2684" i="2"/>
  <c r="Y323" i="2"/>
  <c r="Y324" i="2"/>
  <c r="Y1414" i="2"/>
  <c r="Y1417" i="2"/>
  <c r="Y1970" i="2"/>
  <c r="Y2503" i="2"/>
  <c r="Y2506" i="2"/>
  <c r="Y326" i="2"/>
  <c r="Y1418" i="2"/>
  <c r="Y1973" i="2"/>
  <c r="Y1559" i="2"/>
  <c r="Y2107" i="2"/>
  <c r="Y2109" i="2"/>
  <c r="Y897" i="2"/>
  <c r="Y426" i="2"/>
  <c r="Y947" i="2"/>
  <c r="Y1510" i="2"/>
  <c r="Y2060" i="2"/>
  <c r="Y2572" i="2"/>
  <c r="Y1610" i="2"/>
  <c r="Y2698" i="2"/>
  <c r="Y1430" i="2"/>
  <c r="Y1978" i="2"/>
  <c r="Y1981" i="2"/>
  <c r="Y2510" i="2"/>
  <c r="Y36" i="2"/>
  <c r="Y39" i="2"/>
  <c r="Y340" i="2"/>
  <c r="Y342" i="2"/>
  <c r="Y346" i="2"/>
  <c r="Y877" i="2"/>
  <c r="Y1432" i="2"/>
  <c r="Y349" i="2"/>
  <c r="Y351" i="2"/>
  <c r="Y880" i="2"/>
  <c r="Y1436" i="2"/>
  <c r="Y1439" i="2"/>
  <c r="Y352" i="2"/>
  <c r="Y437" i="2"/>
  <c r="Y973" i="2"/>
  <c r="Y355" i="2"/>
  <c r="Y356" i="2"/>
  <c r="Y882" i="2"/>
  <c r="Y884" i="2"/>
  <c r="Y1983" i="2"/>
  <c r="Y1985" i="2"/>
  <c r="X1706" i="2"/>
  <c r="X1705" i="2"/>
  <c r="X1983" i="2"/>
  <c r="X884" i="2"/>
  <c r="X882" i="2"/>
  <c r="X356" i="2"/>
  <c r="X41" i="2"/>
  <c r="X40" i="2"/>
  <c r="X972" i="2"/>
  <c r="X353" i="2"/>
  <c r="X352" i="2"/>
  <c r="X1438" i="2"/>
  <c r="X1436" i="2"/>
  <c r="X880" i="2"/>
  <c r="X351" i="2"/>
  <c r="X348" i="2"/>
  <c r="X1432" i="2"/>
  <c r="X876" i="2"/>
  <c r="X345" i="2"/>
  <c r="X342" i="2"/>
  <c r="X339" i="2"/>
  <c r="X37" i="2"/>
  <c r="X35" i="2"/>
  <c r="X2509" i="2"/>
  <c r="X1980" i="2"/>
  <c r="X1977" i="2"/>
  <c r="X1429" i="2"/>
  <c r="X2698" i="2"/>
  <c r="X1609" i="2"/>
  <c r="X2572" i="2"/>
  <c r="X2059" i="2"/>
  <c r="X1510" i="2"/>
  <c r="X947" i="2"/>
  <c r="X426" i="2"/>
  <c r="X376" i="2"/>
  <c r="X1704" i="2"/>
  <c r="X1703" i="2"/>
  <c r="X1153" i="2"/>
  <c r="X34" i="2"/>
  <c r="X31" i="2"/>
  <c r="X2151" i="2"/>
  <c r="X1042" i="2"/>
  <c r="X510" i="2"/>
  <c r="X1428" i="2"/>
  <c r="X1425" i="2"/>
  <c r="X1423" i="2"/>
  <c r="X874" i="2"/>
  <c r="X334" i="2"/>
  <c r="X872" i="2"/>
  <c r="X1562" i="2"/>
  <c r="X458" i="2"/>
  <c r="X1974" i="2"/>
  <c r="X871" i="2"/>
  <c r="X327" i="2"/>
  <c r="X2627" i="2"/>
  <c r="X2625" i="2"/>
  <c r="X2108" i="2"/>
  <c r="X2106" i="2"/>
  <c r="X2508" i="2"/>
  <c r="X1420" i="2"/>
  <c r="X869" i="2"/>
  <c r="X325" i="2"/>
  <c r="X2505" i="2"/>
  <c r="X1972" i="2"/>
  <c r="X1969" i="2"/>
  <c r="X1968" i="2"/>
  <c r="X1414" i="2"/>
  <c r="X866" i="2"/>
  <c r="X2687" i="2"/>
  <c r="X2149" i="2"/>
  <c r="X1412" i="2"/>
  <c r="X863" i="2"/>
  <c r="X2148" i="2"/>
  <c r="X1701" i="2"/>
  <c r="X1699" i="2"/>
  <c r="X604" i="2"/>
  <c r="X1099" i="2"/>
  <c r="X1410" i="2"/>
  <c r="X321" i="2"/>
  <c r="X318" i="2"/>
  <c r="X315" i="2"/>
  <c r="X1965" i="2"/>
  <c r="X1963" i="2"/>
  <c r="X1407" i="2"/>
  <c r="X1405" i="2"/>
  <c r="X860" i="2"/>
  <c r="X314" i="2"/>
  <c r="X311" i="2"/>
  <c r="X2056" i="2"/>
  <c r="X1403" i="2"/>
  <c r="X309" i="2"/>
  <c r="X306" i="2"/>
  <c r="X424" i="2"/>
  <c r="X1962" i="2"/>
  <c r="X2245" i="2"/>
  <c r="X2242" i="2"/>
  <c r="X2239" i="2"/>
  <c r="X1697" i="2"/>
  <c r="X1149" i="2"/>
  <c r="X30" i="2"/>
  <c r="X1402" i="2"/>
  <c r="X1694" i="2"/>
  <c r="X1148" i="2"/>
  <c r="X598" i="2"/>
  <c r="X596" i="2"/>
  <c r="X2502" i="2"/>
  <c r="X1958" i="2"/>
  <c r="X856" i="2"/>
  <c r="X303" i="2"/>
  <c r="X300" i="2"/>
  <c r="X1145" i="2"/>
  <c r="X1142" i="2"/>
  <c r="X593" i="2"/>
  <c r="X26" i="2"/>
  <c r="X1689" i="2"/>
  <c r="X1139" i="2"/>
  <c r="X590" i="2"/>
  <c r="X587" i="2"/>
  <c r="X23" i="2"/>
  <c r="X299" i="2"/>
  <c r="X296" i="2"/>
  <c r="X551" i="2"/>
  <c r="X1953" i="2"/>
  <c r="X1951" i="2"/>
  <c r="X293" i="2"/>
  <c r="X1648" i="2"/>
  <c r="X549" i="2"/>
  <c r="X2498" i="2"/>
  <c r="X2494" i="2"/>
  <c r="X2492" i="2"/>
  <c r="X1397" i="2"/>
  <c r="X853" i="2"/>
  <c r="X291" i="2"/>
  <c r="X1394" i="2"/>
  <c r="X850" i="2"/>
  <c r="X289" i="2"/>
  <c r="X1947" i="2"/>
  <c r="X1944" i="2"/>
  <c r="X1392" i="2"/>
  <c r="X287" i="2"/>
  <c r="X1942" i="2"/>
  <c r="X846" i="2"/>
  <c r="X943" i="2"/>
  <c r="X284" i="2"/>
  <c r="X420" i="2"/>
  <c r="X280" i="2"/>
  <c r="X1941" i="2"/>
  <c r="X1387" i="2"/>
  <c r="X1385" i="2"/>
  <c r="X1381" i="2"/>
  <c r="X843" i="2"/>
  <c r="X279" i="2"/>
  <c r="X1096" i="2"/>
  <c r="X1940" i="2"/>
  <c r="X275" i="2"/>
  <c r="X1937" i="2"/>
  <c r="X1379" i="2"/>
  <c r="X840" i="2"/>
  <c r="X274" i="2"/>
  <c r="X271" i="2"/>
  <c r="X837" i="2"/>
  <c r="X2489" i="2"/>
  <c r="X2486" i="2"/>
  <c r="X2483" i="2"/>
  <c r="X1933" i="2"/>
  <c r="X1376" i="2"/>
  <c r="X1931" i="2"/>
  <c r="X1928" i="2"/>
  <c r="X264" i="2"/>
  <c r="X1687" i="2"/>
  <c r="X1137" i="2"/>
  <c r="X585" i="2"/>
  <c r="X835" i="2"/>
  <c r="X833" i="2"/>
  <c r="X21" i="2"/>
  <c r="X19" i="2"/>
  <c r="X260" i="2"/>
  <c r="X2146" i="2"/>
  <c r="X506" i="2"/>
  <c r="X504" i="2"/>
  <c r="X1683" i="2"/>
  <c r="X1681" i="2"/>
  <c r="X1132" i="2"/>
  <c r="X2697" i="2"/>
  <c r="X2160" i="2"/>
  <c r="X2157" i="2"/>
  <c r="X2748" i="2"/>
  <c r="X2745" i="2"/>
  <c r="X418" i="2"/>
  <c r="X2235" i="2"/>
  <c r="X2232" i="2"/>
  <c r="X1679" i="2"/>
  <c r="X1130" i="2"/>
  <c r="X579" i="2"/>
  <c r="X17" i="2"/>
  <c r="X1375" i="2"/>
  <c r="X831" i="2"/>
  <c r="X257" i="2"/>
  <c r="X254" i="2"/>
  <c r="X1456" i="2"/>
  <c r="X1454" i="2"/>
  <c r="X826" i="2"/>
  <c r="X253" i="2"/>
  <c r="X367" i="2"/>
  <c r="X1646" i="2"/>
  <c r="X971" i="2"/>
  <c r="X2683" i="2"/>
  <c r="X1924" i="2"/>
  <c r="X1923" i="2"/>
  <c r="X1922" i="2"/>
  <c r="X2142" i="2"/>
  <c r="X1371" i="2"/>
  <c r="X1369" i="2"/>
  <c r="X823" i="2"/>
  <c r="X820" i="2"/>
  <c r="X247" i="2"/>
  <c r="X244" i="2"/>
  <c r="X239" i="2"/>
  <c r="X2480" i="2"/>
  <c r="X2477" i="2"/>
  <c r="X1917" i="2"/>
  <c r="X1366" i="2"/>
  <c r="X817" i="2"/>
  <c r="X236" i="2"/>
  <c r="X545" i="2"/>
  <c r="X2678" i="2"/>
  <c r="X1599" i="2"/>
  <c r="X501" i="2"/>
  <c r="X2104" i="2"/>
  <c r="X993" i="2"/>
  <c r="X455" i="2"/>
  <c r="X453" i="2"/>
  <c r="X1915" i="2"/>
  <c r="X1037" i="2"/>
  <c r="X500" i="2"/>
  <c r="X2622" i="2"/>
  <c r="X1914" i="2"/>
  <c r="X1913" i="2"/>
  <c r="X1556" i="2"/>
  <c r="X1360" i="2"/>
  <c r="X1357" i="2"/>
  <c r="X991" i="2"/>
  <c r="X812" i="2"/>
  <c r="X234" i="2"/>
  <c r="X450" i="2"/>
  <c r="X232" i="2"/>
  <c r="X1506" i="2"/>
  <c r="X2476" i="2"/>
  <c r="X1355" i="2"/>
  <c r="X810" i="2"/>
  <c r="X230" i="2"/>
  <c r="X227" i="2"/>
  <c r="X224" i="2"/>
  <c r="X2474" i="2"/>
  <c r="X2471" i="2"/>
  <c r="X1910" i="2"/>
  <c r="X1907" i="2"/>
  <c r="X809" i="2"/>
  <c r="X2467" i="2"/>
  <c r="X808" i="2"/>
  <c r="X2676" i="2"/>
  <c r="X1596" i="2"/>
  <c r="X1906" i="2"/>
  <c r="X2051" i="2"/>
  <c r="X2049" i="2"/>
  <c r="X417" i="2"/>
  <c r="X221" i="2"/>
  <c r="X219" i="2"/>
  <c r="X1501" i="2"/>
  <c r="X1351" i="2"/>
  <c r="X1497" i="2"/>
  <c r="X805" i="2"/>
  <c r="X803" i="2"/>
  <c r="X801" i="2"/>
  <c r="X412" i="2"/>
  <c r="X216" i="2"/>
  <c r="X409" i="2"/>
  <c r="X212" i="2"/>
  <c r="X2197" i="2"/>
  <c r="X1645" i="2"/>
  <c r="X1033" i="2"/>
  <c r="X497" i="2"/>
  <c r="X544" i="2"/>
  <c r="X1349" i="2"/>
  <c r="X799" i="2"/>
  <c r="X209" i="2"/>
  <c r="X2611" i="2"/>
  <c r="X2609" i="2"/>
  <c r="X2083" i="2"/>
  <c r="X1898" i="2"/>
  <c r="X2080" i="2"/>
  <c r="X1347" i="2"/>
  <c r="X1346" i="2"/>
  <c r="X969" i="2"/>
  <c r="X207" i="2"/>
  <c r="X2461" i="2"/>
  <c r="X1345" i="2"/>
  <c r="X2675" i="2"/>
  <c r="X1896" i="2"/>
  <c r="X2137" i="2"/>
  <c r="X1343" i="2"/>
  <c r="X1594" i="2"/>
  <c r="X1031" i="2"/>
  <c r="X205" i="2"/>
  <c r="X203" i="2"/>
  <c r="X492" i="2"/>
  <c r="X1340" i="2"/>
  <c r="X793" i="2"/>
  <c r="X790" i="2"/>
  <c r="X199" i="2"/>
  <c r="X196" i="2"/>
  <c r="X2045" i="2"/>
  <c r="X2043" i="2"/>
  <c r="X1127" i="2"/>
  <c r="X1124" i="2"/>
  <c r="X932" i="2"/>
  <c r="X930" i="2"/>
  <c r="X408" i="2"/>
  <c r="X406" i="2"/>
  <c r="X403" i="2"/>
  <c r="X2567" i="2"/>
  <c r="X2564" i="2"/>
  <c r="X2041" i="2"/>
  <c r="X2038" i="2"/>
  <c r="X1493" i="2"/>
  <c r="X927" i="2"/>
  <c r="X193" i="2"/>
  <c r="X2455" i="2"/>
  <c r="X2453" i="2"/>
  <c r="X2673" i="2"/>
  <c r="X2135" i="2"/>
  <c r="X789" i="2"/>
  <c r="X788" i="2"/>
  <c r="X786" i="2"/>
  <c r="X491" i="2"/>
  <c r="X490" i="2"/>
  <c r="X1886" i="2"/>
  <c r="X1332" i="2"/>
  <c r="X784" i="2"/>
  <c r="X187" i="2"/>
  <c r="X2672" i="2"/>
  <c r="X1592" i="2"/>
  <c r="X1027" i="2"/>
  <c r="X1025" i="2"/>
  <c r="X488" i="2"/>
  <c r="X486" i="2"/>
  <c r="X2448" i="2"/>
  <c r="X1884" i="2"/>
  <c r="X1329" i="2"/>
  <c r="X1206" i="2"/>
  <c r="X655" i="2"/>
  <c r="X2015" i="2"/>
  <c r="X1466" i="2"/>
  <c r="X379" i="2"/>
  <c r="X2341" i="2"/>
  <c r="X2338" i="2"/>
  <c r="X1751" i="2"/>
  <c r="X651" i="2"/>
  <c r="X63" i="2"/>
  <c r="X2333" i="2"/>
  <c r="X2329" i="2"/>
  <c r="X1747" i="2"/>
  <c r="X1202" i="2"/>
  <c r="X2325" i="2"/>
  <c r="X2321" i="2"/>
  <c r="X1744" i="2"/>
  <c r="X1199" i="2"/>
  <c r="X60" i="2"/>
  <c r="X1743" i="2"/>
  <c r="X647" i="2"/>
  <c r="X2314" i="2"/>
  <c r="X645" i="2"/>
  <c r="X57" i="2"/>
  <c r="X1192" i="2"/>
  <c r="X641" i="2"/>
  <c r="X640" i="2"/>
  <c r="X2312" i="2"/>
  <c r="X2311" i="2"/>
  <c r="X1739" i="2"/>
  <c r="X1187" i="2"/>
  <c r="X1185" i="2"/>
  <c r="X636" i="2"/>
  <c r="X997" i="2"/>
  <c r="X461" i="2"/>
  <c r="X2207" i="2"/>
  <c r="X2693" i="2"/>
  <c r="X2689" i="2"/>
  <c r="X1618" i="2"/>
  <c r="X2527" i="2"/>
  <c r="X377" i="2"/>
  <c r="X2307" i="2"/>
  <c r="X2303" i="2"/>
  <c r="X1183" i="2"/>
  <c r="X632" i="2"/>
  <c r="X2301" i="2"/>
  <c r="X1733" i="2"/>
  <c r="X1179" i="2"/>
  <c r="X628" i="2"/>
  <c r="X2512" i="2"/>
  <c r="X1989" i="2"/>
  <c r="X1444" i="2"/>
  <c r="X627" i="2"/>
  <c r="X2163" i="2"/>
  <c r="X2576" i="2"/>
  <c r="X2061" i="2"/>
  <c r="X1513" i="2"/>
  <c r="X951" i="2"/>
  <c r="X427" i="2"/>
  <c r="X2295" i="2"/>
  <c r="X2291" i="2"/>
  <c r="X1730" i="2"/>
  <c r="X50" i="2"/>
  <c r="X2286" i="2"/>
  <c r="X2282" i="2"/>
  <c r="X1174" i="2"/>
  <c r="X2630" i="2"/>
  <c r="X2278" i="2"/>
  <c r="X1171" i="2"/>
  <c r="X623" i="2"/>
  <c r="X2628" i="2"/>
  <c r="X995" i="2"/>
  <c r="X2091" i="2"/>
  <c r="X1543" i="2"/>
  <c r="X976" i="2"/>
  <c r="X620" i="2"/>
  <c r="X2274" i="2"/>
  <c r="X1719" i="2"/>
  <c r="X1167" i="2"/>
  <c r="X2088" i="2"/>
  <c r="X975" i="2"/>
  <c r="X2523" i="2"/>
  <c r="X2010" i="2"/>
  <c r="X1463" i="2"/>
  <c r="X901" i="2"/>
  <c r="X1715" i="2"/>
  <c r="X46" i="2"/>
  <c r="X2269" i="2"/>
  <c r="X2265" i="2"/>
  <c r="X2261" i="2"/>
  <c r="X1713" i="2"/>
  <c r="X615" i="2"/>
  <c r="X2256" i="2"/>
  <c r="X2253" i="2"/>
  <c r="X1161" i="2"/>
  <c r="X2203" i="2"/>
  <c r="X2200" i="2"/>
  <c r="X1101" i="2"/>
  <c r="X553" i="2"/>
  <c r="X2249" i="2"/>
  <c r="X1160" i="2"/>
  <c r="X1156" i="2"/>
  <c r="X43" i="2"/>
  <c r="X2086" i="2"/>
  <c r="X2247" i="2"/>
  <c r="Y1288" i="2"/>
  <c r="Y1289" i="2"/>
  <c r="Y1290" i="2"/>
  <c r="Y1846" i="2"/>
  <c r="Y1847" i="2"/>
  <c r="Y2427" i="2"/>
  <c r="Y2428" i="2"/>
  <c r="Y2429" i="2"/>
  <c r="Y484" i="2"/>
  <c r="Y1588" i="2"/>
  <c r="Y1589" i="2"/>
  <c r="Y2131" i="2"/>
  <c r="Y2667" i="2"/>
  <c r="Y2668" i="2"/>
  <c r="Y2669" i="2"/>
  <c r="Y2670" i="2"/>
  <c r="Y2671" i="2"/>
  <c r="Y15" i="2"/>
  <c r="Y573" i="2"/>
  <c r="Y1118" i="2"/>
  <c r="Y1119" i="2"/>
  <c r="Y1669" i="2"/>
  <c r="Y1670" i="2"/>
  <c r="Y1671" i="2"/>
  <c r="Y1672" i="2"/>
  <c r="Y2223" i="2"/>
  <c r="Y2224" i="2"/>
  <c r="Y2225" i="2"/>
  <c r="Y2226" i="2"/>
  <c r="Y2227" i="2"/>
  <c r="Y2228" i="2"/>
  <c r="Y2229" i="2"/>
  <c r="Y2230" i="2"/>
  <c r="Y370" i="2"/>
  <c r="Y371" i="2"/>
  <c r="Y372" i="2"/>
  <c r="Y373" i="2"/>
  <c r="Y895" i="2"/>
  <c r="Y896" i="2"/>
  <c r="Y1461" i="2"/>
  <c r="Y1462" i="2"/>
  <c r="Y2005" i="2"/>
  <c r="Y2006" i="2"/>
  <c r="Y2519" i="2"/>
  <c r="Y1484" i="2"/>
  <c r="Y1485" i="2"/>
  <c r="Y1486" i="2"/>
  <c r="Y2032" i="2"/>
  <c r="Y2033" i="2"/>
  <c r="Y2555" i="2"/>
  <c r="Y2556" i="2"/>
  <c r="Y1053" i="2"/>
  <c r="Y1054" i="2"/>
  <c r="Y135" i="2"/>
  <c r="Y136" i="2"/>
  <c r="Y137" i="2"/>
  <c r="Y138" i="2"/>
  <c r="Y139" i="2"/>
  <c r="Y140" i="2"/>
  <c r="Y141" i="2"/>
  <c r="Y750" i="2"/>
  <c r="Y751" i="2"/>
  <c r="Y752" i="2"/>
  <c r="Y753" i="2"/>
  <c r="Y1291" i="2"/>
  <c r="Y1848" i="2"/>
  <c r="Y1849" i="2"/>
  <c r="Y1850" i="2"/>
  <c r="Y1292" i="2"/>
  <c r="Y1293" i="2"/>
  <c r="Y1294" i="2"/>
  <c r="Y1851" i="2"/>
  <c r="Y1852" i="2"/>
  <c r="Y1853" i="2"/>
  <c r="Y754" i="2"/>
  <c r="Y1854" i="2"/>
  <c r="Y142" i="2"/>
  <c r="Y143" i="2"/>
  <c r="Y144" i="2"/>
  <c r="Y145" i="2"/>
  <c r="Y755" i="2"/>
  <c r="Y756" i="2"/>
  <c r="Y1295" i="2"/>
  <c r="Y1296" i="2"/>
  <c r="Y1855" i="2"/>
  <c r="Y1856" i="2"/>
  <c r="Y2430" i="2"/>
  <c r="Y146" i="2"/>
  <c r="Y147" i="2"/>
  <c r="Y148" i="2"/>
  <c r="Y149" i="2"/>
  <c r="Y757" i="2"/>
  <c r="Y758" i="2"/>
  <c r="Y759" i="2"/>
  <c r="Y760" i="2"/>
  <c r="Y1297" i="2"/>
  <c r="Y1298" i="2"/>
  <c r="Y1299" i="2"/>
  <c r="Y1300" i="2"/>
  <c r="Y1857" i="2"/>
  <c r="Y1858" i="2"/>
  <c r="Y1859" i="2"/>
  <c r="Y2431" i="2"/>
  <c r="Y2432" i="2"/>
  <c r="Y428" i="2"/>
  <c r="Y390" i="2"/>
  <c r="Y963" i="2"/>
  <c r="Y964" i="2"/>
  <c r="Y965" i="2"/>
  <c r="Y1525" i="2"/>
  <c r="Y1526" i="2"/>
  <c r="Y1527" i="2"/>
  <c r="Y1487" i="2"/>
  <c r="Y2071" i="2"/>
  <c r="Y2034" i="2"/>
  <c r="Y2072" i="2"/>
  <c r="Y2589" i="2"/>
  <c r="Y2590" i="2"/>
  <c r="Y2557" i="2"/>
  <c r="Y2591" i="2"/>
  <c r="Y2592" i="2"/>
  <c r="Y2593" i="2"/>
  <c r="Y2558" i="2"/>
  <c r="Y2594" i="2"/>
  <c r="Y150" i="2"/>
  <c r="Y151" i="2"/>
  <c r="Y152" i="2"/>
  <c r="Y761" i="2"/>
  <c r="Y762" i="2"/>
  <c r="Y1301" i="2"/>
  <c r="Y1302" i="2"/>
  <c r="Y1303" i="2"/>
  <c r="Y1860" i="2"/>
  <c r="Y1861" i="2"/>
  <c r="Y1862" i="2"/>
  <c r="Y1863" i="2"/>
  <c r="Y2433" i="2"/>
  <c r="Y2434" i="2"/>
  <c r="Y2435" i="2"/>
  <c r="Y2436" i="2"/>
  <c r="Y2437" i="2"/>
  <c r="Y2438" i="2"/>
  <c r="Y537" i="2"/>
  <c r="Y538" i="2"/>
  <c r="Y539" i="2"/>
  <c r="Y540" i="2"/>
  <c r="Y1083" i="2"/>
  <c r="Y1084" i="2"/>
  <c r="Y1085" i="2"/>
  <c r="Y1639" i="2"/>
  <c r="Y1640" i="2"/>
  <c r="Y2184" i="2"/>
  <c r="Y2185" i="2"/>
  <c r="Y2186" i="2"/>
  <c r="Y2734" i="2"/>
  <c r="Y2735" i="2"/>
  <c r="Y153" i="2"/>
  <c r="Y363" i="2"/>
  <c r="Y364" i="2"/>
  <c r="Y365" i="2"/>
  <c r="Y366" i="2"/>
  <c r="Y890" i="2"/>
  <c r="Y891" i="2"/>
  <c r="Y892" i="2"/>
  <c r="Y1453" i="2"/>
  <c r="Y1998" i="2"/>
  <c r="Y1999" i="2"/>
  <c r="Y1120" i="2"/>
  <c r="Y1121" i="2"/>
  <c r="Y1122" i="2"/>
  <c r="Y1123" i="2"/>
  <c r="Y1673" i="2"/>
  <c r="Y1674" i="2"/>
  <c r="Y391" i="2"/>
  <c r="Y392" i="2"/>
  <c r="Y393" i="2"/>
  <c r="Y394" i="2"/>
  <c r="Y395" i="2"/>
  <c r="Y918" i="2"/>
  <c r="Y919" i="2"/>
  <c r="Y920" i="2"/>
  <c r="Y921" i="2"/>
  <c r="Y922" i="2"/>
  <c r="Y923" i="2"/>
  <c r="Y924" i="2"/>
  <c r="Y1488" i="2"/>
  <c r="Y1489" i="2"/>
  <c r="Y1490" i="2"/>
  <c r="Y2035" i="2"/>
  <c r="Y2036" i="2"/>
  <c r="Y154" i="2"/>
  <c r="Y155" i="2"/>
  <c r="Y156" i="2"/>
  <c r="Y763" i="2"/>
  <c r="Y764" i="2"/>
  <c r="Y765" i="2"/>
  <c r="Y1304" i="2"/>
  <c r="Y1305" i="2"/>
  <c r="Y1306" i="2"/>
  <c r="Y1307" i="2"/>
  <c r="Y1864" i="2"/>
  <c r="Y1865" i="2"/>
  <c r="Y1866" i="2"/>
  <c r="Y2439" i="2"/>
  <c r="Y429" i="2"/>
  <c r="Y157" i="2"/>
  <c r="Y158" i="2"/>
  <c r="Y159" i="2"/>
  <c r="Y160" i="2"/>
  <c r="Y966" i="2"/>
  <c r="Y766" i="2"/>
  <c r="Y767" i="2"/>
  <c r="Y967" i="2"/>
  <c r="Y1308" i="2"/>
  <c r="Y1528" i="2"/>
  <c r="Y1309" i="2"/>
  <c r="Y1529" i="2"/>
  <c r="Y2073" i="2"/>
  <c r="Y2074" i="2"/>
  <c r="Y1867" i="2"/>
  <c r="Y1868" i="2"/>
  <c r="Y2440" i="2"/>
  <c r="Y2441" i="2"/>
  <c r="Y2595" i="2"/>
  <c r="Y2442" i="2"/>
  <c r="Y2596" i="2"/>
  <c r="Y2597" i="2"/>
  <c r="Y2598" i="2"/>
  <c r="Y2599" i="2"/>
  <c r="Y2600" i="2"/>
  <c r="Y2601" i="2"/>
  <c r="Y430" i="2"/>
  <c r="Y968" i="2"/>
  <c r="Y1530" i="2"/>
  <c r="Y1531" i="2"/>
  <c r="Y2075" i="2"/>
  <c r="Y2076" i="2"/>
  <c r="Y2077" i="2"/>
  <c r="Y2078" i="2"/>
  <c r="Y2602" i="2"/>
  <c r="Y2603" i="2"/>
  <c r="Y2604" i="2"/>
  <c r="Y2605" i="2"/>
  <c r="Y2606" i="2"/>
  <c r="Y161" i="2"/>
  <c r="Y162" i="2"/>
  <c r="Y163" i="2"/>
  <c r="Y164" i="2"/>
  <c r="Y768" i="2"/>
  <c r="Y1310" i="2"/>
  <c r="Y1311" i="2"/>
  <c r="Y1312" i="2"/>
  <c r="Y1869" i="2"/>
  <c r="Y1870" i="2"/>
  <c r="Y1871" i="2"/>
  <c r="Y2443" i="2"/>
  <c r="Y242" i="2"/>
  <c r="Y243" i="2"/>
  <c r="Y244" i="2"/>
  <c r="Y245" i="2"/>
  <c r="Y246" i="2"/>
  <c r="Y247" i="2"/>
  <c r="Y818" i="2"/>
  <c r="Y819" i="2"/>
  <c r="Y820" i="2"/>
  <c r="Y821" i="2"/>
  <c r="Y822" i="2"/>
  <c r="Y823" i="2"/>
  <c r="Y1369" i="2"/>
  <c r="Y1370" i="2"/>
  <c r="Y1600" i="2"/>
  <c r="Y1371" i="2"/>
  <c r="Y1372" i="2"/>
  <c r="Y1373" i="2"/>
  <c r="Y1920" i="2"/>
  <c r="Y2142" i="2"/>
  <c r="Y1921" i="2"/>
  <c r="Y2143" i="2"/>
  <c r="Y1922" i="2"/>
  <c r="Y2144" i="2"/>
  <c r="Y1923" i="2"/>
  <c r="Y2145" i="2"/>
  <c r="Y1924" i="2"/>
  <c r="Y2681" i="2"/>
  <c r="Y2682" i="2"/>
  <c r="Y2683" i="2"/>
  <c r="Y2482" i="2"/>
  <c r="Y433" i="2"/>
  <c r="Y434" i="2"/>
  <c r="Y435" i="2"/>
  <c r="Y971" i="2"/>
  <c r="Y1534" i="2"/>
  <c r="Y1535" i="2"/>
  <c r="Y1536" i="2"/>
  <c r="Y1646" i="2"/>
  <c r="Y248" i="2"/>
  <c r="Y249" i="2"/>
  <c r="Y250" i="2"/>
  <c r="Y251" i="2"/>
  <c r="Y367" i="2"/>
  <c r="Y252" i="2"/>
  <c r="Y253" i="2"/>
  <c r="Y824" i="2"/>
  <c r="Y825" i="2"/>
  <c r="Y826" i="2"/>
  <c r="Y827" i="2"/>
  <c r="Y828" i="2"/>
  <c r="Y829" i="2"/>
  <c r="Y1454" i="2"/>
  <c r="Y1455" i="2"/>
  <c r="Y1456" i="2"/>
  <c r="Y2000" i="2"/>
  <c r="Y2001" i="2"/>
  <c r="Y254" i="2"/>
  <c r="Y255" i="2"/>
  <c r="Y256" i="2"/>
  <c r="Y257" i="2"/>
  <c r="Y830" i="2"/>
  <c r="Y831" i="2"/>
  <c r="Y1374" i="2"/>
  <c r="Y1375" i="2"/>
  <c r="Y1925" i="2"/>
  <c r="Y1926" i="2"/>
  <c r="Y17" i="2"/>
  <c r="Y577" i="2"/>
  <c r="Y578" i="2"/>
  <c r="Y579" i="2"/>
  <c r="Y580" i="2"/>
  <c r="Y1129" i="2"/>
  <c r="Y1130" i="2"/>
  <c r="Y1677" i="2"/>
  <c r="Y1678" i="2"/>
  <c r="Y1679" i="2"/>
  <c r="Y1680" i="2"/>
  <c r="Y2231" i="2"/>
  <c r="Y2232" i="2"/>
  <c r="Y2233" i="2"/>
  <c r="Y2234" i="2"/>
  <c r="Y2235" i="2"/>
  <c r="Y2236" i="2"/>
  <c r="Y418" i="2"/>
  <c r="Y940" i="2"/>
  <c r="Y1508" i="2"/>
  <c r="Y2052" i="2"/>
  <c r="Y2053" i="2"/>
  <c r="Y2745" i="2"/>
  <c r="Y2746" i="2"/>
  <c r="Y2747" i="2"/>
  <c r="Y2748" i="2"/>
  <c r="Y1055" i="2"/>
  <c r="Y1608" i="2"/>
  <c r="Y2157" i="2"/>
  <c r="Y2158" i="2"/>
  <c r="Y2159" i="2"/>
  <c r="Y2160" i="2"/>
  <c r="Y2695" i="2"/>
  <c r="Y2696" i="2"/>
  <c r="Y2697" i="2"/>
  <c r="Y581" i="2"/>
  <c r="Y582" i="2"/>
  <c r="Y1131" i="2"/>
  <c r="Y1132" i="2"/>
  <c r="Y1133" i="2"/>
  <c r="Y1134" i="2"/>
  <c r="Y1681" i="2"/>
  <c r="Y1682" i="2"/>
  <c r="Y1683" i="2"/>
  <c r="Y1684" i="2"/>
  <c r="Y502" i="2"/>
  <c r="Y503" i="2"/>
  <c r="Y504" i="2"/>
  <c r="Y505" i="2"/>
  <c r="Y506" i="2"/>
  <c r="Y1040" i="2"/>
  <c r="Y1601" i="2"/>
  <c r="Y1602" i="2"/>
  <c r="Y2146" i="2"/>
  <c r="Y258" i="2"/>
  <c r="Y259" i="2"/>
  <c r="Y260" i="2"/>
  <c r="Y18" i="2"/>
  <c r="Y19" i="2"/>
  <c r="Y261" i="2"/>
  <c r="Y20" i="2"/>
  <c r="Y21" i="2"/>
  <c r="Y262" i="2"/>
  <c r="Y832" i="2"/>
  <c r="Y833" i="2"/>
  <c r="Y834" i="2"/>
  <c r="Y583" i="2"/>
  <c r="Y835" i="2"/>
  <c r="Y584" i="2"/>
  <c r="Y836" i="2"/>
  <c r="Y585" i="2"/>
  <c r="Y1135" i="2"/>
  <c r="Y1136" i="2"/>
  <c r="Y1137" i="2"/>
  <c r="Y1685" i="2"/>
  <c r="Y1686" i="2"/>
  <c r="Y1687" i="2"/>
  <c r="Y2237" i="2"/>
  <c r="Y263" i="2"/>
  <c r="Y264" i="2"/>
  <c r="Y265" i="2"/>
  <c r="Y1927" i="2"/>
  <c r="Y1928" i="2"/>
  <c r="Y1929" i="2"/>
  <c r="Y1930" i="2"/>
  <c r="Y1931" i="2"/>
  <c r="Y266" i="2"/>
  <c r="Y267" i="2"/>
  <c r="Y1376" i="2"/>
  <c r="Y1932" i="2"/>
  <c r="Y1933" i="2"/>
  <c r="Y1934" i="2"/>
  <c r="Y1935" i="2"/>
  <c r="Y2483" i="2"/>
  <c r="Y2484" i="2"/>
  <c r="Y2485" i="2"/>
  <c r="Y2486" i="2"/>
  <c r="Y2487" i="2"/>
  <c r="Y2488" i="2"/>
  <c r="Y2489" i="2"/>
  <c r="Y268" i="2"/>
  <c r="Y269" i="2"/>
  <c r="Y837" i="2"/>
  <c r="Y1377" i="2"/>
  <c r="Y270" i="2"/>
  <c r="Y271" i="2"/>
  <c r="Y272" i="2"/>
  <c r="Y273" i="2"/>
  <c r="Y274" i="2"/>
  <c r="Y838" i="2"/>
  <c r="Y839" i="2"/>
  <c r="Y840" i="2"/>
  <c r="Y841" i="2"/>
  <c r="Y1378" i="2"/>
  <c r="Y1379" i="2"/>
  <c r="Y1380" i="2"/>
  <c r="Y1936" i="2"/>
  <c r="Y1937" i="2"/>
  <c r="Y1938" i="2"/>
  <c r="Y2084" i="2"/>
  <c r="Y275" i="2"/>
  <c r="Y1939" i="2"/>
  <c r="Y1940" i="2"/>
  <c r="Y546" i="2"/>
  <c r="Y1095" i="2"/>
  <c r="Y1096" i="2"/>
  <c r="Y276" i="2"/>
  <c r="Y277" i="2"/>
  <c r="Y278" i="2"/>
  <c r="Y279" i="2"/>
  <c r="Y842" i="2"/>
  <c r="Y843" i="2"/>
  <c r="Y844" i="2"/>
  <c r="Y1381" i="2"/>
  <c r="Y1382" i="2"/>
  <c r="Y1383" i="2"/>
  <c r="Y1384" i="2"/>
  <c r="Y1385" i="2"/>
  <c r="Y1386" i="2"/>
  <c r="Y1387" i="2"/>
  <c r="Y1388" i="2"/>
  <c r="Y1389" i="2"/>
  <c r="Y1390" i="2"/>
  <c r="Y1941" i="2"/>
  <c r="Y419" i="2"/>
  <c r="Y280" i="2"/>
  <c r="Y281" i="2"/>
  <c r="Y282" i="2"/>
  <c r="Y420" i="2"/>
  <c r="Y421" i="2"/>
  <c r="Y283" i="2"/>
  <c r="Y284" i="2"/>
  <c r="Y941" i="2"/>
  <c r="Y942" i="2"/>
  <c r="Y943" i="2"/>
  <c r="Y845" i="2"/>
  <c r="Y944" i="2"/>
  <c r="Y846" i="2"/>
  <c r="Y847" i="2"/>
  <c r="Y2054" i="2"/>
  <c r="Y1942" i="2"/>
  <c r="Y285" i="2"/>
  <c r="Y286" i="2"/>
  <c r="Y287" i="2"/>
  <c r="Y1391" i="2"/>
  <c r="Y1392" i="2"/>
  <c r="Y1393" i="2"/>
  <c r="Y1943" i="2"/>
  <c r="Y1944" i="2"/>
  <c r="Y1945" i="2"/>
  <c r="Y1946" i="2"/>
  <c r="Y1947" i="2"/>
  <c r="Y2490" i="2"/>
  <c r="Y288" i="2"/>
  <c r="Y289" i="2"/>
  <c r="Y848" i="2"/>
  <c r="Y849" i="2"/>
  <c r="Y850" i="2"/>
  <c r="Y851" i="2"/>
  <c r="Y1394" i="2"/>
  <c r="Y1948" i="2"/>
  <c r="Y2491" i="2"/>
  <c r="Y290" i="2"/>
  <c r="Y291" i="2"/>
  <c r="Y852" i="2"/>
  <c r="Y853" i="2"/>
  <c r="Y1395" i="2"/>
  <c r="Y1396" i="2"/>
  <c r="Y1397" i="2"/>
  <c r="Y1398" i="2"/>
  <c r="Y1949" i="2"/>
  <c r="Y1950" i="2"/>
  <c r="Y2492" i="2"/>
  <c r="Y2493" i="2"/>
  <c r="Y2494" i="2"/>
  <c r="Y2495" i="2"/>
  <c r="Y2496" i="2"/>
  <c r="Y2497" i="2"/>
  <c r="Y2498" i="2"/>
  <c r="Y547" i="2"/>
  <c r="Y548" i="2"/>
  <c r="Y549" i="2"/>
  <c r="Y550" i="2"/>
  <c r="Y1647" i="2"/>
  <c r="Y1648" i="2"/>
  <c r="Y292" i="2"/>
  <c r="Y293" i="2"/>
  <c r="Y294" i="2"/>
  <c r="Y1399" i="2"/>
  <c r="Y1400" i="2"/>
  <c r="Y1951" i="2"/>
  <c r="Y1952" i="2"/>
  <c r="Y1953" i="2"/>
  <c r="Y1954" i="2"/>
  <c r="Y1955" i="2"/>
  <c r="Y1956" i="2"/>
  <c r="Y1957" i="2"/>
  <c r="Y2499" i="2"/>
  <c r="Y2500" i="2"/>
  <c r="Y2501" i="2"/>
  <c r="Y551" i="2"/>
  <c r="Y295" i="2"/>
  <c r="Y296" i="2"/>
  <c r="Y297" i="2"/>
  <c r="Y298" i="2"/>
  <c r="Y22" i="2"/>
  <c r="Y23" i="2"/>
  <c r="Y587" i="2"/>
  <c r="Y590" i="2"/>
  <c r="Y1139" i="2"/>
  <c r="Y1689" i="2"/>
  <c r="Y26" i="2"/>
  <c r="Y593" i="2"/>
  <c r="Y1142" i="2"/>
  <c r="Y1145" i="2"/>
  <c r="Y1691" i="2"/>
  <c r="Y301" i="2"/>
  <c r="Y303" i="2"/>
  <c r="Y304" i="2"/>
  <c r="Y856" i="2"/>
  <c r="Y857" i="2"/>
  <c r="Y1958" i="2"/>
  <c r="Y1960" i="2"/>
  <c r="Y28" i="2"/>
  <c r="Y596" i="2"/>
  <c r="Y598" i="2"/>
  <c r="Y599" i="2"/>
  <c r="Y1148" i="2"/>
  <c r="Y1693" i="2"/>
  <c r="Y1695" i="2"/>
  <c r="Y1402" i="2"/>
  <c r="Y29" i="2"/>
  <c r="Y600" i="2"/>
  <c r="Y1149" i="2"/>
  <c r="Y1151" i="2"/>
  <c r="Y1698" i="2"/>
  <c r="Y2239" i="2"/>
  <c r="Y2241" i="2"/>
  <c r="Y2243" i="2"/>
  <c r="Y2245" i="2"/>
  <c r="Y1962" i="2"/>
  <c r="Y423" i="2"/>
  <c r="Y424" i="2"/>
  <c r="Y425" i="2"/>
  <c r="Y307" i="2"/>
  <c r="Y309" i="2"/>
  <c r="Y1403" i="2"/>
  <c r="Y1404" i="2"/>
  <c r="Y2056" i="2"/>
  <c r="Y2570" i="2"/>
  <c r="Y312" i="2"/>
  <c r="Y314" i="2"/>
  <c r="Y859" i="2"/>
  <c r="Y861" i="2"/>
  <c r="Y1406" i="2"/>
  <c r="Y1408" i="2"/>
  <c r="Y1964" i="2"/>
  <c r="Y1966" i="2"/>
  <c r="Y316" i="2"/>
  <c r="Y318" i="2"/>
  <c r="Y320" i="2"/>
  <c r="Y1409" i="2"/>
  <c r="Y1097" i="2"/>
  <c r="Y1099" i="2"/>
  <c r="Y604" i="2"/>
  <c r="Y1699" i="2"/>
  <c r="Y1701" i="2"/>
  <c r="Y507" i="2"/>
  <c r="Y2147" i="2"/>
  <c r="Y322" i="2"/>
  <c r="Y863" i="2"/>
  <c r="Y1411" i="2"/>
  <c r="Y1967" i="2"/>
  <c r="Y2149" i="2"/>
  <c r="Y2686" i="2"/>
  <c r="Y866" i="2"/>
  <c r="Y1415" i="2"/>
  <c r="Y1968" i="2"/>
  <c r="Y1971" i="2"/>
  <c r="Y2504" i="2"/>
  <c r="Y2507" i="2"/>
  <c r="Y868" i="2"/>
  <c r="Y1419" i="2"/>
  <c r="Y2508" i="2"/>
  <c r="Y1560" i="2"/>
  <c r="Y2108" i="2"/>
  <c r="Y2624" i="2"/>
  <c r="Y2626" i="2"/>
  <c r="Y2627" i="2"/>
  <c r="Y369" i="2"/>
  <c r="Y327" i="2"/>
  <c r="Y329" i="2"/>
  <c r="Y871" i="2"/>
  <c r="Y1974" i="2"/>
  <c r="Y1976" i="2"/>
  <c r="Y458" i="2"/>
  <c r="Y994" i="2"/>
  <c r="Y1562" i="2"/>
  <c r="Y1042" i="2"/>
  <c r="Y2151" i="2"/>
  <c r="Y31" i="2"/>
  <c r="Y33" i="2"/>
  <c r="Y605" i="2"/>
  <c r="Y1153" i="2"/>
  <c r="Y1702" i="2"/>
  <c r="Y1703" i="2"/>
  <c r="Y374" i="2"/>
  <c r="Y376" i="2"/>
  <c r="Y2008" i="2"/>
  <c r="Y946" i="2"/>
  <c r="Y1509" i="2"/>
  <c r="Y2058" i="2"/>
  <c r="Y2571" i="2"/>
  <c r="Y1056" i="2"/>
  <c r="Y2161" i="2"/>
  <c r="Y338" i="2"/>
  <c r="Y1977" i="2"/>
  <c r="Y1980" i="2"/>
  <c r="Y2509" i="2"/>
  <c r="Y35" i="2"/>
  <c r="Y37" i="2"/>
  <c r="Y607" i="2"/>
  <c r="Y341" i="2"/>
  <c r="Y344" i="2"/>
  <c r="Y347" i="2"/>
  <c r="Y1434" i="2"/>
  <c r="Y350" i="2"/>
  <c r="Y879" i="2"/>
  <c r="Y1435" i="2"/>
  <c r="Y1437" i="2"/>
  <c r="Y1440" i="2"/>
  <c r="Y353" i="2"/>
  <c r="Y972" i="2"/>
  <c r="Y2085" i="2"/>
  <c r="Y41" i="2"/>
  <c r="Y357" i="2"/>
  <c r="Y883" i="2"/>
  <c r="Y1442" i="2"/>
  <c r="Y1984" i="2"/>
  <c r="X1442" i="2"/>
  <c r="X883" i="2"/>
  <c r="X357" i="2"/>
  <c r="X354" i="2"/>
  <c r="X973" i="2"/>
  <c r="X436" i="2"/>
  <c r="X1440" i="2"/>
  <c r="X1437" i="2"/>
  <c r="X881" i="2"/>
  <c r="X878" i="2"/>
  <c r="X349" i="2"/>
  <c r="X1433" i="2"/>
  <c r="X347" i="2"/>
  <c r="X343" i="2"/>
  <c r="X340" i="2"/>
  <c r="X39" i="2"/>
  <c r="X36" i="2"/>
  <c r="X2510" i="2"/>
  <c r="X1981" i="2"/>
  <c r="X1978" i="2"/>
  <c r="X1430" i="2"/>
  <c r="X337" i="2"/>
  <c r="X1610" i="2"/>
  <c r="X2573" i="2"/>
  <c r="X2060" i="2"/>
  <c r="X1511" i="2"/>
  <c r="X948" i="2"/>
  <c r="X945" i="2"/>
  <c r="X897" i="2"/>
  <c r="X374" i="2"/>
  <c r="X1702" i="2"/>
  <c r="X606" i="2"/>
  <c r="X32" i="2"/>
  <c r="X2150" i="2"/>
  <c r="X512" i="2"/>
  <c r="X509" i="2"/>
  <c r="X1427" i="2"/>
  <c r="X1424" i="2"/>
  <c r="X875" i="2"/>
  <c r="X335" i="2"/>
  <c r="X332" i="2"/>
  <c r="X330" i="2"/>
  <c r="X994" i="2"/>
  <c r="X1976" i="2"/>
  <c r="X1975" i="2"/>
  <c r="X329" i="2"/>
  <c r="X1457" i="2"/>
  <c r="X368" i="2"/>
  <c r="X2110" i="2"/>
  <c r="X2107" i="2"/>
  <c r="X1559" i="2"/>
  <c r="X1973" i="2"/>
  <c r="X1419" i="2"/>
  <c r="X868" i="2"/>
  <c r="X2507" i="2"/>
  <c r="X2504" i="2"/>
  <c r="X1971" i="2"/>
  <c r="X1416" i="2"/>
  <c r="X867" i="2"/>
  <c r="X323" i="2"/>
  <c r="X2685" i="2"/>
  <c r="X1967" i="2"/>
  <c r="X1413" i="2"/>
  <c r="X865" i="2"/>
  <c r="X322" i="2"/>
  <c r="X508" i="2"/>
  <c r="X1700" i="2"/>
  <c r="X1152" i="2"/>
  <c r="X602" i="2"/>
  <c r="X1097" i="2"/>
  <c r="X862" i="2"/>
  <c r="X319" i="2"/>
  <c r="X317" i="2"/>
  <c r="X316" i="2"/>
  <c r="X1966" i="2"/>
  <c r="X1964" i="2"/>
  <c r="X1408" i="2"/>
  <c r="X1406" i="2"/>
  <c r="X861" i="2"/>
  <c r="X858" i="2"/>
  <c r="X312" i="2"/>
  <c r="X2057" i="2"/>
  <c r="X1404" i="2"/>
  <c r="X310" i="2"/>
  <c r="X307" i="2"/>
  <c r="X305" i="2"/>
  <c r="X422" i="2"/>
  <c r="X2244" i="2"/>
  <c r="X2240" i="2"/>
  <c r="X1698" i="2"/>
  <c r="X1150" i="2"/>
  <c r="X600" i="2"/>
  <c r="X1961" i="2"/>
  <c r="X1695" i="2"/>
  <c r="X1692" i="2"/>
  <c r="X599" i="2"/>
  <c r="X595" i="2"/>
  <c r="X1960" i="2"/>
  <c r="X1401" i="2"/>
  <c r="X304" i="2"/>
  <c r="X301" i="2"/>
  <c r="X1146" i="2"/>
  <c r="X1143" i="2"/>
  <c r="X594" i="2"/>
  <c r="X27" i="2"/>
  <c r="X1690" i="2"/>
  <c r="X1140" i="2"/>
  <c r="X591" i="2"/>
  <c r="X588" i="2"/>
  <c r="X24" i="2"/>
  <c r="X854" i="2"/>
  <c r="X297" i="2"/>
  <c r="X2500" i="2"/>
  <c r="X1957" i="2"/>
  <c r="X1955" i="2"/>
  <c r="X1952" i="2"/>
  <c r="X1399" i="2"/>
  <c r="X292" i="2"/>
  <c r="X550" i="2"/>
  <c r="X547" i="2"/>
  <c r="X2496" i="2"/>
  <c r="X2493" i="2"/>
  <c r="X1949" i="2"/>
  <c r="X1396" i="2"/>
  <c r="X852" i="2"/>
  <c r="X2491" i="2"/>
  <c r="X851" i="2"/>
  <c r="X848" i="2"/>
  <c r="X2490" i="2"/>
  <c r="X1945" i="2"/>
  <c r="X1393" i="2"/>
  <c r="X285" i="2"/>
  <c r="X847" i="2"/>
  <c r="X944" i="2"/>
  <c r="X941" i="2"/>
  <c r="X421" i="2"/>
  <c r="X419" i="2"/>
  <c r="X1389" i="2"/>
  <c r="X1386" i="2"/>
  <c r="X1383" i="2"/>
  <c r="X842" i="2"/>
  <c r="X277" i="2"/>
  <c r="X1095" i="2"/>
  <c r="X1939" i="2"/>
  <c r="X1938" i="2"/>
  <c r="X1380" i="2"/>
  <c r="X841" i="2"/>
  <c r="X838" i="2"/>
  <c r="X272" i="2"/>
  <c r="X1377" i="2"/>
  <c r="X268" i="2"/>
  <c r="X2487" i="2"/>
  <c r="X2484" i="2"/>
  <c r="X1934" i="2"/>
  <c r="X267" i="2"/>
  <c r="X1930" i="2"/>
  <c r="X1927" i="2"/>
  <c r="X263" i="2"/>
  <c r="X1685" i="2"/>
  <c r="X1135" i="2"/>
  <c r="X584" i="2"/>
  <c r="X834" i="2"/>
  <c r="X262" i="2"/>
  <c r="X18" i="2"/>
  <c r="X258" i="2"/>
  <c r="X1601" i="2"/>
  <c r="X505" i="2"/>
  <c r="X502" i="2"/>
  <c r="X1682" i="2"/>
  <c r="X1133" i="2"/>
  <c r="X582" i="2"/>
  <c r="X2696" i="2"/>
  <c r="X2159" i="2"/>
  <c r="X1608" i="2"/>
  <c r="X2746" i="2"/>
  <c r="X2052" i="2"/>
  <c r="X940" i="2"/>
  <c r="X2234" i="2"/>
  <c r="X2231" i="2"/>
  <c r="X1677" i="2"/>
  <c r="X580" i="2"/>
  <c r="X577" i="2"/>
  <c r="X1925" i="2"/>
  <c r="X255" i="2"/>
  <c r="X2000" i="2"/>
  <c r="X829" i="2"/>
  <c r="X828" i="2"/>
  <c r="X825" i="2"/>
  <c r="X252" i="2"/>
  <c r="X250" i="2"/>
  <c r="X248" i="2"/>
  <c r="X1535" i="2"/>
  <c r="X435" i="2"/>
  <c r="X433" i="2"/>
  <c r="X2682" i="2"/>
  <c r="X2145" i="2"/>
  <c r="X2143" i="2"/>
  <c r="X1373" i="2"/>
  <c r="X1600" i="2"/>
  <c r="X821" i="2"/>
  <c r="X819" i="2"/>
  <c r="X246" i="2"/>
  <c r="X243" i="2"/>
  <c r="X240" i="2"/>
  <c r="X2481" i="2"/>
  <c r="X2478" i="2"/>
  <c r="X1918" i="2"/>
  <c r="X1367" i="2"/>
  <c r="X816" i="2"/>
  <c r="X1094" i="2"/>
  <c r="X2680" i="2"/>
  <c r="X2141" i="2"/>
  <c r="X1038" i="2"/>
  <c r="X2105" i="2"/>
  <c r="X1558" i="2"/>
  <c r="X456" i="2"/>
  <c r="X452" i="2"/>
  <c r="X1364" i="2"/>
  <c r="X1036" i="2"/>
  <c r="X498" i="2"/>
  <c r="X2101" i="2"/>
  <c r="X2099" i="2"/>
  <c r="X1557" i="2"/>
  <c r="X1361" i="2"/>
  <c r="X1358" i="2"/>
  <c r="X815" i="2"/>
  <c r="X814" i="2"/>
  <c r="X813" i="2"/>
  <c r="X235" i="2"/>
  <c r="X451" i="2"/>
  <c r="X233" i="2"/>
  <c r="X1507" i="2"/>
  <c r="X938" i="2"/>
  <c r="X1354" i="2"/>
  <c r="X231" i="2"/>
  <c r="X228" i="2"/>
  <c r="X225" i="2"/>
  <c r="X223" i="2"/>
  <c r="X2473" i="2"/>
  <c r="X2470" i="2"/>
  <c r="X1909" i="2"/>
  <c r="X1352" i="2"/>
  <c r="X2468" i="2"/>
  <c r="X2465" i="2"/>
  <c r="X222" i="2"/>
  <c r="X1597" i="2"/>
  <c r="X1034" i="2"/>
  <c r="X1905" i="2"/>
  <c r="X1903" i="2"/>
  <c r="X1902" i="2"/>
  <c r="X1505" i="2"/>
  <c r="X1503" i="2"/>
  <c r="X1555" i="2"/>
  <c r="X988" i="2"/>
  <c r="X806" i="2"/>
  <c r="X415" i="2"/>
  <c r="X220" i="2"/>
  <c r="X2047" i="2"/>
  <c r="X1499" i="2"/>
  <c r="X1498" i="2"/>
  <c r="X934" i="2"/>
  <c r="X933" i="2"/>
  <c r="X413" i="2"/>
  <c r="X217" i="2"/>
  <c r="X215" i="2"/>
  <c r="X214" i="2"/>
  <c r="X2744" i="2"/>
  <c r="X2196" i="2"/>
  <c r="X1092" i="2"/>
  <c r="X496" i="2"/>
  <c r="X495" i="2"/>
  <c r="X1900" i="2"/>
  <c r="X800" i="2"/>
  <c r="X210" i="2"/>
  <c r="X2612" i="2"/>
  <c r="X2610" i="2"/>
  <c r="X2607" i="2"/>
  <c r="X1899" i="2"/>
  <c r="X2081" i="2"/>
  <c r="X1533" i="2"/>
  <c r="X970" i="2"/>
  <c r="X208" i="2"/>
  <c r="X2462" i="2"/>
  <c r="X2460" i="2"/>
  <c r="X1344" i="2"/>
  <c r="X2458" i="2"/>
  <c r="X2138" i="2"/>
  <c r="X1894" i="2"/>
  <c r="X1342" i="2"/>
  <c r="X797" i="2"/>
  <c r="X1032" i="2"/>
  <c r="X206" i="2"/>
  <c r="X204" i="2"/>
  <c r="X202" i="2"/>
  <c r="X1341" i="2"/>
  <c r="X794" i="2"/>
  <c r="X791" i="2"/>
  <c r="X200" i="2"/>
  <c r="X197" i="2"/>
  <c r="X2046" i="2"/>
  <c r="X1676" i="2"/>
  <c r="X1496" i="2"/>
  <c r="X1125" i="2"/>
  <c r="X576" i="2"/>
  <c r="X575" i="2"/>
  <c r="X929" i="2"/>
  <c r="X407" i="2"/>
  <c r="X404" i="2"/>
  <c r="X2568" i="2"/>
  <c r="X2565" i="2"/>
  <c r="X2042" i="2"/>
  <c r="X2040" i="2"/>
  <c r="X1338" i="2"/>
  <c r="X1337" i="2"/>
  <c r="X194" i="2"/>
  <c r="X400" i="2"/>
  <c r="X2454" i="2"/>
  <c r="X2452" i="2"/>
  <c r="X2450" i="2"/>
  <c r="X1890" i="2"/>
  <c r="X1336" i="2"/>
  <c r="X1593" i="2"/>
  <c r="X787" i="2"/>
  <c r="X1029" i="2"/>
  <c r="X190" i="2"/>
  <c r="X1888" i="2"/>
  <c r="X1334" i="2"/>
  <c r="X1331" i="2"/>
  <c r="X189" i="2"/>
  <c r="X186" i="2"/>
  <c r="X2132" i="2"/>
  <c r="X1590" i="2"/>
  <c r="X1026" i="2"/>
  <c r="X1023" i="2"/>
  <c r="X487" i="2"/>
  <c r="X2195" i="2"/>
  <c r="X1885" i="2"/>
  <c r="X1883" i="2"/>
  <c r="X1328" i="2"/>
  <c r="X1205" i="2"/>
  <c r="X654" i="2"/>
  <c r="X2014" i="2"/>
  <c r="X907" i="2"/>
  <c r="X378" i="2"/>
  <c r="X2340" i="2"/>
  <c r="X2337" i="2"/>
  <c r="X1750" i="2"/>
  <c r="X66" i="2"/>
  <c r="X2704" i="2"/>
  <c r="X2330" i="2"/>
  <c r="X1748" i="2"/>
  <c r="X650" i="2"/>
  <c r="X2324" i="2"/>
  <c r="X2320" i="2"/>
  <c r="X1200" i="2"/>
  <c r="X61" i="2"/>
  <c r="X2317" i="2"/>
  <c r="X648" i="2"/>
  <c r="X2315" i="2"/>
  <c r="X1741" i="2"/>
  <c r="X59" i="2"/>
  <c r="X2313" i="2"/>
  <c r="X643" i="2"/>
  <c r="X1189" i="2"/>
  <c r="X998" i="2"/>
  <c r="X2308" i="2"/>
  <c r="X1737" i="2"/>
  <c r="X638" i="2"/>
  <c r="X56" i="2"/>
  <c r="X464" i="2"/>
  <c r="X2210" i="2"/>
  <c r="X2209" i="2"/>
  <c r="X2205" i="2"/>
  <c r="X2692" i="2"/>
  <c r="X2152" i="2"/>
  <c r="X1043" i="2"/>
  <c r="X2528" i="2"/>
  <c r="X2011" i="2"/>
  <c r="X1102" i="2"/>
  <c r="X2304" i="2"/>
  <c r="X1184" i="2"/>
  <c r="X633" i="2"/>
  <c r="X2302" i="2"/>
  <c r="X1734" i="2"/>
  <c r="X1180" i="2"/>
  <c r="X629" i="2"/>
  <c r="X52" i="2"/>
  <c r="X1991" i="2"/>
  <c r="X1987" i="2"/>
  <c r="X886" i="2"/>
  <c r="X1616" i="2"/>
  <c r="X2574" i="2"/>
  <c r="X1515" i="2"/>
  <c r="X954" i="2"/>
  <c r="X950" i="2"/>
  <c r="X1732" i="2"/>
  <c r="X2296" i="2"/>
  <c r="X2294" i="2"/>
  <c r="X2290" i="2"/>
  <c r="X1729" i="2"/>
  <c r="X2287" i="2"/>
  <c r="X2283" i="2"/>
  <c r="X1727" i="2"/>
  <c r="X48" i="2"/>
  <c r="X1726" i="2"/>
  <c r="X1169" i="2"/>
  <c r="X2703" i="2"/>
  <c r="X2616" i="2"/>
  <c r="X2090" i="2"/>
  <c r="X1542" i="2"/>
  <c r="X2276" i="2"/>
  <c r="X621" i="2"/>
  <c r="X2275" i="2"/>
  <c r="X1724" i="2"/>
  <c r="X1722" i="2"/>
  <c r="X1718" i="2"/>
  <c r="X619" i="2"/>
  <c r="X1541" i="2"/>
  <c r="X974" i="2"/>
  <c r="X2522" i="2"/>
  <c r="X1465" i="2"/>
  <c r="X904" i="2"/>
  <c r="X2272" i="2"/>
  <c r="X1166" i="2"/>
  <c r="X45" i="2"/>
  <c r="X2268" i="2"/>
  <c r="X2264" i="2"/>
  <c r="X2260" i="2"/>
  <c r="X1164" i="2"/>
  <c r="X2258" i="2"/>
  <c r="X2254" i="2"/>
  <c r="X1711" i="2"/>
  <c r="X613" i="2"/>
  <c r="X2201" i="2"/>
  <c r="X1650" i="2"/>
  <c r="X554" i="2"/>
  <c r="X2250" i="2"/>
  <c r="X1709" i="2"/>
  <c r="X1158" i="2"/>
  <c r="X611" i="2"/>
  <c r="X898" i="2"/>
  <c r="X1538" i="2"/>
  <c r="X609" i="2"/>
  <c r="X783" i="2"/>
  <c r="X185" i="2"/>
  <c r="X184" i="2"/>
  <c r="X183" i="2"/>
  <c r="X1090" i="2"/>
  <c r="X542" i="2"/>
  <c r="X2743" i="2"/>
  <c r="X2194" i="2"/>
  <c r="X2193" i="2"/>
  <c r="X2192" i="2"/>
  <c r="X1643" i="2"/>
  <c r="X1642" i="2"/>
  <c r="X1089" i="2"/>
  <c r="X2742" i="2"/>
  <c r="X2741" i="2"/>
  <c r="X2740" i="2"/>
  <c r="X2739" i="2"/>
  <c r="X2738" i="2"/>
  <c r="X2737" i="2"/>
  <c r="X2191" i="2"/>
  <c r="X2190" i="2"/>
  <c r="X2189" i="2"/>
  <c r="X2188" i="2"/>
  <c r="X1641" i="2"/>
  <c r="X1088" i="2"/>
  <c r="X1087" i="2"/>
  <c r="X541" i="2"/>
  <c r="X2736" i="2"/>
  <c r="X2563" i="2"/>
  <c r="X2562" i="2"/>
  <c r="X2561" i="2"/>
  <c r="X2037" i="2"/>
  <c r="X399" i="2"/>
  <c r="X2560" i="2"/>
  <c r="X2559" i="2"/>
  <c r="X1492" i="2"/>
  <c r="X1491" i="2"/>
  <c r="X926" i="2"/>
  <c r="X925" i="2"/>
  <c r="X398" i="2"/>
  <c r="X397" i="2"/>
  <c r="X396" i="2"/>
  <c r="X2447" i="2"/>
  <c r="X2446" i="2"/>
  <c r="X2445" i="2"/>
  <c r="X1882" i="2"/>
  <c r="X1881" i="2"/>
  <c r="X1880" i="2"/>
  <c r="X1879" i="2"/>
  <c r="X1878" i="2"/>
  <c r="X1327" i="2"/>
  <c r="X1326" i="2"/>
  <c r="X1325" i="2"/>
  <c r="X1324" i="2"/>
  <c r="X1323" i="2"/>
  <c r="X782" i="2"/>
  <c r="X781" i="2"/>
  <c r="X780" i="2"/>
  <c r="X779" i="2"/>
  <c r="X778" i="2"/>
  <c r="X777" i="2"/>
  <c r="X776" i="2"/>
  <c r="X182" i="2"/>
  <c r="X181" i="2"/>
  <c r="X180" i="2"/>
  <c r="X179" i="2"/>
  <c r="X178" i="2"/>
  <c r="X177" i="2"/>
  <c r="X2187" i="2"/>
  <c r="X1086" i="2"/>
  <c r="X1322" i="2"/>
  <c r="X775" i="2"/>
  <c r="X176" i="2"/>
  <c r="X175" i="2"/>
  <c r="X1877" i="2"/>
  <c r="X1876" i="2"/>
  <c r="X1875" i="2"/>
  <c r="X1321" i="2"/>
  <c r="X1320" i="2"/>
  <c r="X1319" i="2"/>
  <c r="X1318" i="2"/>
  <c r="X1317" i="2"/>
  <c r="X1316" i="2"/>
  <c r="X1315" i="2"/>
  <c r="X774" i="2"/>
  <c r="X174" i="2"/>
  <c r="X173" i="2"/>
  <c r="X172" i="2"/>
  <c r="X1874" i="2"/>
  <c r="X1873" i="2"/>
  <c r="X1872" i="2"/>
  <c r="X1314" i="2"/>
  <c r="X1313" i="2"/>
  <c r="X773" i="2"/>
  <c r="X772" i="2"/>
  <c r="X771" i="2"/>
  <c r="X770" i="2"/>
  <c r="X769" i="2"/>
  <c r="X171" i="2"/>
  <c r="X170" i="2"/>
  <c r="X169" i="2"/>
  <c r="X168" i="2"/>
  <c r="X167" i="2"/>
  <c r="X166" i="2"/>
  <c r="X165" i="2"/>
  <c r="X987" i="2"/>
  <c r="X2444" i="2"/>
  <c r="X2443" i="2"/>
  <c r="X1871" i="2"/>
  <c r="X1870" i="2"/>
  <c r="X1869" i="2"/>
  <c r="X1312" i="2"/>
  <c r="X1311" i="2"/>
  <c r="X1310" i="2"/>
  <c r="X768" i="2"/>
  <c r="X164" i="2"/>
  <c r="X163" i="2"/>
  <c r="X162" i="2"/>
  <c r="X161" i="2"/>
  <c r="X2606" i="2"/>
  <c r="X2605" i="2"/>
  <c r="X2604" i="2"/>
  <c r="X2603" i="2"/>
  <c r="X2602" i="2"/>
  <c r="X2078" i="2"/>
  <c r="X2077" i="2"/>
  <c r="X2076" i="2"/>
  <c r="X2075" i="2"/>
  <c r="X1531" i="2"/>
  <c r="X1530" i="2"/>
  <c r="X968" i="2"/>
  <c r="X430" i="2"/>
  <c r="X2601" i="2"/>
  <c r="X2600" i="2"/>
  <c r="X2599" i="2"/>
  <c r="X2598" i="2"/>
  <c r="X2597" i="2"/>
  <c r="X2596" i="2"/>
  <c r="X2442" i="2"/>
  <c r="X2595" i="2"/>
  <c r="X2441" i="2"/>
  <c r="X2440" i="2"/>
  <c r="X1868" i="2"/>
  <c r="X1867" i="2"/>
  <c r="X2074" i="2"/>
  <c r="X2073" i="2"/>
  <c r="X1529" i="2"/>
  <c r="X1309" i="2"/>
  <c r="X1528" i="2"/>
  <c r="X1308" i="2"/>
  <c r="X967" i="2"/>
  <c r="X767" i="2"/>
  <c r="X766" i="2"/>
  <c r="X966" i="2"/>
  <c r="X160" i="2"/>
  <c r="X159" i="2"/>
  <c r="X158" i="2"/>
  <c r="X157" i="2"/>
  <c r="X429" i="2"/>
  <c r="X2439" i="2"/>
  <c r="X1866" i="2"/>
  <c r="X1865" i="2"/>
  <c r="X1864" i="2"/>
  <c r="X1307" i="2"/>
  <c r="X1306" i="2"/>
  <c r="X1305" i="2"/>
  <c r="X1304" i="2"/>
  <c r="X765" i="2"/>
  <c r="X764" i="2"/>
  <c r="X763" i="2"/>
  <c r="X156" i="2"/>
  <c r="X155" i="2"/>
  <c r="X154" i="2"/>
  <c r="X2036" i="2"/>
  <c r="X2035" i="2"/>
  <c r="X1490" i="2"/>
  <c r="X1489" i="2"/>
  <c r="X1488" i="2"/>
  <c r="X924" i="2"/>
  <c r="X923" i="2"/>
  <c r="X922" i="2"/>
  <c r="X921" i="2"/>
  <c r="X920" i="2"/>
  <c r="X919" i="2"/>
  <c r="X918" i="2"/>
  <c r="X395" i="2"/>
  <c r="X394" i="2"/>
  <c r="X393" i="2"/>
  <c r="X392" i="2"/>
  <c r="X391" i="2"/>
  <c r="X1674" i="2"/>
  <c r="X1673" i="2"/>
  <c r="X1123" i="2"/>
  <c r="X1122" i="2"/>
  <c r="X1121" i="2"/>
  <c r="X1120" i="2"/>
  <c r="X1999" i="2"/>
  <c r="X1998" i="2"/>
  <c r="X1453" i="2"/>
  <c r="X892" i="2"/>
  <c r="X891" i="2"/>
  <c r="X890" i="2"/>
  <c r="X366" i="2"/>
  <c r="X365" i="2"/>
  <c r="X364" i="2"/>
  <c r="X363" i="2"/>
  <c r="X153" i="2"/>
  <c r="X2735" i="2"/>
  <c r="X2734" i="2"/>
  <c r="X2186" i="2"/>
  <c r="X2185" i="2"/>
  <c r="X2184" i="2"/>
  <c r="X1640" i="2"/>
  <c r="X1639" i="2"/>
  <c r="X1085" i="2"/>
  <c r="X1084" i="2"/>
  <c r="X1083" i="2"/>
  <c r="X540" i="2"/>
  <c r="X539" i="2"/>
  <c r="X538" i="2"/>
  <c r="X537" i="2"/>
  <c r="X2438" i="2"/>
  <c r="X2437" i="2"/>
  <c r="X2436" i="2"/>
  <c r="X2435" i="2"/>
  <c r="X2434" i="2"/>
  <c r="X2433" i="2"/>
  <c r="X1863" i="2"/>
  <c r="X1862" i="2"/>
  <c r="X1861" i="2"/>
  <c r="X1860" i="2"/>
  <c r="X1303" i="2"/>
  <c r="X1302" i="2"/>
  <c r="X1301" i="2"/>
  <c r="X762" i="2"/>
  <c r="X761" i="2"/>
  <c r="X152" i="2"/>
  <c r="X151" i="2"/>
  <c r="X150" i="2"/>
  <c r="X2594" i="2"/>
  <c r="X2558" i="2"/>
  <c r="X2593" i="2"/>
  <c r="X2592" i="2"/>
  <c r="X2591" i="2"/>
  <c r="X2557" i="2"/>
  <c r="X2590" i="2"/>
  <c r="X2589" i="2"/>
  <c r="X2072" i="2"/>
  <c r="X2034" i="2"/>
  <c r="X2071" i="2"/>
  <c r="X1487" i="2"/>
  <c r="X1527" i="2"/>
  <c r="X1526" i="2"/>
  <c r="X1525" i="2"/>
  <c r="X965" i="2"/>
  <c r="X964" i="2"/>
  <c r="X963" i="2"/>
  <c r="X390" i="2"/>
  <c r="X428" i="2"/>
  <c r="X2432" i="2"/>
  <c r="X2431" i="2"/>
  <c r="X1859" i="2"/>
  <c r="X1858" i="2"/>
  <c r="X1857" i="2"/>
  <c r="X1300" i="2"/>
  <c r="X1299" i="2"/>
  <c r="X1298" i="2"/>
  <c r="X1297" i="2"/>
  <c r="X760" i="2"/>
  <c r="X759" i="2"/>
  <c r="X758" i="2"/>
  <c r="X757" i="2"/>
  <c r="X149" i="2"/>
  <c r="X148" i="2"/>
  <c r="X147" i="2"/>
  <c r="X146" i="2"/>
  <c r="X2430" i="2"/>
  <c r="X1856" i="2"/>
  <c r="X1855" i="2"/>
  <c r="X1296" i="2"/>
  <c r="X1295" i="2"/>
  <c r="X756" i="2"/>
  <c r="X755" i="2"/>
  <c r="X145" i="2"/>
  <c r="X144" i="2"/>
  <c r="X143" i="2"/>
  <c r="X142" i="2"/>
  <c r="X1854" i="2"/>
  <c r="X754" i="2"/>
  <c r="X1853" i="2"/>
  <c r="X1852" i="2"/>
  <c r="X1851" i="2"/>
  <c r="X1294" i="2"/>
  <c r="X1293" i="2"/>
  <c r="X1292" i="2"/>
  <c r="X1850" i="2"/>
  <c r="X1849" i="2"/>
  <c r="X1848" i="2"/>
  <c r="X1291" i="2"/>
  <c r="X753" i="2"/>
  <c r="X752" i="2"/>
  <c r="X751" i="2"/>
  <c r="X750" i="2"/>
  <c r="X141" i="2"/>
  <c r="X140" i="2"/>
  <c r="X139" i="2"/>
  <c r="X138" i="2"/>
  <c r="X137" i="2"/>
  <c r="X136" i="2"/>
  <c r="X135" i="2"/>
  <c r="X1054" i="2"/>
  <c r="X1053" i="2"/>
  <c r="X2556" i="2"/>
  <c r="X2555" i="2"/>
  <c r="X2033" i="2"/>
  <c r="X2032" i="2"/>
  <c r="X1486" i="2"/>
  <c r="X1485" i="2"/>
  <c r="X1484" i="2"/>
  <c r="X2519" i="2"/>
  <c r="X2006" i="2"/>
  <c r="X2005" i="2"/>
  <c r="X1462" i="2"/>
  <c r="X1461" i="2"/>
  <c r="X896" i="2"/>
  <c r="X895" i="2"/>
  <c r="X373" i="2"/>
  <c r="X372" i="2"/>
  <c r="X371" i="2"/>
  <c r="X370" i="2"/>
  <c r="X2230" i="2"/>
  <c r="X2229" i="2"/>
  <c r="X2228" i="2"/>
  <c r="X2227" i="2"/>
  <c r="X2226" i="2"/>
  <c r="X2225" i="2"/>
  <c r="X2224" i="2"/>
  <c r="X2223" i="2"/>
  <c r="X1672" i="2"/>
  <c r="X1671" i="2"/>
  <c r="X1670" i="2"/>
  <c r="X1669" i="2"/>
  <c r="X1119" i="2"/>
  <c r="X1118" i="2"/>
  <c r="X573" i="2"/>
  <c r="X15" i="2"/>
  <c r="X2671" i="2"/>
  <c r="X2670" i="2"/>
  <c r="X2669" i="2"/>
  <c r="X2668" i="2"/>
  <c r="X2667" i="2"/>
  <c r="X2131" i="2"/>
  <c r="X1589" i="2"/>
  <c r="X1588" i="2"/>
  <c r="X484" i="2"/>
  <c r="X2429" i="2"/>
  <c r="X2428" i="2"/>
  <c r="X2427" i="2"/>
  <c r="X1847" i="2"/>
  <c r="X1846" i="2"/>
  <c r="X1290" i="2"/>
  <c r="X1289" i="2"/>
  <c r="X1288" i="2"/>
  <c r="X1287" i="2"/>
  <c r="X1286" i="2"/>
  <c r="X749" i="2"/>
  <c r="X748" i="2"/>
  <c r="X747" i="2"/>
  <c r="X746" i="2"/>
  <c r="X134" i="2"/>
  <c r="X133" i="2"/>
  <c r="X132" i="2"/>
  <c r="X131" i="2"/>
  <c r="X130" i="2"/>
  <c r="X1845" i="2"/>
  <c r="X745" i="2"/>
  <c r="X744" i="2"/>
  <c r="X743" i="2"/>
  <c r="X742" i="2"/>
  <c r="X129" i="2"/>
  <c r="X128" i="2"/>
  <c r="X1554" i="2"/>
  <c r="X986" i="2"/>
  <c r="X1844" i="2"/>
  <c r="X1843" i="2"/>
  <c r="X1842" i="2"/>
  <c r="X1285" i="2"/>
  <c r="X741" i="2"/>
  <c r="X740" i="2"/>
  <c r="X739" i="2"/>
  <c r="X738" i="2"/>
  <c r="X127" i="2"/>
  <c r="X126" i="2"/>
  <c r="X125" i="2"/>
  <c r="X124" i="2"/>
  <c r="X123" i="2"/>
  <c r="X122" i="2"/>
  <c r="X2518" i="2"/>
  <c r="X2517" i="2"/>
  <c r="X1997" i="2"/>
  <c r="X1996" i="2"/>
  <c r="X1452" i="2"/>
  <c r="X1451" i="2"/>
  <c r="X1450" i="2"/>
  <c r="X889" i="2"/>
  <c r="X888" i="2"/>
  <c r="X1553" i="2"/>
  <c r="X985" i="2"/>
  <c r="X447" i="2"/>
  <c r="X446" i="2"/>
  <c r="X445" i="2"/>
  <c r="X444" i="2"/>
  <c r="X2426" i="2"/>
  <c r="X2425" i="2"/>
  <c r="X2424" i="2"/>
  <c r="X2423" i="2"/>
  <c r="X2422" i="2"/>
  <c r="X2421" i="2"/>
  <c r="X2420" i="2"/>
  <c r="X1841" i="2"/>
  <c r="X1840" i="2"/>
  <c r="X1839" i="2"/>
  <c r="X1284" i="2"/>
  <c r="X1283" i="2"/>
  <c r="X737" i="2"/>
  <c r="X121" i="2"/>
  <c r="X2733" i="2"/>
  <c r="X2732" i="2"/>
  <c r="X2183" i="2"/>
  <c r="X2182" i="2"/>
  <c r="X1638" i="2"/>
  <c r="X2419" i="2"/>
  <c r="X2418" i="2"/>
  <c r="X2417" i="2"/>
  <c r="X2416" i="2"/>
  <c r="X2415" i="2"/>
  <c r="X2414" i="2"/>
  <c r="X1838" i="2"/>
  <c r="X1837" i="2"/>
  <c r="X1282" i="2"/>
  <c r="X1281" i="2"/>
  <c r="X736" i="2"/>
  <c r="X735" i="2"/>
  <c r="X734" i="2"/>
  <c r="X120" i="2"/>
  <c r="X2413" i="2"/>
  <c r="X2222" i="2"/>
  <c r="X2412" i="2"/>
  <c r="X1668" i="2"/>
  <c r="X1667" i="2"/>
  <c r="X1666" i="2"/>
  <c r="X1117" i="2"/>
  <c r="X1116" i="2"/>
  <c r="X1280" i="2"/>
  <c r="X572" i="2"/>
  <c r="X571" i="2"/>
  <c r="X570" i="2"/>
  <c r="X569" i="2"/>
  <c r="X14" i="2"/>
  <c r="X119" i="2"/>
  <c r="X118" i="2"/>
  <c r="X117" i="2"/>
  <c r="X2702" i="2"/>
  <c r="X2701" i="2"/>
  <c r="X2162" i="2"/>
  <c r="X1615" i="2"/>
  <c r="X1614" i="2"/>
  <c r="X519" i="2"/>
  <c r="X518" i="2"/>
  <c r="X517" i="2"/>
  <c r="X516" i="2"/>
  <c r="X1665" i="2"/>
  <c r="X1115" i="2"/>
  <c r="X568" i="2"/>
  <c r="X567" i="2"/>
  <c r="X566" i="2"/>
  <c r="X565" i="2"/>
  <c r="X564" i="2"/>
  <c r="X13" i="2"/>
  <c r="X12" i="2"/>
  <c r="X1587" i="2"/>
  <c r="X1022" i="2"/>
  <c r="X2181" i="2"/>
  <c r="X2098" i="2"/>
  <c r="X2097" i="2"/>
  <c r="X2096" i="2"/>
  <c r="X2095" i="2"/>
  <c r="X1552" i="2"/>
  <c r="X1551" i="2"/>
  <c r="X1550" i="2"/>
  <c r="X1549" i="2"/>
  <c r="X1586" i="2"/>
  <c r="X984" i="2"/>
  <c r="X983" i="2"/>
  <c r="X1021" i="2"/>
  <c r="X982" i="2"/>
  <c r="X443" i="2"/>
  <c r="X483" i="2"/>
  <c r="X1836" i="2"/>
  <c r="X1835" i="2"/>
  <c r="X733" i="2"/>
  <c r="X732" i="2"/>
  <c r="X116" i="2"/>
  <c r="X1834" i="2"/>
  <c r="X1833" i="2"/>
  <c r="X1279" i="2"/>
  <c r="X1278" i="2"/>
  <c r="X731" i="2"/>
  <c r="X115" i="2"/>
  <c r="X114" i="2"/>
  <c r="X113" i="2"/>
  <c r="X2554" i="2"/>
  <c r="X2553" i="2"/>
  <c r="X2031" i="2"/>
  <c r="X2030" i="2"/>
  <c r="X1483" i="2"/>
  <c r="X1482" i="2"/>
  <c r="X389" i="2"/>
  <c r="X388" i="2"/>
  <c r="X387" i="2"/>
  <c r="X1548" i="2"/>
  <c r="X981" i="2"/>
  <c r="X442" i="2"/>
  <c r="X2588" i="2"/>
  <c r="X2587" i="2"/>
  <c r="X2586" i="2"/>
  <c r="X2585" i="2"/>
  <c r="X2584" i="2"/>
  <c r="X2583" i="2"/>
  <c r="X2582" i="2"/>
  <c r="X2070" i="2"/>
  <c r="X2069" i="2"/>
  <c r="X2068" i="2"/>
  <c r="X1524" i="2"/>
  <c r="X962" i="2"/>
  <c r="X2621" i="2"/>
  <c r="X2620" i="2"/>
  <c r="X2094" i="2"/>
  <c r="X2581" i="2"/>
  <c r="X2580" i="2"/>
  <c r="X2579" i="2"/>
  <c r="X2578" i="2"/>
  <c r="X1523" i="2"/>
  <c r="X1522" i="2"/>
  <c r="X961" i="2"/>
  <c r="X960" i="2"/>
  <c r="X536" i="2"/>
  <c r="X535" i="2"/>
  <c r="X2619" i="2"/>
  <c r="X2618" i="2"/>
  <c r="X2617" i="2"/>
  <c r="X2093" i="2"/>
  <c r="X1547" i="2"/>
  <c r="X1546" i="2"/>
  <c r="X980" i="2"/>
  <c r="X441" i="2"/>
  <c r="X2411" i="2"/>
  <c r="X2410" i="2"/>
  <c r="X2409" i="2"/>
  <c r="X1832" i="2"/>
  <c r="X1831" i="2"/>
  <c r="X1830" i="2"/>
  <c r="X1277" i="2"/>
  <c r="X1276" i="2"/>
  <c r="X730" i="2"/>
  <c r="X729" i="2"/>
  <c r="X728" i="2"/>
  <c r="X112" i="2"/>
  <c r="X111" i="2"/>
  <c r="X110" i="2"/>
  <c r="X2180" i="2"/>
  <c r="X1082" i="2"/>
  <c r="X1081" i="2"/>
  <c r="X1080" i="2"/>
  <c r="X534" i="2"/>
  <c r="X533" i="2"/>
  <c r="X1829" i="2"/>
  <c r="X1828" i="2"/>
  <c r="X1827" i="2"/>
  <c r="X1826" i="2"/>
  <c r="X1825" i="2"/>
  <c r="X1275" i="2"/>
  <c r="X1274" i="2"/>
  <c r="X1273" i="2"/>
  <c r="X1272" i="2"/>
  <c r="X727" i="2"/>
  <c r="X726" i="2"/>
  <c r="X725" i="2"/>
  <c r="X724" i="2"/>
  <c r="X723" i="2"/>
  <c r="X109" i="2"/>
  <c r="X2029" i="2"/>
  <c r="X1481" i="2"/>
  <c r="X1480" i="2"/>
  <c r="X1479" i="2"/>
  <c r="X917" i="2"/>
  <c r="X916" i="2"/>
  <c r="X915" i="2"/>
  <c r="X1824" i="2"/>
  <c r="X1823" i="2"/>
  <c r="X1822" i="2"/>
  <c r="X1821" i="2"/>
  <c r="X1271" i="2"/>
  <c r="X1270" i="2"/>
  <c r="X1269" i="2"/>
  <c r="X722" i="2"/>
  <c r="X721" i="2"/>
  <c r="X108" i="2"/>
  <c r="X107" i="2"/>
  <c r="X106" i="2"/>
  <c r="X105" i="2"/>
  <c r="X104" i="2"/>
  <c r="X2666" i="2"/>
  <c r="X2665" i="2"/>
  <c r="X2664" i="2"/>
  <c r="X2130" i="2"/>
  <c r="X1585" i="2"/>
  <c r="X482" i="2"/>
  <c r="X2408" i="2"/>
  <c r="X2407" i="2"/>
  <c r="X2406" i="2"/>
  <c r="X2405" i="2"/>
  <c r="X2404" i="2"/>
  <c r="X2403" i="2"/>
  <c r="X1820" i="2"/>
  <c r="X1268" i="2"/>
  <c r="X1267" i="2"/>
  <c r="X1266" i="2"/>
  <c r="X720" i="2"/>
  <c r="X719" i="2"/>
  <c r="X103" i="2"/>
  <c r="X102" i="2"/>
  <c r="X101" i="2"/>
  <c r="X2552" i="2"/>
  <c r="X2551" i="2"/>
  <c r="X2550" i="2"/>
  <c r="X2549" i="2"/>
  <c r="X2548" i="2"/>
  <c r="X2547" i="2"/>
  <c r="X2546" i="2"/>
  <c r="X2545" i="2"/>
  <c r="X2544" i="2"/>
  <c r="X2028" i="2"/>
  <c r="X2027" i="2"/>
  <c r="X2026" i="2"/>
  <c r="X2025" i="2"/>
  <c r="X2024" i="2"/>
  <c r="X1478" i="2"/>
  <c r="X914" i="2"/>
  <c r="X913" i="2"/>
  <c r="X386" i="2"/>
  <c r="X2577" i="2"/>
  <c r="X1521" i="2"/>
  <c r="X1520" i="2"/>
  <c r="X1519" i="2"/>
  <c r="X959" i="2"/>
  <c r="X2731" i="2"/>
  <c r="X2730" i="2"/>
  <c r="X2729" i="2"/>
  <c r="X2179" i="2"/>
  <c r="X1637" i="2"/>
  <c r="X1636" i="2"/>
  <c r="X532" i="2"/>
  <c r="X531" i="2"/>
  <c r="X530" i="2"/>
  <c r="X2728" i="2"/>
  <c r="X2178" i="2"/>
  <c r="X1079" i="2"/>
  <c r="X529" i="2"/>
  <c r="X2402" i="2"/>
  <c r="X2401" i="2"/>
  <c r="X2400" i="2"/>
  <c r="X1819" i="2"/>
  <c r="X1265" i="2"/>
  <c r="X718" i="2"/>
  <c r="X100" i="2"/>
  <c r="X481" i="2"/>
  <c r="X2177" i="2"/>
  <c r="X1635" i="2"/>
  <c r="X1634" i="2"/>
  <c r="X1078" i="2"/>
  <c r="X1077" i="2"/>
  <c r="X1076" i="2"/>
  <c r="X1075" i="2"/>
  <c r="X1074" i="2"/>
  <c r="X528" i="2"/>
  <c r="X527" i="2"/>
  <c r="X1818" i="2"/>
  <c r="X1817" i="2"/>
  <c r="X1264" i="2"/>
  <c r="X717" i="2"/>
  <c r="X716" i="2"/>
  <c r="X715" i="2"/>
  <c r="X714" i="2"/>
  <c r="X2176" i="2"/>
  <c r="X1633" i="2"/>
  <c r="X1632" i="2"/>
  <c r="X1664" i="2"/>
  <c r="X1663" i="2"/>
  <c r="X1662" i="2"/>
  <c r="X1661" i="2"/>
  <c r="X1660" i="2"/>
  <c r="X1114" i="2"/>
  <c r="X1113" i="2"/>
  <c r="X1112" i="2"/>
  <c r="X1111" i="2"/>
  <c r="X563" i="2"/>
  <c r="X562" i="2"/>
  <c r="X561" i="2"/>
  <c r="X560" i="2"/>
  <c r="X11" i="2"/>
  <c r="X10" i="2"/>
  <c r="X9" i="2"/>
  <c r="X2516" i="2"/>
  <c r="X2515" i="2"/>
  <c r="X2514" i="2"/>
  <c r="X1995" i="2"/>
  <c r="X1994" i="2"/>
  <c r="X1993" i="2"/>
  <c r="X1449" i="2"/>
  <c r="X1448" i="2"/>
  <c r="X1447" i="2"/>
  <c r="X1446" i="2"/>
  <c r="X1445" i="2"/>
  <c r="X362" i="2"/>
  <c r="X361" i="2"/>
  <c r="X360" i="2"/>
  <c r="X359" i="2"/>
  <c r="X2663" i="2"/>
  <c r="X2662" i="2"/>
  <c r="X2661" i="2"/>
  <c r="X2660" i="2"/>
  <c r="X2659" i="2"/>
  <c r="X2658" i="2"/>
  <c r="X2657" i="2"/>
  <c r="X2656" i="2"/>
  <c r="X2129" i="2"/>
  <c r="X2128" i="2"/>
  <c r="X1584" i="2"/>
  <c r="X1583" i="2"/>
  <c r="X1020" i="2"/>
  <c r="X1019" i="2"/>
  <c r="X1018" i="2"/>
  <c r="X480" i="2"/>
  <c r="X479" i="2"/>
  <c r="X2399" i="2"/>
  <c r="X2398" i="2"/>
  <c r="X2397" i="2"/>
  <c r="X2396" i="2"/>
  <c r="X2395" i="2"/>
  <c r="X2394" i="2"/>
  <c r="X2393" i="2"/>
  <c r="X1816" i="2"/>
  <c r="X1815" i="2"/>
  <c r="X1263" i="2"/>
  <c r="X1262" i="2"/>
  <c r="X713" i="2"/>
  <c r="X99" i="2"/>
  <c r="X98" i="2"/>
  <c r="X97" i="2"/>
  <c r="X2655" i="2"/>
  <c r="X2654" i="2"/>
  <c r="X2653" i="2"/>
  <c r="X2652" i="2"/>
  <c r="X2127" i="2"/>
  <c r="X2126" i="2"/>
  <c r="X2125" i="2"/>
  <c r="X1582" i="2"/>
  <c r="X1581" i="2"/>
  <c r="X1580" i="2"/>
  <c r="X1579" i="2"/>
  <c r="X1017" i="2"/>
  <c r="X1016" i="2"/>
  <c r="X1015" i="2"/>
  <c r="X478" i="2"/>
  <c r="X477" i="2"/>
  <c r="X2651" i="2"/>
  <c r="X2650" i="2"/>
  <c r="X2124" i="2"/>
  <c r="X1578" i="2"/>
  <c r="X1577" i="2"/>
  <c r="X1014" i="2"/>
  <c r="X1013" i="2"/>
  <c r="X1012" i="2"/>
  <c r="X1011" i="2"/>
  <c r="X476" i="2"/>
  <c r="X475" i="2"/>
  <c r="X1659" i="2"/>
  <c r="X1658" i="2"/>
  <c r="X559" i="2"/>
  <c r="X558" i="2"/>
  <c r="X557" i="2"/>
  <c r="X1814" i="2"/>
  <c r="X1657" i="2"/>
  <c r="X1813" i="2"/>
  <c r="X1656" i="2"/>
  <c r="X1812" i="2"/>
  <c r="X1655" i="2"/>
  <c r="X1811" i="2"/>
  <c r="X1810" i="2"/>
  <c r="X1261" i="2"/>
  <c r="X1260" i="2"/>
  <c r="X1259" i="2"/>
  <c r="X1258" i="2"/>
  <c r="X1257" i="2"/>
  <c r="X1110" i="2"/>
  <c r="X1109" i="2"/>
  <c r="X1108" i="2"/>
  <c r="X712" i="2"/>
  <c r="X711" i="2"/>
  <c r="X710" i="2"/>
  <c r="X709" i="2"/>
  <c r="X556" i="2"/>
  <c r="X708" i="2"/>
  <c r="X707" i="2"/>
  <c r="X706" i="2"/>
  <c r="X8" i="2"/>
  <c r="X7" i="2"/>
  <c r="X6" i="2"/>
  <c r="X5" i="2"/>
  <c r="X2727" i="2"/>
  <c r="X2726" i="2"/>
  <c r="X2725" i="2"/>
  <c r="X2543" i="2"/>
  <c r="X2542" i="2"/>
  <c r="X2023" i="2"/>
  <c r="X2022" i="2"/>
  <c r="X2021" i="2"/>
  <c r="X912" i="2"/>
  <c r="X2649" i="2"/>
  <c r="X2648" i="2"/>
  <c r="X2647" i="2"/>
  <c r="X2646" i="2"/>
  <c r="X2645" i="2"/>
  <c r="X2644" i="2"/>
  <c r="X2700" i="2"/>
  <c r="X2643" i="2"/>
  <c r="X2699" i="2"/>
  <c r="X2123" i="2"/>
  <c r="X2122" i="2"/>
  <c r="X2121" i="2"/>
  <c r="X1576" i="2"/>
  <c r="X1613" i="2"/>
  <c r="X1575" i="2"/>
  <c r="X1612" i="2"/>
  <c r="X1611" i="2"/>
  <c r="X1010" i="2"/>
  <c r="X515" i="2"/>
  <c r="X514" i="2"/>
  <c r="X513" i="2"/>
  <c r="X474" i="2"/>
  <c r="X2392" i="2"/>
  <c r="X2541" i="2"/>
  <c r="X2391" i="2"/>
  <c r="X2540" i="2"/>
  <c r="X2539" i="2"/>
  <c r="X2390" i="2"/>
  <c r="X2020" i="2"/>
  <c r="X2019" i="2"/>
  <c r="X1809" i="2"/>
  <c r="X1477" i="2"/>
  <c r="X1256" i="2"/>
  <c r="X1255" i="2"/>
  <c r="X1476" i="2"/>
  <c r="X705" i="2"/>
  <c r="X911" i="2"/>
  <c r="X910" i="2"/>
  <c r="X704" i="2"/>
  <c r="X385" i="2"/>
  <c r="X96" i="2"/>
  <c r="X95" i="2"/>
  <c r="X94" i="2"/>
  <c r="X2694" i="2"/>
  <c r="X2156" i="2"/>
  <c r="X2155" i="2"/>
  <c r="X2154" i="2"/>
  <c r="X1607" i="2"/>
  <c r="X1606" i="2"/>
  <c r="X1605" i="2"/>
  <c r="X1052" i="2"/>
  <c r="X1051" i="2"/>
  <c r="X1050" i="2"/>
  <c r="X1049" i="2"/>
  <c r="X1048" i="2"/>
  <c r="X1047" i="2"/>
  <c r="X1046" i="2"/>
  <c r="X1045" i="2"/>
  <c r="X1044" i="2"/>
  <c r="X2538" i="2"/>
  <c r="X1808" i="2"/>
  <c r="X1807" i="2"/>
  <c r="X2018" i="2"/>
  <c r="X1806" i="2"/>
  <c r="X1805" i="2"/>
  <c r="X1804" i="2"/>
  <c r="X1803" i="2"/>
  <c r="X1254" i="2"/>
  <c r="X1253" i="2"/>
  <c r="X1475" i="2"/>
  <c r="X1474" i="2"/>
  <c r="X1252" i="2"/>
  <c r="X1473" i="2"/>
  <c r="X1472" i="2"/>
  <c r="X1251" i="2"/>
  <c r="X703" i="2"/>
  <c r="X702" i="2"/>
  <c r="X701" i="2"/>
  <c r="X700" i="2"/>
  <c r="X699" i="2"/>
  <c r="X698" i="2"/>
  <c r="X384" i="2"/>
  <c r="X383" i="2"/>
  <c r="X382" i="2"/>
  <c r="X2221" i="2"/>
  <c r="X2220" i="2"/>
  <c r="X2219" i="2"/>
  <c r="X1654" i="2"/>
  <c r="X2389" i="2"/>
  <c r="X2388" i="2"/>
  <c r="X1802" i="2"/>
  <c r="X1250" i="2"/>
  <c r="X697" i="2"/>
  <c r="X93" i="2"/>
  <c r="X92" i="2"/>
  <c r="X91" i="2"/>
  <c r="X90" i="2"/>
  <c r="X2387" i="2"/>
  <c r="X2724" i="2"/>
  <c r="X2386" i="2"/>
  <c r="X2385" i="2"/>
  <c r="X2384" i="2"/>
  <c r="X2723" i="2"/>
  <c r="X2383" i="2"/>
  <c r="X2382" i="2"/>
  <c r="X2381" i="2"/>
  <c r="X2722" i="2"/>
  <c r="X2721" i="2"/>
  <c r="X2720" i="2"/>
  <c r="X2719" i="2"/>
  <c r="X2175" i="2"/>
  <c r="X2174" i="2"/>
  <c r="X2173" i="2"/>
  <c r="X1801" i="2"/>
  <c r="X2172" i="2"/>
  <c r="X2171" i="2"/>
  <c r="X2170" i="2"/>
  <c r="X1800" i="2"/>
  <c r="X1631" i="2"/>
  <c r="X1249" i="2"/>
  <c r="X1248" i="2"/>
  <c r="X1630" i="2"/>
  <c r="X1247" i="2"/>
  <c r="X1629" i="2"/>
  <c r="X1246" i="2"/>
  <c r="X1073" i="2"/>
  <c r="X1072" i="2"/>
  <c r="X1071" i="2"/>
  <c r="X1070" i="2"/>
  <c r="X1069" i="2"/>
  <c r="X526" i="2"/>
  <c r="X89" i="2"/>
  <c r="X88" i="2"/>
  <c r="X87" i="2"/>
  <c r="X525" i="2"/>
  <c r="X2642" i="2"/>
  <c r="X2641" i="2"/>
  <c r="X2640" i="2"/>
  <c r="X1574" i="2"/>
  <c r="X1573" i="2"/>
  <c r="X1572" i="2"/>
  <c r="X1009" i="2"/>
  <c r="X1008" i="2"/>
  <c r="X1007" i="2"/>
  <c r="X473" i="2"/>
  <c r="X472" i="2"/>
  <c r="X471" i="2"/>
  <c r="X1799" i="2"/>
  <c r="X1798" i="2"/>
  <c r="X1797" i="2"/>
  <c r="X1796" i="2"/>
  <c r="X1795" i="2"/>
  <c r="X1794" i="2"/>
  <c r="X1793" i="2"/>
  <c r="X1792" i="2"/>
  <c r="X1791" i="2"/>
  <c r="X1790" i="2"/>
  <c r="X1245" i="2"/>
  <c r="X1244" i="2"/>
  <c r="X1243" i="2"/>
  <c r="X1242" i="2"/>
  <c r="X1241" i="2"/>
  <c r="X1240" i="2"/>
  <c r="X1239" i="2"/>
  <c r="X1238" i="2"/>
  <c r="X123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86" i="2"/>
  <c r="X85" i="2"/>
  <c r="X84" i="2"/>
  <c r="X2639" i="2"/>
  <c r="X2638" i="2"/>
  <c r="X2637" i="2"/>
  <c r="X2636" i="2"/>
  <c r="X2120" i="2"/>
  <c r="X2119" i="2"/>
  <c r="X1571" i="2"/>
  <c r="X1570" i="2"/>
  <c r="X1569" i="2"/>
  <c r="X1006" i="2"/>
  <c r="X470" i="2"/>
  <c r="X469" i="2"/>
  <c r="X468" i="2"/>
  <c r="X467" i="2"/>
  <c r="X2635" i="2"/>
  <c r="X2634" i="2"/>
  <c r="X2633" i="2"/>
  <c r="X2632" i="2"/>
  <c r="X2118" i="2"/>
  <c r="X2117" i="2"/>
  <c r="X2116" i="2"/>
  <c r="X2115" i="2"/>
  <c r="X1568" i="2"/>
  <c r="X1005" i="2"/>
  <c r="X1004" i="2"/>
  <c r="X466" i="2"/>
  <c r="X2718" i="2"/>
  <c r="X2717" i="2"/>
  <c r="X2716" i="2"/>
  <c r="X2715" i="2"/>
  <c r="X2714" i="2"/>
  <c r="X2713" i="2"/>
  <c r="X2169" i="2"/>
  <c r="X2168" i="2"/>
  <c r="X1628" i="2"/>
  <c r="X1627" i="2"/>
  <c r="X1626" i="2"/>
  <c r="X2537" i="2"/>
  <c r="X2380" i="2"/>
  <c r="X2379" i="2"/>
  <c r="X2536" i="2"/>
  <c r="X2378" i="2"/>
  <c r="X2535" i="2"/>
  <c r="X2534" i="2"/>
  <c r="X1789" i="2"/>
  <c r="X2017" i="2"/>
  <c r="X2016" i="2"/>
  <c r="X1236" i="2"/>
  <c r="X1625" i="2"/>
  <c r="X1471" i="2"/>
  <c r="X1235" i="2"/>
  <c r="X1470" i="2"/>
  <c r="X1068" i="2"/>
  <c r="X909" i="2"/>
  <c r="X908" i="2"/>
  <c r="X684" i="2"/>
  <c r="X1067" i="2"/>
  <c r="X381" i="2"/>
  <c r="X83" i="2"/>
  <c r="X82" i="2"/>
  <c r="X524" i="2"/>
  <c r="X81" i="2"/>
  <c r="X380" i="2"/>
  <c r="X523" i="2"/>
  <c r="X2377" i="2"/>
  <c r="X1788" i="2"/>
  <c r="X2004" i="2"/>
  <c r="X2003" i="2"/>
  <c r="X2114" i="2"/>
  <c r="X1787" i="2"/>
  <c r="X2002" i="2"/>
  <c r="X1786" i="2"/>
  <c r="X1785" i="2"/>
  <c r="X1460" i="2"/>
  <c r="X1459" i="2"/>
  <c r="X1234" i="2"/>
  <c r="X1233" i="2"/>
  <c r="X1458" i="2"/>
  <c r="X1232" i="2"/>
  <c r="X1567" i="2"/>
  <c r="X1231" i="2"/>
  <c r="X683" i="2"/>
  <c r="X894" i="2"/>
  <c r="X682" i="2"/>
  <c r="X681" i="2"/>
  <c r="X680" i="2"/>
  <c r="X1003" i="2"/>
  <c r="X679" i="2"/>
  <c r="X893" i="2"/>
  <c r="X678" i="2"/>
  <c r="X677" i="2"/>
  <c r="X1002" i="2"/>
  <c r="X2376" i="2"/>
  <c r="X2375" i="2"/>
  <c r="X2374" i="2"/>
  <c r="X2373" i="2"/>
  <c r="X2167" i="2"/>
  <c r="X1784" i="2"/>
  <c r="X1783" i="2"/>
  <c r="X1230" i="2"/>
  <c r="X1229" i="2"/>
  <c r="X1228" i="2"/>
  <c r="X1227" i="2"/>
  <c r="X1066" i="2"/>
  <c r="X1065" i="2"/>
  <c r="X80" i="2"/>
  <c r="X522" i="2"/>
  <c r="X79" i="2"/>
  <c r="X78" i="2"/>
  <c r="X2372" i="2"/>
  <c r="X2371" i="2"/>
  <c r="X2370" i="2"/>
  <c r="X2369" i="2"/>
  <c r="X2368" i="2"/>
  <c r="X2367" i="2"/>
  <c r="X2366" i="2"/>
  <c r="X2365" i="2"/>
  <c r="X2364" i="2"/>
  <c r="X1782" i="2"/>
  <c r="X1781" i="2"/>
  <c r="X1780" i="2"/>
  <c r="X1226" i="2"/>
  <c r="X676" i="2"/>
  <c r="X675" i="2"/>
  <c r="X77" i="2"/>
  <c r="X76" i="2"/>
  <c r="X75" i="2"/>
  <c r="X2363" i="2"/>
  <c r="X2362" i="2"/>
  <c r="X2361" i="2"/>
  <c r="X2360" i="2"/>
  <c r="X2359" i="2"/>
  <c r="X2358" i="2"/>
  <c r="X2357" i="2"/>
  <c r="X1779" i="2"/>
  <c r="X1778" i="2"/>
  <c r="X1777" i="2"/>
  <c r="X1776" i="2"/>
  <c r="X1775" i="2"/>
  <c r="X1225" i="2"/>
  <c r="X674" i="2"/>
  <c r="X673" i="2"/>
  <c r="X74" i="2"/>
  <c r="X2356" i="2"/>
  <c r="X2355" i="2"/>
  <c r="X2354" i="2"/>
  <c r="X2353" i="2"/>
  <c r="X2352" i="2"/>
  <c r="X1774" i="2"/>
  <c r="X1773" i="2"/>
  <c r="X1224" i="2"/>
  <c r="X1223" i="2"/>
  <c r="X1222" i="2"/>
  <c r="X1221" i="2"/>
  <c r="X672" i="2"/>
  <c r="X671" i="2"/>
  <c r="X670" i="2"/>
  <c r="X669" i="2"/>
  <c r="X73" i="2"/>
  <c r="X72" i="2"/>
  <c r="X71" i="2"/>
  <c r="X2712" i="2"/>
  <c r="X2533" i="2"/>
  <c r="X2711" i="2"/>
  <c r="X2710" i="2"/>
  <c r="X1624" i="2"/>
  <c r="X1623" i="2"/>
  <c r="X1469" i="2"/>
  <c r="X1468" i="2"/>
  <c r="X1064" i="2"/>
  <c r="X521" i="2"/>
  <c r="X520" i="2"/>
  <c r="X2631" i="2"/>
  <c r="X1566" i="2"/>
  <c r="X1565" i="2"/>
  <c r="X1001" i="2"/>
  <c r="X1000" i="2"/>
  <c r="X465" i="2"/>
  <c r="X1772" i="2"/>
  <c r="X1771" i="2"/>
  <c r="X1770" i="2"/>
  <c r="X1769" i="2"/>
  <c r="X1768" i="2"/>
  <c r="X1220" i="2"/>
  <c r="X1219" i="2"/>
  <c r="X1218" i="2"/>
  <c r="X668" i="2"/>
  <c r="X667" i="2"/>
  <c r="X666" i="2"/>
  <c r="X665" i="2"/>
  <c r="X1767" i="2"/>
  <c r="X2218" i="2"/>
  <c r="X2217" i="2"/>
  <c r="X2351" i="2"/>
  <c r="X2350" i="2"/>
  <c r="X2349" i="2"/>
  <c r="X2348" i="2"/>
  <c r="X2347" i="2"/>
  <c r="X1766" i="2"/>
  <c r="X1765" i="2"/>
  <c r="X1764" i="2"/>
  <c r="X1763" i="2"/>
  <c r="X1762" i="2"/>
  <c r="X1761" i="2"/>
  <c r="X1760" i="2"/>
  <c r="X1217" i="2"/>
  <c r="X1216" i="2"/>
  <c r="X1215" i="2"/>
  <c r="X1214" i="2"/>
  <c r="X664" i="2"/>
  <c r="X663" i="2"/>
  <c r="X70" i="2"/>
  <c r="X2067" i="2"/>
  <c r="X2066" i="2"/>
  <c r="X2065" i="2"/>
  <c r="X2064" i="2"/>
  <c r="X1518" i="2"/>
  <c r="X1517" i="2"/>
  <c r="X1516" i="2"/>
  <c r="X958" i="2"/>
  <c r="X957" i="2"/>
  <c r="X956" i="2"/>
  <c r="X955" i="2"/>
  <c r="X2092" i="2"/>
  <c r="X1545" i="2"/>
  <c r="X1544" i="2"/>
  <c r="X979" i="2"/>
  <c r="X978" i="2"/>
  <c r="X977" i="2"/>
  <c r="X440" i="2"/>
  <c r="X439" i="2"/>
  <c r="X2709" i="2"/>
  <c r="X2166" i="2"/>
  <c r="X2216" i="2"/>
  <c r="X2215" i="2"/>
  <c r="X2214" i="2"/>
  <c r="X2213" i="2"/>
  <c r="X2212" i="2"/>
  <c r="X2211" i="2"/>
  <c r="X1653" i="2"/>
  <c r="X1107" i="2"/>
  <c r="X1106" i="2"/>
  <c r="X1105" i="2"/>
  <c r="X4" i="2"/>
  <c r="X3" i="2"/>
  <c r="X2" i="2"/>
  <c r="X2708" i="2"/>
  <c r="X2707" i="2"/>
  <c r="X1622" i="2"/>
  <c r="X1621" i="2"/>
  <c r="X2346" i="2"/>
  <c r="X2345" i="2"/>
  <c r="X2344" i="2"/>
  <c r="X1759" i="2"/>
  <c r="X1758" i="2"/>
  <c r="X1213" i="2"/>
  <c r="X662" i="2"/>
  <c r="X661" i="2"/>
  <c r="X660" i="2"/>
  <c r="X659" i="2"/>
  <c r="X2343" i="2"/>
  <c r="X2342" i="2"/>
  <c r="X1212" i="2"/>
  <c r="X1211" i="2"/>
  <c r="X1210" i="2"/>
  <c r="X1209" i="2"/>
  <c r="X658" i="2"/>
  <c r="X657" i="2"/>
  <c r="X69" i="2"/>
  <c r="X68" i="2"/>
  <c r="X67" i="2"/>
  <c r="X2706" i="2"/>
  <c r="X2705" i="2"/>
  <c r="X2165" i="2"/>
  <c r="X2164" i="2"/>
  <c r="X1620" i="2"/>
  <c r="X1063" i="2"/>
  <c r="X1062" i="2"/>
  <c r="X1061" i="2"/>
  <c r="X1060" i="2"/>
  <c r="X1059" i="2"/>
  <c r="X1058" i="2"/>
  <c r="X1757" i="2"/>
  <c r="X1756" i="2"/>
  <c r="X1755" i="2"/>
  <c r="X1754" i="2"/>
  <c r="X1753" i="2"/>
  <c r="X1207" i="2"/>
  <c r="X656" i="2"/>
  <c r="X2532" i="2"/>
  <c r="X1467" i="2"/>
  <c r="X905" i="2"/>
  <c r="X1603" i="2"/>
  <c r="X2336" i="2"/>
  <c r="X1749" i="2"/>
  <c r="X65" i="2"/>
  <c r="X2335" i="2"/>
  <c r="X2332" i="2"/>
  <c r="X2328" i="2"/>
  <c r="X1746" i="2"/>
  <c r="X62" i="2"/>
  <c r="X2322" i="2"/>
  <c r="X1201" i="2"/>
  <c r="X649" i="2"/>
  <c r="X2318" i="2"/>
  <c r="X1742" i="2"/>
  <c r="X2316" i="2"/>
  <c r="X1196" i="2"/>
  <c r="X644" i="2"/>
  <c r="X1193" i="2"/>
  <c r="X642" i="2"/>
  <c r="X1190" i="2"/>
  <c r="X999" i="2"/>
  <c r="X2309" i="2"/>
  <c r="X1188" i="2"/>
  <c r="X639" i="2"/>
  <c r="X2113" i="2"/>
  <c r="X463" i="2"/>
  <c r="X2208" i="2"/>
  <c r="X1652" i="2"/>
  <c r="X2691" i="2"/>
  <c r="X2153" i="2"/>
  <c r="X2531" i="2"/>
  <c r="X2529" i="2"/>
  <c r="X2012" i="2"/>
  <c r="X1104" i="2"/>
  <c r="X2306" i="2"/>
  <c r="X1736" i="2"/>
  <c r="X635" i="2"/>
  <c r="X631" i="2"/>
  <c r="X2300" i="2"/>
  <c r="X1182" i="2"/>
  <c r="X1178" i="2"/>
  <c r="X54" i="2"/>
  <c r="X2513" i="2"/>
  <c r="X1990" i="2"/>
  <c r="X1986" i="2"/>
  <c r="X885" i="2"/>
  <c r="X1057" i="2"/>
  <c r="X2063" i="2"/>
  <c r="X1514" i="2"/>
  <c r="X953" i="2"/>
  <c r="X949" i="2"/>
  <c r="X2297" i="2"/>
  <c r="X51" i="2"/>
  <c r="X2292" i="2"/>
  <c r="X1731" i="2"/>
  <c r="X1175" i="2"/>
  <c r="X2288" i="2"/>
  <c r="X2284" i="2"/>
  <c r="X1728" i="2"/>
  <c r="X625" i="2"/>
  <c r="X1172" i="2"/>
  <c r="X624" i="2"/>
  <c r="X2629" i="2"/>
  <c r="X996" i="2"/>
  <c r="X1725" i="2"/>
  <c r="X460" i="2"/>
  <c r="X1723" i="2"/>
  <c r="X1720" i="2"/>
  <c r="X1717" i="2"/>
  <c r="X618" i="2"/>
  <c r="X1540" i="2"/>
  <c r="X2525" i="2"/>
  <c r="X2521" i="2"/>
  <c r="X2009" i="2"/>
  <c r="X903" i="2"/>
  <c r="X900" i="2"/>
  <c r="X47" i="2"/>
  <c r="X2270" i="2"/>
  <c r="X2266" i="2"/>
  <c r="X2262" i="2"/>
  <c r="X1165" i="2"/>
  <c r="X2259" i="2"/>
  <c r="X2255" i="2"/>
  <c r="X1712" i="2"/>
  <c r="X1162" i="2"/>
  <c r="X44" i="2"/>
  <c r="X1651" i="2"/>
  <c r="X1100" i="2"/>
  <c r="X2251" i="2"/>
  <c r="X1710" i="2"/>
  <c r="X1159" i="2"/>
  <c r="X612" i="2"/>
  <c r="X899" i="2"/>
  <c r="X1537" i="2"/>
  <c r="X1155" i="2"/>
  <c r="W1155" i="2"/>
  <c r="W1707" i="2"/>
  <c r="W2247" i="2"/>
  <c r="W1537" i="2"/>
  <c r="W1538" i="2"/>
  <c r="W2086" i="2"/>
  <c r="W2087" i="2"/>
  <c r="W898" i="2"/>
  <c r="W899" i="2"/>
  <c r="W43" i="2"/>
  <c r="W610" i="2"/>
  <c r="W611" i="2"/>
  <c r="W612" i="2"/>
  <c r="W1156" i="2"/>
  <c r="W1157" i="2"/>
  <c r="W1158" i="2"/>
  <c r="W1159" i="2"/>
  <c r="W1160" i="2"/>
  <c r="W1708" i="2"/>
  <c r="W1709" i="2"/>
  <c r="W2248" i="2"/>
  <c r="W2249" i="2"/>
  <c r="W2250" i="2"/>
  <c r="W552" i="2"/>
  <c r="W554" i="2"/>
  <c r="W1101" i="2"/>
  <c r="W1650" i="2"/>
  <c r="W2199" i="2"/>
  <c r="W2200" i="2"/>
  <c r="W2202" i="2"/>
  <c r="W44" i="2"/>
  <c r="W614" i="2"/>
  <c r="W1162" i="2"/>
  <c r="W1712" i="2"/>
  <c r="W2253" i="2"/>
  <c r="W2256" i="2"/>
  <c r="W2258" i="2"/>
  <c r="W615" i="2"/>
  <c r="W1164" i="2"/>
  <c r="W1713" i="2"/>
  <c r="W2260" i="2"/>
  <c r="W2262" i="2"/>
  <c r="W2264" i="2"/>
  <c r="W2265" i="2"/>
  <c r="W2267" i="2"/>
  <c r="W2269" i="2"/>
  <c r="W45" i="2"/>
  <c r="W47" i="2"/>
  <c r="W1166" i="2"/>
  <c r="W1716" i="2"/>
  <c r="W900" i="2"/>
  <c r="W902" i="2"/>
  <c r="W903" i="2"/>
  <c r="W1463" i="2"/>
  <c r="W2520" i="2"/>
  <c r="W2522" i="2"/>
  <c r="W2524" i="2"/>
  <c r="W974" i="2"/>
  <c r="W1539" i="2"/>
  <c r="W1541" i="2"/>
  <c r="W617" i="2"/>
  <c r="W619" i="2"/>
  <c r="W1168" i="2"/>
  <c r="W1718" i="2"/>
  <c r="W1720" i="2"/>
  <c r="W1722" i="2"/>
  <c r="W1724" i="2"/>
  <c r="W2274" i="2"/>
  <c r="W460" i="2"/>
  <c r="W1563" i="2"/>
  <c r="W621" i="2"/>
  <c r="W2276" i="2"/>
  <c r="W976" i="2"/>
  <c r="W1543" i="2"/>
  <c r="W2090" i="2"/>
  <c r="W2614" i="2"/>
  <c r="W2616" i="2"/>
  <c r="W996" i="2"/>
  <c r="W2628" i="2"/>
  <c r="W2703" i="2"/>
  <c r="W623" i="2"/>
  <c r="W1169" i="2"/>
  <c r="W1171" i="2"/>
  <c r="W1726" i="2"/>
  <c r="W2278" i="2"/>
  <c r="W2280" i="2"/>
  <c r="W48" i="2"/>
  <c r="W1174" i="2"/>
  <c r="W1728" i="2"/>
  <c r="W2282" i="2"/>
  <c r="W2284" i="2"/>
  <c r="W2286" i="2"/>
  <c r="W2288" i="2"/>
  <c r="W50" i="2"/>
  <c r="W1176" i="2"/>
  <c r="W1730" i="2"/>
  <c r="W2289" i="2"/>
  <c r="W2291" i="2"/>
  <c r="W2293" i="2"/>
  <c r="W2295" i="2"/>
  <c r="W51" i="2"/>
  <c r="W1732" i="2"/>
  <c r="W2298" i="2"/>
  <c r="W949" i="2"/>
  <c r="W952" i="2"/>
  <c r="W954" i="2"/>
  <c r="W1514" i="2"/>
  <c r="W1515" i="2"/>
  <c r="W2062" i="2"/>
  <c r="W2574" i="2"/>
  <c r="W2576" i="2"/>
  <c r="W1617" i="2"/>
  <c r="W627" i="2"/>
  <c r="W886" i="2"/>
  <c r="W1177" i="2"/>
  <c r="W1986" i="2"/>
  <c r="W1988" i="2"/>
  <c r="W1990" i="2"/>
  <c r="W1992" i="2"/>
  <c r="W2512" i="2"/>
  <c r="W54" i="2"/>
  <c r="W629" i="2"/>
  <c r="W1178" i="2"/>
  <c r="W1180" i="2"/>
  <c r="W1182" i="2"/>
  <c r="W1734" i="2"/>
  <c r="W2300" i="2"/>
  <c r="W2302" i="2"/>
  <c r="W631" i="2"/>
  <c r="W633" i="2"/>
  <c r="W635" i="2"/>
  <c r="W1184" i="2"/>
  <c r="W1736" i="2"/>
  <c r="W2304" i="2"/>
  <c r="W2306" i="2"/>
  <c r="W1102" i="2"/>
  <c r="W1104" i="2"/>
  <c r="W377" i="2"/>
  <c r="W2012" i="2"/>
  <c r="W2527" i="2"/>
  <c r="W2529" i="2"/>
  <c r="W2531" i="2"/>
  <c r="W1618" i="2"/>
  <c r="W2152" i="2"/>
  <c r="W2689" i="2"/>
  <c r="W2691" i="2"/>
  <c r="W2693" i="2"/>
  <c r="W1652" i="2"/>
  <c r="W2206" i="2"/>
  <c r="W2208" i="2"/>
  <c r="W2210" i="2"/>
  <c r="W462" i="2"/>
  <c r="W464" i="2"/>
  <c r="W2112" i="2"/>
  <c r="W56" i="2"/>
  <c r="W637" i="2"/>
  <c r="W639" i="2"/>
  <c r="W1186" i="2"/>
  <c r="W1188" i="2"/>
  <c r="W1738" i="2"/>
  <c r="W2308" i="2"/>
  <c r="W2311" i="2"/>
  <c r="W998" i="2"/>
  <c r="W1564" i="2"/>
  <c r="W640" i="2"/>
  <c r="W1190" i="2"/>
  <c r="W642" i="2"/>
  <c r="W643" i="2"/>
  <c r="W1192" i="2"/>
  <c r="W2313" i="2"/>
  <c r="W58" i="2"/>
  <c r="W644" i="2"/>
  <c r="W1195" i="2"/>
  <c r="W1741" i="2"/>
  <c r="W2314" i="2"/>
  <c r="W646" i="2"/>
  <c r="W648" i="2"/>
  <c r="W1742" i="2"/>
  <c r="W2317" i="2"/>
  <c r="W2319" i="2"/>
  <c r="W60" i="2"/>
  <c r="W1198" i="2"/>
  <c r="W1200" i="2"/>
  <c r="W1744" i="2"/>
  <c r="W1745" i="2"/>
  <c r="W2322" i="2"/>
  <c r="W2323" i="2"/>
  <c r="W2325" i="2"/>
  <c r="W62" i="2"/>
  <c r="W1202" i="2"/>
  <c r="W1747" i="2"/>
  <c r="W2327" i="2"/>
  <c r="W2328" i="2"/>
  <c r="W2330" i="2"/>
  <c r="W2332" i="2"/>
  <c r="W2334" i="2"/>
  <c r="W63" i="2"/>
  <c r="W65" i="2"/>
  <c r="W651" i="2"/>
  <c r="W1749" i="2"/>
  <c r="W1750" i="2"/>
  <c r="W1752" i="2"/>
  <c r="W2337" i="2"/>
  <c r="W2340" i="2"/>
  <c r="W1603" i="2"/>
  <c r="W378" i="2"/>
  <c r="W905" i="2"/>
  <c r="W2013" i="2"/>
  <c r="W2015" i="2"/>
  <c r="W653" i="2"/>
  <c r="W655" i="2"/>
  <c r="W1204" i="2"/>
  <c r="W1206" i="2"/>
  <c r="W1208" i="2"/>
  <c r="W1754" i="2"/>
  <c r="W1756" i="2"/>
  <c r="W1757" i="2"/>
  <c r="W1058" i="2"/>
  <c r="W1059" i="2"/>
  <c r="W1061" i="2"/>
  <c r="W1063" i="2"/>
  <c r="W2164" i="2"/>
  <c r="W2705" i="2"/>
  <c r="W2706" i="2"/>
  <c r="W68" i="2"/>
  <c r="W657" i="2"/>
  <c r="W1209" i="2"/>
  <c r="W1211" i="2"/>
  <c r="W2342" i="2"/>
  <c r="W659" i="2"/>
  <c r="W661" i="2"/>
  <c r="W1213" i="2"/>
  <c r="W1759" i="2"/>
  <c r="W2345" i="2"/>
  <c r="W1621" i="2"/>
  <c r="W2707" i="2"/>
  <c r="W2" i="2"/>
  <c r="W4" i="2"/>
  <c r="W1106" i="2"/>
  <c r="W1653" i="2"/>
  <c r="W2212" i="2"/>
  <c r="W2214" i="2"/>
  <c r="W2216" i="2"/>
  <c r="W2709" i="2"/>
  <c r="W440" i="2"/>
  <c r="W978" i="2"/>
  <c r="W1544" i="2"/>
  <c r="W2092" i="2"/>
  <c r="W956" i="2"/>
  <c r="W958" i="2"/>
  <c r="W1517" i="2"/>
  <c r="W2064" i="2"/>
  <c r="W2066" i="2"/>
  <c r="W70" i="2"/>
  <c r="W664" i="2"/>
  <c r="W1215" i="2"/>
  <c r="W1217" i="2"/>
  <c r="W1761" i="2"/>
  <c r="W1763" i="2"/>
  <c r="W1765" i="2"/>
  <c r="W2347" i="2"/>
  <c r="W2350" i="2"/>
  <c r="W2217" i="2"/>
  <c r="W2218" i="2"/>
  <c r="W665" i="2"/>
  <c r="W667" i="2"/>
  <c r="W1218" i="2"/>
  <c r="W1220" i="2"/>
  <c r="W1769" i="2"/>
  <c r="W1771" i="2"/>
  <c r="W465" i="2"/>
  <c r="W1001" i="2"/>
  <c r="W1566" i="2"/>
  <c r="W521" i="2"/>
  <c r="W1468" i="2"/>
  <c r="W1623" i="2"/>
  <c r="W2710" i="2"/>
  <c r="W2533" i="2"/>
  <c r="W71" i="2"/>
  <c r="W73" i="2"/>
  <c r="W670" i="2"/>
  <c r="W671" i="2"/>
  <c r="W1221" i="2"/>
  <c r="W1223" i="2"/>
  <c r="W1774" i="2"/>
  <c r="W2352" i="2"/>
  <c r="W2354" i="2"/>
  <c r="W74" i="2"/>
  <c r="W673" i="2"/>
  <c r="W1225" i="2"/>
  <c r="W1776" i="2"/>
  <c r="W1778" i="2"/>
  <c r="W2357" i="2"/>
  <c r="W2360" i="2"/>
  <c r="W2362" i="2"/>
  <c r="W75" i="2"/>
  <c r="W77" i="2"/>
  <c r="W676" i="2"/>
  <c r="W1780" i="2"/>
  <c r="W1782" i="2"/>
  <c r="W2365" i="2"/>
  <c r="W2366" i="2"/>
  <c r="W2368" i="2"/>
  <c r="W2371" i="2"/>
  <c r="W2372" i="2"/>
  <c r="W79" i="2"/>
  <c r="W80" i="2"/>
  <c r="W1066" i="2"/>
  <c r="W1228" i="2"/>
  <c r="W1230" i="2"/>
  <c r="W1784" i="2"/>
  <c r="W2373" i="2"/>
  <c r="W2376" i="2"/>
  <c r="W677" i="2"/>
  <c r="W893" i="2"/>
  <c r="W1003" i="2"/>
  <c r="W680" i="2"/>
  <c r="W682" i="2"/>
  <c r="W683" i="2"/>
  <c r="W1567" i="2"/>
  <c r="W1458" i="2"/>
  <c r="W1234" i="2"/>
  <c r="W1460" i="2"/>
  <c r="W1786" i="2"/>
  <c r="W1787" i="2"/>
  <c r="W2003" i="2"/>
  <c r="W1788" i="2"/>
  <c r="W523" i="2"/>
  <c r="W81" i="2"/>
  <c r="W82" i="2"/>
  <c r="W381" i="2"/>
  <c r="W684" i="2"/>
  <c r="W909" i="2"/>
  <c r="W1470" i="2"/>
  <c r="W1471" i="2"/>
  <c r="W1236" i="2"/>
  <c r="W2017" i="2"/>
  <c r="W2535" i="2"/>
  <c r="W2378" i="2"/>
  <c r="W2380" i="2"/>
  <c r="W1626" i="2"/>
  <c r="W1628" i="2"/>
  <c r="W2168" i="2"/>
  <c r="W2714" i="2"/>
  <c r="W2715" i="2"/>
  <c r="W2717" i="2"/>
  <c r="W1004" i="2"/>
  <c r="W1568" i="2"/>
  <c r="W2115" i="2"/>
  <c r="W2117" i="2"/>
  <c r="W2632" i="2"/>
  <c r="W2634" i="2"/>
  <c r="W468" i="2"/>
  <c r="W469" i="2"/>
  <c r="W1006" i="2"/>
  <c r="W1570" i="2"/>
  <c r="W2119" i="2"/>
  <c r="W2636" i="2"/>
  <c r="W2638" i="2"/>
  <c r="W84" i="2"/>
  <c r="W86" i="2"/>
  <c r="W686" i="2"/>
  <c r="W688" i="2"/>
  <c r="W690" i="2"/>
  <c r="W692" i="2"/>
  <c r="W694" i="2"/>
  <c r="W696" i="2"/>
  <c r="W1239" i="2"/>
  <c r="W1241" i="2"/>
  <c r="W1243" i="2"/>
  <c r="W1245" i="2"/>
  <c r="W1791" i="2"/>
  <c r="W1793" i="2"/>
  <c r="W1795" i="2"/>
  <c r="W1797" i="2"/>
  <c r="W1799" i="2"/>
  <c r="W472" i="2"/>
  <c r="W1007" i="2"/>
  <c r="W1009" i="2"/>
  <c r="W1573" i="2"/>
  <c r="W2640" i="2"/>
  <c r="W2642" i="2"/>
  <c r="W87" i="2"/>
  <c r="W89" i="2"/>
  <c r="W1069" i="2"/>
  <c r="W1071" i="2"/>
  <c r="W1073" i="2"/>
  <c r="W1629" i="2"/>
  <c r="W1630" i="2"/>
  <c r="W1249" i="2"/>
  <c r="W1800" i="2"/>
  <c r="W2171" i="2"/>
  <c r="W1801" i="2"/>
  <c r="W2174" i="2"/>
  <c r="W2719" i="2"/>
  <c r="W2721" i="2"/>
  <c r="W2381" i="2"/>
  <c r="W2383" i="2"/>
  <c r="W2384" i="2"/>
  <c r="W2386" i="2"/>
  <c r="W2387" i="2"/>
  <c r="W91" i="2"/>
  <c r="W93" i="2"/>
  <c r="W697" i="2"/>
  <c r="W2388" i="2"/>
  <c r="W1654" i="2"/>
  <c r="W2220" i="2"/>
  <c r="W382" i="2"/>
  <c r="W384" i="2"/>
  <c r="W699" i="2"/>
  <c r="W701" i="2"/>
  <c r="W703" i="2"/>
  <c r="W1472" i="2"/>
  <c r="W1804" i="2"/>
  <c r="W1806" i="2"/>
  <c r="W1807" i="2"/>
  <c r="W2538" i="2"/>
  <c r="W1044" i="2"/>
  <c r="W1045" i="2"/>
  <c r="W1046" i="2"/>
  <c r="W1047" i="2"/>
  <c r="W1048" i="2"/>
  <c r="W1050" i="2"/>
  <c r="W1052" i="2"/>
  <c r="W1606" i="2"/>
  <c r="W2154" i="2"/>
  <c r="W2156" i="2"/>
  <c r="W94" i="2"/>
  <c r="W96" i="2"/>
  <c r="W704" i="2"/>
  <c r="W911" i="2"/>
  <c r="W1476" i="2"/>
  <c r="W1256" i="2"/>
  <c r="W1809" i="2"/>
  <c r="W2020" i="2"/>
  <c r="W2539" i="2"/>
  <c r="W2391" i="2"/>
  <c r="W474" i="2"/>
  <c r="W514" i="2"/>
  <c r="W515" i="2"/>
  <c r="W1612" i="2"/>
  <c r="W1613" i="2"/>
  <c r="W2121" i="2"/>
  <c r="W2123" i="2"/>
  <c r="W2643" i="2"/>
  <c r="W2644" i="2"/>
  <c r="W2646" i="2"/>
  <c r="W2647" i="2"/>
  <c r="W2649" i="2"/>
  <c r="W2021" i="2"/>
  <c r="W2023" i="2"/>
  <c r="W2725" i="2"/>
  <c r="W2726" i="2"/>
  <c r="W5" i="2"/>
  <c r="W7" i="2"/>
  <c r="W706" i="2"/>
  <c r="W556" i="2"/>
  <c r="W710" i="2"/>
  <c r="W711" i="2"/>
  <c r="W1108" i="2"/>
  <c r="W1110" i="2"/>
  <c r="W1258" i="2"/>
  <c r="W1261" i="2"/>
  <c r="W1811" i="2"/>
  <c r="W1655" i="2"/>
  <c r="W1656" i="2"/>
  <c r="W1657" i="2"/>
  <c r="W557" i="2"/>
  <c r="W559" i="2"/>
  <c r="W1659" i="2"/>
  <c r="W476" i="2"/>
  <c r="W1012" i="2"/>
  <c r="W1014" i="2"/>
  <c r="W1578" i="2"/>
  <c r="W2650" i="2"/>
  <c r="W477" i="2"/>
  <c r="W1015" i="2"/>
  <c r="W1017" i="2"/>
  <c r="W1580" i="2"/>
  <c r="W1582" i="2"/>
  <c r="W2126" i="2"/>
  <c r="W2652" i="2"/>
  <c r="W2654" i="2"/>
  <c r="W97" i="2"/>
  <c r="W99" i="2"/>
  <c r="W1262" i="2"/>
  <c r="W1815" i="2"/>
  <c r="W2393" i="2"/>
  <c r="W2395" i="2"/>
  <c r="W2397" i="2"/>
  <c r="W2399" i="2"/>
  <c r="W1018" i="2"/>
  <c r="W1020" i="2"/>
  <c r="W1583" i="2"/>
  <c r="W2128" i="2"/>
  <c r="W2657" i="2"/>
  <c r="W2658" i="2"/>
  <c r="W2660" i="2"/>
  <c r="W2662" i="2"/>
  <c r="W359" i="2"/>
  <c r="W361" i="2"/>
  <c r="W1446" i="2"/>
  <c r="W1448" i="2"/>
  <c r="W1993" i="2"/>
  <c r="W1995" i="2"/>
  <c r="W2515" i="2"/>
  <c r="W2516" i="2"/>
  <c r="W10" i="2"/>
  <c r="W560" i="2"/>
  <c r="W563" i="2"/>
  <c r="W1111" i="2"/>
  <c r="W1114" i="2"/>
  <c r="W1661" i="2"/>
  <c r="W1663" i="2"/>
  <c r="W1632" i="2"/>
  <c r="W2176" i="2"/>
  <c r="W715" i="2"/>
  <c r="W717" i="2"/>
  <c r="W1817" i="2"/>
  <c r="W527" i="2"/>
  <c r="W1074" i="2"/>
  <c r="W1076" i="2"/>
  <c r="W1078" i="2"/>
  <c r="W1635" i="2"/>
  <c r="W481" i="2"/>
  <c r="W718" i="2"/>
  <c r="W1819" i="2"/>
  <c r="W2400" i="2"/>
  <c r="W529" i="2"/>
  <c r="W2178" i="2"/>
  <c r="W530" i="2"/>
  <c r="W532" i="2"/>
  <c r="W1637" i="2"/>
  <c r="W2729" i="2"/>
  <c r="W2731" i="2"/>
  <c r="W1519" i="2"/>
  <c r="W1521" i="2"/>
  <c r="W386" i="2"/>
  <c r="W914" i="2"/>
  <c r="W2024" i="2"/>
  <c r="W2026" i="2"/>
  <c r="W2028" i="2"/>
  <c r="W2545" i="2"/>
  <c r="W2547" i="2"/>
  <c r="W2549" i="2"/>
  <c r="W2551" i="2"/>
  <c r="W101" i="2"/>
  <c r="W103" i="2"/>
  <c r="W720" i="2"/>
  <c r="W1267" i="2"/>
  <c r="W1820" i="2"/>
  <c r="W2404" i="2"/>
  <c r="W2406" i="2"/>
  <c r="W2408" i="2"/>
  <c r="W1585" i="2"/>
  <c r="W2664" i="2"/>
  <c r="W2666" i="2"/>
  <c r="W105" i="2"/>
  <c r="W107" i="2"/>
  <c r="W721" i="2"/>
  <c r="W1269" i="2"/>
  <c r="W1271" i="2"/>
  <c r="W1822" i="2"/>
  <c r="W1824" i="2"/>
  <c r="W916" i="2"/>
  <c r="W1479" i="2"/>
  <c r="W1481" i="2"/>
  <c r="W109" i="2"/>
  <c r="W724" i="2"/>
  <c r="W726" i="2"/>
  <c r="W1272" i="2"/>
  <c r="W1274" i="2"/>
  <c r="W1825" i="2"/>
  <c r="W1827" i="2"/>
  <c r="W1829" i="2"/>
  <c r="W534" i="2"/>
  <c r="W1081" i="2"/>
  <c r="W2180" i="2"/>
  <c r="W111" i="2"/>
  <c r="W728" i="2"/>
  <c r="W730" i="2"/>
  <c r="W1277" i="2"/>
  <c r="W1831" i="2"/>
  <c r="W2409" i="2"/>
  <c r="W2411" i="2"/>
  <c r="W980" i="2"/>
  <c r="W1546" i="2"/>
  <c r="W1547" i="2"/>
  <c r="W2093" i="2"/>
  <c r="W2617" i="2"/>
  <c r="W2618" i="2"/>
  <c r="W2619" i="2"/>
  <c r="W535" i="2"/>
  <c r="W536" i="2"/>
  <c r="W960" i="2"/>
  <c r="W961" i="2"/>
  <c r="W1522" i="2"/>
  <c r="W1523" i="2"/>
  <c r="W2578" i="2"/>
  <c r="W2579" i="2"/>
  <c r="W2580" i="2"/>
  <c r="W2581" i="2"/>
  <c r="W2094" i="2"/>
  <c r="W2620" i="2"/>
  <c r="W2621" i="2"/>
  <c r="W962" i="2"/>
  <c r="W1524" i="2"/>
  <c r="W2068" i="2"/>
  <c r="W2069" i="2"/>
  <c r="W2070" i="2"/>
  <c r="W2582" i="2"/>
  <c r="W2583" i="2"/>
  <c r="W2584" i="2"/>
  <c r="W2585" i="2"/>
  <c r="W2586" i="2"/>
  <c r="W2587" i="2"/>
  <c r="W2588" i="2"/>
  <c r="W442" i="2"/>
  <c r="W981" i="2"/>
  <c r="W1548" i="2"/>
  <c r="W387" i="2"/>
  <c r="W388" i="2"/>
  <c r="W389" i="2"/>
  <c r="W1482" i="2"/>
  <c r="W1483" i="2"/>
  <c r="W2031" i="2"/>
  <c r="W2553" i="2"/>
  <c r="W113" i="2"/>
  <c r="W115" i="2"/>
  <c r="W1278" i="2"/>
  <c r="W1833" i="2"/>
  <c r="W116" i="2"/>
  <c r="W733" i="2"/>
  <c r="W1836" i="2"/>
  <c r="W443" i="2"/>
  <c r="W1021" i="2"/>
  <c r="W984" i="2"/>
  <c r="W1549" i="2"/>
  <c r="W1551" i="2"/>
  <c r="W2095" i="2"/>
  <c r="W2097" i="2"/>
  <c r="W2181" i="2"/>
  <c r="W1587" i="2"/>
  <c r="W13" i="2"/>
  <c r="W565" i="2"/>
  <c r="W567" i="2"/>
  <c r="W1115" i="2"/>
  <c r="W516" i="2"/>
  <c r="W518" i="2"/>
  <c r="W1614" i="2"/>
  <c r="W2162" i="2"/>
  <c r="W2702" i="2"/>
  <c r="W118" i="2"/>
  <c r="W14" i="2"/>
  <c r="W570" i="2"/>
  <c r="W572" i="2"/>
  <c r="W1116" i="2"/>
  <c r="W1666" i="2"/>
  <c r="W1668" i="2"/>
  <c r="W2222" i="2"/>
  <c r="W120" i="2"/>
  <c r="W735" i="2"/>
  <c r="W1281" i="2"/>
  <c r="W1837" i="2"/>
  <c r="W2414" i="2"/>
  <c r="W2416" i="2"/>
  <c r="W2418" i="2"/>
  <c r="W1638" i="2"/>
  <c r="W2183" i="2"/>
  <c r="W2733" i="2"/>
  <c r="W1283" i="2"/>
  <c r="W1839" i="2"/>
  <c r="W1841" i="2"/>
  <c r="W2421" i="2"/>
  <c r="W2423" i="2"/>
  <c r="W2425" i="2"/>
  <c r="W444" i="2"/>
  <c r="W445" i="2"/>
  <c r="W447" i="2"/>
  <c r="W888" i="2"/>
  <c r="W1450" i="2"/>
  <c r="W1452" i="2"/>
  <c r="W1996" i="2"/>
  <c r="W1997" i="2"/>
  <c r="W2517" i="2"/>
  <c r="W2518" i="2"/>
  <c r="W122" i="2"/>
  <c r="W123" i="2"/>
  <c r="W124" i="2"/>
  <c r="W125" i="2"/>
  <c r="W126" i="2"/>
  <c r="W127" i="2"/>
  <c r="W738" i="2"/>
  <c r="W739" i="2"/>
  <c r="W740" i="2"/>
  <c r="W741" i="2"/>
  <c r="W1285" i="2"/>
  <c r="W1842" i="2"/>
  <c r="W1843" i="2"/>
  <c r="W1844" i="2"/>
  <c r="W986" i="2"/>
  <c r="W1554" i="2"/>
  <c r="W128" i="2"/>
  <c r="W129" i="2"/>
  <c r="W742" i="2"/>
  <c r="W743" i="2"/>
  <c r="W744" i="2"/>
  <c r="W745" i="2"/>
  <c r="W1845" i="2"/>
  <c r="W130" i="2"/>
  <c r="W131" i="2"/>
  <c r="W132" i="2"/>
  <c r="W133" i="2"/>
  <c r="W134" i="2"/>
  <c r="W747" i="2"/>
  <c r="W749" i="2"/>
  <c r="W1287" i="2"/>
  <c r="W1288" i="2"/>
  <c r="W1290" i="2"/>
  <c r="W1847" i="2"/>
  <c r="W2428" i="2"/>
  <c r="W484" i="2"/>
  <c r="W1589" i="2"/>
  <c r="W2667" i="2"/>
  <c r="W2669" i="2"/>
  <c r="W2671" i="2"/>
  <c r="W573" i="2"/>
  <c r="W1669" i="2"/>
  <c r="W1671" i="2"/>
  <c r="W2223" i="2"/>
  <c r="W2225" i="2"/>
  <c r="W2227" i="2"/>
  <c r="W2229" i="2"/>
  <c r="W370" i="2"/>
  <c r="W372" i="2"/>
  <c r="W373" i="2"/>
  <c r="W896" i="2"/>
  <c r="W1462" i="2"/>
  <c r="W2006" i="2"/>
  <c r="W1485" i="2"/>
  <c r="W2032" i="2"/>
  <c r="W2555" i="2"/>
  <c r="W1053" i="2"/>
  <c r="W135" i="2"/>
  <c r="W137" i="2"/>
  <c r="W139" i="2"/>
  <c r="W141" i="2"/>
  <c r="W751" i="2"/>
  <c r="W753" i="2"/>
  <c r="W1848" i="2"/>
  <c r="W1850" i="2"/>
  <c r="W1293" i="2"/>
  <c r="W1851" i="2"/>
  <c r="W1853" i="2"/>
  <c r="W1854" i="2"/>
  <c r="W143" i="2"/>
  <c r="W145" i="2"/>
  <c r="W756" i="2"/>
  <c r="W1296" i="2"/>
  <c r="W1856" i="2"/>
  <c r="W146" i="2"/>
  <c r="W147" i="2"/>
  <c r="W149" i="2"/>
  <c r="W758" i="2"/>
  <c r="W760" i="2"/>
  <c r="W1298" i="2"/>
  <c r="W1300" i="2"/>
  <c r="W1858" i="2"/>
  <c r="W2431" i="2"/>
  <c r="W428" i="2"/>
  <c r="W963" i="2"/>
  <c r="W1525" i="2"/>
  <c r="W1526" i="2"/>
  <c r="W1487" i="2"/>
  <c r="W2034" i="2"/>
  <c r="W2072" i="2"/>
  <c r="W2589" i="2"/>
  <c r="W2590" i="2"/>
  <c r="W2557" i="2"/>
  <c r="W2591" i="2"/>
  <c r="W2592" i="2"/>
  <c r="W2593" i="2"/>
  <c r="W2558" i="2"/>
  <c r="W2594" i="2"/>
  <c r="W150" i="2"/>
  <c r="W151" i="2"/>
  <c r="W152" i="2"/>
  <c r="W761" i="2"/>
  <c r="W762" i="2"/>
  <c r="W1301" i="2"/>
  <c r="W1302" i="2"/>
  <c r="W1303" i="2"/>
  <c r="W1860" i="2"/>
  <c r="W1861" i="2"/>
  <c r="W1862" i="2"/>
  <c r="W1863" i="2"/>
  <c r="W2433" i="2"/>
  <c r="W2434" i="2"/>
  <c r="W2435" i="2"/>
  <c r="W2436" i="2"/>
  <c r="W2437" i="2"/>
  <c r="W2438" i="2"/>
  <c r="W537" i="2"/>
  <c r="W538" i="2"/>
  <c r="W539" i="2"/>
  <c r="W540" i="2"/>
  <c r="W1083" i="2"/>
  <c r="W1084" i="2"/>
  <c r="W1085" i="2"/>
  <c r="W1639" i="2"/>
  <c r="W2184" i="2"/>
  <c r="W2185" i="2"/>
  <c r="W2734" i="2"/>
  <c r="W363" i="2"/>
  <c r="W365" i="2"/>
  <c r="W890" i="2"/>
  <c r="W892" i="2"/>
  <c r="W1998" i="2"/>
  <c r="W1120" i="2"/>
  <c r="W1122" i="2"/>
  <c r="W1673" i="2"/>
  <c r="W391" i="2"/>
  <c r="W393" i="2"/>
  <c r="W395" i="2"/>
  <c r="W2035" i="2"/>
  <c r="W154" i="2"/>
  <c r="W156" i="2"/>
  <c r="W764" i="2"/>
  <c r="W1304" i="2"/>
  <c r="W1306" i="2"/>
  <c r="W1864" i="2"/>
  <c r="W1866" i="2"/>
  <c r="W429" i="2"/>
  <c r="W158" i="2"/>
  <c r="W160" i="2"/>
  <c r="W766" i="2"/>
  <c r="W967" i="2"/>
  <c r="W1528" i="2"/>
  <c r="W1529" i="2"/>
  <c r="W2440" i="2"/>
  <c r="W2595" i="2"/>
  <c r="W2596" i="2"/>
  <c r="W2598" i="2"/>
  <c r="W2601" i="2"/>
  <c r="W968" i="2"/>
  <c r="W1531" i="2"/>
  <c r="W2075" i="2"/>
  <c r="W2077" i="2"/>
  <c r="W2602" i="2"/>
  <c r="W2605" i="2"/>
  <c r="W2606" i="2"/>
  <c r="W163" i="2"/>
  <c r="W768" i="2"/>
  <c r="W1311" i="2"/>
  <c r="W1869" i="2"/>
  <c r="W1871" i="2"/>
  <c r="W2444" i="2"/>
  <c r="W987" i="2"/>
  <c r="W166" i="2"/>
  <c r="W168" i="2"/>
  <c r="W170" i="2"/>
  <c r="W770" i="2"/>
  <c r="W772" i="2"/>
  <c r="W1313" i="2"/>
  <c r="W1872" i="2"/>
  <c r="W1874" i="2"/>
  <c r="W173" i="2"/>
  <c r="W774" i="2"/>
  <c r="W1316" i="2"/>
  <c r="W1317" i="2"/>
  <c r="W1320" i="2"/>
  <c r="W1875" i="2"/>
  <c r="W1877" i="2"/>
  <c r="W176" i="2"/>
  <c r="W1322" i="2"/>
  <c r="W2187" i="2"/>
  <c r="W177" i="2"/>
  <c r="W180" i="2"/>
  <c r="W181" i="2"/>
  <c r="W777" i="2"/>
  <c r="W779" i="2"/>
  <c r="W781" i="2"/>
  <c r="W1323" i="2"/>
  <c r="W1325" i="2"/>
  <c r="W1327" i="2"/>
  <c r="W1879" i="2"/>
  <c r="W1881" i="2"/>
  <c r="W2445" i="2"/>
  <c r="W2447" i="2"/>
  <c r="W397" i="2"/>
  <c r="W925" i="2"/>
  <c r="W1491" i="2"/>
  <c r="W2559" i="2"/>
  <c r="W399" i="2"/>
  <c r="W2561" i="2"/>
  <c r="W2563" i="2"/>
  <c r="W541" i="2"/>
  <c r="W1088" i="2"/>
  <c r="W2188" i="2"/>
  <c r="W2190" i="2"/>
  <c r="W2737" i="2"/>
  <c r="W2738" i="2"/>
  <c r="W2740" i="2"/>
  <c r="W1089" i="2"/>
  <c r="W1643" i="2"/>
  <c r="W2193" i="2"/>
  <c r="W2743" i="2"/>
  <c r="W1090" i="2"/>
  <c r="W184" i="2"/>
  <c r="W783" i="2"/>
  <c r="W1329" i="2"/>
  <c r="W1883" i="2"/>
  <c r="W1885" i="2"/>
  <c r="W543" i="2"/>
  <c r="W485" i="2"/>
  <c r="W487" i="2"/>
  <c r="W489" i="2"/>
  <c r="W1024" i="2"/>
  <c r="W1026" i="2"/>
  <c r="W1028" i="2"/>
  <c r="W1591" i="2"/>
  <c r="W2132" i="2"/>
  <c r="W2672" i="2"/>
  <c r="W186" i="2"/>
  <c r="W187" i="2"/>
  <c r="W188" i="2"/>
  <c r="W189" i="2"/>
  <c r="W784" i="2"/>
  <c r="W785" i="2"/>
  <c r="W1331" i="2"/>
  <c r="W1332" i="2"/>
  <c r="W1334" i="2"/>
  <c r="W1886" i="2"/>
  <c r="W1888" i="2"/>
  <c r="W490" i="2"/>
  <c r="W192" i="2"/>
  <c r="W1029" i="2"/>
  <c r="W787" i="2"/>
  <c r="W788" i="2"/>
  <c r="W1335" i="2"/>
  <c r="W1336" i="2"/>
  <c r="W2135" i="2"/>
  <c r="W2449" i="2"/>
  <c r="W2451" i="2"/>
  <c r="W2452" i="2"/>
  <c r="W2454" i="2"/>
  <c r="W2674" i="2"/>
  <c r="W193" i="2"/>
  <c r="W401" i="2"/>
  <c r="W927" i="2"/>
  <c r="W1337" i="2"/>
  <c r="W1338" i="2"/>
  <c r="W2039" i="2"/>
  <c r="W2041" i="2"/>
  <c r="W2042" i="2"/>
  <c r="W2564" i="2"/>
  <c r="W2566" i="2"/>
  <c r="W2568" i="2"/>
  <c r="W403" i="2"/>
  <c r="W405" i="2"/>
  <c r="W16" i="2"/>
  <c r="W408" i="2"/>
  <c r="W929" i="2"/>
  <c r="W931" i="2"/>
  <c r="W932" i="2"/>
  <c r="W1495" i="2"/>
  <c r="W1125" i="2"/>
  <c r="W1127" i="2"/>
  <c r="W1496" i="2"/>
  <c r="W2043" i="2"/>
  <c r="W2044" i="2"/>
  <c r="W2046" i="2"/>
  <c r="W196" i="2"/>
  <c r="W198" i="2"/>
  <c r="W200" i="2"/>
  <c r="W790" i="2"/>
  <c r="W792" i="2"/>
  <c r="W794" i="2"/>
  <c r="W1340" i="2"/>
  <c r="W1892" i="2"/>
  <c r="W492" i="2"/>
  <c r="W493" i="2"/>
  <c r="W204" i="2"/>
  <c r="W206" i="2"/>
  <c r="W1031" i="2"/>
  <c r="W1032" i="2"/>
  <c r="W797" i="2"/>
  <c r="W1342" i="2"/>
  <c r="W1343" i="2"/>
  <c r="W2136" i="2"/>
  <c r="W1895" i="2"/>
  <c r="W1896" i="2"/>
  <c r="W2458" i="2"/>
  <c r="W798" i="2"/>
  <c r="W1345" i="2"/>
  <c r="W2460" i="2"/>
  <c r="W2462" i="2"/>
  <c r="W207" i="2"/>
  <c r="W432" i="2"/>
  <c r="W970" i="2"/>
  <c r="W1532" i="2"/>
  <c r="W1533" i="2"/>
  <c r="W2080" i="2"/>
  <c r="W1897" i="2"/>
  <c r="W1899" i="2"/>
  <c r="W2083" i="2"/>
  <c r="W2608" i="2"/>
  <c r="W2610" i="2"/>
  <c r="W2611" i="2"/>
  <c r="W2613" i="2"/>
  <c r="W210" i="2"/>
  <c r="W799" i="2"/>
  <c r="W1348" i="2"/>
  <c r="W1900" i="2"/>
  <c r="W2464" i="2"/>
  <c r="W544" i="2"/>
  <c r="W497" i="2"/>
  <c r="W1033" i="2"/>
  <c r="W1644" i="2"/>
  <c r="W2139" i="2"/>
  <c r="W2197" i="2"/>
  <c r="W2744" i="2"/>
  <c r="W213" i="2"/>
  <c r="W409" i="2"/>
  <c r="W410" i="2"/>
  <c r="W217" i="2"/>
  <c r="W412" i="2"/>
  <c r="W218" i="2"/>
  <c r="W802" i="2"/>
  <c r="W804" i="2"/>
  <c r="W934" i="2"/>
  <c r="W1497" i="2"/>
  <c r="W1350" i="2"/>
  <c r="W1499" i="2"/>
  <c r="W1501" i="2"/>
  <c r="W2048" i="2"/>
  <c r="W220" i="2"/>
  <c r="W221" i="2"/>
  <c r="W416" i="2"/>
  <c r="W806" i="2"/>
  <c r="W988" i="2"/>
  <c r="W1555" i="2"/>
  <c r="W1503" i="2"/>
  <c r="W1505" i="2"/>
  <c r="W2049" i="2"/>
  <c r="W1903" i="2"/>
  <c r="W2051" i="2"/>
  <c r="W1906" i="2"/>
  <c r="W1034" i="2"/>
  <c r="W1596" i="2"/>
  <c r="W2140" i="2"/>
  <c r="W222" i="2"/>
  <c r="W808" i="2"/>
  <c r="W2466" i="2"/>
  <c r="W2468" i="2"/>
  <c r="W809" i="2"/>
  <c r="W1353" i="2"/>
  <c r="W1908" i="2"/>
  <c r="W1910" i="2"/>
  <c r="W2470" i="2"/>
  <c r="W2472" i="2"/>
  <c r="W2474" i="2"/>
  <c r="W223" i="2"/>
  <c r="W225" i="2"/>
  <c r="W227" i="2"/>
  <c r="W229" i="2"/>
  <c r="W231" i="2"/>
  <c r="W811" i="2"/>
  <c r="W1355" i="2"/>
  <c r="W938" i="2"/>
  <c r="W1506" i="2"/>
  <c r="W448" i="2"/>
  <c r="W233" i="2"/>
  <c r="W450" i="2"/>
  <c r="W234" i="2"/>
  <c r="W812" i="2"/>
  <c r="W813" i="2"/>
  <c r="W990" i="2"/>
  <c r="W815" i="2"/>
  <c r="W1357" i="2"/>
  <c r="W1359" i="2"/>
  <c r="W1361" i="2"/>
  <c r="W1556" i="2"/>
  <c r="W1557" i="2"/>
  <c r="W2099" i="2"/>
  <c r="W2100" i="2"/>
  <c r="W2102" i="2"/>
  <c r="W498" i="2"/>
  <c r="W500" i="2"/>
  <c r="W1037" i="2"/>
  <c r="W1364" i="2"/>
  <c r="W1916" i="2"/>
  <c r="W453" i="2"/>
  <c r="W455" i="2"/>
  <c r="W992" i="2"/>
  <c r="W1558" i="2"/>
  <c r="W2104" i="2"/>
  <c r="W2623" i="2"/>
  <c r="W1038" i="2"/>
  <c r="W1599" i="2"/>
  <c r="W2677" i="2"/>
  <c r="W2679" i="2"/>
  <c r="W545" i="2"/>
  <c r="W1094" i="2"/>
  <c r="W237" i="2"/>
  <c r="W817" i="2"/>
  <c r="W1366" i="2"/>
  <c r="W1368" i="2"/>
  <c r="W1918" i="2"/>
  <c r="W2477" i="2"/>
  <c r="W2479" i="2"/>
  <c r="W2481" i="2"/>
  <c r="W239" i="2"/>
  <c r="W241" i="2"/>
  <c r="W243" i="2"/>
  <c r="W245" i="2"/>
  <c r="W247" i="2"/>
  <c r="W819" i="2"/>
  <c r="W821" i="2"/>
  <c r="W823" i="2"/>
  <c r="W1370" i="2"/>
  <c r="W1371" i="2"/>
  <c r="W1373" i="2"/>
  <c r="W2142" i="2"/>
  <c r="W2143" i="2"/>
  <c r="W2144" i="2"/>
  <c r="W2145" i="2"/>
  <c r="W2681" i="2"/>
  <c r="W2683" i="2"/>
  <c r="W433" i="2"/>
  <c r="W435" i="2"/>
  <c r="W1534" i="2"/>
  <c r="W1536" i="2"/>
  <c r="W248" i="2"/>
  <c r="W250" i="2"/>
  <c r="W367" i="2"/>
  <c r="W253" i="2"/>
  <c r="W825" i="2"/>
  <c r="W827" i="2"/>
  <c r="W829" i="2"/>
  <c r="W1455" i="2"/>
  <c r="W2000" i="2"/>
  <c r="W254" i="2"/>
  <c r="W257" i="2"/>
  <c r="W831" i="2"/>
  <c r="W1375" i="2"/>
  <c r="W1926" i="2"/>
  <c r="W577" i="2"/>
  <c r="W579" i="2"/>
  <c r="W1129" i="2"/>
  <c r="W1677" i="2"/>
  <c r="W1679" i="2"/>
  <c r="W2231" i="2"/>
  <c r="W2233" i="2"/>
  <c r="W2235" i="2"/>
  <c r="W418" i="2"/>
  <c r="W1508" i="2"/>
  <c r="W2053" i="2"/>
  <c r="W2746" i="2"/>
  <c r="W2748" i="2"/>
  <c r="W1608" i="2"/>
  <c r="W2158" i="2"/>
  <c r="W2160" i="2"/>
  <c r="W2696" i="2"/>
  <c r="W581" i="2"/>
  <c r="W1131" i="2"/>
  <c r="W1133" i="2"/>
  <c r="W1681" i="2"/>
  <c r="W1683" i="2"/>
  <c r="W502" i="2"/>
  <c r="W504" i="2"/>
  <c r="W506" i="2"/>
  <c r="W1601" i="2"/>
  <c r="W2146" i="2"/>
  <c r="W259" i="2"/>
  <c r="W18" i="2"/>
  <c r="W261" i="2"/>
  <c r="W21" i="2"/>
  <c r="W832" i="2"/>
  <c r="W834" i="2"/>
  <c r="W835" i="2"/>
  <c r="W836" i="2"/>
  <c r="W1135" i="2"/>
  <c r="W1137" i="2"/>
  <c r="W1686" i="2"/>
  <c r="W2237" i="2"/>
  <c r="W264" i="2"/>
  <c r="W1927" i="2"/>
  <c r="W1929" i="2"/>
  <c r="W1931" i="2"/>
  <c r="W267" i="2"/>
  <c r="W1932" i="2"/>
  <c r="W1934" i="2"/>
  <c r="W2483" i="2"/>
  <c r="W2485" i="2"/>
  <c r="W2488" i="2"/>
  <c r="W268" i="2"/>
  <c r="W837" i="2"/>
  <c r="W270" i="2"/>
  <c r="W272" i="2"/>
  <c r="W273" i="2"/>
  <c r="W838" i="2"/>
  <c r="W841" i="2"/>
  <c r="W1379" i="2"/>
  <c r="W1936" i="2"/>
  <c r="W1938" i="2"/>
  <c r="W275" i="2"/>
  <c r="W1940" i="2"/>
  <c r="W1095" i="2"/>
  <c r="W276" i="2"/>
  <c r="W278" i="2"/>
  <c r="W842" i="2"/>
  <c r="W844" i="2"/>
  <c r="W1382" i="2"/>
  <c r="W1384" i="2"/>
  <c r="W1386" i="2"/>
  <c r="W1388" i="2"/>
  <c r="W1390" i="2"/>
  <c r="W419" i="2"/>
  <c r="W281" i="2"/>
  <c r="W420" i="2"/>
  <c r="W283" i="2"/>
  <c r="W941" i="2"/>
  <c r="W943" i="2"/>
  <c r="W944" i="2"/>
  <c r="W847" i="2"/>
  <c r="W1942" i="2"/>
  <c r="W286" i="2"/>
  <c r="W1391" i="2"/>
  <c r="W1393" i="2"/>
  <c r="W1944" i="2"/>
  <c r="W1946" i="2"/>
  <c r="W2490" i="2"/>
  <c r="W848" i="2"/>
  <c r="W850" i="2"/>
  <c r="W1394" i="2"/>
  <c r="W2491" i="2"/>
  <c r="W291" i="2"/>
  <c r="W853" i="2"/>
  <c r="W1396" i="2"/>
  <c r="W1398" i="2"/>
  <c r="W1950" i="2"/>
  <c r="W2493" i="2"/>
  <c r="W2495" i="2"/>
  <c r="W2497" i="2"/>
  <c r="W547" i="2"/>
  <c r="W549" i="2"/>
  <c r="W1647" i="2"/>
  <c r="W292" i="2"/>
  <c r="W294" i="2"/>
  <c r="W1400" i="2"/>
  <c r="W1952" i="2"/>
  <c r="W1954" i="2"/>
  <c r="W1956" i="2"/>
  <c r="W2499" i="2"/>
  <c r="W2501" i="2"/>
  <c r="W295" i="2"/>
  <c r="W297" i="2"/>
  <c r="W299" i="2"/>
  <c r="W22" i="2"/>
  <c r="W24" i="2"/>
  <c r="W587" i="2"/>
  <c r="W589" i="2"/>
  <c r="W591" i="2"/>
  <c r="W1139" i="2"/>
  <c r="W1688" i="2"/>
  <c r="W1690" i="2"/>
  <c r="W26" i="2"/>
  <c r="W592" i="2"/>
  <c r="W594" i="2"/>
  <c r="W1142" i="2"/>
  <c r="W1144" i="2"/>
  <c r="W1146" i="2"/>
  <c r="W300" i="2"/>
  <c r="W302" i="2"/>
  <c r="W304" i="2"/>
  <c r="W856" i="2"/>
  <c r="W1401" i="2"/>
  <c r="W1959" i="2"/>
  <c r="W2502" i="2"/>
  <c r="W595" i="2"/>
  <c r="W597" i="2"/>
  <c r="W599" i="2"/>
  <c r="W1148" i="2"/>
  <c r="W1693" i="2"/>
  <c r="W1696" i="2"/>
  <c r="W1402" i="2"/>
  <c r="W30" i="2"/>
  <c r="W601" i="2"/>
  <c r="W1150" i="2"/>
  <c r="W1697" i="2"/>
  <c r="W2238" i="2"/>
  <c r="W2240" i="2"/>
  <c r="W2242" i="2"/>
  <c r="W2244" i="2"/>
  <c r="W2246" i="2"/>
  <c r="W422" i="2"/>
  <c r="W424" i="2"/>
  <c r="W425" i="2"/>
  <c r="W307" i="2"/>
  <c r="W309" i="2"/>
  <c r="W1403" i="2"/>
  <c r="W2055" i="2"/>
  <c r="W2056" i="2"/>
  <c r="W311" i="2"/>
  <c r="W313" i="2"/>
  <c r="W858" i="2"/>
  <c r="W860" i="2"/>
  <c r="W1405" i="2"/>
  <c r="W1407" i="2"/>
  <c r="W1963" i="2"/>
  <c r="W1965" i="2"/>
  <c r="W315" i="2"/>
  <c r="W317" i="2"/>
  <c r="W319" i="2"/>
  <c r="W320" i="2"/>
  <c r="W321" i="2"/>
  <c r="W862" i="2"/>
  <c r="W1409" i="2"/>
  <c r="W1410" i="2"/>
  <c r="W1097" i="2"/>
  <c r="W1098" i="2"/>
  <c r="W1099" i="2"/>
  <c r="W602" i="2"/>
  <c r="W603" i="2"/>
  <c r="W604" i="2"/>
  <c r="W1152" i="2"/>
  <c r="W1699" i="2"/>
  <c r="W1700" i="2"/>
  <c r="W1701" i="2"/>
  <c r="W507" i="2"/>
  <c r="W508" i="2"/>
  <c r="W2147" i="2"/>
  <c r="W2148" i="2"/>
  <c r="W322" i="2"/>
  <c r="W863" i="2"/>
  <c r="W864" i="2"/>
  <c r="W865" i="2"/>
  <c r="W1411" i="2"/>
  <c r="W1412" i="2"/>
  <c r="W1413" i="2"/>
  <c r="W1967" i="2"/>
  <c r="W2149" i="2"/>
  <c r="W2684" i="2"/>
  <c r="W2685" i="2"/>
  <c r="W2686" i="2"/>
  <c r="W2687" i="2"/>
  <c r="W323" i="2"/>
  <c r="W324" i="2"/>
  <c r="W866" i="2"/>
  <c r="W867" i="2"/>
  <c r="W1414" i="2"/>
  <c r="W1415" i="2"/>
  <c r="W1416" i="2"/>
  <c r="W1417" i="2"/>
  <c r="W1968" i="2"/>
  <c r="W1969" i="2"/>
  <c r="W1970" i="2"/>
  <c r="W1971" i="2"/>
  <c r="W1972" i="2"/>
  <c r="W2503" i="2"/>
  <c r="W2504" i="2"/>
  <c r="W2505" i="2"/>
  <c r="W2506" i="2"/>
  <c r="W2507" i="2"/>
  <c r="W325" i="2"/>
  <c r="W326" i="2"/>
  <c r="W868" i="2"/>
  <c r="W869" i="2"/>
  <c r="W1418" i="2"/>
  <c r="W1419" i="2"/>
  <c r="W1420" i="2"/>
  <c r="W1973" i="2"/>
  <c r="W2508" i="2"/>
  <c r="W457" i="2"/>
  <c r="W1559" i="2"/>
  <c r="W1560" i="2"/>
  <c r="W2106" i="2"/>
  <c r="W2107" i="2"/>
  <c r="W2108" i="2"/>
  <c r="W2109" i="2"/>
  <c r="W2110" i="2"/>
  <c r="W2624" i="2"/>
  <c r="W2625" i="2"/>
  <c r="W2626" i="2"/>
  <c r="W2627" i="2"/>
  <c r="W368" i="2"/>
  <c r="W369" i="2"/>
  <c r="W1457" i="2"/>
  <c r="W327" i="2"/>
  <c r="W328" i="2"/>
  <c r="W329" i="2"/>
  <c r="W870" i="2"/>
  <c r="W871" i="2"/>
  <c r="W1421" i="2"/>
  <c r="W1974" i="2"/>
  <c r="W1975" i="2"/>
  <c r="W1976" i="2"/>
  <c r="W458" i="2"/>
  <c r="W459" i="2"/>
  <c r="W994" i="2"/>
  <c r="W1561" i="2"/>
  <c r="W1562" i="2"/>
  <c r="W330" i="2"/>
  <c r="W331" i="2"/>
  <c r="W872" i="2"/>
  <c r="W332" i="2"/>
  <c r="W333" i="2"/>
  <c r="W334" i="2"/>
  <c r="W335" i="2"/>
  <c r="W873" i="2"/>
  <c r="W874" i="2"/>
  <c r="W875" i="2"/>
  <c r="W1422" i="2"/>
  <c r="W1423" i="2"/>
  <c r="W1424" i="2"/>
  <c r="W1425" i="2"/>
  <c r="W1426" i="2"/>
  <c r="W1427" i="2"/>
  <c r="W336" i="2"/>
  <c r="W1428" i="2"/>
  <c r="W509" i="2"/>
  <c r="W510" i="2"/>
  <c r="W511" i="2"/>
  <c r="W512" i="2"/>
  <c r="W1041" i="2"/>
  <c r="W1042" i="2"/>
  <c r="W2150" i="2"/>
  <c r="W2151" i="2"/>
  <c r="W2688" i="2"/>
  <c r="W31" i="2"/>
  <c r="W32" i="2"/>
  <c r="W33" i="2"/>
  <c r="W34" i="2"/>
  <c r="W605" i="2"/>
  <c r="W606" i="2"/>
  <c r="W1153" i="2"/>
  <c r="W1154" i="2"/>
  <c r="W1702" i="2"/>
  <c r="W1703" i="2"/>
  <c r="W1704" i="2"/>
  <c r="W374" i="2"/>
  <c r="W375" i="2"/>
  <c r="W376" i="2"/>
  <c r="W897" i="2"/>
  <c r="W2007" i="2"/>
  <c r="W2008" i="2"/>
  <c r="W426" i="2"/>
  <c r="W945" i="2"/>
  <c r="W946" i="2"/>
  <c r="W947" i="2"/>
  <c r="W948" i="2"/>
  <c r="W1509" i="2"/>
  <c r="W1510" i="2"/>
  <c r="W1511" i="2"/>
  <c r="W2058" i="2"/>
  <c r="W2059" i="2"/>
  <c r="W2060" i="2"/>
  <c r="W2571" i="2"/>
  <c r="W2572" i="2"/>
  <c r="W2573" i="2"/>
  <c r="W1056" i="2"/>
  <c r="W1609" i="2"/>
  <c r="W1610" i="2"/>
  <c r="W2161" i="2"/>
  <c r="W2698" i="2"/>
  <c r="W337" i="2"/>
  <c r="W338" i="2"/>
  <c r="W1429" i="2"/>
  <c r="W1430" i="2"/>
  <c r="W1431" i="2"/>
  <c r="W1977" i="2"/>
  <c r="W1978" i="2"/>
  <c r="W1979" i="2"/>
  <c r="W1980" i="2"/>
  <c r="W1981" i="2"/>
  <c r="W1982" i="2"/>
  <c r="W2509" i="2"/>
  <c r="W2510" i="2"/>
  <c r="W2511" i="2"/>
  <c r="W35" i="2"/>
  <c r="W36" i="2"/>
  <c r="W37" i="2"/>
  <c r="W38" i="2"/>
  <c r="W39" i="2"/>
  <c r="W607" i="2"/>
  <c r="W339" i="2"/>
  <c r="W340" i="2"/>
  <c r="W341" i="2"/>
  <c r="W342" i="2"/>
  <c r="W343" i="2"/>
  <c r="W344" i="2"/>
  <c r="W345" i="2"/>
  <c r="W346" i="2"/>
  <c r="W347" i="2"/>
  <c r="W876" i="2"/>
  <c r="W877" i="2"/>
  <c r="W1432" i="2"/>
  <c r="W1433" i="2"/>
  <c r="W1434" i="2"/>
  <c r="W348" i="2"/>
  <c r="W349" i="2"/>
  <c r="W350" i="2"/>
  <c r="W351" i="2"/>
  <c r="W878" i="2"/>
  <c r="W879" i="2"/>
  <c r="W880" i="2"/>
  <c r="W881" i="2"/>
  <c r="W1435" i="2"/>
  <c r="W1436" i="2"/>
  <c r="W1437" i="2"/>
  <c r="W1438" i="2"/>
  <c r="W1439" i="2"/>
  <c r="W1440" i="2"/>
  <c r="W1441" i="2"/>
  <c r="W352" i="2"/>
  <c r="W353" i="2"/>
  <c r="W436" i="2"/>
  <c r="W437" i="2"/>
  <c r="W972" i="2"/>
  <c r="W973" i="2"/>
  <c r="W2085" i="2"/>
  <c r="W40" i="2"/>
  <c r="W354" i="2"/>
  <c r="W41" i="2"/>
  <c r="W355" i="2"/>
  <c r="W42" i="2"/>
  <c r="W356" i="2"/>
  <c r="W357" i="2"/>
  <c r="W358" i="2"/>
  <c r="W882" i="2"/>
  <c r="W883" i="2"/>
  <c r="W608" i="2"/>
  <c r="W884" i="2"/>
  <c r="W1442" i="2"/>
  <c r="W1443" i="2"/>
  <c r="W1983" i="2"/>
  <c r="W1984" i="2"/>
  <c r="W1705" i="2"/>
  <c r="W1985" i="2"/>
  <c r="W1706" i="2"/>
  <c r="W609" i="2"/>
  <c r="W1710" i="2"/>
  <c r="W2251" i="2"/>
  <c r="W553" i="2"/>
  <c r="W1100" i="2"/>
  <c r="W1649" i="2"/>
  <c r="W1651" i="2"/>
  <c r="W2201" i="2"/>
  <c r="W2203" i="2"/>
  <c r="W613" i="2"/>
  <c r="W1161" i="2"/>
  <c r="W1711" i="2"/>
  <c r="W2252" i="2"/>
  <c r="W2254" i="2"/>
  <c r="W2255" i="2"/>
  <c r="W2257" i="2"/>
  <c r="W2259" i="2"/>
  <c r="W1163" i="2"/>
  <c r="W1165" i="2"/>
  <c r="W1714" i="2"/>
  <c r="W2261" i="2"/>
  <c r="W2263" i="2"/>
  <c r="W2266" i="2"/>
  <c r="W2268" i="2"/>
  <c r="W2270" i="2"/>
  <c r="W2271" i="2"/>
  <c r="W46" i="2"/>
  <c r="W616" i="2"/>
  <c r="W1715" i="2"/>
  <c r="W2272" i="2"/>
  <c r="W901" i="2"/>
  <c r="W904" i="2"/>
  <c r="W1464" i="2"/>
  <c r="W1465" i="2"/>
  <c r="W2009" i="2"/>
  <c r="W2010" i="2"/>
  <c r="W2521" i="2"/>
  <c r="W2523" i="2"/>
  <c r="W2525" i="2"/>
  <c r="W975" i="2"/>
  <c r="W1540" i="2"/>
  <c r="W2088" i="2"/>
  <c r="W618" i="2"/>
  <c r="W1167" i="2"/>
  <c r="W1717" i="2"/>
  <c r="W1719" i="2"/>
  <c r="W1721" i="2"/>
  <c r="W1723" i="2"/>
  <c r="W2273" i="2"/>
  <c r="W2275" i="2"/>
  <c r="W620" i="2"/>
  <c r="W1725" i="2"/>
  <c r="W438" i="2"/>
  <c r="W1542" i="2"/>
  <c r="W2089" i="2"/>
  <c r="W2091" i="2"/>
  <c r="W2615" i="2"/>
  <c r="W995" i="2"/>
  <c r="W2111" i="2"/>
  <c r="W2629" i="2"/>
  <c r="W622" i="2"/>
  <c r="W624" i="2"/>
  <c r="W1170" i="2"/>
  <c r="W1172" i="2"/>
  <c r="W2277" i="2"/>
  <c r="W2279" i="2"/>
  <c r="W2630" i="2"/>
  <c r="W625" i="2"/>
  <c r="W1173" i="2"/>
  <c r="W1727" i="2"/>
  <c r="W2281" i="2"/>
  <c r="W2283" i="2"/>
  <c r="W2285" i="2"/>
  <c r="W2287" i="2"/>
  <c r="W49" i="2"/>
  <c r="W1175" i="2"/>
  <c r="W1729" i="2"/>
  <c r="W1731" i="2"/>
  <c r="W2290" i="2"/>
  <c r="W2292" i="2"/>
  <c r="W2294" i="2"/>
  <c r="W2296" i="2"/>
  <c r="W626" i="2"/>
  <c r="W2297" i="2"/>
  <c r="W427" i="2"/>
  <c r="W950" i="2"/>
  <c r="W951" i="2"/>
  <c r="W953" i="2"/>
  <c r="W1512" i="2"/>
  <c r="W1513" i="2"/>
  <c r="W2061" i="2"/>
  <c r="W2063" i="2"/>
  <c r="W2575" i="2"/>
  <c r="W1057" i="2"/>
  <c r="W1616" i="2"/>
  <c r="W2163" i="2"/>
  <c r="W885" i="2"/>
  <c r="W887" i="2"/>
  <c r="W1444" i="2"/>
  <c r="W1987" i="2"/>
  <c r="W1989" i="2"/>
  <c r="W1991" i="2"/>
  <c r="W2513" i="2"/>
  <c r="W52" i="2"/>
  <c r="W53" i="2"/>
  <c r="W628" i="2"/>
  <c r="W630" i="2"/>
  <c r="W1179" i="2"/>
  <c r="W1181" i="2"/>
  <c r="W1733" i="2"/>
  <c r="W2299" i="2"/>
  <c r="W2301" i="2"/>
  <c r="W55" i="2"/>
  <c r="W632" i="2"/>
  <c r="W634" i="2"/>
  <c r="W1183" i="2"/>
  <c r="W1735" i="2"/>
  <c r="W2303" i="2"/>
  <c r="W2305" i="2"/>
  <c r="W2307" i="2"/>
  <c r="W1103" i="2"/>
  <c r="W2204" i="2"/>
  <c r="W2011" i="2"/>
  <c r="W2526" i="2"/>
  <c r="W2528" i="2"/>
  <c r="W2530" i="2"/>
  <c r="W1043" i="2"/>
  <c r="W1619" i="2"/>
  <c r="W2153" i="2"/>
  <c r="W2690" i="2"/>
  <c r="W2692" i="2"/>
  <c r="W555" i="2"/>
  <c r="W2205" i="2"/>
  <c r="W2207" i="2"/>
  <c r="W2209" i="2"/>
  <c r="W461" i="2"/>
  <c r="W463" i="2"/>
  <c r="W997" i="2"/>
  <c r="W2113" i="2"/>
  <c r="W636" i="2"/>
  <c r="W638" i="2"/>
  <c r="W1185" i="2"/>
  <c r="W1187" i="2"/>
  <c r="W1737" i="2"/>
  <c r="W1739" i="2"/>
  <c r="W2309" i="2"/>
  <c r="W2310" i="2"/>
  <c r="W2312" i="2"/>
  <c r="W999" i="2"/>
  <c r="W1189" i="2"/>
  <c r="W1740" i="2"/>
  <c r="W641" i="2"/>
  <c r="W1191" i="2"/>
  <c r="W1193" i="2"/>
  <c r="W1194" i="2"/>
  <c r="W57" i="2"/>
  <c r="W59" i="2"/>
  <c r="W645" i="2"/>
  <c r="W1196" i="2"/>
  <c r="W2315" i="2"/>
  <c r="W2316" i="2"/>
  <c r="W647" i="2"/>
  <c r="W1197" i="2"/>
  <c r="W1743" i="2"/>
  <c r="W2318" i="2"/>
  <c r="W61" i="2"/>
  <c r="W649" i="2"/>
  <c r="W1199" i="2"/>
  <c r="W1201" i="2"/>
  <c r="W2320" i="2"/>
  <c r="W2321" i="2"/>
  <c r="W2324" i="2"/>
  <c r="W2326" i="2"/>
  <c r="W650" i="2"/>
  <c r="W1203" i="2"/>
  <c r="W1746" i="2"/>
  <c r="W1748" i="2"/>
  <c r="W2329" i="2"/>
  <c r="W2331" i="2"/>
  <c r="W2333" i="2"/>
  <c r="W2335" i="2"/>
  <c r="W2704" i="2"/>
  <c r="W64" i="2"/>
  <c r="W66" i="2"/>
  <c r="W652" i="2"/>
  <c r="W1751" i="2"/>
  <c r="W2336" i="2"/>
  <c r="W2338" i="2"/>
  <c r="W2339" i="2"/>
  <c r="W2341" i="2"/>
  <c r="W1604" i="2"/>
  <c r="W379" i="2"/>
  <c r="W906" i="2"/>
  <c r="W907" i="2"/>
  <c r="W1466" i="2"/>
  <c r="W1467" i="2"/>
  <c r="W2014" i="2"/>
  <c r="W2532" i="2"/>
  <c r="W654" i="2"/>
  <c r="W656" i="2"/>
  <c r="W1205" i="2"/>
  <c r="W1207" i="2"/>
  <c r="W1753" i="2"/>
  <c r="W1755" i="2"/>
  <c r="W1060" i="2"/>
  <c r="W1062" i="2"/>
  <c r="W1620" i="2"/>
  <c r="W2165" i="2"/>
  <c r="W67" i="2"/>
  <c r="W69" i="2"/>
  <c r="W658" i="2"/>
  <c r="W1210" i="2"/>
  <c r="W1212" i="2"/>
  <c r="W2343" i="2"/>
  <c r="W660" i="2"/>
  <c r="W662" i="2"/>
  <c r="W1758" i="2"/>
  <c r="W2344" i="2"/>
  <c r="W2346" i="2"/>
  <c r="W1622" i="2"/>
  <c r="W2708" i="2"/>
  <c r="W3" i="2"/>
  <c r="W1105" i="2"/>
  <c r="W1107" i="2"/>
  <c r="W2211" i="2"/>
  <c r="W2213" i="2"/>
  <c r="W2215" i="2"/>
  <c r="W2166" i="2"/>
  <c r="W439" i="2"/>
  <c r="W977" i="2"/>
  <c r="W979" i="2"/>
  <c r="W1545" i="2"/>
  <c r="W955" i="2"/>
  <c r="W957" i="2"/>
  <c r="W1516" i="2"/>
  <c r="W1518" i="2"/>
  <c r="W2065" i="2"/>
  <c r="W2067" i="2"/>
  <c r="W663" i="2"/>
  <c r="W1214" i="2"/>
  <c r="W1216" i="2"/>
  <c r="W1760" i="2"/>
  <c r="W1762" i="2"/>
  <c r="W1764" i="2"/>
  <c r="W1766" i="2"/>
  <c r="W2348" i="2"/>
  <c r="W2349" i="2"/>
  <c r="W2351" i="2"/>
  <c r="W1767" i="2"/>
  <c r="W666" i="2"/>
  <c r="W668" i="2"/>
  <c r="W1219" i="2"/>
  <c r="W1768" i="2"/>
  <c r="W1770" i="2"/>
  <c r="W1772" i="2"/>
  <c r="W1000" i="2"/>
  <c r="W1565" i="2"/>
  <c r="W2631" i="2"/>
  <c r="W520" i="2"/>
  <c r="W1064" i="2"/>
  <c r="W1469" i="2"/>
  <c r="W1624" i="2"/>
  <c r="W2711" i="2"/>
  <c r="W2712" i="2"/>
  <c r="W72" i="2"/>
  <c r="W669" i="2"/>
  <c r="W672" i="2"/>
  <c r="W1222" i="2"/>
  <c r="W1224" i="2"/>
  <c r="W1773" i="2"/>
  <c r="W2353" i="2"/>
  <c r="W2355" i="2"/>
  <c r="W2356" i="2"/>
  <c r="W674" i="2"/>
  <c r="W1775" i="2"/>
  <c r="W1777" i="2"/>
  <c r="W1779" i="2"/>
  <c r="W2358" i="2"/>
  <c r="W2359" i="2"/>
  <c r="W2361" i="2"/>
  <c r="W2363" i="2"/>
  <c r="W76" i="2"/>
  <c r="W675" i="2"/>
  <c r="W1226" i="2"/>
  <c r="W1781" i="2"/>
  <c r="W2364" i="2"/>
  <c r="W2367" i="2"/>
  <c r="W2369" i="2"/>
  <c r="W2370" i="2"/>
  <c r="W78" i="2"/>
  <c r="W522" i="2"/>
  <c r="W1065" i="2"/>
  <c r="W1227" i="2"/>
  <c r="W1229" i="2"/>
  <c r="W1783" i="2"/>
  <c r="W2167" i="2"/>
  <c r="W2374" i="2"/>
  <c r="W2375" i="2"/>
  <c r="W1002" i="2"/>
  <c r="W678" i="2"/>
  <c r="W679" i="2"/>
  <c r="W681" i="2"/>
  <c r="W894" i="2"/>
  <c r="W1231" i="2"/>
  <c r="W1232" i="2"/>
  <c r="W1233" i="2"/>
  <c r="W1459" i="2"/>
  <c r="W1785" i="2"/>
  <c r="W2002" i="2"/>
  <c r="W2114" i="2"/>
  <c r="W2004" i="2"/>
  <c r="W2377" i="2"/>
  <c r="W380" i="2"/>
  <c r="W524" i="2"/>
  <c r="W83" i="2"/>
  <c r="W1067" i="2"/>
  <c r="W908" i="2"/>
  <c r="W1068" i="2"/>
  <c r="W1235" i="2"/>
  <c r="W1625" i="2"/>
  <c r="W2016" i="2"/>
  <c r="W1789" i="2"/>
  <c r="W2534" i="2"/>
  <c r="W2536" i="2"/>
  <c r="W2379" i="2"/>
  <c r="W2537" i="2"/>
  <c r="W1627" i="2"/>
  <c r="W2169" i="2"/>
  <c r="W2713" i="2"/>
  <c r="W2716" i="2"/>
  <c r="W2718" i="2"/>
  <c r="W466" i="2"/>
  <c r="W1005" i="2"/>
  <c r="W2116" i="2"/>
  <c r="W2118" i="2"/>
  <c r="W2633" i="2"/>
  <c r="W2635" i="2"/>
  <c r="W467" i="2"/>
  <c r="W470" i="2"/>
  <c r="W1569" i="2"/>
  <c r="W1571" i="2"/>
  <c r="W2120" i="2"/>
  <c r="W2637" i="2"/>
  <c r="W2639" i="2"/>
  <c r="W85" i="2"/>
  <c r="W685" i="2"/>
  <c r="W687" i="2"/>
  <c r="W689" i="2"/>
  <c r="W691" i="2"/>
  <c r="W693" i="2"/>
  <c r="W695" i="2"/>
  <c r="W1237" i="2"/>
  <c r="W1238" i="2"/>
  <c r="W1240" i="2"/>
  <c r="W1242" i="2"/>
  <c r="W1244" i="2"/>
  <c r="W1790" i="2"/>
  <c r="W1792" i="2"/>
  <c r="W1794" i="2"/>
  <c r="W1796" i="2"/>
  <c r="W1798" i="2"/>
  <c r="W471" i="2"/>
  <c r="W473" i="2"/>
  <c r="W1008" i="2"/>
  <c r="W1572" i="2"/>
  <c r="W1574" i="2"/>
  <c r="W2641" i="2"/>
  <c r="W525" i="2"/>
  <c r="W88" i="2"/>
  <c r="W526" i="2"/>
  <c r="W1070" i="2"/>
  <c r="W1072" i="2"/>
  <c r="W1246" i="2"/>
  <c r="W1247" i="2"/>
  <c r="W1248" i="2"/>
  <c r="W1631" i="2"/>
  <c r="W2170" i="2"/>
  <c r="W2172" i="2"/>
  <c r="W2173" i="2"/>
  <c r="W2175" i="2"/>
  <c r="W2720" i="2"/>
  <c r="W2722" i="2"/>
  <c r="W2382" i="2"/>
  <c r="W2723" i="2"/>
  <c r="W2385" i="2"/>
  <c r="W2724" i="2"/>
  <c r="W90" i="2"/>
  <c r="W92" i="2"/>
  <c r="W1250" i="2"/>
  <c r="W1802" i="2"/>
  <c r="W2389" i="2"/>
  <c r="W2219" i="2"/>
  <c r="W2221" i="2"/>
  <c r="W383" i="2"/>
  <c r="W698" i="2"/>
  <c r="W700" i="2"/>
  <c r="W702" i="2"/>
  <c r="W1251" i="2"/>
  <c r="W1473" i="2"/>
  <c r="W1252" i="2"/>
  <c r="W1474" i="2"/>
  <c r="W1475" i="2"/>
  <c r="W1253" i="2"/>
  <c r="W1254" i="2"/>
  <c r="W1803" i="2"/>
  <c r="W1805" i="2"/>
  <c r="W2018" i="2"/>
  <c r="W1808" i="2"/>
  <c r="W1049" i="2"/>
  <c r="W1051" i="2"/>
  <c r="W1605" i="2"/>
  <c r="W1607" i="2"/>
  <c r="W2155" i="2"/>
  <c r="W2694" i="2"/>
  <c r="W95" i="2"/>
  <c r="W385" i="2"/>
  <c r="W910" i="2"/>
  <c r="W705" i="2"/>
  <c r="W1255" i="2"/>
  <c r="W1477" i="2"/>
  <c r="W2019" i="2"/>
  <c r="W2390" i="2"/>
  <c r="W2540" i="2"/>
  <c r="W2541" i="2"/>
  <c r="W2392" i="2"/>
  <c r="W513" i="2"/>
  <c r="W1010" i="2"/>
  <c r="W1611" i="2"/>
  <c r="W1575" i="2"/>
  <c r="W1576" i="2"/>
  <c r="W2122" i="2"/>
  <c r="W2699" i="2"/>
  <c r="W2700" i="2"/>
  <c r="W2645" i="2"/>
  <c r="W2648" i="2"/>
  <c r="W912" i="2"/>
  <c r="W2022" i="2"/>
  <c r="W2542" i="2"/>
  <c r="W2543" i="2"/>
  <c r="W2727" i="2"/>
  <c r="W6" i="2"/>
  <c r="W8" i="2"/>
  <c r="W707" i="2"/>
  <c r="W708" i="2"/>
  <c r="W709" i="2"/>
  <c r="W712" i="2"/>
  <c r="W1109" i="2"/>
  <c r="W1257" i="2"/>
  <c r="W1259" i="2"/>
  <c r="W1260" i="2"/>
  <c r="W1810" i="2"/>
  <c r="W1812" i="2"/>
  <c r="W1813" i="2"/>
  <c r="W1814" i="2"/>
  <c r="W558" i="2"/>
  <c r="W1658" i="2"/>
  <c r="W475" i="2"/>
  <c r="W1011" i="2"/>
  <c r="W1013" i="2"/>
  <c r="W1577" i="2"/>
  <c r="W2124" i="2"/>
  <c r="W2651" i="2"/>
  <c r="W478" i="2"/>
  <c r="W1016" i="2"/>
  <c r="W1579" i="2"/>
  <c r="W1581" i="2"/>
  <c r="W2125" i="2"/>
  <c r="W2127" i="2"/>
  <c r="W2653" i="2"/>
  <c r="W2655" i="2"/>
  <c r="W98" i="2"/>
  <c r="W713" i="2"/>
  <c r="W1263" i="2"/>
  <c r="W1816" i="2"/>
  <c r="W2394" i="2"/>
  <c r="W2396" i="2"/>
  <c r="W2398" i="2"/>
  <c r="W479" i="2"/>
  <c r="W480" i="2"/>
  <c r="W1019" i="2"/>
  <c r="W1584" i="2"/>
  <c r="W2129" i="2"/>
  <c r="W2656" i="2"/>
  <c r="W2659" i="2"/>
  <c r="W2661" i="2"/>
  <c r="W2663" i="2"/>
  <c r="W360" i="2"/>
  <c r="W362" i="2"/>
  <c r="W1445" i="2"/>
  <c r="W1447" i="2"/>
  <c r="W1449" i="2"/>
  <c r="W1994" i="2"/>
  <c r="W2514" i="2"/>
  <c r="W9" i="2"/>
  <c r="W11" i="2"/>
  <c r="W561" i="2"/>
  <c r="W562" i="2"/>
  <c r="W1112" i="2"/>
  <c r="W1113" i="2"/>
  <c r="W1660" i="2"/>
  <c r="W1662" i="2"/>
  <c r="W1664" i="2"/>
  <c r="W1633" i="2"/>
  <c r="W714" i="2"/>
  <c r="W716" i="2"/>
  <c r="W1264" i="2"/>
  <c r="W1818" i="2"/>
  <c r="W528" i="2"/>
  <c r="W1075" i="2"/>
  <c r="W1077" i="2"/>
  <c r="W1634" i="2"/>
  <c r="W2177" i="2"/>
  <c r="W100" i="2"/>
  <c r="W1265" i="2"/>
  <c r="W2401" i="2"/>
  <c r="W2402" i="2"/>
  <c r="W1079" i="2"/>
  <c r="W2728" i="2"/>
  <c r="W531" i="2"/>
  <c r="W1636" i="2"/>
  <c r="W2179" i="2"/>
  <c r="W2730" i="2"/>
  <c r="W959" i="2"/>
  <c r="W1520" i="2"/>
  <c r="W2577" i="2"/>
  <c r="W913" i="2"/>
  <c r="W1478" i="2"/>
  <c r="W2025" i="2"/>
  <c r="W2027" i="2"/>
  <c r="W2544" i="2"/>
  <c r="W2546" i="2"/>
  <c r="W2548" i="2"/>
  <c r="W2550" i="2"/>
  <c r="W2552" i="2"/>
  <c r="W102" i="2"/>
  <c r="W719" i="2"/>
  <c r="W1266" i="2"/>
  <c r="W1268" i="2"/>
  <c r="W2403" i="2"/>
  <c r="W2405" i="2"/>
  <c r="W2407" i="2"/>
  <c r="W482" i="2"/>
  <c r="W2130" i="2"/>
  <c r="W2665" i="2"/>
  <c r="W104" i="2"/>
  <c r="W106" i="2"/>
  <c r="W108" i="2"/>
  <c r="W722" i="2"/>
  <c r="W1270" i="2"/>
  <c r="W1821" i="2"/>
  <c r="W1823" i="2"/>
  <c r="W915" i="2"/>
  <c r="W917" i="2"/>
  <c r="W1480" i="2"/>
  <c r="W2029" i="2"/>
  <c r="W723" i="2"/>
  <c r="W725" i="2"/>
  <c r="W727" i="2"/>
  <c r="W1273" i="2"/>
  <c r="W1275" i="2"/>
  <c r="W1826" i="2"/>
  <c r="W1828" i="2"/>
  <c r="W533" i="2"/>
  <c r="W1080" i="2"/>
  <c r="W1082" i="2"/>
  <c r="W110" i="2"/>
  <c r="W112" i="2"/>
  <c r="W729" i="2"/>
  <c r="W1276" i="2"/>
  <c r="W1830" i="2"/>
  <c r="W1832" i="2"/>
  <c r="W2410" i="2"/>
  <c r="W441" i="2"/>
  <c r="W2030" i="2"/>
  <c r="W2554" i="2"/>
  <c r="W114" i="2"/>
  <c r="W731" i="2"/>
  <c r="W1279" i="2"/>
  <c r="W1834" i="2"/>
  <c r="W732" i="2"/>
  <c r="W1835" i="2"/>
  <c r="W483" i="2"/>
  <c r="W982" i="2"/>
  <c r="W983" i="2"/>
  <c r="W1586" i="2"/>
  <c r="W1550" i="2"/>
  <c r="W1552" i="2"/>
  <c r="W2096" i="2"/>
  <c r="W2098" i="2"/>
  <c r="W1022" i="2"/>
  <c r="W12" i="2"/>
  <c r="W564" i="2"/>
  <c r="W566" i="2"/>
  <c r="W568" i="2"/>
  <c r="W1665" i="2"/>
  <c r="W517" i="2"/>
  <c r="W519" i="2"/>
  <c r="W1615" i="2"/>
  <c r="W2701" i="2"/>
  <c r="W117" i="2"/>
  <c r="W119" i="2"/>
  <c r="W569" i="2"/>
  <c r="W571" i="2"/>
  <c r="W1280" i="2"/>
  <c r="W1117" i="2"/>
  <c r="W1667" i="2"/>
  <c r="W2412" i="2"/>
  <c r="W2413" i="2"/>
  <c r="W734" i="2"/>
  <c r="W736" i="2"/>
  <c r="W1282" i="2"/>
  <c r="W1838" i="2"/>
  <c r="W2415" i="2"/>
  <c r="W2417" i="2"/>
  <c r="W2419" i="2"/>
  <c r="W2182" i="2"/>
  <c r="W2732" i="2"/>
  <c r="W121" i="2"/>
  <c r="W737" i="2"/>
  <c r="W1284" i="2"/>
  <c r="W1840" i="2"/>
  <c r="W2420" i="2"/>
  <c r="W2422" i="2"/>
  <c r="W2424" i="2"/>
  <c r="W2426" i="2"/>
  <c r="W446" i="2"/>
  <c r="W985" i="2"/>
  <c r="W1553" i="2"/>
  <c r="W889" i="2"/>
  <c r="W1451" i="2"/>
  <c r="W746" i="2"/>
  <c r="W748" i="2"/>
  <c r="W1286" i="2"/>
  <c r="W1289" i="2"/>
  <c r="W1846" i="2"/>
  <c r="W2427" i="2"/>
  <c r="W2429" i="2"/>
  <c r="W1588" i="2"/>
  <c r="W2131" i="2"/>
  <c r="W2668" i="2"/>
  <c r="W2670" i="2"/>
  <c r="W15" i="2"/>
  <c r="W1118" i="2"/>
  <c r="W1119" i="2"/>
  <c r="W1670" i="2"/>
  <c r="W1672" i="2"/>
  <c r="W2224" i="2"/>
  <c r="W2226" i="2"/>
  <c r="W2228" i="2"/>
  <c r="W2230" i="2"/>
  <c r="W371" i="2"/>
  <c r="W895" i="2"/>
  <c r="W1461" i="2"/>
  <c r="W2005" i="2"/>
  <c r="W2519" i="2"/>
  <c r="W1484" i="2"/>
  <c r="W1486" i="2"/>
  <c r="W2033" i="2"/>
  <c r="W2556" i="2"/>
  <c r="W1054" i="2"/>
  <c r="W136" i="2"/>
  <c r="W138" i="2"/>
  <c r="W140" i="2"/>
  <c r="W750" i="2"/>
  <c r="W752" i="2"/>
  <c r="W1291" i="2"/>
  <c r="W1849" i="2"/>
  <c r="W1292" i="2"/>
  <c r="W1294" i="2"/>
  <c r="W1852" i="2"/>
  <c r="W754" i="2"/>
  <c r="W142" i="2"/>
  <c r="W144" i="2"/>
  <c r="W755" i="2"/>
  <c r="W1295" i="2"/>
  <c r="W1855" i="2"/>
  <c r="W2430" i="2"/>
  <c r="W148" i="2"/>
  <c r="W757" i="2"/>
  <c r="W759" i="2"/>
  <c r="W1297" i="2"/>
  <c r="W1299" i="2"/>
  <c r="W1857" i="2"/>
  <c r="W1859" i="2"/>
  <c r="W2432" i="2"/>
  <c r="W390" i="2"/>
  <c r="W964" i="2"/>
  <c r="W965" i="2"/>
  <c r="W1527" i="2"/>
  <c r="W2071" i="2"/>
  <c r="W1640" i="2"/>
  <c r="W2186" i="2"/>
  <c r="W2735" i="2"/>
  <c r="W153" i="2"/>
  <c r="W364" i="2"/>
  <c r="W366" i="2"/>
  <c r="W891" i="2"/>
  <c r="W1453" i="2"/>
  <c r="W1999" i="2"/>
  <c r="W1121" i="2"/>
  <c r="W1123" i="2"/>
  <c r="W1674" i="2"/>
  <c r="W392" i="2"/>
  <c r="W394" i="2"/>
  <c r="W918" i="2"/>
  <c r="W919" i="2"/>
  <c r="W920" i="2"/>
  <c r="W921" i="2"/>
  <c r="W922" i="2"/>
  <c r="W923" i="2"/>
  <c r="W924" i="2"/>
  <c r="W1488" i="2"/>
  <c r="W1489" i="2"/>
  <c r="W1490" i="2"/>
  <c r="W2036" i="2"/>
  <c r="W155" i="2"/>
  <c r="W763" i="2"/>
  <c r="W765" i="2"/>
  <c r="W1305" i="2"/>
  <c r="W1307" i="2"/>
  <c r="W1865" i="2"/>
  <c r="W2439" i="2"/>
  <c r="W157" i="2"/>
  <c r="W159" i="2"/>
  <c r="W966" i="2"/>
  <c r="W767" i="2"/>
  <c r="W1308" i="2"/>
  <c r="W1309" i="2"/>
  <c r="W2073" i="2"/>
  <c r="W2074" i="2"/>
  <c r="W1867" i="2"/>
  <c r="W1868" i="2"/>
  <c r="W2441" i="2"/>
  <c r="W2442" i="2"/>
  <c r="W2597" i="2"/>
  <c r="W2599" i="2"/>
  <c r="W2600" i="2"/>
  <c r="W430" i="2"/>
  <c r="W1530" i="2"/>
  <c r="W2076" i="2"/>
  <c r="W2078" i="2"/>
  <c r="W2603" i="2"/>
  <c r="W2604" i="2"/>
  <c r="W161" i="2"/>
  <c r="W162" i="2"/>
  <c r="W164" i="2"/>
  <c r="W1310" i="2"/>
  <c r="W1312" i="2"/>
  <c r="W1870" i="2"/>
  <c r="W2443" i="2"/>
  <c r="W165" i="2"/>
  <c r="W167" i="2"/>
  <c r="W169" i="2"/>
  <c r="W171" i="2"/>
  <c r="W769" i="2"/>
  <c r="W771" i="2"/>
  <c r="W773" i="2"/>
  <c r="W1314" i="2"/>
  <c r="W1873" i="2"/>
  <c r="W172" i="2"/>
  <c r="W174" i="2"/>
  <c r="W1315" i="2"/>
  <c r="W1318" i="2"/>
  <c r="W1319" i="2"/>
  <c r="W1321" i="2"/>
  <c r="W1876" i="2"/>
  <c r="W175" i="2"/>
  <c r="W775" i="2"/>
  <c r="W1086" i="2"/>
  <c r="W178" i="2"/>
  <c r="W179" i="2"/>
  <c r="W182" i="2"/>
  <c r="W776" i="2"/>
  <c r="W778" i="2"/>
  <c r="W780" i="2"/>
  <c r="W782" i="2"/>
  <c r="W1324" i="2"/>
  <c r="W1326" i="2"/>
  <c r="W1878" i="2"/>
  <c r="W1880" i="2"/>
  <c r="W1882" i="2"/>
  <c r="W2446" i="2"/>
  <c r="W396" i="2"/>
  <c r="W398" i="2"/>
  <c r="W926" i="2"/>
  <c r="W1492" i="2"/>
  <c r="W2560" i="2"/>
  <c r="W2037" i="2"/>
  <c r="W2562" i="2"/>
  <c r="W2736" i="2"/>
  <c r="W1087" i="2"/>
  <c r="W1641" i="2"/>
  <c r="W2189" i="2"/>
  <c r="W2191" i="2"/>
  <c r="W2739" i="2"/>
  <c r="W2741" i="2"/>
  <c r="W2742" i="2"/>
  <c r="W1642" i="2"/>
  <c r="W2192" i="2"/>
  <c r="W2194" i="2"/>
  <c r="W542" i="2"/>
  <c r="W183" i="2"/>
  <c r="W185" i="2"/>
  <c r="W1328" i="2"/>
  <c r="W1330" i="2"/>
  <c r="W1884" i="2"/>
  <c r="W2448" i="2"/>
  <c r="W2195" i="2"/>
  <c r="W486" i="2"/>
  <c r="W488" i="2"/>
  <c r="W1023" i="2"/>
  <c r="W1025" i="2"/>
  <c r="W1027" i="2"/>
  <c r="W1590" i="2"/>
  <c r="W1592" i="2"/>
  <c r="W2133" i="2"/>
  <c r="W1333" i="2"/>
  <c r="W1887" i="2"/>
  <c r="W1889" i="2"/>
  <c r="W190" i="2"/>
  <c r="W191" i="2"/>
  <c r="W491" i="2"/>
  <c r="W786" i="2"/>
  <c r="W1030" i="2"/>
  <c r="W789" i="2"/>
  <c r="W1593" i="2"/>
  <c r="W2134" i="2"/>
  <c r="W1890" i="2"/>
  <c r="W2450" i="2"/>
  <c r="W2673" i="2"/>
  <c r="W2453" i="2"/>
  <c r="W2455" i="2"/>
  <c r="W400" i="2"/>
  <c r="W194" i="2"/>
  <c r="W928" i="2"/>
  <c r="W1493" i="2"/>
  <c r="W1494" i="2"/>
  <c r="W2038" i="2"/>
  <c r="W2040" i="2"/>
  <c r="W1891" i="2"/>
  <c r="W2456" i="2"/>
  <c r="W2565" i="2"/>
  <c r="W2567" i="2"/>
  <c r="W402" i="2"/>
  <c r="W404" i="2"/>
  <c r="W406" i="2"/>
  <c r="W407" i="2"/>
  <c r="W574" i="2"/>
  <c r="W930" i="2"/>
  <c r="W575" i="2"/>
  <c r="W576" i="2"/>
  <c r="W1124" i="2"/>
  <c r="W1126" i="2"/>
  <c r="W1128" i="2"/>
  <c r="W1675" i="2"/>
  <c r="W1676" i="2"/>
  <c r="W2045" i="2"/>
  <c r="W195" i="2"/>
  <c r="W197" i="2"/>
  <c r="W199" i="2"/>
  <c r="W201" i="2"/>
  <c r="W791" i="2"/>
  <c r="W793" i="2"/>
  <c r="W1339" i="2"/>
  <c r="W1341" i="2"/>
  <c r="W1893" i="2"/>
  <c r="W202" i="2"/>
  <c r="W203" i="2"/>
  <c r="W205" i="2"/>
  <c r="W494" i="2"/>
  <c r="W795" i="2"/>
  <c r="W796" i="2"/>
  <c r="W1594" i="2"/>
  <c r="W1595" i="2"/>
  <c r="W1894" i="2"/>
  <c r="W2137" i="2"/>
  <c r="W2138" i="2"/>
  <c r="W2457" i="2"/>
  <c r="W2675" i="2"/>
  <c r="W1344" i="2"/>
  <c r="W2459" i="2"/>
  <c r="W2461" i="2"/>
  <c r="W431" i="2"/>
  <c r="W208" i="2"/>
  <c r="W969" i="2"/>
  <c r="W1346" i="2"/>
  <c r="W1347" i="2"/>
  <c r="W2079" i="2"/>
  <c r="W2081" i="2"/>
  <c r="W1898" i="2"/>
  <c r="W2082" i="2"/>
  <c r="W2607" i="2"/>
  <c r="W2609" i="2"/>
  <c r="W2463" i="2"/>
  <c r="W2612" i="2"/>
  <c r="W209" i="2"/>
  <c r="W211" i="2"/>
  <c r="W800" i="2"/>
  <c r="W1349" i="2"/>
  <c r="W1901" i="2"/>
  <c r="W495" i="2"/>
  <c r="W496" i="2"/>
  <c r="W1091" i="2"/>
  <c r="W1092" i="2"/>
  <c r="W1645" i="2"/>
  <c r="W2196" i="2"/>
  <c r="W2198" i="2"/>
  <c r="W212" i="2"/>
  <c r="W214" i="2"/>
  <c r="W215" i="2"/>
  <c r="W216" i="2"/>
  <c r="W411" i="2"/>
  <c r="W413" i="2"/>
  <c r="W801" i="2"/>
  <c r="W933" i="2"/>
  <c r="W803" i="2"/>
  <c r="W805" i="2"/>
  <c r="W935" i="2"/>
  <c r="W1498" i="2"/>
  <c r="W1351" i="2"/>
  <c r="W1500" i="2"/>
  <c r="W2047" i="2"/>
  <c r="W219" i="2"/>
  <c r="W414" i="2"/>
  <c r="W415" i="2"/>
  <c r="W417" i="2"/>
  <c r="W936" i="2"/>
  <c r="W937" i="2"/>
  <c r="W1502" i="2"/>
  <c r="W1504" i="2"/>
  <c r="W1902" i="2"/>
  <c r="W2050" i="2"/>
  <c r="W1904" i="2"/>
  <c r="W1905" i="2"/>
  <c r="W2569" i="2"/>
  <c r="W1035" i="2"/>
  <c r="W1597" i="2"/>
  <c r="W2676" i="2"/>
  <c r="W807" i="2"/>
  <c r="W2465" i="2"/>
  <c r="W2467" i="2"/>
  <c r="W2469" i="2"/>
  <c r="W1352" i="2"/>
  <c r="W1907" i="2"/>
  <c r="W1909" i="2"/>
  <c r="W1911" i="2"/>
  <c r="W2471" i="2"/>
  <c r="W2473" i="2"/>
  <c r="W2475" i="2"/>
  <c r="W224" i="2"/>
  <c r="W226" i="2"/>
  <c r="W228" i="2"/>
  <c r="W230" i="2"/>
  <c r="W810" i="2"/>
  <c r="W1354" i="2"/>
  <c r="W1912" i="2"/>
  <c r="W2476" i="2"/>
  <c r="W939" i="2"/>
  <c r="W1507" i="2"/>
  <c r="W232" i="2"/>
  <c r="W449" i="2"/>
  <c r="W451" i="2"/>
  <c r="W235" i="2"/>
  <c r="W989" i="2"/>
  <c r="W814" i="2"/>
  <c r="W991" i="2"/>
  <c r="W1356" i="2"/>
  <c r="W1358" i="2"/>
  <c r="W1360" i="2"/>
  <c r="W1362" i="2"/>
  <c r="W1363" i="2"/>
  <c r="W1913" i="2"/>
  <c r="W1914" i="2"/>
  <c r="W2101" i="2"/>
  <c r="W2622" i="2"/>
  <c r="W499" i="2"/>
  <c r="W1036" i="2"/>
  <c r="W1598" i="2"/>
  <c r="W1915" i="2"/>
  <c r="W452" i="2"/>
  <c r="W454" i="2"/>
  <c r="W456" i="2"/>
  <c r="W993" i="2"/>
  <c r="W2103" i="2"/>
  <c r="W2105" i="2"/>
  <c r="W501" i="2"/>
  <c r="W1039" i="2"/>
  <c r="W2141" i="2"/>
  <c r="W2678" i="2"/>
  <c r="W2680" i="2"/>
  <c r="W1093" i="2"/>
  <c r="W236" i="2"/>
  <c r="W816" i="2"/>
  <c r="W1365" i="2"/>
  <c r="W1367" i="2"/>
  <c r="W1917" i="2"/>
  <c r="W1919" i="2"/>
  <c r="W2478" i="2"/>
  <c r="W2480" i="2"/>
  <c r="W238" i="2"/>
  <c r="W240" i="2"/>
  <c r="W242" i="2"/>
  <c r="W244" i="2"/>
  <c r="W246" i="2"/>
  <c r="W818" i="2"/>
  <c r="W820" i="2"/>
  <c r="W822" i="2"/>
  <c r="W1369" i="2"/>
  <c r="W1600" i="2"/>
  <c r="W1372" i="2"/>
  <c r="W1920" i="2"/>
  <c r="W1921" i="2"/>
  <c r="W1922" i="2"/>
  <c r="W1923" i="2"/>
  <c r="W1924" i="2"/>
  <c r="W2682" i="2"/>
  <c r="W2482" i="2"/>
  <c r="W434" i="2"/>
  <c r="W971" i="2"/>
  <c r="W1535" i="2"/>
  <c r="W1646" i="2"/>
  <c r="W249" i="2"/>
  <c r="W251" i="2"/>
  <c r="W252" i="2"/>
  <c r="W824" i="2"/>
  <c r="W826" i="2"/>
  <c r="W828" i="2"/>
  <c r="W1454" i="2"/>
  <c r="W1456" i="2"/>
  <c r="W2001" i="2"/>
  <c r="W255" i="2"/>
  <c r="W256" i="2"/>
  <c r="W830" i="2"/>
  <c r="W1374" i="2"/>
  <c r="W1925" i="2"/>
  <c r="W17" i="2"/>
  <c r="W578" i="2"/>
  <c r="W580" i="2"/>
  <c r="W1130" i="2"/>
  <c r="W1678" i="2"/>
  <c r="W1680" i="2"/>
  <c r="W2232" i="2"/>
  <c r="W2234" i="2"/>
  <c r="W2236" i="2"/>
  <c r="W940" i="2"/>
  <c r="W2052" i="2"/>
  <c r="W2745" i="2"/>
  <c r="W2747" i="2"/>
  <c r="W1055" i="2"/>
  <c r="W2157" i="2"/>
  <c r="W2159" i="2"/>
  <c r="W2695" i="2"/>
  <c r="W2697" i="2"/>
  <c r="W582" i="2"/>
  <c r="W1132" i="2"/>
  <c r="W1134" i="2"/>
  <c r="W1682" i="2"/>
  <c r="W1684" i="2"/>
  <c r="W503" i="2"/>
  <c r="W505" i="2"/>
  <c r="W1040" i="2"/>
  <c r="W1602" i="2"/>
  <c r="W258" i="2"/>
  <c r="W260" i="2"/>
  <c r="W19" i="2"/>
  <c r="W20" i="2"/>
  <c r="W262" i="2"/>
  <c r="W833" i="2"/>
  <c r="W583" i="2"/>
  <c r="W584" i="2"/>
  <c r="W585" i="2"/>
  <c r="W1136" i="2"/>
  <c r="W1685" i="2"/>
  <c r="W1687" i="2"/>
  <c r="W263" i="2"/>
  <c r="W265" i="2"/>
  <c r="W1928" i="2"/>
  <c r="W1930" i="2"/>
  <c r="W266" i="2"/>
  <c r="W1376" i="2"/>
  <c r="W1933" i="2"/>
  <c r="W1935" i="2"/>
  <c r="W2484" i="2"/>
  <c r="W2486" i="2"/>
  <c r="W2487" i="2"/>
  <c r="W2489" i="2"/>
  <c r="W269" i="2"/>
  <c r="W1377" i="2"/>
  <c r="W271" i="2"/>
  <c r="W274" i="2"/>
  <c r="W839" i="2"/>
  <c r="W840" i="2"/>
  <c r="W1378" i="2"/>
  <c r="W1380" i="2"/>
  <c r="W1937" i="2"/>
  <c r="W2084" i="2"/>
  <c r="W1939" i="2"/>
  <c r="W546" i="2"/>
  <c r="W1096" i="2"/>
  <c r="W277" i="2"/>
  <c r="W279" i="2"/>
  <c r="W843" i="2"/>
  <c r="W1381" i="2"/>
  <c r="W1383" i="2"/>
  <c r="W1385" i="2"/>
  <c r="W1387" i="2"/>
  <c r="W1389" i="2"/>
  <c r="W1941" i="2"/>
  <c r="W280" i="2"/>
  <c r="W282" i="2"/>
  <c r="W421" i="2"/>
  <c r="W284" i="2"/>
  <c r="W942" i="2"/>
  <c r="W845" i="2"/>
  <c r="W846" i="2"/>
  <c r="W2054" i="2"/>
  <c r="W285" i="2"/>
  <c r="W287" i="2"/>
  <c r="W1392" i="2"/>
  <c r="W1943" i="2"/>
  <c r="W1945" i="2"/>
  <c r="W1947" i="2"/>
  <c r="W288" i="2"/>
  <c r="W289" i="2"/>
  <c r="W849" i="2"/>
  <c r="W851" i="2"/>
  <c r="W1948" i="2"/>
  <c r="W290" i="2"/>
  <c r="W852" i="2"/>
  <c r="W1395" i="2"/>
  <c r="W1397" i="2"/>
  <c r="W1949" i="2"/>
  <c r="W2492" i="2"/>
  <c r="W2494" i="2"/>
  <c r="W2496" i="2"/>
  <c r="W2498" i="2"/>
  <c r="W548" i="2"/>
  <c r="W550" i="2"/>
  <c r="W1648" i="2"/>
  <c r="W293" i="2"/>
  <c r="W1399" i="2"/>
  <c r="W1951" i="2"/>
  <c r="W1953" i="2"/>
  <c r="W1955" i="2"/>
  <c r="W1957" i="2"/>
  <c r="W2500" i="2"/>
  <c r="W551" i="2"/>
  <c r="W296" i="2"/>
  <c r="W298" i="2"/>
  <c r="W854" i="2"/>
  <c r="W23" i="2"/>
  <c r="W586" i="2"/>
  <c r="W588" i="2"/>
  <c r="W590" i="2"/>
  <c r="W1138" i="2"/>
  <c r="W1140" i="2"/>
  <c r="W1689" i="2"/>
  <c r="W25" i="2"/>
  <c r="W27" i="2"/>
  <c r="W593" i="2"/>
  <c r="W1141" i="2"/>
  <c r="W1143" i="2"/>
  <c r="W1145" i="2"/>
  <c r="W1691" i="2"/>
  <c r="W301" i="2"/>
  <c r="W303" i="2"/>
  <c r="W855" i="2"/>
  <c r="W857" i="2"/>
  <c r="W1958" i="2"/>
  <c r="W1960" i="2"/>
  <c r="W28" i="2"/>
  <c r="W596" i="2"/>
  <c r="W598" i="2"/>
  <c r="W1147" i="2"/>
  <c r="W1692" i="2"/>
  <c r="W1694" i="2"/>
  <c r="W1695" i="2"/>
  <c r="W1961" i="2"/>
  <c r="W29" i="2"/>
  <c r="W600" i="2"/>
  <c r="W1149" i="2"/>
  <c r="W1151" i="2"/>
  <c r="W1698" i="2"/>
  <c r="W2239" i="2"/>
  <c r="W2241" i="2"/>
  <c r="W2243" i="2"/>
  <c r="W2245" i="2"/>
  <c r="W1962" i="2"/>
  <c r="W423" i="2"/>
  <c r="W305" i="2"/>
  <c r="W306" i="2"/>
  <c r="W308" i="2"/>
  <c r="W310" i="2"/>
  <c r="W1404" i="2"/>
  <c r="W2057" i="2"/>
  <c r="W2570" i="2"/>
  <c r="W312" i="2"/>
  <c r="W314" i="2"/>
  <c r="W859" i="2"/>
  <c r="W861" i="2"/>
  <c r="W1406" i="2"/>
  <c r="W1408" i="2"/>
  <c r="W1964" i="2"/>
  <c r="W1966" i="2"/>
  <c r="W316" i="2"/>
  <c r="W318" i="2"/>
  <c r="Z2247" i="2" l="1"/>
  <c r="Z2086" i="2"/>
  <c r="Z43" i="2"/>
  <c r="Z1156" i="2"/>
  <c r="Z1160" i="2"/>
  <c r="Z2249" i="2"/>
  <c r="Z1101" i="2"/>
  <c r="Z2200" i="2"/>
  <c r="Z2253" i="2"/>
  <c r="Z2256" i="2"/>
  <c r="Z615" i="2"/>
  <c r="Z1713" i="2"/>
  <c r="Z2265" i="2"/>
  <c r="Z2269" i="2"/>
  <c r="Z1463" i="2"/>
  <c r="Z2274" i="2"/>
  <c r="Z976" i="2"/>
  <c r="Z1543" i="2"/>
  <c r="Z2628" i="2"/>
  <c r="Z377" i="2"/>
  <c r="Z2012" i="2"/>
  <c r="Z2527" i="2"/>
  <c r="Z2529" i="2"/>
  <c r="Z2531" i="2"/>
  <c r="Z1618" i="2"/>
  <c r="Z2152" i="2"/>
  <c r="Z2689" i="2"/>
  <c r="Z2691" i="2"/>
  <c r="Z2693" i="2"/>
  <c r="Z1652" i="2"/>
  <c r="Z2206" i="2"/>
  <c r="Z2208" i="2"/>
  <c r="Z2210" i="2"/>
  <c r="Z462" i="2"/>
  <c r="Z464" i="2"/>
  <c r="Z2112" i="2"/>
  <c r="Z56" i="2"/>
  <c r="Z637" i="2"/>
  <c r="Z639" i="2"/>
  <c r="Z1186" i="2"/>
  <c r="Z1188" i="2"/>
  <c r="Z1738" i="2"/>
  <c r="Z2308" i="2"/>
  <c r="Z2311" i="2"/>
  <c r="Z998" i="2"/>
  <c r="Z1564" i="2"/>
  <c r="Z640" i="2"/>
  <c r="Z1190" i="2"/>
  <c r="Z642" i="2"/>
  <c r="Z643" i="2"/>
  <c r="Z1192" i="2"/>
  <c r="Z2313" i="2"/>
  <c r="Z58" i="2"/>
  <c r="Z644" i="2"/>
  <c r="Z1195" i="2"/>
  <c r="Z1741" i="2"/>
  <c r="Z2314" i="2"/>
  <c r="Z646" i="2"/>
  <c r="Z648" i="2"/>
  <c r="Z1742" i="2"/>
  <c r="Z2317" i="2"/>
  <c r="Z2319" i="2"/>
  <c r="Z60" i="2"/>
  <c r="Z1198" i="2"/>
  <c r="Z1200" i="2"/>
  <c r="Z1744" i="2"/>
  <c r="Z1745" i="2"/>
  <c r="Z2322" i="2"/>
  <c r="Z2323" i="2"/>
  <c r="Z2325" i="2"/>
  <c r="Z62" i="2"/>
  <c r="Z1202" i="2"/>
  <c r="Z1747" i="2"/>
  <c r="Z2327" i="2"/>
  <c r="Z2328" i="2"/>
  <c r="Z2330" i="2"/>
  <c r="Z2332" i="2"/>
  <c r="Z2334" i="2"/>
  <c r="Z63" i="2"/>
  <c r="Z65" i="2"/>
  <c r="Z651" i="2"/>
  <c r="Z1749" i="2"/>
  <c r="Z1750" i="2"/>
  <c r="Z1752" i="2"/>
  <c r="Z2337" i="2"/>
  <c r="Z2340" i="2"/>
  <c r="Z1603" i="2"/>
  <c r="Z378" i="2"/>
  <c r="Z905" i="2"/>
  <c r="Z2013" i="2"/>
  <c r="Z2015" i="2"/>
  <c r="Z653" i="2"/>
  <c r="Z655" i="2"/>
  <c r="Z1204" i="2"/>
  <c r="Z1206" i="2"/>
  <c r="Z1208" i="2"/>
  <c r="Z1754" i="2"/>
  <c r="Z1756" i="2"/>
  <c r="Z1757" i="2"/>
  <c r="Z1058" i="2"/>
  <c r="Z1059" i="2"/>
  <c r="Z1061" i="2"/>
  <c r="Z1063" i="2"/>
  <c r="Z2164" i="2"/>
  <c r="Z2705" i="2"/>
  <c r="Z2706" i="2"/>
  <c r="Z68" i="2"/>
  <c r="Z657" i="2"/>
  <c r="Z1209" i="2"/>
  <c r="Z1211" i="2"/>
  <c r="Z2342" i="2"/>
  <c r="Z659" i="2"/>
  <c r="Z661" i="2"/>
  <c r="Z1213" i="2"/>
  <c r="Z1759" i="2"/>
  <c r="Z2345" i="2"/>
  <c r="Z1621" i="2"/>
  <c r="Z2707" i="2"/>
  <c r="Z2" i="2"/>
  <c r="Z4" i="2"/>
  <c r="Z1106" i="2"/>
  <c r="Z1653" i="2"/>
  <c r="Z2212" i="2"/>
  <c r="Z2214" i="2"/>
  <c r="Z2216" i="2"/>
  <c r="Z2709" i="2"/>
  <c r="Z440" i="2"/>
  <c r="Z978" i="2"/>
  <c r="Z1544" i="2"/>
  <c r="Z2092" i="2"/>
  <c r="Z956" i="2"/>
  <c r="Z958" i="2"/>
  <c r="Z1517" i="2"/>
  <c r="Z2064" i="2"/>
  <c r="Z2066" i="2"/>
  <c r="Z70" i="2"/>
  <c r="Z664" i="2"/>
  <c r="Z1215" i="2"/>
  <c r="Z1217" i="2"/>
  <c r="Z1761" i="2"/>
  <c r="Z1763" i="2"/>
  <c r="Z1765" i="2"/>
  <c r="Z2347" i="2"/>
  <c r="Z2350" i="2"/>
  <c r="Z2217" i="2"/>
  <c r="Z2218" i="2"/>
  <c r="Z665" i="2"/>
  <c r="Z667" i="2"/>
  <c r="Z1218" i="2"/>
  <c r="Z1220" i="2"/>
  <c r="Z1769" i="2"/>
  <c r="Z1771" i="2"/>
  <c r="Z465" i="2"/>
  <c r="Z1001" i="2"/>
  <c r="Z1566" i="2"/>
  <c r="Z521" i="2"/>
  <c r="Z1468" i="2"/>
  <c r="Z1623" i="2"/>
  <c r="Z2710" i="2"/>
  <c r="Z2533" i="2"/>
  <c r="Z71" i="2"/>
  <c r="Z73" i="2"/>
  <c r="Z670" i="2"/>
  <c r="Z671" i="2"/>
  <c r="Z1221" i="2"/>
  <c r="Z1223" i="2"/>
  <c r="Z1774" i="2"/>
  <c r="Z2352" i="2"/>
  <c r="Z2354" i="2"/>
  <c r="Z74" i="2"/>
  <c r="Z673" i="2"/>
  <c r="Z1225" i="2"/>
  <c r="Z1776" i="2"/>
  <c r="Z1778" i="2"/>
  <c r="Z2357" i="2"/>
  <c r="Z2360" i="2"/>
  <c r="Z2362" i="2"/>
  <c r="Z75" i="2"/>
  <c r="Z77" i="2"/>
  <c r="Z676" i="2"/>
  <c r="Z1780" i="2"/>
  <c r="Z1782" i="2"/>
  <c r="Z2365" i="2"/>
  <c r="Z2366" i="2"/>
  <c r="Z2368" i="2"/>
  <c r="Z2371" i="2"/>
  <c r="Z2372" i="2"/>
  <c r="Z79" i="2"/>
  <c r="Z80" i="2"/>
  <c r="Z1066" i="2"/>
  <c r="Z1228" i="2"/>
  <c r="Z1230" i="2"/>
  <c r="Z1784" i="2"/>
  <c r="Z2373" i="2"/>
  <c r="Z2376" i="2"/>
  <c r="Z677" i="2"/>
  <c r="Z893" i="2"/>
  <c r="Z1003" i="2"/>
  <c r="Z680" i="2"/>
  <c r="Z682" i="2"/>
  <c r="Z683" i="2"/>
  <c r="Z1567" i="2"/>
  <c r="Z1458" i="2"/>
  <c r="Z1234" i="2"/>
  <c r="Z1460" i="2"/>
  <c r="Z1786" i="2"/>
  <c r="Z1787" i="2"/>
  <c r="Z2003" i="2"/>
  <c r="Z1788" i="2"/>
  <c r="Z523" i="2"/>
  <c r="Z81" i="2"/>
  <c r="Z82" i="2"/>
  <c r="Z381" i="2"/>
  <c r="Z684" i="2"/>
  <c r="Z909" i="2"/>
  <c r="Z1470" i="2"/>
  <c r="Z1471" i="2"/>
  <c r="Z1236" i="2"/>
  <c r="Z2017" i="2"/>
  <c r="Z2535" i="2"/>
  <c r="Z2378" i="2"/>
  <c r="Z2380" i="2"/>
  <c r="Z1626" i="2"/>
  <c r="Z1628" i="2"/>
  <c r="Z2168" i="2"/>
  <c r="Z2714" i="2"/>
  <c r="Z2715" i="2"/>
  <c r="Z2717" i="2"/>
  <c r="Z1004" i="2"/>
  <c r="Z1568" i="2"/>
  <c r="Z2115" i="2"/>
  <c r="Z2117" i="2"/>
  <c r="Z2632" i="2"/>
  <c r="Z2634" i="2"/>
  <c r="Z468" i="2"/>
  <c r="Z469" i="2"/>
  <c r="Z1006" i="2"/>
  <c r="Z1570" i="2"/>
  <c r="Z2119" i="2"/>
  <c r="Z2636" i="2"/>
  <c r="Z2638" i="2"/>
  <c r="Z84" i="2"/>
  <c r="Z86" i="2"/>
  <c r="Z686" i="2"/>
  <c r="Z688" i="2"/>
  <c r="Z690" i="2"/>
  <c r="Z692" i="2"/>
  <c r="Z694" i="2"/>
  <c r="Z696" i="2"/>
  <c r="Z1239" i="2"/>
  <c r="Z1241" i="2"/>
  <c r="Z1243" i="2"/>
  <c r="Z1245" i="2"/>
  <c r="Z1791" i="2"/>
  <c r="Z1793" i="2"/>
  <c r="Z1795" i="2"/>
  <c r="Z1797" i="2"/>
  <c r="Z1799" i="2"/>
  <c r="Z472" i="2"/>
  <c r="Z1007" i="2"/>
  <c r="Z1009" i="2"/>
  <c r="Z1573" i="2"/>
  <c r="Z2640" i="2"/>
  <c r="Z2642" i="2"/>
  <c r="Z87" i="2"/>
  <c r="Z89" i="2"/>
  <c r="Z1069" i="2"/>
  <c r="Z1071" i="2"/>
  <c r="Z1073" i="2"/>
  <c r="Z1629" i="2"/>
  <c r="Z1630" i="2"/>
  <c r="Z1249" i="2"/>
  <c r="Z1800" i="2"/>
  <c r="Z2171" i="2"/>
  <c r="Z1801" i="2"/>
  <c r="Z2174" i="2"/>
  <c r="Z2719" i="2"/>
  <c r="Z2721" i="2"/>
  <c r="Z2381" i="2"/>
  <c r="Z2383" i="2"/>
  <c r="Z2384" i="2"/>
  <c r="Z2386" i="2"/>
  <c r="Z2387" i="2"/>
  <c r="Z91" i="2"/>
  <c r="Z93" i="2"/>
  <c r="Z697" i="2"/>
  <c r="Z2388" i="2"/>
  <c r="Z1654" i="2"/>
  <c r="Z2220" i="2"/>
  <c r="Z382" i="2"/>
  <c r="Z384" i="2"/>
  <c r="Z699" i="2"/>
  <c r="Z701" i="2"/>
  <c r="Z703" i="2"/>
  <c r="Z1472" i="2"/>
  <c r="Z1804" i="2"/>
  <c r="Z1806" i="2"/>
  <c r="Z1807" i="2"/>
  <c r="Z2538" i="2"/>
  <c r="Z1044" i="2"/>
  <c r="Z1045" i="2"/>
  <c r="Z1046" i="2"/>
  <c r="Z1047" i="2"/>
  <c r="Z1048" i="2"/>
  <c r="Z1050" i="2"/>
  <c r="Z1052" i="2"/>
  <c r="Z1606" i="2"/>
  <c r="Z2154" i="2"/>
  <c r="Z2156" i="2"/>
  <c r="Z94" i="2"/>
  <c r="Z96" i="2"/>
  <c r="Z704" i="2"/>
  <c r="Z911" i="2"/>
  <c r="Z1476" i="2"/>
  <c r="Z1256" i="2"/>
  <c r="Z1809" i="2"/>
  <c r="Z2020" i="2"/>
  <c r="Z2539" i="2"/>
  <c r="Z2391" i="2"/>
  <c r="Z474" i="2"/>
  <c r="Z514" i="2"/>
  <c r="Z515" i="2"/>
  <c r="Z1612" i="2"/>
  <c r="Z1613" i="2"/>
  <c r="Z2121" i="2"/>
  <c r="Z2123" i="2"/>
  <c r="Z2643" i="2"/>
  <c r="Z2644" i="2"/>
  <c r="Z2646" i="2"/>
  <c r="Z2647" i="2"/>
  <c r="Z2649" i="2"/>
  <c r="Z2021" i="2"/>
  <c r="Z2023" i="2"/>
  <c r="Z2725" i="2"/>
  <c r="Z2726" i="2"/>
  <c r="Z5" i="2"/>
  <c r="Z7" i="2"/>
  <c r="Z706" i="2"/>
  <c r="Z556" i="2"/>
  <c r="Z710" i="2"/>
  <c r="Z711" i="2"/>
  <c r="Z1108" i="2"/>
  <c r="Z1110" i="2"/>
  <c r="Z1258" i="2"/>
  <c r="Z1261" i="2"/>
  <c r="Z1811" i="2"/>
  <c r="Z1655" i="2"/>
  <c r="Z1656" i="2"/>
  <c r="Z1657" i="2"/>
  <c r="Z557" i="2"/>
  <c r="Z559" i="2"/>
  <c r="Z1659" i="2"/>
  <c r="Z476" i="2"/>
  <c r="Z1012" i="2"/>
  <c r="Z1014" i="2"/>
  <c r="Z1578" i="2"/>
  <c r="Z2650" i="2"/>
  <c r="Z477" i="2"/>
  <c r="Z1015" i="2"/>
  <c r="Z1017" i="2"/>
  <c r="Z1580" i="2"/>
  <c r="Z1582" i="2"/>
  <c r="Z2126" i="2"/>
  <c r="Z2652" i="2"/>
  <c r="Z2654" i="2"/>
  <c r="Z97" i="2"/>
  <c r="Z99" i="2"/>
  <c r="Z1262" i="2"/>
  <c r="Z1815" i="2"/>
  <c r="Z2393" i="2"/>
  <c r="Z2395" i="2"/>
  <c r="Z2397" i="2"/>
  <c r="Z2399" i="2"/>
  <c r="Z1018" i="2"/>
  <c r="Z1020" i="2"/>
  <c r="Z1583" i="2"/>
  <c r="Z2128" i="2"/>
  <c r="Z2657" i="2"/>
  <c r="Z2658" i="2"/>
  <c r="Z2660" i="2"/>
  <c r="Z2662" i="2"/>
  <c r="Z359" i="2"/>
  <c r="Z361" i="2"/>
  <c r="Z1446" i="2"/>
  <c r="Z1448" i="2"/>
  <c r="Z1993" i="2"/>
  <c r="Z1995" i="2"/>
  <c r="Z2515" i="2"/>
  <c r="Z2516" i="2"/>
  <c r="Z10" i="2"/>
  <c r="Z560" i="2"/>
  <c r="Z563" i="2"/>
  <c r="Z1111" i="2"/>
  <c r="Z1114" i="2"/>
  <c r="Z1661" i="2"/>
  <c r="Z1663" i="2"/>
  <c r="Z1632" i="2"/>
  <c r="Z2176" i="2"/>
  <c r="Z715" i="2"/>
  <c r="Z717" i="2"/>
  <c r="Z1817" i="2"/>
  <c r="Z527" i="2"/>
  <c r="Z1074" i="2"/>
  <c r="Z1076" i="2"/>
  <c r="Z1078" i="2"/>
  <c r="Z1635" i="2"/>
  <c r="Z481" i="2"/>
  <c r="Z718" i="2"/>
  <c r="Z1819" i="2"/>
  <c r="Z2400" i="2"/>
  <c r="Z529" i="2"/>
  <c r="Z2178" i="2"/>
  <c r="Z530" i="2"/>
  <c r="Z532" i="2"/>
  <c r="Z1637" i="2"/>
  <c r="Z2729" i="2"/>
  <c r="Z2731" i="2"/>
  <c r="Z1519" i="2"/>
  <c r="Z1521" i="2"/>
  <c r="Z386" i="2"/>
  <c r="Z914" i="2"/>
  <c r="Z2024" i="2"/>
  <c r="Z2026" i="2"/>
  <c r="Z2028" i="2"/>
  <c r="Z2545" i="2"/>
  <c r="Z2547" i="2"/>
  <c r="Z2549" i="2"/>
  <c r="Z2551" i="2"/>
  <c r="Z101" i="2"/>
  <c r="Z103" i="2"/>
  <c r="Z720" i="2"/>
  <c r="Z1267" i="2"/>
  <c r="Z1820" i="2"/>
  <c r="Z2404" i="2"/>
  <c r="Z2406" i="2"/>
  <c r="Z2408" i="2"/>
  <c r="Z1585" i="2"/>
  <c r="Z2664" i="2"/>
  <c r="Z2666" i="2"/>
  <c r="Z105" i="2"/>
  <c r="Z107" i="2"/>
  <c r="Z721" i="2"/>
  <c r="Z1269" i="2"/>
  <c r="Z1271" i="2"/>
  <c r="Z1822" i="2"/>
  <c r="Z1824" i="2"/>
  <c r="Z916" i="2"/>
  <c r="Z1479" i="2"/>
  <c r="Z1481" i="2"/>
  <c r="Z109" i="2"/>
  <c r="Z724" i="2"/>
  <c r="Z726" i="2"/>
  <c r="Z1272" i="2"/>
  <c r="Z1274" i="2"/>
  <c r="Z1825" i="2"/>
  <c r="Z1827" i="2"/>
  <c r="Z1829" i="2"/>
  <c r="Z534" i="2"/>
  <c r="Z1081" i="2"/>
  <c r="Z2180" i="2"/>
  <c r="Z111" i="2"/>
  <c r="Z728" i="2"/>
  <c r="Z730" i="2"/>
  <c r="Z1277" i="2"/>
  <c r="Z1831" i="2"/>
  <c r="Z2409" i="2"/>
  <c r="Z2411" i="2"/>
  <c r="Z980" i="2"/>
  <c r="Z1546" i="2"/>
  <c r="Z1547" i="2"/>
  <c r="Z2093" i="2"/>
  <c r="Z2617" i="2"/>
  <c r="Z2618" i="2"/>
  <c r="Z2619" i="2"/>
  <c r="Z535" i="2"/>
  <c r="Z536" i="2"/>
  <c r="Z960" i="2"/>
  <c r="Z961" i="2"/>
  <c r="Z1522" i="2"/>
  <c r="Z1523" i="2"/>
  <c r="Z2578" i="2"/>
  <c r="Z2579" i="2"/>
  <c r="Z2580" i="2"/>
  <c r="Z2581" i="2"/>
  <c r="Z2094" i="2"/>
  <c r="Z2620" i="2"/>
  <c r="Z2621" i="2"/>
  <c r="Z962" i="2"/>
  <c r="Z1524" i="2"/>
  <c r="Z2068" i="2"/>
  <c r="Z2069" i="2"/>
  <c r="Z2070" i="2"/>
  <c r="Z2582" i="2"/>
  <c r="Z2583" i="2"/>
  <c r="Z2584" i="2"/>
  <c r="Z2585" i="2"/>
  <c r="Z2586" i="2"/>
  <c r="Z2587" i="2"/>
  <c r="Z2588" i="2"/>
  <c r="Z442" i="2"/>
  <c r="Z981" i="2"/>
  <c r="Z1548" i="2"/>
  <c r="Z387" i="2"/>
  <c r="Z388" i="2"/>
  <c r="Z389" i="2"/>
  <c r="Z1482" i="2"/>
  <c r="Z1483" i="2"/>
  <c r="Z2031" i="2"/>
  <c r="Z2553" i="2"/>
  <c r="Z113" i="2"/>
  <c r="Z115" i="2"/>
  <c r="Z1278" i="2"/>
  <c r="Z1833" i="2"/>
  <c r="Z116" i="2"/>
  <c r="Z733" i="2"/>
  <c r="Z1836" i="2"/>
  <c r="Z443" i="2"/>
  <c r="Z1021" i="2"/>
  <c r="Z984" i="2"/>
  <c r="Z1549" i="2"/>
  <c r="Z1551" i="2"/>
  <c r="Z2095" i="2"/>
  <c r="Z2097" i="2"/>
  <c r="Z2181" i="2"/>
  <c r="Z1587" i="2"/>
  <c r="Z13" i="2"/>
  <c r="Z565" i="2"/>
  <c r="Z567" i="2"/>
  <c r="Z1115" i="2"/>
  <c r="Z516" i="2"/>
  <c r="Z518" i="2"/>
  <c r="Z1614" i="2"/>
  <c r="Z2162" i="2"/>
  <c r="Z2702" i="2"/>
  <c r="Z118" i="2"/>
  <c r="Z14" i="2"/>
  <c r="Z570" i="2"/>
  <c r="Z572" i="2"/>
  <c r="Z1116" i="2"/>
  <c r="Z1666" i="2"/>
  <c r="Z1668" i="2"/>
  <c r="Z1509" i="2"/>
  <c r="Z1510" i="2"/>
  <c r="Z1511" i="2"/>
  <c r="Z2058" i="2"/>
  <c r="Z2059" i="2"/>
  <c r="Z2060" i="2"/>
  <c r="Z2571" i="2"/>
  <c r="Z2572" i="2"/>
  <c r="Z2573" i="2"/>
  <c r="Z1056" i="2"/>
  <c r="Z1609" i="2"/>
  <c r="Z1610" i="2"/>
  <c r="Z2161" i="2"/>
  <c r="Z2698" i="2"/>
  <c r="Z337" i="2"/>
  <c r="Z338" i="2"/>
  <c r="Z1429" i="2"/>
  <c r="Z1430" i="2"/>
  <c r="Z1431" i="2"/>
  <c r="Z1977" i="2"/>
  <c r="Z1978" i="2"/>
  <c r="Z1979" i="2"/>
  <c r="Z1980" i="2"/>
  <c r="Z1981" i="2"/>
  <c r="Z1982" i="2"/>
  <c r="Z2509" i="2"/>
  <c r="Z2510" i="2"/>
  <c r="Z2511" i="2"/>
  <c r="Z35" i="2"/>
  <c r="Z36" i="2"/>
  <c r="Z37" i="2"/>
  <c r="Z38" i="2"/>
  <c r="Z39" i="2"/>
  <c r="Z607" i="2"/>
  <c r="Z339" i="2"/>
  <c r="Z340" i="2"/>
  <c r="Z341" i="2"/>
  <c r="Z342" i="2"/>
  <c r="Z343" i="2"/>
  <c r="Z344" i="2"/>
  <c r="Z345" i="2"/>
  <c r="Z346" i="2"/>
  <c r="Z347" i="2"/>
  <c r="Z876" i="2"/>
  <c r="Z877" i="2"/>
  <c r="Z1432" i="2"/>
  <c r="Z1433" i="2"/>
  <c r="Z1434" i="2"/>
  <c r="Z348" i="2"/>
  <c r="Z349" i="2"/>
  <c r="Z350" i="2"/>
  <c r="Z351" i="2"/>
  <c r="Z878" i="2"/>
  <c r="Z879" i="2"/>
  <c r="Z880" i="2"/>
  <c r="Z881" i="2"/>
  <c r="Z1435" i="2"/>
  <c r="Z1436" i="2"/>
  <c r="Z1437" i="2"/>
  <c r="Z1438" i="2"/>
  <c r="Z1439" i="2"/>
  <c r="Z1440" i="2"/>
  <c r="Z1441" i="2"/>
  <c r="Z352" i="2"/>
  <c r="Z353" i="2"/>
  <c r="Z436" i="2"/>
  <c r="Z437" i="2"/>
  <c r="Z972" i="2"/>
  <c r="Z973" i="2"/>
  <c r="Z2085" i="2"/>
  <c r="Z40" i="2"/>
  <c r="Z354" i="2"/>
  <c r="Z41" i="2"/>
  <c r="Z355" i="2"/>
  <c r="Z42" i="2"/>
  <c r="Z356" i="2"/>
  <c r="Z357" i="2"/>
  <c r="Z358" i="2"/>
  <c r="Z882" i="2"/>
  <c r="Z883" i="2"/>
  <c r="Z608" i="2"/>
  <c r="Z884" i="2"/>
  <c r="Z1442" i="2"/>
  <c r="Z1443" i="2"/>
  <c r="Z1983" i="2"/>
  <c r="Z1984" i="2"/>
  <c r="Z1705" i="2"/>
  <c r="Z1985" i="2"/>
  <c r="Z1706" i="2"/>
  <c r="Z609" i="2"/>
  <c r="Z1710" i="2"/>
  <c r="Z2251" i="2"/>
  <c r="Z553" i="2"/>
  <c r="Z1100" i="2"/>
  <c r="Z1649" i="2"/>
  <c r="Z1651" i="2"/>
  <c r="Z2201" i="2"/>
  <c r="Z2203" i="2"/>
  <c r="Z613" i="2"/>
  <c r="Z1161" i="2"/>
  <c r="Z1711" i="2"/>
  <c r="Z2252" i="2"/>
  <c r="Z2254" i="2"/>
  <c r="Z2255" i="2"/>
  <c r="Z2257" i="2"/>
  <c r="Z2259" i="2"/>
  <c r="Z1163" i="2"/>
  <c r="Z1165" i="2"/>
  <c r="Z1714" i="2"/>
  <c r="Z2261" i="2"/>
  <c r="Z2263" i="2"/>
  <c r="Z2266" i="2"/>
  <c r="Z2268" i="2"/>
  <c r="Z2270" i="2"/>
  <c r="Z2271" i="2"/>
  <c r="Z46" i="2"/>
  <c r="Z616" i="2"/>
  <c r="Z1715" i="2"/>
  <c r="Z2272" i="2"/>
  <c r="Z901" i="2"/>
  <c r="Z904" i="2"/>
  <c r="Z1464" i="2"/>
  <c r="Z1465" i="2"/>
  <c r="Z2009" i="2"/>
  <c r="Z2010" i="2"/>
  <c r="Z2521" i="2"/>
  <c r="Z2523" i="2"/>
  <c r="Z2525" i="2"/>
  <c r="Z975" i="2"/>
  <c r="Z1540" i="2"/>
  <c r="Z2088" i="2"/>
  <c r="Z618" i="2"/>
  <c r="Z1167" i="2"/>
  <c r="Z1717" i="2"/>
  <c r="Z1719" i="2"/>
  <c r="Z1721" i="2"/>
  <c r="Z1723" i="2"/>
  <c r="Z2273" i="2"/>
  <c r="Z2275" i="2"/>
  <c r="Z620" i="2"/>
  <c r="Z1725" i="2"/>
  <c r="Z438" i="2"/>
  <c r="Z1542" i="2"/>
  <c r="Z2089" i="2"/>
  <c r="Z2091" i="2"/>
  <c r="Z2615" i="2"/>
  <c r="Z995" i="2"/>
  <c r="Z2111" i="2"/>
  <c r="Z2629" i="2"/>
  <c r="Z622" i="2"/>
  <c r="Z624" i="2"/>
  <c r="Z1170" i="2"/>
  <c r="Z1172" i="2"/>
  <c r="Z2277" i="2"/>
  <c r="Z2279" i="2"/>
  <c r="Z2630" i="2"/>
  <c r="Z625" i="2"/>
  <c r="Z1173" i="2"/>
  <c r="Z1727" i="2"/>
  <c r="Z2281" i="2"/>
  <c r="Z2283" i="2"/>
  <c r="Z2285" i="2"/>
  <c r="Z2287" i="2"/>
  <c r="Z49" i="2"/>
  <c r="Z1175" i="2"/>
  <c r="Z1729" i="2"/>
  <c r="Z1731" i="2"/>
  <c r="Z2290" i="2"/>
  <c r="Z2292" i="2"/>
  <c r="Z2294" i="2"/>
  <c r="Z2296" i="2"/>
  <c r="Z626" i="2"/>
  <c r="Z2297" i="2"/>
  <c r="Z427" i="2"/>
  <c r="Z950" i="2"/>
  <c r="Z951" i="2"/>
  <c r="Z953" i="2"/>
  <c r="Z1512" i="2"/>
  <c r="Z1513" i="2"/>
  <c r="Z2061" i="2"/>
  <c r="Z2063" i="2"/>
  <c r="Z2575" i="2"/>
  <c r="Z1057" i="2"/>
  <c r="Z1616" i="2"/>
  <c r="Z2163" i="2"/>
  <c r="Z885" i="2"/>
  <c r="Z887" i="2"/>
  <c r="Z1444" i="2"/>
  <c r="Z1987" i="2"/>
  <c r="Z1989" i="2"/>
  <c r="Z1991" i="2"/>
  <c r="Z2513" i="2"/>
  <c r="Z52" i="2"/>
  <c r="Z53" i="2"/>
  <c r="Z628" i="2"/>
  <c r="Z630" i="2"/>
  <c r="Z1179" i="2"/>
  <c r="Z1181" i="2"/>
  <c r="Z1733" i="2"/>
  <c r="Z2299" i="2"/>
  <c r="Z2301" i="2"/>
  <c r="Z55" i="2"/>
  <c r="Z632" i="2"/>
  <c r="Z634" i="2"/>
  <c r="Z1183" i="2"/>
  <c r="Z1735" i="2"/>
  <c r="Z2303" i="2"/>
  <c r="Z2305" i="2"/>
  <c r="Z2307" i="2"/>
  <c r="Z1103" i="2"/>
  <c r="Z2204" i="2"/>
  <c r="Z2011" i="2"/>
  <c r="Z2526" i="2"/>
  <c r="Z2528" i="2"/>
  <c r="Z2530" i="2"/>
  <c r="Z1043" i="2"/>
  <c r="Z1619" i="2"/>
  <c r="Z2153" i="2"/>
  <c r="Z2690" i="2"/>
  <c r="Z2692" i="2"/>
  <c r="Z555" i="2"/>
  <c r="Z2205" i="2"/>
  <c r="Z2207" i="2"/>
  <c r="Z2209" i="2"/>
  <c r="Z461" i="2"/>
  <c r="Z463" i="2"/>
  <c r="Z997" i="2"/>
  <c r="Z2113" i="2"/>
  <c r="Z636" i="2"/>
  <c r="Z638" i="2"/>
  <c r="Z1185" i="2"/>
  <c r="Z1187" i="2"/>
  <c r="Z1737" i="2"/>
  <c r="Z1739" i="2"/>
  <c r="Z2309" i="2"/>
  <c r="Z2310" i="2"/>
  <c r="Z2312" i="2"/>
  <c r="Z999" i="2"/>
  <c r="Z1189" i="2"/>
  <c r="Z1740" i="2"/>
  <c r="Z641" i="2"/>
  <c r="Z1191" i="2"/>
  <c r="Z1193" i="2"/>
  <c r="Z1194" i="2"/>
  <c r="Z57" i="2"/>
  <c r="Z59" i="2"/>
  <c r="Z645" i="2"/>
  <c r="Z1196" i="2"/>
  <c r="Z2315" i="2"/>
  <c r="Z2316" i="2"/>
  <c r="Z647" i="2"/>
  <c r="Z1197" i="2"/>
  <c r="Z1743" i="2"/>
  <c r="Z2318" i="2"/>
  <c r="Z61" i="2"/>
  <c r="Z649" i="2"/>
  <c r="Z1199" i="2"/>
  <c r="Z1201" i="2"/>
  <c r="Z2320" i="2"/>
  <c r="Z2321" i="2"/>
  <c r="Z2324" i="2"/>
  <c r="Z2326" i="2"/>
  <c r="Z650" i="2"/>
  <c r="Z1203" i="2"/>
  <c r="Z1746" i="2"/>
  <c r="Z1748" i="2"/>
  <c r="Z2329" i="2"/>
  <c r="Z2331" i="2"/>
  <c r="Z2333" i="2"/>
  <c r="Z2335" i="2"/>
  <c r="Z2704" i="2"/>
  <c r="Z64" i="2"/>
  <c r="Z66" i="2"/>
  <c r="Z652" i="2"/>
  <c r="Z1751" i="2"/>
  <c r="Z2336" i="2"/>
  <c r="Z2338" i="2"/>
  <c r="Z2339" i="2"/>
  <c r="Z2341" i="2"/>
  <c r="Z1604" i="2"/>
  <c r="Z379" i="2"/>
  <c r="Z906" i="2"/>
  <c r="Z907" i="2"/>
  <c r="Z1466" i="2"/>
  <c r="Z1467" i="2"/>
  <c r="Z2014" i="2"/>
  <c r="Z2532" i="2"/>
  <c r="Z654" i="2"/>
  <c r="Z656" i="2"/>
  <c r="Z1205" i="2"/>
  <c r="Z1207" i="2"/>
  <c r="Z1753" i="2"/>
  <c r="Z1755" i="2"/>
  <c r="Z1060" i="2"/>
  <c r="Z1062" i="2"/>
  <c r="Z1620" i="2"/>
  <c r="Z2165" i="2"/>
  <c r="Z67" i="2"/>
  <c r="Z69" i="2"/>
  <c r="Z658" i="2"/>
  <c r="Z1210" i="2"/>
  <c r="Z1212" i="2"/>
  <c r="Z2343" i="2"/>
  <c r="Z660" i="2"/>
  <c r="Z662" i="2"/>
  <c r="Z1758" i="2"/>
  <c r="Z2344" i="2"/>
  <c r="Z2346" i="2"/>
  <c r="Z1622" i="2"/>
  <c r="Z2708" i="2"/>
  <c r="Z3" i="2"/>
  <c r="Z1105" i="2"/>
  <c r="Z1107" i="2"/>
  <c r="Z2211" i="2"/>
  <c r="Z2213" i="2"/>
  <c r="Z2215" i="2"/>
  <c r="Z2166" i="2"/>
  <c r="Z439" i="2"/>
  <c r="Z977" i="2"/>
  <c r="Z979" i="2"/>
  <c r="Z1545" i="2"/>
  <c r="Z955" i="2"/>
  <c r="Z957" i="2"/>
  <c r="Z1516" i="2"/>
  <c r="Z1518" i="2"/>
  <c r="Z2065" i="2"/>
  <c r="Z2067" i="2"/>
  <c r="Z663" i="2"/>
  <c r="Z1214" i="2"/>
  <c r="Z1216" i="2"/>
  <c r="Z1760" i="2"/>
  <c r="Z1762" i="2"/>
  <c r="Z1764" i="2"/>
  <c r="Z1766" i="2"/>
  <c r="Z2348" i="2"/>
  <c r="Z2349" i="2"/>
  <c r="Z2351" i="2"/>
  <c r="Z1767" i="2"/>
  <c r="Z666" i="2"/>
  <c r="Z668" i="2"/>
  <c r="Z1219" i="2"/>
  <c r="Z1768" i="2"/>
  <c r="Z1770" i="2"/>
  <c r="Z1772" i="2"/>
  <c r="Z1000" i="2"/>
  <c r="Z1565" i="2"/>
  <c r="Z2631" i="2"/>
  <c r="Z520" i="2"/>
  <c r="Z1064" i="2"/>
  <c r="Z1469" i="2"/>
  <c r="Z1624" i="2"/>
  <c r="Z2711" i="2"/>
  <c r="Z2712" i="2"/>
  <c r="Z72" i="2"/>
  <c r="Z669" i="2"/>
  <c r="Z672" i="2"/>
  <c r="Z1222" i="2"/>
  <c r="Z1224" i="2"/>
  <c r="Z1773" i="2"/>
  <c r="Z2353" i="2"/>
  <c r="Z2355" i="2"/>
  <c r="Z2356" i="2"/>
  <c r="Z674" i="2"/>
  <c r="Z1775" i="2"/>
  <c r="Z1777" i="2"/>
  <c r="Z1779" i="2"/>
  <c r="Z2358" i="2"/>
  <c r="Z2359" i="2"/>
  <c r="Z2361" i="2"/>
  <c r="Z2363" i="2"/>
  <c r="Z76" i="2"/>
  <c r="Z675" i="2"/>
  <c r="Z1226" i="2"/>
  <c r="Z1781" i="2"/>
  <c r="Z2364" i="2"/>
  <c r="Z2367" i="2"/>
  <c r="Z2369" i="2"/>
  <c r="Z2370" i="2"/>
  <c r="Z78" i="2"/>
  <c r="Z522" i="2"/>
  <c r="Z1065" i="2"/>
  <c r="Z1227" i="2"/>
  <c r="Z1229" i="2"/>
  <c r="Z1783" i="2"/>
  <c r="Z2167" i="2"/>
  <c r="Z2374" i="2"/>
  <c r="Z2375" i="2"/>
  <c r="Z1002" i="2"/>
  <c r="Z678" i="2"/>
  <c r="Z679" i="2"/>
  <c r="Z681" i="2"/>
  <c r="Z894" i="2"/>
  <c r="Z1231" i="2"/>
  <c r="Z1232" i="2"/>
  <c r="Z1233" i="2"/>
  <c r="Z1459" i="2"/>
  <c r="Z1785" i="2"/>
  <c r="Z2002" i="2"/>
  <c r="Z2114" i="2"/>
  <c r="Z2004" i="2"/>
  <c r="Z2377" i="2"/>
  <c r="Z380" i="2"/>
  <c r="Z524" i="2"/>
  <c r="Z83" i="2"/>
  <c r="Z1067" i="2"/>
  <c r="Z908" i="2"/>
  <c r="Z1068" i="2"/>
  <c r="Z1235" i="2"/>
  <c r="Z1625" i="2"/>
  <c r="Z2016" i="2"/>
  <c r="Z1789" i="2"/>
  <c r="Z2534" i="2"/>
  <c r="Z2536" i="2"/>
  <c r="Z2379" i="2"/>
  <c r="Z2537" i="2"/>
  <c r="Z1627" i="2"/>
  <c r="Z2169" i="2"/>
  <c r="Z2713" i="2"/>
  <c r="Z2716" i="2"/>
  <c r="Z2718" i="2"/>
  <c r="Z466" i="2"/>
  <c r="Z1005" i="2"/>
  <c r="Z2116" i="2"/>
  <c r="Z2118" i="2"/>
  <c r="Z2633" i="2"/>
  <c r="Z2635" i="2"/>
  <c r="Z467" i="2"/>
  <c r="Z470" i="2"/>
  <c r="Z1569" i="2"/>
  <c r="Z1571" i="2"/>
  <c r="Z2120" i="2"/>
  <c r="Z2637" i="2"/>
  <c r="Z2639" i="2"/>
  <c r="Z85" i="2"/>
  <c r="Z685" i="2"/>
  <c r="Z687" i="2"/>
  <c r="Z689" i="2"/>
  <c r="Z691" i="2"/>
  <c r="Z693" i="2"/>
  <c r="Z695" i="2"/>
  <c r="Z1237" i="2"/>
  <c r="Z1238" i="2"/>
  <c r="Z1240" i="2"/>
  <c r="Z1242" i="2"/>
  <c r="Z1244" i="2"/>
  <c r="Z1790" i="2"/>
  <c r="Z1792" i="2"/>
  <c r="Z1794" i="2"/>
  <c r="Z1796" i="2"/>
  <c r="Z1798" i="2"/>
  <c r="Z471" i="2"/>
  <c r="Z473" i="2"/>
  <c r="Z1008" i="2"/>
  <c r="Z1572" i="2"/>
  <c r="Z1574" i="2"/>
  <c r="Z2641" i="2"/>
  <c r="Z525" i="2"/>
  <c r="Z88" i="2"/>
  <c r="Z526" i="2"/>
  <c r="Z1070" i="2"/>
  <c r="Z1072" i="2"/>
  <c r="Z1246" i="2"/>
  <c r="Z1247" i="2"/>
  <c r="Z1248" i="2"/>
  <c r="Z1631" i="2"/>
  <c r="Z2170" i="2"/>
  <c r="Z2172" i="2"/>
  <c r="Z2173" i="2"/>
  <c r="Z2175" i="2"/>
  <c r="Z2720" i="2"/>
  <c r="Z2722" i="2"/>
  <c r="Z2382" i="2"/>
  <c r="Z2723" i="2"/>
  <c r="Z2385" i="2"/>
  <c r="Z2724" i="2"/>
  <c r="Z90" i="2"/>
  <c r="Z92" i="2"/>
  <c r="Z1250" i="2"/>
  <c r="Z1802" i="2"/>
  <c r="Z2389" i="2"/>
  <c r="Z2219" i="2"/>
  <c r="Z2221" i="2"/>
  <c r="Z383" i="2"/>
  <c r="Z698" i="2"/>
  <c r="Z700" i="2"/>
  <c r="Z702" i="2"/>
  <c r="Z1251" i="2"/>
  <c r="Z1473" i="2"/>
  <c r="Z1252" i="2"/>
  <c r="Z1474" i="2"/>
  <c r="Z1475" i="2"/>
  <c r="Z1253" i="2"/>
  <c r="Z1254" i="2"/>
  <c r="Z1803" i="2"/>
  <c r="Z1805" i="2"/>
  <c r="Z2018" i="2"/>
  <c r="Z1808" i="2"/>
  <c r="Z1049" i="2"/>
  <c r="Z1051" i="2"/>
  <c r="Z1605" i="2"/>
  <c r="Z1607" i="2"/>
  <c r="Z2155" i="2"/>
  <c r="Z2694" i="2"/>
  <c r="Z95" i="2"/>
  <c r="Z385" i="2"/>
  <c r="Z910" i="2"/>
  <c r="Z705" i="2"/>
  <c r="Z1255" i="2"/>
  <c r="Z1477" i="2"/>
  <c r="Z2019" i="2"/>
  <c r="Z2390" i="2"/>
  <c r="Z2540" i="2"/>
  <c r="Z2541" i="2"/>
  <c r="Z2392" i="2"/>
  <c r="Z513" i="2"/>
  <c r="Z1010" i="2"/>
  <c r="Z1611" i="2"/>
  <c r="Z1575" i="2"/>
  <c r="Z1576" i="2"/>
  <c r="Z2122" i="2"/>
  <c r="Z2699" i="2"/>
  <c r="Z2700" i="2"/>
  <c r="Z2645" i="2"/>
  <c r="Z2648" i="2"/>
  <c r="Z912" i="2"/>
  <c r="Z2022" i="2"/>
  <c r="Z2542" i="2"/>
  <c r="Z2543" i="2"/>
  <c r="Z2727" i="2"/>
  <c r="Z6" i="2"/>
  <c r="Z8" i="2"/>
  <c r="Z707" i="2"/>
  <c r="Z708" i="2"/>
  <c r="Z709" i="2"/>
  <c r="Z712" i="2"/>
  <c r="Z1109" i="2"/>
  <c r="Z1257" i="2"/>
  <c r="Z1259" i="2"/>
  <c r="Z1260" i="2"/>
  <c r="Z1810" i="2"/>
  <c r="Z1812" i="2"/>
  <c r="Z1813" i="2"/>
  <c r="Z1814" i="2"/>
  <c r="Z558" i="2"/>
  <c r="Z1658" i="2"/>
  <c r="Z475" i="2"/>
  <c r="Z1011" i="2"/>
  <c r="Z1013" i="2"/>
  <c r="Z1577" i="2"/>
  <c r="Z2124" i="2"/>
  <c r="Z2651" i="2"/>
  <c r="Z478" i="2"/>
  <c r="Z1016" i="2"/>
  <c r="Z1579" i="2"/>
  <c r="Z1581" i="2"/>
  <c r="Z2125" i="2"/>
  <c r="Z2127" i="2"/>
  <c r="Z2653" i="2"/>
  <c r="Z2655" i="2"/>
  <c r="Z98" i="2"/>
  <c r="Z713" i="2"/>
  <c r="Z1263" i="2"/>
  <c r="Z1816" i="2"/>
  <c r="Z2394" i="2"/>
  <c r="Z2396" i="2"/>
  <c r="Z2398" i="2"/>
  <c r="Z479" i="2"/>
  <c r="Z480" i="2"/>
  <c r="Z1019" i="2"/>
  <c r="Z1584" i="2"/>
  <c r="Z2129" i="2"/>
  <c r="Z2656" i="2"/>
  <c r="Z2659" i="2"/>
  <c r="Z2661" i="2"/>
  <c r="Z2663" i="2"/>
  <c r="Z360" i="2"/>
  <c r="Z362" i="2"/>
  <c r="Z1445" i="2"/>
  <c r="Z1447" i="2"/>
  <c r="Z1449" i="2"/>
  <c r="Z1994" i="2"/>
  <c r="Z2514" i="2"/>
  <c r="Z9" i="2"/>
  <c r="Z11" i="2"/>
  <c r="Z561" i="2"/>
  <c r="Z562" i="2"/>
  <c r="Z1112" i="2"/>
  <c r="Z1113" i="2"/>
  <c r="Z1660" i="2"/>
  <c r="Z1662" i="2"/>
  <c r="Z1664" i="2"/>
  <c r="Z1633" i="2"/>
  <c r="Z714" i="2"/>
  <c r="Z716" i="2"/>
  <c r="Z1264" i="2"/>
  <c r="Z1818" i="2"/>
  <c r="Z528" i="2"/>
  <c r="Z1075" i="2"/>
  <c r="Z1077" i="2"/>
  <c r="Z1634" i="2"/>
  <c r="Z2177" i="2"/>
  <c r="Z100" i="2"/>
  <c r="Z1265" i="2"/>
  <c r="Z2401" i="2"/>
  <c r="Z2402" i="2"/>
  <c r="Z1079" i="2"/>
  <c r="Z2728" i="2"/>
  <c r="Z531" i="2"/>
  <c r="Z1636" i="2"/>
  <c r="Z2179" i="2"/>
  <c r="Z2730" i="2"/>
  <c r="Z959" i="2"/>
  <c r="Z1520" i="2"/>
  <c r="Z2577" i="2"/>
  <c r="Z913" i="2"/>
  <c r="Z1478" i="2"/>
  <c r="Z2025" i="2"/>
  <c r="Z2027" i="2"/>
  <c r="Z2544" i="2"/>
  <c r="Z2546" i="2"/>
  <c r="Z2548" i="2"/>
  <c r="Z2550" i="2"/>
  <c r="Z2552" i="2"/>
  <c r="Z102" i="2"/>
  <c r="Z719" i="2"/>
  <c r="Z1266" i="2"/>
  <c r="Z1268" i="2"/>
  <c r="Z2403" i="2"/>
  <c r="Z2405" i="2"/>
  <c r="Z2407" i="2"/>
  <c r="Z482" i="2"/>
  <c r="Z2130" i="2"/>
  <c r="Z2665" i="2"/>
  <c r="Z104" i="2"/>
  <c r="Z106" i="2"/>
  <c r="Z108" i="2"/>
  <c r="Z722" i="2"/>
  <c r="Z1270" i="2"/>
  <c r="Z1821" i="2"/>
  <c r="Z1823" i="2"/>
  <c r="Z915" i="2"/>
  <c r="Z917" i="2"/>
  <c r="Z1480" i="2"/>
  <c r="Z2029" i="2"/>
  <c r="Z723" i="2"/>
  <c r="Z725" i="2"/>
  <c r="Z727" i="2"/>
  <c r="Z1273" i="2"/>
  <c r="Z1275" i="2"/>
  <c r="Z1826" i="2"/>
  <c r="Z1828" i="2"/>
  <c r="Z533" i="2"/>
  <c r="Z1080" i="2"/>
  <c r="Z1082" i="2"/>
  <c r="Z110" i="2"/>
  <c r="Z112" i="2"/>
  <c r="Z729" i="2"/>
  <c r="Z1276" i="2"/>
  <c r="Z1830" i="2"/>
  <c r="Z1832" i="2"/>
  <c r="Z2410" i="2"/>
  <c r="Z441" i="2"/>
  <c r="Z2030" i="2"/>
  <c r="Z2554" i="2"/>
  <c r="Z114" i="2"/>
  <c r="Z731" i="2"/>
  <c r="Z1279" i="2"/>
  <c r="Z1834" i="2"/>
  <c r="Z732" i="2"/>
  <c r="Z1835" i="2"/>
  <c r="Z483" i="2"/>
  <c r="Z982" i="2"/>
  <c r="Z983" i="2"/>
  <c r="Z1586" i="2"/>
  <c r="Z1550" i="2"/>
  <c r="Z1552" i="2"/>
  <c r="Z2096" i="2"/>
  <c r="Z2098" i="2"/>
  <c r="Z1022" i="2"/>
  <c r="Z12" i="2"/>
  <c r="Z564" i="2"/>
  <c r="Z566" i="2"/>
  <c r="Z568" i="2"/>
  <c r="Z1665" i="2"/>
  <c r="Z517" i="2"/>
  <c r="Z519" i="2"/>
  <c r="Z1615" i="2"/>
  <c r="Z2701" i="2"/>
  <c r="Z117" i="2"/>
  <c r="Z119" i="2"/>
  <c r="Z569" i="2"/>
  <c r="Z571" i="2"/>
  <c r="Z1280" i="2"/>
  <c r="Z1117" i="2"/>
  <c r="Z1667" i="2"/>
  <c r="Z2412" i="2"/>
  <c r="Z2413" i="2"/>
  <c r="Z734" i="2"/>
  <c r="Z736" i="2"/>
  <c r="Z1282" i="2"/>
  <c r="Z1838" i="2"/>
  <c r="Z2415" i="2"/>
  <c r="Z2417" i="2"/>
  <c r="Z2419" i="2"/>
  <c r="Z2182" i="2"/>
  <c r="Z2732" i="2"/>
  <c r="Z121" i="2"/>
  <c r="Z737" i="2"/>
  <c r="Z1284" i="2"/>
  <c r="Z1840" i="2"/>
  <c r="Z2420" i="2"/>
  <c r="Z2422" i="2"/>
  <c r="Z2424" i="2"/>
  <c r="Z2426" i="2"/>
  <c r="Z446" i="2"/>
  <c r="Z985" i="2"/>
  <c r="Z1553" i="2"/>
  <c r="Z889" i="2"/>
  <c r="Z1451" i="2"/>
  <c r="Z746" i="2"/>
  <c r="Z748" i="2"/>
  <c r="Z1286" i="2"/>
  <c r="Z1289" i="2"/>
  <c r="Z1846" i="2"/>
  <c r="Z2427" i="2"/>
  <c r="Z2429" i="2"/>
  <c r="Z1588" i="2"/>
  <c r="Z2131" i="2"/>
  <c r="Z2668" i="2"/>
  <c r="Z2670" i="2"/>
  <c r="Z15" i="2"/>
  <c r="Z1118" i="2"/>
  <c r="Z1119" i="2"/>
  <c r="Z1670" i="2"/>
  <c r="Z1672" i="2"/>
  <c r="Z2224" i="2"/>
  <c r="Z2226" i="2"/>
  <c r="Z2228" i="2"/>
  <c r="Z2230" i="2"/>
  <c r="Z371" i="2"/>
  <c r="Z895" i="2"/>
  <c r="Z1461" i="2"/>
  <c r="Z2005" i="2"/>
  <c r="Z2519" i="2"/>
  <c r="Z1484" i="2"/>
  <c r="Z1486" i="2"/>
  <c r="Z2033" i="2"/>
  <c r="Z2556" i="2"/>
  <c r="Z1054" i="2"/>
  <c r="Z136" i="2"/>
  <c r="Z138" i="2"/>
  <c r="Z140" i="2"/>
  <c r="Z750" i="2"/>
  <c r="Z752" i="2"/>
  <c r="Z1291" i="2"/>
  <c r="Z1849" i="2"/>
  <c r="Z1292" i="2"/>
  <c r="Z1294" i="2"/>
  <c r="Z1852" i="2"/>
  <c r="Z754" i="2"/>
  <c r="Z142" i="2"/>
  <c r="Z144" i="2"/>
  <c r="Z755" i="2"/>
  <c r="Z1295" i="2"/>
  <c r="Z1855" i="2"/>
  <c r="Z2430" i="2"/>
  <c r="Z148" i="2"/>
  <c r="Z757" i="2"/>
  <c r="Z759" i="2"/>
  <c r="Z1297" i="2"/>
  <c r="Z1299" i="2"/>
  <c r="Z1857" i="2"/>
  <c r="Z1859" i="2"/>
  <c r="Z2432" i="2"/>
  <c r="Z390" i="2"/>
  <c r="Z964" i="2"/>
  <c r="Z965" i="2"/>
  <c r="Z1527" i="2"/>
  <c r="Z2071" i="2"/>
  <c r="Z1640" i="2"/>
  <c r="Z2186" i="2"/>
  <c r="Z2735" i="2"/>
  <c r="Z153" i="2"/>
  <c r="Z364" i="2"/>
  <c r="Z366" i="2"/>
  <c r="Z891" i="2"/>
  <c r="Z1453" i="2"/>
  <c r="Z1999" i="2"/>
  <c r="Z1884" i="2"/>
  <c r="Z2448" i="2"/>
  <c r="Z486" i="2"/>
  <c r="Z488" i="2"/>
  <c r="Z1025" i="2"/>
  <c r="Z1027" i="2"/>
  <c r="Z1592" i="2"/>
  <c r="Z491" i="2"/>
  <c r="Z786" i="2"/>
  <c r="Z789" i="2"/>
  <c r="Z2673" i="2"/>
  <c r="Z2453" i="2"/>
  <c r="Z2455" i="2"/>
  <c r="Z1493" i="2"/>
  <c r="Z2038" i="2"/>
  <c r="Z2567" i="2"/>
  <c r="Z406" i="2"/>
  <c r="Z930" i="2"/>
  <c r="Z1124" i="2"/>
  <c r="Z2045" i="2"/>
  <c r="Z199" i="2"/>
  <c r="Z793" i="2"/>
  <c r="Z203" i="2"/>
  <c r="Z205" i="2"/>
  <c r="Z1594" i="2"/>
  <c r="Z2137" i="2"/>
  <c r="Z2675" i="2"/>
  <c r="Z2461" i="2"/>
  <c r="Z969" i="2"/>
  <c r="Z1346" i="2"/>
  <c r="Z1347" i="2"/>
  <c r="Z1898" i="2"/>
  <c r="Z2609" i="2"/>
  <c r="Z209" i="2"/>
  <c r="Z1349" i="2"/>
  <c r="Z1645" i="2"/>
  <c r="Z212" i="2"/>
  <c r="Z216" i="2"/>
  <c r="Z801" i="2"/>
  <c r="Z803" i="2"/>
  <c r="Z805" i="2"/>
  <c r="Z1351" i="2"/>
  <c r="Z219" i="2"/>
  <c r="Z417" i="2"/>
  <c r="Z2676" i="2"/>
  <c r="Z2467" i="2"/>
  <c r="Z1907" i="2"/>
  <c r="Z2471" i="2"/>
  <c r="Z224" i="2"/>
  <c r="Z230" i="2"/>
  <c r="Z810" i="2"/>
  <c r="Z2476" i="2"/>
  <c r="Z232" i="2"/>
  <c r="Z991" i="2"/>
  <c r="Z1360" i="2"/>
  <c r="Z1913" i="2"/>
  <c r="Z1914" i="2"/>
  <c r="Z2622" i="2"/>
  <c r="Z1915" i="2"/>
  <c r="Z993" i="2"/>
  <c r="Z501" i="2"/>
  <c r="Z2678" i="2"/>
  <c r="Z236" i="2"/>
  <c r="Z1917" i="2"/>
  <c r="Z2480" i="2"/>
  <c r="Z244" i="2"/>
  <c r="Z820" i="2"/>
  <c r="Z1369" i="2"/>
  <c r="Z1922" i="2"/>
  <c r="Z1923" i="2"/>
  <c r="Z1924" i="2"/>
  <c r="Z971" i="2"/>
  <c r="Z1646" i="2"/>
  <c r="Z826" i="2"/>
  <c r="Z1454" i="2"/>
  <c r="Z1456" i="2"/>
  <c r="Z17" i="2"/>
  <c r="Z1130" i="2"/>
  <c r="Z2232" i="2"/>
  <c r="Z2745" i="2"/>
  <c r="Z2157" i="2"/>
  <c r="Z2697" i="2"/>
  <c r="Z1132" i="2"/>
  <c r="Z260" i="2"/>
  <c r="Z19" i="2"/>
  <c r="Z833" i="2"/>
  <c r="Z585" i="2"/>
  <c r="Z1687" i="2"/>
  <c r="Z1928" i="2"/>
  <c r="Z1376" i="2"/>
  <c r="Z1933" i="2"/>
  <c r="Z2486" i="2"/>
  <c r="Z2489" i="2"/>
  <c r="Z271" i="2"/>
  <c r="Z274" i="2"/>
  <c r="Z840" i="2"/>
  <c r="Z1937" i="2"/>
  <c r="Z1096" i="2"/>
  <c r="Z279" i="2"/>
  <c r="Z843" i="2"/>
  <c r="Z1381" i="2"/>
  <c r="Z1385" i="2"/>
  <c r="Z1387" i="2"/>
  <c r="Z1941" i="2"/>
  <c r="Z280" i="2"/>
  <c r="Z284" i="2"/>
  <c r="Z846" i="2"/>
  <c r="Z287" i="2"/>
  <c r="Z1392" i="2"/>
  <c r="Z1947" i="2"/>
  <c r="Z289" i="2"/>
  <c r="Z1397" i="2"/>
  <c r="Z2492" i="2"/>
  <c r="Z2494" i="2"/>
  <c r="Z2498" i="2"/>
  <c r="Z1155" i="2"/>
  <c r="Z1707" i="2"/>
  <c r="Z1537" i="2"/>
  <c r="Z1538" i="2"/>
  <c r="Z2087" i="2"/>
  <c r="Z898" i="2"/>
  <c r="Z899" i="2"/>
  <c r="Z610" i="2"/>
  <c r="Z611" i="2"/>
  <c r="Z612" i="2"/>
  <c r="Z1157" i="2"/>
  <c r="Z1158" i="2"/>
  <c r="Z1159" i="2"/>
  <c r="Z1708" i="2"/>
  <c r="Z1709" i="2"/>
  <c r="Z2248" i="2"/>
  <c r="Z2250" i="2"/>
  <c r="Z552" i="2"/>
  <c r="Z554" i="2"/>
  <c r="Z1650" i="2"/>
  <c r="Z2199" i="2"/>
  <c r="Z2202" i="2"/>
  <c r="Z44" i="2"/>
  <c r="Z614" i="2"/>
  <c r="Z1162" i="2"/>
  <c r="Z1712" i="2"/>
  <c r="Z2258" i="2"/>
  <c r="Z1164" i="2"/>
  <c r="Z2260" i="2"/>
  <c r="Z2262" i="2"/>
  <c r="Z2264" i="2"/>
  <c r="Z2267" i="2"/>
  <c r="Z45" i="2"/>
  <c r="Z47" i="2"/>
  <c r="Z1166" i="2"/>
  <c r="Z1716" i="2"/>
  <c r="Z900" i="2"/>
  <c r="Z902" i="2"/>
  <c r="Z903" i="2"/>
  <c r="Z2520" i="2"/>
  <c r="Z2522" i="2"/>
  <c r="Z2524" i="2"/>
  <c r="Z974" i="2"/>
  <c r="Z1539" i="2"/>
  <c r="Z1541" i="2"/>
  <c r="Z617" i="2"/>
  <c r="Z619" i="2"/>
  <c r="Z1168" i="2"/>
  <c r="Z1718" i="2"/>
  <c r="Z1720" i="2"/>
  <c r="Z1722" i="2"/>
  <c r="Z1724" i="2"/>
  <c r="Z460" i="2"/>
  <c r="Z1563" i="2"/>
  <c r="Z621" i="2"/>
  <c r="Z2276" i="2"/>
  <c r="Z2090" i="2"/>
  <c r="Z2614" i="2"/>
  <c r="Z2616" i="2"/>
  <c r="Z996" i="2"/>
  <c r="Z2703" i="2"/>
  <c r="Z623" i="2"/>
  <c r="Z1169" i="2"/>
  <c r="Z1171" i="2"/>
  <c r="Z1726" i="2"/>
  <c r="Z2278" i="2"/>
  <c r="Z2280" i="2"/>
  <c r="Z48" i="2"/>
  <c r="Z1174" i="2"/>
  <c r="Z1728" i="2"/>
  <c r="Z2282" i="2"/>
  <c r="Z2284" i="2"/>
  <c r="Z2286" i="2"/>
  <c r="Z2288" i="2"/>
  <c r="Z50" i="2"/>
  <c r="Z1176" i="2"/>
  <c r="Z1730" i="2"/>
  <c r="Z2289" i="2"/>
  <c r="Z2291" i="2"/>
  <c r="Z2293" i="2"/>
  <c r="Z2295" i="2"/>
  <c r="Z51" i="2"/>
  <c r="Z1732" i="2"/>
  <c r="Z2298" i="2"/>
  <c r="Z949" i="2"/>
  <c r="Z952" i="2"/>
  <c r="Z954" i="2"/>
  <c r="Z1514" i="2"/>
  <c r="Z1515" i="2"/>
  <c r="Z2062" i="2"/>
  <c r="Z2574" i="2"/>
  <c r="Z2576" i="2"/>
  <c r="Z1617" i="2"/>
  <c r="Z627" i="2"/>
  <c r="Z886" i="2"/>
  <c r="Z1177" i="2"/>
  <c r="Z1986" i="2"/>
  <c r="Z1988" i="2"/>
  <c r="Z1990" i="2"/>
  <c r="Z1992" i="2"/>
  <c r="Z2512" i="2"/>
  <c r="Z54" i="2"/>
  <c r="Z629" i="2"/>
  <c r="Z1178" i="2"/>
  <c r="Z1180" i="2"/>
  <c r="Z1182" i="2"/>
  <c r="Z1734" i="2"/>
  <c r="Z2300" i="2"/>
  <c r="Z2302" i="2"/>
  <c r="Z631" i="2"/>
  <c r="Z633" i="2"/>
  <c r="Z635" i="2"/>
  <c r="Z1184" i="2"/>
  <c r="Z1736" i="2"/>
  <c r="Z2304" i="2"/>
  <c r="Z2306" i="2"/>
  <c r="Z1102" i="2"/>
  <c r="Z1104" i="2"/>
  <c r="Z2222" i="2"/>
  <c r="Z120" i="2"/>
  <c r="Z735" i="2"/>
  <c r="Z1281" i="2"/>
  <c r="Z1837" i="2"/>
  <c r="Z2414" i="2"/>
  <c r="Z2416" i="2"/>
  <c r="Z2418" i="2"/>
  <c r="Z1638" i="2"/>
  <c r="Z2183" i="2"/>
  <c r="Z2733" i="2"/>
  <c r="Z1283" i="2"/>
  <c r="Z1839" i="2"/>
  <c r="Z1841" i="2"/>
  <c r="Z2421" i="2"/>
  <c r="Z2423" i="2"/>
  <c r="Z2425" i="2"/>
  <c r="Z444" i="2"/>
  <c r="Z445" i="2"/>
  <c r="Z447" i="2"/>
  <c r="Z888" i="2"/>
  <c r="Z1450" i="2"/>
  <c r="Z1452" i="2"/>
  <c r="Z1996" i="2"/>
  <c r="Z1997" i="2"/>
  <c r="Z2517" i="2"/>
  <c r="Z2518" i="2"/>
  <c r="Z122" i="2"/>
  <c r="Z123" i="2"/>
  <c r="Z124" i="2"/>
  <c r="Z125" i="2"/>
  <c r="Z126" i="2"/>
  <c r="Z127" i="2"/>
  <c r="Z738" i="2"/>
  <c r="Z739" i="2"/>
  <c r="Z740" i="2"/>
  <c r="Z741" i="2"/>
  <c r="Z1285" i="2"/>
  <c r="Z1842" i="2"/>
  <c r="Z1843" i="2"/>
  <c r="Z1844" i="2"/>
  <c r="Z986" i="2"/>
  <c r="Z1554" i="2"/>
  <c r="Z128" i="2"/>
  <c r="Z129" i="2"/>
  <c r="Z742" i="2"/>
  <c r="Z743" i="2"/>
  <c r="Z744" i="2"/>
  <c r="Z745" i="2"/>
  <c r="Z1845" i="2"/>
  <c r="Z130" i="2"/>
  <c r="Z131" i="2"/>
  <c r="Z132" i="2"/>
  <c r="Z133" i="2"/>
  <c r="Z134" i="2"/>
  <c r="Z747" i="2"/>
  <c r="Z749" i="2"/>
  <c r="Z1287" i="2"/>
  <c r="Z1288" i="2"/>
  <c r="Z1290" i="2"/>
  <c r="Z1847" i="2"/>
  <c r="Z2428" i="2"/>
  <c r="Z484" i="2"/>
  <c r="Z1589" i="2"/>
  <c r="Z2667" i="2"/>
  <c r="Z2669" i="2"/>
  <c r="Z2671" i="2"/>
  <c r="Z573" i="2"/>
  <c r="Z1669" i="2"/>
  <c r="Z1671" i="2"/>
  <c r="Z2223" i="2"/>
  <c r="Z2225" i="2"/>
  <c r="Z2227" i="2"/>
  <c r="Z2229" i="2"/>
  <c r="Z370" i="2"/>
  <c r="Z372" i="2"/>
  <c r="Z373" i="2"/>
  <c r="Z896" i="2"/>
  <c r="Z1462" i="2"/>
  <c r="Z2006" i="2"/>
  <c r="Z1485" i="2"/>
  <c r="Z2032" i="2"/>
  <c r="Z2555" i="2"/>
  <c r="Z1053" i="2"/>
  <c r="Z135" i="2"/>
  <c r="Z137" i="2"/>
  <c r="Z139" i="2"/>
  <c r="Z141" i="2"/>
  <c r="Z751" i="2"/>
  <c r="Z753" i="2"/>
  <c r="Z1848" i="2"/>
  <c r="Z1850" i="2"/>
  <c r="Z1293" i="2"/>
  <c r="Z1851" i="2"/>
  <c r="Z1853" i="2"/>
  <c r="Z1854" i="2"/>
  <c r="Z143" i="2"/>
  <c r="Z145" i="2"/>
  <c r="Z756" i="2"/>
  <c r="Z1296" i="2"/>
  <c r="Z1856" i="2"/>
  <c r="Z146" i="2"/>
  <c r="Z147" i="2"/>
  <c r="Z149" i="2"/>
  <c r="Z758" i="2"/>
  <c r="Z760" i="2"/>
  <c r="Z1298" i="2"/>
  <c r="Z1300" i="2"/>
  <c r="Z1858" i="2"/>
  <c r="Z2431" i="2"/>
  <c r="Z428" i="2"/>
  <c r="Z963" i="2"/>
  <c r="Z1525" i="2"/>
  <c r="Z1526" i="2"/>
  <c r="Z1487" i="2"/>
  <c r="Z2034" i="2"/>
  <c r="Z2072" i="2"/>
  <c r="Z2589" i="2"/>
  <c r="Z2590" i="2"/>
  <c r="Z2557" i="2"/>
  <c r="Z2591" i="2"/>
  <c r="Z2592" i="2"/>
  <c r="Z2593" i="2"/>
  <c r="Z2558" i="2"/>
  <c r="Z2594" i="2"/>
  <c r="Z150" i="2"/>
  <c r="Z151" i="2"/>
  <c r="Z152" i="2"/>
  <c r="Z761" i="2"/>
  <c r="Z762" i="2"/>
  <c r="Z1301" i="2"/>
  <c r="Z1302" i="2"/>
  <c r="Z1303" i="2"/>
  <c r="Z1860" i="2"/>
  <c r="Z1861" i="2"/>
  <c r="Z1862" i="2"/>
  <c r="Z1863" i="2"/>
  <c r="Z2433" i="2"/>
  <c r="Z2434" i="2"/>
  <c r="Z2435" i="2"/>
  <c r="Z2436" i="2"/>
  <c r="Z2437" i="2"/>
  <c r="Z2438" i="2"/>
  <c r="Z537" i="2"/>
  <c r="Z538" i="2"/>
  <c r="Z539" i="2"/>
  <c r="Z540" i="2"/>
  <c r="Z1083" i="2"/>
  <c r="Z1084" i="2"/>
  <c r="Z1085" i="2"/>
  <c r="Z1639" i="2"/>
  <c r="Z2184" i="2"/>
  <c r="Z2185" i="2"/>
  <c r="Z2734" i="2"/>
  <c r="Z363" i="2"/>
  <c r="Z365" i="2"/>
  <c r="Z890" i="2"/>
  <c r="Z892" i="2"/>
  <c r="Z1998" i="2"/>
  <c r="Z1120" i="2"/>
  <c r="Z1122" i="2"/>
  <c r="Z1673" i="2"/>
  <c r="Z391" i="2"/>
  <c r="Z393" i="2"/>
  <c r="Z395" i="2"/>
  <c r="Z2035" i="2"/>
  <c r="Z154" i="2"/>
  <c r="Z156" i="2"/>
  <c r="Z764" i="2"/>
  <c r="Z1304" i="2"/>
  <c r="Z1306" i="2"/>
  <c r="Z1864" i="2"/>
  <c r="Z1866" i="2"/>
  <c r="Z429" i="2"/>
  <c r="Z158" i="2"/>
  <c r="Z160" i="2"/>
  <c r="Z766" i="2"/>
  <c r="Z967" i="2"/>
  <c r="Z1528" i="2"/>
  <c r="Z1529" i="2"/>
  <c r="Z2440" i="2"/>
  <c r="Z2595" i="2"/>
  <c r="Z2596" i="2"/>
  <c r="Z2598" i="2"/>
  <c r="Z2601" i="2"/>
  <c r="Z968" i="2"/>
  <c r="Z1531" i="2"/>
  <c r="Z2075" i="2"/>
  <c r="Z2077" i="2"/>
  <c r="Z2602" i="2"/>
  <c r="Z2605" i="2"/>
  <c r="Z2606" i="2"/>
  <c r="Z163" i="2"/>
  <c r="Z768" i="2"/>
  <c r="Z1311" i="2"/>
  <c r="Z1869" i="2"/>
  <c r="Z1871" i="2"/>
  <c r="Z2444" i="2"/>
  <c r="Z987" i="2"/>
  <c r="Z166" i="2"/>
  <c r="Z168" i="2"/>
  <c r="Z170" i="2"/>
  <c r="Z770" i="2"/>
  <c r="Z772" i="2"/>
  <c r="Z1313" i="2"/>
  <c r="Z1872" i="2"/>
  <c r="Z1874" i="2"/>
  <c r="Z173" i="2"/>
  <c r="Z774" i="2"/>
  <c r="Z1316" i="2"/>
  <c r="Z1317" i="2"/>
  <c r="Z1320" i="2"/>
  <c r="Z1875" i="2"/>
  <c r="Z1877" i="2"/>
  <c r="Z176" i="2"/>
  <c r="Z1322" i="2"/>
  <c r="Z2187" i="2"/>
  <c r="Z177" i="2"/>
  <c r="Z180" i="2"/>
  <c r="Z181" i="2"/>
  <c r="Z777" i="2"/>
  <c r="Z779" i="2"/>
  <c r="Z781" i="2"/>
  <c r="Z1323" i="2"/>
  <c r="Z1325" i="2"/>
  <c r="Z1327" i="2"/>
  <c r="Z1879" i="2"/>
  <c r="Z1881" i="2"/>
  <c r="Z2445" i="2"/>
  <c r="Z2447" i="2"/>
  <c r="Z397" i="2"/>
  <c r="Z925" i="2"/>
  <c r="Z1491" i="2"/>
  <c r="Z2559" i="2"/>
  <c r="Z399" i="2"/>
  <c r="Z2561" i="2"/>
  <c r="Z2563" i="2"/>
  <c r="Z541" i="2"/>
  <c r="Z1088" i="2"/>
  <c r="Z2188" i="2"/>
  <c r="Z2190" i="2"/>
  <c r="Z2737" i="2"/>
  <c r="Z2738" i="2"/>
  <c r="Z2740" i="2"/>
  <c r="Z1089" i="2"/>
  <c r="Z1643" i="2"/>
  <c r="Z2193" i="2"/>
  <c r="Z2743" i="2"/>
  <c r="Z1090" i="2"/>
  <c r="Z184" i="2"/>
  <c r="Z783" i="2"/>
  <c r="Z1329" i="2"/>
  <c r="Z1883" i="2"/>
  <c r="Z1885" i="2"/>
  <c r="Z543" i="2"/>
  <c r="Z485" i="2"/>
  <c r="Z487" i="2"/>
  <c r="Z489" i="2"/>
  <c r="Z1024" i="2"/>
  <c r="Z1026" i="2"/>
  <c r="Z1028" i="2"/>
  <c r="Z1591" i="2"/>
  <c r="Z2132" i="2"/>
  <c r="Z2672" i="2"/>
  <c r="Z186" i="2"/>
  <c r="Z187" i="2"/>
  <c r="Z188" i="2"/>
  <c r="Z189" i="2"/>
  <c r="Z784" i="2"/>
  <c r="Z785" i="2"/>
  <c r="Z1331" i="2"/>
  <c r="Z1332" i="2"/>
  <c r="Z1334" i="2"/>
  <c r="Z1886" i="2"/>
  <c r="Z1888" i="2"/>
  <c r="Z490" i="2"/>
  <c r="Z192" i="2"/>
  <c r="Z1029" i="2"/>
  <c r="Z787" i="2"/>
  <c r="Z788" i="2"/>
  <c r="Z1335" i="2"/>
  <c r="Z1336" i="2"/>
  <c r="Z2135" i="2"/>
  <c r="Z2449" i="2"/>
  <c r="Z2451" i="2"/>
  <c r="Z2452" i="2"/>
  <c r="Z2454" i="2"/>
  <c r="Z2674" i="2"/>
  <c r="Z193" i="2"/>
  <c r="Z401" i="2"/>
  <c r="Z927" i="2"/>
  <c r="Z1337" i="2"/>
  <c r="Z1338" i="2"/>
  <c r="Z2039" i="2"/>
  <c r="Z2041" i="2"/>
  <c r="Z2042" i="2"/>
  <c r="Z2564" i="2"/>
  <c r="Z2566" i="2"/>
  <c r="Z2568" i="2"/>
  <c r="Z403" i="2"/>
  <c r="Z405" i="2"/>
  <c r="Z16" i="2"/>
  <c r="Z408" i="2"/>
  <c r="Z929" i="2"/>
  <c r="Z931" i="2"/>
  <c r="Z932" i="2"/>
  <c r="Z1495" i="2"/>
  <c r="Z1125" i="2"/>
  <c r="Z1127" i="2"/>
  <c r="Z1496" i="2"/>
  <c r="Z2043" i="2"/>
  <c r="Z2044" i="2"/>
  <c r="Z2046" i="2"/>
  <c r="Z196" i="2"/>
  <c r="Z198" i="2"/>
  <c r="Z200" i="2"/>
  <c r="Z790" i="2"/>
  <c r="Z792" i="2"/>
  <c r="Z794" i="2"/>
  <c r="Z1340" i="2"/>
  <c r="Z1892" i="2"/>
  <c r="Z492" i="2"/>
  <c r="Z493" i="2"/>
  <c r="Z204" i="2"/>
  <c r="Z206" i="2"/>
  <c r="Z1031" i="2"/>
  <c r="Z1032" i="2"/>
  <c r="Z797" i="2"/>
  <c r="Z1342" i="2"/>
  <c r="Z1343" i="2"/>
  <c r="Z2136" i="2"/>
  <c r="Z1895" i="2"/>
  <c r="Z1896" i="2"/>
  <c r="Z2458" i="2"/>
  <c r="Z798" i="2"/>
  <c r="Z1345" i="2"/>
  <c r="Z2460" i="2"/>
  <c r="Z2462" i="2"/>
  <c r="Z207" i="2"/>
  <c r="Z432" i="2"/>
  <c r="Z970" i="2"/>
  <c r="Z1532" i="2"/>
  <c r="Z1533" i="2"/>
  <c r="Z2080" i="2"/>
  <c r="Z1897" i="2"/>
  <c r="Z1899" i="2"/>
  <c r="Z2083" i="2"/>
  <c r="Z2608" i="2"/>
  <c r="Z2610" i="2"/>
  <c r="Z2611" i="2"/>
  <c r="Z2613" i="2"/>
  <c r="Z210" i="2"/>
  <c r="Z799" i="2"/>
  <c r="Z1348" i="2"/>
  <c r="Z1900" i="2"/>
  <c r="Z2464" i="2"/>
  <c r="Z544" i="2"/>
  <c r="Z497" i="2"/>
  <c r="Z1033" i="2"/>
  <c r="Z1644" i="2"/>
  <c r="Z2139" i="2"/>
  <c r="Z2197" i="2"/>
  <c r="Z2744" i="2"/>
  <c r="Z213" i="2"/>
  <c r="Z409" i="2"/>
  <c r="Z410" i="2"/>
  <c r="Z217" i="2"/>
  <c r="Z412" i="2"/>
  <c r="Z218" i="2"/>
  <c r="Z802" i="2"/>
  <c r="Z804" i="2"/>
  <c r="Z934" i="2"/>
  <c r="Z1497" i="2"/>
  <c r="Z1350" i="2"/>
  <c r="Z1499" i="2"/>
  <c r="Z1501" i="2"/>
  <c r="Z2048" i="2"/>
  <c r="Z220" i="2"/>
  <c r="Z221" i="2"/>
  <c r="Z416" i="2"/>
  <c r="Z806" i="2"/>
  <c r="Z988" i="2"/>
  <c r="Z1555" i="2"/>
  <c r="Z1503" i="2"/>
  <c r="Z1505" i="2"/>
  <c r="Z2049" i="2"/>
  <c r="Z1903" i="2"/>
  <c r="Z2051" i="2"/>
  <c r="Z1906" i="2"/>
  <c r="Z1034" i="2"/>
  <c r="Z1596" i="2"/>
  <c r="Z2140" i="2"/>
  <c r="Z222" i="2"/>
  <c r="Z808" i="2"/>
  <c r="Z2466" i="2"/>
  <c r="Z2468" i="2"/>
  <c r="Z809" i="2"/>
  <c r="Z1353" i="2"/>
  <c r="Z1908" i="2"/>
  <c r="Z1910" i="2"/>
  <c r="Z2470" i="2"/>
  <c r="Z2472" i="2"/>
  <c r="Z2474" i="2"/>
  <c r="Z223" i="2"/>
  <c r="Z225" i="2"/>
  <c r="Z227" i="2"/>
  <c r="Z229" i="2"/>
  <c r="Z231" i="2"/>
  <c r="Z811" i="2"/>
  <c r="Z1355" i="2"/>
  <c r="Z938" i="2"/>
  <c r="Z1506" i="2"/>
  <c r="Z448" i="2"/>
  <c r="Z233" i="2"/>
  <c r="Z450" i="2"/>
  <c r="Z234" i="2"/>
  <c r="Z812" i="2"/>
  <c r="Z813" i="2"/>
  <c r="Z990" i="2"/>
  <c r="Z815" i="2"/>
  <c r="Z1357" i="2"/>
  <c r="Z1359" i="2"/>
  <c r="Z1361" i="2"/>
  <c r="Z1556" i="2"/>
  <c r="Z1557" i="2"/>
  <c r="Z2099" i="2"/>
  <c r="Z2100" i="2"/>
  <c r="Z2102" i="2"/>
  <c r="Z498" i="2"/>
  <c r="Z500" i="2"/>
  <c r="Z1037" i="2"/>
  <c r="Z1364" i="2"/>
  <c r="Z1916" i="2"/>
  <c r="Z453" i="2"/>
  <c r="Z455" i="2"/>
  <c r="Z992" i="2"/>
  <c r="Z1558" i="2"/>
  <c r="Z2104" i="2"/>
  <c r="Z2623" i="2"/>
  <c r="Z1038" i="2"/>
  <c r="Z1599" i="2"/>
  <c r="Z2677" i="2"/>
  <c r="Z2679" i="2"/>
  <c r="Z545" i="2"/>
  <c r="Z1094" i="2"/>
  <c r="Z237" i="2"/>
  <c r="Z817" i="2"/>
  <c r="Z1366" i="2"/>
  <c r="Z1368" i="2"/>
  <c r="Z1918" i="2"/>
  <c r="Z2477" i="2"/>
  <c r="Z2479" i="2"/>
  <c r="Z2481" i="2"/>
  <c r="Z239" i="2"/>
  <c r="Z241" i="2"/>
  <c r="Z243" i="2"/>
  <c r="Z245" i="2"/>
  <c r="Z247" i="2"/>
  <c r="Z819" i="2"/>
  <c r="Z821" i="2"/>
  <c r="Z823" i="2"/>
  <c r="Z1370" i="2"/>
  <c r="Z1371" i="2"/>
  <c r="Z1373" i="2"/>
  <c r="Z2142" i="2"/>
  <c r="Z2143" i="2"/>
  <c r="Z2144" i="2"/>
  <c r="Z2145" i="2"/>
  <c r="Z2681" i="2"/>
  <c r="Z2683" i="2"/>
  <c r="Z433" i="2"/>
  <c r="Z435" i="2"/>
  <c r="Z1534" i="2"/>
  <c r="Z1536" i="2"/>
  <c r="Z248" i="2"/>
  <c r="Z250" i="2"/>
  <c r="Z367" i="2"/>
  <c r="Z253" i="2"/>
  <c r="Z825" i="2"/>
  <c r="Z827" i="2"/>
  <c r="Z829" i="2"/>
  <c r="Z1455" i="2"/>
  <c r="Z2000" i="2"/>
  <c r="Z254" i="2"/>
  <c r="Z257" i="2"/>
  <c r="Z831" i="2"/>
  <c r="Z1375" i="2"/>
  <c r="Z1926" i="2"/>
  <c r="Z577" i="2"/>
  <c r="Z579" i="2"/>
  <c r="Z1129" i="2"/>
  <c r="Z1677" i="2"/>
  <c r="Z1679" i="2"/>
  <c r="Z2231" i="2"/>
  <c r="Z2233" i="2"/>
  <c r="Z2235" i="2"/>
  <c r="Z418" i="2"/>
  <c r="Z1508" i="2"/>
  <c r="Z2053" i="2"/>
  <c r="Z2746" i="2"/>
  <c r="Z2748" i="2"/>
  <c r="Z1608" i="2"/>
  <c r="Z2158" i="2"/>
  <c r="Z2160" i="2"/>
  <c r="Z2696" i="2"/>
  <c r="Z581" i="2"/>
  <c r="Z1131" i="2"/>
  <c r="Z1133" i="2"/>
  <c r="Z1681" i="2"/>
  <c r="Z1683" i="2"/>
  <c r="Z502" i="2"/>
  <c r="Z504" i="2"/>
  <c r="Z506" i="2"/>
  <c r="Z1601" i="2"/>
  <c r="Z2146" i="2"/>
  <c r="Z259" i="2"/>
  <c r="Z18" i="2"/>
  <c r="Z261" i="2"/>
  <c r="Z21" i="2"/>
  <c r="Z832" i="2"/>
  <c r="Z834" i="2"/>
  <c r="Z835" i="2"/>
  <c r="Z836" i="2"/>
  <c r="Z1135" i="2"/>
  <c r="Z1137" i="2"/>
  <c r="Z1686" i="2"/>
  <c r="Z2237" i="2"/>
  <c r="Z264" i="2"/>
  <c r="Z1927" i="2"/>
  <c r="Z1929" i="2"/>
  <c r="Z1931" i="2"/>
  <c r="Z267" i="2"/>
  <c r="Z1932" i="2"/>
  <c r="Z1934" i="2"/>
  <c r="Z2483" i="2"/>
  <c r="Z2485" i="2"/>
  <c r="Z2488" i="2"/>
  <c r="Z268" i="2"/>
  <c r="Z837" i="2"/>
  <c r="Z270" i="2"/>
  <c r="Z272" i="2"/>
  <c r="Z273" i="2"/>
  <c r="Z838" i="2"/>
  <c r="Z841" i="2"/>
  <c r="Z1379" i="2"/>
  <c r="Z1936" i="2"/>
  <c r="Z1938" i="2"/>
  <c r="Z275" i="2"/>
  <c r="Z1940" i="2"/>
  <c r="Z1095" i="2"/>
  <c r="Z276" i="2"/>
  <c r="Z278" i="2"/>
  <c r="Z842" i="2"/>
  <c r="Z844" i="2"/>
  <c r="Z1382" i="2"/>
  <c r="Z1384" i="2"/>
  <c r="Z1386" i="2"/>
  <c r="Z1388" i="2"/>
  <c r="Z1390" i="2"/>
  <c r="Z419" i="2"/>
  <c r="Z281" i="2"/>
  <c r="Z420" i="2"/>
  <c r="Z283" i="2"/>
  <c r="Z941" i="2"/>
  <c r="Z943" i="2"/>
  <c r="Z944" i="2"/>
  <c r="Z847" i="2"/>
  <c r="Z1942" i="2"/>
  <c r="Z286" i="2"/>
  <c r="Z1391" i="2"/>
  <c r="Z1393" i="2"/>
  <c r="Z1944" i="2"/>
  <c r="Z1946" i="2"/>
  <c r="Z2490" i="2"/>
  <c r="Z848" i="2"/>
  <c r="Z850" i="2"/>
  <c r="Z1394" i="2"/>
  <c r="Z2491" i="2"/>
  <c r="Z291" i="2"/>
  <c r="Z853" i="2"/>
  <c r="Z1396" i="2"/>
  <c r="Z1398" i="2"/>
  <c r="Z1950" i="2"/>
  <c r="Z2493" i="2"/>
  <c r="Z2495" i="2"/>
  <c r="Z2497" i="2"/>
  <c r="Z547" i="2"/>
  <c r="Z549" i="2"/>
  <c r="Z1647" i="2"/>
  <c r="Z292" i="2"/>
  <c r="Z294" i="2"/>
  <c r="Z1400" i="2"/>
  <c r="Z1952" i="2"/>
  <c r="Z1954" i="2"/>
  <c r="Z1956" i="2"/>
  <c r="Z2499" i="2"/>
  <c r="Z2501" i="2"/>
  <c r="Z295" i="2"/>
  <c r="Z297" i="2"/>
  <c r="Z299" i="2"/>
  <c r="Z22" i="2"/>
  <c r="Z24" i="2"/>
  <c r="Z587" i="2"/>
  <c r="Z589" i="2"/>
  <c r="Z591" i="2"/>
  <c r="Z1139" i="2"/>
  <c r="Z1688" i="2"/>
  <c r="Z1690" i="2"/>
  <c r="Z26" i="2"/>
  <c r="Z592" i="2"/>
  <c r="Z594" i="2"/>
  <c r="Z1142" i="2"/>
  <c r="Z1144" i="2"/>
  <c r="Z1146" i="2"/>
  <c r="Z300" i="2"/>
  <c r="Z302" i="2"/>
  <c r="Z304" i="2"/>
  <c r="Z856" i="2"/>
  <c r="Z1401" i="2"/>
  <c r="Z1959" i="2"/>
  <c r="Z2502" i="2"/>
  <c r="Z595" i="2"/>
  <c r="Z597" i="2"/>
  <c r="Z599" i="2"/>
  <c r="Z1148" i="2"/>
  <c r="Z1693" i="2"/>
  <c r="Z1696" i="2"/>
  <c r="Z1402" i="2"/>
  <c r="Z30" i="2"/>
  <c r="Z601" i="2"/>
  <c r="Z1150" i="2"/>
  <c r="Z1697" i="2"/>
  <c r="Z2238" i="2"/>
  <c r="Z2240" i="2"/>
  <c r="Z2242" i="2"/>
  <c r="Z2244" i="2"/>
  <c r="Z2246" i="2"/>
  <c r="Z422" i="2"/>
  <c r="Z424" i="2"/>
  <c r="Z425" i="2"/>
  <c r="Z307" i="2"/>
  <c r="Z309" i="2"/>
  <c r="Z1403" i="2"/>
  <c r="Z2055" i="2"/>
  <c r="Z2056" i="2"/>
  <c r="Z311" i="2"/>
  <c r="Z313" i="2"/>
  <c r="Z858" i="2"/>
  <c r="Z860" i="2"/>
  <c r="Z1405" i="2"/>
  <c r="Z1407" i="2"/>
  <c r="Z1963" i="2"/>
  <c r="Z1965" i="2"/>
  <c r="Z315" i="2"/>
  <c r="Z317" i="2"/>
  <c r="Z319" i="2"/>
  <c r="Z320" i="2"/>
  <c r="Z321" i="2"/>
  <c r="Z862" i="2"/>
  <c r="Z1409" i="2"/>
  <c r="Z1410" i="2"/>
  <c r="Z1097" i="2"/>
  <c r="Z1098" i="2"/>
  <c r="Z1099" i="2"/>
  <c r="Z602" i="2"/>
  <c r="Z603" i="2"/>
  <c r="Z604" i="2"/>
  <c r="Z1152" i="2"/>
  <c r="Z1699" i="2"/>
  <c r="Z1700" i="2"/>
  <c r="Z1701" i="2"/>
  <c r="Z507" i="2"/>
  <c r="Z508" i="2"/>
  <c r="Z2147" i="2"/>
  <c r="Z2148" i="2"/>
  <c r="Z322" i="2"/>
  <c r="Z863" i="2"/>
  <c r="Z864" i="2"/>
  <c r="Z865" i="2"/>
  <c r="Z1411" i="2"/>
  <c r="Z1412" i="2"/>
  <c r="Z1413" i="2"/>
  <c r="Z1967" i="2"/>
  <c r="Z2149" i="2"/>
  <c r="Z2684" i="2"/>
  <c r="Z2685" i="2"/>
  <c r="Z2686" i="2"/>
  <c r="Z2687" i="2"/>
  <c r="Z323" i="2"/>
  <c r="Z324" i="2"/>
  <c r="Z866" i="2"/>
  <c r="Z867" i="2"/>
  <c r="Z1414" i="2"/>
  <c r="Z1415" i="2"/>
  <c r="Z1416" i="2"/>
  <c r="Z1417" i="2"/>
  <c r="Z1968" i="2"/>
  <c r="Z1969" i="2"/>
  <c r="Z1970" i="2"/>
  <c r="Z1971" i="2"/>
  <c r="Z1972" i="2"/>
  <c r="Z2503" i="2"/>
  <c r="Z2504" i="2"/>
  <c r="Z2505" i="2"/>
  <c r="Z2506" i="2"/>
  <c r="Z2507" i="2"/>
  <c r="Z325" i="2"/>
  <c r="Z326" i="2"/>
  <c r="Z868" i="2"/>
  <c r="Z869" i="2"/>
  <c r="Z1418" i="2"/>
  <c r="Z1419" i="2"/>
  <c r="Z1420" i="2"/>
  <c r="Z1973" i="2"/>
  <c r="Z2508" i="2"/>
  <c r="Z457" i="2"/>
  <c r="Z1559" i="2"/>
  <c r="Z1560" i="2"/>
  <c r="Z2106" i="2"/>
  <c r="Z2107" i="2"/>
  <c r="Z2108" i="2"/>
  <c r="Z2109" i="2"/>
  <c r="Z2110" i="2"/>
  <c r="Z2624" i="2"/>
  <c r="Z2625" i="2"/>
  <c r="Z2626" i="2"/>
  <c r="Z2627" i="2"/>
  <c r="Z368" i="2"/>
  <c r="Z369" i="2"/>
  <c r="Z1457" i="2"/>
  <c r="Z327" i="2"/>
  <c r="Z328" i="2"/>
  <c r="Z329" i="2"/>
  <c r="Z870" i="2"/>
  <c r="Z871" i="2"/>
  <c r="Z1421" i="2"/>
  <c r="Z1974" i="2"/>
  <c r="Z1975" i="2"/>
  <c r="Z1976" i="2"/>
  <c r="Z458" i="2"/>
  <c r="Z459" i="2"/>
  <c r="Z994" i="2"/>
  <c r="Z1561" i="2"/>
  <c r="Z1562" i="2"/>
  <c r="Z330" i="2"/>
  <c r="Z331" i="2"/>
  <c r="Z872" i="2"/>
  <c r="Z332" i="2"/>
  <c r="Z333" i="2"/>
  <c r="Z334" i="2"/>
  <c r="Z335" i="2"/>
  <c r="Z873" i="2"/>
  <c r="Z874" i="2"/>
  <c r="Z875" i="2"/>
  <c r="Z1422" i="2"/>
  <c r="Z1423" i="2"/>
  <c r="Z1424" i="2"/>
  <c r="Z1425" i="2"/>
  <c r="Z1426" i="2"/>
  <c r="Z1427" i="2"/>
  <c r="Z336" i="2"/>
  <c r="Z1428" i="2"/>
  <c r="Z509" i="2"/>
  <c r="Z510" i="2"/>
  <c r="Z511" i="2"/>
  <c r="Z512" i="2"/>
  <c r="Z1041" i="2"/>
  <c r="Z1042" i="2"/>
  <c r="Z2150" i="2"/>
  <c r="Z2151" i="2"/>
  <c r="Z2688" i="2"/>
  <c r="Z31" i="2"/>
  <c r="Z32" i="2"/>
  <c r="Z33" i="2"/>
  <c r="Z34" i="2"/>
  <c r="Z605" i="2"/>
  <c r="Z606" i="2"/>
  <c r="Z1153" i="2"/>
  <c r="Z1154" i="2"/>
  <c r="Z1702" i="2"/>
  <c r="Z1703" i="2"/>
  <c r="Z1704" i="2"/>
  <c r="Z374" i="2"/>
  <c r="Z375" i="2"/>
  <c r="Z376" i="2"/>
  <c r="Z897" i="2"/>
  <c r="Z2007" i="2"/>
  <c r="Z2008" i="2"/>
  <c r="Z426" i="2"/>
  <c r="Z945" i="2"/>
  <c r="Z946" i="2"/>
  <c r="Z947" i="2"/>
  <c r="Z948" i="2"/>
  <c r="Z1121" i="2"/>
  <c r="Z1123" i="2"/>
  <c r="Z1674" i="2"/>
  <c r="Z392" i="2"/>
  <c r="Z394" i="2"/>
  <c r="Z918" i="2"/>
  <c r="Z919" i="2"/>
  <c r="Z920" i="2"/>
  <c r="Z921" i="2"/>
  <c r="Z922" i="2"/>
  <c r="Z923" i="2"/>
  <c r="Z924" i="2"/>
  <c r="Z1488" i="2"/>
  <c r="Z1489" i="2"/>
  <c r="Z1490" i="2"/>
  <c r="Z2036" i="2"/>
  <c r="Z155" i="2"/>
  <c r="Z763" i="2"/>
  <c r="Z765" i="2"/>
  <c r="Z1305" i="2"/>
  <c r="Z1307" i="2"/>
  <c r="Z1865" i="2"/>
  <c r="Z2439" i="2"/>
  <c r="Z157" i="2"/>
  <c r="Z159" i="2"/>
  <c r="Z966" i="2"/>
  <c r="Z767" i="2"/>
  <c r="Z1308" i="2"/>
  <c r="Z1309" i="2"/>
  <c r="Z2073" i="2"/>
  <c r="Z2074" i="2"/>
  <c r="Z1867" i="2"/>
  <c r="Z1868" i="2"/>
  <c r="Z2441" i="2"/>
  <c r="Z2442" i="2"/>
  <c r="Z2597" i="2"/>
  <c r="Z2599" i="2"/>
  <c r="Z2600" i="2"/>
  <c r="Z430" i="2"/>
  <c r="Z1530" i="2"/>
  <c r="Z2076" i="2"/>
  <c r="Z2078" i="2"/>
  <c r="Z2603" i="2"/>
  <c r="Z2604" i="2"/>
  <c r="Z161" i="2"/>
  <c r="Z162" i="2"/>
  <c r="Z164" i="2"/>
  <c r="Z1310" i="2"/>
  <c r="Z1312" i="2"/>
  <c r="Z1870" i="2"/>
  <c r="Z2443" i="2"/>
  <c r="Z165" i="2"/>
  <c r="Z167" i="2"/>
  <c r="Z169" i="2"/>
  <c r="Z171" i="2"/>
  <c r="Z769" i="2"/>
  <c r="Z771" i="2"/>
  <c r="Z773" i="2"/>
  <c r="Z1314" i="2"/>
  <c r="Z1873" i="2"/>
  <c r="Z172" i="2"/>
  <c r="Z174" i="2"/>
  <c r="Z1315" i="2"/>
  <c r="Z1318" i="2"/>
  <c r="Z1319" i="2"/>
  <c r="Z1321" i="2"/>
  <c r="Z1876" i="2"/>
  <c r="Z175" i="2"/>
  <c r="Z775" i="2"/>
  <c r="Z1086" i="2"/>
  <c r="Z178" i="2"/>
  <c r="Z179" i="2"/>
  <c r="Z182" i="2"/>
  <c r="Z776" i="2"/>
  <c r="Z778" i="2"/>
  <c r="Z780" i="2"/>
  <c r="Z782" i="2"/>
  <c r="Z1324" i="2"/>
  <c r="Z1326" i="2"/>
  <c r="Z1878" i="2"/>
  <c r="Z1880" i="2"/>
  <c r="Z1882" i="2"/>
  <c r="Z2446" i="2"/>
  <c r="Z396" i="2"/>
  <c r="Z398" i="2"/>
  <c r="Z926" i="2"/>
  <c r="Z1492" i="2"/>
  <c r="Z2560" i="2"/>
  <c r="Z2037" i="2"/>
  <c r="Z2562" i="2"/>
  <c r="Z2736" i="2"/>
  <c r="Z1087" i="2"/>
  <c r="Z1641" i="2"/>
  <c r="Z2189" i="2"/>
  <c r="Z2191" i="2"/>
  <c r="Z2739" i="2"/>
  <c r="Z2741" i="2"/>
  <c r="Z2742" i="2"/>
  <c r="Z1642" i="2"/>
  <c r="Z2192" i="2"/>
  <c r="Z2194" i="2"/>
  <c r="Z542" i="2"/>
  <c r="Z183" i="2"/>
  <c r="Z185" i="2"/>
  <c r="Z1328" i="2"/>
  <c r="Z1330" i="2"/>
  <c r="Z2195" i="2"/>
  <c r="Z1023" i="2"/>
  <c r="Z1590" i="2"/>
  <c r="Z2133" i="2"/>
  <c r="Z1333" i="2"/>
  <c r="Z1887" i="2"/>
  <c r="Z1889" i="2"/>
  <c r="Z190" i="2"/>
  <c r="Z191" i="2"/>
  <c r="Z1030" i="2"/>
  <c r="Z1593" i="2"/>
  <c r="Z2134" i="2"/>
  <c r="Z1890" i="2"/>
  <c r="Z2450" i="2"/>
  <c r="Z400" i="2"/>
  <c r="Z194" i="2"/>
  <c r="Z928" i="2"/>
  <c r="Z1494" i="2"/>
  <c r="Z2040" i="2"/>
  <c r="Z1891" i="2"/>
  <c r="Z2456" i="2"/>
  <c r="Z2565" i="2"/>
  <c r="Z402" i="2"/>
  <c r="Z404" i="2"/>
  <c r="Z407" i="2"/>
  <c r="Z574" i="2"/>
  <c r="Z575" i="2"/>
  <c r="Z576" i="2"/>
  <c r="Z1126" i="2"/>
  <c r="Z1128" i="2"/>
  <c r="Z1675" i="2"/>
  <c r="Z1676" i="2"/>
  <c r="Z195" i="2"/>
  <c r="Z197" i="2"/>
  <c r="Z201" i="2"/>
  <c r="Z791" i="2"/>
  <c r="Z1339" i="2"/>
  <c r="Z1341" i="2"/>
  <c r="Z1893" i="2"/>
  <c r="Z202" i="2"/>
  <c r="Z494" i="2"/>
  <c r="Z795" i="2"/>
  <c r="Z796" i="2"/>
  <c r="Z1595" i="2"/>
  <c r="Z1894" i="2"/>
  <c r="Z2138" i="2"/>
  <c r="Z2457" i="2"/>
  <c r="Z1344" i="2"/>
  <c r="Z2459" i="2"/>
  <c r="Z431" i="2"/>
  <c r="Z208" i="2"/>
  <c r="Z2079" i="2"/>
  <c r="Z2081" i="2"/>
  <c r="Z2082" i="2"/>
  <c r="Z2607" i="2"/>
  <c r="Z2463" i="2"/>
  <c r="Z2612" i="2"/>
  <c r="Z211" i="2"/>
  <c r="Z800" i="2"/>
  <c r="Z1901" i="2"/>
  <c r="Z495" i="2"/>
  <c r="Z496" i="2"/>
  <c r="Z1091" i="2"/>
  <c r="Z1092" i="2"/>
  <c r="Z2196" i="2"/>
  <c r="Z2198" i="2"/>
  <c r="Z214" i="2"/>
  <c r="Z215" i="2"/>
  <c r="Z411" i="2"/>
  <c r="Z413" i="2"/>
  <c r="Z933" i="2"/>
  <c r="Z935" i="2"/>
  <c r="Z1498" i="2"/>
  <c r="Z1500" i="2"/>
  <c r="Z2047" i="2"/>
  <c r="Z414" i="2"/>
  <c r="Z415" i="2"/>
  <c r="Z936" i="2"/>
  <c r="Z937" i="2"/>
  <c r="Z1502" i="2"/>
  <c r="Z1504" i="2"/>
  <c r="Z1902" i="2"/>
  <c r="Z2050" i="2"/>
  <c r="Z1904" i="2"/>
  <c r="Z1905" i="2"/>
  <c r="Z2569" i="2"/>
  <c r="Z1035" i="2"/>
  <c r="Z1597" i="2"/>
  <c r="Z807" i="2"/>
  <c r="Z2465" i="2"/>
  <c r="Z2469" i="2"/>
  <c r="Z1352" i="2"/>
  <c r="Z1909" i="2"/>
  <c r="Z1911" i="2"/>
  <c r="Z2473" i="2"/>
  <c r="Z2475" i="2"/>
  <c r="Z226" i="2"/>
  <c r="Z228" i="2"/>
  <c r="Z1354" i="2"/>
  <c r="Z1912" i="2"/>
  <c r="Z939" i="2"/>
  <c r="Z1507" i="2"/>
  <c r="Z449" i="2"/>
  <c r="Z451" i="2"/>
  <c r="Z235" i="2"/>
  <c r="Z989" i="2"/>
  <c r="Z814" i="2"/>
  <c r="Z1356" i="2"/>
  <c r="Z1358" i="2"/>
  <c r="Z1362" i="2"/>
  <c r="Z1363" i="2"/>
  <c r="Z2101" i="2"/>
  <c r="Z499" i="2"/>
  <c r="Z1036" i="2"/>
  <c r="Z1598" i="2"/>
  <c r="Z452" i="2"/>
  <c r="Z454" i="2"/>
  <c r="Z456" i="2"/>
  <c r="Z2103" i="2"/>
  <c r="Z2105" i="2"/>
  <c r="Z1039" i="2"/>
  <c r="Z2141" i="2"/>
  <c r="Z2680" i="2"/>
  <c r="Z1093" i="2"/>
  <c r="Z816" i="2"/>
  <c r="Z1365" i="2"/>
  <c r="Z1367" i="2"/>
  <c r="Z1919" i="2"/>
  <c r="Z2478" i="2"/>
  <c r="Z238" i="2"/>
  <c r="Z240" i="2"/>
  <c r="Z242" i="2"/>
  <c r="Z246" i="2"/>
  <c r="Z818" i="2"/>
  <c r="Z822" i="2"/>
  <c r="Z1600" i="2"/>
  <c r="Z1372" i="2"/>
  <c r="Z1920" i="2"/>
  <c r="Z1921" i="2"/>
  <c r="Z2682" i="2"/>
  <c r="Z2482" i="2"/>
  <c r="Z434" i="2"/>
  <c r="Z1535" i="2"/>
  <c r="Z249" i="2"/>
  <c r="Z251" i="2"/>
  <c r="Z252" i="2"/>
  <c r="Z824" i="2"/>
  <c r="Z828" i="2"/>
  <c r="Z2001" i="2"/>
  <c r="Z255" i="2"/>
  <c r="Z256" i="2"/>
  <c r="Z830" i="2"/>
  <c r="Z1374" i="2"/>
  <c r="Z1925" i="2"/>
  <c r="Z578" i="2"/>
  <c r="Z580" i="2"/>
  <c r="Z1678" i="2"/>
  <c r="Z1680" i="2"/>
  <c r="Z2234" i="2"/>
  <c r="Z2236" i="2"/>
  <c r="Z940" i="2"/>
  <c r="Z2052" i="2"/>
  <c r="Z2747" i="2"/>
  <c r="Z1055" i="2"/>
  <c r="Z2159" i="2"/>
  <c r="Z2695" i="2"/>
  <c r="Z582" i="2"/>
  <c r="Z1134" i="2"/>
  <c r="Z1682" i="2"/>
  <c r="Z1684" i="2"/>
  <c r="Z503" i="2"/>
  <c r="Z505" i="2"/>
  <c r="Z1040" i="2"/>
  <c r="Z1602" i="2"/>
  <c r="Z258" i="2"/>
  <c r="Z20" i="2"/>
  <c r="Z262" i="2"/>
  <c r="Z583" i="2"/>
  <c r="Z584" i="2"/>
  <c r="Z1136" i="2"/>
  <c r="Z1685" i="2"/>
  <c r="Z263" i="2"/>
  <c r="Z265" i="2"/>
  <c r="Z1930" i="2"/>
  <c r="Z266" i="2"/>
  <c r="Z1935" i="2"/>
  <c r="Z2484" i="2"/>
  <c r="Z2487" i="2"/>
  <c r="Z269" i="2"/>
  <c r="Z1377" i="2"/>
  <c r="Z839" i="2"/>
  <c r="Z1378" i="2"/>
  <c r="Z1380" i="2"/>
  <c r="Z2084" i="2"/>
  <c r="Z1939" i="2"/>
  <c r="Z546" i="2"/>
  <c r="Z277" i="2"/>
  <c r="Z1383" i="2"/>
  <c r="Z1389" i="2"/>
  <c r="Z282" i="2"/>
  <c r="Z421" i="2"/>
  <c r="Z942" i="2"/>
  <c r="Z845" i="2"/>
  <c r="Z2054" i="2"/>
  <c r="Z285" i="2"/>
  <c r="Z1943" i="2"/>
  <c r="Z1945" i="2"/>
  <c r="Z288" i="2"/>
  <c r="Z849" i="2"/>
  <c r="Z851" i="2"/>
  <c r="Z1948" i="2"/>
  <c r="Z290" i="2"/>
  <c r="Z852" i="2"/>
  <c r="Z1395" i="2"/>
  <c r="Z1949" i="2"/>
  <c r="Z2496" i="2"/>
  <c r="Z548" i="2"/>
  <c r="Z550" i="2"/>
  <c r="Z1648" i="2"/>
  <c r="Z293" i="2"/>
  <c r="Z1399" i="2"/>
  <c r="Z1951" i="2"/>
  <c r="Z1953" i="2"/>
  <c r="Z1955" i="2"/>
  <c r="Z1957" i="2"/>
  <c r="Z2500" i="2"/>
  <c r="Z551" i="2"/>
  <c r="Z296" i="2"/>
  <c r="Z298" i="2"/>
  <c r="Z854" i="2"/>
  <c r="Z23" i="2"/>
  <c r="Z586" i="2"/>
  <c r="Z588" i="2"/>
  <c r="Z590" i="2"/>
  <c r="Z1138" i="2"/>
  <c r="Z1140" i="2"/>
  <c r="Z1689" i="2"/>
  <c r="Z25" i="2"/>
  <c r="Z27" i="2"/>
  <c r="Z593" i="2"/>
  <c r="Z1141" i="2"/>
  <c r="Z1143" i="2"/>
  <c r="Z1145" i="2"/>
  <c r="Z1691" i="2"/>
  <c r="Z301" i="2"/>
  <c r="Z303" i="2"/>
  <c r="Z855" i="2"/>
  <c r="Z857" i="2"/>
  <c r="Z1958" i="2"/>
  <c r="Z1960" i="2"/>
  <c r="Z28" i="2"/>
  <c r="Z596" i="2"/>
  <c r="Z598" i="2"/>
  <c r="Z1147" i="2"/>
  <c r="Z1692" i="2"/>
  <c r="Z1694" i="2"/>
  <c r="Z1695" i="2"/>
  <c r="Z1961" i="2"/>
  <c r="Z29" i="2"/>
  <c r="Z600" i="2"/>
  <c r="Z1149" i="2"/>
  <c r="Z1151" i="2"/>
  <c r="Z1698" i="2"/>
  <c r="Z2239" i="2"/>
  <c r="Z2241" i="2"/>
  <c r="Z2243" i="2"/>
  <c r="Z2245" i="2"/>
  <c r="Z1962" i="2"/>
  <c r="Z423" i="2"/>
  <c r="Z305" i="2"/>
  <c r="Z306" i="2"/>
  <c r="Z308" i="2"/>
  <c r="Z310" i="2"/>
  <c r="Z1404" i="2"/>
  <c r="Z2057" i="2"/>
  <c r="Z2570" i="2"/>
  <c r="Z312" i="2"/>
  <c r="Z314" i="2"/>
  <c r="Z859" i="2"/>
  <c r="Z861" i="2"/>
  <c r="Z1406" i="2"/>
  <c r="Z1408" i="2"/>
  <c r="Z1964" i="2"/>
  <c r="Z1966" i="2"/>
  <c r="Z316" i="2"/>
  <c r="Z3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1D8DD5-7269-4B20-B738-452A66FB7CCA}" keepAlive="1" name="Query - Auto Sales data - Copy" description="Connection to the 'Auto Sales data - Copy' query in the workbook." type="5" refreshedVersion="8" background="1" saveData="1">
    <dbPr connection="Provider=Microsoft.Mashup.OleDb.1;Data Source=$Workbook$;Location=&quot;Auto Sales data - Copy&quot;;Extended Properties=&quot;&quot;" command="SELECT * FROM [Auto Sales data - Cop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<sst xmlns="http://schemas.openxmlformats.org/spreadsheetml/2006/main" count="33106" uniqueCount="751">
  <si>
    <t>ORDER_NUMBER</t>
  </si>
  <si>
    <t>QUANTITY_ORDERED</t>
  </si>
  <si>
    <t>PRICE_EACH</t>
  </si>
  <si>
    <t>ORDER_LINE_NUMBER</t>
  </si>
  <si>
    <t>SALES</t>
  </si>
  <si>
    <t>ORDER_DATE</t>
  </si>
  <si>
    <t>STATUS</t>
  </si>
  <si>
    <t>PRODUCT_LINE</t>
  </si>
  <si>
    <t>MSRP</t>
  </si>
  <si>
    <t>PRODUCT_CODE</t>
  </si>
  <si>
    <t>CUSTOMER_NAME</t>
  </si>
  <si>
    <t>PHONE</t>
  </si>
  <si>
    <t>ADDRESS_LINE_1</t>
  </si>
  <si>
    <t>CITY</t>
  </si>
  <si>
    <t>POSTAL_CODE</t>
  </si>
  <si>
    <t>COUNTRY</t>
  </si>
  <si>
    <t>CONTACT_LAST_NAME</t>
  </si>
  <si>
    <t>CONTACT_FIRST_NAME</t>
  </si>
  <si>
    <t>DEAL_SIZE</t>
  </si>
  <si>
    <t>Shipped</t>
  </si>
  <si>
    <t>Motorcycles</t>
  </si>
  <si>
    <t>S10_1678</t>
  </si>
  <si>
    <t>Land of Toys Inc.</t>
  </si>
  <si>
    <t>2125557818</t>
  </si>
  <si>
    <t>897 Long Airport Avenue</t>
  </si>
  <si>
    <t>NYC</t>
  </si>
  <si>
    <t>10022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</si>
  <si>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</si>
  <si>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</si>
  <si>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</si>
  <si>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</si>
  <si>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</si>
  <si>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</si>
  <si>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</si>
  <si>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</si>
  <si>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</si>
  <si>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</si>
  <si>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</si>
  <si>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</si>
  <si>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</si>
  <si>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</si>
  <si>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</si>
  <si>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</si>
  <si>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</si>
  <si>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</si>
  <si>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</si>
  <si>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</si>
  <si>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</si>
  <si>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</si>
  <si>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</si>
  <si>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</si>
  <si>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90003</t>
  </si>
  <si>
    <t>Young</t>
  </si>
  <si>
    <t>Julie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</si>
  <si>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</si>
  <si>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</si>
  <si>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</si>
  <si>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</si>
  <si>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</si>
  <si>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</si>
  <si>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</si>
  <si>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</si>
  <si>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</si>
  <si>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</si>
  <si>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</si>
  <si>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</si>
  <si>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</si>
  <si>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</si>
  <si>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</si>
  <si>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</si>
  <si>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</si>
  <si>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</si>
  <si>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</si>
  <si>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</si>
  <si>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</si>
  <si>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</si>
  <si>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</si>
  <si>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</si>
  <si>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</si>
  <si>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</si>
  <si>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</si>
  <si>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</si>
  <si>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</si>
  <si>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</si>
  <si>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</si>
  <si>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Melbourne</t>
  </si>
  <si>
    <t>3004</t>
  </si>
  <si>
    <t>Australia</t>
  </si>
  <si>
    <t>Ferguson</t>
  </si>
  <si>
    <t>Peter</t>
  </si>
  <si>
    <t>Vitachrome Inc.</t>
  </si>
  <si>
    <t>2125551500</t>
  </si>
  <si>
    <t>2678 Kingston Rd.</t>
  </si>
  <si>
    <t>Frick</t>
  </si>
  <si>
    <t>Michael</t>
  </si>
  <si>
    <t>Tekni Collectables Inc.</t>
  </si>
  <si>
    <t>2015559350</t>
  </si>
  <si>
    <t>7476 Moss Rd.</t>
  </si>
  <si>
    <t>Newark</t>
  </si>
  <si>
    <t>94019</t>
  </si>
  <si>
    <t>Brown</t>
  </si>
  <si>
    <t>William</t>
  </si>
  <si>
    <t>Gift Depot Inc.</t>
  </si>
  <si>
    <t>2035552570</t>
  </si>
  <si>
    <t>25593 South Bay Ln.</t>
  </si>
  <si>
    <t>Bridgewater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</si>
  <si>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</si>
  <si>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</si>
  <si>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</si>
  <si>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</si>
  <si>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</si>
  <si>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</si>
  <si>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</si>
  <si>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</si>
  <si>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</si>
  <si>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</si>
  <si>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</si>
  <si>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</si>
  <si>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</si>
  <si>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</si>
  <si>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</si>
  <si>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</si>
  <si>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</si>
  <si>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</si>
  <si>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</si>
  <si>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</si>
  <si>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</si>
  <si>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</si>
  <si>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</si>
  <si>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</si>
  <si>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</si>
  <si>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</si>
  <si>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</si>
  <si>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</si>
  <si>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</si>
  <si>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</si>
  <si>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</si>
  <si>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</si>
  <si>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</si>
  <si>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</si>
  <si>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</si>
  <si>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</si>
  <si>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</si>
  <si>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</si>
  <si>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</si>
  <si>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</si>
  <si>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</si>
  <si>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</si>
  <si>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</si>
  <si>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</si>
  <si>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</si>
  <si>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</si>
  <si>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</si>
  <si>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</si>
  <si>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</si>
  <si>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</si>
  <si>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</si>
  <si>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</si>
  <si>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</si>
  <si>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</si>
  <si>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</si>
  <si>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</si>
  <si>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</si>
  <si>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</si>
  <si>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</si>
  <si>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</si>
  <si>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</si>
  <si>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</si>
  <si>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</si>
  <si>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</si>
  <si>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</si>
  <si>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</si>
  <si>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</si>
  <si>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</si>
  <si>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</si>
  <si>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</si>
  <si>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</si>
  <si>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</si>
  <si>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</si>
  <si>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</si>
  <si>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</si>
  <si>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</si>
  <si>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</si>
  <si>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</si>
  <si>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</si>
  <si>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</si>
  <si>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</si>
  <si>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Berguvsvgen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</si>
  <si>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</si>
  <si>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</si>
  <si>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</si>
  <si>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</si>
  <si>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</si>
  <si>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</si>
  <si>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</si>
  <si>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</si>
  <si>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</si>
  <si>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</si>
  <si>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</si>
  <si>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</si>
  <si>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</si>
  <si>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</si>
  <si>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</si>
  <si>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79903</t>
  </si>
  <si>
    <t>Natividad</t>
  </si>
  <si>
    <t>Eric</t>
  </si>
  <si>
    <t>Classic Legends Inc.</t>
  </si>
  <si>
    <t>2125558493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</si>
  <si>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</si>
  <si>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</si>
  <si>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</si>
  <si>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</si>
  <si>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</si>
  <si>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</si>
  <si>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</si>
  <si>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</si>
  <si>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</si>
  <si>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</si>
  <si>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</si>
  <si>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</si>
  <si>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</si>
  <si>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</si>
  <si>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</si>
  <si>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</si>
  <si>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</si>
  <si>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</si>
  <si>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</si>
  <si>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</si>
  <si>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</si>
  <si>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</si>
  <si>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</si>
  <si>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</si>
  <si>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</si>
  <si>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</si>
  <si>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</si>
  <si>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</si>
  <si>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</si>
  <si>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</si>
  <si>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</si>
  <si>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</si>
  <si>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</si>
  <si>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</si>
  <si>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</si>
  <si>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</si>
  <si>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</si>
  <si>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</si>
  <si>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</si>
  <si>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</si>
  <si>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</si>
  <si>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</si>
  <si>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</si>
  <si>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</si>
  <si>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</si>
  <si>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</si>
  <si>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Murphy</t>
  </si>
  <si>
    <t>Leslie</t>
  </si>
  <si>
    <t>Tokyo Collectables, Ltd</t>
  </si>
  <si>
    <t>+81 3 3584 0555</t>
  </si>
  <si>
    <t>2-2-8 Roppongi</t>
  </si>
  <si>
    <t>Minato-ku</t>
  </si>
  <si>
    <t>106-0032</t>
  </si>
  <si>
    <t>Japan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</si>
  <si>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</si>
  <si>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</si>
  <si>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</si>
  <si>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</si>
  <si>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</si>
  <si>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</si>
  <si>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</si>
  <si>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</si>
  <si>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</si>
  <si>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</si>
  <si>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</si>
  <si>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</si>
  <si>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</si>
  <si>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</si>
  <si>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</si>
  <si>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</si>
  <si>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</si>
  <si>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</si>
  <si>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</si>
  <si>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</si>
  <si>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</si>
  <si>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</si>
  <si>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</si>
  <si>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</si>
  <si>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</si>
  <si>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</si>
  <si>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</si>
  <si>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</si>
  <si>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</si>
  <si>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</si>
  <si>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</si>
  <si>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</si>
  <si>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</si>
  <si>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</si>
  <si>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</si>
  <si>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</si>
  <si>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</si>
  <si>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</si>
  <si>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</si>
  <si>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</si>
  <si>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</si>
  <si>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</si>
  <si>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</si>
  <si>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</si>
  <si>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</si>
  <si>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</si>
  <si>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</si>
  <si>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</si>
  <si>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</si>
  <si>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</si>
  <si>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</si>
  <si>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</si>
  <si>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</si>
  <si>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</si>
  <si>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</si>
  <si>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</si>
  <si>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</si>
  <si>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</si>
  <si>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</si>
  <si>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</si>
  <si>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</si>
  <si>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</si>
  <si>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</si>
  <si>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</si>
  <si>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</si>
  <si>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</si>
  <si>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</si>
  <si>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</si>
  <si>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</si>
  <si>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</si>
  <si>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</si>
  <si>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</si>
  <si>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</si>
  <si>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</si>
  <si>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</si>
  <si>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</si>
  <si>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</si>
  <si>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</si>
  <si>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</si>
  <si>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</si>
  <si>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</si>
  <si>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</si>
  <si>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</si>
  <si>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</si>
  <si>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</si>
  <si>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</si>
  <si>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</si>
  <si>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</si>
  <si>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</si>
  <si>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</si>
  <si>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</si>
  <si>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</si>
  <si>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</si>
  <si>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</si>
  <si>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</si>
  <si>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</si>
  <si>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</si>
  <si>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</si>
  <si>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</si>
  <si>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</si>
  <si>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</si>
  <si>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</si>
  <si>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</si>
  <si>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</si>
  <si>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</si>
  <si>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</si>
  <si>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</si>
  <si>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</si>
  <si>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</si>
  <si>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</si>
  <si>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</si>
  <si>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</si>
  <si>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</si>
  <si>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</si>
  <si>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</si>
  <si>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</si>
  <si>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</si>
  <si>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</si>
  <si>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</si>
  <si>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</si>
  <si>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</si>
  <si>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</si>
  <si>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</si>
  <si>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</si>
  <si>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</si>
  <si>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</si>
  <si>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</si>
  <si>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</si>
  <si>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</si>
  <si>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</si>
  <si>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</si>
  <si>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</si>
  <si>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</si>
  <si>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</si>
  <si>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</si>
  <si>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</si>
  <si>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</si>
  <si>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</si>
  <si>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</si>
  <si>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</si>
  <si>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</si>
  <si>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</si>
  <si>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</si>
  <si>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</si>
  <si>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</si>
  <si>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</si>
  <si>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</si>
  <si>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</si>
  <si>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</si>
  <si>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</si>
  <si>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</si>
  <si>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</si>
  <si>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</si>
  <si>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</si>
  <si>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</si>
  <si>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</si>
  <si>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</si>
  <si>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</si>
  <si>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</si>
  <si>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</si>
  <si>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</si>
  <si>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</si>
  <si>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</si>
  <si>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</si>
  <si>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</si>
  <si>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</si>
  <si>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</si>
  <si>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</si>
  <si>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</si>
  <si>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</si>
  <si>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</si>
  <si>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</si>
  <si>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</si>
  <si>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</si>
  <si>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</si>
  <si>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</si>
  <si>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</si>
  <si>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</si>
  <si>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</si>
  <si>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</si>
  <si>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</si>
  <si>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</si>
  <si>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</si>
  <si>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</si>
  <si>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</si>
  <si>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</si>
  <si>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</si>
  <si>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</si>
  <si>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</si>
  <si>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</si>
  <si>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</si>
  <si>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</si>
  <si>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</si>
  <si>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</si>
  <si>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</si>
  <si>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</si>
  <si>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</si>
  <si>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</si>
  <si>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</si>
  <si>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</si>
  <si>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</si>
  <si>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</si>
  <si>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</si>
  <si>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</si>
  <si>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</si>
  <si>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</si>
  <si>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</si>
  <si>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</si>
  <si>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</si>
  <si>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</si>
  <si>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</si>
  <si>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</si>
  <si>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</si>
  <si>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</si>
  <si>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</si>
  <si>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</si>
  <si>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</si>
  <si>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</si>
  <si>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</si>
  <si>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</si>
  <si>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</si>
  <si>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</si>
  <si>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</si>
  <si>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</si>
  <si>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</si>
  <si>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</si>
  <si>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</si>
  <si>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</si>
  <si>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</si>
  <si>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</si>
  <si>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</si>
  <si>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</si>
  <si>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</si>
  <si>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</si>
  <si>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</si>
  <si>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</si>
  <si>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</si>
  <si>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</si>
  <si>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</si>
  <si>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</si>
  <si>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</si>
  <si>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</si>
  <si>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</si>
  <si>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</si>
  <si>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</si>
  <si>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</si>
  <si>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</si>
  <si>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Jeff</t>
  </si>
  <si>
    <t>Clover Collections, Co.</t>
  </si>
  <si>
    <t>+353 1862 1555</t>
  </si>
  <si>
    <t>25 Maiden Lane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</si>
  <si>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</si>
  <si>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</si>
  <si>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</si>
  <si>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</si>
  <si>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</si>
  <si>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</si>
  <si>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</si>
  <si>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</si>
  <si>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</si>
  <si>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</si>
  <si>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</si>
  <si>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</si>
  <si>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</si>
  <si>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</si>
  <si>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</si>
  <si>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</si>
  <si>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</si>
  <si>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</si>
  <si>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</si>
  <si>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</si>
  <si>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</si>
  <si>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</si>
  <si>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</si>
  <si>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</si>
  <si>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</si>
  <si>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</si>
  <si>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</si>
  <si>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</si>
  <si>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</si>
  <si>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</si>
  <si>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</si>
  <si>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</si>
  <si>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</si>
  <si>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</si>
  <si>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</si>
  <si>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</si>
  <si>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</si>
  <si>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</si>
  <si>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</si>
  <si>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</si>
  <si>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</si>
  <si>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</si>
  <si>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</si>
  <si>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</si>
  <si>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</si>
  <si>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</si>
  <si>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</si>
  <si>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</si>
  <si>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</si>
  <si>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</si>
  <si>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</si>
  <si>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</si>
  <si>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</si>
  <si>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</si>
  <si>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</si>
  <si>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</si>
  <si>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</si>
  <si>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</si>
  <si>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</si>
  <si>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</si>
  <si>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</si>
  <si>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</si>
  <si>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</si>
  <si>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</si>
  <si>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</si>
  <si>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</si>
  <si>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</si>
  <si>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</si>
  <si>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</si>
  <si>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</si>
  <si>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</si>
  <si>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</si>
  <si>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</si>
  <si>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</si>
  <si>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</si>
  <si>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</si>
  <si>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</si>
  <si>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</si>
  <si>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</si>
  <si>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</si>
  <si>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</si>
  <si>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</si>
  <si>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</si>
  <si>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</si>
  <si>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</si>
  <si>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</si>
  <si>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</si>
  <si>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</si>
  <si>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</si>
  <si>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</si>
  <si>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</si>
  <si>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</si>
  <si>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</si>
  <si>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</si>
  <si>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</si>
  <si>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</si>
  <si>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</si>
  <si>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</si>
  <si>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</si>
  <si>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</si>
  <si>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</si>
  <si>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</si>
  <si>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</si>
  <si>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</si>
  <si>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</si>
  <si>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</si>
  <si>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</si>
  <si>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</si>
  <si>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</si>
  <si>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</si>
  <si>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</si>
  <si>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</si>
  <si>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</si>
  <si>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</si>
  <si>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</si>
  <si>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</si>
  <si>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</si>
  <si>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</si>
  <si>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</si>
  <si>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</si>
  <si>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</si>
  <si>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</si>
  <si>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</si>
  <si>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</si>
  <si>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</si>
  <si>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</si>
  <si>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</si>
  <si>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</si>
  <si>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</si>
  <si>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</si>
  <si>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</si>
  <si>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</si>
  <si>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</si>
  <si>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</si>
  <si>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</si>
  <si>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</si>
  <si>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</si>
  <si>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</si>
  <si>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</si>
  <si>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</si>
  <si>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</si>
  <si>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</si>
  <si>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</si>
  <si>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</si>
  <si>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</si>
  <si>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</si>
  <si>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</si>
  <si>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</si>
  <si>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</si>
  <si>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</si>
  <si>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</si>
  <si>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</si>
  <si>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</si>
  <si>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</si>
  <si>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</si>
  <si>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</si>
  <si>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</si>
  <si>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</si>
  <si>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</si>
  <si>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</si>
  <si>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</si>
  <si>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</si>
  <si>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</si>
  <si>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</si>
  <si>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</si>
  <si>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</si>
  <si>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</si>
  <si>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</si>
  <si>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</si>
  <si>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</si>
  <si>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</si>
  <si>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</si>
  <si>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</si>
  <si>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</si>
  <si>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</si>
  <si>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</si>
  <si>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</si>
  <si>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</si>
  <si>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</si>
  <si>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</si>
  <si>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</si>
  <si>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</si>
  <si>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</si>
  <si>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</si>
  <si>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</si>
  <si>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</si>
  <si>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</si>
  <si>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</si>
  <si>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</si>
  <si>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</si>
  <si>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</si>
  <si>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</si>
  <si>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</si>
  <si>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</si>
  <si>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</si>
  <si>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</si>
  <si>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</si>
  <si>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</si>
  <si>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</si>
  <si>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</si>
  <si>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</si>
  <si>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</si>
  <si>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</si>
  <si>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</si>
  <si>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</si>
  <si>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</si>
  <si>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</si>
  <si>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DAYS_SINCE_LAST_ORDER</t>
  </si>
  <si>
    <t>Grand Total</t>
  </si>
  <si>
    <t>TOTAL SALES</t>
  </si>
  <si>
    <t>Score</t>
  </si>
  <si>
    <t>Percentile</t>
  </si>
  <si>
    <t>F-Score(1-5)</t>
  </si>
  <si>
    <t>TOTAL ORDERS</t>
  </si>
  <si>
    <t>F-Cutoff</t>
  </si>
  <si>
    <t>R-Cutoff</t>
  </si>
  <si>
    <t>M-Cutoff</t>
  </si>
  <si>
    <t>R-Score(1-5)</t>
  </si>
  <si>
    <t>M-Score(1-5)</t>
  </si>
  <si>
    <t xml:space="preserve">RFM Code </t>
  </si>
  <si>
    <t>Segment Name</t>
  </si>
  <si>
    <t>Strategy</t>
  </si>
  <si>
    <t>Total_Orders_Per_Customer</t>
  </si>
  <si>
    <t>Total_Sales_Per_Customer</t>
  </si>
  <si>
    <t xml:space="preserve">Segment </t>
  </si>
  <si>
    <t>Champion</t>
  </si>
  <si>
    <t>Loyalist</t>
  </si>
  <si>
    <t>Potential Loyalist</t>
  </si>
  <si>
    <t>Standard Customer</t>
  </si>
  <si>
    <t>Inactive</t>
  </si>
  <si>
    <t>At Risk</t>
  </si>
  <si>
    <t>Hibernating</t>
  </si>
  <si>
    <t>Nurture &amp; Connect</t>
  </si>
  <si>
    <t>Reward &amp; Upsell</t>
  </si>
  <si>
    <t>VIP Recognitioon &amp; Inclusivity</t>
  </si>
  <si>
    <t>Brand Awareness &amp; Value Proposition</t>
  </si>
  <si>
    <t>Re-Activation &amp; Re-Engagement</t>
  </si>
  <si>
    <t>High-Touch  Win-Back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</si>
</sst>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" refreshedDate="46120.245455902776" createdVersion="8" refreshedVersion="8" minRefreshableVersion="3" recordCount="2747" xr:uid="{8EA707C4-2023-4129-9CBA-D1C2CD3CFF62}">
  <cacheSource type="worksheet">
    <worksheetSource name="Auto_Sales_data___Copy"/>
  </cacheSource>
  <cacheFields count="20">
    <cacheField name="ORDER_NUMBER" numFmtId="0">
      <sharedItems containsSemiMixedTypes="0" containsString="0" containsNumber="1" containsInteger="1" minValue="10100" maxValue="10425"/>
    </cacheField>
    <cacheField name="QUANTITY_ORDERED" numFmtId="0">
      <sharedItems containsSemiMixedTypes="0" containsString="0" containsNumber="1" containsInteger="1" minValue="6" maxValue="97"/>
    </cacheField>
    <cacheField name="PRICE_EACH" numFmtId="0">
      <sharedItems containsSemiMixedTypes="0" containsString="0" containsNumber="1" minValue="26.88" maxValue="252.87"/>
    </cacheField>
    <cacheField name="ORDER_LINE_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_DATE" numFmtId="14">
      <sharedItems containsSemiMixedTypes="0" containsNonDate="0" containsDate="1" containsString="0" minDate="2018-01-06T00:00:00" maxDate="2020-06-01T00:00:00"/>
    </cacheField>
    <cacheField name="STATUS" numFmtId="0">
      <sharedItems/>
    </cacheField>
    <cacheField name="PRODUCT_LINE" numFmtId="0">
      <sharedItems/>
    </cacheField>
    <cacheField name="MSRP" numFmtId="0">
      <sharedItems containsSemiMixedTypes="0" containsString="0" containsNumber="1" containsInteger="1" minValue="33" maxValue="214"/>
    </cacheField>
    <cacheField name="PRODUCT_CODE" numFmtId="0">
      <sharedItems/>
    </cacheField>
    <cacheField name="CUSTOMER_NAME" numFmtId="0">
      <sharedItems count="89">
        <s v="Online Diecast Creations Co."/>
        <s v="Blauer See Auto, Co."/>
        <s v="Vitachrome Inc."/>
        <s v="Baane Mini Imports"/>
        <s v="Euro Shopping Channel"/>
        <s v="Danish Wholesale Imports"/>
        <s v="Rovelli Gifts"/>
        <s v="Land of Toys Inc."/>
        <s v="Cruz &amp; Sons Co."/>
        <s v="Motor Mint Distributors Inc."/>
        <s v="AV Stores, Co."/>
        <s v="Volvo Model Replicas, Co"/>
        <s v="Mini Gifts Distributors Ltd."/>
        <s v="La Corne D'abondance, Co."/>
        <s v="Classic Legends Inc."/>
        <s v="Royale Belge"/>
        <s v="Dragon Souveniers, Ltd."/>
        <s v="Enaco Distributors"/>
        <s v="Salzburg Collectables"/>
        <s v="Australian Collectors, Co."/>
        <s v="Reims Collectables"/>
        <s v="Marseille Mini Autos"/>
        <s v="Atelier graphique"/>
        <s v="Signal Gift Stores"/>
        <s v="Corrida Auto Replicas, Ltd"/>
        <s v="Muscle Machine Inc"/>
        <s v="Stylish Desk Decors, Co."/>
        <s v="Gift Ideas Corp."/>
        <s v="Auto-Moto Classics Inc."/>
        <s v="Lyon Souveniers"/>
        <s v="Alpha Cognac"/>
        <s v="Souveniers And Things Co."/>
        <s v="Technics Stores Inc."/>
        <s v="Suominen Souveniers"/>
        <s v="Mini Creations Ltd."/>
        <s v="Toys4GrownUps.com"/>
        <s v="Collectables For Less Inc."/>
        <s v="Anna's Decorations, Ltd"/>
        <s v="Signal Collectibles Ltd."/>
        <s v="Oulu Toy Supplies, Inc."/>
        <s v="Australian Gift Network, Co"/>
        <s v="Boards &amp; Toys Co."/>
        <s v="Norway Gifts By Mail, Co."/>
        <s v="Toys of Finland, Co."/>
        <s v="UK Collectables, Ltd."/>
        <s v="Heintze Collectables"/>
        <s v="Mini Auto Werke"/>
        <s v="FunGiftIdeas.com"/>
        <s v="Scandinavian Gift Ideas"/>
        <s v="Quebec Home Shopping Network"/>
        <s v="Gift Depot Inc."/>
        <s v="L'ordine Souveniers"/>
        <s v="CAF Imports"/>
        <s v="Daedalus Designs Imports"/>
        <s v="Herkku Gifts"/>
        <s v="Classic Gift Ideas, Inc"/>
        <s v="Double Decker Gift Stores, Ltd"/>
        <s v="Iberia Gift Imports, Corp."/>
        <s v="Toms Spezialitten, Ltd"/>
        <s v="Australian Collectables, Ltd"/>
        <s v="Saveley &amp; Henriot, Co."/>
        <s v="Mini Classics"/>
        <s v="Super Scale Inc."/>
        <s v="West Coast Collectables Co."/>
        <s v="Canadian Gift Exchange Network"/>
        <s v="Diecast Collectables"/>
        <s v="Osaka Souveniers Co."/>
        <s v="Auto Canal Petit"/>
        <s v="Auto Assoc. &amp; Cie."/>
        <s v="Handji Gifts&amp; Co"/>
        <s v="Clover Collections, Co."/>
        <s v="Petit Auto"/>
        <s v="Collectable Mini Designs Co."/>
        <s v="Vida Sport, Ltd"/>
        <s v="Cambridge Collectables Co."/>
        <s v="giftsbymail.co.uk"/>
        <s v="Tekni Collectables Inc."/>
        <s v="Royal Canadian Collectables, Ltd."/>
        <s v="Mini Caravy"/>
        <s v="Microscale Inc."/>
        <s v="The Sharp Gifts Warehouse"/>
        <s v="Tokyo Collectables, Ltd"/>
        <s v="Gifts4AllAges.com"/>
        <s v="Diecast Classics Inc."/>
        <s v="La Rochelle Gifts"/>
        <s v="Online Mini Collectables"/>
        <s v="Amica Models &amp; Co."/>
        <s v="Marta's Replicas Co."/>
        <s v="Bavarian Collectables Imports, Co."/>
      </sharedItems>
    </cacheField>
    <cacheField name="PHONE" numFmtId="0">
      <sharedItems/>
    </cacheField>
    <cacheField name="ADDRESS_LINE_1" numFmtId="0">
      <sharedItems/>
    </cacheField>
    <cacheField name="CITY" numFmtId="0">
      <sharedItems/>
    </cacheField>
    <cacheField name="POSTAL_CODE" numFmtId="0">
      <sharedItems/>
    </cacheField>
    <cacheField name="COUNTRY" numFmtId="0">
      <sharedItems/>
    </cacheField>
    <cacheField name="CONTACT_LAST_NAME" numFmtId="0">
      <sharedItems/>
    </cacheField>
    <cacheField name="CONTACT_FIRST_NAME" numFmtId="0">
      <sharedItems/>
    </cacheField>
    <cacheField name="DEAL_SIZE" numFmtId="0">
      <sharedItems/>
    </cacheField>
    <cacheField name="DAYS_SINCE_LASTORDER" numFmtId="0">
      <sharedItems containsSemiMixedTypes="0" containsString="0" containsNumber="1" containsInteger="1" minValue="42" maxValue="3562" count="1832">
        <n v="1429"/>
        <n v="1529"/>
        <n v="2096"/>
        <n v="2836"/>
        <n v="1573"/>
        <n v="1671"/>
        <n v="2360"/>
        <n v="2434"/>
        <n v="1327"/>
        <n v="1351"/>
        <n v="878"/>
        <n v="977"/>
        <n v="1054"/>
        <n v="1255"/>
        <n v="1577"/>
        <n v="1701"/>
        <n v="1726"/>
        <n v="1776"/>
        <n v="1925"/>
        <n v="2120"/>
        <n v="2147"/>
        <n v="2438"/>
        <n v="2860"/>
        <n v="2931"/>
        <n v="3060"/>
        <n v="3393"/>
        <n v="1102"/>
        <n v="1201"/>
        <n v="1477"/>
        <n v="1525"/>
        <n v="1824"/>
        <n v="2045"/>
        <n v="2239"/>
        <n v="2510"/>
        <n v="2832"/>
        <n v="3004"/>
        <n v="3032"/>
        <n v="3158"/>
        <n v="3186"/>
        <n v="939"/>
        <n v="1015"/>
        <n v="1140"/>
        <n v="1788"/>
        <n v="1864"/>
        <n v="2081"/>
        <n v="2376"/>
        <n v="2600"/>
        <n v="2722"/>
        <n v="3225"/>
        <n v="3277"/>
        <n v="3354"/>
        <n v="3457"/>
        <n v="3483"/>
        <n v="3562"/>
        <n v="1361"/>
        <n v="1585"/>
        <n v="1732"/>
        <n v="2003"/>
        <n v="2298"/>
        <n v="2521"/>
        <n v="2667"/>
        <n v="2767"/>
        <n v="2865"/>
        <n v="3067"/>
        <n v="3115"/>
        <n v="3245"/>
        <n v="3295"/>
        <n v="3321"/>
        <n v="3401"/>
        <n v="3426"/>
        <n v="3503"/>
        <n v="3530"/>
        <n v="828"/>
        <n v="902"/>
        <n v="1601"/>
        <n v="2243"/>
        <n v="2338"/>
        <n v="2932"/>
        <n v="971"/>
        <n v="1096"/>
        <n v="1146"/>
        <n v="1197"/>
        <n v="1394"/>
        <n v="1869"/>
        <n v="1916"/>
        <n v="1965"/>
        <n v="2140"/>
        <n v="2432"/>
        <n v="2628"/>
        <n v="2727"/>
        <n v="2875"/>
        <n v="2949"/>
        <n v="3077"/>
        <n v="3181"/>
        <n v="1241"/>
        <n v="1412"/>
        <n v="1636"/>
        <n v="1787"/>
        <n v="1933"/>
        <n v="2547"/>
        <n v="1307"/>
        <n v="1359"/>
        <n v="1459"/>
        <n v="1506"/>
        <n v="1604"/>
        <n v="2026"/>
        <n v="2148"/>
        <n v="2170"/>
        <n v="2245"/>
        <n v="2293"/>
        <n v="2367"/>
        <n v="2441"/>
        <n v="2517"/>
        <n v="2590"/>
        <n v="2664"/>
        <n v="2766"/>
        <n v="825"/>
        <n v="1648"/>
        <n v="999"/>
        <n v="1200"/>
        <n v="2092"/>
        <n v="3005"/>
        <n v="916"/>
        <n v="1466"/>
        <n v="1516"/>
        <n v="1766"/>
        <n v="2059"/>
        <n v="2377"/>
        <n v="2451"/>
        <n v="2870"/>
        <n v="2945"/>
        <n v="3332"/>
        <n v="1139"/>
        <n v="1415"/>
        <n v="2177"/>
        <n v="2770"/>
        <n v="3096"/>
        <n v="2963"/>
        <n v="952"/>
        <n v="1028"/>
        <n v="1077"/>
        <n v="1725"/>
        <n v="1801"/>
        <n v="1971"/>
        <n v="2018"/>
        <n v="2313"/>
        <n v="3112"/>
        <n v="3214"/>
        <n v="3420"/>
        <n v="3499"/>
        <n v="3389"/>
        <n v="864"/>
        <n v="1292"/>
        <n v="1663"/>
        <n v="1934"/>
        <n v="2452"/>
        <n v="2525"/>
        <n v="2598"/>
        <n v="2647"/>
        <n v="2698"/>
        <n v="3150"/>
        <n v="3226"/>
        <n v="3279"/>
        <n v="3434"/>
        <n v="3461"/>
        <n v="815"/>
        <n v="839"/>
        <n v="1515"/>
        <n v="1538"/>
        <n v="2180"/>
        <n v="2228"/>
        <n v="2275"/>
        <n v="2795"/>
        <n v="2869"/>
        <n v="2997"/>
        <n v="3045"/>
        <n v="3175"/>
        <n v="3251"/>
        <n v="3331"/>
        <n v="3356"/>
        <n v="757"/>
        <n v="983"/>
        <n v="2368"/>
        <n v="3013"/>
        <n v="3117"/>
        <n v="906"/>
        <n v="1031"/>
        <n v="1081"/>
        <n v="1132"/>
        <n v="1183"/>
        <n v="1329"/>
        <n v="1354"/>
        <n v="1730"/>
        <n v="1804"/>
        <n v="1851"/>
        <n v="1900"/>
        <n v="2075"/>
        <n v="2489"/>
        <n v="2563"/>
        <n v="2662"/>
        <n v="2810"/>
        <n v="2884"/>
        <n v="1245"/>
        <n v="1566"/>
        <n v="1863"/>
        <n v="2183"/>
        <n v="1296"/>
        <n v="1396"/>
        <n v="1443"/>
        <n v="1541"/>
        <n v="1963"/>
        <n v="2085"/>
        <n v="2107"/>
        <n v="2230"/>
        <n v="2304"/>
        <n v="2378"/>
        <n v="2454"/>
        <n v="2527"/>
        <n v="2601"/>
        <n v="2703"/>
        <n v="761"/>
        <n v="860"/>
        <n v="937"/>
        <n v="1138"/>
        <n v="1214"/>
        <n v="1460"/>
        <n v="1584"/>
        <n v="1608"/>
        <n v="1658"/>
        <n v="1807"/>
        <n v="2030"/>
        <n v="2321"/>
        <n v="2742"/>
        <n v="2814"/>
        <n v="2943"/>
        <n v="3276"/>
        <n v="905"/>
        <n v="981"/>
        <n v="1030"/>
        <n v="1080"/>
        <n v="1356"/>
        <n v="1404"/>
        <n v="1705"/>
        <n v="1924"/>
        <n v="2118"/>
        <n v="2389"/>
        <n v="2711"/>
        <n v="2883"/>
        <n v="2911"/>
        <n v="3037"/>
        <n v="3065"/>
        <n v="1675"/>
        <n v="1751"/>
        <n v="1968"/>
        <n v="3164"/>
        <n v="820"/>
        <n v="2257"/>
        <n v="2481"/>
        <n v="2603"/>
        <n v="3106"/>
        <n v="3235"/>
        <n v="3338"/>
        <n v="3364"/>
        <n v="3443"/>
        <n v="1244"/>
        <n v="1615"/>
        <n v="1886"/>
        <n v="2404"/>
        <n v="2550"/>
        <n v="2650"/>
        <n v="3178"/>
        <n v="3204"/>
        <n v="3386"/>
        <n v="3413"/>
        <n v="1457"/>
        <n v="2737"/>
        <n v="2811"/>
        <n v="2939"/>
        <n v="2987"/>
        <n v="3273"/>
        <n v="703"/>
        <n v="753"/>
        <n v="777"/>
        <n v="929"/>
        <n v="1476"/>
        <n v="2213"/>
        <n v="852"/>
        <n v="1027"/>
        <n v="1078"/>
        <n v="1275"/>
        <n v="1750"/>
        <n v="1797"/>
        <n v="1846"/>
        <n v="2021"/>
        <n v="2435"/>
        <n v="2509"/>
        <n v="2608"/>
        <n v="2756"/>
        <n v="2830"/>
        <n v="2958"/>
        <n v="3062"/>
        <n v="1127"/>
        <n v="1298"/>
        <n v="1195"/>
        <n v="1813"/>
        <n v="2133"/>
        <n v="1142"/>
        <n v="1166"/>
        <n v="1486"/>
        <n v="1536"/>
        <n v="1560"/>
        <n v="1610"/>
        <n v="1759"/>
        <n v="2694"/>
        <n v="705"/>
        <n v="804"/>
        <n v="881"/>
        <n v="1082"/>
        <n v="1947"/>
        <n v="1974"/>
        <n v="2265"/>
        <n v="2758"/>
        <n v="2887"/>
        <n v="3220"/>
        <n v="1022"/>
        <n v="1346"/>
        <n v="2060"/>
        <n v="2331"/>
        <n v="2653"/>
        <n v="2825"/>
        <n v="2979"/>
        <n v="840"/>
        <n v="965"/>
        <n v="1613"/>
        <n v="1689"/>
        <n v="1859"/>
        <n v="1906"/>
        <n v="2201"/>
        <n v="2425"/>
        <n v="2846"/>
        <n v="3000"/>
        <n v="3050"/>
        <n v="3102"/>
        <n v="3282"/>
        <n v="3308"/>
        <n v="3387"/>
        <n v="762"/>
        <n v="1190"/>
        <n v="1561"/>
        <n v="1832"/>
        <n v="2350"/>
        <n v="2496"/>
        <n v="2545"/>
        <n v="2596"/>
        <n v="2944"/>
        <n v="3074"/>
        <n v="3124"/>
        <n v="3177"/>
        <n v="3254"/>
        <n v="3359"/>
        <n v="2893"/>
        <n v="649"/>
        <n v="699"/>
        <n v="723"/>
        <n v="875"/>
        <n v="1399"/>
        <n v="1422"/>
        <n v="2064"/>
        <n v="2112"/>
        <n v="2159"/>
        <n v="2260"/>
        <n v="2679"/>
        <n v="2753"/>
        <n v="2777"/>
        <n v="2905"/>
        <n v="3009"/>
        <n v="3215"/>
        <n v="1784"/>
        <n v="1959"/>
        <n v="788"/>
        <n v="913"/>
        <n v="963"/>
        <n v="1014"/>
        <n v="1211"/>
        <n v="1686"/>
        <n v="1733"/>
        <n v="2371"/>
        <n v="2445"/>
        <n v="2544"/>
        <n v="2692"/>
        <n v="1059"/>
        <n v="1133"/>
        <n v="1230"/>
        <n v="1454"/>
        <n v="1973"/>
        <n v="1995"/>
        <n v="2071"/>
        <n v="2266"/>
        <n v="2342"/>
        <n v="2415"/>
        <n v="1085"/>
        <n v="1109"/>
        <n v="1283"/>
        <n v="1330"/>
        <n v="1702"/>
        <n v="2117"/>
        <n v="2191"/>
        <n v="2637"/>
        <n v="748"/>
        <n v="1026"/>
        <n v="1472"/>
        <n v="1496"/>
        <n v="1546"/>
        <n v="1891"/>
        <n v="1918"/>
        <n v="2831"/>
        <n v="972"/>
        <n v="1248"/>
        <n v="1599"/>
        <n v="2207"/>
        <n v="2281"/>
        <n v="2700"/>
        <n v="2775"/>
        <n v="2929"/>
        <n v="1812"/>
        <n v="2006"/>
        <n v="2599"/>
        <n v="2799"/>
        <n v="790"/>
        <n v="866"/>
        <n v="915"/>
        <n v="1563"/>
        <n v="1639"/>
        <n v="1856"/>
        <n v="2151"/>
        <n v="2950"/>
        <n v="3052"/>
        <n v="3232"/>
        <n v="3258"/>
        <n v="3337"/>
        <n v="3125"/>
        <n v="771"/>
        <n v="896"/>
        <n v="946"/>
        <n v="997"/>
        <n v="1194"/>
        <n v="1669"/>
        <n v="1716"/>
        <n v="2428"/>
        <n v="1048"/>
        <n v="1122"/>
        <n v="1219"/>
        <n v="1740"/>
        <n v="1983"/>
        <n v="2353"/>
        <n v="2477"/>
        <n v="2526"/>
        <n v="706"/>
        <n v="1134"/>
        <n v="1169"/>
        <n v="1505"/>
        <n v="1836"/>
        <n v="1960"/>
        <n v="2253"/>
        <n v="2294"/>
        <n v="2329"/>
        <n v="2402"/>
        <n v="2440"/>
        <n v="2540"/>
        <n v="3068"/>
        <n v="3094"/>
        <n v="3198"/>
        <n v="3303"/>
        <n v="2886"/>
        <n v="3016"/>
        <n v="2114"/>
        <n v="1024"/>
        <n v="1098"/>
        <n v="1419"/>
        <n v="1938"/>
        <n v="2036"/>
        <n v="2231"/>
        <n v="2307"/>
        <n v="2380"/>
        <n v="619"/>
        <n v="1442"/>
        <n v="1665"/>
        <n v="717"/>
        <n v="794"/>
        <n v="995"/>
        <n v="1834"/>
        <n v="1860"/>
        <n v="1887"/>
        <n v="2671"/>
        <n v="2800"/>
        <n v="3030"/>
        <n v="3133"/>
        <n v="767"/>
        <n v="843"/>
        <n v="892"/>
        <n v="942"/>
        <n v="1218"/>
        <n v="1266"/>
        <n v="1316"/>
        <n v="1569"/>
        <n v="1616"/>
        <n v="1786"/>
        <n v="1980"/>
        <n v="2251"/>
        <n v="2573"/>
        <n v="2745"/>
        <n v="2773"/>
        <n v="2899"/>
        <n v="2927"/>
        <n v="690"/>
        <n v="1118"/>
        <n v="1489"/>
        <n v="1760"/>
        <n v="2127"/>
        <n v="2278"/>
        <n v="2351"/>
        <n v="2424"/>
        <n v="2473"/>
        <n v="2976"/>
        <n v="3105"/>
        <n v="3208"/>
        <n v="3234"/>
        <n v="3287"/>
        <n v="3313"/>
        <n v="586"/>
        <n v="636"/>
        <n v="660"/>
        <n v="1336"/>
        <n v="2001"/>
        <n v="2049"/>
        <n v="2097"/>
        <n v="2519"/>
        <n v="2616"/>
        <n v="2690"/>
        <n v="2818"/>
        <n v="2867"/>
        <n v="3073"/>
        <n v="3152"/>
        <n v="3255"/>
        <n v="729"/>
        <n v="805"/>
        <n v="854"/>
        <n v="904"/>
        <n v="955"/>
        <n v="1152"/>
        <n v="1627"/>
        <n v="1674"/>
        <n v="1723"/>
        <n v="1898"/>
        <n v="2190"/>
        <n v="2386"/>
        <n v="2485"/>
        <n v="2633"/>
        <n v="2707"/>
        <n v="2835"/>
        <n v="1006"/>
        <n v="1032"/>
        <n v="1056"/>
        <n v="1130"/>
        <n v="1177"/>
        <n v="1277"/>
        <n v="1376"/>
        <n v="1401"/>
        <n v="1451"/>
        <n v="1501"/>
        <n v="1556"/>
        <n v="1650"/>
        <n v="1698"/>
        <n v="1920"/>
        <n v="1942"/>
        <n v="2138"/>
        <n v="2289"/>
        <n v="2311"/>
        <n v="2362"/>
        <n v="2436"/>
        <n v="2537"/>
        <n v="2585"/>
        <n v="603"/>
        <n v="702"/>
        <n v="779"/>
        <n v="829"/>
        <n v="928"/>
        <n v="980"/>
        <n v="1204"/>
        <n v="1252"/>
        <n v="1302"/>
        <n v="1426"/>
        <n v="1772"/>
        <n v="1845"/>
        <n v="1872"/>
        <n v="1966"/>
        <n v="2163"/>
        <n v="2237"/>
        <n v="2559"/>
        <n v="2656"/>
        <n v="2731"/>
        <n v="2759"/>
        <n v="2785"/>
        <n v="2885"/>
        <n v="2913"/>
        <n v="3118"/>
        <n v="1818"/>
        <n v="2113"/>
        <n v="2337"/>
        <n v="2962"/>
        <n v="3014"/>
        <n v="3091"/>
        <n v="3194"/>
        <n v="3299"/>
        <n v="675"/>
        <n v="1103"/>
        <n v="1474"/>
        <n v="1745"/>
        <n v="2263"/>
        <n v="2409"/>
        <n v="2458"/>
        <n v="3063"/>
        <n v="3272"/>
        <n v="573"/>
        <n v="623"/>
        <n v="647"/>
        <n v="799"/>
        <n v="1717"/>
        <n v="1892"/>
        <n v="1988"/>
        <n v="2084"/>
        <n v="2184"/>
        <n v="2627"/>
        <n v="2701"/>
        <n v="2829"/>
        <n v="2933"/>
        <n v="722"/>
        <n v="847"/>
        <n v="897"/>
        <n v="948"/>
        <n v="1000"/>
        <n v="1050"/>
        <n v="1074"/>
        <n v="1124"/>
        <n v="1145"/>
        <n v="1171"/>
        <n v="1224"/>
        <n v="1271"/>
        <n v="1370"/>
        <n v="1395"/>
        <n v="1551"/>
        <n v="1620"/>
        <n v="1644"/>
        <n v="1667"/>
        <n v="1692"/>
        <n v="1791"/>
        <n v="1914"/>
        <n v="1936"/>
        <n v="2012"/>
        <n v="2058"/>
        <n v="2132"/>
        <n v="2283"/>
        <n v="2305"/>
        <n v="2356"/>
        <n v="2379"/>
        <n v="2430"/>
        <n v="2478"/>
        <n v="2531"/>
        <n v="597"/>
        <n v="696"/>
        <n v="773"/>
        <n v="974"/>
        <n v="1420"/>
        <n v="1444"/>
        <n v="1494"/>
        <n v="1839"/>
        <n v="1866"/>
        <n v="2578"/>
        <n v="2779"/>
        <n v="670"/>
        <n v="746"/>
        <n v="822"/>
        <n v="871"/>
        <n v="921"/>
        <n v="1295"/>
        <n v="1469"/>
        <n v="1519"/>
        <n v="1550"/>
        <n v="1595"/>
        <n v="1765"/>
        <n v="2156"/>
        <n v="2258"/>
        <n v="2453"/>
        <n v="2552"/>
        <n v="2649"/>
        <n v="2724"/>
        <n v="2752"/>
        <n v="2878"/>
        <n v="2906"/>
        <n v="2956"/>
        <n v="3008"/>
        <n v="3085"/>
        <n v="3188"/>
        <n v="3267"/>
        <n v="3293"/>
        <n v="567"/>
        <n v="617"/>
        <n v="641"/>
        <n v="793"/>
        <n v="1340"/>
        <n v="1982"/>
        <n v="2078"/>
        <n v="2670"/>
        <n v="3132"/>
        <n v="2822"/>
        <n v="2926"/>
        <n v="715"/>
        <n v="890"/>
        <n v="941"/>
        <n v="993"/>
        <n v="1067"/>
        <n v="1164"/>
        <n v="1388"/>
        <n v="1545"/>
        <n v="1660"/>
        <n v="1685"/>
        <n v="1709"/>
        <n v="1884"/>
        <n v="1929"/>
        <n v="2005"/>
        <n v="2200"/>
        <n v="2276"/>
        <n v="2349"/>
        <n v="2372"/>
        <n v="2423"/>
        <n v="2471"/>
        <n v="2619"/>
        <n v="1018"/>
        <n v="1042"/>
        <n v="1116"/>
        <n v="1216"/>
        <n v="1263"/>
        <n v="1362"/>
        <n v="1413"/>
        <n v="1437"/>
        <n v="1487"/>
        <n v="1783"/>
        <n v="2050"/>
        <n v="2124"/>
        <n v="2523"/>
        <n v="2571"/>
        <n v="685"/>
        <n v="911"/>
        <n v="1187"/>
        <n v="1235"/>
        <n v="1285"/>
        <n v="1828"/>
        <n v="1855"/>
        <n v="1949"/>
        <n v="2146"/>
        <n v="2220"/>
        <n v="2542"/>
        <n v="2639"/>
        <n v="2714"/>
        <n v="2768"/>
        <n v="2868"/>
        <n v="3101"/>
        <n v="659"/>
        <n v="735"/>
        <n v="811"/>
        <n v="1458"/>
        <n v="1508"/>
        <n v="1729"/>
        <n v="1754"/>
        <n v="2320"/>
        <n v="2442"/>
        <n v="2895"/>
        <n v="3021"/>
        <n v="3203"/>
        <n v="3256"/>
        <n v="1086"/>
        <n v="2246"/>
        <n v="2392"/>
        <n v="2491"/>
        <n v="3227"/>
        <n v="2834"/>
        <n v="2964"/>
        <n v="3144"/>
        <n v="704"/>
        <n v="879"/>
        <n v="930"/>
        <n v="982"/>
        <n v="1106"/>
        <n v="1153"/>
        <n v="1206"/>
        <n v="1253"/>
        <n v="1377"/>
        <n v="1535"/>
        <n v="1602"/>
        <n v="1649"/>
        <n v="1773"/>
        <n v="1896"/>
        <n v="1994"/>
        <n v="2189"/>
        <n v="2287"/>
        <n v="2361"/>
        <n v="2412"/>
        <n v="2460"/>
        <n v="2513"/>
        <n v="1007"/>
        <n v="2039"/>
        <n v="577"/>
        <n v="954"/>
        <n v="1400"/>
        <n v="1424"/>
        <n v="1623"/>
        <n v="2558"/>
        <n v="3092"/>
        <n v="672"/>
        <n v="898"/>
        <n v="1174"/>
        <n v="1222"/>
        <n v="1272"/>
        <n v="1742"/>
        <n v="1815"/>
        <n v="2529"/>
        <n v="2626"/>
        <n v="2729"/>
        <n v="2855"/>
        <n v="775"/>
        <n v="824"/>
        <n v="1548"/>
        <n v="2284"/>
        <n v="2859"/>
        <n v="2909"/>
        <n v="2961"/>
        <n v="3038"/>
        <n v="3141"/>
        <n v="3167"/>
        <n v="3246"/>
        <n v="563"/>
        <n v="587"/>
        <n v="1041"/>
        <n v="1261"/>
        <n v="1286"/>
        <n v="2024"/>
        <n v="2446"/>
        <n v="2541"/>
        <n v="2743"/>
        <n v="2793"/>
        <n v="2923"/>
        <n v="3078"/>
        <n v="3103"/>
        <n v="3182"/>
        <n v="510"/>
        <n v="661"/>
        <n v="736"/>
        <n v="836"/>
        <n v="1559"/>
        <n v="1606"/>
        <n v="1654"/>
        <n v="1829"/>
        <n v="2121"/>
        <n v="2318"/>
        <n v="2564"/>
        <n v="2638"/>
        <n v="785"/>
        <n v="886"/>
        <n v="938"/>
        <n v="1012"/>
        <n v="1083"/>
        <n v="1333"/>
        <n v="1492"/>
        <n v="1630"/>
        <n v="1874"/>
        <n v="1950"/>
        <n v="2145"/>
        <n v="2416"/>
        <n v="2215"/>
        <n v="1052"/>
        <n v="1199"/>
        <n v="1986"/>
        <n v="2459"/>
        <n v="523"/>
        <n v="900"/>
        <n v="951"/>
        <n v="975"/>
        <n v="1792"/>
        <n v="2504"/>
        <n v="695"/>
        <n v="616"/>
        <n v="2077"/>
        <n v="2570"/>
        <n v="2699"/>
        <n v="1112"/>
        <n v="784"/>
        <n v="1678"/>
        <n v="2465"/>
        <n v="2665"/>
        <n v="2791"/>
        <n v="2819"/>
        <n v="1502"/>
        <n v="1719"/>
        <n v="2014"/>
        <n v="2915"/>
        <n v="575"/>
        <n v="1004"/>
        <n v="1374"/>
        <n v="1645"/>
        <n v="2309"/>
        <n v="2358"/>
        <n v="2862"/>
        <n v="2937"/>
        <n v="2991"/>
        <n v="3120"/>
        <n v="3145"/>
        <n v="3172"/>
        <n v="3199"/>
        <n v="475"/>
        <n v="525"/>
        <n v="549"/>
        <n v="1223"/>
        <n v="1890"/>
        <n v="2503"/>
        <n v="2705"/>
        <n v="2755"/>
        <n v="3040"/>
        <n v="700"/>
        <n v="1618"/>
        <n v="2602"/>
        <n v="2730"/>
        <n v="624"/>
        <n v="749"/>
        <n v="850"/>
        <n v="1047"/>
        <n v="1456"/>
        <n v="1522"/>
        <n v="1069"/>
        <n v="1293"/>
        <n v="1590"/>
        <n v="1910"/>
        <n v="2328"/>
        <n v="920"/>
        <n v="944"/>
        <n v="1165"/>
        <n v="1264"/>
        <n v="1808"/>
        <n v="1952"/>
        <n v="2101"/>
        <n v="2250"/>
        <n v="484"/>
        <n v="861"/>
        <n v="1331"/>
        <n v="1381"/>
        <n v="582"/>
        <n v="808"/>
        <n v="1131"/>
        <n v="1182"/>
        <n v="1440"/>
        <n v="1752"/>
        <n v="2043"/>
        <n v="2536"/>
        <n v="2611"/>
        <n v="2998"/>
        <n v="1842"/>
        <n v="2635"/>
        <n v="2761"/>
        <n v="2789"/>
        <n v="625"/>
        <n v="750"/>
        <n v="1397"/>
        <n v="1473"/>
        <n v="1690"/>
        <n v="1985"/>
        <n v="3066"/>
        <n v="3171"/>
        <n v="2954"/>
        <n v="2463"/>
        <n v="2538"/>
        <n v="2715"/>
        <n v="2845"/>
        <n v="2922"/>
        <n v="3025"/>
        <n v="3104"/>
        <n v="1207"/>
        <n v="1945"/>
        <n v="432"/>
        <n v="506"/>
        <n v="658"/>
        <n v="1576"/>
        <n v="1847"/>
        <n v="2560"/>
        <n v="2688"/>
        <n v="2792"/>
        <n v="579"/>
        <n v="754"/>
        <n v="1524"/>
        <n v="1747"/>
        <n v="2236"/>
        <n v="2482"/>
        <n v="802"/>
        <n v="1409"/>
        <n v="2332"/>
        <n v="853"/>
        <n v="927"/>
        <n v="1767"/>
        <n v="1789"/>
        <n v="1865"/>
        <n v="2136"/>
        <n v="2209"/>
        <n v="1111"/>
        <n v="863"/>
        <n v="887"/>
        <n v="1258"/>
        <n v="1282"/>
        <n v="1332"/>
        <n v="1481"/>
        <n v="1969"/>
        <n v="430"/>
        <n v="529"/>
        <n v="606"/>
        <n v="807"/>
        <n v="1672"/>
        <n v="1699"/>
        <n v="2483"/>
        <n v="2612"/>
        <n v="655"/>
        <n v="1128"/>
        <n v="1387"/>
        <n v="1598"/>
        <n v="1989"/>
        <n v="2063"/>
        <n v="2385"/>
        <n v="2557"/>
        <n v="2739"/>
        <n v="499"/>
        <n v="1350"/>
        <n v="1643"/>
        <n v="2162"/>
        <n v="2282"/>
        <n v="2787"/>
        <n v="2839"/>
        <n v="2916"/>
        <n v="3019"/>
        <n v="1568"/>
        <n v="2086"/>
        <n v="2232"/>
        <n v="3095"/>
        <n v="924"/>
        <n v="1858"/>
        <n v="1908"/>
        <n v="2330"/>
        <n v="2500"/>
        <n v="2677"/>
        <n v="2807"/>
        <n v="390"/>
        <n v="440"/>
        <n v="464"/>
        <n v="1163"/>
        <n v="1805"/>
        <n v="1431"/>
        <n v="1478"/>
        <n v="1526"/>
        <n v="1993"/>
        <n v="527"/>
        <n v="652"/>
        <n v="950"/>
        <n v="976"/>
        <n v="1497"/>
        <n v="2110"/>
        <n v="1172"/>
        <n v="848"/>
        <n v="1213"/>
        <n v="1237"/>
        <n v="1287"/>
        <n v="1436"/>
        <n v="389"/>
        <n v="488"/>
        <n v="565"/>
        <n v="714"/>
        <n v="766"/>
        <n v="990"/>
        <n v="1037"/>
        <n v="1088"/>
        <n v="1348"/>
        <n v="1631"/>
        <n v="2023"/>
        <n v="2904"/>
        <n v="459"/>
        <n v="1603"/>
        <n v="2122"/>
        <n v="2747"/>
        <n v="2876"/>
        <n v="3084"/>
        <n v="1251"/>
        <n v="2040"/>
        <n v="2186"/>
        <n v="2235"/>
        <n v="2584"/>
        <n v="2634"/>
        <n v="2764"/>
        <n v="2841"/>
        <n v="3023"/>
        <n v="3049"/>
        <n v="350"/>
        <n v="400"/>
        <n v="424"/>
        <n v="576"/>
        <n v="1123"/>
        <n v="1861"/>
        <n v="2476"/>
        <n v="2604"/>
        <n v="2708"/>
        <n v="493"/>
        <n v="618"/>
        <n v="668"/>
        <n v="719"/>
        <n v="845"/>
        <n v="1328"/>
        <n v="1463"/>
        <n v="1782"/>
        <n v="2076"/>
        <n v="2150"/>
        <n v="2249"/>
        <n v="1683"/>
        <n v="1976"/>
        <n v="2052"/>
        <n v="2125"/>
        <n v="2199"/>
        <n v="2340"/>
        <n v="356"/>
        <n v="455"/>
        <n v="532"/>
        <n v="733"/>
        <n v="1179"/>
        <n v="1625"/>
        <n v="2871"/>
        <n v="504"/>
        <n v="580"/>
        <n v="629"/>
        <n v="680"/>
        <n v="956"/>
        <n v="1003"/>
        <n v="1315"/>
        <n v="1523"/>
        <n v="1718"/>
        <n v="1915"/>
        <n v="2310"/>
        <n v="426"/>
        <n v="855"/>
        <n v="1225"/>
        <n v="1276"/>
        <n v="1352"/>
        <n v="1570"/>
        <n v="2089"/>
        <n v="2160"/>
        <n v="2765"/>
        <n v="2788"/>
        <n v="2843"/>
        <n v="2946"/>
        <n v="2972"/>
        <n v="3051"/>
        <n v="326"/>
        <n v="376"/>
        <n v="1099"/>
        <n v="1741"/>
        <n v="1837"/>
        <n v="2259"/>
        <n v="2354"/>
        <n v="2429"/>
        <n v="2556"/>
        <n v="2606"/>
        <n v="2736"/>
        <n v="2813"/>
        <n v="2891"/>
        <n v="2995"/>
        <n v="467"/>
        <n v="542"/>
        <n v="592"/>
        <n v="642"/>
        <n v="1365"/>
        <n v="1635"/>
        <n v="1927"/>
        <n v="2370"/>
        <n v="2444"/>
        <n v="2572"/>
        <n v="2676"/>
        <n v="691"/>
        <n v="741"/>
        <n v="912"/>
        <n v="1136"/>
        <n v="1299"/>
        <n v="1433"/>
        <n v="2046"/>
        <n v="2219"/>
        <n v="1651"/>
        <n v="1673"/>
        <n v="1944"/>
        <n v="2020"/>
        <n v="2093"/>
        <n v="2167"/>
        <n v="328"/>
        <n v="755"/>
        <n v="1151"/>
        <n v="1175"/>
        <n v="1373"/>
        <n v="425"/>
        <n v="502"/>
        <n v="651"/>
        <n v="1025"/>
        <n v="2508"/>
        <n v="397"/>
        <n v="474"/>
        <n v="550"/>
        <n v="599"/>
        <n v="926"/>
        <n v="1196"/>
        <n v="1247"/>
        <n v="1323"/>
        <n v="1467"/>
        <n v="1493"/>
        <n v="1688"/>
        <n v="2280"/>
        <n v="2480"/>
        <n v="2607"/>
        <n v="2685"/>
        <n v="2917"/>
        <n v="2994"/>
        <n v="3022"/>
        <n v="1046"/>
        <n v="1984"/>
        <n v="2130"/>
        <n v="2326"/>
        <n v="2528"/>
        <n v="2888"/>
        <n v="2967"/>
        <n v="292"/>
        <n v="342"/>
        <n v="366"/>
        <n v="518"/>
        <n v="1065"/>
        <n v="1707"/>
        <n v="1803"/>
        <n v="1903"/>
        <n v="2395"/>
        <n v="2420"/>
        <n v="2548"/>
        <n v="2652"/>
        <n v="2857"/>
        <n v="1435"/>
        <n v="615"/>
        <n v="666"/>
        <n v="718"/>
        <n v="889"/>
        <n v="1113"/>
        <n v="1338"/>
        <n v="1385"/>
        <n v="1410"/>
        <n v="2196"/>
        <n v="2343"/>
        <n v="838"/>
        <n v="985"/>
        <n v="1629"/>
        <n v="1727"/>
        <n v="1922"/>
        <n v="1998"/>
        <n v="739"/>
        <n v="763"/>
        <n v="1353"/>
        <n v="307"/>
        <n v="406"/>
        <n v="483"/>
        <n v="632"/>
        <n v="684"/>
        <n v="908"/>
        <n v="1154"/>
        <n v="1269"/>
        <n v="1475"/>
        <n v="1549"/>
        <n v="1670"/>
        <n v="1867"/>
        <n v="1941"/>
        <n v="2262"/>
        <n v="2462"/>
        <n v="2589"/>
        <n v="531"/>
        <n v="1228"/>
        <n v="1304"/>
        <n v="1817"/>
        <n v="2717"/>
        <n v="3003"/>
        <n v="377"/>
        <n v="2794"/>
        <n v="2897"/>
        <n v="801"/>
        <n v="2106"/>
        <n v="2155"/>
        <n v="2554"/>
        <n v="2684"/>
        <n v="2734"/>
        <n v="2864"/>
        <n v="2969"/>
        <n v="1021"/>
        <n v="1734"/>
        <n v="2301"/>
        <n v="2838"/>
        <n v="312"/>
        <n v="1035"/>
        <n v="259"/>
        <n v="333"/>
        <n v="485"/>
        <n v="1403"/>
        <n v="1578"/>
        <n v="1870"/>
        <n v="2387"/>
        <n v="2515"/>
        <n v="2211"/>
        <n v="275"/>
        <n v="451"/>
        <n v="726"/>
        <n v="1320"/>
        <n v="1544"/>
        <n v="2256"/>
        <n v="2457"/>
        <n v="2790"/>
        <n v="372"/>
        <n v="598"/>
        <n v="874"/>
        <n v="1236"/>
        <n v="1833"/>
        <n v="1907"/>
        <n v="2401"/>
        <n v="2555"/>
        <n v="344"/>
        <n v="421"/>
        <n v="497"/>
        <n v="546"/>
        <n v="1143"/>
        <n v="1270"/>
        <n v="1414"/>
        <n v="1488"/>
        <n v="1932"/>
        <n v="2007"/>
        <n v="2427"/>
        <n v="2581"/>
        <n v="2632"/>
        <n v="2683"/>
        <n v="2706"/>
        <n v="2890"/>
        <n v="2941"/>
        <n v="245"/>
        <n v="295"/>
        <n v="319"/>
        <n v="471"/>
        <n v="1706"/>
        <n v="1756"/>
        <n v="2178"/>
        <n v="2273"/>
        <n v="2348"/>
        <n v="2475"/>
        <n v="2501"/>
        <n v="2605"/>
        <n v="2655"/>
        <n v="2732"/>
        <n v="2914"/>
        <n v="395"/>
        <n v="520"/>
        <n v="570"/>
        <n v="621"/>
        <n v="673"/>
        <n v="747"/>
        <n v="818"/>
        <n v="844"/>
        <n v="1068"/>
        <n v="1234"/>
        <n v="1462"/>
        <n v="1586"/>
        <n v="1684"/>
        <n v="1879"/>
        <n v="1955"/>
        <n v="1978"/>
        <n v="2028"/>
        <n v="2102"/>
        <n v="266"/>
        <n v="643"/>
        <n v="693"/>
        <n v="1089"/>
        <n v="1311"/>
        <n v="1724"/>
        <n v="1799"/>
        <n v="2197"/>
        <n v="2247"/>
        <n v="364"/>
        <n v="414"/>
        <n v="441"/>
        <n v="490"/>
        <n v="539"/>
        <n v="590"/>
        <n v="964"/>
        <n v="1229"/>
        <n v="1507"/>
        <n v="1628"/>
        <n v="1825"/>
        <n v="1899"/>
        <n v="2393"/>
        <n v="2447"/>
        <n v="2574"/>
        <n v="2780"/>
        <n v="1769"/>
        <n v="2618"/>
        <n v="2850"/>
        <n v="2955"/>
        <n v="327"/>
        <n v="407"/>
        <n v="756"/>
        <n v="1126"/>
        <n v="2061"/>
        <n v="2238"/>
        <n v="2439"/>
        <n v="2689"/>
        <n v="2716"/>
        <n v="2744"/>
        <n v="2898"/>
        <n v="2924"/>
        <n v="228"/>
        <n v="278"/>
        <n v="302"/>
        <n v="1001"/>
        <n v="1739"/>
        <n v="378"/>
        <n v="453"/>
        <n v="503"/>
        <n v="553"/>
        <n v="1371"/>
        <n v="1838"/>
        <n v="2035"/>
        <n v="2355"/>
        <n v="2587"/>
        <n v="253"/>
        <n v="352"/>
        <n v="429"/>
        <n v="630"/>
        <n v="800"/>
        <n v="826"/>
        <n v="1076"/>
        <n v="1100"/>
        <n v="1150"/>
        <n v="1217"/>
        <n v="1347"/>
        <n v="1666"/>
        <n v="1711"/>
        <n v="2010"/>
        <n v="324"/>
        <n v="401"/>
        <n v="477"/>
        <n v="526"/>
        <n v="1297"/>
        <n v="1521"/>
        <n v="2233"/>
        <n v="2407"/>
        <n v="2534"/>
        <n v="2561"/>
        <n v="1246"/>
        <n v="1464"/>
        <n v="2103"/>
        <n v="969"/>
        <n v="2658"/>
        <n v="1680"/>
        <n v="1905"/>
        <n v="2051"/>
        <n v="2152"/>
        <n v="2449"/>
        <n v="2499"/>
        <n v="2629"/>
        <n v="2784"/>
        <n v="2809"/>
        <n v="216"/>
        <n v="290"/>
        <n v="367"/>
        <n v="442"/>
        <n v="492"/>
        <n v="593"/>
        <n v="989"/>
        <n v="1265"/>
        <n v="2319"/>
        <n v="1534"/>
        <n v="1826"/>
        <n v="692"/>
        <n v="764"/>
        <n v="814"/>
        <n v="1038"/>
        <n v="1335"/>
        <n v="1555"/>
        <n v="1774"/>
        <n v="1849"/>
        <n v="1948"/>
        <n v="2022"/>
        <n v="2072"/>
        <n v="2171"/>
        <n v="2268"/>
        <n v="2470"/>
        <n v="338"/>
        <n v="1205"/>
        <n v="1873"/>
        <n v="2292"/>
        <n v="387"/>
        <n v="463"/>
        <n v="512"/>
        <n v="1160"/>
        <n v="2193"/>
        <n v="2520"/>
        <n v="309"/>
        <n v="1405"/>
        <n v="1453"/>
        <n v="1748"/>
        <n v="2546"/>
        <n v="2648"/>
        <n v="2934"/>
        <n v="737"/>
        <n v="1107"/>
        <n v="1378"/>
        <n v="283"/>
        <n v="957"/>
        <n v="1624"/>
        <n v="1895"/>
        <n v="1970"/>
        <n v="2041"/>
        <n v="2090"/>
        <n v="2142"/>
        <n v="2595"/>
        <n v="2669"/>
        <n v="208"/>
        <n v="359"/>
        <n v="434"/>
        <n v="534"/>
        <n v="585"/>
        <n v="637"/>
        <n v="711"/>
        <n v="782"/>
        <n v="1257"/>
        <n v="1527"/>
        <n v="1819"/>
        <n v="2016"/>
        <n v="2115"/>
        <n v="2336"/>
        <n v="2464"/>
        <n v="2488"/>
        <n v="2568"/>
        <n v="2695"/>
        <n v="2798"/>
        <n v="857"/>
        <n v="1571"/>
        <n v="229"/>
        <n v="329"/>
        <n v="405"/>
        <n v="657"/>
        <n v="681"/>
        <n v="1274"/>
        <n v="1913"/>
        <n v="1987"/>
        <n v="876"/>
        <n v="1591"/>
        <n v="1862"/>
        <n v="299"/>
        <n v="1149"/>
        <n v="1738"/>
        <n v="1962"/>
        <n v="2082"/>
        <n v="2382"/>
        <n v="727"/>
        <n v="1368"/>
        <n v="2032"/>
        <n v="2660"/>
        <n v="2687"/>
        <n v="947"/>
        <n v="2227"/>
        <n v="2302"/>
        <n v="2479"/>
        <n v="2609"/>
        <n v="1930"/>
        <n v="2004"/>
        <n v="2324"/>
        <n v="648"/>
        <n v="992"/>
        <n v="1679"/>
        <n v="219"/>
        <n v="445"/>
        <n v="545"/>
        <n v="596"/>
        <n v="821"/>
        <n v="868"/>
        <n v="919"/>
        <n v="1117"/>
        <n v="1583"/>
        <n v="1780"/>
        <n v="1854"/>
        <n v="2735"/>
        <n v="287"/>
        <n v="489"/>
        <n v="2497"/>
        <n v="2524"/>
        <n v="186"/>
        <n v="236"/>
        <n v="2019"/>
        <n v="2417"/>
        <n v="2467"/>
        <n v="2597"/>
        <n v="2674"/>
        <n v="2856"/>
        <n v="2882"/>
        <n v="241"/>
        <n v="393"/>
        <n v="940"/>
        <n v="1582"/>
        <n v="317"/>
        <n v="543"/>
        <n v="740"/>
        <n v="1215"/>
        <n v="1677"/>
        <n v="1778"/>
        <n v="1975"/>
        <n v="2074"/>
        <n v="2221"/>
        <n v="2270"/>
        <n v="2295"/>
        <n v="595"/>
        <n v="2422"/>
        <n v="986"/>
        <n v="1157"/>
        <n v="663"/>
        <n v="710"/>
        <n v="810"/>
        <n v="859"/>
        <n v="959"/>
        <n v="1281"/>
        <n v="1600"/>
        <n v="1646"/>
        <n v="1721"/>
        <n v="1937"/>
        <n v="2011"/>
        <n v="179"/>
        <n v="279"/>
        <n v="355"/>
        <n v="556"/>
        <n v="607"/>
        <n v="631"/>
        <n v="1002"/>
        <n v="1148"/>
        <n v="1448"/>
        <n v="778"/>
        <n v="1540"/>
        <n v="1737"/>
        <n v="1811"/>
        <n v="399"/>
        <n v="448"/>
        <n v="1095"/>
        <n v="1342"/>
        <n v="1389"/>
        <n v="669"/>
        <n v="1039"/>
        <n v="1310"/>
        <n v="2657"/>
        <n v="2760"/>
        <n v="2786"/>
        <n v="2812"/>
        <n v="190"/>
        <n v="214"/>
        <n v="888"/>
        <n v="139"/>
        <n v="365"/>
        <n v="2168"/>
        <n v="2396"/>
        <n v="410"/>
        <n v="707"/>
        <n v="734"/>
        <n v="1129"/>
        <n v="635"/>
        <n v="682"/>
        <n v="1181"/>
        <n v="1452"/>
        <n v="1572"/>
        <n v="2187"/>
        <n v="2261"/>
        <n v="581"/>
        <n v="925"/>
        <n v="1343"/>
        <n v="1490"/>
        <n v="1612"/>
        <n v="1687"/>
        <n v="1761"/>
        <n v="2083"/>
        <n v="427"/>
        <n v="478"/>
        <n v="1421"/>
        <n v="1713"/>
        <n v="2206"/>
        <n v="2334"/>
        <n v="2668"/>
        <n v="796"/>
        <n v="1363"/>
        <n v="1511"/>
        <n v="2303"/>
        <n v="1996"/>
        <n v="640"/>
        <n v="1010"/>
        <n v="1574"/>
        <n v="1946"/>
        <n v="2047"/>
        <n v="2704"/>
        <n v="2757"/>
        <n v="2783"/>
        <n v="2216"/>
        <n v="111"/>
        <n v="161"/>
        <n v="185"/>
        <n v="262"/>
        <n v="337"/>
        <n v="437"/>
        <n v="884"/>
        <n v="1622"/>
        <n v="2522"/>
        <n v="540"/>
        <n v="809"/>
        <n v="909"/>
        <n v="1159"/>
        <n v="1430"/>
        <n v="1722"/>
        <n v="1919"/>
        <n v="2165"/>
        <n v="131"/>
        <n v="231"/>
        <n v="508"/>
        <n v="560"/>
        <n v="583"/>
        <n v="831"/>
        <n v="978"/>
        <n v="1176"/>
        <n v="2255"/>
        <n v="196"/>
        <n v="274"/>
        <n v="1040"/>
        <n v="1334"/>
        <n v="1852"/>
        <n v="612"/>
        <n v="833"/>
        <n v="1771"/>
        <n v="2316"/>
        <n v="2366"/>
        <n v="2651"/>
        <n v="2781"/>
        <n v="182"/>
        <n v="611"/>
        <n v="1770"/>
        <n v="1917"/>
        <n v="830"/>
        <n v="1543"/>
        <n v="2111"/>
        <n v="2185"/>
        <n v="2363"/>
        <n v="2493"/>
        <n v="2673"/>
        <n v="127"/>
        <n v="1588"/>
        <n v="76"/>
        <n v="150"/>
        <n v="1221"/>
        <n v="1491"/>
        <n v="2205"/>
        <n v="2333"/>
        <n v="2437"/>
        <n v="447"/>
        <n v="644"/>
        <n v="1189"/>
        <n v="564"/>
        <n v="885"/>
        <n v="1278"/>
        <n v="1402"/>
        <n v="1425"/>
        <n v="1696"/>
        <n v="760"/>
        <n v="1547"/>
        <n v="79"/>
        <n v="255"/>
        <n v="456"/>
        <n v="1322"/>
        <n v="403"/>
        <n v="679"/>
        <n v="1049"/>
        <n v="1638"/>
        <n v="2034"/>
        <n v="226"/>
        <n v="301"/>
        <n v="351"/>
        <n v="148"/>
        <n v="1073"/>
        <n v="1291"/>
        <n v="1809"/>
        <n v="1931"/>
        <n v="2693"/>
        <n v="2772"/>
        <n v="1880"/>
        <n v="2149"/>
        <n v="2277"/>
        <n v="2327"/>
        <n v="42"/>
        <n v="92"/>
        <n v="116"/>
        <n v="268"/>
        <n v="188"/>
        <n v="313"/>
        <n v="363"/>
        <n v="415"/>
        <n v="468"/>
        <n v="639"/>
        <n v="1036"/>
        <n v="1158"/>
        <n v="725"/>
        <n v="1242"/>
        <n v="1366"/>
        <n v="1465"/>
        <n v="1512"/>
        <n v="1735"/>
        <n v="1883"/>
        <n v="479"/>
        <n v="873"/>
        <n v="2031"/>
        <n v="50"/>
        <n v="1023"/>
        <n v="1319"/>
        <n v="1611"/>
        <n v="2104"/>
        <n v="256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7">
  <r>
    <n v="10100"/>
    <n v="30"/>
    <n v="171.7"/>
    <n v="3"/>
    <n v="5151"/>
    <d v="2018-01-06T00:00:00"/>
    <s v="Shipped"/>
    <s v="Vintage Cars"/>
    <n v="170"/>
    <s v="S18_1749"/>
    <x v="0"/>
    <s v="6035558647"/>
    <s v="2304 Long Airport Avenue"/>
    <s v="Nashua"/>
    <s v="62005"/>
    <s v="USA"/>
    <s v="Young"/>
    <s v="Valarie"/>
    <s v="Medium"/>
    <x v="0"/>
  </r>
  <r>
    <n v="10100"/>
    <n v="50"/>
    <n v="67.8"/>
    <n v="2"/>
    <n v="3390"/>
    <d v="2018-01-06T00:00:00"/>
    <s v="Shipped"/>
    <s v="Vintage Cars"/>
    <n v="60"/>
    <s v="S18_2248"/>
    <x v="0"/>
    <s v="6035558647"/>
    <s v="2304 Long Airport Avenue"/>
    <s v="Nashua"/>
    <s v="62005"/>
    <s v="USA"/>
    <s v="Young"/>
    <s v="Valarie"/>
    <s v="Medium"/>
    <x v="1"/>
  </r>
  <r>
    <n v="10100"/>
    <n v="22"/>
    <n v="86.51"/>
    <n v="4"/>
    <n v="1903.22"/>
    <d v="2018-01-06T00:00:00"/>
    <s v="Shipped"/>
    <s v="Vintage Cars"/>
    <n v="92"/>
    <s v="S18_4409"/>
    <x v="0"/>
    <s v="6035558647"/>
    <s v="2304 Long Airport Avenue"/>
    <s v="Nashua"/>
    <s v="62005"/>
    <s v="USA"/>
    <s v="Young"/>
    <s v="Valarie"/>
    <s v="Small"/>
    <x v="2"/>
  </r>
  <r>
    <n v="10100"/>
    <n v="49"/>
    <n v="34.47"/>
    <n v="1"/>
    <n v="1689.03"/>
    <d v="2018-01-06T00:00:00"/>
    <s v="Shipped"/>
    <s v="Vintage Cars"/>
    <n v="41"/>
    <s v="S24_3969"/>
    <x v="0"/>
    <s v="6035558647"/>
    <s v="2304 Long Airport Avenue"/>
    <s v="Nashua"/>
    <s v="62005"/>
    <s v="USA"/>
    <s v="Young"/>
    <s v="Valarie"/>
    <s v="Small"/>
    <x v="3"/>
  </r>
  <r>
    <n v="10101"/>
    <n v="25"/>
    <n v="151.28"/>
    <n v="4"/>
    <n v="3782"/>
    <d v="2018-01-09T00:00:00"/>
    <s v="Shipped"/>
    <s v="Vintage Cars"/>
    <n v="127"/>
    <s v="S18_2325"/>
    <x v="1"/>
    <s v="+49 69 66 90 2555"/>
    <s v="Lyonerstr. 34"/>
    <s v="Frankfurt"/>
    <s v="60528"/>
    <s v="Germany"/>
    <s v="Keitel"/>
    <s v="Roland"/>
    <s v="Medium"/>
    <x v="4"/>
  </r>
  <r>
    <n v="10101"/>
    <n v="26"/>
    <n v="145.13"/>
    <n v="1"/>
    <n v="3773.38"/>
    <d v="2018-01-09T00:00:00"/>
    <s v="Shipped"/>
    <s v="Vintage Cars"/>
    <n v="168"/>
    <s v="S18_2795"/>
    <x v="1"/>
    <s v="+49 69 66 90 2555"/>
    <s v="Lyonerstr. 34"/>
    <s v="Frankfurt"/>
    <s v="60528"/>
    <s v="Germany"/>
    <s v="Keitel"/>
    <s v="Roland"/>
    <s v="Medium"/>
    <x v="5"/>
  </r>
  <r>
    <n v="10101"/>
    <n v="45"/>
    <n v="31.2"/>
    <n v="3"/>
    <n v="1404"/>
    <d v="2018-01-09T00:00:00"/>
    <s v="Shipped"/>
    <s v="Vintage Cars"/>
    <n v="33"/>
    <s v="S24_1937"/>
    <x v="1"/>
    <s v="+49 69 66 90 2555"/>
    <s v="Lyonerstr. 34"/>
    <s v="Frankfurt"/>
    <s v="60528"/>
    <s v="Germany"/>
    <s v="Keitel"/>
    <s v="Roland"/>
    <s v="Small"/>
    <x v="6"/>
  </r>
  <r>
    <n v="10101"/>
    <n v="46"/>
    <n v="53.76"/>
    <n v="2"/>
    <n v="2472.96"/>
    <d v="2018-01-09T00:00:00"/>
    <s v="Shipped"/>
    <s v="Vintage Cars"/>
    <n v="44"/>
    <s v="S24_2022"/>
    <x v="1"/>
    <s v="+49 69 66 90 2555"/>
    <s v="Lyonerstr. 34"/>
    <s v="Frankfurt"/>
    <s v="60528"/>
    <s v="Germany"/>
    <s v="Keitel"/>
    <s v="Roland"/>
    <s v="Small"/>
    <x v="7"/>
  </r>
  <r>
    <n v="10102"/>
    <n v="39"/>
    <n v="123.29"/>
    <n v="2"/>
    <n v="4808.3100000000004"/>
    <d v="2018-01-10T00:00:00"/>
    <s v="Shipped"/>
    <s v="Vintage Cars"/>
    <n v="102"/>
    <s v="S18_1342"/>
    <x v="2"/>
    <s v="2125551500"/>
    <s v="2678 Kingston Rd."/>
    <s v="NYC"/>
    <s v="10022"/>
    <s v="USA"/>
    <s v="Frick"/>
    <s v="Michael"/>
    <s v="Medium"/>
    <x v="8"/>
  </r>
  <r>
    <n v="10102"/>
    <n v="41"/>
    <n v="50.14"/>
    <n v="1"/>
    <n v="2055.7399999999998"/>
    <d v="2018-01-10T00:00:00"/>
    <s v="Shipped"/>
    <s v="Vintage Cars"/>
    <n v="53"/>
    <s v="S18_1367"/>
    <x v="2"/>
    <s v="2125551500"/>
    <s v="2678 Kingston Rd."/>
    <s v="NYC"/>
    <s v="10022"/>
    <s v="USA"/>
    <s v="Frick"/>
    <s v="Michael"/>
    <s v="Small"/>
    <x v="9"/>
  </r>
  <r>
    <n v="10103"/>
    <n v="26"/>
    <n v="207.87"/>
    <n v="11"/>
    <n v="5404.62"/>
    <d v="2018-01-29T00:00:00"/>
    <s v="Shipped"/>
    <s v="Classic Cars"/>
    <n v="214"/>
    <s v="S10_1949"/>
    <x v="3"/>
    <s v="07-98 9555"/>
    <s v="Erling Skakkes gate 78"/>
    <s v="Stavern"/>
    <s v="4110"/>
    <s v="Norway"/>
    <s v="Bergulfsen"/>
    <s v="Jonas"/>
    <s v="Medium"/>
    <x v="10"/>
  </r>
  <r>
    <n v="10103"/>
    <n v="42"/>
    <n v="128.53"/>
    <n v="4"/>
    <n v="5398.26"/>
    <d v="2018-01-29T00:00:00"/>
    <s v="Shipped"/>
    <s v="Classic Cars"/>
    <n v="147"/>
    <s v="S10_4962"/>
    <x v="3"/>
    <s v="07-98 9555"/>
    <s v="Erling Skakkes gate 78"/>
    <s v="Stavern"/>
    <s v="4110"/>
    <s v="Norway"/>
    <s v="Bergulfsen"/>
    <s v="Jonas"/>
    <s v="Medium"/>
    <x v="11"/>
  </r>
  <r>
    <n v="10103"/>
    <n v="27"/>
    <n v="125.74"/>
    <n v="8"/>
    <n v="3394.98"/>
    <d v="2018-01-29T00:00:00"/>
    <s v="Shipped"/>
    <s v="Trucks and Buses"/>
    <n v="136"/>
    <s v="S12_1666"/>
    <x v="3"/>
    <s v="07-98 9555"/>
    <s v="Erling Skakkes gate 78"/>
    <s v="Stavern"/>
    <s v="4110"/>
    <s v="Norway"/>
    <s v="Bergulfsen"/>
    <s v="Jonas"/>
    <s v="Medium"/>
    <x v="12"/>
  </r>
  <r>
    <n v="10103"/>
    <n v="35"/>
    <n v="112"/>
    <n v="10"/>
    <n v="3920"/>
    <d v="2018-01-29T00:00:00"/>
    <s v="Shipped"/>
    <s v="Trucks and Buses"/>
    <n v="116"/>
    <s v="S18_1097"/>
    <x v="3"/>
    <s v="07-98 9555"/>
    <s v="Erling Skakkes gate 78"/>
    <s v="Stavern"/>
    <s v="4110"/>
    <s v="Norway"/>
    <s v="Bergulfsen"/>
    <s v="Jonas"/>
    <s v="Medium"/>
    <x v="13"/>
  </r>
  <r>
    <n v="10103"/>
    <n v="22"/>
    <n v="54.09"/>
    <n v="2"/>
    <n v="1189.98"/>
    <d v="2018-01-29T00:00:00"/>
    <s v="Shipped"/>
    <s v="Trucks and Buses"/>
    <n v="60"/>
    <s v="S18_2432"/>
    <x v="3"/>
    <s v="07-98 9555"/>
    <s v="Erling Skakkes gate 78"/>
    <s v="Stavern"/>
    <s v="4110"/>
    <s v="Norway"/>
    <s v="Bergulfsen"/>
    <s v="Jonas"/>
    <s v="Small"/>
    <x v="14"/>
  </r>
  <r>
    <n v="10103"/>
    <n v="27"/>
    <n v="83.07"/>
    <n v="12"/>
    <n v="2242.89"/>
    <d v="2018-01-29T00:00:00"/>
    <s v="Shipped"/>
    <s v="Vintage Cars"/>
    <n v="101"/>
    <s v="S18_2949"/>
    <x v="3"/>
    <s v="07-98 9555"/>
    <s v="Erling Skakkes gate 78"/>
    <s v="Stavern"/>
    <s v="4110"/>
    <s v="Norway"/>
    <s v="Bergulfsen"/>
    <s v="Jonas"/>
    <s v="Small"/>
    <x v="15"/>
  </r>
  <r>
    <n v="10103"/>
    <n v="35"/>
    <n v="57.46"/>
    <n v="14"/>
    <n v="2011.1"/>
    <d v="2018-01-29T00:00:00"/>
    <s v="Shipped"/>
    <s v="Vintage Cars"/>
    <n v="62"/>
    <s v="S18_2957"/>
    <x v="3"/>
    <s v="07-98 9555"/>
    <s v="Erling Skakkes gate 78"/>
    <s v="Stavern"/>
    <s v="4110"/>
    <s v="Norway"/>
    <s v="Bergulfsen"/>
    <s v="Jonas"/>
    <s v="Small"/>
    <x v="16"/>
  </r>
  <r>
    <n v="10103"/>
    <n v="25"/>
    <n v="101.58"/>
    <n v="13"/>
    <n v="2539.5"/>
    <d v="2018-01-29T00:00:00"/>
    <s v="Shipped"/>
    <s v="Vintage Cars"/>
    <n v="104"/>
    <s v="S18_3136"/>
    <x v="3"/>
    <s v="07-98 9555"/>
    <s v="Erling Skakkes gate 78"/>
    <s v="Stavern"/>
    <s v="4110"/>
    <s v="Norway"/>
    <s v="Bergulfsen"/>
    <s v="Jonas"/>
    <s v="Small"/>
    <x v="17"/>
  </r>
  <r>
    <n v="10103"/>
    <n v="46"/>
    <n v="104.17"/>
    <n v="16"/>
    <n v="4791.82"/>
    <d v="2018-01-29T00:00:00"/>
    <s v="Shipped"/>
    <s v="Vintage Cars"/>
    <n v="99"/>
    <s v="S18_3320"/>
    <x v="3"/>
    <s v="07-98 9555"/>
    <s v="Erling Skakkes gate 78"/>
    <s v="Stavern"/>
    <s v="4110"/>
    <s v="Norway"/>
    <s v="Bergulfsen"/>
    <s v="Jonas"/>
    <s v="Medium"/>
    <x v="18"/>
  </r>
  <r>
    <n v="10103"/>
    <n v="36"/>
    <n v="117.45"/>
    <n v="5"/>
    <n v="4228.2"/>
    <d v="2018-01-29T00:00:00"/>
    <s v="Shipped"/>
    <s v="Trucks and Buses"/>
    <n v="121"/>
    <s v="S18_4600"/>
    <x v="3"/>
    <s v="07-98 9555"/>
    <s v="Erling Skakkes gate 78"/>
    <s v="Stavern"/>
    <s v="4110"/>
    <s v="Norway"/>
    <s v="Bergulfsen"/>
    <s v="Jonas"/>
    <s v="Medium"/>
    <x v="19"/>
  </r>
  <r>
    <n v="10103"/>
    <n v="41"/>
    <n v="47.29"/>
    <n v="9"/>
    <n v="1938.89"/>
    <d v="2018-01-29T00:00:00"/>
    <s v="Shipped"/>
    <s v="Vintage Cars"/>
    <n v="50"/>
    <s v="S18_4668"/>
    <x v="3"/>
    <s v="07-98 9555"/>
    <s v="Erling Skakkes gate 78"/>
    <s v="Stavern"/>
    <s v="4110"/>
    <s v="Norway"/>
    <s v="Bergulfsen"/>
    <s v="Jonas"/>
    <s v="Small"/>
    <x v="20"/>
  </r>
  <r>
    <n v="10103"/>
    <n v="36"/>
    <n v="102.23"/>
    <n v="1"/>
    <n v="3680.28"/>
    <d v="2018-01-29T00:00:00"/>
    <s v="Shipped"/>
    <s v="Trucks and Buses"/>
    <n v="127"/>
    <s v="S24_2300"/>
    <x v="3"/>
    <s v="07-98 9555"/>
    <s v="Erling Skakkes gate 78"/>
    <s v="Stavern"/>
    <s v="4110"/>
    <s v="Norway"/>
    <s v="Bergulfsen"/>
    <s v="Jonas"/>
    <s v="Medium"/>
    <x v="21"/>
  </r>
  <r>
    <n v="10103"/>
    <n v="25"/>
    <n v="114.92"/>
    <n v="15"/>
    <n v="2873"/>
    <d v="2018-01-29T00:00:00"/>
    <s v="Shipped"/>
    <s v="Vintage Cars"/>
    <n v="97"/>
    <s v="S24_4258"/>
    <x v="3"/>
    <s v="07-98 9555"/>
    <s v="Erling Skakkes gate 78"/>
    <s v="Stavern"/>
    <s v="4110"/>
    <s v="Norway"/>
    <s v="Bergulfsen"/>
    <s v="Jonas"/>
    <s v="Small"/>
    <x v="22"/>
  </r>
  <r>
    <n v="10103"/>
    <n v="31"/>
    <n v="104.01"/>
    <n v="3"/>
    <n v="3224.31"/>
    <d v="2018-01-29T00:00:00"/>
    <s v="Shipped"/>
    <s v="Trucks and Buses"/>
    <n v="96"/>
    <s v="S32_1268"/>
    <x v="3"/>
    <s v="07-98 9555"/>
    <s v="Erling Skakkes gate 78"/>
    <s v="Stavern"/>
    <s v="4110"/>
    <s v="Norway"/>
    <s v="Bergulfsen"/>
    <s v="Jonas"/>
    <s v="Medium"/>
    <x v="23"/>
  </r>
  <r>
    <n v="10103"/>
    <n v="45"/>
    <n v="75.63"/>
    <n v="7"/>
    <n v="3403.35"/>
    <d v="2018-01-29T00:00:00"/>
    <s v="Shipped"/>
    <s v="Trucks and Buses"/>
    <n v="64"/>
    <s v="S32_3522"/>
    <x v="3"/>
    <s v="07-98 9555"/>
    <s v="Erling Skakkes gate 78"/>
    <s v="Stavern"/>
    <s v="4110"/>
    <s v="Norway"/>
    <s v="Bergulfsen"/>
    <s v="Jonas"/>
    <s v="Medium"/>
    <x v="24"/>
  </r>
  <r>
    <n v="10103"/>
    <n v="42"/>
    <n v="106.21"/>
    <n v="6"/>
    <n v="4460.82"/>
    <d v="2018-01-29T00:00:00"/>
    <s v="Shipped"/>
    <s v="Classic Cars"/>
    <n v="101"/>
    <s v="S700_2824"/>
    <x v="3"/>
    <s v="07-98 9555"/>
    <s v="Erling Skakkes gate 78"/>
    <s v="Stavern"/>
    <s v="4110"/>
    <s v="Norway"/>
    <s v="Bergulfsen"/>
    <s v="Jonas"/>
    <s v="Medium"/>
    <x v="25"/>
  </r>
  <r>
    <n v="10104"/>
    <n v="34"/>
    <n v="175.25"/>
    <n v="1"/>
    <n v="5958.5"/>
    <d v="2018-01-31T00:00:00"/>
    <s v="Shipped"/>
    <s v="Classic Cars"/>
    <n v="151"/>
    <s v="S12_3148"/>
    <x v="4"/>
    <s v="(91) 555 94 44"/>
    <s v="C/ Moralzarzal, 86"/>
    <s v="Madrid"/>
    <s v="28034"/>
    <s v="Spain"/>
    <s v="Freyre"/>
    <s v="Diego"/>
    <s v="Medium"/>
    <x v="26"/>
  </r>
  <r>
    <n v="10104"/>
    <n v="41"/>
    <n v="112.58"/>
    <n v="9"/>
    <n v="4615.78"/>
    <d v="2018-01-31T00:00:00"/>
    <s v="Shipped"/>
    <s v="Trucks and Buses"/>
    <n v="118"/>
    <s v="S12_4473"/>
    <x v="4"/>
    <s v="(91) 555 94 44"/>
    <s v="C/ Moralzarzal, 86"/>
    <s v="Madrid"/>
    <s v="28034"/>
    <s v="Spain"/>
    <s v="Freyre"/>
    <s v="Diego"/>
    <s v="Medium"/>
    <x v="27"/>
  </r>
  <r>
    <n v="10104"/>
    <n v="24"/>
    <n v="144.08000000000001"/>
    <n v="8"/>
    <n v="3457.92"/>
    <d v="2018-01-31T00:00:00"/>
    <s v="Shipped"/>
    <s v="Classic Cars"/>
    <n v="163"/>
    <s v="S18_2238"/>
    <x v="4"/>
    <s v="(91) 555 94 44"/>
    <s v="C/ Moralzarzal, 86"/>
    <s v="Madrid"/>
    <s v="28034"/>
    <s v="Spain"/>
    <s v="Freyre"/>
    <s v="Diego"/>
    <s v="Medium"/>
    <x v="28"/>
  </r>
  <r>
    <n v="10104"/>
    <n v="29"/>
    <n v="130.09"/>
    <n v="12"/>
    <n v="3772.61"/>
    <d v="2018-01-31T00:00:00"/>
    <s v="Shipped"/>
    <s v="Trucks and Buses"/>
    <n v="122"/>
    <s v="S18_2319"/>
    <x v="4"/>
    <s v="(91) 555 94 44"/>
    <s v="C/ Moralzarzal, 86"/>
    <s v="Madrid"/>
    <s v="28034"/>
    <s v="Spain"/>
    <s v="Freyre"/>
    <s v="Diego"/>
    <s v="Medium"/>
    <x v="29"/>
  </r>
  <r>
    <n v="10104"/>
    <n v="23"/>
    <n v="198.13"/>
    <n v="13"/>
    <n v="4556.99"/>
    <d v="2018-01-31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Medium"/>
    <x v="30"/>
  </r>
  <r>
    <n v="10104"/>
    <n v="38"/>
    <n v="140.75"/>
    <n v="3"/>
    <n v="5348.5"/>
    <d v="2018-01-31T00:00:00"/>
    <s v="Shipped"/>
    <s v="Classic Cars"/>
    <n v="143"/>
    <s v="S18_4027"/>
    <x v="4"/>
    <s v="(91) 555 94 44"/>
    <s v="C/ Moralzarzal, 86"/>
    <s v="Madrid"/>
    <s v="28034"/>
    <s v="Spain"/>
    <s v="Freyre"/>
    <s v="Diego"/>
    <s v="Medium"/>
    <x v="31"/>
  </r>
  <r>
    <n v="10104"/>
    <n v="35"/>
    <n v="55.49"/>
    <n v="6"/>
    <n v="1942.15"/>
    <d v="2018-01-31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32"/>
  </r>
  <r>
    <n v="10104"/>
    <n v="44"/>
    <n v="39.6"/>
    <n v="10"/>
    <n v="1742.4"/>
    <d v="2018-01-31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Small"/>
    <x v="33"/>
  </r>
  <r>
    <n v="10104"/>
    <n v="26"/>
    <n v="112.37"/>
    <n v="5"/>
    <n v="2921.62"/>
    <d v="2018-01-31T00:00:00"/>
    <s v="Shipped"/>
    <s v="Classic Cars"/>
    <n v="118"/>
    <s v="S24_4048"/>
    <x v="4"/>
    <s v="(91) 555 94 44"/>
    <s v="C/ Moralzarzal, 86"/>
    <s v="Madrid"/>
    <s v="28034"/>
    <s v="Spain"/>
    <s v="Freyre"/>
    <s v="Diego"/>
    <s v="Small"/>
    <x v="34"/>
  </r>
  <r>
    <n v="10104"/>
    <n v="35"/>
    <n v="47.62"/>
    <n v="11"/>
    <n v="1666.7"/>
    <d v="2018-01-31T00:00:00"/>
    <s v="Shipped"/>
    <s v="Trucks and Buses"/>
    <n v="54"/>
    <s v="S32_2509"/>
    <x v="4"/>
    <s v="(91) 555 94 44"/>
    <s v="C/ Moralzarzal, 86"/>
    <s v="Madrid"/>
    <s v="28034"/>
    <s v="Spain"/>
    <s v="Freyre"/>
    <s v="Diego"/>
    <s v="Small"/>
    <x v="35"/>
  </r>
  <r>
    <n v="10104"/>
    <n v="49"/>
    <n v="65.87"/>
    <n v="4"/>
    <n v="3227.63"/>
    <d v="2018-01-31T00:00:00"/>
    <s v="Shipped"/>
    <s v="Trains"/>
    <n v="62"/>
    <s v="S32_3207"/>
    <x v="4"/>
    <s v="(91) 555 94 44"/>
    <s v="C/ Moralzarzal, 86"/>
    <s v="Madrid"/>
    <s v="28034"/>
    <s v="Spain"/>
    <s v="Freyre"/>
    <s v="Diego"/>
    <s v="Medium"/>
    <x v="36"/>
  </r>
  <r>
    <n v="10104"/>
    <n v="33"/>
    <n v="112.28"/>
    <n v="7"/>
    <n v="3705.24"/>
    <d v="2018-01-31T00:00:00"/>
    <s v="Shipped"/>
    <s v="Trucks and Buses"/>
    <n v="115"/>
    <s v="S50_1392"/>
    <x v="4"/>
    <s v="(91) 555 94 44"/>
    <s v="C/ Moralzarzal, 86"/>
    <s v="Madrid"/>
    <s v="28034"/>
    <s v="Spain"/>
    <s v="Freyre"/>
    <s v="Diego"/>
    <s v="Medium"/>
    <x v="37"/>
  </r>
  <r>
    <n v="10104"/>
    <n v="32"/>
    <n v="53.31"/>
    <n v="2"/>
    <n v="1705.92"/>
    <d v="2018-01-31T00:00:00"/>
    <s v="Shipped"/>
    <s v="Trains"/>
    <n v="58"/>
    <s v="S50_1514"/>
    <x v="4"/>
    <s v="(91) 555 94 44"/>
    <s v="C/ Moralzarzal, 86"/>
    <s v="Madrid"/>
    <s v="28034"/>
    <s v="Spain"/>
    <s v="Freyre"/>
    <s v="Diego"/>
    <s v="Small"/>
    <x v="38"/>
  </r>
  <r>
    <n v="10105"/>
    <n v="50"/>
    <n v="144.16"/>
    <n v="2"/>
    <n v="7208"/>
    <d v="2018-02-11T00:00:00"/>
    <s v="Shipped"/>
    <s v="Classic Cars"/>
    <n v="136"/>
    <s v="S10_4757"/>
    <x v="5"/>
    <s v="31 12 3555"/>
    <s v="Vinb'ltet 34"/>
    <s v="Kobenhavn"/>
    <s v="1734"/>
    <s v="Denmark"/>
    <s v="Petersen"/>
    <s v="Jytte"/>
    <s v="Large"/>
    <x v="39"/>
  </r>
  <r>
    <n v="10105"/>
    <n v="41"/>
    <n v="211.96"/>
    <n v="15"/>
    <n v="8690.36"/>
    <d v="2018-02-11T00:00:00"/>
    <s v="Shipped"/>
    <s v="Classic Cars"/>
    <n v="207"/>
    <s v="S12_1108"/>
    <x v="5"/>
    <s v="31 12 3555"/>
    <s v="Vinb'ltet 34"/>
    <s v="Kobenhavn"/>
    <s v="1734"/>
    <s v="Denmark"/>
    <s v="Petersen"/>
    <s v="Jytte"/>
    <s v="Large"/>
    <x v="40"/>
  </r>
  <r>
    <n v="10105"/>
    <n v="29"/>
    <n v="157.44999999999999"/>
    <n v="14"/>
    <n v="4566.05"/>
    <d v="2018-02-11T00:00:00"/>
    <s v="Shipped"/>
    <s v="Classic Cars"/>
    <n v="173"/>
    <s v="S12_3891"/>
    <x v="5"/>
    <s v="31 12 3555"/>
    <s v="Vinb'ltet 34"/>
    <s v="Kobenhavn"/>
    <s v="1734"/>
    <s v="Denmark"/>
    <s v="Petersen"/>
    <s v="Jytte"/>
    <s v="Medium"/>
    <x v="41"/>
  </r>
  <r>
    <n v="10105"/>
    <n v="22"/>
    <n v="139.32"/>
    <n v="11"/>
    <n v="3065.04"/>
    <d v="2018-02-11T00:00:00"/>
    <s v="Shipped"/>
    <s v="Vintage Cars"/>
    <n v="136"/>
    <s v="S18_3140"/>
    <x v="5"/>
    <s v="31 12 3555"/>
    <s v="Vinb'ltet 34"/>
    <s v="Kobenhavn"/>
    <s v="1734"/>
    <s v="Denmark"/>
    <s v="Petersen"/>
    <s v="Jytte"/>
    <s v="Medium"/>
    <x v="42"/>
  </r>
  <r>
    <n v="10105"/>
    <n v="38"/>
    <n v="113.95"/>
    <n v="13"/>
    <n v="4330.1000000000004"/>
    <d v="2018-02-11T00:00:00"/>
    <s v="Shipped"/>
    <s v="Trains"/>
    <n v="100"/>
    <s v="S18_3259"/>
    <x v="5"/>
    <s v="31 12 3555"/>
    <s v="Vinb'ltet 34"/>
    <s v="Kobenhavn"/>
    <s v="1734"/>
    <s v="Denmark"/>
    <s v="Petersen"/>
    <s v="Jytte"/>
    <s v="Medium"/>
    <x v="43"/>
  </r>
  <r>
    <n v="10105"/>
    <n v="41"/>
    <n v="82.5"/>
    <n v="10"/>
    <n v="3382.5"/>
    <d v="2018-02-11T00:00:00"/>
    <s v="Shipped"/>
    <s v="Vintage Cars"/>
    <n v="87"/>
    <s v="S18_4522"/>
    <x v="5"/>
    <s v="31 12 3555"/>
    <s v="Vinb'ltet 34"/>
    <s v="Kobenhavn"/>
    <s v="1734"/>
    <s v="Denmark"/>
    <s v="Petersen"/>
    <s v="Jytte"/>
    <s v="Medium"/>
    <x v="44"/>
  </r>
  <r>
    <n v="10105"/>
    <n v="43"/>
    <n v="147.47"/>
    <n v="9"/>
    <n v="6341.21"/>
    <d v="2018-02-11T00:00:00"/>
    <s v="Shipped"/>
    <s v="Ships"/>
    <n v="122"/>
    <s v="S24_2011"/>
    <x v="5"/>
    <s v="31 12 3555"/>
    <s v="Vinb'ltet 34"/>
    <s v="Kobenhavn"/>
    <s v="1734"/>
    <s v="Denmark"/>
    <s v="Petersen"/>
    <s v="Jytte"/>
    <s v="Medium"/>
    <x v="45"/>
  </r>
  <r>
    <n v="10105"/>
    <n v="44"/>
    <n v="72.58"/>
    <n v="4"/>
    <n v="3193.52"/>
    <d v="2018-02-11T00:00:00"/>
    <s v="Shipped"/>
    <s v="Vintage Cars"/>
    <n v="88"/>
    <s v="S24_3151"/>
    <x v="5"/>
    <s v="31 12 3555"/>
    <s v="Vinb'ltet 34"/>
    <s v="Kobenhavn"/>
    <s v="1734"/>
    <s v="Denmark"/>
    <s v="Petersen"/>
    <s v="Jytte"/>
    <s v="Medium"/>
    <x v="46"/>
  </r>
  <r>
    <n v="10105"/>
    <n v="50"/>
    <n v="79.67"/>
    <n v="1"/>
    <n v="3983.5"/>
    <d v="2018-02-11T00:00:00"/>
    <s v="Shipped"/>
    <s v="Vintage Cars"/>
    <n v="83"/>
    <s v="S24_3816"/>
    <x v="5"/>
    <s v="31 12 3555"/>
    <s v="Vinb'ltet 34"/>
    <s v="Kobenhavn"/>
    <s v="1734"/>
    <s v="Denmark"/>
    <s v="Petersen"/>
    <s v="Jytte"/>
    <s v="Medium"/>
    <x v="47"/>
  </r>
  <r>
    <n v="10105"/>
    <n v="41"/>
    <n v="70.67"/>
    <n v="5"/>
    <n v="2897.47"/>
    <d v="2018-02-11T00:00:00"/>
    <s v="Shipped"/>
    <s v="Ships"/>
    <n v="66"/>
    <s v="S700_1138"/>
    <x v="5"/>
    <s v="31 12 3555"/>
    <s v="Vinb'ltet 34"/>
    <s v="Kobenhavn"/>
    <s v="1734"/>
    <s v="Denmark"/>
    <s v="Petersen"/>
    <s v="Jytte"/>
    <s v="Small"/>
    <x v="48"/>
  </r>
  <r>
    <n v="10105"/>
    <n v="29"/>
    <n v="70.150000000000006"/>
    <n v="12"/>
    <n v="2034.35"/>
    <d v="2018-02-11T00:00:00"/>
    <s v="Shipped"/>
    <s v="Ships"/>
    <n v="86"/>
    <s v="S700_1938"/>
    <x v="5"/>
    <s v="31 12 3555"/>
    <s v="Vinb'ltet 34"/>
    <s v="Kobenhavn"/>
    <s v="1734"/>
    <s v="Denmark"/>
    <s v="Petersen"/>
    <s v="Jytte"/>
    <s v="Small"/>
    <x v="49"/>
  </r>
  <r>
    <n v="10105"/>
    <n v="31"/>
    <n v="65.77"/>
    <n v="3"/>
    <n v="2038.87"/>
    <d v="2018-02-11T00:00:00"/>
    <s v="Shipped"/>
    <s v="Ships"/>
    <n v="72"/>
    <s v="S700_2610"/>
    <x v="5"/>
    <s v="31 12 3555"/>
    <s v="Vinb'ltet 34"/>
    <s v="Kobenhavn"/>
    <s v="1734"/>
    <s v="Denmark"/>
    <s v="Petersen"/>
    <s v="Jytte"/>
    <s v="Small"/>
    <x v="50"/>
  </r>
  <r>
    <n v="10105"/>
    <n v="39"/>
    <n v="81.14"/>
    <n v="6"/>
    <n v="3164.46"/>
    <d v="2018-02-11T00:00:00"/>
    <s v="Shipped"/>
    <s v="Ships"/>
    <n v="100"/>
    <s v="S700_3505"/>
    <x v="5"/>
    <s v="31 12 3555"/>
    <s v="Vinb'ltet 34"/>
    <s v="Kobenhavn"/>
    <s v="1734"/>
    <s v="Denmark"/>
    <s v="Petersen"/>
    <s v="Jytte"/>
    <s v="Medium"/>
    <x v="51"/>
  </r>
  <r>
    <n v="10105"/>
    <n v="22"/>
    <n v="116.19"/>
    <n v="7"/>
    <n v="2556.1799999999998"/>
    <d v="2018-02-11T00:00:00"/>
    <s v="Shipped"/>
    <s v="Ships"/>
    <n v="99"/>
    <s v="S700_3962"/>
    <x v="5"/>
    <s v="31 12 3555"/>
    <s v="Vinb'ltet 34"/>
    <s v="Kobenhavn"/>
    <s v="1734"/>
    <s v="Denmark"/>
    <s v="Petersen"/>
    <s v="Jytte"/>
    <s v="Small"/>
    <x v="52"/>
  </r>
  <r>
    <n v="10105"/>
    <n v="25"/>
    <n v="56.78"/>
    <n v="8"/>
    <n v="1419.5"/>
    <d v="2018-02-11T00:00:00"/>
    <s v="Shipped"/>
    <s v="Ships"/>
    <n v="54"/>
    <s v="S72_3212"/>
    <x v="5"/>
    <s v="31 12 3555"/>
    <s v="Vinb'ltet 34"/>
    <s v="Kobenhavn"/>
    <s v="1734"/>
    <s v="Denmark"/>
    <s v="Petersen"/>
    <s v="Jytte"/>
    <s v="Small"/>
    <x v="53"/>
  </r>
  <r>
    <n v="10106"/>
    <n v="36"/>
    <n v="146.65"/>
    <n v="12"/>
    <n v="5279.4"/>
    <d v="2018-02-17T00:00:00"/>
    <s v="Shipped"/>
    <s v="Planes"/>
    <n v="157"/>
    <s v="S18_1662"/>
    <x v="6"/>
    <s v="035-640555"/>
    <s v="Via Ludovico il Moro 22"/>
    <s v="Bergamo"/>
    <s v="24100"/>
    <s v="Italy"/>
    <s v="Rovelli"/>
    <s v="Giovanni"/>
    <s v="Medium"/>
    <x v="54"/>
  </r>
  <r>
    <n v="10106"/>
    <n v="34"/>
    <n v="90.39"/>
    <n v="2"/>
    <n v="3073.26"/>
    <d v="2018-02-17T00:00:00"/>
    <s v="Shipped"/>
    <s v="Planes"/>
    <n v="84"/>
    <s v="S18_2581"/>
    <x v="6"/>
    <s v="035-640555"/>
    <s v="Via Ludovico il Moro 22"/>
    <s v="Bergamo"/>
    <s v="24100"/>
    <s v="Italy"/>
    <s v="Rovelli"/>
    <s v="Giovanni"/>
    <s v="Medium"/>
    <x v="55"/>
  </r>
  <r>
    <n v="10106"/>
    <n v="41"/>
    <n v="83.44"/>
    <n v="18"/>
    <n v="3421.04"/>
    <d v="2018-02-17T00:00:00"/>
    <s v="Shipped"/>
    <s v="Ships"/>
    <n v="86"/>
    <s v="S18_3029"/>
    <x v="6"/>
    <s v="035-640555"/>
    <s v="Via Ludovico il Moro 22"/>
    <s v="Bergamo"/>
    <s v="24100"/>
    <s v="Italy"/>
    <s v="Rovelli"/>
    <s v="Giovanni"/>
    <s v="Medium"/>
    <x v="56"/>
  </r>
  <r>
    <n v="10106"/>
    <n v="41"/>
    <n v="116.46"/>
    <n v="17"/>
    <n v="4774.8599999999997"/>
    <d v="2018-02-17T00:00:00"/>
    <s v="Shipped"/>
    <s v="Vintage Cars"/>
    <n v="105"/>
    <s v="S18_3856"/>
    <x v="6"/>
    <s v="035-640555"/>
    <s v="Via Ludovico il Moro 22"/>
    <s v="Bergamo"/>
    <s v="24100"/>
    <s v="Italy"/>
    <s v="Rovelli"/>
    <s v="Giovanni"/>
    <s v="Medium"/>
    <x v="57"/>
  </r>
  <r>
    <n v="10106"/>
    <n v="28"/>
    <n v="88.63"/>
    <n v="4"/>
    <n v="2481.64"/>
    <d v="2018-02-17T00:00:00"/>
    <s v="Shipped"/>
    <s v="Planes"/>
    <n v="109"/>
    <s v="S24_1785"/>
    <x v="6"/>
    <s v="035-640555"/>
    <s v="Via Ludovico il Moro 22"/>
    <s v="Bergamo"/>
    <s v="24100"/>
    <s v="Italy"/>
    <s v="Rovelli"/>
    <s v="Giovanni"/>
    <s v="Small"/>
    <x v="58"/>
  </r>
  <r>
    <n v="10106"/>
    <n v="49"/>
    <n v="74.680000000000007"/>
    <n v="13"/>
    <n v="3659.32"/>
    <d v="2018-02-17T00:00:00"/>
    <s v="Shipped"/>
    <s v="Planes"/>
    <n v="68"/>
    <s v="S24_2841"/>
    <x v="6"/>
    <s v="035-640555"/>
    <s v="Via Ludovico il Moro 22"/>
    <s v="Bergamo"/>
    <s v="24100"/>
    <s v="Italy"/>
    <s v="Rovelli"/>
    <s v="Giovanni"/>
    <s v="Medium"/>
    <x v="59"/>
  </r>
  <r>
    <n v="10106"/>
    <n v="31"/>
    <n v="52.6"/>
    <n v="14"/>
    <n v="1630.6"/>
    <d v="2018-02-17T00:00:00"/>
    <s v="Shipped"/>
    <s v="Vintage Cars"/>
    <n v="65"/>
    <s v="S24_3420"/>
    <x v="6"/>
    <s v="035-640555"/>
    <s v="Via Ludovico il Moro 22"/>
    <s v="Bergamo"/>
    <s v="24100"/>
    <s v="Italy"/>
    <s v="Rovelli"/>
    <s v="Giovanni"/>
    <s v="Small"/>
    <x v="60"/>
  </r>
  <r>
    <n v="10106"/>
    <n v="50"/>
    <n v="64.83"/>
    <n v="11"/>
    <n v="3241.5"/>
    <d v="2018-02-17T00:00:00"/>
    <s v="Shipped"/>
    <s v="Planes"/>
    <n v="68"/>
    <s v="S24_3949"/>
    <x v="6"/>
    <s v="035-640555"/>
    <s v="Via Ludovico il Moro 22"/>
    <s v="Bergamo"/>
    <s v="24100"/>
    <s v="Italy"/>
    <s v="Rovelli"/>
    <s v="Giovanni"/>
    <s v="Medium"/>
    <x v="61"/>
  </r>
  <r>
    <n v="10106"/>
    <n v="26"/>
    <n v="63.76"/>
    <n v="3"/>
    <n v="1657.76"/>
    <d v="2018-02-17T00:00:00"/>
    <s v="Shipped"/>
    <s v="Planes"/>
    <n v="72"/>
    <s v="S24_4278"/>
    <x v="6"/>
    <s v="035-640555"/>
    <s v="Via Ludovico il Moro 22"/>
    <s v="Bergamo"/>
    <s v="24100"/>
    <s v="Italy"/>
    <s v="Rovelli"/>
    <s v="Giovanni"/>
    <s v="Small"/>
    <x v="62"/>
  </r>
  <r>
    <n v="10106"/>
    <n v="33"/>
    <n v="72.92"/>
    <n v="5"/>
    <n v="2406.36"/>
    <d v="2018-02-17T00:00:00"/>
    <s v="Shipped"/>
    <s v="Vintage Cars"/>
    <n v="68"/>
    <s v="S32_4289"/>
    <x v="6"/>
    <s v="035-640555"/>
    <s v="Via Ludovico il Moro 22"/>
    <s v="Bergamo"/>
    <s v="24100"/>
    <s v="Italy"/>
    <s v="Rovelli"/>
    <s v="Giovanni"/>
    <s v="Small"/>
    <x v="63"/>
  </r>
  <r>
    <n v="10106"/>
    <n v="39"/>
    <n v="40.15"/>
    <n v="6"/>
    <n v="1565.85"/>
    <d v="2018-02-17T00:00:00"/>
    <s v="Shipped"/>
    <s v="Vintage Cars"/>
    <n v="43"/>
    <s v="S50_1341"/>
    <x v="6"/>
    <s v="035-640555"/>
    <s v="Via Ludovico il Moro 22"/>
    <s v="Bergamo"/>
    <s v="24100"/>
    <s v="Italy"/>
    <s v="Rovelli"/>
    <s v="Giovanni"/>
    <s v="Small"/>
    <x v="64"/>
  </r>
  <r>
    <n v="10106"/>
    <n v="31"/>
    <n v="106.87"/>
    <n v="7"/>
    <n v="3312.97"/>
    <d v="2018-02-17T00:00:00"/>
    <s v="Shipped"/>
    <s v="Planes"/>
    <n v="91"/>
    <s v="S700_1691"/>
    <x v="6"/>
    <s v="035-640555"/>
    <s v="Via Ludovico il Moro 22"/>
    <s v="Bergamo"/>
    <s v="24100"/>
    <s v="Italy"/>
    <s v="Rovelli"/>
    <s v="Giovanni"/>
    <s v="Medium"/>
    <x v="65"/>
  </r>
  <r>
    <n v="10106"/>
    <n v="30"/>
    <n v="105.91"/>
    <n v="16"/>
    <n v="3177.3"/>
    <d v="2018-02-17T00:00:00"/>
    <s v="Shipped"/>
    <s v="Ships"/>
    <n v="90"/>
    <s v="S700_2047"/>
    <x v="6"/>
    <s v="035-640555"/>
    <s v="Via Ludovico il Moro 22"/>
    <s v="Bergamo"/>
    <s v="24100"/>
    <s v="Italy"/>
    <s v="Rovelli"/>
    <s v="Giovanni"/>
    <s v="Medium"/>
    <x v="66"/>
  </r>
  <r>
    <n v="10106"/>
    <n v="34"/>
    <n v="110.69"/>
    <n v="9"/>
    <n v="3763.46"/>
    <d v="2018-02-17T00:00:00"/>
    <s v="Shipped"/>
    <s v="Planes"/>
    <n v="99"/>
    <s v="S700_2466"/>
    <x v="6"/>
    <s v="035-640555"/>
    <s v="Via Ludovico il Moro 22"/>
    <s v="Bergamo"/>
    <s v="24100"/>
    <s v="Italy"/>
    <s v="Rovelli"/>
    <s v="Giovanni"/>
    <s v="Medium"/>
    <x v="67"/>
  </r>
  <r>
    <n v="10106"/>
    <n v="32"/>
    <n v="124.58"/>
    <n v="1"/>
    <n v="3986.56"/>
    <d v="2018-02-17T00:00:00"/>
    <s v="Shipped"/>
    <s v="Planes"/>
    <n v="118"/>
    <s v="S700_2834"/>
    <x v="6"/>
    <s v="035-640555"/>
    <s v="Via Ludovico il Moro 22"/>
    <s v="Bergamo"/>
    <s v="24100"/>
    <s v="Italy"/>
    <s v="Rovelli"/>
    <s v="Giovanni"/>
    <s v="Medium"/>
    <x v="68"/>
  </r>
  <r>
    <n v="10106"/>
    <n v="44"/>
    <n v="74.400000000000006"/>
    <n v="8"/>
    <n v="3273.6"/>
    <d v="2018-02-17T00:00:00"/>
    <s v="Shipped"/>
    <s v="Planes"/>
    <n v="80"/>
    <s v="S700_3167"/>
    <x v="6"/>
    <s v="035-640555"/>
    <s v="Via Ludovico il Moro 22"/>
    <s v="Bergamo"/>
    <s v="24100"/>
    <s v="Italy"/>
    <s v="Rovelli"/>
    <s v="Giovanni"/>
    <s v="Medium"/>
    <x v="69"/>
  </r>
  <r>
    <n v="10106"/>
    <n v="48"/>
    <n v="61.44"/>
    <n v="10"/>
    <n v="2949.12"/>
    <d v="2018-02-17T00:00:00"/>
    <s v="Shipped"/>
    <s v="Planes"/>
    <n v="74"/>
    <s v="S700_4002"/>
    <x v="6"/>
    <s v="035-640555"/>
    <s v="Via Ludovico il Moro 22"/>
    <s v="Bergamo"/>
    <s v="24100"/>
    <s v="Italy"/>
    <s v="Rovelli"/>
    <s v="Giovanni"/>
    <s v="Small"/>
    <x v="70"/>
  </r>
  <r>
    <n v="10106"/>
    <n v="48"/>
    <n v="52.64"/>
    <n v="15"/>
    <n v="2526.7199999999998"/>
    <d v="2018-02-17T00:00:00"/>
    <s v="Shipped"/>
    <s v="Planes"/>
    <n v="49"/>
    <s v="S72_1253"/>
    <x v="6"/>
    <s v="035-640555"/>
    <s v="Via Ludovico il Moro 22"/>
    <s v="Bergamo"/>
    <s v="24100"/>
    <s v="Italy"/>
    <s v="Rovelli"/>
    <s v="Giovanni"/>
    <s v="Small"/>
    <x v="71"/>
  </r>
  <r>
    <n v="10107"/>
    <n v="30"/>
    <n v="95.7"/>
    <n v="2"/>
    <n v="2871"/>
    <d v="2018-02-24T00:00:00"/>
    <s v="Shipped"/>
    <s v="Motorcycles"/>
    <n v="95"/>
    <s v="S10_1678"/>
    <x v="7"/>
    <s v="2125557818"/>
    <s v="897 Long Airport Avenue"/>
    <s v="NYC"/>
    <s v="10022"/>
    <s v="USA"/>
    <s v="Yu"/>
    <s v="Kwai"/>
    <s v="Small"/>
    <x v="72"/>
  </r>
  <r>
    <n v="10107"/>
    <n v="39"/>
    <n v="99.91"/>
    <n v="5"/>
    <n v="3896.49"/>
    <d v="2018-02-24T00:00:00"/>
    <s v="Shipped"/>
    <s v="Motorcycles"/>
    <n v="118"/>
    <s v="S10_2016"/>
    <x v="7"/>
    <s v="2125557818"/>
    <s v="897 Long Airport Avenue"/>
    <s v="NYC"/>
    <s v="10022"/>
    <s v="USA"/>
    <s v="Yu"/>
    <s v="Kwai"/>
    <s v="Medium"/>
    <x v="10"/>
  </r>
  <r>
    <n v="10107"/>
    <n v="27"/>
    <n v="224.65"/>
    <n v="4"/>
    <n v="6065.55"/>
    <d v="2018-02-24T00:00:00"/>
    <s v="Shipped"/>
    <s v="Motorcycles"/>
    <n v="193"/>
    <s v="S10_4698"/>
    <x v="7"/>
    <s v="2125557818"/>
    <s v="897 Long Airport Avenue"/>
    <s v="NYC"/>
    <s v="10022"/>
    <s v="USA"/>
    <s v="Yu"/>
    <s v="Kwai"/>
    <s v="Medium"/>
    <x v="73"/>
  </r>
  <r>
    <n v="10107"/>
    <n v="21"/>
    <n v="144.6"/>
    <n v="1"/>
    <n v="3036.6"/>
    <d v="2018-02-24T00:00:00"/>
    <s v="Shipped"/>
    <s v="Motorcycles"/>
    <n v="150"/>
    <s v="S12_2823"/>
    <x v="7"/>
    <s v="2125557818"/>
    <s v="897 Long Airport Avenue"/>
    <s v="NYC"/>
    <s v="10022"/>
    <s v="USA"/>
    <s v="Yu"/>
    <s v="Kwai"/>
    <s v="Medium"/>
    <x v="12"/>
  </r>
  <r>
    <n v="10107"/>
    <n v="29"/>
    <n v="70.87"/>
    <n v="6"/>
    <n v="2055.23"/>
    <d v="2018-02-24T00:00:00"/>
    <s v="Shipped"/>
    <s v="Motorcycles"/>
    <n v="60"/>
    <s v="S18_2625"/>
    <x v="7"/>
    <s v="2125557818"/>
    <s v="897 Long Airport Avenue"/>
    <s v="NYC"/>
    <s v="10022"/>
    <s v="USA"/>
    <s v="Yu"/>
    <s v="Kwai"/>
    <s v="Small"/>
    <x v="74"/>
  </r>
  <r>
    <n v="10107"/>
    <n v="25"/>
    <n v="113.83"/>
    <n v="3"/>
    <n v="2845.75"/>
    <d v="2018-02-24T00:00:00"/>
    <s v="Shipped"/>
    <s v="Motorcycles"/>
    <n v="112"/>
    <s v="S24_1578"/>
    <x v="7"/>
    <s v="2125557818"/>
    <s v="897 Long Airport Avenue"/>
    <s v="NYC"/>
    <s v="10022"/>
    <s v="USA"/>
    <s v="Yu"/>
    <s v="Kwai"/>
    <s v="Small"/>
    <x v="75"/>
  </r>
  <r>
    <n v="10107"/>
    <n v="38"/>
    <n v="83.03"/>
    <n v="7"/>
    <n v="3155.14"/>
    <d v="2018-02-24T00:00:00"/>
    <s v="Shipped"/>
    <s v="Motorcycles"/>
    <n v="76"/>
    <s v="S24_2000"/>
    <x v="7"/>
    <s v="2125557818"/>
    <s v="897 Long Airport Avenue"/>
    <s v="NYC"/>
    <s v="10022"/>
    <s v="USA"/>
    <s v="Yu"/>
    <s v="Kwai"/>
    <s v="Medium"/>
    <x v="76"/>
  </r>
  <r>
    <n v="10107"/>
    <n v="20"/>
    <n v="92.9"/>
    <n v="8"/>
    <n v="1858"/>
    <d v="2018-02-24T00:00:00"/>
    <s v="Shipped"/>
    <s v="Motorcycles"/>
    <n v="99"/>
    <s v="S32_1374"/>
    <x v="7"/>
    <s v="2125557818"/>
    <s v="897 Long Airport Avenue"/>
    <s v="NYC"/>
    <s v="10022"/>
    <s v="USA"/>
    <s v="Yu"/>
    <s v="Kwai"/>
    <s v="Small"/>
    <x v="77"/>
  </r>
  <r>
    <n v="10108"/>
    <n v="33"/>
    <n v="159.55000000000001"/>
    <n v="6"/>
    <n v="5265.15"/>
    <d v="2018-03-03T00:00:00"/>
    <s v="Shipped"/>
    <s v="Classic Cars"/>
    <n v="194"/>
    <s v="S12_1099"/>
    <x v="8"/>
    <s v="+63 2 555 3587"/>
    <s v="15 McCallum Street - NatWest Center #13-03"/>
    <s v="Makati City"/>
    <s v="1227 MM"/>
    <s v="Philippines"/>
    <s v="Cruz"/>
    <s v="Arnold"/>
    <s v="Medium"/>
    <x v="78"/>
  </r>
  <r>
    <n v="10108"/>
    <n v="45"/>
    <n v="136.22999999999999"/>
    <n v="4"/>
    <n v="6130.35"/>
    <d v="2018-03-03T00:00:00"/>
    <s v="Shipped"/>
    <s v="Classic Cars"/>
    <n v="117"/>
    <s v="S12_3380"/>
    <x v="8"/>
    <s v="+63 2 555 3587"/>
    <s v="15 McCallum Street - NatWest Center #13-03"/>
    <s v="Makati City"/>
    <s v="1227 MM"/>
    <s v="Philippines"/>
    <s v="Cruz"/>
    <s v="Arnold"/>
    <s v="Medium"/>
    <x v="79"/>
  </r>
  <r>
    <n v="10108"/>
    <n v="39"/>
    <n v="89.38"/>
    <n v="7"/>
    <n v="3485.82"/>
    <d v="2018-03-03T00:00:00"/>
    <s v="Shipped"/>
    <s v="Classic Cars"/>
    <n v="79"/>
    <s v="S12_3990"/>
    <x v="8"/>
    <s v="+63 2 555 3587"/>
    <s v="15 McCallum Street - NatWest Center #13-03"/>
    <s v="Makati City"/>
    <s v="1227 MM"/>
    <s v="Philippines"/>
    <s v="Cruz"/>
    <s v="Arnold"/>
    <s v="Medium"/>
    <x v="80"/>
  </r>
  <r>
    <n v="10108"/>
    <n v="36"/>
    <n v="103.64"/>
    <n v="3"/>
    <n v="3731.04"/>
    <d v="2018-03-03T00:00:00"/>
    <s v="Shipped"/>
    <s v="Classic Cars"/>
    <n v="115"/>
    <s v="S12_4675"/>
    <x v="8"/>
    <s v="+63 2 555 3587"/>
    <s v="15 McCallum Street - NatWest Center #13-03"/>
    <s v="Makati City"/>
    <s v="1227 MM"/>
    <s v="Philippines"/>
    <s v="Cruz"/>
    <s v="Arnold"/>
    <s v="Medium"/>
    <x v="81"/>
  </r>
  <r>
    <n v="10108"/>
    <n v="38"/>
    <n v="82.39"/>
    <n v="2"/>
    <n v="3130.82"/>
    <d v="2018-03-03T00:00:00"/>
    <s v="Shipped"/>
    <s v="Classic Cars"/>
    <n v="77"/>
    <s v="S18_1889"/>
    <x v="8"/>
    <s v="+63 2 555 3587"/>
    <s v="15 McCallum Street - NatWest Center #13-03"/>
    <s v="Makati City"/>
    <s v="1227 MM"/>
    <s v="Philippines"/>
    <s v="Cruz"/>
    <s v="Arnold"/>
    <s v="Medium"/>
    <x v="82"/>
  </r>
  <r>
    <n v="10108"/>
    <n v="26"/>
    <n v="68.349999999999994"/>
    <n v="9"/>
    <n v="1777.1"/>
    <d v="2018-03-03T00:00:00"/>
    <s v="Shipped"/>
    <s v="Classic Cars"/>
    <n v="80"/>
    <s v="S18_3278"/>
    <x v="8"/>
    <s v="+63 2 555 3587"/>
    <s v="15 McCallum Street - NatWest Center #13-03"/>
    <s v="Makati City"/>
    <s v="1227 MM"/>
    <s v="Philippines"/>
    <s v="Cruz"/>
    <s v="Arnold"/>
    <s v="Small"/>
    <x v="83"/>
  </r>
  <r>
    <n v="10108"/>
    <n v="29"/>
    <n v="139.63999999999999"/>
    <n v="8"/>
    <n v="4049.56"/>
    <d v="2018-03-03T00:00:00"/>
    <s v="Shipped"/>
    <s v="Classic Cars"/>
    <n v="146"/>
    <s v="S18_3482"/>
    <x v="8"/>
    <s v="+63 2 555 3587"/>
    <s v="15 McCallum Street - NatWest Center #13-03"/>
    <s v="Makati City"/>
    <s v="1227 MM"/>
    <s v="Philippines"/>
    <s v="Cruz"/>
    <s v="Arnold"/>
    <s v="Medium"/>
    <x v="84"/>
  </r>
  <r>
    <n v="10108"/>
    <n v="43"/>
    <n v="67.77"/>
    <n v="12"/>
    <n v="2914.11"/>
    <d v="2018-03-03T00:00:00"/>
    <s v="Shipped"/>
    <s v="Motorcycles"/>
    <n v="62"/>
    <s v="S18_3782"/>
    <x v="8"/>
    <s v="+63 2 555 3587"/>
    <s v="15 McCallum Street - NatWest Center #13-03"/>
    <s v="Makati City"/>
    <s v="1227 MM"/>
    <s v="Philippines"/>
    <s v="Cruz"/>
    <s v="Arnold"/>
    <s v="Small"/>
    <x v="85"/>
  </r>
  <r>
    <n v="10108"/>
    <n v="44"/>
    <n v="126.48"/>
    <n v="11"/>
    <n v="5565.12"/>
    <d v="2018-03-03T00:00:00"/>
    <s v="Shipped"/>
    <s v="Classic Cars"/>
    <n v="148"/>
    <s v="S18_4721"/>
    <x v="8"/>
    <s v="+63 2 555 3587"/>
    <s v="15 McCallum Street - NatWest Center #13-03"/>
    <s v="Makati City"/>
    <s v="1227 MM"/>
    <s v="Philippines"/>
    <s v="Cruz"/>
    <s v="Arnold"/>
    <s v="Medium"/>
    <x v="86"/>
  </r>
  <r>
    <n v="10108"/>
    <n v="35"/>
    <n v="58.87"/>
    <n v="15"/>
    <n v="2060.4499999999998"/>
    <d v="2018-03-03T00:00:00"/>
    <s v="Shipped"/>
    <s v="Motorcycles"/>
    <n v="69"/>
    <s v="S24_2360"/>
    <x v="8"/>
    <s v="+63 2 555 3587"/>
    <s v="15 McCallum Street - NatWest Center #13-03"/>
    <s v="Makati City"/>
    <s v="1227 MM"/>
    <s v="Philippines"/>
    <s v="Cruz"/>
    <s v="Arnold"/>
    <s v="Small"/>
    <x v="87"/>
  </r>
  <r>
    <n v="10108"/>
    <n v="30"/>
    <n v="63.07"/>
    <n v="5"/>
    <n v="1892.1"/>
    <d v="2018-03-03T00:00:00"/>
    <s v="Shipped"/>
    <s v="Classic Cars"/>
    <n v="61"/>
    <s v="S24_3371"/>
    <x v="8"/>
    <s v="+63 2 555 3587"/>
    <s v="15 McCallum Street - NatWest Center #13-03"/>
    <s v="Makati City"/>
    <s v="1227 MM"/>
    <s v="Philippines"/>
    <s v="Cruz"/>
    <s v="Arnold"/>
    <s v="Small"/>
    <x v="88"/>
  </r>
  <r>
    <n v="10108"/>
    <n v="40"/>
    <n v="136.22"/>
    <n v="1"/>
    <n v="5448.8"/>
    <d v="2018-03-03T00:00:00"/>
    <s v="Shipped"/>
    <s v="Classic Cars"/>
    <n v="140"/>
    <s v="S24_3856"/>
    <x v="8"/>
    <s v="+63 2 555 3587"/>
    <s v="15 McCallum Street - NatWest Center #13-03"/>
    <s v="Makati City"/>
    <s v="1227 MM"/>
    <s v="Philippines"/>
    <s v="Cruz"/>
    <s v="Arnold"/>
    <s v="Medium"/>
    <x v="89"/>
  </r>
  <r>
    <n v="10108"/>
    <n v="31"/>
    <n v="68.709999999999994"/>
    <n v="10"/>
    <n v="2130.0100000000002"/>
    <d v="2018-03-03T00:00:00"/>
    <s v="Shipped"/>
    <s v="Classic Cars"/>
    <n v="80"/>
    <s v="S24_4620"/>
    <x v="8"/>
    <s v="+63 2 555 3587"/>
    <s v="15 McCallum Street - NatWest Center #13-03"/>
    <s v="Makati City"/>
    <s v="1227 MM"/>
    <s v="Philippines"/>
    <s v="Cruz"/>
    <s v="Arnold"/>
    <s v="Small"/>
    <x v="90"/>
  </r>
  <r>
    <n v="10108"/>
    <n v="27"/>
    <n v="43.45"/>
    <n v="13"/>
    <n v="1173.1500000000001"/>
    <d v="2018-03-03T00:00:00"/>
    <s v="Shipped"/>
    <s v="Motorcycles"/>
    <n v="40"/>
    <s v="S32_2206"/>
    <x v="8"/>
    <s v="+63 2 555 3587"/>
    <s v="15 McCallum Street - NatWest Center #13-03"/>
    <s v="Makati City"/>
    <s v="1227 MM"/>
    <s v="Philippines"/>
    <s v="Cruz"/>
    <s v="Arnold"/>
    <s v="Small"/>
    <x v="91"/>
  </r>
  <r>
    <n v="10108"/>
    <n v="31"/>
    <n v="118.38"/>
    <n v="16"/>
    <n v="3669.78"/>
    <d v="2018-03-03T00:00:00"/>
    <s v="Shipped"/>
    <s v="Motorcycles"/>
    <n v="102"/>
    <s v="S32_4485"/>
    <x v="8"/>
    <s v="+63 2 555 3587"/>
    <s v="15 McCallum Street - NatWest Center #13-03"/>
    <s v="Makati City"/>
    <s v="1227 MM"/>
    <s v="Philippines"/>
    <s v="Cruz"/>
    <s v="Arnold"/>
    <s v="Medium"/>
    <x v="92"/>
  </r>
  <r>
    <n v="10108"/>
    <n v="34"/>
    <n v="82.99"/>
    <n v="14"/>
    <n v="2821.66"/>
    <d v="2018-03-03T00:00:00"/>
    <s v="Shipped"/>
    <s v="Motorcycles"/>
    <n v="81"/>
    <s v="S50_4713"/>
    <x v="8"/>
    <s v="+63 2 555 3587"/>
    <s v="15 McCallum Street - NatWest Center #13-03"/>
    <s v="Makati City"/>
    <s v="1227 MM"/>
    <s v="Philippines"/>
    <s v="Cruz"/>
    <s v="Arnold"/>
    <s v="Small"/>
    <x v="93"/>
  </r>
  <r>
    <n v="10109"/>
    <n v="26"/>
    <n v="168.43"/>
    <n v="4"/>
    <n v="4379.18"/>
    <d v="2018-03-10T00:00:00"/>
    <s v="Shipped"/>
    <s v="Classic Cars"/>
    <n v="141"/>
    <s v="S18_1129"/>
    <x v="9"/>
    <s v="2155559857"/>
    <s v="11328 Douglas Av."/>
    <s v="Philadelphia"/>
    <s v="71270"/>
    <s v="USA"/>
    <s v="Hernandez"/>
    <s v="Rosa"/>
    <s v="Medium"/>
    <x v="94"/>
  </r>
  <r>
    <n v="10109"/>
    <n v="38"/>
    <n v="116.65"/>
    <n v="3"/>
    <n v="4432.7"/>
    <d v="2018-03-10T00:00:00"/>
    <s v="Shipped"/>
    <s v="Classic Cars"/>
    <n v="142"/>
    <s v="S18_1984"/>
    <x v="9"/>
    <s v="2155559857"/>
    <s v="11328 Douglas Av."/>
    <s v="Philadelphia"/>
    <s v="71270"/>
    <s v="USA"/>
    <s v="Hernandez"/>
    <s v="Rosa"/>
    <s v="Medium"/>
    <x v="95"/>
  </r>
  <r>
    <n v="10109"/>
    <n v="26"/>
    <n v="121.44"/>
    <n v="1"/>
    <n v="3157.44"/>
    <d v="2018-03-10T00:00:00"/>
    <s v="Shipped"/>
    <s v="Classic Cars"/>
    <n v="132"/>
    <s v="S18_2870"/>
    <x v="9"/>
    <s v="2155559857"/>
    <s v="11328 Douglas Av."/>
    <s v="Philadelphia"/>
    <s v="71270"/>
    <s v="USA"/>
    <s v="Hernandez"/>
    <s v="Rosa"/>
    <s v="Medium"/>
    <x v="96"/>
  </r>
  <r>
    <n v="10109"/>
    <n v="46"/>
    <n v="179.5"/>
    <n v="5"/>
    <n v="8257"/>
    <d v="2018-03-10T00:00:00"/>
    <s v="Shipped"/>
    <s v="Classic Cars"/>
    <n v="169"/>
    <s v="S18_3232"/>
    <x v="9"/>
    <s v="2155559857"/>
    <s v="11328 Douglas Av."/>
    <s v="Philadelphia"/>
    <s v="71270"/>
    <s v="USA"/>
    <s v="Hernandez"/>
    <s v="Rosa"/>
    <s v="Large"/>
    <x v="97"/>
  </r>
  <r>
    <n v="10109"/>
    <n v="47"/>
    <n v="132.80000000000001"/>
    <n v="2"/>
    <n v="6241.6"/>
    <d v="2018-03-10T00:00:00"/>
    <s v="Shipped"/>
    <s v="Classic Cars"/>
    <n v="141"/>
    <s v="S18_3685"/>
    <x v="9"/>
    <s v="2155559857"/>
    <s v="11328 Douglas Av."/>
    <s v="Philadelphia"/>
    <s v="71270"/>
    <s v="USA"/>
    <s v="Hernandez"/>
    <s v="Rosa"/>
    <s v="Medium"/>
    <x v="98"/>
  </r>
  <r>
    <n v="10109"/>
    <n v="29"/>
    <n v="32.1"/>
    <n v="6"/>
    <n v="930.9"/>
    <d v="2018-03-10T00:00:00"/>
    <s v="Shipped"/>
    <s v="Classic Cars"/>
    <n v="37"/>
    <s v="S24_2972"/>
    <x v="9"/>
    <s v="2155559857"/>
    <s v="11328 Douglas Av."/>
    <s v="Philadelphia"/>
    <s v="71270"/>
    <s v="USA"/>
    <s v="Hernandez"/>
    <s v="Rosa"/>
    <s v="Small"/>
    <x v="99"/>
  </r>
  <r>
    <n v="10110"/>
    <n v="37"/>
    <n v="146.84"/>
    <n v="16"/>
    <n v="5433.08"/>
    <d v="2018-03-18T00:00:00"/>
    <s v="Shipped"/>
    <s v="Classic Cars"/>
    <n v="124"/>
    <s v="S18_1589"/>
    <x v="10"/>
    <s v="(171) 555-1555"/>
    <s v="Fauntleroy Circus"/>
    <s v="Manchester"/>
    <s v="EC2 5NT"/>
    <s v="UK"/>
    <s v="Ashworth"/>
    <s v="Victoria"/>
    <s v="Medium"/>
    <x v="100"/>
  </r>
  <r>
    <n v="10110"/>
    <n v="42"/>
    <n v="144.5"/>
    <n v="7"/>
    <n v="6069"/>
    <d v="2018-03-18T00:00:00"/>
    <s v="Shipped"/>
    <s v="Vintage Cars"/>
    <n v="170"/>
    <s v="S18_1749"/>
    <x v="10"/>
    <s v="(171) 555-1555"/>
    <s v="Fauntleroy Circus"/>
    <s v="Manchester"/>
    <s v="EC2 5NT"/>
    <s v="UK"/>
    <s v="Ashworth"/>
    <s v="Victoria"/>
    <s v="Medium"/>
    <x v="101"/>
  </r>
  <r>
    <n v="10110"/>
    <n v="32"/>
    <n v="50.25"/>
    <n v="6"/>
    <n v="1608"/>
    <d v="2018-03-18T00:00:00"/>
    <s v="Shipped"/>
    <s v="Vintage Cars"/>
    <n v="60"/>
    <s v="S18_2248"/>
    <x v="10"/>
    <s v="(171) 555-1555"/>
    <s v="Fauntleroy Circus"/>
    <s v="Manchester"/>
    <s v="EC2 5NT"/>
    <s v="UK"/>
    <s v="Ashworth"/>
    <s v="Victoria"/>
    <s v="Small"/>
    <x v="102"/>
  </r>
  <r>
    <n v="10110"/>
    <n v="33"/>
    <n v="116.96"/>
    <n v="4"/>
    <n v="3859.68"/>
    <d v="2018-03-18T00:00:00"/>
    <s v="Shipped"/>
    <s v="Vintage Cars"/>
    <n v="127"/>
    <s v="S18_2325"/>
    <x v="10"/>
    <s v="(171) 555-1555"/>
    <s v="Fauntleroy Circus"/>
    <s v="Manchester"/>
    <s v="EC2 5NT"/>
    <s v="UK"/>
    <s v="Ashworth"/>
    <s v="Victoria"/>
    <s v="Medium"/>
    <x v="103"/>
  </r>
  <r>
    <n v="10110"/>
    <n v="31"/>
    <n v="163.69"/>
    <n v="1"/>
    <n v="5074.3900000000003"/>
    <d v="2018-03-18T00:00:00"/>
    <s v="Shipped"/>
    <s v="Vintage Cars"/>
    <n v="168"/>
    <s v="S18_2795"/>
    <x v="10"/>
    <s v="(171) 555-1555"/>
    <s v="Fauntleroy Circus"/>
    <s v="Manchester"/>
    <s v="EC2 5NT"/>
    <s v="UK"/>
    <s v="Ashworth"/>
    <s v="Victoria"/>
    <s v="Medium"/>
    <x v="104"/>
  </r>
  <r>
    <n v="10110"/>
    <n v="28"/>
    <n v="89.27"/>
    <n v="8"/>
    <n v="2499.56"/>
    <d v="2018-03-18T00:00:00"/>
    <s v="Shipped"/>
    <s v="Vintage Cars"/>
    <n v="92"/>
    <s v="S18_4409"/>
    <x v="10"/>
    <s v="(171) 555-1555"/>
    <s v="Fauntleroy Circus"/>
    <s v="Manchester"/>
    <s v="EC2 5NT"/>
    <s v="UK"/>
    <s v="Ashworth"/>
    <s v="Victoria"/>
    <s v="Small"/>
    <x v="105"/>
  </r>
  <r>
    <n v="10110"/>
    <n v="42"/>
    <n v="61.29"/>
    <n v="9"/>
    <n v="2574.1799999999998"/>
    <d v="2018-03-18T00:00:00"/>
    <s v="Shipped"/>
    <s v="Classic Cars"/>
    <n v="71"/>
    <s v="S18_4933"/>
    <x v="10"/>
    <s v="(171) 555-1555"/>
    <s v="Fauntleroy Circus"/>
    <s v="Manchester"/>
    <s v="EC2 5NT"/>
    <s v="UK"/>
    <s v="Ashworth"/>
    <s v="Victoria"/>
    <s v="Small"/>
    <x v="106"/>
  </r>
  <r>
    <n v="10110"/>
    <n v="36"/>
    <n v="85.25"/>
    <n v="13"/>
    <n v="3069"/>
    <d v="2018-03-18T00:00:00"/>
    <s v="Shipped"/>
    <s v="Classic Cars"/>
    <n v="73"/>
    <s v="S24_1046"/>
    <x v="10"/>
    <s v="(171) 555-1555"/>
    <s v="Fauntleroy Circus"/>
    <s v="Manchester"/>
    <s v="EC2 5NT"/>
    <s v="UK"/>
    <s v="Ashworth"/>
    <s v="Victoria"/>
    <s v="Medium"/>
    <x v="107"/>
  </r>
  <r>
    <n v="10110"/>
    <n v="29"/>
    <n v="59.37"/>
    <n v="15"/>
    <n v="1721.73"/>
    <d v="2018-03-18T00:00:00"/>
    <s v="Shipped"/>
    <s v="Classic Cars"/>
    <n v="50"/>
    <s v="S24_1628"/>
    <x v="10"/>
    <s v="(171) 555-1555"/>
    <s v="Fauntleroy Circus"/>
    <s v="Manchester"/>
    <s v="EC2 5NT"/>
    <s v="UK"/>
    <s v="Ashworth"/>
    <s v="Victoria"/>
    <s v="Small"/>
    <x v="108"/>
  </r>
  <r>
    <n v="10110"/>
    <n v="20"/>
    <n v="35.51"/>
    <n v="3"/>
    <n v="710.2"/>
    <d v="2018-03-18T00:00:00"/>
    <s v="Shipped"/>
    <s v="Vintage Cars"/>
    <n v="33"/>
    <s v="S24_1937"/>
    <x v="10"/>
    <s v="(171) 555-1555"/>
    <s v="Fauntleroy Circus"/>
    <s v="Manchester"/>
    <s v="EC2 5NT"/>
    <s v="UK"/>
    <s v="Ashworth"/>
    <s v="Victoria"/>
    <s v="Small"/>
    <x v="109"/>
  </r>
  <r>
    <n v="10110"/>
    <n v="39"/>
    <n v="44.35"/>
    <n v="2"/>
    <n v="1729.65"/>
    <d v="2018-03-18T00:00:00"/>
    <s v="Shipped"/>
    <s v="Vintage Cars"/>
    <n v="44"/>
    <s v="S24_2022"/>
    <x v="10"/>
    <s v="(171) 555-1555"/>
    <s v="Fauntleroy Circus"/>
    <s v="Manchester"/>
    <s v="EC2 5NT"/>
    <s v="UK"/>
    <s v="Ashworth"/>
    <s v="Victoria"/>
    <s v="Small"/>
    <x v="110"/>
  </r>
  <r>
    <n v="10110"/>
    <n v="43"/>
    <n v="78.150000000000006"/>
    <n v="11"/>
    <n v="3360.45"/>
    <d v="2018-03-18T00:00:00"/>
    <s v="Shipped"/>
    <s v="Classic Cars"/>
    <n v="90"/>
    <s v="S24_2766"/>
    <x v="10"/>
    <s v="(171) 555-1555"/>
    <s v="Fauntleroy Circus"/>
    <s v="Manchester"/>
    <s v="EC2 5NT"/>
    <s v="UK"/>
    <s v="Ashworth"/>
    <s v="Victoria"/>
    <s v="Medium"/>
    <x v="111"/>
  </r>
  <r>
    <n v="10110"/>
    <n v="46"/>
    <n v="129.18"/>
    <n v="10"/>
    <n v="5942.28"/>
    <d v="2018-03-18T00:00:00"/>
    <s v="Shipped"/>
    <s v="Classic Cars"/>
    <n v="117"/>
    <s v="S24_2887"/>
    <x v="10"/>
    <s v="(171) 555-1555"/>
    <s v="Fauntleroy Circus"/>
    <s v="Manchester"/>
    <s v="EC2 5NT"/>
    <s v="UK"/>
    <s v="Ashworth"/>
    <s v="Victoria"/>
    <s v="Medium"/>
    <x v="112"/>
  </r>
  <r>
    <n v="10110"/>
    <n v="27"/>
    <n v="73.62"/>
    <n v="12"/>
    <n v="1987.74"/>
    <d v="2018-03-18T00:00:00"/>
    <s v="Shipped"/>
    <s v="Classic Cars"/>
    <n v="85"/>
    <s v="S24_3191"/>
    <x v="10"/>
    <s v="(171) 555-1555"/>
    <s v="Fauntleroy Circus"/>
    <s v="Manchester"/>
    <s v="EC2 5NT"/>
    <s v="UK"/>
    <s v="Ashworth"/>
    <s v="Victoria"/>
    <s v="Small"/>
    <x v="113"/>
  </r>
  <r>
    <n v="10110"/>
    <n v="37"/>
    <n v="100.66"/>
    <n v="14"/>
    <n v="3724.42"/>
    <d v="2018-03-18T00:00:00"/>
    <s v="Shipped"/>
    <s v="Classic Cars"/>
    <n v="107"/>
    <s v="S24_3432"/>
    <x v="10"/>
    <s v="(171) 555-1555"/>
    <s v="Fauntleroy Circus"/>
    <s v="Manchester"/>
    <s v="EC2 5NT"/>
    <s v="UK"/>
    <s v="Ashworth"/>
    <s v="Victoria"/>
    <s v="Medium"/>
    <x v="114"/>
  </r>
  <r>
    <n v="10110"/>
    <n v="48"/>
    <n v="34.47"/>
    <n v="5"/>
    <n v="1654.56"/>
    <d v="2018-03-18T00:00:00"/>
    <s v="Shipped"/>
    <s v="Vintage Cars"/>
    <n v="41"/>
    <s v="S24_3969"/>
    <x v="10"/>
    <s v="(171) 555-1555"/>
    <s v="Fauntleroy Circus"/>
    <s v="Manchester"/>
    <s v="EC2 5NT"/>
    <s v="UK"/>
    <s v="Ashworth"/>
    <s v="Victoria"/>
    <s v="Small"/>
    <x v="115"/>
  </r>
  <r>
    <n v="10112"/>
    <n v="29"/>
    <n v="248.59"/>
    <n v="1"/>
    <n v="7209.11"/>
    <d v="2018-03-24T00:00:00"/>
    <s v="Shipped"/>
    <s v="Classic Cars"/>
    <n v="214"/>
    <s v="S10_1949"/>
    <x v="11"/>
    <s v="0921-12 3555"/>
    <s v="Berguvsvgen  8"/>
    <s v="Lule"/>
    <s v="S-958 22"/>
    <s v="Sweden"/>
    <s v="Berglund"/>
    <s v="Christina"/>
    <s v="Large"/>
    <x v="116"/>
  </r>
  <r>
    <n v="10112"/>
    <n v="23"/>
    <n v="110.43"/>
    <n v="2"/>
    <n v="2539.89"/>
    <d v="2018-03-24T00:00:00"/>
    <s v="Shipped"/>
    <s v="Vintage Cars"/>
    <n v="101"/>
    <s v="S18_2949"/>
    <x v="11"/>
    <s v="0921-12 3555"/>
    <s v="Berguvsvgen  8"/>
    <s v="Lule"/>
    <s v="S-958 22"/>
    <s v="Sweden"/>
    <s v="Berglund"/>
    <s v="Christina"/>
    <s v="Small"/>
    <x v="117"/>
  </r>
  <r>
    <n v="10113"/>
    <n v="21"/>
    <n v="162.63999999999999"/>
    <n v="2"/>
    <n v="3415.44"/>
    <d v="2018-03-26T00:00:00"/>
    <s v="Shipped"/>
    <s v="Trucks and Buses"/>
    <n v="136"/>
    <s v="S12_1666"/>
    <x v="12"/>
    <s v="4155551450"/>
    <s v="5677 Strong St."/>
    <s v="San Rafael"/>
    <s v="97562"/>
    <s v="USA"/>
    <s v="Nelson"/>
    <s v="Valarie"/>
    <s v="Medium"/>
    <x v="118"/>
  </r>
  <r>
    <n v="10113"/>
    <n v="49"/>
    <n v="100.34"/>
    <n v="4"/>
    <n v="4916.66"/>
    <d v="2018-03-26T00:00:00"/>
    <s v="Shipped"/>
    <s v="Trucks and Buses"/>
    <n v="116"/>
    <s v="S18_1097"/>
    <x v="12"/>
    <s v="4155551450"/>
    <s v="5677 Strong St."/>
    <s v="San Rafael"/>
    <s v="97562"/>
    <s v="USA"/>
    <s v="Nelson"/>
    <s v="Valarie"/>
    <s v="Medium"/>
    <x v="119"/>
  </r>
  <r>
    <n v="10113"/>
    <n v="50"/>
    <n v="49.81"/>
    <n v="3"/>
    <n v="2490.5"/>
    <d v="2018-03-26T00:00:00"/>
    <s v="Shipped"/>
    <s v="Vintage Cars"/>
    <n v="50"/>
    <s v="S18_4668"/>
    <x v="12"/>
    <s v="4155551450"/>
    <s v="5677 Strong St."/>
    <s v="San Rafael"/>
    <s v="97562"/>
    <s v="USA"/>
    <s v="Nelson"/>
    <s v="Valarie"/>
    <s v="Small"/>
    <x v="120"/>
  </r>
  <r>
    <n v="10113"/>
    <n v="23"/>
    <n v="68.52"/>
    <n v="1"/>
    <n v="1575.96"/>
    <d v="2018-03-26T00:00:00"/>
    <s v="Shipped"/>
    <s v="Trucks and Buses"/>
    <n v="64"/>
    <s v="S32_3522"/>
    <x v="12"/>
    <s v="4155551450"/>
    <s v="5677 Strong St."/>
    <s v="San Rafael"/>
    <s v="97562"/>
    <s v="USA"/>
    <s v="Nelson"/>
    <s v="Valarie"/>
    <s v="Small"/>
    <x v="121"/>
  </r>
  <r>
    <n v="10114"/>
    <n v="31"/>
    <n v="138.88"/>
    <n v="8"/>
    <n v="4305.28"/>
    <d v="2018-04-01T00:00:00"/>
    <s v="Shipped"/>
    <s v="Classic Cars"/>
    <n v="147"/>
    <s v="S10_4962"/>
    <x v="13"/>
    <s v="(1) 42.34.2555"/>
    <s v="265, boulevard Charonne"/>
    <s v="Paris"/>
    <s v="75012"/>
    <s v="France"/>
    <s v="Bertrand"/>
    <s v="Marie"/>
    <s v="Medium"/>
    <x v="122"/>
  </r>
  <r>
    <n v="10114"/>
    <n v="39"/>
    <n v="106.78"/>
    <n v="3"/>
    <n v="4164.42"/>
    <d v="2018-04-01T00:00:00"/>
    <s v="Shipped"/>
    <s v="Trucks and Buses"/>
    <n v="122"/>
    <s v="S18_2319"/>
    <x v="13"/>
    <s v="(1) 42.34.2555"/>
    <s v="265, boulevard Charonne"/>
    <s v="Paris"/>
    <s v="75012"/>
    <s v="France"/>
    <s v="Bertrand"/>
    <s v="Marie"/>
    <s v="Medium"/>
    <x v="123"/>
  </r>
  <r>
    <n v="10114"/>
    <n v="45"/>
    <n v="68.67"/>
    <n v="6"/>
    <n v="3090.15"/>
    <d v="2018-04-01T00:00:00"/>
    <s v="Shipped"/>
    <s v="Trucks and Buses"/>
    <n v="60"/>
    <s v="S18_2432"/>
    <x v="13"/>
    <s v="(1) 42.34.2555"/>
    <s v="265, boulevard Charonne"/>
    <s v="Paris"/>
    <s v="75012"/>
    <s v="France"/>
    <s v="Bertrand"/>
    <s v="Marie"/>
    <s v="Medium"/>
    <x v="124"/>
  </r>
  <r>
    <n v="10114"/>
    <n v="48"/>
    <n v="171.03"/>
    <n v="4"/>
    <n v="8209.44"/>
    <d v="2018-04-01T00:00:00"/>
    <s v="Shipped"/>
    <s v="Classic Cars"/>
    <n v="169"/>
    <s v="S18_3232"/>
    <x v="13"/>
    <s v="(1) 42.34.2555"/>
    <s v="265, boulevard Charonne"/>
    <s v="Paris"/>
    <s v="75012"/>
    <s v="France"/>
    <s v="Bertrand"/>
    <s v="Marie"/>
    <s v="Large"/>
    <x v="125"/>
  </r>
  <r>
    <n v="10114"/>
    <n v="41"/>
    <n v="117.45"/>
    <n v="9"/>
    <n v="4815.45"/>
    <d v="2018-04-01T00:00:00"/>
    <s v="Shipped"/>
    <s v="Trucks and Buses"/>
    <n v="121"/>
    <s v="S18_4600"/>
    <x v="13"/>
    <s v="(1) 42.34.2555"/>
    <s v="265, boulevard Charonne"/>
    <s v="Paris"/>
    <s v="75012"/>
    <s v="France"/>
    <s v="Bertrand"/>
    <s v="Marie"/>
    <s v="Medium"/>
    <x v="126"/>
  </r>
  <r>
    <n v="10114"/>
    <n v="21"/>
    <n v="139.29"/>
    <n v="5"/>
    <n v="2925.09"/>
    <d v="2018-04-01T00:00:00"/>
    <s v="Shipped"/>
    <s v="Trucks and Buses"/>
    <n v="127"/>
    <s v="S24_2300"/>
    <x v="13"/>
    <s v="(1) 42.34.2555"/>
    <s v="265, boulevard Charonne"/>
    <s v="Paris"/>
    <s v="75012"/>
    <s v="France"/>
    <s v="Bertrand"/>
    <s v="Marie"/>
    <s v="Small"/>
    <x v="127"/>
  </r>
  <r>
    <n v="10114"/>
    <n v="24"/>
    <n v="30.06"/>
    <n v="1"/>
    <n v="721.44"/>
    <d v="2018-04-01T00:00:00"/>
    <s v="Shipped"/>
    <s v="Classic Cars"/>
    <n v="35"/>
    <s v="S24_2840"/>
    <x v="13"/>
    <s v="(1) 42.34.2555"/>
    <s v="265, boulevard Charonne"/>
    <s v="Paris"/>
    <s v="75012"/>
    <s v="France"/>
    <s v="Bertrand"/>
    <s v="Marie"/>
    <s v="Small"/>
    <x v="128"/>
  </r>
  <r>
    <n v="10114"/>
    <n v="32"/>
    <n v="114.61"/>
    <n v="7"/>
    <n v="3667.52"/>
    <d v="2018-04-01T00:00:00"/>
    <s v="Shipped"/>
    <s v="Trucks and Buses"/>
    <n v="96"/>
    <s v="S32_1268"/>
    <x v="13"/>
    <s v="(1) 42.34.2555"/>
    <s v="265, boulevard Charonne"/>
    <s v="Paris"/>
    <s v="75012"/>
    <s v="France"/>
    <s v="Bertrand"/>
    <s v="Marie"/>
    <s v="Medium"/>
    <x v="129"/>
  </r>
  <r>
    <n v="10114"/>
    <n v="28"/>
    <n v="55.73"/>
    <n v="2"/>
    <n v="1560.44"/>
    <d v="2018-04-01T00:00:00"/>
    <s v="Shipped"/>
    <s v="Trucks and Buses"/>
    <n v="54"/>
    <s v="S32_2509"/>
    <x v="13"/>
    <s v="(1) 42.34.2555"/>
    <s v="265, boulevard Charonne"/>
    <s v="Paris"/>
    <s v="75012"/>
    <s v="France"/>
    <s v="Bertrand"/>
    <s v="Marie"/>
    <s v="Small"/>
    <x v="130"/>
  </r>
  <r>
    <n v="10114"/>
    <n v="42"/>
    <n v="113.29"/>
    <n v="10"/>
    <n v="4758.18"/>
    <d v="2018-04-01T00:00:00"/>
    <s v="Shipped"/>
    <s v="Classic Cars"/>
    <n v="101"/>
    <s v="S700_2824"/>
    <x v="13"/>
    <s v="(1) 42.34.2555"/>
    <s v="265, boulevard Charonne"/>
    <s v="Paris"/>
    <s v="75012"/>
    <s v="France"/>
    <s v="Bertrand"/>
    <s v="Marie"/>
    <s v="Medium"/>
    <x v="131"/>
  </r>
  <r>
    <n v="10115"/>
    <n v="46"/>
    <n v="124.43"/>
    <n v="5"/>
    <n v="5723.78"/>
    <d v="2018-04-04T00:00:00"/>
    <s v="Shipped"/>
    <s v="Trucks and Buses"/>
    <n v="118"/>
    <s v="S12_4473"/>
    <x v="14"/>
    <s v="2125558493"/>
    <s v="5905 Pompton St."/>
    <s v="NYC"/>
    <s v="10022"/>
    <s v="USA"/>
    <s v="Hernandez"/>
    <s v="Maria"/>
    <s v="Medium"/>
    <x v="132"/>
  </r>
  <r>
    <n v="10115"/>
    <n v="46"/>
    <n v="160.46"/>
    <n v="4"/>
    <n v="7381.16"/>
    <d v="2018-04-04T00:00:00"/>
    <s v="Shipped"/>
    <s v="Classic Cars"/>
    <n v="163"/>
    <s v="S18_2238"/>
    <x v="14"/>
    <s v="2125558493"/>
    <s v="5905 Pompton St."/>
    <s v="NYC"/>
    <s v="10022"/>
    <s v="USA"/>
    <s v="Hernandez"/>
    <s v="Maria"/>
    <s v="Large"/>
    <x v="133"/>
  </r>
  <r>
    <n v="10115"/>
    <n v="47"/>
    <n v="69.36"/>
    <n v="2"/>
    <n v="3259.92"/>
    <d v="2018-04-04T00:00:00"/>
    <s v="Shipped"/>
    <s v="Classic Cars"/>
    <n v="57"/>
    <s v="S24_1444"/>
    <x v="14"/>
    <s v="2125558493"/>
    <s v="5905 Pompton St."/>
    <s v="NYC"/>
    <s v="10022"/>
    <s v="USA"/>
    <s v="Hernandez"/>
    <s v="Maria"/>
    <s v="Medium"/>
    <x v="134"/>
  </r>
  <r>
    <n v="10115"/>
    <n v="44"/>
    <n v="126.56"/>
    <n v="1"/>
    <n v="5568.64"/>
    <d v="2018-04-04T00:00:00"/>
    <s v="Shipped"/>
    <s v="Classic Cars"/>
    <n v="118"/>
    <s v="S24_4048"/>
    <x v="14"/>
    <s v="2125558493"/>
    <s v="5905 Pompton St."/>
    <s v="NYC"/>
    <s v="10022"/>
    <s v="USA"/>
    <s v="Hernandez"/>
    <s v="Maria"/>
    <s v="Medium"/>
    <x v="135"/>
  </r>
  <r>
    <n v="10115"/>
    <n v="27"/>
    <n v="105.33"/>
    <n v="3"/>
    <n v="2843.91"/>
    <d v="2018-04-04T00:00:00"/>
    <s v="Shipped"/>
    <s v="Trucks and Buses"/>
    <n v="115"/>
    <s v="S50_1392"/>
    <x v="14"/>
    <s v="2125558493"/>
    <s v="5905 Pompton St."/>
    <s v="NYC"/>
    <s v="10022"/>
    <s v="USA"/>
    <s v="Hernandez"/>
    <s v="Maria"/>
    <s v="Small"/>
    <x v="136"/>
  </r>
  <r>
    <n v="10116"/>
    <n v="27"/>
    <n v="63.38"/>
    <n v="1"/>
    <n v="1711.26"/>
    <d v="2018-04-11T00:00:00"/>
    <s v="Shipped"/>
    <s v="Trains"/>
    <n v="62"/>
    <s v="S32_3207"/>
    <x v="15"/>
    <s v="(071) 23 67 2555"/>
    <s v="Boulevard Tirou, 255"/>
    <s v="Charleroi"/>
    <s v="B-6000"/>
    <s v="Belgium"/>
    <s v="Cartrain"/>
    <s v="Pascale"/>
    <s v="Small"/>
    <x v="137"/>
  </r>
  <r>
    <n v="10117"/>
    <n v="33"/>
    <n v="182.86"/>
    <n v="9"/>
    <n v="6034.38"/>
    <d v="2018-04-16T00:00:00"/>
    <s v="Shipped"/>
    <s v="Classic Cars"/>
    <n v="207"/>
    <s v="S12_1108"/>
    <x v="16"/>
    <s v="+65 221 7555"/>
    <s v="Bronz Sok., Bronz Apt. 3/6 Tesvikiye"/>
    <s v="Singapore"/>
    <s v="79903"/>
    <s v="Singapore"/>
    <s v="Natividad"/>
    <s v="Eric"/>
    <s v="Medium"/>
    <x v="138"/>
  </r>
  <r>
    <n v="10117"/>
    <n v="43"/>
    <n v="137.47999999999999"/>
    <n v="10"/>
    <n v="5911.64"/>
    <d v="2018-04-16T00:00:00"/>
    <s v="Shipped"/>
    <s v="Classic Cars"/>
    <n v="151"/>
    <s v="S12_3148"/>
    <x v="16"/>
    <s v="+65 221 7555"/>
    <s v="Bronz Sok., Bronz Apt. 3/6 Tesvikiye"/>
    <s v="Singapore"/>
    <s v="79903"/>
    <s v="Singapore"/>
    <s v="Natividad"/>
    <s v="Eric"/>
    <s v="Medium"/>
    <x v="139"/>
  </r>
  <r>
    <n v="10117"/>
    <n v="39"/>
    <n v="152.26"/>
    <n v="8"/>
    <n v="5938.14"/>
    <d v="2018-04-16T00:00:00"/>
    <s v="Shipped"/>
    <s v="Classic Cars"/>
    <n v="173"/>
    <s v="S12_3891"/>
    <x v="16"/>
    <s v="+65 221 7555"/>
    <s v="Bronz Sok., Bronz Apt. 3/6 Tesvikiye"/>
    <s v="Singapore"/>
    <s v="79903"/>
    <s v="Singapore"/>
    <s v="Natividad"/>
    <s v="Eric"/>
    <s v="Medium"/>
    <x v="140"/>
  </r>
  <r>
    <n v="10117"/>
    <n v="26"/>
    <n v="136.59"/>
    <n v="5"/>
    <n v="3551.34"/>
    <d v="2018-04-16T00:00:00"/>
    <s v="Shipped"/>
    <s v="Vintage Cars"/>
    <n v="136"/>
    <s v="S18_3140"/>
    <x v="16"/>
    <s v="+65 221 7555"/>
    <s v="Bronz Sok., Bronz Apt. 3/6 Tesvikiye"/>
    <s v="Singapore"/>
    <s v="79903"/>
    <s v="Singapore"/>
    <s v="Natividad"/>
    <s v="Eric"/>
    <s v="Medium"/>
    <x v="141"/>
  </r>
  <r>
    <n v="10117"/>
    <n v="21"/>
    <n v="95.8"/>
    <n v="7"/>
    <n v="2011.8"/>
    <d v="2018-04-16T00:00:00"/>
    <s v="Shipped"/>
    <s v="Trains"/>
    <n v="100"/>
    <s v="S18_3259"/>
    <x v="16"/>
    <s v="+65 221 7555"/>
    <s v="Bronz Sok., Bronz Apt. 3/6 Tesvikiye"/>
    <s v="Singapore"/>
    <s v="79903"/>
    <s v="Singapore"/>
    <s v="Natividad"/>
    <s v="Eric"/>
    <s v="Small"/>
    <x v="142"/>
  </r>
  <r>
    <n v="10117"/>
    <n v="22"/>
    <n v="126.39"/>
    <n v="12"/>
    <n v="2780.58"/>
    <d v="2018-04-16T00:00:00"/>
    <s v="Shipped"/>
    <s v="Classic Cars"/>
    <n v="143"/>
    <s v="S18_4027"/>
    <x v="16"/>
    <s v="+65 221 7555"/>
    <s v="Bronz Sok., Bronz Apt. 3/6 Tesvikiye"/>
    <s v="Singapore"/>
    <s v="79903"/>
    <s v="Singapore"/>
    <s v="Natividad"/>
    <s v="Eric"/>
    <s v="Small"/>
    <x v="143"/>
  </r>
  <r>
    <n v="10117"/>
    <n v="23"/>
    <n v="97.42"/>
    <n v="4"/>
    <n v="2240.66"/>
    <d v="2018-04-16T00:00:00"/>
    <s v="Shipped"/>
    <s v="Vintage Cars"/>
    <n v="87"/>
    <s v="S18_4522"/>
    <x v="16"/>
    <s v="+65 221 7555"/>
    <s v="Bronz Sok., Bronz Apt. 3/6 Tesvikiye"/>
    <s v="Singapore"/>
    <s v="79903"/>
    <s v="Singapore"/>
    <s v="Natividad"/>
    <s v="Eric"/>
    <s v="Small"/>
    <x v="144"/>
  </r>
  <r>
    <n v="10117"/>
    <n v="41"/>
    <n v="126.58"/>
    <n v="3"/>
    <n v="5189.78"/>
    <d v="2018-04-16T00:00:00"/>
    <s v="Shipped"/>
    <s v="Ships"/>
    <n v="122"/>
    <s v="S24_2011"/>
    <x v="16"/>
    <s v="+65 221 7555"/>
    <s v="Bronz Sok., Bronz Apt. 3/6 Tesvikiye"/>
    <s v="Singapore"/>
    <s v="79903"/>
    <s v="Singapore"/>
    <s v="Natividad"/>
    <s v="Eric"/>
    <s v="Medium"/>
    <x v="145"/>
  </r>
  <r>
    <n v="10117"/>
    <n v="21"/>
    <n v="49.21"/>
    <n v="11"/>
    <n v="1033.4100000000001"/>
    <d v="2018-04-16T00:00:00"/>
    <s v="Shipped"/>
    <s v="Trains"/>
    <n v="58"/>
    <s v="S50_1514"/>
    <x v="16"/>
    <s v="+65 221 7555"/>
    <s v="Bronz Sok., Bronz Apt. 3/6 Tesvikiye"/>
    <s v="Singapore"/>
    <s v="79903"/>
    <s v="Singapore"/>
    <s v="Natividad"/>
    <s v="Eric"/>
    <s v="Small"/>
    <x v="146"/>
  </r>
  <r>
    <n v="10117"/>
    <n v="38"/>
    <n v="79.680000000000007"/>
    <n v="6"/>
    <n v="3027.84"/>
    <d v="2018-04-16T00:00:00"/>
    <s v="Shipped"/>
    <s v="Ships"/>
    <n v="86"/>
    <s v="S700_1938"/>
    <x v="16"/>
    <s v="+65 221 7555"/>
    <s v="Bronz Sok., Bronz Apt. 3/6 Tesvikiye"/>
    <s v="Singapore"/>
    <s v="79903"/>
    <s v="Singapore"/>
    <s v="Natividad"/>
    <s v="Eric"/>
    <s v="Medium"/>
    <x v="147"/>
  </r>
  <r>
    <n v="10117"/>
    <n v="45"/>
    <n v="83.42"/>
    <n v="1"/>
    <n v="3753.9"/>
    <d v="2018-04-16T00:00:00"/>
    <s v="Shipped"/>
    <s v="Ships"/>
    <n v="99"/>
    <s v="S700_3962"/>
    <x v="16"/>
    <s v="+65 221 7555"/>
    <s v="Bronz Sok., Bronz Apt. 3/6 Tesvikiye"/>
    <s v="Singapore"/>
    <s v="79903"/>
    <s v="Singapore"/>
    <s v="Natividad"/>
    <s v="Eric"/>
    <s v="Medium"/>
    <x v="148"/>
  </r>
  <r>
    <n v="10117"/>
    <n v="50"/>
    <n v="43.68"/>
    <n v="2"/>
    <n v="2184"/>
    <d v="2018-04-16T00:00:00"/>
    <s v="Shipped"/>
    <s v="Ships"/>
    <n v="54"/>
    <s v="S72_3212"/>
    <x v="16"/>
    <s v="+65 221 7555"/>
    <s v="Bronz Sok., Bronz Apt. 3/6 Tesvikiye"/>
    <s v="Singapore"/>
    <s v="79903"/>
    <s v="Singapore"/>
    <s v="Natividad"/>
    <s v="Eric"/>
    <s v="Small"/>
    <x v="149"/>
  </r>
  <r>
    <n v="10118"/>
    <n v="36"/>
    <n v="117.2"/>
    <n v="1"/>
    <n v="4219.2"/>
    <d v="2018-04-21T00:00:00"/>
    <s v="Shipped"/>
    <s v="Ships"/>
    <n v="100"/>
    <s v="S700_3505"/>
    <x v="17"/>
    <s v="(93) 203 4555"/>
    <s v="Rambla de Catalu¤a, 23"/>
    <s v="Barcelona"/>
    <s v="8022"/>
    <s v="Spain"/>
    <s v="Saavedra"/>
    <s v="Eduardo"/>
    <s v="Medium"/>
    <x v="150"/>
  </r>
  <r>
    <n v="10119"/>
    <n v="46"/>
    <n v="108.8"/>
    <n v="11"/>
    <n v="5004.8"/>
    <d v="2018-04-28T00:00:00"/>
    <s v="Shipped"/>
    <s v="Classic Cars"/>
    <n v="136"/>
    <s v="S10_4757"/>
    <x v="18"/>
    <s v="6562-9555"/>
    <s v="Geislweg 14"/>
    <s v="Salzburg"/>
    <s v="5020"/>
    <s v="Austria"/>
    <s v="Pipps"/>
    <s v="Georg"/>
    <s v="Medium"/>
    <x v="151"/>
  </r>
  <r>
    <n v="10119"/>
    <n v="43"/>
    <n v="160.84"/>
    <n v="3"/>
    <n v="6916.12"/>
    <d v="2018-04-28T00:00:00"/>
    <s v="Shipped"/>
    <s v="Planes"/>
    <n v="157"/>
    <s v="S18_1662"/>
    <x v="18"/>
    <s v="6562-9555"/>
    <s v="Geislweg 14"/>
    <s v="Salzburg"/>
    <s v="5020"/>
    <s v="Austria"/>
    <s v="Pipps"/>
    <s v="Georg"/>
    <s v="Medium"/>
    <x v="152"/>
  </r>
  <r>
    <n v="10119"/>
    <n v="21"/>
    <n v="89.46"/>
    <n v="9"/>
    <n v="1878.66"/>
    <d v="2018-04-28T00:00:00"/>
    <s v="Shipped"/>
    <s v="Ships"/>
    <n v="86"/>
    <s v="S18_3029"/>
    <x v="18"/>
    <s v="6562-9555"/>
    <s v="Geislweg 14"/>
    <s v="Salzburg"/>
    <s v="5020"/>
    <s v="Austria"/>
    <s v="Pipps"/>
    <s v="Georg"/>
    <s v="Small"/>
    <x v="153"/>
  </r>
  <r>
    <n v="10119"/>
    <n v="27"/>
    <n v="99.52"/>
    <n v="8"/>
    <n v="2687.04"/>
    <d v="2018-04-28T00:00:00"/>
    <s v="Shipped"/>
    <s v="Vintage Cars"/>
    <n v="105"/>
    <s v="S18_3856"/>
    <x v="18"/>
    <s v="6562-9555"/>
    <s v="Geislweg 14"/>
    <s v="Salzburg"/>
    <s v="5020"/>
    <s v="Austria"/>
    <s v="Pipps"/>
    <s v="Georg"/>
    <s v="Small"/>
    <x v="154"/>
  </r>
  <r>
    <n v="10119"/>
    <n v="41"/>
    <n v="59.6"/>
    <n v="4"/>
    <n v="2443.6"/>
    <d v="2018-04-28T00:00:00"/>
    <s v="Shipped"/>
    <s v="Planes"/>
    <n v="68"/>
    <s v="S24_2841"/>
    <x v="18"/>
    <s v="6562-9555"/>
    <s v="Geislweg 14"/>
    <s v="Salzburg"/>
    <s v="5020"/>
    <s v="Austria"/>
    <s v="Pipps"/>
    <s v="Georg"/>
    <s v="Small"/>
    <x v="155"/>
  </r>
  <r>
    <n v="10119"/>
    <n v="35"/>
    <n v="87.62"/>
    <n v="13"/>
    <n v="3066.7"/>
    <d v="2018-04-28T00:00:00"/>
    <s v="Shipped"/>
    <s v="Vintage Cars"/>
    <n v="88"/>
    <s v="S24_3151"/>
    <x v="18"/>
    <s v="6562-9555"/>
    <s v="Geislweg 14"/>
    <s v="Salzburg"/>
    <s v="5020"/>
    <s v="Austria"/>
    <s v="Pipps"/>
    <s v="Georg"/>
    <s v="Medium"/>
    <x v="156"/>
  </r>
  <r>
    <n v="10119"/>
    <n v="20"/>
    <n v="72.98"/>
    <n v="5"/>
    <n v="1459.6"/>
    <d v="2018-04-28T00:00:00"/>
    <s v="Shipped"/>
    <s v="Vintage Cars"/>
    <n v="65"/>
    <s v="S24_3420"/>
    <x v="18"/>
    <s v="6562-9555"/>
    <s v="Geislweg 14"/>
    <s v="Salzburg"/>
    <s v="5020"/>
    <s v="Austria"/>
    <s v="Pipps"/>
    <s v="Georg"/>
    <s v="Small"/>
    <x v="157"/>
  </r>
  <r>
    <n v="10119"/>
    <n v="35"/>
    <n v="90.57"/>
    <n v="10"/>
    <n v="3169.95"/>
    <d v="2018-04-28T00:00:00"/>
    <s v="Shipped"/>
    <s v="Vintage Cars"/>
    <n v="83"/>
    <s v="S24_3816"/>
    <x v="18"/>
    <s v="6562-9555"/>
    <s v="Geislweg 14"/>
    <s v="Salzburg"/>
    <s v="5020"/>
    <s v="Austria"/>
    <s v="Pipps"/>
    <s v="Georg"/>
    <s v="Medium"/>
    <x v="158"/>
  </r>
  <r>
    <n v="10119"/>
    <n v="28"/>
    <n v="70.290000000000006"/>
    <n v="2"/>
    <n v="1968.12"/>
    <d v="2018-04-28T00:00:00"/>
    <s v="Shipped"/>
    <s v="Planes"/>
    <n v="68"/>
    <s v="S24_3949"/>
    <x v="18"/>
    <s v="6562-9555"/>
    <s v="Geislweg 14"/>
    <s v="Salzburg"/>
    <s v="5020"/>
    <s v="Austria"/>
    <s v="Pipps"/>
    <s v="Georg"/>
    <s v="Small"/>
    <x v="159"/>
  </r>
  <r>
    <n v="10119"/>
    <n v="25"/>
    <n v="76.67"/>
    <n v="14"/>
    <n v="1916.75"/>
    <d v="2018-04-28T00:00:00"/>
    <s v="Shipped"/>
    <s v="Ships"/>
    <n v="66"/>
    <s v="S700_1138"/>
    <x v="18"/>
    <s v="6562-9555"/>
    <s v="Geislweg 14"/>
    <s v="Salzburg"/>
    <s v="5020"/>
    <s v="Austria"/>
    <s v="Pipps"/>
    <s v="Georg"/>
    <s v="Small"/>
    <x v="160"/>
  </r>
  <r>
    <n v="10119"/>
    <n v="29"/>
    <n v="94.14"/>
    <n v="7"/>
    <n v="2730.06"/>
    <d v="2018-04-28T00:00:00"/>
    <s v="Shipped"/>
    <s v="Ships"/>
    <n v="90"/>
    <s v="S700_2047"/>
    <x v="18"/>
    <s v="6562-9555"/>
    <s v="Geislweg 14"/>
    <s v="Salzburg"/>
    <s v="5020"/>
    <s v="Austria"/>
    <s v="Pipps"/>
    <s v="Georg"/>
    <s v="Small"/>
    <x v="161"/>
  </r>
  <r>
    <n v="10119"/>
    <n v="38"/>
    <n v="65.77"/>
    <n v="12"/>
    <n v="2499.2600000000002"/>
    <d v="2018-04-28T00:00:00"/>
    <s v="Shipped"/>
    <s v="Ships"/>
    <n v="72"/>
    <s v="S700_2610"/>
    <x v="18"/>
    <s v="6562-9555"/>
    <s v="Geislweg 14"/>
    <s v="Salzburg"/>
    <s v="5020"/>
    <s v="Austria"/>
    <s v="Pipps"/>
    <s v="Georg"/>
    <s v="Small"/>
    <x v="162"/>
  </r>
  <r>
    <n v="10119"/>
    <n v="26"/>
    <n v="59.22"/>
    <n v="1"/>
    <n v="1539.72"/>
    <d v="2018-04-28T00:00:00"/>
    <s v="Shipped"/>
    <s v="Planes"/>
    <n v="74"/>
    <s v="S700_4002"/>
    <x v="18"/>
    <s v="6562-9555"/>
    <s v="Geislweg 14"/>
    <s v="Salzburg"/>
    <s v="5020"/>
    <s v="Austria"/>
    <s v="Pipps"/>
    <s v="Georg"/>
    <s v="Small"/>
    <x v="163"/>
  </r>
  <r>
    <n v="10119"/>
    <n v="28"/>
    <n v="48.17"/>
    <n v="6"/>
    <n v="1348.76"/>
    <d v="2018-04-28T00:00:00"/>
    <s v="Shipped"/>
    <s v="Planes"/>
    <n v="49"/>
    <s v="S72_1253"/>
    <x v="18"/>
    <s v="6562-9555"/>
    <s v="Geislweg 14"/>
    <s v="Salzburg"/>
    <s v="5020"/>
    <s v="Austria"/>
    <s v="Pipps"/>
    <s v="Georg"/>
    <s v="Small"/>
    <x v="164"/>
  </r>
  <r>
    <n v="10120"/>
    <n v="29"/>
    <n v="96.34"/>
    <n v="3"/>
    <n v="2793.86"/>
    <d v="2018-04-29T00:00:00"/>
    <s v="Shipped"/>
    <s v="Motorcycles"/>
    <n v="118"/>
    <s v="S10_2016"/>
    <x v="19"/>
    <s v="03 9520 4555"/>
    <s v="636 St Kilda Road"/>
    <s v="Melbourne"/>
    <s v="3004"/>
    <s v="Australia"/>
    <s v="Ferguson"/>
    <s v="Peter"/>
    <s v="Small"/>
    <x v="165"/>
  </r>
  <r>
    <n v="10120"/>
    <n v="46"/>
    <n v="201.41"/>
    <n v="2"/>
    <n v="9264.86"/>
    <d v="2018-04-29T00:00:00"/>
    <s v="Shipped"/>
    <s v="Motorcycles"/>
    <n v="193"/>
    <s v="S10_4698"/>
    <x v="19"/>
    <s v="03 9520 4555"/>
    <s v="636 St Kilda Road"/>
    <s v="Melbourne"/>
    <s v="3004"/>
    <s v="Australia"/>
    <s v="Ferguson"/>
    <s v="Peter"/>
    <s v="Large"/>
    <x v="166"/>
  </r>
  <r>
    <n v="10120"/>
    <n v="29"/>
    <n v="71.81"/>
    <n v="8"/>
    <n v="2082.4899999999998"/>
    <d v="2018-04-29T00:00:00"/>
    <s v="Shipped"/>
    <s v="Planes"/>
    <n v="84"/>
    <s v="S18_2581"/>
    <x v="19"/>
    <s v="03 9520 4555"/>
    <s v="636 St Kilda Road"/>
    <s v="Melbourne"/>
    <s v="3004"/>
    <s v="Australia"/>
    <s v="Ferguson"/>
    <s v="Peter"/>
    <s v="Small"/>
    <x v="167"/>
  </r>
  <r>
    <n v="10120"/>
    <n v="46"/>
    <n v="58.15"/>
    <n v="4"/>
    <n v="2674.9"/>
    <d v="2018-04-29T00:00:00"/>
    <s v="Shipped"/>
    <s v="Motorcycles"/>
    <n v="60"/>
    <s v="S18_2625"/>
    <x v="19"/>
    <s v="03 9520 4555"/>
    <s v="636 St Kilda Road"/>
    <s v="Melbourne"/>
    <s v="3004"/>
    <s v="Australia"/>
    <s v="Ferguson"/>
    <s v="Peter"/>
    <s v="Small"/>
    <x v="168"/>
  </r>
  <r>
    <n v="10120"/>
    <n v="35"/>
    <n v="98.05"/>
    <n v="1"/>
    <n v="3431.75"/>
    <d v="2018-04-29T00:00:00"/>
    <s v="Shipped"/>
    <s v="Motorcycles"/>
    <n v="112"/>
    <s v="S24_1578"/>
    <x v="19"/>
    <s v="03 9520 4555"/>
    <s v="636 St Kilda Road"/>
    <s v="Melbourne"/>
    <s v="3004"/>
    <s v="Australia"/>
    <s v="Ferguson"/>
    <s v="Peter"/>
    <s v="Medium"/>
    <x v="169"/>
  </r>
  <r>
    <n v="10120"/>
    <n v="39"/>
    <n v="119.27"/>
    <n v="10"/>
    <n v="4651.53"/>
    <d v="2018-04-29T00:00:00"/>
    <s v="Shipped"/>
    <s v="Planes"/>
    <n v="109"/>
    <s v="S24_1785"/>
    <x v="19"/>
    <s v="03 9520 4555"/>
    <s v="636 St Kilda Road"/>
    <s v="Melbourne"/>
    <s v="3004"/>
    <s v="Australia"/>
    <s v="Ferguson"/>
    <s v="Peter"/>
    <s v="Medium"/>
    <x v="170"/>
  </r>
  <r>
    <n v="10120"/>
    <n v="34"/>
    <n v="83.79"/>
    <n v="5"/>
    <n v="2848.86"/>
    <d v="2018-04-29T00:00:00"/>
    <s v="Shipped"/>
    <s v="Motorcycles"/>
    <n v="76"/>
    <s v="S24_2000"/>
    <x v="19"/>
    <s v="03 9520 4555"/>
    <s v="636 St Kilda Road"/>
    <s v="Melbourne"/>
    <s v="3004"/>
    <s v="Australia"/>
    <s v="Ferguson"/>
    <s v="Peter"/>
    <s v="Small"/>
    <x v="171"/>
  </r>
  <r>
    <n v="10120"/>
    <n v="29"/>
    <n v="85.49"/>
    <n v="9"/>
    <n v="2479.21"/>
    <d v="2018-04-29T00:00:00"/>
    <s v="Shipped"/>
    <s v="Planes"/>
    <n v="72"/>
    <s v="S24_4278"/>
    <x v="19"/>
    <s v="03 9520 4555"/>
    <s v="636 St Kilda Road"/>
    <s v="Melbourne"/>
    <s v="3004"/>
    <s v="Australia"/>
    <s v="Ferguson"/>
    <s v="Peter"/>
    <s v="Small"/>
    <x v="172"/>
  </r>
  <r>
    <n v="10120"/>
    <n v="22"/>
    <n v="111.88"/>
    <n v="6"/>
    <n v="2461.36"/>
    <d v="2018-04-29T00:00:00"/>
    <s v="Shipped"/>
    <s v="Motorcycles"/>
    <n v="99"/>
    <s v="S32_1374"/>
    <x v="19"/>
    <s v="03 9520 4555"/>
    <s v="636 St Kilda Road"/>
    <s v="Melbourne"/>
    <s v="3004"/>
    <s v="Australia"/>
    <s v="Ferguson"/>
    <s v="Peter"/>
    <s v="Small"/>
    <x v="173"/>
  </r>
  <r>
    <n v="10120"/>
    <n v="29"/>
    <n v="72.23"/>
    <n v="11"/>
    <n v="2094.67"/>
    <d v="2018-04-29T00:00:00"/>
    <s v="Shipped"/>
    <s v="Vintage Cars"/>
    <n v="68"/>
    <s v="S32_4289"/>
    <x v="19"/>
    <s v="03 9520 4555"/>
    <s v="636 St Kilda Road"/>
    <s v="Melbourne"/>
    <s v="3004"/>
    <s v="Australia"/>
    <s v="Ferguson"/>
    <s v="Peter"/>
    <s v="Small"/>
    <x v="174"/>
  </r>
  <r>
    <n v="10120"/>
    <n v="49"/>
    <n v="50.62"/>
    <n v="12"/>
    <n v="2480.38"/>
    <d v="2018-04-29T00:00:00"/>
    <s v="Shipped"/>
    <s v="Vintage Cars"/>
    <n v="43"/>
    <s v="S50_1341"/>
    <x v="19"/>
    <s v="03 9520 4555"/>
    <s v="636 St Kilda Road"/>
    <s v="Melbourne"/>
    <s v="3004"/>
    <s v="Australia"/>
    <s v="Ferguson"/>
    <s v="Peter"/>
    <s v="Small"/>
    <x v="175"/>
  </r>
  <r>
    <n v="10120"/>
    <n v="47"/>
    <n v="82.21"/>
    <n v="13"/>
    <n v="3863.87"/>
    <d v="2018-04-29T00:00:00"/>
    <s v="Shipped"/>
    <s v="Planes"/>
    <n v="91"/>
    <s v="S700_1691"/>
    <x v="19"/>
    <s v="03 9520 4555"/>
    <s v="636 St Kilda Road"/>
    <s v="Melbourne"/>
    <s v="3004"/>
    <s v="Australia"/>
    <s v="Ferguson"/>
    <s v="Peter"/>
    <s v="Medium"/>
    <x v="176"/>
  </r>
  <r>
    <n v="10120"/>
    <n v="24"/>
    <n v="107.7"/>
    <n v="15"/>
    <n v="2584.8000000000002"/>
    <d v="2018-04-29T00:00:00"/>
    <s v="Shipped"/>
    <s v="Planes"/>
    <n v="99"/>
    <s v="S700_2466"/>
    <x v="19"/>
    <s v="03 9520 4555"/>
    <s v="636 St Kilda Road"/>
    <s v="Melbourne"/>
    <s v="3004"/>
    <s v="Australia"/>
    <s v="Ferguson"/>
    <s v="Peter"/>
    <s v="Small"/>
    <x v="177"/>
  </r>
  <r>
    <n v="10120"/>
    <n v="24"/>
    <n v="142.38"/>
    <n v="7"/>
    <n v="3417.12"/>
    <d v="2018-04-29T00:00:00"/>
    <s v="Shipped"/>
    <s v="Planes"/>
    <n v="118"/>
    <s v="S700_2834"/>
    <x v="19"/>
    <s v="03 9520 4555"/>
    <s v="636 St Kilda Road"/>
    <s v="Melbourne"/>
    <s v="3004"/>
    <s v="Australia"/>
    <s v="Ferguson"/>
    <s v="Peter"/>
    <s v="Medium"/>
    <x v="178"/>
  </r>
  <r>
    <n v="10120"/>
    <n v="43"/>
    <n v="76"/>
    <n v="14"/>
    <n v="3268"/>
    <d v="2018-04-29T00:00:00"/>
    <s v="Shipped"/>
    <s v="Planes"/>
    <n v="80"/>
    <s v="S700_3167"/>
    <x v="19"/>
    <s v="03 9520 4555"/>
    <s v="636 St Kilda Road"/>
    <s v="Melbourne"/>
    <s v="3004"/>
    <s v="Australia"/>
    <s v="Ferguson"/>
    <s v="Peter"/>
    <s v="Medium"/>
    <x v="179"/>
  </r>
  <r>
    <n v="10121"/>
    <n v="34"/>
    <n v="81.349999999999994"/>
    <n v="5"/>
    <n v="2765.9"/>
    <d v="2018-05-07T00:00:00"/>
    <s v="Shipped"/>
    <s v="Motorcycles"/>
    <n v="95"/>
    <s v="S10_1678"/>
    <x v="20"/>
    <s v="26.47.1555"/>
    <s v="59 rue de l'Abbaye"/>
    <s v="Reims"/>
    <s v="51100"/>
    <s v="France"/>
    <s v="Henriot"/>
    <s v="Paul"/>
    <s v="Small"/>
    <x v="180"/>
  </r>
  <r>
    <n v="10121"/>
    <n v="50"/>
    <n v="165.68"/>
    <n v="4"/>
    <n v="8284"/>
    <d v="2018-05-07T00:00:00"/>
    <s v="Shipped"/>
    <s v="Motorcycles"/>
    <n v="150"/>
    <s v="S12_2823"/>
    <x v="20"/>
    <s v="26.47.1555"/>
    <s v="59 rue de l'Abbaye"/>
    <s v="Reims"/>
    <s v="51100"/>
    <s v="France"/>
    <s v="Henriot"/>
    <s v="Paul"/>
    <s v="Large"/>
    <x v="181"/>
  </r>
  <r>
    <n v="10121"/>
    <n v="32"/>
    <n v="76.88"/>
    <n v="2"/>
    <n v="2460.16"/>
    <d v="2018-05-07T00:00:00"/>
    <s v="Shipped"/>
    <s v="Motorcycles"/>
    <n v="69"/>
    <s v="S24_2360"/>
    <x v="20"/>
    <s v="26.47.1555"/>
    <s v="59 rue de l'Abbaye"/>
    <s v="Reims"/>
    <s v="51100"/>
    <s v="France"/>
    <s v="Henriot"/>
    <s v="Paul"/>
    <s v="Small"/>
    <x v="182"/>
  </r>
  <r>
    <n v="10121"/>
    <n v="25"/>
    <n v="86.74"/>
    <n v="3"/>
    <n v="2168.5"/>
    <d v="2018-05-07T00:00:00"/>
    <s v="Shipped"/>
    <s v="Motorcycles"/>
    <n v="102"/>
    <s v="S32_4485"/>
    <x v="20"/>
    <s v="26.47.1555"/>
    <s v="59 rue de l'Abbaye"/>
    <s v="Reims"/>
    <s v="51100"/>
    <s v="France"/>
    <s v="Henriot"/>
    <s v="Paul"/>
    <s v="Small"/>
    <x v="183"/>
  </r>
  <r>
    <n v="10121"/>
    <n v="44"/>
    <n v="74.849999999999994"/>
    <n v="1"/>
    <n v="3293.4"/>
    <d v="2018-05-07T00:00:00"/>
    <s v="Shipped"/>
    <s v="Motorcycles"/>
    <n v="81"/>
    <s v="S50_4713"/>
    <x v="20"/>
    <s v="26.47.1555"/>
    <s v="59 rue de l'Abbaye"/>
    <s v="Reims"/>
    <s v="51100"/>
    <s v="France"/>
    <s v="Henriot"/>
    <s v="Paul"/>
    <s v="Medium"/>
    <x v="184"/>
  </r>
  <r>
    <n v="10122"/>
    <n v="42"/>
    <n v="180.95"/>
    <n v="10"/>
    <n v="7599.9"/>
    <d v="2018-05-08T00:00:00"/>
    <s v="Shipped"/>
    <s v="Classic Cars"/>
    <n v="194"/>
    <s v="S12_1099"/>
    <x v="21"/>
    <s v="91.24.4555"/>
    <s v="12, rue des Bouchers"/>
    <s v="Marseille"/>
    <s v="13008"/>
    <s v="France"/>
    <s v="Lebihan"/>
    <s v="Laurence"/>
    <s v="Large"/>
    <x v="185"/>
  </r>
  <r>
    <n v="10122"/>
    <n v="37"/>
    <n v="99.82"/>
    <n v="8"/>
    <n v="3693.34"/>
    <d v="2018-05-08T00:00:00"/>
    <s v="Shipped"/>
    <s v="Classic Cars"/>
    <n v="117"/>
    <s v="S12_3380"/>
    <x v="21"/>
    <s v="91.24.4555"/>
    <s v="12, rue des Bouchers"/>
    <s v="Marseille"/>
    <s v="13008"/>
    <s v="France"/>
    <s v="Lebihan"/>
    <s v="Laurence"/>
    <s v="Medium"/>
    <x v="186"/>
  </r>
  <r>
    <n v="10122"/>
    <n v="32"/>
    <n v="63.84"/>
    <n v="11"/>
    <n v="2042.88"/>
    <d v="2018-05-08T00:00:00"/>
    <s v="Shipped"/>
    <s v="Classic Cars"/>
    <n v="79"/>
    <s v="S12_3990"/>
    <x v="21"/>
    <s v="91.24.4555"/>
    <s v="12, rue des Bouchers"/>
    <s v="Marseille"/>
    <s v="13008"/>
    <s v="France"/>
    <s v="Lebihan"/>
    <s v="Laurence"/>
    <s v="Small"/>
    <x v="187"/>
  </r>
  <r>
    <n v="10122"/>
    <n v="20"/>
    <n v="107.1"/>
    <n v="7"/>
    <n v="2142"/>
    <d v="2018-05-08T00:00:00"/>
    <s v="Shipped"/>
    <s v="Classic Cars"/>
    <n v="115"/>
    <s v="S12_4675"/>
    <x v="21"/>
    <s v="91.24.4555"/>
    <s v="12, rue des Bouchers"/>
    <s v="Marseille"/>
    <s v="13008"/>
    <s v="France"/>
    <s v="Lebihan"/>
    <s v="Laurence"/>
    <s v="Small"/>
    <x v="188"/>
  </r>
  <r>
    <n v="10122"/>
    <n v="34"/>
    <n v="147.19999999999999"/>
    <n v="2"/>
    <n v="5004.8"/>
    <d v="2018-05-08T00:00:00"/>
    <s v="Shipped"/>
    <s v="Classic Cars"/>
    <n v="141"/>
    <s v="S18_1129"/>
    <x v="21"/>
    <s v="91.24.4555"/>
    <s v="12, rue des Bouchers"/>
    <s v="Marseille"/>
    <s v="13008"/>
    <s v="France"/>
    <s v="Lebihan"/>
    <s v="Laurence"/>
    <s v="Medium"/>
    <x v="189"/>
  </r>
  <r>
    <n v="10122"/>
    <n v="43"/>
    <n v="72.38"/>
    <n v="6"/>
    <n v="3112.34"/>
    <d v="2018-05-08T00:00:00"/>
    <s v="Shipped"/>
    <s v="Classic Cars"/>
    <n v="77"/>
    <s v="S18_1889"/>
    <x v="21"/>
    <s v="91.24.4555"/>
    <s v="12, rue des Bouchers"/>
    <s v="Marseille"/>
    <s v="13008"/>
    <s v="France"/>
    <s v="Lebihan"/>
    <s v="Laurence"/>
    <s v="Medium"/>
    <x v="190"/>
  </r>
  <r>
    <n v="10122"/>
    <n v="31"/>
    <n v="132.29"/>
    <n v="1"/>
    <n v="4100.99"/>
    <d v="2018-05-08T00:00:00"/>
    <s v="Shipped"/>
    <s v="Classic Cars"/>
    <n v="142"/>
    <s v="S18_1984"/>
    <x v="21"/>
    <s v="91.24.4555"/>
    <s v="12, rue des Bouchers"/>
    <s v="Marseille"/>
    <s v="13008"/>
    <s v="France"/>
    <s v="Lebihan"/>
    <s v="Laurence"/>
    <s v="Medium"/>
    <x v="191"/>
  </r>
  <r>
    <n v="10122"/>
    <n v="25"/>
    <n v="143.94"/>
    <n v="3"/>
    <n v="3598.5"/>
    <d v="2018-05-08T00:00:00"/>
    <s v="Shipped"/>
    <s v="Classic Cars"/>
    <n v="169"/>
    <s v="S18_3232"/>
    <x v="21"/>
    <s v="91.24.4555"/>
    <s v="12, rue des Bouchers"/>
    <s v="Marseille"/>
    <s v="13008"/>
    <s v="France"/>
    <s v="Lebihan"/>
    <s v="Laurence"/>
    <s v="Medium"/>
    <x v="192"/>
  </r>
  <r>
    <n v="10122"/>
    <n v="21"/>
    <n v="73.17"/>
    <n v="13"/>
    <n v="1536.57"/>
    <d v="2018-05-08T00:00:00"/>
    <s v="Shipped"/>
    <s v="Classic Cars"/>
    <n v="80"/>
    <s v="S18_3278"/>
    <x v="21"/>
    <s v="91.24.4555"/>
    <s v="12, rue des Bouchers"/>
    <s v="Marseille"/>
    <s v="13008"/>
    <s v="France"/>
    <s v="Lebihan"/>
    <s v="Laurence"/>
    <s v="Small"/>
    <x v="193"/>
  </r>
  <r>
    <n v="10122"/>
    <n v="21"/>
    <n v="117.59"/>
    <n v="12"/>
    <n v="2469.39"/>
    <d v="2018-05-08T00:00:00"/>
    <s v="Shipped"/>
    <s v="Classic Cars"/>
    <n v="146"/>
    <s v="S18_3482"/>
    <x v="21"/>
    <s v="91.24.4555"/>
    <s v="12, rue des Bouchers"/>
    <s v="Marseille"/>
    <s v="13008"/>
    <s v="France"/>
    <s v="Lebihan"/>
    <s v="Laurence"/>
    <s v="Small"/>
    <x v="194"/>
  </r>
  <r>
    <n v="10122"/>
    <n v="35"/>
    <n v="49.74"/>
    <n v="16"/>
    <n v="1740.9"/>
    <d v="2018-05-08T00:00:00"/>
    <s v="Shipped"/>
    <s v="Motorcycles"/>
    <n v="62"/>
    <s v="S18_3782"/>
    <x v="21"/>
    <s v="91.24.4555"/>
    <s v="12, rue des Bouchers"/>
    <s v="Marseille"/>
    <s v="13008"/>
    <s v="France"/>
    <s v="Lebihan"/>
    <s v="Laurence"/>
    <s v="Small"/>
    <x v="195"/>
  </r>
  <r>
    <n v="10122"/>
    <n v="28"/>
    <n v="127.97"/>
    <n v="15"/>
    <n v="3583.16"/>
    <d v="2018-05-08T00:00:00"/>
    <s v="Shipped"/>
    <s v="Classic Cars"/>
    <n v="148"/>
    <s v="S18_4721"/>
    <x v="21"/>
    <s v="91.24.4555"/>
    <s v="12, rue des Bouchers"/>
    <s v="Marseille"/>
    <s v="13008"/>
    <s v="France"/>
    <s v="Lebihan"/>
    <s v="Laurence"/>
    <s v="Medium"/>
    <x v="196"/>
  </r>
  <r>
    <n v="10122"/>
    <n v="39"/>
    <n v="30.96"/>
    <n v="4"/>
    <n v="1207.44"/>
    <d v="2018-05-08T00:00:00"/>
    <s v="Shipped"/>
    <s v="Classic Cars"/>
    <n v="37"/>
    <s v="S24_2972"/>
    <x v="21"/>
    <s v="91.24.4555"/>
    <s v="12, rue des Bouchers"/>
    <s v="Marseille"/>
    <s v="13008"/>
    <s v="France"/>
    <s v="Lebihan"/>
    <s v="Laurence"/>
    <s v="Small"/>
    <x v="197"/>
  </r>
  <r>
    <n v="10122"/>
    <n v="34"/>
    <n v="50.21"/>
    <n v="9"/>
    <n v="1707.14"/>
    <d v="2018-05-08T00:00:00"/>
    <s v="Shipped"/>
    <s v="Classic Cars"/>
    <n v="61"/>
    <s v="S24_3371"/>
    <x v="21"/>
    <s v="91.24.4555"/>
    <s v="12, rue des Bouchers"/>
    <s v="Marseille"/>
    <s v="13008"/>
    <s v="France"/>
    <s v="Lebihan"/>
    <s v="Laurence"/>
    <s v="Small"/>
    <x v="198"/>
  </r>
  <r>
    <n v="10122"/>
    <n v="43"/>
    <n v="127.79"/>
    <n v="5"/>
    <n v="5494.97"/>
    <d v="2018-05-08T00:00:00"/>
    <s v="Shipped"/>
    <s v="Classic Cars"/>
    <n v="140"/>
    <s v="S24_3856"/>
    <x v="21"/>
    <s v="91.24.4555"/>
    <s v="12, rue des Bouchers"/>
    <s v="Marseille"/>
    <s v="13008"/>
    <s v="France"/>
    <s v="Lebihan"/>
    <s v="Laurence"/>
    <s v="Medium"/>
    <x v="199"/>
  </r>
  <r>
    <n v="10122"/>
    <n v="29"/>
    <n v="71.14"/>
    <n v="14"/>
    <n v="2063.06"/>
    <d v="2018-05-08T00:00:00"/>
    <s v="Shipped"/>
    <s v="Classic Cars"/>
    <n v="80"/>
    <s v="S24_4620"/>
    <x v="21"/>
    <s v="91.24.4555"/>
    <s v="12, rue des Bouchers"/>
    <s v="Marseille"/>
    <s v="13008"/>
    <s v="France"/>
    <s v="Lebihan"/>
    <s v="Laurence"/>
    <s v="Small"/>
    <x v="200"/>
  </r>
  <r>
    <n v="10122"/>
    <n v="31"/>
    <n v="44.66"/>
    <n v="17"/>
    <n v="1384.46"/>
    <d v="2018-05-08T00:00:00"/>
    <s v="Shipped"/>
    <s v="Motorcycles"/>
    <n v="40"/>
    <s v="S32_2206"/>
    <x v="21"/>
    <s v="91.24.4555"/>
    <s v="12, rue des Bouchers"/>
    <s v="Marseille"/>
    <s v="13008"/>
    <s v="France"/>
    <s v="Lebihan"/>
    <s v="Laurence"/>
    <s v="Small"/>
    <x v="201"/>
  </r>
  <r>
    <n v="10123"/>
    <n v="26"/>
    <n v="118.22"/>
    <n v="2"/>
    <n v="3073.72"/>
    <d v="2018-05-20T00:00:00"/>
    <s v="Shipped"/>
    <s v="Classic Cars"/>
    <n v="124"/>
    <s v="S18_1589"/>
    <x v="22"/>
    <s v="40.32.2555"/>
    <s v="54, rue Royale"/>
    <s v="Nantes"/>
    <s v="44000"/>
    <s v="France"/>
    <s v="Schmitt"/>
    <s v="Carine"/>
    <s v="Medium"/>
    <x v="202"/>
  </r>
  <r>
    <n v="10123"/>
    <n v="46"/>
    <n v="112.2"/>
    <n v="3"/>
    <n v="5161.2"/>
    <d v="2018-05-20T00:00:00"/>
    <s v="Shipped"/>
    <s v="Classic Cars"/>
    <n v="132"/>
    <s v="S18_2870"/>
    <x v="22"/>
    <s v="40.32.2555"/>
    <s v="54, rue Royale"/>
    <s v="Nantes"/>
    <s v="44000"/>
    <s v="France"/>
    <s v="Schmitt"/>
    <s v="Carine"/>
    <s v="Medium"/>
    <x v="203"/>
  </r>
  <r>
    <n v="10123"/>
    <n v="34"/>
    <n v="156.82"/>
    <n v="4"/>
    <n v="5331.88"/>
    <d v="2018-05-20T00:00:00"/>
    <s v="Shipped"/>
    <s v="Classic Cars"/>
    <n v="141"/>
    <s v="S18_3685"/>
    <x v="22"/>
    <s v="40.32.2555"/>
    <s v="54, rue Royale"/>
    <s v="Nantes"/>
    <s v="44000"/>
    <s v="France"/>
    <s v="Schmitt"/>
    <s v="Carine"/>
    <s v="Medium"/>
    <x v="204"/>
  </r>
  <r>
    <n v="10123"/>
    <n v="50"/>
    <n v="59.87"/>
    <n v="1"/>
    <n v="2993.5"/>
    <d v="2018-05-20T00:00:00"/>
    <s v="Shipped"/>
    <s v="Classic Cars"/>
    <n v="50"/>
    <s v="S24_1628"/>
    <x v="22"/>
    <s v="40.32.2555"/>
    <s v="54, rue Royale"/>
    <s v="Nantes"/>
    <s v="44000"/>
    <s v="France"/>
    <s v="Schmitt"/>
    <s v="Carine"/>
    <s v="Small"/>
    <x v="205"/>
  </r>
  <r>
    <n v="10125"/>
    <n v="32"/>
    <n v="101.71"/>
    <n v="1"/>
    <n v="3254.72"/>
    <d v="2018-05-21T00:00:00"/>
    <s v="Shipped"/>
    <s v="Vintage Cars"/>
    <n v="102"/>
    <s v="S18_1342"/>
    <x v="19"/>
    <s v="03 9520 4555"/>
    <s v="636 St Kilda Road"/>
    <s v="Melbourne"/>
    <s v="3004"/>
    <s v="Australia"/>
    <s v="Ferguson"/>
    <s v="Peter"/>
    <s v="Medium"/>
    <x v="81"/>
  </r>
  <r>
    <n v="10124"/>
    <n v="21"/>
    <n v="136"/>
    <n v="6"/>
    <n v="2856"/>
    <d v="2018-05-21T00:00:00"/>
    <s v="Shipped"/>
    <s v="Vintage Cars"/>
    <n v="170"/>
    <s v="S18_1749"/>
    <x v="23"/>
    <s v="7025551838"/>
    <s v="8489 Strong St."/>
    <s v="Las Vegas"/>
    <s v="83030"/>
    <s v="USA"/>
    <s v="King"/>
    <s v="Sue"/>
    <s v="Small"/>
    <x v="206"/>
  </r>
  <r>
    <n v="10124"/>
    <n v="42"/>
    <n v="53.88"/>
    <n v="5"/>
    <n v="2262.96"/>
    <d v="2018-05-21T00:00:00"/>
    <s v="Shipped"/>
    <s v="Vintage Cars"/>
    <n v="60"/>
    <s v="S18_2248"/>
    <x v="23"/>
    <s v="7025551838"/>
    <s v="8489 Strong St."/>
    <s v="Las Vegas"/>
    <s v="83030"/>
    <s v="USA"/>
    <s v="King"/>
    <s v="Sue"/>
    <s v="Small"/>
    <x v="207"/>
  </r>
  <r>
    <n v="10124"/>
    <n v="42"/>
    <n v="105.52"/>
    <n v="3"/>
    <n v="4431.84"/>
    <d v="2018-05-21T00:00:00"/>
    <s v="Shipped"/>
    <s v="Vintage Cars"/>
    <n v="127"/>
    <s v="S18_2325"/>
    <x v="23"/>
    <s v="7025551838"/>
    <s v="8489 Strong St."/>
    <s v="Las Vegas"/>
    <s v="83030"/>
    <s v="USA"/>
    <s v="King"/>
    <s v="Sue"/>
    <s v="Medium"/>
    <x v="208"/>
  </r>
  <r>
    <n v="10125"/>
    <n v="34"/>
    <n v="190.69"/>
    <n v="2"/>
    <n v="6483.46"/>
    <d v="2018-05-21T00:00:00"/>
    <s v="Shipped"/>
    <s v="Vintage Cars"/>
    <n v="168"/>
    <s v="S18_2795"/>
    <x v="19"/>
    <s v="03 9520 4555"/>
    <s v="636 St Kilda Road"/>
    <s v="Melbourne"/>
    <s v="3004"/>
    <s v="Australia"/>
    <s v="Ferguson"/>
    <s v="Peter"/>
    <s v="Medium"/>
    <x v="209"/>
  </r>
  <r>
    <n v="10124"/>
    <n v="36"/>
    <n v="85.59"/>
    <n v="7"/>
    <n v="3081.24"/>
    <d v="2018-05-21T00:00:00"/>
    <s v="Shipped"/>
    <s v="Vintage Cars"/>
    <n v="92"/>
    <s v="S18_4409"/>
    <x v="23"/>
    <s v="7025551838"/>
    <s v="8489 Strong St."/>
    <s v="Las Vegas"/>
    <s v="83030"/>
    <s v="USA"/>
    <s v="King"/>
    <s v="Sue"/>
    <s v="Medium"/>
    <x v="210"/>
  </r>
  <r>
    <n v="10124"/>
    <n v="23"/>
    <n v="57.73"/>
    <n v="8"/>
    <n v="1327.79"/>
    <d v="2018-05-21T00:00:00"/>
    <s v="Shipped"/>
    <s v="Classic Cars"/>
    <n v="71"/>
    <s v="S18_4933"/>
    <x v="23"/>
    <s v="7025551838"/>
    <s v="8489 Strong St."/>
    <s v="Las Vegas"/>
    <s v="83030"/>
    <s v="USA"/>
    <s v="King"/>
    <s v="Sue"/>
    <s v="Small"/>
    <x v="211"/>
  </r>
  <r>
    <n v="10124"/>
    <n v="22"/>
    <n v="77.900000000000006"/>
    <n v="12"/>
    <n v="1713.8"/>
    <d v="2018-05-21T00:00:00"/>
    <s v="Shipped"/>
    <s v="Classic Cars"/>
    <n v="73"/>
    <s v="S24_1046"/>
    <x v="23"/>
    <s v="7025551838"/>
    <s v="8489 Strong St."/>
    <s v="Las Vegas"/>
    <s v="83030"/>
    <s v="USA"/>
    <s v="King"/>
    <s v="Sue"/>
    <s v="Small"/>
    <x v="212"/>
  </r>
  <r>
    <n v="10124"/>
    <n v="45"/>
    <n v="37.840000000000003"/>
    <n v="2"/>
    <n v="1702.8"/>
    <d v="2018-05-21T00:00:00"/>
    <s v="Shipped"/>
    <s v="Vintage Cars"/>
    <n v="33"/>
    <s v="S24_1937"/>
    <x v="23"/>
    <s v="7025551838"/>
    <s v="8489 Strong St."/>
    <s v="Las Vegas"/>
    <s v="83030"/>
    <s v="USA"/>
    <s v="King"/>
    <s v="Sue"/>
    <s v="Small"/>
    <x v="213"/>
  </r>
  <r>
    <n v="10124"/>
    <n v="22"/>
    <n v="45.25"/>
    <n v="1"/>
    <n v="995.5"/>
    <d v="2018-05-21T00:00:00"/>
    <s v="Shipped"/>
    <s v="Vintage Cars"/>
    <n v="44"/>
    <s v="S24_2022"/>
    <x v="23"/>
    <s v="7025551838"/>
    <s v="8489 Strong St."/>
    <s v="Las Vegas"/>
    <s v="83030"/>
    <s v="USA"/>
    <s v="King"/>
    <s v="Sue"/>
    <s v="Small"/>
    <x v="214"/>
  </r>
  <r>
    <n v="10124"/>
    <n v="32"/>
    <n v="72.7"/>
    <n v="10"/>
    <n v="2326.4"/>
    <d v="2018-05-21T00:00:00"/>
    <s v="Shipped"/>
    <s v="Classic Cars"/>
    <n v="90"/>
    <s v="S24_2766"/>
    <x v="23"/>
    <s v="7025551838"/>
    <s v="8489 Strong St."/>
    <s v="Las Vegas"/>
    <s v="83030"/>
    <s v="USA"/>
    <s v="King"/>
    <s v="Sue"/>
    <s v="Small"/>
    <x v="215"/>
  </r>
  <r>
    <n v="10124"/>
    <n v="25"/>
    <n v="93.95"/>
    <n v="9"/>
    <n v="2348.75"/>
    <d v="2018-05-21T00:00:00"/>
    <s v="Shipped"/>
    <s v="Classic Cars"/>
    <n v="117"/>
    <s v="S24_2887"/>
    <x v="23"/>
    <s v="7025551838"/>
    <s v="8489 Strong St."/>
    <s v="Las Vegas"/>
    <s v="83030"/>
    <s v="USA"/>
    <s v="King"/>
    <s v="Sue"/>
    <s v="Small"/>
    <x v="216"/>
  </r>
  <r>
    <n v="10124"/>
    <n v="49"/>
    <n v="83.04"/>
    <n v="11"/>
    <n v="4068.96"/>
    <d v="2018-05-21T00:00:00"/>
    <s v="Shipped"/>
    <s v="Classic Cars"/>
    <n v="85"/>
    <s v="S24_3191"/>
    <x v="23"/>
    <s v="7025551838"/>
    <s v="8489 Strong St."/>
    <s v="Las Vegas"/>
    <s v="83030"/>
    <s v="USA"/>
    <s v="King"/>
    <s v="Sue"/>
    <s v="Medium"/>
    <x v="217"/>
  </r>
  <r>
    <n v="10124"/>
    <n v="43"/>
    <n v="121"/>
    <n v="13"/>
    <n v="5203"/>
    <d v="2018-05-21T00:00:00"/>
    <s v="Shipped"/>
    <s v="Classic Cars"/>
    <n v="107"/>
    <s v="S24_3432"/>
    <x v="23"/>
    <s v="7025551838"/>
    <s v="8489 Strong St."/>
    <s v="Las Vegas"/>
    <s v="83030"/>
    <s v="USA"/>
    <s v="King"/>
    <s v="Sue"/>
    <s v="Medium"/>
    <x v="218"/>
  </r>
  <r>
    <n v="10124"/>
    <n v="46"/>
    <n v="33.229999999999997"/>
    <n v="4"/>
    <n v="1528.58"/>
    <d v="2018-05-21T00:00:00"/>
    <s v="Shipped"/>
    <s v="Vintage Cars"/>
    <n v="41"/>
    <s v="S24_3969"/>
    <x v="23"/>
    <s v="7025551838"/>
    <s v="8489 Strong St."/>
    <s v="Las Vegas"/>
    <s v="83030"/>
    <s v="USA"/>
    <s v="King"/>
    <s v="Sue"/>
    <s v="Small"/>
    <x v="219"/>
  </r>
  <r>
    <n v="10126"/>
    <n v="38"/>
    <n v="192.87"/>
    <n v="11"/>
    <n v="7329.06"/>
    <d v="2018-05-28T00:00:00"/>
    <s v="Shipped"/>
    <s v="Classic Cars"/>
    <n v="214"/>
    <s v="S10_1949"/>
    <x v="24"/>
    <s v="(91) 555 22 82"/>
    <s v="C/ Araquil, 67"/>
    <s v="Madrid"/>
    <s v="28023"/>
    <s v="Spain"/>
    <s v="Sommer"/>
    <s v="Mart¡n"/>
    <s v="Large"/>
    <x v="220"/>
  </r>
  <r>
    <n v="10126"/>
    <n v="22"/>
    <n v="152.16999999999999"/>
    <n v="4"/>
    <n v="3347.74"/>
    <d v="2018-05-28T00:00:00"/>
    <s v="Shipped"/>
    <s v="Classic Cars"/>
    <n v="147"/>
    <s v="S10_4962"/>
    <x v="24"/>
    <s v="(91) 555 22 82"/>
    <s v="C/ Araquil, 67"/>
    <s v="Madrid"/>
    <s v="28023"/>
    <s v="Spain"/>
    <s v="Sommer"/>
    <s v="Mart¡n"/>
    <s v="Medium"/>
    <x v="221"/>
  </r>
  <r>
    <n v="10126"/>
    <n v="21"/>
    <n v="116.17"/>
    <n v="8"/>
    <n v="2439.5700000000002"/>
    <d v="2018-05-28T00:00:00"/>
    <s v="Shipped"/>
    <s v="Trucks and Buses"/>
    <n v="136"/>
    <s v="S12_1666"/>
    <x v="24"/>
    <s v="(91) 555 22 82"/>
    <s v="C/ Araquil, 67"/>
    <s v="Madrid"/>
    <s v="28023"/>
    <s v="Spain"/>
    <s v="Sommer"/>
    <s v="Mart¡n"/>
    <s v="Small"/>
    <x v="222"/>
  </r>
  <r>
    <n v="10126"/>
    <n v="38"/>
    <n v="101.5"/>
    <n v="10"/>
    <n v="3857"/>
    <d v="2018-05-28T00:00:00"/>
    <s v="Shipped"/>
    <s v="Trucks and Buses"/>
    <n v="116"/>
    <s v="S18_1097"/>
    <x v="24"/>
    <s v="(91) 555 22 82"/>
    <s v="C/ Araquil, 67"/>
    <s v="Madrid"/>
    <s v="28023"/>
    <s v="Spain"/>
    <s v="Sommer"/>
    <s v="Mart¡n"/>
    <s v="Medium"/>
    <x v="223"/>
  </r>
  <r>
    <n v="10126"/>
    <n v="42"/>
    <n v="54.99"/>
    <n v="17"/>
    <n v="2309.58"/>
    <d v="2018-05-28T00:00:00"/>
    <s v="Shipped"/>
    <s v="Vintage Cars"/>
    <n v="53"/>
    <s v="S18_1367"/>
    <x v="24"/>
    <s v="(91) 555 22 82"/>
    <s v="C/ Araquil, 67"/>
    <s v="Madrid"/>
    <s v="28023"/>
    <s v="Spain"/>
    <s v="Sommer"/>
    <s v="Mart¡n"/>
    <s v="Small"/>
    <x v="224"/>
  </r>
  <r>
    <n v="10126"/>
    <n v="43"/>
    <n v="65.02"/>
    <n v="2"/>
    <n v="2795.86"/>
    <d v="2018-05-28T00:00:00"/>
    <s v="Shipped"/>
    <s v="Trucks and Buses"/>
    <n v="60"/>
    <s v="S18_2432"/>
    <x v="24"/>
    <s v="(91) 555 22 82"/>
    <s v="C/ Araquil, 67"/>
    <s v="Madrid"/>
    <s v="28023"/>
    <s v="Spain"/>
    <s v="Sommer"/>
    <s v="Mart¡n"/>
    <s v="Small"/>
    <x v="225"/>
  </r>
  <r>
    <n v="10126"/>
    <n v="31"/>
    <n v="90.17"/>
    <n v="12"/>
    <n v="2795.27"/>
    <d v="2018-05-28T00:00:00"/>
    <s v="Shipped"/>
    <s v="Vintage Cars"/>
    <n v="101"/>
    <s v="S18_2949"/>
    <x v="24"/>
    <s v="(91) 555 22 82"/>
    <s v="C/ Araquil, 67"/>
    <s v="Madrid"/>
    <s v="28023"/>
    <s v="Spain"/>
    <s v="Sommer"/>
    <s v="Mart¡n"/>
    <s v="Small"/>
    <x v="226"/>
  </r>
  <r>
    <n v="10126"/>
    <n v="46"/>
    <n v="73.7"/>
    <n v="14"/>
    <n v="3390.2"/>
    <d v="2018-05-28T00:00:00"/>
    <s v="Shipped"/>
    <s v="Vintage Cars"/>
    <n v="62"/>
    <s v="S18_2957"/>
    <x v="24"/>
    <s v="(91) 555 22 82"/>
    <s v="C/ Araquil, 67"/>
    <s v="Madrid"/>
    <s v="28023"/>
    <s v="Spain"/>
    <s v="Sommer"/>
    <s v="Mart¡n"/>
    <s v="Medium"/>
    <x v="227"/>
  </r>
  <r>
    <n v="10126"/>
    <n v="30"/>
    <n v="97.39"/>
    <n v="13"/>
    <n v="2921.7"/>
    <d v="2018-05-28T00:00:00"/>
    <s v="Shipped"/>
    <s v="Vintage Cars"/>
    <n v="104"/>
    <s v="S18_3136"/>
    <x v="24"/>
    <s v="(91) 555 22 82"/>
    <s v="C/ Araquil, 67"/>
    <s v="Madrid"/>
    <s v="28023"/>
    <s v="Spain"/>
    <s v="Sommer"/>
    <s v="Mart¡n"/>
    <s v="Small"/>
    <x v="228"/>
  </r>
  <r>
    <n v="10126"/>
    <n v="38"/>
    <n v="82.34"/>
    <n v="16"/>
    <n v="3128.92"/>
    <d v="2018-05-28T00:00:00"/>
    <s v="Shipped"/>
    <s v="Vintage Cars"/>
    <n v="99"/>
    <s v="S18_3320"/>
    <x v="24"/>
    <s v="(91) 555 22 82"/>
    <s v="C/ Araquil, 67"/>
    <s v="Madrid"/>
    <s v="28023"/>
    <s v="Spain"/>
    <s v="Sommer"/>
    <s v="Mart¡n"/>
    <s v="Medium"/>
    <x v="229"/>
  </r>
  <r>
    <n v="10126"/>
    <n v="50"/>
    <n v="141.66"/>
    <n v="5"/>
    <n v="7083"/>
    <d v="2018-05-28T00:00:00"/>
    <s v="Shipped"/>
    <s v="Trucks and Buses"/>
    <n v="121"/>
    <s v="S18_4600"/>
    <x v="24"/>
    <s v="(91) 555 22 82"/>
    <s v="C/ Araquil, 67"/>
    <s v="Madrid"/>
    <s v="28023"/>
    <s v="Spain"/>
    <s v="Sommer"/>
    <s v="Mart¡n"/>
    <s v="Large"/>
    <x v="57"/>
  </r>
  <r>
    <n v="10126"/>
    <n v="43"/>
    <n v="53.83"/>
    <n v="9"/>
    <n v="2314.69"/>
    <d v="2018-05-28T00:00:00"/>
    <s v="Shipped"/>
    <s v="Vintage Cars"/>
    <n v="50"/>
    <s v="S18_4668"/>
    <x v="24"/>
    <s v="(91) 555 22 82"/>
    <s v="C/ Araquil, 67"/>
    <s v="Madrid"/>
    <s v="28023"/>
    <s v="Spain"/>
    <s v="Sommer"/>
    <s v="Mart¡n"/>
    <s v="Small"/>
    <x v="230"/>
  </r>
  <r>
    <n v="10126"/>
    <n v="27"/>
    <n v="126.51"/>
    <n v="1"/>
    <n v="3415.77"/>
    <d v="2018-05-28T00:00:00"/>
    <s v="Shipped"/>
    <s v="Trucks and Buses"/>
    <n v="127"/>
    <s v="S24_2300"/>
    <x v="24"/>
    <s v="(91) 555 22 82"/>
    <s v="C/ Araquil, 67"/>
    <s v="Madrid"/>
    <s v="28023"/>
    <s v="Spain"/>
    <s v="Sommer"/>
    <s v="Mart¡n"/>
    <s v="Medium"/>
    <x v="231"/>
  </r>
  <r>
    <n v="10126"/>
    <n v="34"/>
    <n v="105.18"/>
    <n v="15"/>
    <n v="3576.12"/>
    <d v="2018-05-28T00:00:00"/>
    <s v="Shipped"/>
    <s v="Vintage Cars"/>
    <n v="97"/>
    <s v="S24_4258"/>
    <x v="24"/>
    <s v="(91) 555 22 82"/>
    <s v="C/ Araquil, 67"/>
    <s v="Madrid"/>
    <s v="28023"/>
    <s v="Spain"/>
    <s v="Sommer"/>
    <s v="Mart¡n"/>
    <s v="Medium"/>
    <x v="232"/>
  </r>
  <r>
    <n v="10126"/>
    <n v="43"/>
    <n v="96.31"/>
    <n v="3"/>
    <n v="4141.33"/>
    <d v="2018-05-28T00:00:00"/>
    <s v="Shipped"/>
    <s v="Trucks and Buses"/>
    <n v="96"/>
    <s v="S32_1268"/>
    <x v="24"/>
    <s v="(91) 555 22 82"/>
    <s v="C/ Araquil, 67"/>
    <s v="Madrid"/>
    <s v="28023"/>
    <s v="Spain"/>
    <s v="Sommer"/>
    <s v="Mart¡n"/>
    <s v="Medium"/>
    <x v="233"/>
  </r>
  <r>
    <n v="10126"/>
    <n v="26"/>
    <n v="62.7"/>
    <n v="7"/>
    <n v="1630.2"/>
    <d v="2018-05-28T00:00:00"/>
    <s v="Shipped"/>
    <s v="Trucks and Buses"/>
    <n v="64"/>
    <s v="S32_3522"/>
    <x v="24"/>
    <s v="(91) 555 22 82"/>
    <s v="C/ Araquil, 67"/>
    <s v="Madrid"/>
    <s v="28023"/>
    <s v="Spain"/>
    <s v="Sommer"/>
    <s v="Mart¡n"/>
    <s v="Small"/>
    <x v="234"/>
  </r>
  <r>
    <n v="10126"/>
    <n v="45"/>
    <n v="102.16"/>
    <n v="6"/>
    <n v="4597.2"/>
    <d v="2018-05-28T00:00:00"/>
    <s v="Shipped"/>
    <s v="Classic Cars"/>
    <n v="101"/>
    <s v="S700_2824"/>
    <x v="24"/>
    <s v="(91) 555 22 82"/>
    <s v="C/ Araquil, 67"/>
    <s v="Madrid"/>
    <s v="28023"/>
    <s v="Spain"/>
    <s v="Sommer"/>
    <s v="Mart¡n"/>
    <s v="Medium"/>
    <x v="235"/>
  </r>
  <r>
    <n v="10127"/>
    <n v="46"/>
    <n v="245.2"/>
    <n v="2"/>
    <n v="11279.2"/>
    <d v="2018-06-03T00:00:00"/>
    <s v="Shipped"/>
    <s v="Classic Cars"/>
    <n v="207"/>
    <s v="S12_1108"/>
    <x v="25"/>
    <s v="2125557413"/>
    <s v="4092 Furth Circle"/>
    <s v="NYC"/>
    <s v="10022"/>
    <s v="USA"/>
    <s v="Young"/>
    <s v="Jeff"/>
    <s v="Large"/>
    <x v="236"/>
  </r>
  <r>
    <n v="10127"/>
    <n v="46"/>
    <n v="160.13999999999999"/>
    <n v="3"/>
    <n v="7366.44"/>
    <d v="2018-06-03T00:00:00"/>
    <s v="Shipped"/>
    <s v="Classic Cars"/>
    <n v="151"/>
    <s v="S12_3148"/>
    <x v="25"/>
    <s v="2125557413"/>
    <s v="4092 Furth Circle"/>
    <s v="NYC"/>
    <s v="10022"/>
    <s v="USA"/>
    <s v="Young"/>
    <s v="Jeff"/>
    <s v="Large"/>
    <x v="237"/>
  </r>
  <r>
    <n v="10127"/>
    <n v="42"/>
    <n v="193.78"/>
    <n v="1"/>
    <n v="8138.76"/>
    <d v="2018-06-03T00:00:00"/>
    <s v="Shipped"/>
    <s v="Classic Cars"/>
    <n v="173"/>
    <s v="S12_3891"/>
    <x v="25"/>
    <s v="2125557413"/>
    <s v="4092 Furth Circle"/>
    <s v="NYC"/>
    <s v="10022"/>
    <s v="USA"/>
    <s v="Young"/>
    <s v="Jeff"/>
    <s v="Large"/>
    <x v="238"/>
  </r>
  <r>
    <n v="10127"/>
    <n v="24"/>
    <n v="106.65"/>
    <n v="11"/>
    <n v="2559.6"/>
    <d v="2018-06-03T00:00:00"/>
    <s v="Shipped"/>
    <s v="Trucks and Buses"/>
    <n v="118"/>
    <s v="S12_4473"/>
    <x v="25"/>
    <s v="2125557413"/>
    <s v="4092 Furth Circle"/>
    <s v="NYC"/>
    <s v="10022"/>
    <s v="USA"/>
    <s v="Young"/>
    <s v="Jeff"/>
    <s v="Small"/>
    <x v="239"/>
  </r>
  <r>
    <n v="10127"/>
    <n v="45"/>
    <n v="158.82"/>
    <n v="10"/>
    <n v="7146.9"/>
    <d v="2018-06-03T00:00:00"/>
    <s v="Shipped"/>
    <s v="Classic Cars"/>
    <n v="163"/>
    <s v="S18_2238"/>
    <x v="25"/>
    <s v="2125557413"/>
    <s v="4092 Furth Circle"/>
    <s v="NYC"/>
    <s v="10022"/>
    <s v="USA"/>
    <s v="Young"/>
    <s v="Jeff"/>
    <s v="Large"/>
    <x v="240"/>
  </r>
  <r>
    <n v="10127"/>
    <n v="45"/>
    <n v="139.91"/>
    <n v="14"/>
    <n v="6295.95"/>
    <d v="2018-06-03T00:00:00"/>
    <s v="Shipped"/>
    <s v="Trucks and Buses"/>
    <n v="122"/>
    <s v="S18_2319"/>
    <x v="25"/>
    <s v="2125557413"/>
    <s v="4092 Furth Circle"/>
    <s v="NYC"/>
    <s v="10022"/>
    <s v="USA"/>
    <s v="Young"/>
    <s v="Jeff"/>
    <s v="Medium"/>
    <x v="241"/>
  </r>
  <r>
    <n v="10127"/>
    <n v="22"/>
    <n v="174.42"/>
    <n v="15"/>
    <n v="3837.24"/>
    <d v="2018-06-03T00:00:00"/>
    <s v="Shipped"/>
    <s v="Classic Cars"/>
    <n v="169"/>
    <s v="S18_3232"/>
    <x v="25"/>
    <s v="2125557413"/>
    <s v="4092 Furth Circle"/>
    <s v="NYC"/>
    <s v="10022"/>
    <s v="USA"/>
    <s v="Young"/>
    <s v="Jeff"/>
    <s v="Medium"/>
    <x v="242"/>
  </r>
  <r>
    <n v="10127"/>
    <n v="25"/>
    <n v="137.88"/>
    <n v="5"/>
    <n v="3447"/>
    <d v="2018-06-03T00:00:00"/>
    <s v="Shipped"/>
    <s v="Classic Cars"/>
    <n v="143"/>
    <s v="S18_4027"/>
    <x v="25"/>
    <s v="2125557413"/>
    <s v="4092 Furth Circle"/>
    <s v="NYC"/>
    <s v="10022"/>
    <s v="USA"/>
    <s v="Young"/>
    <s v="Jeff"/>
    <s v="Medium"/>
    <x v="243"/>
  </r>
  <r>
    <n v="10127"/>
    <n v="20"/>
    <n v="60.69"/>
    <n v="8"/>
    <n v="1213.8"/>
    <d v="2018-06-03T00:00:00"/>
    <s v="Shipped"/>
    <s v="Classic Cars"/>
    <n v="57"/>
    <s v="S24_1444"/>
    <x v="25"/>
    <s v="2125557413"/>
    <s v="4092 Furth Circle"/>
    <s v="NYC"/>
    <s v="10022"/>
    <s v="USA"/>
    <s v="Young"/>
    <s v="Jeff"/>
    <s v="Small"/>
    <x v="244"/>
  </r>
  <r>
    <n v="10127"/>
    <n v="39"/>
    <n v="38.19"/>
    <n v="12"/>
    <n v="1489.41"/>
    <d v="2018-06-03T00:00:00"/>
    <s v="Shipped"/>
    <s v="Classic Cars"/>
    <n v="35"/>
    <s v="S24_2840"/>
    <x v="25"/>
    <s v="2125557413"/>
    <s v="4092 Furth Circle"/>
    <s v="NYC"/>
    <s v="10022"/>
    <s v="USA"/>
    <s v="Young"/>
    <s v="Jeff"/>
    <s v="Small"/>
    <x v="245"/>
  </r>
  <r>
    <n v="10127"/>
    <n v="20"/>
    <n v="96.99"/>
    <n v="7"/>
    <n v="1939.8"/>
    <d v="2018-06-03T00:00:00"/>
    <s v="Shipped"/>
    <s v="Classic Cars"/>
    <n v="118"/>
    <s v="S24_4048"/>
    <x v="25"/>
    <s v="2125557413"/>
    <s v="4092 Furth Circle"/>
    <s v="NYC"/>
    <s v="10022"/>
    <s v="USA"/>
    <s v="Young"/>
    <s v="Jeff"/>
    <s v="Small"/>
    <x v="246"/>
  </r>
  <r>
    <n v="10127"/>
    <n v="45"/>
    <n v="51.95"/>
    <n v="13"/>
    <n v="2337.75"/>
    <d v="2018-06-03T00:00:00"/>
    <s v="Shipped"/>
    <s v="Trucks and Buses"/>
    <n v="54"/>
    <s v="S32_2509"/>
    <x v="25"/>
    <s v="2125557413"/>
    <s v="4092 Furth Circle"/>
    <s v="NYC"/>
    <s v="10022"/>
    <s v="USA"/>
    <s v="Young"/>
    <s v="Jeff"/>
    <s v="Small"/>
    <x v="247"/>
  </r>
  <r>
    <n v="10127"/>
    <n v="29"/>
    <n v="70.84"/>
    <n v="6"/>
    <n v="2054.36"/>
    <d v="2018-06-03T00:00:00"/>
    <s v="Shipped"/>
    <s v="Trains"/>
    <n v="62"/>
    <s v="S32_3207"/>
    <x v="25"/>
    <s v="2125557413"/>
    <s v="4092 Furth Circle"/>
    <s v="NYC"/>
    <s v="10022"/>
    <s v="USA"/>
    <s v="Young"/>
    <s v="Jeff"/>
    <s v="Small"/>
    <x v="248"/>
  </r>
  <r>
    <n v="10127"/>
    <n v="46"/>
    <n v="134.27000000000001"/>
    <n v="9"/>
    <n v="6176.42"/>
    <d v="2018-06-03T00:00:00"/>
    <s v="Shipped"/>
    <s v="Trucks and Buses"/>
    <n v="115"/>
    <s v="S50_1392"/>
    <x v="25"/>
    <s v="2125557413"/>
    <s v="4092 Furth Circle"/>
    <s v="NYC"/>
    <s v="10022"/>
    <s v="USA"/>
    <s v="Young"/>
    <s v="Jeff"/>
    <s v="Medium"/>
    <x v="249"/>
  </r>
  <r>
    <n v="10127"/>
    <n v="46"/>
    <n v="69.12"/>
    <n v="4"/>
    <n v="3179.52"/>
    <d v="2018-06-03T00:00:00"/>
    <s v="Shipped"/>
    <s v="Trains"/>
    <n v="58"/>
    <s v="S50_1514"/>
    <x v="25"/>
    <s v="2125557413"/>
    <s v="4092 Furth Circle"/>
    <s v="NYC"/>
    <s v="10022"/>
    <s v="USA"/>
    <s v="Young"/>
    <s v="Jeff"/>
    <s v="Medium"/>
    <x v="250"/>
  </r>
  <r>
    <n v="10128"/>
    <n v="41"/>
    <n v="135.22"/>
    <n v="2"/>
    <n v="5544.02"/>
    <d v="2018-06-06T00:00:00"/>
    <s v="Shipped"/>
    <s v="Vintage Cars"/>
    <n v="136"/>
    <s v="S18_3140"/>
    <x v="4"/>
    <s v="(91) 555 94 44"/>
    <s v="C/ Moralzarzal, 86"/>
    <s v="Madrid"/>
    <s v="28034"/>
    <s v="Spain"/>
    <s v="Freyre"/>
    <s v="Diego"/>
    <s v="Medium"/>
    <x v="251"/>
  </r>
  <r>
    <n v="10128"/>
    <n v="41"/>
    <n v="117.98"/>
    <n v="4"/>
    <n v="4837.18"/>
    <d v="2018-06-06T00:00:00"/>
    <s v="Shipped"/>
    <s v="Trains"/>
    <n v="100"/>
    <s v="S18_3259"/>
    <x v="4"/>
    <s v="(91) 555 94 44"/>
    <s v="C/ Moralzarzal, 86"/>
    <s v="Madrid"/>
    <s v="28034"/>
    <s v="Spain"/>
    <s v="Freyre"/>
    <s v="Diego"/>
    <s v="Medium"/>
    <x v="252"/>
  </r>
  <r>
    <n v="10128"/>
    <n v="43"/>
    <n v="92.16"/>
    <n v="1"/>
    <n v="3962.88"/>
    <d v="2018-06-06T00:00:00"/>
    <s v="Shipped"/>
    <s v="Vintage Cars"/>
    <n v="87"/>
    <s v="S18_4522"/>
    <x v="4"/>
    <s v="(91) 555 94 44"/>
    <s v="C/ Moralzarzal, 86"/>
    <s v="Madrid"/>
    <s v="28034"/>
    <s v="Spain"/>
    <s v="Freyre"/>
    <s v="Diego"/>
    <s v="Medium"/>
    <x v="253"/>
  </r>
  <r>
    <n v="10128"/>
    <n v="32"/>
    <n v="97"/>
    <n v="3"/>
    <n v="3104"/>
    <d v="2018-06-06T00:00:00"/>
    <s v="Shipped"/>
    <s v="Ships"/>
    <n v="86"/>
    <s v="S700_1938"/>
    <x v="4"/>
    <s v="(91) 555 94 44"/>
    <s v="C/ Moralzarzal, 86"/>
    <s v="Madrid"/>
    <s v="28034"/>
    <s v="Spain"/>
    <s v="Freyre"/>
    <s v="Diego"/>
    <s v="Medium"/>
    <x v="254"/>
  </r>
  <r>
    <n v="10129"/>
    <n v="33"/>
    <n v="133.28"/>
    <n v="2"/>
    <n v="4398.24"/>
    <d v="2018-06-12T00:00:00"/>
    <s v="Shipped"/>
    <s v="Classic Cars"/>
    <n v="136"/>
    <s v="S10_4757"/>
    <x v="26"/>
    <s v="(171) 555-0297"/>
    <s v="35 King George"/>
    <s v="London"/>
    <s v="WX3 6FW"/>
    <s v="UK"/>
    <s v="Brown"/>
    <s v="Ann"/>
    <s v="Medium"/>
    <x v="255"/>
  </r>
  <r>
    <n v="10129"/>
    <n v="45"/>
    <n v="133.94999999999999"/>
    <n v="9"/>
    <n v="6027.75"/>
    <d v="2018-06-12T00:00:00"/>
    <s v="Shipped"/>
    <s v="Ships"/>
    <n v="122"/>
    <s v="S24_2011"/>
    <x v="26"/>
    <s v="(171) 555-0297"/>
    <s v="35 King George"/>
    <s v="London"/>
    <s v="WX3 6FW"/>
    <s v="UK"/>
    <s v="Brown"/>
    <s v="Ann"/>
    <s v="Medium"/>
    <x v="256"/>
  </r>
  <r>
    <n v="10129"/>
    <n v="41"/>
    <n v="94.71"/>
    <n v="4"/>
    <n v="3883.11"/>
    <d v="2018-06-12T00:00:00"/>
    <s v="Shipped"/>
    <s v="Vintage Cars"/>
    <n v="88"/>
    <s v="S24_3151"/>
    <x v="26"/>
    <s v="(171) 555-0297"/>
    <s v="35 King George"/>
    <s v="London"/>
    <s v="WX3 6FW"/>
    <s v="UK"/>
    <s v="Brown"/>
    <s v="Ann"/>
    <s v="Medium"/>
    <x v="257"/>
  </r>
  <r>
    <n v="10129"/>
    <n v="50"/>
    <n v="77.989999999999995"/>
    <n v="1"/>
    <n v="3899.5"/>
    <d v="2018-06-12T00:00:00"/>
    <s v="Shipped"/>
    <s v="Vintage Cars"/>
    <n v="83"/>
    <s v="S24_3816"/>
    <x v="26"/>
    <s v="(171) 555-0297"/>
    <s v="35 King George"/>
    <s v="London"/>
    <s v="WX3 6FW"/>
    <s v="UK"/>
    <s v="Brown"/>
    <s v="Ann"/>
    <s v="Medium"/>
    <x v="258"/>
  </r>
  <r>
    <n v="10129"/>
    <n v="31"/>
    <n v="60"/>
    <n v="5"/>
    <n v="1860"/>
    <d v="2018-06-12T00:00:00"/>
    <s v="Shipped"/>
    <s v="Ships"/>
    <n v="66"/>
    <s v="S700_1138"/>
    <x v="26"/>
    <s v="(171) 555-0297"/>
    <s v="35 King George"/>
    <s v="London"/>
    <s v="WX3 6FW"/>
    <s v="UK"/>
    <s v="Brown"/>
    <s v="Ann"/>
    <s v="Small"/>
    <x v="259"/>
  </r>
  <r>
    <n v="10129"/>
    <n v="45"/>
    <n v="85.29"/>
    <n v="3"/>
    <n v="3838.05"/>
    <d v="2018-06-12T00:00:00"/>
    <s v="Shipped"/>
    <s v="Ships"/>
    <n v="72"/>
    <s v="S700_2610"/>
    <x v="26"/>
    <s v="(171) 555-0297"/>
    <s v="35 King George"/>
    <s v="London"/>
    <s v="WX3 6FW"/>
    <s v="UK"/>
    <s v="Brown"/>
    <s v="Ann"/>
    <s v="Medium"/>
    <x v="260"/>
  </r>
  <r>
    <n v="10129"/>
    <n v="42"/>
    <n v="91.15"/>
    <n v="6"/>
    <n v="3828.3"/>
    <d v="2018-06-12T00:00:00"/>
    <s v="Shipped"/>
    <s v="Ships"/>
    <n v="100"/>
    <s v="S700_3505"/>
    <x v="26"/>
    <s v="(171) 555-0297"/>
    <s v="35 King George"/>
    <s v="London"/>
    <s v="WX3 6FW"/>
    <s v="UK"/>
    <s v="Brown"/>
    <s v="Ann"/>
    <s v="Medium"/>
    <x v="261"/>
  </r>
  <r>
    <n v="10129"/>
    <n v="30"/>
    <n v="85.41"/>
    <n v="7"/>
    <n v="2562.3000000000002"/>
    <d v="2018-06-12T00:00:00"/>
    <s v="Shipped"/>
    <s v="Ships"/>
    <n v="99"/>
    <s v="S700_3962"/>
    <x v="26"/>
    <s v="(171) 555-0297"/>
    <s v="35 King George"/>
    <s v="London"/>
    <s v="WX3 6FW"/>
    <s v="UK"/>
    <s v="Brown"/>
    <s v="Ann"/>
    <s v="Small"/>
    <x v="262"/>
  </r>
  <r>
    <n v="10129"/>
    <n v="32"/>
    <n v="64.97"/>
    <n v="8"/>
    <n v="2079.04"/>
    <d v="2018-06-12T00:00:00"/>
    <s v="Shipped"/>
    <s v="Ships"/>
    <n v="54"/>
    <s v="S72_3212"/>
    <x v="26"/>
    <s v="(171) 555-0297"/>
    <s v="35 King George"/>
    <s v="London"/>
    <s v="WX3 6FW"/>
    <s v="UK"/>
    <s v="Brown"/>
    <s v="Ann"/>
    <s v="Small"/>
    <x v="263"/>
  </r>
  <r>
    <n v="10131"/>
    <n v="21"/>
    <n v="132.46"/>
    <n v="4"/>
    <n v="2781.66"/>
    <d v="2018-06-16T00:00:00"/>
    <s v="Shipped"/>
    <s v="Planes"/>
    <n v="157"/>
    <s v="S18_1662"/>
    <x v="27"/>
    <s v="2035554407"/>
    <s v="2440 Pompton St."/>
    <s v="Glendale"/>
    <s v="97561"/>
    <s v="USA"/>
    <s v="Lewis"/>
    <s v="Dan"/>
    <s v="Small"/>
    <x v="264"/>
  </r>
  <r>
    <n v="10130"/>
    <n v="40"/>
    <n v="96.34"/>
    <n v="2"/>
    <n v="3853.6"/>
    <d v="2018-06-16T00:00:00"/>
    <s v="Shipped"/>
    <s v="Ships"/>
    <n v="86"/>
    <s v="S18_3029"/>
    <x v="28"/>
    <s v="6175558428"/>
    <s v="16780 Pompton St."/>
    <s v="Brickhaven"/>
    <s v="58339"/>
    <s v="USA"/>
    <s v="Taylor"/>
    <s v="Leslie"/>
    <s v="Medium"/>
    <x v="265"/>
  </r>
  <r>
    <n v="10130"/>
    <n v="33"/>
    <n v="103.75"/>
    <n v="1"/>
    <n v="3423.75"/>
    <d v="2018-06-16T00:00:00"/>
    <s v="Shipped"/>
    <s v="Vintage Cars"/>
    <n v="105"/>
    <s v="S18_3856"/>
    <x v="28"/>
    <s v="6175558428"/>
    <s v="16780 Pompton St."/>
    <s v="Brickhaven"/>
    <s v="58339"/>
    <s v="USA"/>
    <s v="Taylor"/>
    <s v="Leslie"/>
    <s v="Medium"/>
    <x v="266"/>
  </r>
  <r>
    <n v="10131"/>
    <n v="35"/>
    <n v="67.14"/>
    <n v="5"/>
    <n v="2349.9"/>
    <d v="2018-06-16T00:00:00"/>
    <s v="Shipped"/>
    <s v="Planes"/>
    <n v="68"/>
    <s v="S24_2841"/>
    <x v="27"/>
    <s v="2035554407"/>
    <s v="2440 Pompton St."/>
    <s v="Glendale"/>
    <s v="97561"/>
    <s v="USA"/>
    <s v="Lewis"/>
    <s v="Dan"/>
    <s v="Small"/>
    <x v="267"/>
  </r>
  <r>
    <n v="10131"/>
    <n v="29"/>
    <n v="59.18"/>
    <n v="6"/>
    <n v="1716.22"/>
    <d v="2018-06-16T00:00:00"/>
    <s v="Shipped"/>
    <s v="Vintage Cars"/>
    <n v="65"/>
    <s v="S24_3420"/>
    <x v="27"/>
    <s v="2035554407"/>
    <s v="2440 Pompton St."/>
    <s v="Glendale"/>
    <s v="97561"/>
    <s v="USA"/>
    <s v="Lewis"/>
    <s v="Dan"/>
    <s v="Small"/>
    <x v="268"/>
  </r>
  <r>
    <n v="10131"/>
    <n v="50"/>
    <n v="81.89"/>
    <n v="3"/>
    <n v="4094.5"/>
    <d v="2018-06-16T00:00:00"/>
    <s v="Shipped"/>
    <s v="Planes"/>
    <n v="68"/>
    <s v="S24_3949"/>
    <x v="27"/>
    <s v="2035554407"/>
    <s v="2440 Pompton St."/>
    <s v="Glendale"/>
    <s v="97561"/>
    <s v="USA"/>
    <s v="Lewis"/>
    <s v="Dan"/>
    <s v="Medium"/>
    <x v="269"/>
  </r>
  <r>
    <n v="10131"/>
    <n v="22"/>
    <n v="85.99"/>
    <n v="8"/>
    <n v="1891.78"/>
    <d v="2018-06-16T00:00:00"/>
    <s v="Shipped"/>
    <s v="Ships"/>
    <n v="90"/>
    <s v="S700_2047"/>
    <x v="27"/>
    <s v="2035554407"/>
    <s v="2440 Pompton St."/>
    <s v="Glendale"/>
    <s v="97561"/>
    <s v="USA"/>
    <s v="Lewis"/>
    <s v="Dan"/>
    <s v="Small"/>
    <x v="270"/>
  </r>
  <r>
    <n v="10131"/>
    <n v="40"/>
    <n v="110.69"/>
    <n v="1"/>
    <n v="4427.6000000000004"/>
    <d v="2018-06-16T00:00:00"/>
    <s v="Shipped"/>
    <s v="Planes"/>
    <n v="99"/>
    <s v="S700_2466"/>
    <x v="27"/>
    <s v="2035554407"/>
    <s v="2440 Pompton St."/>
    <s v="Glendale"/>
    <s v="97561"/>
    <s v="USA"/>
    <s v="Lewis"/>
    <s v="Dan"/>
    <s v="Medium"/>
    <x v="271"/>
  </r>
  <r>
    <n v="10131"/>
    <n v="26"/>
    <n v="85.13"/>
    <n v="2"/>
    <n v="2213.38"/>
    <d v="2018-06-16T00:00:00"/>
    <s v="Shipped"/>
    <s v="Planes"/>
    <n v="74"/>
    <s v="S700_4002"/>
    <x v="27"/>
    <s v="2035554407"/>
    <s v="2440 Pompton St."/>
    <s v="Glendale"/>
    <s v="97561"/>
    <s v="USA"/>
    <s v="Lewis"/>
    <s v="Dan"/>
    <s v="Small"/>
    <x v="272"/>
  </r>
  <r>
    <n v="10131"/>
    <n v="21"/>
    <n v="41.71"/>
    <n v="7"/>
    <n v="875.91"/>
    <d v="2018-06-16T00:00:00"/>
    <s v="Shipped"/>
    <s v="Planes"/>
    <n v="49"/>
    <s v="S72_1253"/>
    <x v="27"/>
    <s v="2035554407"/>
    <s v="2440 Pompton St."/>
    <s v="Glendale"/>
    <s v="97561"/>
    <s v="USA"/>
    <s v="Lewis"/>
    <s v="Dan"/>
    <s v="Small"/>
    <x v="273"/>
  </r>
  <r>
    <n v="10133"/>
    <n v="49"/>
    <n v="69.27"/>
    <n v="3"/>
    <n v="3394.23"/>
    <d v="2018-06-27T00:00:00"/>
    <s v="Shipped"/>
    <s v="Planes"/>
    <n v="84"/>
    <s v="S18_2581"/>
    <x v="4"/>
    <s v="(91) 555 94 44"/>
    <s v="C/ Moralzarzal, 86"/>
    <s v="Madrid"/>
    <s v="28034"/>
    <s v="Spain"/>
    <s v="Freyre"/>
    <s v="Diego"/>
    <s v="Medium"/>
    <x v="274"/>
  </r>
  <r>
    <n v="10133"/>
    <n v="41"/>
    <n v="94.1"/>
    <n v="5"/>
    <n v="3858.1"/>
    <d v="2018-06-27T00:00:00"/>
    <s v="Shipped"/>
    <s v="Planes"/>
    <n v="109"/>
    <s v="S24_1785"/>
    <x v="4"/>
    <s v="(91) 555 94 44"/>
    <s v="C/ Moralzarzal, 86"/>
    <s v="Madrid"/>
    <s v="28034"/>
    <s v="Spain"/>
    <s v="Freyre"/>
    <s v="Diego"/>
    <s v="Medium"/>
    <x v="107"/>
  </r>
  <r>
    <n v="10133"/>
    <n v="46"/>
    <n v="77.52"/>
    <n v="4"/>
    <n v="3565.92"/>
    <d v="2018-06-27T00:00:00"/>
    <s v="Shipped"/>
    <s v="Planes"/>
    <n v="72"/>
    <s v="S24_4278"/>
    <x v="4"/>
    <s v="(91) 555 94 44"/>
    <s v="C/ Moralzarzal, 86"/>
    <s v="Madrid"/>
    <s v="28034"/>
    <s v="Spain"/>
    <s v="Freyre"/>
    <s v="Diego"/>
    <s v="Medium"/>
    <x v="275"/>
  </r>
  <r>
    <n v="10133"/>
    <n v="23"/>
    <n v="114.87"/>
    <n v="1"/>
    <n v="2642.01"/>
    <d v="2018-06-27T00:00:00"/>
    <s v="Shipped"/>
    <s v="Motorcycles"/>
    <n v="99"/>
    <s v="S32_1374"/>
    <x v="4"/>
    <s v="(91) 555 94 44"/>
    <s v="C/ Moralzarzal, 86"/>
    <s v="Madrid"/>
    <s v="28034"/>
    <s v="Spain"/>
    <s v="Freyre"/>
    <s v="Diego"/>
    <s v="Small"/>
    <x v="276"/>
  </r>
  <r>
    <n v="10133"/>
    <n v="49"/>
    <n v="57.1"/>
    <n v="6"/>
    <n v="2797.9"/>
    <d v="2018-06-27T00:00:00"/>
    <s v="Shipped"/>
    <s v="Vintage Cars"/>
    <n v="68"/>
    <s v="S32_4289"/>
    <x v="4"/>
    <s v="(91) 555 94 44"/>
    <s v="C/ Moralzarzal, 86"/>
    <s v="Madrid"/>
    <s v="28034"/>
    <s v="Spain"/>
    <s v="Freyre"/>
    <s v="Diego"/>
    <s v="Small"/>
    <x v="277"/>
  </r>
  <r>
    <n v="10133"/>
    <n v="27"/>
    <n v="50.19"/>
    <n v="7"/>
    <n v="1355.13"/>
    <d v="2018-06-27T00:00:00"/>
    <s v="Shipped"/>
    <s v="Vintage Cars"/>
    <n v="43"/>
    <s v="S50_1341"/>
    <x v="4"/>
    <s v="(91) 555 94 44"/>
    <s v="C/ Moralzarzal, 86"/>
    <s v="Madrid"/>
    <s v="28034"/>
    <s v="Spain"/>
    <s v="Freyre"/>
    <s v="Diego"/>
    <s v="Small"/>
    <x v="278"/>
  </r>
  <r>
    <n v="10133"/>
    <n v="24"/>
    <n v="77.64"/>
    <n v="8"/>
    <n v="1863.36"/>
    <d v="2018-06-27T00:00:00"/>
    <s v="Shipped"/>
    <s v="Planes"/>
    <n v="91"/>
    <s v="S700_1691"/>
    <x v="4"/>
    <s v="(91) 555 94 44"/>
    <s v="C/ Moralzarzal, 86"/>
    <s v="Madrid"/>
    <s v="28034"/>
    <s v="Spain"/>
    <s v="Freyre"/>
    <s v="Diego"/>
    <s v="Small"/>
    <x v="184"/>
  </r>
  <r>
    <n v="10133"/>
    <n v="27"/>
    <n v="99.67"/>
    <n v="2"/>
    <n v="2691.09"/>
    <d v="2018-06-27T00:00:00"/>
    <s v="Shipped"/>
    <s v="Planes"/>
    <n v="118"/>
    <s v="S700_2834"/>
    <x v="4"/>
    <s v="(91) 555 94 44"/>
    <s v="C/ Moralzarzal, 86"/>
    <s v="Madrid"/>
    <s v="28034"/>
    <s v="Spain"/>
    <s v="Freyre"/>
    <s v="Diego"/>
    <s v="Small"/>
    <x v="279"/>
  </r>
  <r>
    <n v="10134"/>
    <n v="41"/>
    <n v="94.74"/>
    <n v="2"/>
    <n v="3884.34"/>
    <d v="2018-07-01T00:00:00"/>
    <s v="Shipped"/>
    <s v="Motorcycles"/>
    <n v="95"/>
    <s v="S10_1678"/>
    <x v="29"/>
    <s v="+33 1 46 62 7555"/>
    <s v="27 rue du Colonel Pierre Avia"/>
    <s v="Paris"/>
    <s v="75508"/>
    <s v="France"/>
    <s v="Da Cunha"/>
    <s v="Daniel"/>
    <s v="Medium"/>
    <x v="280"/>
  </r>
  <r>
    <n v="10134"/>
    <n v="27"/>
    <n v="122.51"/>
    <n v="5"/>
    <n v="3307.77"/>
    <d v="2018-07-01T00:00:00"/>
    <s v="Shipped"/>
    <s v="Motorcycles"/>
    <n v="118"/>
    <s v="S10_2016"/>
    <x v="29"/>
    <s v="+33 1 46 62 7555"/>
    <s v="27 rue du Colonel Pierre Avia"/>
    <s v="Paris"/>
    <s v="75508"/>
    <s v="France"/>
    <s v="Da Cunha"/>
    <s v="Daniel"/>
    <s v="Medium"/>
    <x v="281"/>
  </r>
  <r>
    <n v="10134"/>
    <n v="31"/>
    <n v="226.58"/>
    <n v="4"/>
    <n v="7023.98"/>
    <d v="2018-07-01T00:00:00"/>
    <s v="Shipped"/>
    <s v="Motorcycles"/>
    <n v="193"/>
    <s v="S10_4698"/>
    <x v="29"/>
    <s v="+33 1 46 62 7555"/>
    <s v="27 rue du Colonel Pierre Avia"/>
    <s v="Paris"/>
    <s v="75508"/>
    <s v="France"/>
    <s v="Da Cunha"/>
    <s v="Daniel"/>
    <s v="Large"/>
    <x v="282"/>
  </r>
  <r>
    <n v="10134"/>
    <n v="20"/>
    <n v="135.56"/>
    <n v="1"/>
    <n v="2711.2"/>
    <d v="2018-07-01T00:00:00"/>
    <s v="Shipped"/>
    <s v="Motorcycles"/>
    <n v="150"/>
    <s v="S12_2823"/>
    <x v="29"/>
    <s v="+33 1 46 62 7555"/>
    <s v="27 rue du Colonel Pierre Avia"/>
    <s v="Paris"/>
    <s v="75508"/>
    <s v="France"/>
    <s v="Da Cunha"/>
    <s v="Daniel"/>
    <s v="Small"/>
    <x v="283"/>
  </r>
  <r>
    <n v="10134"/>
    <n v="30"/>
    <n v="61.78"/>
    <n v="6"/>
    <n v="1853.4"/>
    <d v="2018-07-01T00:00:00"/>
    <s v="Shipped"/>
    <s v="Motorcycles"/>
    <n v="60"/>
    <s v="S18_2625"/>
    <x v="29"/>
    <s v="+33 1 46 62 7555"/>
    <s v="27 rue du Colonel Pierre Avia"/>
    <s v="Paris"/>
    <s v="75508"/>
    <s v="France"/>
    <s v="Da Cunha"/>
    <s v="Daniel"/>
    <s v="Small"/>
    <x v="284"/>
  </r>
  <r>
    <n v="10134"/>
    <n v="35"/>
    <n v="93.54"/>
    <n v="3"/>
    <n v="3273.9"/>
    <d v="2018-07-01T00:00:00"/>
    <s v="Shipped"/>
    <s v="Motorcycles"/>
    <n v="112"/>
    <s v="S24_1578"/>
    <x v="29"/>
    <s v="+33 1 46 62 7555"/>
    <s v="27 rue du Colonel Pierre Avia"/>
    <s v="Paris"/>
    <s v="75508"/>
    <s v="France"/>
    <s v="Da Cunha"/>
    <s v="Daniel"/>
    <s v="Medium"/>
    <x v="244"/>
  </r>
  <r>
    <n v="10134"/>
    <n v="43"/>
    <n v="83.03"/>
    <n v="7"/>
    <n v="3570.29"/>
    <d v="2018-07-01T00:00:00"/>
    <s v="Shipped"/>
    <s v="Motorcycles"/>
    <n v="76"/>
    <s v="S24_2000"/>
    <x v="29"/>
    <s v="+33 1 46 62 7555"/>
    <s v="27 rue du Colonel Pierre Avia"/>
    <s v="Paris"/>
    <s v="75508"/>
    <s v="France"/>
    <s v="Da Cunha"/>
    <s v="Daniel"/>
    <s v="Medium"/>
    <x v="285"/>
  </r>
  <r>
    <n v="10135"/>
    <n v="42"/>
    <n v="190.68"/>
    <n v="7"/>
    <n v="8008.56"/>
    <d v="2018-07-02T00:00:00"/>
    <s v="Shipped"/>
    <s v="Classic Cars"/>
    <n v="194"/>
    <s v="S12_1099"/>
    <x v="12"/>
    <s v="4155551450"/>
    <s v="5677 Strong St."/>
    <s v="San Rafael"/>
    <s v="97562"/>
    <s v="USA"/>
    <s v="Nelson"/>
    <s v="Valarie"/>
    <s v="Large"/>
    <x v="286"/>
  </r>
  <r>
    <n v="10135"/>
    <n v="48"/>
    <n v="125.66"/>
    <n v="5"/>
    <n v="6031.68"/>
    <d v="2018-07-02T00:00:00"/>
    <s v="Shipped"/>
    <s v="Classic Cars"/>
    <n v="117"/>
    <s v="S12_3380"/>
    <x v="12"/>
    <s v="4155551450"/>
    <s v="5677 Strong St."/>
    <s v="San Rafael"/>
    <s v="97562"/>
    <s v="USA"/>
    <s v="Nelson"/>
    <s v="Valarie"/>
    <s v="Medium"/>
    <x v="11"/>
  </r>
  <r>
    <n v="10135"/>
    <n v="24"/>
    <n v="75.010000000000005"/>
    <n v="8"/>
    <n v="1800.24"/>
    <d v="2018-07-02T00:00:00"/>
    <s v="Shipped"/>
    <s v="Classic Cars"/>
    <n v="79"/>
    <s v="S12_3990"/>
    <x v="12"/>
    <s v="4155551450"/>
    <s v="5677 Strong St."/>
    <s v="San Rafael"/>
    <s v="97562"/>
    <s v="USA"/>
    <s v="Nelson"/>
    <s v="Valarie"/>
    <s v="Small"/>
    <x v="287"/>
  </r>
  <r>
    <n v="10135"/>
    <n v="29"/>
    <n v="97.89"/>
    <n v="4"/>
    <n v="2838.81"/>
    <d v="2018-07-02T00:00:00"/>
    <s v="Shipped"/>
    <s v="Classic Cars"/>
    <n v="115"/>
    <s v="S12_4675"/>
    <x v="12"/>
    <s v="4155551450"/>
    <s v="5677 Strong St."/>
    <s v="San Rafael"/>
    <s v="97562"/>
    <s v="USA"/>
    <s v="Nelson"/>
    <s v="Valarie"/>
    <s v="Small"/>
    <x v="288"/>
  </r>
  <r>
    <n v="10135"/>
    <n v="48"/>
    <n v="79.31"/>
    <n v="3"/>
    <n v="3806.88"/>
    <d v="2018-07-02T00:00:00"/>
    <s v="Shipped"/>
    <s v="Classic Cars"/>
    <n v="77"/>
    <s v="S18_1889"/>
    <x v="12"/>
    <s v="4155551450"/>
    <s v="5677 Strong St."/>
    <s v="San Rafael"/>
    <s v="97562"/>
    <s v="USA"/>
    <s v="Nelson"/>
    <s v="Valarie"/>
    <s v="Medium"/>
    <x v="289"/>
  </r>
  <r>
    <n v="10135"/>
    <n v="45"/>
    <n v="78"/>
    <n v="10"/>
    <n v="3510"/>
    <d v="2018-07-02T00:00:00"/>
    <s v="Shipped"/>
    <s v="Classic Cars"/>
    <n v="80"/>
    <s v="S18_3278"/>
    <x v="12"/>
    <s v="4155551450"/>
    <s v="5677 Strong St."/>
    <s v="San Rafael"/>
    <s v="97562"/>
    <s v="USA"/>
    <s v="Nelson"/>
    <s v="Valarie"/>
    <s v="Medium"/>
    <x v="290"/>
  </r>
  <r>
    <n v="10135"/>
    <n v="42"/>
    <n v="129.35"/>
    <n v="9"/>
    <n v="5432.7"/>
    <d v="2018-07-02T00:00:00"/>
    <s v="Shipped"/>
    <s v="Classic Cars"/>
    <n v="146"/>
    <s v="S18_3482"/>
    <x v="12"/>
    <s v="4155551450"/>
    <s v="5677 Strong St."/>
    <s v="San Rafael"/>
    <s v="97562"/>
    <s v="USA"/>
    <s v="Nelson"/>
    <s v="Valarie"/>
    <s v="Medium"/>
    <x v="291"/>
  </r>
  <r>
    <n v="10135"/>
    <n v="45"/>
    <n v="50.36"/>
    <n v="13"/>
    <n v="2266.1999999999998"/>
    <d v="2018-07-02T00:00:00"/>
    <s v="Shipped"/>
    <s v="Motorcycles"/>
    <n v="62"/>
    <s v="S18_3782"/>
    <x v="12"/>
    <s v="4155551450"/>
    <s v="5677 Strong St."/>
    <s v="San Rafael"/>
    <s v="97562"/>
    <s v="USA"/>
    <s v="Nelson"/>
    <s v="Valarie"/>
    <s v="Small"/>
    <x v="292"/>
  </r>
  <r>
    <n v="10135"/>
    <n v="31"/>
    <n v="151.78"/>
    <n v="12"/>
    <n v="4705.18"/>
    <d v="2018-07-02T00:00:00"/>
    <s v="Shipped"/>
    <s v="Classic Cars"/>
    <n v="148"/>
    <s v="S18_4721"/>
    <x v="12"/>
    <s v="4155551450"/>
    <s v="5677 Strong St."/>
    <s v="San Rafael"/>
    <s v="97562"/>
    <s v="USA"/>
    <s v="Nelson"/>
    <s v="Valarie"/>
    <s v="Medium"/>
    <x v="293"/>
  </r>
  <r>
    <n v="10135"/>
    <n v="29"/>
    <n v="61.64"/>
    <n v="16"/>
    <n v="1787.56"/>
    <d v="2018-07-02T00:00:00"/>
    <s v="Shipped"/>
    <s v="Motorcycles"/>
    <n v="69"/>
    <s v="S24_2360"/>
    <x v="12"/>
    <s v="4155551450"/>
    <s v="5677 Strong St."/>
    <s v="San Rafael"/>
    <s v="97562"/>
    <s v="USA"/>
    <s v="Nelson"/>
    <s v="Valarie"/>
    <s v="Small"/>
    <x v="145"/>
  </r>
  <r>
    <n v="10135"/>
    <n v="20"/>
    <n v="35.869999999999997"/>
    <n v="1"/>
    <n v="717.4"/>
    <d v="2018-07-02T00:00:00"/>
    <s v="Shipped"/>
    <s v="Classic Cars"/>
    <n v="37"/>
    <s v="S24_2972"/>
    <x v="12"/>
    <s v="4155551450"/>
    <s v="5677 Strong St."/>
    <s v="San Rafael"/>
    <s v="97562"/>
    <s v="USA"/>
    <s v="Nelson"/>
    <s v="Valarie"/>
    <s v="Small"/>
    <x v="294"/>
  </r>
  <r>
    <n v="10135"/>
    <n v="27"/>
    <n v="66.13"/>
    <n v="6"/>
    <n v="1785.51"/>
    <d v="2018-07-02T00:00:00"/>
    <s v="Shipped"/>
    <s v="Classic Cars"/>
    <n v="61"/>
    <s v="S24_3371"/>
    <x v="12"/>
    <s v="4155551450"/>
    <s v="5677 Strong St."/>
    <s v="San Rafael"/>
    <s v="97562"/>
    <s v="USA"/>
    <s v="Nelson"/>
    <s v="Valarie"/>
    <s v="Small"/>
    <x v="295"/>
  </r>
  <r>
    <n v="10135"/>
    <n v="47"/>
    <n v="134.81"/>
    <n v="2"/>
    <n v="6336.07"/>
    <d v="2018-07-02T00:00:00"/>
    <s v="Shipped"/>
    <s v="Classic Cars"/>
    <n v="140"/>
    <s v="S24_3856"/>
    <x v="12"/>
    <s v="4155551450"/>
    <s v="5677 Strong St."/>
    <s v="San Rafael"/>
    <s v="97562"/>
    <s v="USA"/>
    <s v="Nelson"/>
    <s v="Valarie"/>
    <s v="Medium"/>
    <x v="296"/>
  </r>
  <r>
    <n v="10135"/>
    <n v="23"/>
    <n v="87.31"/>
    <n v="11"/>
    <n v="2008.13"/>
    <d v="2018-07-02T00:00:00"/>
    <s v="Shipped"/>
    <s v="Classic Cars"/>
    <n v="80"/>
    <s v="S24_4620"/>
    <x v="12"/>
    <s v="4155551450"/>
    <s v="5677 Strong St."/>
    <s v="San Rafael"/>
    <s v="97562"/>
    <s v="USA"/>
    <s v="Nelson"/>
    <s v="Valarie"/>
    <s v="Small"/>
    <x v="297"/>
  </r>
  <r>
    <n v="10135"/>
    <n v="33"/>
    <n v="40.229999999999997"/>
    <n v="14"/>
    <n v="1327.59"/>
    <d v="2018-07-02T00:00:00"/>
    <s v="Shipped"/>
    <s v="Motorcycles"/>
    <n v="40"/>
    <s v="S32_2206"/>
    <x v="12"/>
    <s v="4155551450"/>
    <s v="5677 Strong St."/>
    <s v="San Rafael"/>
    <s v="97562"/>
    <s v="USA"/>
    <s v="Nelson"/>
    <s v="Valarie"/>
    <s v="Small"/>
    <x v="298"/>
  </r>
  <r>
    <n v="10135"/>
    <n v="30"/>
    <n v="89.8"/>
    <n v="17"/>
    <n v="2694"/>
    <d v="2018-07-02T00:00:00"/>
    <s v="Shipped"/>
    <s v="Motorcycles"/>
    <n v="102"/>
    <s v="S32_4485"/>
    <x v="12"/>
    <s v="4155551450"/>
    <s v="5677 Strong St."/>
    <s v="San Rafael"/>
    <s v="97562"/>
    <s v="USA"/>
    <s v="Nelson"/>
    <s v="Valarie"/>
    <s v="Small"/>
    <x v="299"/>
  </r>
  <r>
    <n v="10135"/>
    <n v="44"/>
    <n v="96"/>
    <n v="15"/>
    <n v="4224"/>
    <d v="2018-07-02T00:00:00"/>
    <s v="Shipped"/>
    <s v="Motorcycles"/>
    <n v="81"/>
    <s v="S50_4713"/>
    <x v="12"/>
    <s v="4155551450"/>
    <s v="5677 Strong St."/>
    <s v="San Rafael"/>
    <s v="97562"/>
    <s v="USA"/>
    <s v="Nelson"/>
    <s v="Valarie"/>
    <s v="Medium"/>
    <x v="300"/>
  </r>
  <r>
    <n v="10136"/>
    <n v="25"/>
    <n v="145.79"/>
    <n v="2"/>
    <n v="3644.75"/>
    <d v="2018-07-04T00:00:00"/>
    <s v="Shipped"/>
    <s v="Classic Cars"/>
    <n v="141"/>
    <s v="S18_1129"/>
    <x v="30"/>
    <s v="61.77.6555"/>
    <s v="1 rue Alsace-Lorraine"/>
    <s v="Toulouse"/>
    <s v="31000"/>
    <s v="France"/>
    <s v="Roulet"/>
    <s v="Annette"/>
    <s v="Medium"/>
    <x v="301"/>
  </r>
  <r>
    <n v="10136"/>
    <n v="36"/>
    <n v="146.52000000000001"/>
    <n v="1"/>
    <n v="5274.72"/>
    <d v="2018-07-04T00:00:00"/>
    <s v="Shipped"/>
    <s v="Classic Cars"/>
    <n v="142"/>
    <s v="S18_1984"/>
    <x v="30"/>
    <s v="61.77.6555"/>
    <s v="1 rue Alsace-Lorraine"/>
    <s v="Toulouse"/>
    <s v="31000"/>
    <s v="France"/>
    <s v="Roulet"/>
    <s v="Annette"/>
    <s v="Medium"/>
    <x v="302"/>
  </r>
  <r>
    <n v="10136"/>
    <n v="41"/>
    <n v="203.21"/>
    <n v="3"/>
    <n v="8331.61"/>
    <d v="2018-07-04T00:00:00"/>
    <s v="Shipped"/>
    <s v="Classic Cars"/>
    <n v="169"/>
    <s v="S18_3232"/>
    <x v="30"/>
    <s v="61.77.6555"/>
    <s v="1 rue Alsace-Lorraine"/>
    <s v="Toulouse"/>
    <s v="31000"/>
    <s v="France"/>
    <s v="Roulet"/>
    <s v="Annette"/>
    <s v="Large"/>
    <x v="251"/>
  </r>
  <r>
    <n v="10137"/>
    <n v="44"/>
    <n v="99.55"/>
    <n v="2"/>
    <n v="4380.2"/>
    <d v="2018-07-10T00:00:00"/>
    <s v="Shipped"/>
    <s v="Classic Cars"/>
    <n v="124"/>
    <s v="S18_1589"/>
    <x v="20"/>
    <s v="26.47.1555"/>
    <s v="59 rue de l'Abbaye"/>
    <s v="Reims"/>
    <s v="51100"/>
    <s v="France"/>
    <s v="Henriot"/>
    <s v="Paul"/>
    <s v="Medium"/>
    <x v="303"/>
  </r>
  <r>
    <n v="10137"/>
    <n v="37"/>
    <n v="117.48"/>
    <n v="3"/>
    <n v="4346.76"/>
    <d v="2018-07-10T00:00:00"/>
    <s v="Shipped"/>
    <s v="Classic Cars"/>
    <n v="132"/>
    <s v="S18_2870"/>
    <x v="20"/>
    <s v="26.47.1555"/>
    <s v="59 rue de l'Abbaye"/>
    <s v="Reims"/>
    <s v="51100"/>
    <s v="France"/>
    <s v="Henriot"/>
    <s v="Paul"/>
    <s v="Medium"/>
    <x v="124"/>
  </r>
  <r>
    <n v="10137"/>
    <n v="31"/>
    <n v="165.3"/>
    <n v="4"/>
    <n v="5124.3"/>
    <d v="2018-07-10T00:00:00"/>
    <s v="Shipped"/>
    <s v="Classic Cars"/>
    <n v="141"/>
    <s v="S18_3685"/>
    <x v="20"/>
    <s v="26.47.1555"/>
    <s v="59 rue de l'Abbaye"/>
    <s v="Reims"/>
    <s v="51100"/>
    <s v="France"/>
    <s v="Henriot"/>
    <s v="Paul"/>
    <s v="Medium"/>
    <x v="304"/>
  </r>
  <r>
    <n v="10137"/>
    <n v="26"/>
    <n v="49.81"/>
    <n v="1"/>
    <n v="1295.06"/>
    <d v="2018-07-10T00:00:00"/>
    <s v="Shipped"/>
    <s v="Classic Cars"/>
    <n v="50"/>
    <s v="S24_1628"/>
    <x v="20"/>
    <s v="26.47.1555"/>
    <s v="59 rue de l'Abbaye"/>
    <s v="Reims"/>
    <s v="51100"/>
    <s v="France"/>
    <s v="Henriot"/>
    <s v="Paul"/>
    <s v="Small"/>
    <x v="305"/>
  </r>
  <r>
    <n v="10139"/>
    <n v="31"/>
    <n v="102.74"/>
    <n v="7"/>
    <n v="3184.94"/>
    <d v="2018-07-16T00:00:00"/>
    <s v="Shipped"/>
    <s v="Vintage Cars"/>
    <n v="102"/>
    <s v="S18_1342"/>
    <x v="31"/>
    <s v="+61 2 9495 8555"/>
    <s v="Monitor Money Building, 815 Pacific Hwy"/>
    <s v="Chatswood"/>
    <s v="2067"/>
    <s v="Australia"/>
    <s v="Huxley"/>
    <s v="Adrian"/>
    <s v="Medium"/>
    <x v="306"/>
  </r>
  <r>
    <n v="10139"/>
    <n v="49"/>
    <n v="43.13"/>
    <n v="6"/>
    <n v="2113.37"/>
    <d v="2018-07-16T00:00:00"/>
    <s v="Shipped"/>
    <s v="Vintage Cars"/>
    <n v="53"/>
    <s v="S18_1367"/>
    <x v="31"/>
    <s v="+61 2 9495 8555"/>
    <s v="Monitor Money Building, 815 Pacific Hwy"/>
    <s v="Chatswood"/>
    <s v="2067"/>
    <s v="Australia"/>
    <s v="Huxley"/>
    <s v="Adrian"/>
    <s v="Small"/>
    <x v="307"/>
  </r>
  <r>
    <n v="10139"/>
    <n v="41"/>
    <n v="194.06"/>
    <n v="8"/>
    <n v="7956.46"/>
    <d v="2018-07-16T00:00:00"/>
    <s v="Shipped"/>
    <s v="Vintage Cars"/>
    <n v="168"/>
    <s v="S18_2795"/>
    <x v="31"/>
    <s v="+61 2 9495 8555"/>
    <s v="Monitor Money Building, 815 Pacific Hwy"/>
    <s v="Chatswood"/>
    <s v="2067"/>
    <s v="Australia"/>
    <s v="Huxley"/>
    <s v="Adrian"/>
    <s v="Large"/>
    <x v="308"/>
  </r>
  <r>
    <n v="10139"/>
    <n v="46"/>
    <n v="120.56"/>
    <n v="1"/>
    <n v="5545.76"/>
    <d v="2018-07-16T00:00:00"/>
    <s v="Shipped"/>
    <s v="Vintage Cars"/>
    <n v="101"/>
    <s v="S18_2949"/>
    <x v="31"/>
    <s v="+61 2 9495 8555"/>
    <s v="Monitor Money Building, 815 Pacific Hwy"/>
    <s v="Chatswood"/>
    <s v="2067"/>
    <s v="Australia"/>
    <s v="Huxley"/>
    <s v="Adrian"/>
    <s v="Medium"/>
    <x v="309"/>
  </r>
  <r>
    <n v="10139"/>
    <n v="20"/>
    <n v="71.2"/>
    <n v="3"/>
    <n v="1424"/>
    <d v="2018-07-16T00:00:00"/>
    <s v="Shipped"/>
    <s v="Vintage Cars"/>
    <n v="62"/>
    <s v="S18_2957"/>
    <x v="31"/>
    <s v="+61 2 9495 8555"/>
    <s v="Monitor Money Building, 815 Pacific Hwy"/>
    <s v="Chatswood"/>
    <s v="2067"/>
    <s v="Australia"/>
    <s v="Huxley"/>
    <s v="Adrian"/>
    <s v="Small"/>
    <x v="310"/>
  </r>
  <r>
    <n v="10139"/>
    <n v="20"/>
    <n v="90.06"/>
    <n v="2"/>
    <n v="1801.2"/>
    <d v="2018-07-16T00:00:00"/>
    <s v="Shipped"/>
    <s v="Vintage Cars"/>
    <n v="104"/>
    <s v="S18_3136"/>
    <x v="31"/>
    <s v="+61 2 9495 8555"/>
    <s v="Monitor Money Building, 815 Pacific Hwy"/>
    <s v="Chatswood"/>
    <s v="2067"/>
    <s v="Australia"/>
    <s v="Huxley"/>
    <s v="Adrian"/>
    <s v="Small"/>
    <x v="311"/>
  </r>
  <r>
    <n v="10139"/>
    <n v="30"/>
    <n v="103.18"/>
    <n v="5"/>
    <n v="3095.4"/>
    <d v="2018-07-16T00:00:00"/>
    <s v="Shipped"/>
    <s v="Vintage Cars"/>
    <n v="99"/>
    <s v="S18_3320"/>
    <x v="31"/>
    <s v="+61 2 9495 8555"/>
    <s v="Monitor Money Building, 815 Pacific Hwy"/>
    <s v="Chatswood"/>
    <s v="2067"/>
    <s v="Australia"/>
    <s v="Huxley"/>
    <s v="Adrian"/>
    <s v="Medium"/>
    <x v="312"/>
  </r>
  <r>
    <n v="10139"/>
    <n v="29"/>
    <n v="112.97"/>
    <n v="4"/>
    <n v="3276.13"/>
    <d v="2018-07-16T00:00:00"/>
    <s v="Shipped"/>
    <s v="Vintage Cars"/>
    <n v="97"/>
    <s v="S24_4258"/>
    <x v="31"/>
    <s v="+61 2 9495 8555"/>
    <s v="Monitor Money Building, 815 Pacific Hwy"/>
    <s v="Chatswood"/>
    <s v="2067"/>
    <s v="Australia"/>
    <s v="Huxley"/>
    <s v="Adrian"/>
    <s v="Medium"/>
    <x v="313"/>
  </r>
  <r>
    <n v="10140"/>
    <n v="37"/>
    <n v="199.3"/>
    <n v="11"/>
    <n v="7374.1"/>
    <d v="2018-07-24T00:00:00"/>
    <s v="Shipped"/>
    <s v="Classic Cars"/>
    <n v="214"/>
    <s v="S10_1949"/>
    <x v="32"/>
    <s v="6505556809"/>
    <s v="9408 Furth Circle"/>
    <s v="Burlingame"/>
    <s v="94217"/>
    <s v="USA"/>
    <s v="Hirano"/>
    <s v="Juri"/>
    <s v="Large"/>
    <x v="314"/>
  </r>
  <r>
    <n v="10140"/>
    <n v="26"/>
    <n v="122.62"/>
    <n v="4"/>
    <n v="3188.12"/>
    <d v="2018-07-24T00:00:00"/>
    <s v="Shipped"/>
    <s v="Classic Cars"/>
    <n v="147"/>
    <s v="S10_4962"/>
    <x v="32"/>
    <s v="6505556809"/>
    <s v="9408 Furth Circle"/>
    <s v="Burlingame"/>
    <s v="94217"/>
    <s v="USA"/>
    <s v="Hirano"/>
    <s v="Juri"/>
    <s v="Medium"/>
    <x v="315"/>
  </r>
  <r>
    <n v="10140"/>
    <n v="38"/>
    <n v="127.1"/>
    <n v="8"/>
    <n v="4829.8"/>
    <d v="2018-07-24T00:00:00"/>
    <s v="Shipped"/>
    <s v="Trucks and Buses"/>
    <n v="136"/>
    <s v="S12_1666"/>
    <x v="32"/>
    <s v="6505556809"/>
    <s v="9408 Furth Circle"/>
    <s v="Burlingame"/>
    <s v="94217"/>
    <s v="USA"/>
    <s v="Hirano"/>
    <s v="Juri"/>
    <s v="Medium"/>
    <x v="316"/>
  </r>
  <r>
    <n v="10140"/>
    <n v="32"/>
    <n v="130.66999999999999"/>
    <n v="10"/>
    <n v="4181.4399999999996"/>
    <d v="2018-07-24T00:00:00"/>
    <s v="Shipped"/>
    <s v="Trucks and Buses"/>
    <n v="116"/>
    <s v="S18_1097"/>
    <x v="32"/>
    <s v="6505556809"/>
    <s v="9408 Furth Circle"/>
    <s v="Burlingame"/>
    <s v="94217"/>
    <s v="USA"/>
    <s v="Hirano"/>
    <s v="Juri"/>
    <s v="Medium"/>
    <x v="317"/>
  </r>
  <r>
    <n v="10140"/>
    <n v="46"/>
    <n v="61.99"/>
    <n v="2"/>
    <n v="2851.54"/>
    <d v="2018-07-24T00:00:00"/>
    <s v="Shipped"/>
    <s v="Trucks and Buses"/>
    <n v="60"/>
    <s v="S18_2432"/>
    <x v="32"/>
    <s v="6505556809"/>
    <s v="9408 Furth Circle"/>
    <s v="Burlingame"/>
    <s v="94217"/>
    <s v="USA"/>
    <s v="Hirano"/>
    <s v="Juri"/>
    <s v="Small"/>
    <x v="241"/>
  </r>
  <r>
    <n v="10140"/>
    <n v="40"/>
    <n v="115.03"/>
    <n v="5"/>
    <n v="4601.2"/>
    <d v="2018-07-24T00:00:00"/>
    <s v="Shipped"/>
    <s v="Trucks and Buses"/>
    <n v="121"/>
    <s v="S18_4600"/>
    <x v="32"/>
    <s v="6505556809"/>
    <s v="9408 Furth Circle"/>
    <s v="Burlingame"/>
    <s v="94217"/>
    <s v="USA"/>
    <s v="Hirano"/>
    <s v="Juri"/>
    <s v="Medium"/>
    <x v="318"/>
  </r>
  <r>
    <n v="10140"/>
    <n v="29"/>
    <n v="43.27"/>
    <n v="9"/>
    <n v="1254.83"/>
    <d v="2018-07-24T00:00:00"/>
    <s v="Shipped"/>
    <s v="Vintage Cars"/>
    <n v="50"/>
    <s v="S18_4668"/>
    <x v="32"/>
    <s v="6505556809"/>
    <s v="9408 Furth Circle"/>
    <s v="Burlingame"/>
    <s v="94217"/>
    <s v="USA"/>
    <s v="Hirano"/>
    <s v="Juri"/>
    <s v="Small"/>
    <x v="319"/>
  </r>
  <r>
    <n v="10140"/>
    <n v="47"/>
    <n v="108.62"/>
    <n v="1"/>
    <n v="5105.1400000000003"/>
    <d v="2018-07-24T00:00:00"/>
    <s v="Shipped"/>
    <s v="Trucks and Buses"/>
    <n v="127"/>
    <s v="S24_2300"/>
    <x v="32"/>
    <s v="6505556809"/>
    <s v="9408 Furth Circle"/>
    <s v="Burlingame"/>
    <s v="94217"/>
    <s v="USA"/>
    <s v="Hirano"/>
    <s v="Juri"/>
    <s v="Medium"/>
    <x v="320"/>
  </r>
  <r>
    <n v="10140"/>
    <n v="26"/>
    <n v="108.83"/>
    <n v="3"/>
    <n v="2829.58"/>
    <d v="2018-07-24T00:00:00"/>
    <s v="Shipped"/>
    <s v="Trucks and Buses"/>
    <n v="96"/>
    <s v="S32_1268"/>
    <x v="32"/>
    <s v="6505556809"/>
    <s v="9408 Furth Circle"/>
    <s v="Burlingame"/>
    <s v="94217"/>
    <s v="USA"/>
    <s v="Hirano"/>
    <s v="Juri"/>
    <s v="Small"/>
    <x v="321"/>
  </r>
  <r>
    <n v="10140"/>
    <n v="28"/>
    <n v="60.76"/>
    <n v="7"/>
    <n v="1701.28"/>
    <d v="2018-07-24T00:00:00"/>
    <s v="Shipped"/>
    <s v="Trucks and Buses"/>
    <n v="64"/>
    <s v="S32_3522"/>
    <x v="32"/>
    <s v="6505556809"/>
    <s v="9408 Furth Circle"/>
    <s v="Burlingame"/>
    <s v="94217"/>
    <s v="USA"/>
    <s v="Hirano"/>
    <s v="Juri"/>
    <s v="Small"/>
    <x v="322"/>
  </r>
  <r>
    <n v="10140"/>
    <n v="36"/>
    <n v="114.3"/>
    <n v="6"/>
    <n v="4114.8"/>
    <d v="2018-07-24T00:00:00"/>
    <s v="Shipped"/>
    <s v="Classic Cars"/>
    <n v="101"/>
    <s v="S700_2824"/>
    <x v="32"/>
    <s v="6505556809"/>
    <s v="9408 Furth Circle"/>
    <s v="Burlingame"/>
    <s v="94217"/>
    <s v="USA"/>
    <s v="Hirano"/>
    <s v="Juri"/>
    <s v="Medium"/>
    <x v="323"/>
  </r>
  <r>
    <n v="10141"/>
    <n v="21"/>
    <n v="101.91"/>
    <n v="5"/>
    <n v="2140.11"/>
    <d v="2018-08-01T00:00:00"/>
    <s v="Shipped"/>
    <s v="Trucks and Buses"/>
    <n v="118"/>
    <s v="S12_4473"/>
    <x v="33"/>
    <s v="+358 9 8045 555"/>
    <s v="Software Engineering Center, SEC Oy"/>
    <s v="Espoo"/>
    <s v="FIN-02271"/>
    <s v="Finland"/>
    <s v="Suominen"/>
    <s v="Kalle"/>
    <s v="Small"/>
    <x v="324"/>
  </r>
  <r>
    <n v="10141"/>
    <n v="39"/>
    <n v="152.27000000000001"/>
    <n v="4"/>
    <n v="5938.53"/>
    <d v="2018-08-01T00:00:00"/>
    <s v="Shipped"/>
    <s v="Classic Cars"/>
    <n v="163"/>
    <s v="S18_2238"/>
    <x v="33"/>
    <s v="+358 9 8045 555"/>
    <s v="Software Engineering Center, SEC Oy"/>
    <s v="Espoo"/>
    <s v="FIN-02271"/>
    <s v="Finland"/>
    <s v="Suominen"/>
    <s v="Kalle"/>
    <s v="Medium"/>
    <x v="302"/>
  </r>
  <r>
    <n v="10141"/>
    <n v="47"/>
    <n v="133.78"/>
    <n v="8"/>
    <n v="6287.66"/>
    <d v="2018-08-01T00:00:00"/>
    <s v="Shipped"/>
    <s v="Trucks and Buses"/>
    <n v="122"/>
    <s v="S18_2319"/>
    <x v="33"/>
    <s v="+358 9 8045 555"/>
    <s v="Software Engineering Center, SEC Oy"/>
    <s v="Espoo"/>
    <s v="FIN-02271"/>
    <s v="Finland"/>
    <s v="Suominen"/>
    <s v="Kalle"/>
    <s v="Medium"/>
    <x v="325"/>
  </r>
  <r>
    <n v="10141"/>
    <n v="34"/>
    <n v="142.25"/>
    <n v="9"/>
    <n v="4836.5"/>
    <d v="2018-08-01T00:00:00"/>
    <s v="Shipped"/>
    <s v="Classic Cars"/>
    <n v="169"/>
    <s v="S18_3232"/>
    <x v="33"/>
    <s v="+358 9 8045 555"/>
    <s v="Software Engineering Center, SEC Oy"/>
    <s v="Espoo"/>
    <s v="FIN-02271"/>
    <s v="Finland"/>
    <s v="Suominen"/>
    <s v="Kalle"/>
    <s v="Medium"/>
    <x v="117"/>
  </r>
  <r>
    <n v="10141"/>
    <n v="20"/>
    <n v="54.33"/>
    <n v="2"/>
    <n v="1086.5999999999999"/>
    <d v="2018-08-01T00:00:00"/>
    <s v="Shipped"/>
    <s v="Classic Cars"/>
    <n v="57"/>
    <s v="S24_1444"/>
    <x v="33"/>
    <s v="+358 9 8045 555"/>
    <s v="Software Engineering Center, SEC Oy"/>
    <s v="Espoo"/>
    <s v="FIN-02271"/>
    <s v="Finland"/>
    <s v="Suominen"/>
    <s v="Kalle"/>
    <s v="Small"/>
    <x v="326"/>
  </r>
  <r>
    <n v="10141"/>
    <n v="21"/>
    <n v="42.43"/>
    <n v="6"/>
    <n v="891.03"/>
    <d v="2018-08-01T00:00:00"/>
    <s v="Shipped"/>
    <s v="Classic Cars"/>
    <n v="35"/>
    <s v="S24_2840"/>
    <x v="33"/>
    <s v="+358 9 8045 555"/>
    <s v="Software Engineering Center, SEC Oy"/>
    <s v="Espoo"/>
    <s v="FIN-02271"/>
    <s v="Finland"/>
    <s v="Suominen"/>
    <s v="Kalle"/>
    <s v="Small"/>
    <x v="327"/>
  </r>
  <r>
    <n v="10141"/>
    <n v="40"/>
    <n v="94.62"/>
    <n v="1"/>
    <n v="3784.8"/>
    <d v="2018-08-01T00:00:00"/>
    <s v="Shipped"/>
    <s v="Classic Cars"/>
    <n v="118"/>
    <s v="S24_4048"/>
    <x v="33"/>
    <s v="+358 9 8045 555"/>
    <s v="Software Engineering Center, SEC Oy"/>
    <s v="Espoo"/>
    <s v="FIN-02271"/>
    <s v="Finland"/>
    <s v="Suominen"/>
    <s v="Kalle"/>
    <s v="Medium"/>
    <x v="328"/>
  </r>
  <r>
    <n v="10141"/>
    <n v="24"/>
    <n v="45.99"/>
    <n v="7"/>
    <n v="1103.76"/>
    <d v="2018-08-01T00:00:00"/>
    <s v="Shipped"/>
    <s v="Trucks and Buses"/>
    <n v="54"/>
    <s v="S32_2509"/>
    <x v="33"/>
    <s v="+358 9 8045 555"/>
    <s v="Software Engineering Center, SEC Oy"/>
    <s v="Espoo"/>
    <s v="FIN-02271"/>
    <s v="Finland"/>
    <s v="Suominen"/>
    <s v="Kalle"/>
    <s v="Small"/>
    <x v="329"/>
  </r>
  <r>
    <n v="10141"/>
    <n v="44"/>
    <n v="125.01"/>
    <n v="3"/>
    <n v="5500.44"/>
    <d v="2018-08-01T00:00:00"/>
    <s v="Shipped"/>
    <s v="Trucks and Buses"/>
    <n v="115"/>
    <s v="S50_1392"/>
    <x v="33"/>
    <s v="+358 9 8045 555"/>
    <s v="Software Engineering Center, SEC Oy"/>
    <s v="Espoo"/>
    <s v="FIN-02271"/>
    <s v="Finland"/>
    <s v="Suominen"/>
    <s v="Kalle"/>
    <s v="Medium"/>
    <x v="330"/>
  </r>
  <r>
    <n v="10142"/>
    <n v="33"/>
    <n v="243.13"/>
    <n v="12"/>
    <n v="8023.29"/>
    <d v="2018-08-08T00:00:00"/>
    <s v="Shipped"/>
    <s v="Classic Cars"/>
    <n v="207"/>
    <s v="S12_1108"/>
    <x v="12"/>
    <s v="4155551450"/>
    <s v="5677 Strong St."/>
    <s v="San Rafael"/>
    <s v="97562"/>
    <s v="USA"/>
    <s v="Nelson"/>
    <s v="Valarie"/>
    <s v="Large"/>
    <x v="331"/>
  </r>
  <r>
    <n v="10142"/>
    <n v="33"/>
    <n v="151.08000000000001"/>
    <n v="13"/>
    <n v="4985.6400000000003"/>
    <d v="2018-08-08T00:00:00"/>
    <s v="Shipped"/>
    <s v="Classic Cars"/>
    <n v="151"/>
    <s v="S12_3148"/>
    <x v="12"/>
    <s v="4155551450"/>
    <s v="5677 Strong St."/>
    <s v="San Rafael"/>
    <s v="97562"/>
    <s v="USA"/>
    <s v="Nelson"/>
    <s v="Valarie"/>
    <s v="Medium"/>
    <x v="122"/>
  </r>
  <r>
    <n v="10142"/>
    <n v="46"/>
    <n v="205.89"/>
    <n v="11"/>
    <n v="9470.94"/>
    <d v="2018-08-08T00:00:00"/>
    <s v="Shipped"/>
    <s v="Classic Cars"/>
    <n v="173"/>
    <s v="S12_3891"/>
    <x v="12"/>
    <s v="4155551450"/>
    <s v="5677 Strong St."/>
    <s v="San Rafael"/>
    <s v="97562"/>
    <s v="USA"/>
    <s v="Nelson"/>
    <s v="Valarie"/>
    <s v="Large"/>
    <x v="332"/>
  </r>
  <r>
    <n v="10142"/>
    <n v="47"/>
    <n v="128.38999999999999"/>
    <n v="8"/>
    <n v="6034.33"/>
    <d v="2018-08-08T00:00:00"/>
    <s v="Shipped"/>
    <s v="Vintage Cars"/>
    <n v="136"/>
    <s v="S18_3140"/>
    <x v="12"/>
    <s v="4155551450"/>
    <s v="5677 Strong St."/>
    <s v="San Rafael"/>
    <s v="97562"/>
    <s v="USA"/>
    <s v="Nelson"/>
    <s v="Valarie"/>
    <s v="Medium"/>
    <x v="333"/>
  </r>
  <r>
    <n v="10142"/>
    <n v="22"/>
    <n v="97.81"/>
    <n v="10"/>
    <n v="2151.8200000000002"/>
    <d v="2018-08-08T00:00:00"/>
    <s v="Shipped"/>
    <s v="Trains"/>
    <n v="100"/>
    <s v="S18_3259"/>
    <x v="12"/>
    <s v="4155551450"/>
    <s v="5677 Strong St."/>
    <s v="San Rafael"/>
    <s v="97562"/>
    <s v="USA"/>
    <s v="Nelson"/>
    <s v="Valarie"/>
    <s v="Small"/>
    <x v="334"/>
  </r>
  <r>
    <n v="10142"/>
    <n v="24"/>
    <n v="157.97999999999999"/>
    <n v="15"/>
    <n v="3791.52"/>
    <d v="2018-08-08T00:00:00"/>
    <s v="Shipped"/>
    <s v="Classic Cars"/>
    <n v="143"/>
    <s v="S18_4027"/>
    <x v="12"/>
    <s v="4155551450"/>
    <s v="5677 Strong St."/>
    <s v="San Rafael"/>
    <s v="97562"/>
    <s v="USA"/>
    <s v="Nelson"/>
    <s v="Valarie"/>
    <s v="Medium"/>
    <x v="335"/>
  </r>
  <r>
    <n v="10142"/>
    <n v="24"/>
    <n v="70.22"/>
    <n v="7"/>
    <n v="1685.28"/>
    <d v="2018-08-08T00:00:00"/>
    <s v="Shipped"/>
    <s v="Vintage Cars"/>
    <n v="87"/>
    <s v="S18_4522"/>
    <x v="12"/>
    <s v="4155551450"/>
    <s v="5677 Strong St."/>
    <s v="San Rafael"/>
    <s v="97562"/>
    <s v="USA"/>
    <s v="Nelson"/>
    <s v="Valarie"/>
    <s v="Small"/>
    <x v="336"/>
  </r>
  <r>
    <n v="10142"/>
    <n v="33"/>
    <n v="102"/>
    <n v="6"/>
    <n v="3366"/>
    <d v="2018-08-08T00:00:00"/>
    <s v="Shipped"/>
    <s v="Ships"/>
    <n v="122"/>
    <s v="S24_2011"/>
    <x v="12"/>
    <s v="4155551450"/>
    <s v="5677 Strong St."/>
    <s v="San Rafael"/>
    <s v="97562"/>
    <s v="USA"/>
    <s v="Nelson"/>
    <s v="Valarie"/>
    <s v="Medium"/>
    <x v="337"/>
  </r>
  <r>
    <n v="10142"/>
    <n v="49"/>
    <n v="98.25"/>
    <n v="1"/>
    <n v="4814.25"/>
    <d v="2018-08-08T00:00:00"/>
    <s v="Shipped"/>
    <s v="Vintage Cars"/>
    <n v="88"/>
    <s v="S24_3151"/>
    <x v="12"/>
    <s v="4155551450"/>
    <s v="5677 Strong St."/>
    <s v="San Rafael"/>
    <s v="97562"/>
    <s v="USA"/>
    <s v="Nelson"/>
    <s v="Valarie"/>
    <s v="Medium"/>
    <x v="338"/>
  </r>
  <r>
    <n v="10142"/>
    <n v="42"/>
    <n v="74.569999999999993"/>
    <n v="16"/>
    <n v="3131.94"/>
    <d v="2018-08-08T00:00:00"/>
    <s v="Shipped"/>
    <s v="Trains"/>
    <n v="62"/>
    <s v="S32_3207"/>
    <x v="12"/>
    <s v="4155551450"/>
    <s v="5677 Strong St."/>
    <s v="San Rafael"/>
    <s v="97562"/>
    <s v="USA"/>
    <s v="Nelson"/>
    <s v="Valarie"/>
    <s v="Medium"/>
    <x v="339"/>
  </r>
  <r>
    <n v="10142"/>
    <n v="42"/>
    <n v="49.79"/>
    <n v="14"/>
    <n v="2091.1799999999998"/>
    <d v="2018-08-08T00:00:00"/>
    <s v="Shipped"/>
    <s v="Trains"/>
    <n v="58"/>
    <s v="S50_1514"/>
    <x v="12"/>
    <s v="4155551450"/>
    <s v="5677 Strong St."/>
    <s v="San Rafael"/>
    <s v="97562"/>
    <s v="USA"/>
    <s v="Nelson"/>
    <s v="Valarie"/>
    <s v="Small"/>
    <x v="340"/>
  </r>
  <r>
    <n v="10142"/>
    <n v="41"/>
    <n v="64"/>
    <n v="2"/>
    <n v="2624"/>
    <d v="2018-08-08T00:00:00"/>
    <s v="Shipped"/>
    <s v="Ships"/>
    <n v="66"/>
    <s v="S700_1138"/>
    <x v="12"/>
    <s v="4155551450"/>
    <s v="5677 Strong St."/>
    <s v="San Rafael"/>
    <s v="97562"/>
    <s v="USA"/>
    <s v="Nelson"/>
    <s v="Valarie"/>
    <s v="Small"/>
    <x v="341"/>
  </r>
  <r>
    <n v="10142"/>
    <n v="43"/>
    <n v="84.01"/>
    <n v="9"/>
    <n v="3612.43"/>
    <d v="2018-08-08T00:00:00"/>
    <s v="Shipped"/>
    <s v="Ships"/>
    <n v="86"/>
    <s v="S700_1938"/>
    <x v="12"/>
    <s v="4155551450"/>
    <s v="5677 Strong St."/>
    <s v="San Rafael"/>
    <s v="97562"/>
    <s v="USA"/>
    <s v="Nelson"/>
    <s v="Valarie"/>
    <s v="Medium"/>
    <x v="342"/>
  </r>
  <r>
    <n v="10142"/>
    <n v="21"/>
    <n v="111.19"/>
    <n v="3"/>
    <n v="2334.9899999999998"/>
    <d v="2018-08-08T00:00:00"/>
    <s v="Shipped"/>
    <s v="Ships"/>
    <n v="100"/>
    <s v="S700_3505"/>
    <x v="12"/>
    <s v="4155551450"/>
    <s v="5677 Strong St."/>
    <s v="San Rafael"/>
    <s v="97562"/>
    <s v="USA"/>
    <s v="Nelson"/>
    <s v="Valarie"/>
    <s v="Small"/>
    <x v="343"/>
  </r>
  <r>
    <n v="10142"/>
    <n v="38"/>
    <n v="85.41"/>
    <n v="4"/>
    <n v="3245.58"/>
    <d v="2018-08-08T00:00:00"/>
    <s v="Shipped"/>
    <s v="Ships"/>
    <n v="99"/>
    <s v="S700_3962"/>
    <x v="12"/>
    <s v="4155551450"/>
    <s v="5677 Strong St."/>
    <s v="San Rafael"/>
    <s v="97562"/>
    <s v="USA"/>
    <s v="Nelson"/>
    <s v="Valarie"/>
    <s v="Medium"/>
    <x v="344"/>
  </r>
  <r>
    <n v="10142"/>
    <n v="39"/>
    <n v="44.23"/>
    <n v="5"/>
    <n v="1724.97"/>
    <d v="2018-08-08T00:00:00"/>
    <s v="Shipped"/>
    <s v="Ships"/>
    <n v="54"/>
    <s v="S72_3212"/>
    <x v="12"/>
    <s v="4155551450"/>
    <s v="5677 Strong St."/>
    <s v="San Rafael"/>
    <s v="97562"/>
    <s v="USA"/>
    <s v="Nelson"/>
    <s v="Valarie"/>
    <s v="Small"/>
    <x v="345"/>
  </r>
  <r>
    <n v="10143"/>
    <n v="49"/>
    <n v="114.24"/>
    <n v="15"/>
    <n v="5597.76"/>
    <d v="2018-08-10T00:00:00"/>
    <s v="Shipped"/>
    <s v="Classic Cars"/>
    <n v="136"/>
    <s v="S10_4757"/>
    <x v="34"/>
    <s v="5085559555"/>
    <s v="4575 Hillside Dr."/>
    <s v="New Bedford"/>
    <s v="50553"/>
    <s v="USA"/>
    <s v="Tam"/>
    <s v="Wing C"/>
    <s v="Medium"/>
    <x v="346"/>
  </r>
  <r>
    <n v="10143"/>
    <n v="32"/>
    <n v="164"/>
    <n v="7"/>
    <n v="5248"/>
    <d v="2018-08-10T00:00:00"/>
    <s v="Shipped"/>
    <s v="Planes"/>
    <n v="157"/>
    <s v="S18_1662"/>
    <x v="34"/>
    <s v="5085559555"/>
    <s v="4575 Hillside Dr."/>
    <s v="New Bedford"/>
    <s v="50553"/>
    <s v="USA"/>
    <s v="Tam"/>
    <s v="Wing C"/>
    <s v="Medium"/>
    <x v="347"/>
  </r>
  <r>
    <n v="10143"/>
    <n v="46"/>
    <n v="74.84"/>
    <n v="13"/>
    <n v="3442.64"/>
    <d v="2018-08-10T00:00:00"/>
    <s v="Shipped"/>
    <s v="Ships"/>
    <n v="86"/>
    <s v="S18_3029"/>
    <x v="34"/>
    <s v="5085559555"/>
    <s v="4575 Hillside Dr."/>
    <s v="New Bedford"/>
    <s v="50553"/>
    <s v="USA"/>
    <s v="Tam"/>
    <s v="Wing C"/>
    <s v="Medium"/>
    <x v="348"/>
  </r>
  <r>
    <n v="10143"/>
    <n v="34"/>
    <n v="101.64"/>
    <n v="12"/>
    <n v="3455.76"/>
    <d v="2018-08-10T00:00:00"/>
    <s v="Shipped"/>
    <s v="Vintage Cars"/>
    <n v="105"/>
    <s v="S18_3856"/>
    <x v="34"/>
    <s v="5085559555"/>
    <s v="4575 Hillside Dr."/>
    <s v="New Bedford"/>
    <s v="50553"/>
    <s v="USA"/>
    <s v="Tam"/>
    <s v="Wing C"/>
    <s v="Medium"/>
    <x v="349"/>
  </r>
  <r>
    <n v="10143"/>
    <n v="27"/>
    <n v="60.97"/>
    <n v="8"/>
    <n v="1646.19"/>
    <d v="2018-08-10T00:00:00"/>
    <s v="Shipped"/>
    <s v="Planes"/>
    <n v="68"/>
    <s v="S24_2841"/>
    <x v="34"/>
    <s v="5085559555"/>
    <s v="4575 Hillside Dr."/>
    <s v="New Bedford"/>
    <s v="50553"/>
    <s v="USA"/>
    <s v="Tam"/>
    <s v="Wing C"/>
    <s v="Small"/>
    <x v="350"/>
  </r>
  <r>
    <n v="10143"/>
    <n v="33"/>
    <n v="77.59"/>
    <n v="9"/>
    <n v="2560.4699999999998"/>
    <d v="2018-08-10T00:00:00"/>
    <s v="Shipped"/>
    <s v="Vintage Cars"/>
    <n v="65"/>
    <s v="S24_3420"/>
    <x v="34"/>
    <s v="5085559555"/>
    <s v="4575 Hillside Dr."/>
    <s v="New Bedford"/>
    <s v="50553"/>
    <s v="USA"/>
    <s v="Tam"/>
    <s v="Wing C"/>
    <s v="Small"/>
    <x v="351"/>
  </r>
  <r>
    <n v="10143"/>
    <n v="23"/>
    <n v="80.510000000000005"/>
    <n v="14"/>
    <n v="1851.73"/>
    <d v="2018-08-10T00:00:00"/>
    <s v="Shipped"/>
    <s v="Vintage Cars"/>
    <n v="83"/>
    <s v="S24_3816"/>
    <x v="34"/>
    <s v="5085559555"/>
    <s v="4575 Hillside Dr."/>
    <s v="New Bedford"/>
    <s v="50553"/>
    <s v="USA"/>
    <s v="Tam"/>
    <s v="Wing C"/>
    <s v="Small"/>
    <x v="352"/>
  </r>
  <r>
    <n v="10143"/>
    <n v="28"/>
    <n v="66.19"/>
    <n v="6"/>
    <n v="1853.32"/>
    <d v="2018-08-10T00:00:00"/>
    <s v="Shipped"/>
    <s v="Planes"/>
    <n v="68"/>
    <s v="S24_3949"/>
    <x v="34"/>
    <s v="5085559555"/>
    <s v="4575 Hillside Dr."/>
    <s v="New Bedford"/>
    <s v="50553"/>
    <s v="USA"/>
    <s v="Tam"/>
    <s v="Wing C"/>
    <s v="Small"/>
    <x v="353"/>
  </r>
  <r>
    <n v="10143"/>
    <n v="34"/>
    <n v="36.659999999999997"/>
    <n v="1"/>
    <n v="1246.44"/>
    <d v="2018-08-10T00:00:00"/>
    <s v="Shipped"/>
    <s v="Vintage Cars"/>
    <n v="43"/>
    <s v="S50_1341"/>
    <x v="34"/>
    <s v="5085559555"/>
    <s v="4575 Hillside Dr."/>
    <s v="New Bedford"/>
    <s v="50553"/>
    <s v="USA"/>
    <s v="Tam"/>
    <s v="Wing C"/>
    <s v="Small"/>
    <x v="354"/>
  </r>
  <r>
    <n v="10143"/>
    <n v="36"/>
    <n v="109.61"/>
    <n v="2"/>
    <n v="3945.96"/>
    <d v="2018-08-10T00:00:00"/>
    <s v="Shipped"/>
    <s v="Planes"/>
    <n v="91"/>
    <s v="S700_1691"/>
    <x v="34"/>
    <s v="5085559555"/>
    <s v="4575 Hillside Dr."/>
    <s v="New Bedford"/>
    <s v="50553"/>
    <s v="USA"/>
    <s v="Tam"/>
    <s v="Wing C"/>
    <s v="Medium"/>
    <x v="355"/>
  </r>
  <r>
    <n v="10143"/>
    <n v="26"/>
    <n v="100.48"/>
    <n v="11"/>
    <n v="2612.48"/>
    <d v="2018-08-10T00:00:00"/>
    <s v="Shipped"/>
    <s v="Ships"/>
    <n v="90"/>
    <s v="S700_2047"/>
    <x v="34"/>
    <s v="5085559555"/>
    <s v="4575 Hillside Dr."/>
    <s v="New Bedford"/>
    <s v="50553"/>
    <s v="USA"/>
    <s v="Tam"/>
    <s v="Wing C"/>
    <s v="Small"/>
    <x v="356"/>
  </r>
  <r>
    <n v="10143"/>
    <n v="26"/>
    <n v="82.77"/>
    <n v="4"/>
    <n v="2152.02"/>
    <d v="2018-08-10T00:00:00"/>
    <s v="Shipped"/>
    <s v="Planes"/>
    <n v="99"/>
    <s v="S700_2466"/>
    <x v="34"/>
    <s v="5085559555"/>
    <s v="4575 Hillside Dr."/>
    <s v="New Bedford"/>
    <s v="50553"/>
    <s v="USA"/>
    <s v="Tam"/>
    <s v="Wing C"/>
    <s v="Small"/>
    <x v="160"/>
  </r>
  <r>
    <n v="10143"/>
    <n v="31"/>
    <n v="85.29"/>
    <n v="16"/>
    <n v="2643.99"/>
    <d v="2018-08-10T00:00:00"/>
    <s v="Shipped"/>
    <s v="Ships"/>
    <n v="72"/>
    <s v="S700_2610"/>
    <x v="34"/>
    <s v="5085559555"/>
    <s v="4575 Hillside Dr."/>
    <s v="New Bedford"/>
    <s v="50553"/>
    <s v="USA"/>
    <s v="Tam"/>
    <s v="Wing C"/>
    <s v="Small"/>
    <x v="357"/>
  </r>
  <r>
    <n v="10143"/>
    <n v="28"/>
    <n v="96"/>
    <n v="3"/>
    <n v="2688"/>
    <d v="2018-08-10T00:00:00"/>
    <s v="Shipped"/>
    <s v="Planes"/>
    <n v="80"/>
    <s v="S700_3167"/>
    <x v="34"/>
    <s v="5085559555"/>
    <s v="4575 Hillside Dr."/>
    <s v="New Bedford"/>
    <s v="50553"/>
    <s v="USA"/>
    <s v="Tam"/>
    <s v="Wing C"/>
    <s v="Small"/>
    <x v="358"/>
  </r>
  <r>
    <n v="10143"/>
    <n v="34"/>
    <n v="85.87"/>
    <n v="5"/>
    <n v="2919.58"/>
    <d v="2018-08-10T00:00:00"/>
    <s v="Shipped"/>
    <s v="Planes"/>
    <n v="74"/>
    <s v="S700_4002"/>
    <x v="34"/>
    <s v="5085559555"/>
    <s v="4575 Hillside Dr."/>
    <s v="New Bedford"/>
    <s v="50553"/>
    <s v="USA"/>
    <s v="Tam"/>
    <s v="Wing C"/>
    <s v="Small"/>
    <x v="131"/>
  </r>
  <r>
    <n v="10143"/>
    <n v="37"/>
    <n v="50.65"/>
    <n v="10"/>
    <n v="1874.05"/>
    <d v="2018-08-10T00:00:00"/>
    <s v="Shipped"/>
    <s v="Planes"/>
    <n v="49"/>
    <s v="S72_1253"/>
    <x v="34"/>
    <s v="5085559555"/>
    <s v="4575 Hillside Dr."/>
    <s v="New Bedford"/>
    <s v="50553"/>
    <s v="USA"/>
    <s v="Tam"/>
    <s v="Wing C"/>
    <s v="Small"/>
    <x v="359"/>
  </r>
  <r>
    <n v="10144"/>
    <n v="20"/>
    <n v="81.86"/>
    <n v="1"/>
    <n v="1637.2"/>
    <d v="2018-08-13T00:00:00"/>
    <s v="Shipped"/>
    <s v="Vintage Cars"/>
    <n v="68"/>
    <s v="S32_4289"/>
    <x v="15"/>
    <s v="(071) 23 67 2555"/>
    <s v="Boulevard Tirou, 255"/>
    <s v="Charleroi"/>
    <s v="B-6000"/>
    <s v="Belgium"/>
    <s v="Cartrain"/>
    <s v="Pascale"/>
    <s v="Small"/>
    <x v="360"/>
  </r>
  <r>
    <n v="10145"/>
    <n v="45"/>
    <n v="83.26"/>
    <n v="6"/>
    <n v="3746.7"/>
    <d v="2018-08-25T00:00:00"/>
    <s v="Shipped"/>
    <s v="Motorcycles"/>
    <n v="95"/>
    <s v="S10_1678"/>
    <x v="35"/>
    <s v="6265557265"/>
    <s v="78934 Hillside Dr."/>
    <s v="Pasadena"/>
    <s v="90003"/>
    <s v="USA"/>
    <s v="Young"/>
    <s v="Julie"/>
    <s v="Medium"/>
    <x v="361"/>
  </r>
  <r>
    <n v="10145"/>
    <n v="37"/>
    <n v="140.35"/>
    <n v="9"/>
    <n v="5192.95"/>
    <d v="2018-08-25T00:00:00"/>
    <s v="Shipped"/>
    <s v="Motorcycles"/>
    <n v="118"/>
    <s v="S10_2016"/>
    <x v="35"/>
    <s v="6265557265"/>
    <s v="78934 Hillside Dr."/>
    <s v="Pasadena"/>
    <s v="90003"/>
    <s v="USA"/>
    <s v="Young"/>
    <s v="Julie"/>
    <s v="Medium"/>
    <x v="362"/>
  </r>
  <r>
    <n v="10145"/>
    <n v="33"/>
    <n v="156.86000000000001"/>
    <n v="8"/>
    <n v="5176.38"/>
    <d v="2018-08-25T00:00:00"/>
    <s v="Shipped"/>
    <s v="Motorcycles"/>
    <n v="193"/>
    <s v="S10_4698"/>
    <x v="35"/>
    <s v="6265557265"/>
    <s v="78934 Hillside Dr."/>
    <s v="Pasadena"/>
    <s v="90003"/>
    <s v="USA"/>
    <s v="Young"/>
    <s v="Julie"/>
    <s v="Medium"/>
    <x v="363"/>
  </r>
  <r>
    <n v="10145"/>
    <n v="49"/>
    <n v="170.2"/>
    <n v="5"/>
    <n v="8339.7999999999993"/>
    <d v="2018-08-25T00:00:00"/>
    <s v="Shipped"/>
    <s v="Motorcycles"/>
    <n v="150"/>
    <s v="S12_2823"/>
    <x v="35"/>
    <s v="6265557265"/>
    <s v="78934 Hillside Dr."/>
    <s v="Pasadena"/>
    <s v="90003"/>
    <s v="USA"/>
    <s v="Young"/>
    <s v="Julie"/>
    <s v="Large"/>
    <x v="364"/>
  </r>
  <r>
    <n v="10145"/>
    <n v="30"/>
    <n v="85.32"/>
    <n v="14"/>
    <n v="2559.6"/>
    <d v="2018-08-25T00:00:00"/>
    <s v="Shipped"/>
    <s v="Planes"/>
    <n v="84"/>
    <s v="S18_2581"/>
    <x v="35"/>
    <s v="6265557265"/>
    <s v="78934 Hillside Dr."/>
    <s v="Pasadena"/>
    <s v="90003"/>
    <s v="USA"/>
    <s v="Young"/>
    <s v="Julie"/>
    <s v="Small"/>
    <x v="365"/>
  </r>
  <r>
    <n v="10145"/>
    <n v="30"/>
    <n v="49.67"/>
    <n v="10"/>
    <n v="1490.1"/>
    <d v="2018-08-25T00:00:00"/>
    <s v="Shipped"/>
    <s v="Motorcycles"/>
    <n v="60"/>
    <s v="S18_2625"/>
    <x v="35"/>
    <s v="6265557265"/>
    <s v="78934 Hillside Dr."/>
    <s v="Pasadena"/>
    <s v="90003"/>
    <s v="USA"/>
    <s v="Young"/>
    <s v="Julie"/>
    <s v="Small"/>
    <x v="366"/>
  </r>
  <r>
    <n v="10145"/>
    <n v="43"/>
    <n v="95.8"/>
    <n v="7"/>
    <n v="4119.3999999999996"/>
    <d v="2018-08-25T00:00:00"/>
    <s v="Shipped"/>
    <s v="Motorcycles"/>
    <n v="112"/>
    <s v="S24_1578"/>
    <x v="35"/>
    <s v="6265557265"/>
    <s v="78934 Hillside Dr."/>
    <s v="Pasadena"/>
    <s v="90003"/>
    <s v="USA"/>
    <s v="Young"/>
    <s v="Julie"/>
    <s v="Medium"/>
    <x v="367"/>
  </r>
  <r>
    <n v="10145"/>
    <n v="40"/>
    <n v="87.54"/>
    <n v="16"/>
    <n v="3501.6"/>
    <d v="2018-08-25T00:00:00"/>
    <s v="Shipped"/>
    <s v="Planes"/>
    <n v="109"/>
    <s v="S24_1785"/>
    <x v="35"/>
    <s v="6265557265"/>
    <s v="78934 Hillside Dr."/>
    <s v="Pasadena"/>
    <s v="90003"/>
    <s v="USA"/>
    <s v="Young"/>
    <s v="Julie"/>
    <s v="Medium"/>
    <x v="368"/>
  </r>
  <r>
    <n v="10145"/>
    <n v="47"/>
    <n v="83.03"/>
    <n v="11"/>
    <n v="3902.41"/>
    <d v="2018-08-25T00:00:00"/>
    <s v="Shipped"/>
    <s v="Motorcycles"/>
    <n v="76"/>
    <s v="S24_2000"/>
    <x v="35"/>
    <s v="6265557265"/>
    <s v="78934 Hillside Dr."/>
    <s v="Pasadena"/>
    <s v="90003"/>
    <s v="USA"/>
    <s v="Young"/>
    <s v="Julie"/>
    <s v="Medium"/>
    <x v="369"/>
  </r>
  <r>
    <n v="10145"/>
    <n v="27"/>
    <n v="60.95"/>
    <n v="3"/>
    <n v="1645.65"/>
    <d v="2018-08-25T00:00:00"/>
    <s v="Shipped"/>
    <s v="Motorcycles"/>
    <n v="69"/>
    <s v="S24_2360"/>
    <x v="35"/>
    <s v="6265557265"/>
    <s v="78934 Hillside Dr."/>
    <s v="Pasadena"/>
    <s v="90003"/>
    <s v="USA"/>
    <s v="Young"/>
    <s v="Julie"/>
    <s v="Small"/>
    <x v="370"/>
  </r>
  <r>
    <n v="10145"/>
    <n v="33"/>
    <n v="84.77"/>
    <n v="15"/>
    <n v="2797.41"/>
    <d v="2018-08-25T00:00:00"/>
    <s v="Shipped"/>
    <s v="Planes"/>
    <n v="72"/>
    <s v="S24_4278"/>
    <x v="35"/>
    <s v="6265557265"/>
    <s v="78934 Hillside Dr."/>
    <s v="Pasadena"/>
    <s v="90003"/>
    <s v="USA"/>
    <s v="Young"/>
    <s v="Julie"/>
    <s v="Small"/>
    <x v="371"/>
  </r>
  <r>
    <n v="10145"/>
    <n v="33"/>
    <n v="93.9"/>
    <n v="12"/>
    <n v="3098.7"/>
    <d v="2018-08-25T00:00:00"/>
    <s v="Shipped"/>
    <s v="Motorcycles"/>
    <n v="99"/>
    <s v="S32_1374"/>
    <x v="35"/>
    <s v="6265557265"/>
    <s v="78934 Hillside Dr."/>
    <s v="Pasadena"/>
    <s v="90003"/>
    <s v="USA"/>
    <s v="Young"/>
    <s v="Julie"/>
    <s v="Medium"/>
    <x v="372"/>
  </r>
  <r>
    <n v="10145"/>
    <n v="31"/>
    <n v="35.799999999999997"/>
    <n v="1"/>
    <n v="1109.8"/>
    <d v="2018-08-25T00:00:00"/>
    <s v="Shipped"/>
    <s v="Motorcycles"/>
    <n v="40"/>
    <s v="S32_2206"/>
    <x v="35"/>
    <s v="6265557265"/>
    <s v="78934 Hillside Dr."/>
    <s v="Pasadena"/>
    <s v="90003"/>
    <s v="USA"/>
    <s v="Young"/>
    <s v="Julie"/>
    <s v="Small"/>
    <x v="373"/>
  </r>
  <r>
    <n v="10145"/>
    <n v="27"/>
    <n v="120.42"/>
    <n v="4"/>
    <n v="3251.34"/>
    <d v="2018-08-25T00:00:00"/>
    <s v="Shipped"/>
    <s v="Motorcycles"/>
    <n v="102"/>
    <s v="S32_4485"/>
    <x v="35"/>
    <s v="6265557265"/>
    <s v="78934 Hillside Dr."/>
    <s v="Pasadena"/>
    <s v="90003"/>
    <s v="USA"/>
    <s v="Young"/>
    <s v="Julie"/>
    <s v="Medium"/>
    <x v="374"/>
  </r>
  <r>
    <n v="10145"/>
    <n v="38"/>
    <n v="81.36"/>
    <n v="2"/>
    <n v="3091.68"/>
    <d v="2018-08-25T00:00:00"/>
    <s v="Shipped"/>
    <s v="Motorcycles"/>
    <n v="81"/>
    <s v="S50_4713"/>
    <x v="35"/>
    <s v="6265557265"/>
    <s v="78934 Hillside Dr."/>
    <s v="Pasadena"/>
    <s v="90003"/>
    <s v="USA"/>
    <s v="Young"/>
    <s v="Julie"/>
    <s v="Medium"/>
    <x v="375"/>
  </r>
  <r>
    <n v="10145"/>
    <n v="20"/>
    <n v="137.63"/>
    <n v="13"/>
    <n v="2752.6"/>
    <d v="2018-08-25T00:00:00"/>
    <s v="Shipped"/>
    <s v="Planes"/>
    <n v="118"/>
    <s v="S700_2834"/>
    <x v="35"/>
    <s v="6265557265"/>
    <s v="78934 Hillside Dr."/>
    <s v="Pasadena"/>
    <s v="90003"/>
    <s v="USA"/>
    <s v="Young"/>
    <s v="Julie"/>
    <s v="Small"/>
    <x v="376"/>
  </r>
  <r>
    <n v="10146"/>
    <n v="47"/>
    <n v="67.14"/>
    <n v="2"/>
    <n v="3155.58"/>
    <d v="2018-09-03T00:00:00"/>
    <s v="Shipped"/>
    <s v="Motorcycles"/>
    <n v="62"/>
    <s v="S18_3782"/>
    <x v="27"/>
    <s v="2035554407"/>
    <s v="2440 Pompton St."/>
    <s v="Glendale"/>
    <s v="97561"/>
    <s v="USA"/>
    <s v="Lewis"/>
    <s v="Dan"/>
    <s v="Medium"/>
    <x v="377"/>
  </r>
  <r>
    <n v="10146"/>
    <n v="29"/>
    <n v="153.26"/>
    <n v="1"/>
    <n v="4444.54"/>
    <d v="2018-09-03T00:00:00"/>
    <s v="Shipped"/>
    <s v="Classic Cars"/>
    <n v="148"/>
    <s v="S18_4721"/>
    <x v="27"/>
    <s v="2035554407"/>
    <s v="2440 Pompton St."/>
    <s v="Glendale"/>
    <s v="97561"/>
    <s v="USA"/>
    <s v="Lewis"/>
    <s v="Dan"/>
    <s v="Medium"/>
    <x v="378"/>
  </r>
  <r>
    <n v="10147"/>
    <n v="48"/>
    <n v="192.62"/>
    <n v="7"/>
    <n v="9245.76"/>
    <d v="2018-09-05T00:00:00"/>
    <s v="Shipped"/>
    <s v="Classic Cars"/>
    <n v="194"/>
    <s v="S12_1099"/>
    <x v="36"/>
    <s v="6175558555"/>
    <s v="7825 Douglas Av."/>
    <s v="Brickhaven"/>
    <s v="58339"/>
    <s v="USA"/>
    <s v="Nelson"/>
    <s v="Allen"/>
    <s v="Large"/>
    <x v="379"/>
  </r>
  <r>
    <n v="10147"/>
    <n v="31"/>
    <n v="112.74"/>
    <n v="5"/>
    <n v="3494.94"/>
    <d v="2018-09-05T00:00:00"/>
    <s v="Shipped"/>
    <s v="Classic Cars"/>
    <n v="117"/>
    <s v="S12_3380"/>
    <x v="36"/>
    <s v="6175558555"/>
    <s v="7825 Douglas Av."/>
    <s v="Brickhaven"/>
    <s v="58339"/>
    <s v="USA"/>
    <s v="Nelson"/>
    <s v="Allen"/>
    <s v="Medium"/>
    <x v="380"/>
  </r>
  <r>
    <n v="10147"/>
    <n v="21"/>
    <n v="63.84"/>
    <n v="8"/>
    <n v="1340.64"/>
    <d v="2018-09-05T00:00:00"/>
    <s v="Shipped"/>
    <s v="Classic Cars"/>
    <n v="79"/>
    <s v="S12_3990"/>
    <x v="36"/>
    <s v="6175558555"/>
    <s v="7825 Douglas Av."/>
    <s v="Brickhaven"/>
    <s v="58339"/>
    <s v="USA"/>
    <s v="Nelson"/>
    <s v="Allen"/>
    <s v="Small"/>
    <x v="381"/>
  </r>
  <r>
    <n v="10147"/>
    <n v="33"/>
    <n v="97.89"/>
    <n v="4"/>
    <n v="3230.37"/>
    <d v="2018-09-05T00:00:00"/>
    <s v="Shipped"/>
    <s v="Classic Cars"/>
    <n v="115"/>
    <s v="S12_4675"/>
    <x v="36"/>
    <s v="6175558555"/>
    <s v="7825 Douglas Av."/>
    <s v="Brickhaven"/>
    <s v="58339"/>
    <s v="USA"/>
    <s v="Nelson"/>
    <s v="Allen"/>
    <s v="Medium"/>
    <x v="382"/>
  </r>
  <r>
    <n v="10147"/>
    <n v="26"/>
    <n v="82.39"/>
    <n v="3"/>
    <n v="2142.14"/>
    <d v="2018-09-05T00:00:00"/>
    <s v="Shipped"/>
    <s v="Classic Cars"/>
    <n v="77"/>
    <s v="S18_1889"/>
    <x v="36"/>
    <s v="6175558555"/>
    <s v="7825 Douglas Av."/>
    <s v="Brickhaven"/>
    <s v="58339"/>
    <s v="USA"/>
    <s v="Nelson"/>
    <s v="Allen"/>
    <s v="Small"/>
    <x v="383"/>
  </r>
  <r>
    <n v="10147"/>
    <n v="36"/>
    <n v="86.04"/>
    <n v="10"/>
    <n v="3097.44"/>
    <d v="2018-09-05T00:00:00"/>
    <s v="Shipped"/>
    <s v="Classic Cars"/>
    <n v="80"/>
    <s v="S18_3278"/>
    <x v="36"/>
    <s v="6175558555"/>
    <s v="7825 Douglas Av."/>
    <s v="Brickhaven"/>
    <s v="58339"/>
    <s v="USA"/>
    <s v="Nelson"/>
    <s v="Allen"/>
    <s v="Medium"/>
    <x v="384"/>
  </r>
  <r>
    <n v="10147"/>
    <n v="37"/>
    <n v="119.06"/>
    <n v="9"/>
    <n v="4405.22"/>
    <d v="2018-09-05T00:00:00"/>
    <s v="Shipped"/>
    <s v="Classic Cars"/>
    <n v="146"/>
    <s v="S18_3482"/>
    <x v="36"/>
    <s v="6175558555"/>
    <s v="7825 Douglas Av."/>
    <s v="Brickhaven"/>
    <s v="58339"/>
    <s v="USA"/>
    <s v="Nelson"/>
    <s v="Allen"/>
    <s v="Medium"/>
    <x v="385"/>
  </r>
  <r>
    <n v="10147"/>
    <n v="25"/>
    <n v="42.67"/>
    <n v="1"/>
    <n v="1066.75"/>
    <d v="2018-09-05T00:00:00"/>
    <s v="Shipped"/>
    <s v="Classic Cars"/>
    <n v="37"/>
    <s v="S24_2972"/>
    <x v="36"/>
    <s v="6175558555"/>
    <s v="7825 Douglas Av."/>
    <s v="Brickhaven"/>
    <s v="58339"/>
    <s v="USA"/>
    <s v="Nelson"/>
    <s v="Allen"/>
    <s v="Small"/>
    <x v="386"/>
  </r>
  <r>
    <n v="10147"/>
    <n v="30"/>
    <n v="68.58"/>
    <n v="6"/>
    <n v="2057.4"/>
    <d v="2018-09-05T00:00:00"/>
    <s v="Shipped"/>
    <s v="Classic Cars"/>
    <n v="61"/>
    <s v="S24_3371"/>
    <x v="36"/>
    <s v="6175558555"/>
    <s v="7825 Douglas Av."/>
    <s v="Brickhaven"/>
    <s v="58339"/>
    <s v="USA"/>
    <s v="Nelson"/>
    <s v="Allen"/>
    <s v="Small"/>
    <x v="387"/>
  </r>
  <r>
    <n v="10147"/>
    <n v="23"/>
    <n v="126.39"/>
    <n v="2"/>
    <n v="2906.97"/>
    <d v="2018-09-05T00:00:00"/>
    <s v="Shipped"/>
    <s v="Classic Cars"/>
    <n v="140"/>
    <s v="S24_3856"/>
    <x v="36"/>
    <s v="6175558555"/>
    <s v="7825 Douglas Av."/>
    <s v="Brickhaven"/>
    <s v="58339"/>
    <s v="USA"/>
    <s v="Nelson"/>
    <s v="Allen"/>
    <s v="Small"/>
    <x v="388"/>
  </r>
  <r>
    <n v="10147"/>
    <n v="31"/>
    <n v="64.67"/>
    <n v="11"/>
    <n v="2004.77"/>
    <d v="2018-09-05T00:00:00"/>
    <s v="Shipped"/>
    <s v="Classic Cars"/>
    <n v="80"/>
    <s v="S24_4620"/>
    <x v="36"/>
    <s v="6175558555"/>
    <s v="7825 Douglas Av."/>
    <s v="Brickhaven"/>
    <s v="58339"/>
    <s v="USA"/>
    <s v="Nelson"/>
    <s v="Allen"/>
    <s v="Small"/>
    <x v="389"/>
  </r>
  <r>
    <n v="10148"/>
    <n v="23"/>
    <n v="117.48"/>
    <n v="13"/>
    <n v="2702.04"/>
    <d v="2018-09-11T00:00:00"/>
    <s v="Shipped"/>
    <s v="Classic Cars"/>
    <n v="141"/>
    <s v="S18_1129"/>
    <x v="37"/>
    <s v="02 9936 8555"/>
    <s v="201 Miller Street"/>
    <s v="North Sydney"/>
    <s v="2060"/>
    <s v="Australia"/>
    <s v="O'Hara"/>
    <s v="Anna"/>
    <s v="Small"/>
    <x v="390"/>
  </r>
  <r>
    <n v="10148"/>
    <n v="47"/>
    <n v="124.44"/>
    <n v="9"/>
    <n v="5848.68"/>
    <d v="2018-09-11T00:00:00"/>
    <s v="Shipped"/>
    <s v="Classic Cars"/>
    <n v="124"/>
    <s v="S18_1589"/>
    <x v="37"/>
    <s v="02 9936 8555"/>
    <s v="201 Miller Street"/>
    <s v="North Sydney"/>
    <s v="2060"/>
    <s v="Australia"/>
    <s v="O'Hara"/>
    <s v="Anna"/>
    <s v="Medium"/>
    <x v="391"/>
  </r>
  <r>
    <n v="10148"/>
    <n v="25"/>
    <n v="169.28"/>
    <n v="12"/>
    <n v="4232"/>
    <d v="2018-09-11T00:00:00"/>
    <s v="Shipped"/>
    <s v="Classic Cars"/>
    <n v="142"/>
    <s v="S18_1984"/>
    <x v="37"/>
    <s v="02 9936 8555"/>
    <s v="201 Miller Street"/>
    <s v="North Sydney"/>
    <s v="2060"/>
    <s v="Australia"/>
    <s v="O'Hara"/>
    <s v="Anna"/>
    <s v="Medium"/>
    <x v="392"/>
  </r>
  <r>
    <n v="10148"/>
    <n v="27"/>
    <n v="130.68"/>
    <n v="10"/>
    <n v="3528.36"/>
    <d v="2018-09-11T00:00:00"/>
    <s v="Shipped"/>
    <s v="Classic Cars"/>
    <n v="132"/>
    <s v="S18_2870"/>
    <x v="37"/>
    <s v="02 9936 8555"/>
    <s v="201 Miller Street"/>
    <s v="North Sydney"/>
    <s v="2060"/>
    <s v="Australia"/>
    <s v="O'Hara"/>
    <s v="Anna"/>
    <s v="Medium"/>
    <x v="393"/>
  </r>
  <r>
    <n v="10148"/>
    <n v="32"/>
    <n v="169.34"/>
    <n v="14"/>
    <n v="5418.88"/>
    <d v="2018-09-11T00:00:00"/>
    <s v="Shipped"/>
    <s v="Classic Cars"/>
    <n v="169"/>
    <s v="S18_3232"/>
    <x v="37"/>
    <s v="02 9936 8555"/>
    <s v="201 Miller Street"/>
    <s v="North Sydney"/>
    <s v="2060"/>
    <s v="Australia"/>
    <s v="O'Hara"/>
    <s v="Anna"/>
    <s v="Medium"/>
    <x v="227"/>
  </r>
  <r>
    <n v="10148"/>
    <n v="28"/>
    <n v="129.97999999999999"/>
    <n v="11"/>
    <n v="3639.44"/>
    <d v="2018-09-11T00:00:00"/>
    <s v="Shipped"/>
    <s v="Classic Cars"/>
    <n v="141"/>
    <s v="S18_3685"/>
    <x v="37"/>
    <s v="02 9936 8555"/>
    <s v="201 Miller Street"/>
    <s v="North Sydney"/>
    <s v="2060"/>
    <s v="Australia"/>
    <s v="O'Hara"/>
    <s v="Anna"/>
    <s v="Medium"/>
    <x v="252"/>
  </r>
  <r>
    <n v="10148"/>
    <n v="34"/>
    <n v="105.83"/>
    <n v="1"/>
    <n v="3598.22"/>
    <d v="2018-09-11T00:00:00"/>
    <s v="Shipped"/>
    <s v="Vintage Cars"/>
    <n v="92"/>
    <s v="S18_4409"/>
    <x v="37"/>
    <s v="02 9936 8555"/>
    <s v="201 Miller Street"/>
    <s v="North Sydney"/>
    <s v="2060"/>
    <s v="Australia"/>
    <s v="O'Hara"/>
    <s v="Anna"/>
    <s v="Medium"/>
    <x v="194"/>
  </r>
  <r>
    <n v="10148"/>
    <n v="29"/>
    <n v="81.25"/>
    <n v="2"/>
    <n v="2356.25"/>
    <d v="2018-09-11T00:00:00"/>
    <s v="Shipped"/>
    <s v="Classic Cars"/>
    <n v="71"/>
    <s v="S18_4933"/>
    <x v="37"/>
    <s v="02 9936 8555"/>
    <s v="201 Miller Street"/>
    <s v="North Sydney"/>
    <s v="2060"/>
    <s v="Australia"/>
    <s v="O'Hara"/>
    <s v="Anna"/>
    <s v="Small"/>
    <x v="394"/>
  </r>
  <r>
    <n v="10148"/>
    <n v="25"/>
    <n v="60.26"/>
    <n v="6"/>
    <n v="1506.5"/>
    <d v="2018-09-11T00:00:00"/>
    <s v="Shipped"/>
    <s v="Classic Cars"/>
    <n v="73"/>
    <s v="S24_1046"/>
    <x v="37"/>
    <s v="02 9936 8555"/>
    <s v="201 Miller Street"/>
    <s v="North Sydney"/>
    <s v="2060"/>
    <s v="Australia"/>
    <s v="O'Hara"/>
    <s v="Anna"/>
    <s v="Small"/>
    <x v="395"/>
  </r>
  <r>
    <n v="10148"/>
    <n v="47"/>
    <n v="56.85"/>
    <n v="8"/>
    <n v="2671.95"/>
    <d v="2018-09-11T00:00:00"/>
    <s v="Shipped"/>
    <s v="Classic Cars"/>
    <n v="50"/>
    <s v="S24_1628"/>
    <x v="37"/>
    <s v="02 9936 8555"/>
    <s v="201 Miller Street"/>
    <s v="North Sydney"/>
    <s v="2060"/>
    <s v="Australia"/>
    <s v="O'Hara"/>
    <s v="Anna"/>
    <s v="Small"/>
    <x v="396"/>
  </r>
  <r>
    <n v="10148"/>
    <n v="21"/>
    <n v="73.599999999999994"/>
    <n v="4"/>
    <n v="1545.6"/>
    <d v="2018-09-11T00:00:00"/>
    <s v="Shipped"/>
    <s v="Classic Cars"/>
    <n v="90"/>
    <s v="S24_2766"/>
    <x v="37"/>
    <s v="02 9936 8555"/>
    <s v="201 Miller Street"/>
    <s v="North Sydney"/>
    <s v="2060"/>
    <s v="Australia"/>
    <s v="O'Hara"/>
    <s v="Anna"/>
    <s v="Small"/>
    <x v="397"/>
  </r>
  <r>
    <n v="10148"/>
    <n v="34"/>
    <n v="129.18"/>
    <n v="3"/>
    <n v="4392.12"/>
    <d v="2018-09-11T00:00:00"/>
    <s v="Shipped"/>
    <s v="Classic Cars"/>
    <n v="117"/>
    <s v="S24_2887"/>
    <x v="37"/>
    <s v="02 9936 8555"/>
    <s v="201 Miller Street"/>
    <s v="North Sydney"/>
    <s v="2060"/>
    <s v="Australia"/>
    <s v="O'Hara"/>
    <s v="Anna"/>
    <s v="Medium"/>
    <x v="398"/>
  </r>
  <r>
    <n v="10148"/>
    <n v="31"/>
    <n v="73.62"/>
    <n v="5"/>
    <n v="2282.2199999999998"/>
    <d v="2018-09-11T00:00:00"/>
    <s v="Shipped"/>
    <s v="Classic Cars"/>
    <n v="85"/>
    <s v="S24_3191"/>
    <x v="37"/>
    <s v="02 9936 8555"/>
    <s v="201 Miller Street"/>
    <s v="North Sydney"/>
    <s v="2060"/>
    <s v="Australia"/>
    <s v="O'Hara"/>
    <s v="Anna"/>
    <s v="Small"/>
    <x v="399"/>
  </r>
  <r>
    <n v="10148"/>
    <n v="27"/>
    <n v="128.5"/>
    <n v="7"/>
    <n v="3469.5"/>
    <d v="2018-09-11T00:00:00"/>
    <s v="Shipped"/>
    <s v="Classic Cars"/>
    <n v="107"/>
    <s v="S24_3432"/>
    <x v="37"/>
    <s v="02 9936 8555"/>
    <s v="201 Miller Street"/>
    <s v="North Sydney"/>
    <s v="2060"/>
    <s v="Australia"/>
    <s v="O'Hara"/>
    <s v="Anna"/>
    <s v="Medium"/>
    <x v="197"/>
  </r>
  <r>
    <n v="10149"/>
    <n v="50"/>
    <n v="118.15"/>
    <n v="4"/>
    <n v="5907.5"/>
    <d v="2018-09-12T00:00:00"/>
    <s v="Shipped"/>
    <s v="Vintage Cars"/>
    <n v="102"/>
    <s v="S18_1342"/>
    <x v="38"/>
    <s v="4155554312"/>
    <s v="2793 Furth Circle"/>
    <s v="Brisbane"/>
    <s v="94217"/>
    <s v="USA"/>
    <s v="Taylor"/>
    <s v="Sue"/>
    <s v="Medium"/>
    <x v="400"/>
  </r>
  <r>
    <n v="10149"/>
    <n v="30"/>
    <n v="58.22"/>
    <n v="3"/>
    <n v="1746.6"/>
    <d v="2018-09-12T00:00:00"/>
    <s v="Shipped"/>
    <s v="Vintage Cars"/>
    <n v="53"/>
    <s v="S18_1367"/>
    <x v="38"/>
    <s v="4155554312"/>
    <s v="2793 Furth Circle"/>
    <s v="Brisbane"/>
    <s v="94217"/>
    <s v="USA"/>
    <s v="Taylor"/>
    <s v="Sue"/>
    <s v="Small"/>
    <x v="401"/>
  </r>
  <r>
    <n v="10149"/>
    <n v="34"/>
    <n v="158.1"/>
    <n v="11"/>
    <n v="5375.4"/>
    <d v="2018-09-12T00:00:00"/>
    <s v="Shipped"/>
    <s v="Vintage Cars"/>
    <n v="170"/>
    <s v="S18_1749"/>
    <x v="38"/>
    <s v="4155554312"/>
    <s v="2793 Furth Circle"/>
    <s v="Brisbane"/>
    <s v="94217"/>
    <s v="USA"/>
    <s v="Taylor"/>
    <s v="Sue"/>
    <s v="Medium"/>
    <x v="189"/>
  </r>
  <r>
    <n v="10149"/>
    <n v="24"/>
    <n v="62.36"/>
    <n v="10"/>
    <n v="1496.64"/>
    <d v="2018-09-12T00:00:00"/>
    <s v="Shipped"/>
    <s v="Vintage Cars"/>
    <n v="60"/>
    <s v="S18_2248"/>
    <x v="38"/>
    <s v="4155554312"/>
    <s v="2793 Furth Circle"/>
    <s v="Brisbane"/>
    <s v="94217"/>
    <s v="USA"/>
    <s v="Taylor"/>
    <s v="Sue"/>
    <s v="Small"/>
    <x v="402"/>
  </r>
  <r>
    <n v="10149"/>
    <n v="33"/>
    <n v="150.01"/>
    <n v="8"/>
    <n v="4950.33"/>
    <d v="2018-09-12T00:00:00"/>
    <s v="Shipped"/>
    <s v="Vintage Cars"/>
    <n v="127"/>
    <s v="S18_2325"/>
    <x v="38"/>
    <s v="4155554312"/>
    <s v="2793 Furth Circle"/>
    <s v="Brisbane"/>
    <s v="94217"/>
    <s v="USA"/>
    <s v="Taylor"/>
    <s v="Sue"/>
    <s v="Medium"/>
    <x v="403"/>
  </r>
  <r>
    <n v="10149"/>
    <n v="23"/>
    <n v="183.94"/>
    <n v="5"/>
    <n v="4230.62"/>
    <d v="2018-09-12T00:00:00"/>
    <s v="Shipped"/>
    <s v="Vintage Cars"/>
    <n v="168"/>
    <s v="S18_2795"/>
    <x v="38"/>
    <s v="4155554312"/>
    <s v="2793 Furth Circle"/>
    <s v="Brisbane"/>
    <s v="94217"/>
    <s v="USA"/>
    <s v="Taylor"/>
    <s v="Sue"/>
    <s v="Medium"/>
    <x v="0"/>
  </r>
  <r>
    <n v="10149"/>
    <n v="42"/>
    <n v="94.25"/>
    <n v="2"/>
    <n v="3958.5"/>
    <d v="2018-09-12T00:00:00"/>
    <s v="Shipped"/>
    <s v="Vintage Cars"/>
    <n v="99"/>
    <s v="S18_3320"/>
    <x v="38"/>
    <s v="4155554312"/>
    <s v="2793 Furth Circle"/>
    <s v="Brisbane"/>
    <s v="94217"/>
    <s v="USA"/>
    <s v="Taylor"/>
    <s v="Sue"/>
    <s v="Medium"/>
    <x v="404"/>
  </r>
  <r>
    <n v="10149"/>
    <n v="36"/>
    <n v="33.19"/>
    <n v="7"/>
    <n v="1194.8399999999999"/>
    <d v="2018-09-12T00:00:00"/>
    <s v="Shipped"/>
    <s v="Vintage Cars"/>
    <n v="33"/>
    <s v="S24_1937"/>
    <x v="38"/>
    <s v="4155554312"/>
    <s v="2793 Furth Circle"/>
    <s v="Brisbane"/>
    <s v="94217"/>
    <s v="USA"/>
    <s v="Taylor"/>
    <s v="Sue"/>
    <s v="Small"/>
    <x v="405"/>
  </r>
  <r>
    <n v="10149"/>
    <n v="49"/>
    <n v="49.28"/>
    <n v="6"/>
    <n v="2414.7199999999998"/>
    <d v="2018-09-12T00:00:00"/>
    <s v="Shipped"/>
    <s v="Vintage Cars"/>
    <n v="44"/>
    <s v="S24_2022"/>
    <x v="38"/>
    <s v="4155554312"/>
    <s v="2793 Furth Circle"/>
    <s v="Brisbane"/>
    <s v="94217"/>
    <s v="USA"/>
    <s v="Taylor"/>
    <s v="Sue"/>
    <s v="Small"/>
    <x v="406"/>
  </r>
  <r>
    <n v="10149"/>
    <n v="26"/>
    <n v="38.979999999999997"/>
    <n v="9"/>
    <n v="1013.48"/>
    <d v="2018-09-12T00:00:00"/>
    <s v="Shipped"/>
    <s v="Vintage Cars"/>
    <n v="41"/>
    <s v="S24_3969"/>
    <x v="38"/>
    <s v="4155554312"/>
    <s v="2793 Furth Circle"/>
    <s v="Brisbane"/>
    <s v="94217"/>
    <s v="USA"/>
    <s v="Taylor"/>
    <s v="Sue"/>
    <s v="Small"/>
    <x v="113"/>
  </r>
  <r>
    <n v="10149"/>
    <n v="20"/>
    <n v="90.57"/>
    <n v="1"/>
    <n v="1811.4"/>
    <d v="2018-09-12T00:00:00"/>
    <s v="Shipped"/>
    <s v="Vintage Cars"/>
    <n v="97"/>
    <s v="S24_4258"/>
    <x v="38"/>
    <s v="4155554312"/>
    <s v="2793 Furth Circle"/>
    <s v="Brisbane"/>
    <s v="94217"/>
    <s v="USA"/>
    <s v="Taylor"/>
    <s v="Sue"/>
    <s v="Small"/>
    <x v="407"/>
  </r>
  <r>
    <n v="10150"/>
    <n v="45"/>
    <n v="244.3"/>
    <n v="8"/>
    <n v="10993.5"/>
    <d v="2018-09-19T00:00:00"/>
    <s v="Shipped"/>
    <s v="Classic Cars"/>
    <n v="214"/>
    <s v="S10_1949"/>
    <x v="16"/>
    <s v="+65 221 7555"/>
    <s v="Bronz Sok., Bronz Apt. 3/6 Tesvikiye"/>
    <s v="Singapore"/>
    <s v="79903"/>
    <s v="Singapore"/>
    <s v="Natividad"/>
    <s v="Eric"/>
    <s v="Large"/>
    <x v="361"/>
  </r>
  <r>
    <n v="10150"/>
    <n v="20"/>
    <n v="159.56"/>
    <n v="1"/>
    <n v="3191.2"/>
    <d v="2018-09-19T00:00:00"/>
    <s v="Shipped"/>
    <s v="Classic Cars"/>
    <n v="147"/>
    <s v="S10_4962"/>
    <x v="16"/>
    <s v="+65 221 7555"/>
    <s v="Bronz Sok., Bronz Apt. 3/6 Tesvikiye"/>
    <s v="Singapore"/>
    <s v="79903"/>
    <s v="Singapore"/>
    <s v="Natividad"/>
    <s v="Eric"/>
    <s v="Medium"/>
    <x v="408"/>
  </r>
  <r>
    <n v="10150"/>
    <n v="30"/>
    <n v="136.66999999999999"/>
    <n v="5"/>
    <n v="4100.1000000000004"/>
    <d v="2018-09-19T00:00:00"/>
    <s v="Shipped"/>
    <s v="Trucks and Buses"/>
    <n v="136"/>
    <s v="S12_1666"/>
    <x v="16"/>
    <s v="+65 221 7555"/>
    <s v="Bronz Sok., Bronz Apt. 3/6 Tesvikiye"/>
    <s v="Singapore"/>
    <s v="79903"/>
    <s v="Singapore"/>
    <s v="Natividad"/>
    <s v="Eric"/>
    <s v="Medium"/>
    <x v="116"/>
  </r>
  <r>
    <n v="10150"/>
    <n v="34"/>
    <n v="136.5"/>
    <n v="7"/>
    <n v="4641"/>
    <d v="2018-09-19T00:00:00"/>
    <s v="Shipped"/>
    <s v="Trucks and Buses"/>
    <n v="116"/>
    <s v="S18_1097"/>
    <x v="16"/>
    <s v="+65 221 7555"/>
    <s v="Bronz Sok., Bronz Apt. 3/6 Tesvikiye"/>
    <s v="Singapore"/>
    <s v="79903"/>
    <s v="Singapore"/>
    <s v="Natividad"/>
    <s v="Eric"/>
    <s v="Medium"/>
    <x v="409"/>
  </r>
  <r>
    <n v="10150"/>
    <n v="47"/>
    <n v="91.18"/>
    <n v="9"/>
    <n v="4285.46"/>
    <d v="2018-09-19T00:00:00"/>
    <s v="Shipped"/>
    <s v="Vintage Cars"/>
    <n v="101"/>
    <s v="S18_2949"/>
    <x v="16"/>
    <s v="+65 221 7555"/>
    <s v="Bronz Sok., Bronz Apt. 3/6 Tesvikiye"/>
    <s v="Singapore"/>
    <s v="79903"/>
    <s v="Singapore"/>
    <s v="Natividad"/>
    <s v="Eric"/>
    <s v="Medium"/>
    <x v="410"/>
  </r>
  <r>
    <n v="10150"/>
    <n v="30"/>
    <n v="49.97"/>
    <n v="11"/>
    <n v="1499.1"/>
    <d v="2018-09-19T00:00:00"/>
    <s v="Shipped"/>
    <s v="Vintage Cars"/>
    <n v="62"/>
    <s v="S18_2957"/>
    <x v="16"/>
    <s v="+65 221 7555"/>
    <s v="Bronz Sok., Bronz Apt. 3/6 Tesvikiye"/>
    <s v="Singapore"/>
    <s v="79903"/>
    <s v="Singapore"/>
    <s v="Natividad"/>
    <s v="Eric"/>
    <s v="Small"/>
    <x v="411"/>
  </r>
  <r>
    <n v="10150"/>
    <n v="26"/>
    <n v="107.86"/>
    <n v="10"/>
    <n v="2804.36"/>
    <d v="2018-09-19T00:00:00"/>
    <s v="Shipped"/>
    <s v="Vintage Cars"/>
    <n v="104"/>
    <s v="S18_3136"/>
    <x v="16"/>
    <s v="+65 221 7555"/>
    <s v="Bronz Sok., Bronz Apt. 3/6 Tesvikiye"/>
    <s v="Singapore"/>
    <s v="79903"/>
    <s v="Singapore"/>
    <s v="Natividad"/>
    <s v="Eric"/>
    <s v="Small"/>
    <x v="412"/>
  </r>
  <r>
    <n v="10150"/>
    <n v="49"/>
    <n v="131.97999999999999"/>
    <n v="2"/>
    <n v="6467.02"/>
    <d v="2018-09-19T00:00:00"/>
    <s v="Shipped"/>
    <s v="Trucks and Buses"/>
    <n v="121"/>
    <s v="S18_4600"/>
    <x v="16"/>
    <s v="+65 221 7555"/>
    <s v="Bronz Sok., Bronz Apt. 3/6 Tesvikiye"/>
    <s v="Singapore"/>
    <s v="79903"/>
    <s v="Singapore"/>
    <s v="Natividad"/>
    <s v="Eric"/>
    <s v="Medium"/>
    <x v="413"/>
  </r>
  <r>
    <n v="10150"/>
    <n v="30"/>
    <n v="42.76"/>
    <n v="6"/>
    <n v="1282.8"/>
    <d v="2018-09-19T00:00:00"/>
    <s v="Shipped"/>
    <s v="Vintage Cars"/>
    <n v="50"/>
    <s v="S18_4668"/>
    <x v="16"/>
    <s v="+65 221 7555"/>
    <s v="Bronz Sok., Bronz Apt. 3/6 Tesvikiye"/>
    <s v="Singapore"/>
    <s v="79903"/>
    <s v="Singapore"/>
    <s v="Natividad"/>
    <s v="Eric"/>
    <s v="Small"/>
    <x v="414"/>
  </r>
  <r>
    <n v="10150"/>
    <n v="49"/>
    <n v="58.18"/>
    <n v="4"/>
    <n v="2850.82"/>
    <d v="2018-09-19T00:00:00"/>
    <s v="Shipped"/>
    <s v="Trucks and Buses"/>
    <n v="64"/>
    <s v="S32_3522"/>
    <x v="16"/>
    <s v="+65 221 7555"/>
    <s v="Bronz Sok., Bronz Apt. 3/6 Tesvikiye"/>
    <s v="Singapore"/>
    <s v="79903"/>
    <s v="Singapore"/>
    <s v="Natividad"/>
    <s v="Eric"/>
    <s v="Small"/>
    <x v="415"/>
  </r>
  <r>
    <n v="10150"/>
    <n v="20"/>
    <n v="105.2"/>
    <n v="3"/>
    <n v="2104"/>
    <d v="2018-09-19T00:00:00"/>
    <s v="Shipped"/>
    <s v="Classic Cars"/>
    <n v="101"/>
    <s v="S700_2824"/>
    <x v="16"/>
    <s v="+65 221 7555"/>
    <s v="Bronz Sok., Bronz Apt. 3/6 Tesvikiye"/>
    <s v="Singapore"/>
    <s v="79903"/>
    <s v="Singapore"/>
    <s v="Natividad"/>
    <s v="Eric"/>
    <s v="Small"/>
    <x v="254"/>
  </r>
  <r>
    <n v="10151"/>
    <n v="24"/>
    <n v="138.65"/>
    <n v="3"/>
    <n v="3327.6"/>
    <d v="2018-09-21T00:00:00"/>
    <s v="Shipped"/>
    <s v="Trucks and Buses"/>
    <n v="118"/>
    <s v="S12_4473"/>
    <x v="39"/>
    <s v="981-443655"/>
    <s v="Torikatu 38"/>
    <s v="Oulu"/>
    <s v="90110"/>
    <s v="Finland"/>
    <s v="Koskitalo"/>
    <s v="Pirkko"/>
    <s v="Medium"/>
    <x v="416"/>
  </r>
  <r>
    <n v="10151"/>
    <n v="43"/>
    <n v="165.37"/>
    <n v="2"/>
    <n v="7110.91"/>
    <d v="2018-09-21T00:00:00"/>
    <s v="Shipped"/>
    <s v="Classic Cars"/>
    <n v="163"/>
    <s v="S18_2238"/>
    <x v="39"/>
    <s v="981-443655"/>
    <s v="Torikatu 38"/>
    <s v="Oulu"/>
    <s v="90110"/>
    <s v="Finland"/>
    <s v="Koskitalo"/>
    <s v="Pirkko"/>
    <s v="Large"/>
    <x v="417"/>
  </r>
  <r>
    <n v="10151"/>
    <n v="49"/>
    <n v="110.46"/>
    <n v="6"/>
    <n v="5412.54"/>
    <d v="2018-09-21T00:00:00"/>
    <s v="Shipped"/>
    <s v="Trucks and Buses"/>
    <n v="122"/>
    <s v="S18_2319"/>
    <x v="39"/>
    <s v="981-443655"/>
    <s v="Torikatu 38"/>
    <s v="Oulu"/>
    <s v="90110"/>
    <s v="Finland"/>
    <s v="Koskitalo"/>
    <s v="Pirkko"/>
    <s v="Medium"/>
    <x v="206"/>
  </r>
  <r>
    <n v="10151"/>
    <n v="39"/>
    <n v="69.28"/>
    <n v="9"/>
    <n v="2701.92"/>
    <d v="2018-09-21T00:00:00"/>
    <s v="Shipped"/>
    <s v="Trucks and Buses"/>
    <n v="60"/>
    <s v="S18_2432"/>
    <x v="39"/>
    <s v="981-443655"/>
    <s v="Torikatu 38"/>
    <s v="Oulu"/>
    <s v="90110"/>
    <s v="Finland"/>
    <s v="Koskitalo"/>
    <s v="Pirkko"/>
    <s v="Small"/>
    <x v="325"/>
  </r>
  <r>
    <n v="10151"/>
    <n v="21"/>
    <n v="177.81"/>
    <n v="7"/>
    <n v="3734.01"/>
    <d v="2018-09-21T00:00:00"/>
    <s v="Shipped"/>
    <s v="Classic Cars"/>
    <n v="169"/>
    <s v="S18_3232"/>
    <x v="39"/>
    <s v="981-443655"/>
    <s v="Torikatu 38"/>
    <s v="Oulu"/>
    <s v="90110"/>
    <s v="Finland"/>
    <s v="Koskitalo"/>
    <s v="Pirkko"/>
    <s v="Medium"/>
    <x v="418"/>
  </r>
  <r>
    <n v="10151"/>
    <n v="42"/>
    <n v="121.4"/>
    <n v="8"/>
    <n v="5098.8"/>
    <d v="2018-09-21T00:00:00"/>
    <s v="Shipped"/>
    <s v="Trucks and Buses"/>
    <n v="127"/>
    <s v="S24_2300"/>
    <x v="39"/>
    <s v="981-443655"/>
    <s v="Torikatu 38"/>
    <s v="Oulu"/>
    <s v="90110"/>
    <s v="Finland"/>
    <s v="Koskitalo"/>
    <s v="Pirkko"/>
    <s v="Medium"/>
    <x v="419"/>
  </r>
  <r>
    <n v="10151"/>
    <n v="30"/>
    <n v="40.31"/>
    <n v="4"/>
    <n v="1209.3"/>
    <d v="2018-09-21T00:00:00"/>
    <s v="Shipped"/>
    <s v="Classic Cars"/>
    <n v="35"/>
    <s v="S24_2840"/>
    <x v="39"/>
    <s v="981-443655"/>
    <s v="Torikatu 38"/>
    <s v="Oulu"/>
    <s v="90110"/>
    <s v="Finland"/>
    <s v="Koskitalo"/>
    <s v="Pirkko"/>
    <s v="Small"/>
    <x v="420"/>
  </r>
  <r>
    <n v="10151"/>
    <n v="27"/>
    <n v="113.65"/>
    <n v="10"/>
    <n v="3068.55"/>
    <d v="2018-09-21T00:00:00"/>
    <s v="Shipped"/>
    <s v="Trucks and Buses"/>
    <n v="96"/>
    <s v="S32_1268"/>
    <x v="39"/>
    <s v="981-443655"/>
    <s v="Torikatu 38"/>
    <s v="Oulu"/>
    <s v="90110"/>
    <s v="Finland"/>
    <s v="Koskitalo"/>
    <s v="Pirkko"/>
    <s v="Medium"/>
    <x v="421"/>
  </r>
  <r>
    <n v="10151"/>
    <n v="41"/>
    <n v="63.85"/>
    <n v="5"/>
    <n v="2617.85"/>
    <d v="2018-09-21T00:00:00"/>
    <s v="Shipped"/>
    <s v="Trucks and Buses"/>
    <n v="54"/>
    <s v="S32_2509"/>
    <x v="39"/>
    <s v="981-443655"/>
    <s v="Torikatu 38"/>
    <s v="Oulu"/>
    <s v="90110"/>
    <s v="Finland"/>
    <s v="Koskitalo"/>
    <s v="Pirkko"/>
    <s v="Small"/>
    <x v="422"/>
  </r>
  <r>
    <n v="10151"/>
    <n v="26"/>
    <n v="123.85"/>
    <n v="1"/>
    <n v="3220.1"/>
    <d v="2018-09-21T00:00:00"/>
    <s v="Shipped"/>
    <s v="Trucks and Buses"/>
    <n v="115"/>
    <s v="S50_1392"/>
    <x v="39"/>
    <s v="981-443655"/>
    <s v="Torikatu 38"/>
    <s v="Oulu"/>
    <s v="90110"/>
    <s v="Finland"/>
    <s v="Koskitalo"/>
    <s v="Pirkko"/>
    <s v="Medium"/>
    <x v="423"/>
  </r>
  <r>
    <n v="10152"/>
    <n v="35"/>
    <n v="129.26"/>
    <n v="1"/>
    <n v="4524.1000000000004"/>
    <d v="2018-09-25T00:00:00"/>
    <s v="Shipped"/>
    <s v="Classic Cars"/>
    <n v="143"/>
    <s v="S18_4027"/>
    <x v="40"/>
    <s v="61-7-3844-6555"/>
    <s v="31 Duncan St. West End"/>
    <s v="South Brisbane"/>
    <s v="4101"/>
    <s v="Australia"/>
    <s v="Calaghan"/>
    <s v="Tony"/>
    <s v="Medium"/>
    <x v="424"/>
  </r>
  <r>
    <n v="10152"/>
    <n v="25"/>
    <n v="65.31"/>
    <n v="4"/>
    <n v="1632.75"/>
    <d v="2018-09-25T00:00:00"/>
    <s v="Shipped"/>
    <s v="Classic Cars"/>
    <n v="57"/>
    <s v="S24_1444"/>
    <x v="40"/>
    <s v="61-7-3844-6555"/>
    <s v="31 Duncan St. West End"/>
    <s v="South Brisbane"/>
    <s v="4101"/>
    <s v="Australia"/>
    <s v="Calaghan"/>
    <s v="Tony"/>
    <s v="Small"/>
    <x v="425"/>
  </r>
  <r>
    <n v="10152"/>
    <n v="23"/>
    <n v="121.83"/>
    <n v="3"/>
    <n v="2802.09"/>
    <d v="2018-09-25T00:00:00"/>
    <s v="Shipped"/>
    <s v="Classic Cars"/>
    <n v="118"/>
    <s v="S24_4048"/>
    <x v="40"/>
    <s v="61-7-3844-6555"/>
    <s v="31 Duncan St. West End"/>
    <s v="South Brisbane"/>
    <s v="4101"/>
    <s v="Australia"/>
    <s v="Calaghan"/>
    <s v="Tony"/>
    <s v="Small"/>
    <x v="426"/>
  </r>
  <r>
    <n v="10152"/>
    <n v="33"/>
    <n v="50.95"/>
    <n v="2"/>
    <n v="1681.35"/>
    <d v="2018-09-25T00:00:00"/>
    <s v="Shipped"/>
    <s v="Trains"/>
    <n v="62"/>
    <s v="S32_3207"/>
    <x v="40"/>
    <s v="61-7-3844-6555"/>
    <s v="31 Duncan St. West End"/>
    <s v="South Brisbane"/>
    <s v="4101"/>
    <s v="Australia"/>
    <s v="Calaghan"/>
    <s v="Tony"/>
    <s v="Small"/>
    <x v="427"/>
  </r>
  <r>
    <n v="10153"/>
    <n v="20"/>
    <n v="245.2"/>
    <n v="11"/>
    <n v="4904"/>
    <d v="2018-09-28T00:00:00"/>
    <s v="Shipped"/>
    <s v="Classic Cars"/>
    <n v="207"/>
    <s v="S12_1108"/>
    <x v="4"/>
    <s v="(91) 555 94 44"/>
    <s v="C/ Moralzarzal, 86"/>
    <s v="Madrid"/>
    <s v="28034"/>
    <s v="Spain"/>
    <s v="Freyre"/>
    <s v="Diego"/>
    <s v="Medium"/>
    <x v="428"/>
  </r>
  <r>
    <n v="10153"/>
    <n v="42"/>
    <n v="128.41999999999999"/>
    <n v="12"/>
    <n v="5393.64"/>
    <d v="2018-09-28T00:00:00"/>
    <s v="Shipped"/>
    <s v="Classic Cars"/>
    <n v="151"/>
    <s v="S12_3148"/>
    <x v="4"/>
    <s v="(91) 555 94 44"/>
    <s v="C/ Moralzarzal, 86"/>
    <s v="Madrid"/>
    <s v="28034"/>
    <s v="Spain"/>
    <s v="Freyre"/>
    <s v="Diego"/>
    <s v="Medium"/>
    <x v="429"/>
  </r>
  <r>
    <n v="10153"/>
    <n v="49"/>
    <n v="143.61000000000001"/>
    <n v="10"/>
    <n v="7036.89"/>
    <d v="2018-09-28T00:00:00"/>
    <s v="Shipped"/>
    <s v="Classic Cars"/>
    <n v="173"/>
    <s v="S12_3891"/>
    <x v="4"/>
    <s v="(91) 555 94 44"/>
    <s v="C/ Moralzarzal, 86"/>
    <s v="Madrid"/>
    <s v="28034"/>
    <s v="Spain"/>
    <s v="Freyre"/>
    <s v="Diego"/>
    <s v="Large"/>
    <x v="430"/>
  </r>
  <r>
    <n v="10153"/>
    <n v="31"/>
    <n v="117.47"/>
    <n v="7"/>
    <n v="3641.57"/>
    <d v="2018-09-28T00:00:00"/>
    <s v="Shipped"/>
    <s v="Vintage Cars"/>
    <n v="136"/>
    <s v="S18_3140"/>
    <x v="4"/>
    <s v="(91) 555 94 44"/>
    <s v="C/ Moralzarzal, 86"/>
    <s v="Madrid"/>
    <s v="28034"/>
    <s v="Spain"/>
    <s v="Freyre"/>
    <s v="Diego"/>
    <s v="Medium"/>
    <x v="431"/>
  </r>
  <r>
    <n v="10153"/>
    <n v="29"/>
    <n v="88.74"/>
    <n v="9"/>
    <n v="2573.46"/>
    <d v="2018-09-28T00:00:00"/>
    <s v="Shipped"/>
    <s v="Trains"/>
    <n v="100"/>
    <s v="S18_3259"/>
    <x v="4"/>
    <s v="(91) 555 94 44"/>
    <s v="C/ Moralzarzal, 86"/>
    <s v="Madrid"/>
    <s v="28034"/>
    <s v="Spain"/>
    <s v="Freyre"/>
    <s v="Diego"/>
    <s v="Small"/>
    <x v="432"/>
  </r>
  <r>
    <n v="10153"/>
    <n v="22"/>
    <n v="83.38"/>
    <n v="6"/>
    <n v="1834.36"/>
    <d v="2018-09-28T00:00:00"/>
    <s v="Shipped"/>
    <s v="Vintage Cars"/>
    <n v="87"/>
    <s v="S18_4522"/>
    <x v="4"/>
    <s v="(91) 555 94 44"/>
    <s v="C/ Moralzarzal, 86"/>
    <s v="Madrid"/>
    <s v="28034"/>
    <s v="Spain"/>
    <s v="Freyre"/>
    <s v="Diego"/>
    <s v="Small"/>
    <x v="433"/>
  </r>
  <r>
    <n v="10153"/>
    <n v="40"/>
    <n v="136.41"/>
    <n v="5"/>
    <n v="5456.4"/>
    <d v="2018-09-28T00:00:00"/>
    <s v="Shipped"/>
    <s v="Ships"/>
    <n v="122"/>
    <s v="S24_2011"/>
    <x v="4"/>
    <s v="(91) 555 94 44"/>
    <s v="C/ Moralzarzal, 86"/>
    <s v="Madrid"/>
    <s v="28034"/>
    <s v="Spain"/>
    <s v="Freyre"/>
    <s v="Diego"/>
    <s v="Medium"/>
    <x v="434"/>
  </r>
  <r>
    <n v="10153"/>
    <n v="31"/>
    <n v="57.41"/>
    <n v="13"/>
    <n v="1779.71"/>
    <d v="2018-09-28T00:00:00"/>
    <s v="Shipped"/>
    <s v="Trains"/>
    <n v="58"/>
    <s v="S50_1514"/>
    <x v="4"/>
    <s v="(91) 555 94 44"/>
    <s v="C/ Moralzarzal, 86"/>
    <s v="Madrid"/>
    <s v="28034"/>
    <s v="Spain"/>
    <s v="Freyre"/>
    <s v="Diego"/>
    <s v="Small"/>
    <x v="435"/>
  </r>
  <r>
    <n v="10153"/>
    <n v="43"/>
    <n v="64.67"/>
    <n v="1"/>
    <n v="2780.81"/>
    <d v="2018-09-28T00:00:00"/>
    <s v="Shipped"/>
    <s v="Ships"/>
    <n v="66"/>
    <s v="S700_1138"/>
    <x v="4"/>
    <s v="(91) 555 94 44"/>
    <s v="C/ Moralzarzal, 86"/>
    <s v="Madrid"/>
    <s v="28034"/>
    <s v="Spain"/>
    <s v="Freyre"/>
    <s v="Diego"/>
    <s v="Small"/>
    <x v="340"/>
  </r>
  <r>
    <n v="10153"/>
    <n v="31"/>
    <n v="87.48"/>
    <n v="8"/>
    <n v="2711.88"/>
    <d v="2018-09-28T00:00:00"/>
    <s v="Shipped"/>
    <s v="Ships"/>
    <n v="86"/>
    <s v="S700_1938"/>
    <x v="4"/>
    <s v="(91) 555 94 44"/>
    <s v="C/ Moralzarzal, 86"/>
    <s v="Madrid"/>
    <s v="28034"/>
    <s v="Spain"/>
    <s v="Freyre"/>
    <s v="Diego"/>
    <s v="Small"/>
    <x v="436"/>
  </r>
  <r>
    <n v="10153"/>
    <n v="50"/>
    <n v="88.15"/>
    <n v="2"/>
    <n v="4407.5"/>
    <d v="2018-09-28T00:00:00"/>
    <s v="Shipped"/>
    <s v="Ships"/>
    <n v="100"/>
    <s v="S700_3505"/>
    <x v="4"/>
    <s v="(91) 555 94 44"/>
    <s v="C/ Moralzarzal, 86"/>
    <s v="Madrid"/>
    <s v="28034"/>
    <s v="Spain"/>
    <s v="Freyre"/>
    <s v="Diego"/>
    <s v="Medium"/>
    <x v="437"/>
  </r>
  <r>
    <n v="10153"/>
    <n v="20"/>
    <n v="110.23"/>
    <n v="3"/>
    <n v="2204.6"/>
    <d v="2018-09-28T00:00:00"/>
    <s v="Shipped"/>
    <s v="Ships"/>
    <n v="99"/>
    <s v="S700_3962"/>
    <x v="4"/>
    <s v="(91) 555 94 44"/>
    <s v="C/ Moralzarzal, 86"/>
    <s v="Madrid"/>
    <s v="28034"/>
    <s v="Spain"/>
    <s v="Freyre"/>
    <s v="Diego"/>
    <s v="Small"/>
    <x v="438"/>
  </r>
  <r>
    <n v="10153"/>
    <n v="50"/>
    <n v="60.06"/>
    <n v="4"/>
    <n v="3003"/>
    <d v="2018-09-28T00:00:00"/>
    <s v="Shipped"/>
    <s v="Ships"/>
    <n v="54"/>
    <s v="S72_3212"/>
    <x v="4"/>
    <s v="(91) 555 94 44"/>
    <s v="C/ Moralzarzal, 86"/>
    <s v="Madrid"/>
    <s v="28034"/>
    <s v="Spain"/>
    <s v="Freyre"/>
    <s v="Diego"/>
    <s v="Medium"/>
    <x v="439"/>
  </r>
  <r>
    <n v="10154"/>
    <n v="31"/>
    <n v="91.17"/>
    <n v="2"/>
    <n v="2826.27"/>
    <d v="2018-10-02T00:00:00"/>
    <s v="Shipped"/>
    <s v="Vintage Cars"/>
    <n v="88"/>
    <s v="S24_3151"/>
    <x v="41"/>
    <s v="3105552373"/>
    <s v="4097 Douglas Av."/>
    <s v="Glendale"/>
    <s v="92561"/>
    <s v="USA"/>
    <s v="Young"/>
    <s v="Leslie"/>
    <s v="Small"/>
    <x v="386"/>
  </r>
  <r>
    <n v="10154"/>
    <n v="36"/>
    <n v="64.33"/>
    <n v="1"/>
    <n v="2315.88"/>
    <d v="2018-10-02T00:00:00"/>
    <s v="Shipped"/>
    <s v="Ships"/>
    <n v="72"/>
    <s v="S700_2610"/>
    <x v="41"/>
    <s v="3105552373"/>
    <s v="4097 Douglas Av."/>
    <s v="Glendale"/>
    <s v="92561"/>
    <s v="USA"/>
    <s v="Young"/>
    <s v="Leslie"/>
    <s v="Small"/>
    <x v="440"/>
  </r>
  <r>
    <n v="10300"/>
    <n v="33"/>
    <n v="167.33"/>
    <n v="5"/>
    <n v="5521.89"/>
    <d v="2018-10-04T00:00:00"/>
    <s v="Shipped"/>
    <s v="Classic Cars"/>
    <n v="194"/>
    <s v="S12_1099"/>
    <x v="1"/>
    <s v="+49 69 66 90 2555"/>
    <s v="Lyonerstr. 34"/>
    <s v="Frankfurt"/>
    <s v="60528"/>
    <s v="Germany"/>
    <s v="Keitel"/>
    <s v="Roland"/>
    <s v="Medium"/>
    <x v="441"/>
  </r>
  <r>
    <n v="10300"/>
    <n v="29"/>
    <n v="137.4"/>
    <n v="3"/>
    <n v="3984.6"/>
    <d v="2018-10-04T00:00:00"/>
    <s v="Shipped"/>
    <s v="Classic Cars"/>
    <n v="117"/>
    <s v="S12_3380"/>
    <x v="1"/>
    <s v="+49 69 66 90 2555"/>
    <s v="Lyonerstr. 34"/>
    <s v="Frankfurt"/>
    <s v="60528"/>
    <s v="Germany"/>
    <s v="Keitel"/>
    <s v="Roland"/>
    <s v="Medium"/>
    <x v="442"/>
  </r>
  <r>
    <n v="10300"/>
    <n v="22"/>
    <n v="76.61"/>
    <n v="6"/>
    <n v="1685.42"/>
    <d v="2018-10-04T00:00:00"/>
    <s v="Shipped"/>
    <s v="Classic Cars"/>
    <n v="79"/>
    <s v="S12_3990"/>
    <x v="1"/>
    <s v="+49 69 66 90 2555"/>
    <s v="Lyonerstr. 34"/>
    <s v="Frankfurt"/>
    <s v="60528"/>
    <s v="Germany"/>
    <s v="Keitel"/>
    <s v="Roland"/>
    <s v="Small"/>
    <x v="443"/>
  </r>
  <r>
    <n v="10300"/>
    <n v="23"/>
    <n v="122.07"/>
    <n v="2"/>
    <n v="2807.61"/>
    <d v="2018-10-04T00:00:00"/>
    <s v="Shipped"/>
    <s v="Classic Cars"/>
    <n v="115"/>
    <s v="S12_4675"/>
    <x v="1"/>
    <s v="+49 69 66 90 2555"/>
    <s v="Lyonerstr. 34"/>
    <s v="Frankfurt"/>
    <s v="60528"/>
    <s v="Germany"/>
    <s v="Keitel"/>
    <s v="Roland"/>
    <s v="Small"/>
    <x v="444"/>
  </r>
  <r>
    <n v="10300"/>
    <n v="41"/>
    <n v="92.4"/>
    <n v="1"/>
    <n v="3788.4"/>
    <d v="2018-10-04T00:00:00"/>
    <s v="Shipped"/>
    <s v="Classic Cars"/>
    <n v="77"/>
    <s v="S18_1889"/>
    <x v="1"/>
    <s v="+49 69 66 90 2555"/>
    <s v="Lyonerstr. 34"/>
    <s v="Frankfurt"/>
    <s v="60528"/>
    <s v="Germany"/>
    <s v="Keitel"/>
    <s v="Roland"/>
    <s v="Medium"/>
    <x v="445"/>
  </r>
  <r>
    <n v="10300"/>
    <n v="49"/>
    <n v="78.8"/>
    <n v="8"/>
    <n v="3861.2"/>
    <d v="2018-10-04T00:00:00"/>
    <s v="Shipped"/>
    <s v="Classic Cars"/>
    <n v="80"/>
    <s v="S18_3278"/>
    <x v="1"/>
    <s v="+49 69 66 90 2555"/>
    <s v="Lyonerstr. 34"/>
    <s v="Frankfurt"/>
    <s v="60528"/>
    <s v="Germany"/>
    <s v="Keitel"/>
    <s v="Roland"/>
    <s v="Medium"/>
    <x v="446"/>
  </r>
  <r>
    <n v="10300"/>
    <n v="23"/>
    <n v="164.63"/>
    <n v="7"/>
    <n v="3786.49"/>
    <d v="2018-10-04T00:00:00"/>
    <s v="Shipped"/>
    <s v="Classic Cars"/>
    <n v="146"/>
    <s v="S18_3482"/>
    <x v="1"/>
    <s v="+49 69 66 90 2555"/>
    <s v="Lyonerstr. 34"/>
    <s v="Frankfurt"/>
    <s v="60528"/>
    <s v="Germany"/>
    <s v="Keitel"/>
    <s v="Roland"/>
    <s v="Medium"/>
    <x v="447"/>
  </r>
  <r>
    <n v="10300"/>
    <n v="31"/>
    <n v="58.78"/>
    <n v="4"/>
    <n v="1822.18"/>
    <d v="2018-10-04T00:00:00"/>
    <s v="Shipped"/>
    <s v="Classic Cars"/>
    <n v="61"/>
    <s v="S24_3371"/>
    <x v="1"/>
    <s v="+49 69 66 90 2555"/>
    <s v="Lyonerstr. 34"/>
    <s v="Frankfurt"/>
    <s v="60528"/>
    <s v="Germany"/>
    <s v="Keitel"/>
    <s v="Roland"/>
    <s v="Small"/>
    <x v="448"/>
  </r>
  <r>
    <n v="10301"/>
    <n v="37"/>
    <n v="159.94"/>
    <n v="8"/>
    <n v="5917.78"/>
    <d v="2018-10-05T00:00:00"/>
    <s v="Shipped"/>
    <s v="Classic Cars"/>
    <n v="141"/>
    <s v="S18_1129"/>
    <x v="42"/>
    <s v="+47 2212 1555"/>
    <s v="Drammensveien 126 A, PB 744 Sentrum"/>
    <s v="Oslo"/>
    <s v="N 0106"/>
    <s v="Norway"/>
    <s v="Klaeboe"/>
    <s v="Jan"/>
    <s v="Medium"/>
    <x v="449"/>
  </r>
  <r>
    <n v="10301"/>
    <n v="32"/>
    <n v="107.02"/>
    <n v="4"/>
    <n v="3424.64"/>
    <d v="2018-10-05T00:00:00"/>
    <s v="Shipped"/>
    <s v="Classic Cars"/>
    <n v="124"/>
    <s v="S18_1589"/>
    <x v="42"/>
    <s v="+47 2212 1555"/>
    <s v="Drammensveien 126 A, PB 744 Sentrum"/>
    <s v="Oslo"/>
    <s v="N 0106"/>
    <s v="Norway"/>
    <s v="Klaeboe"/>
    <s v="Jan"/>
    <s v="Medium"/>
    <x v="450"/>
  </r>
  <r>
    <n v="10301"/>
    <n v="47"/>
    <n v="159.32"/>
    <n v="7"/>
    <n v="7488.04"/>
    <d v="2018-10-05T00:00:00"/>
    <s v="Shipped"/>
    <s v="Classic Cars"/>
    <n v="142"/>
    <s v="S18_1984"/>
    <x v="42"/>
    <s v="+47 2212 1555"/>
    <s v="Drammensveien 126 A, PB 744 Sentrum"/>
    <s v="Oslo"/>
    <s v="N 0106"/>
    <s v="Norway"/>
    <s v="Klaeboe"/>
    <s v="Jan"/>
    <s v="Large"/>
    <x v="451"/>
  </r>
  <r>
    <n v="10301"/>
    <n v="22"/>
    <n v="146.52000000000001"/>
    <n v="5"/>
    <n v="3223.44"/>
    <d v="2018-10-05T00:00:00"/>
    <s v="Shipped"/>
    <s v="Classic Cars"/>
    <n v="132"/>
    <s v="S18_2870"/>
    <x v="42"/>
    <s v="+47 2212 1555"/>
    <s v="Drammensveien 126 A, PB 744 Sentrum"/>
    <s v="Oslo"/>
    <s v="N 0106"/>
    <s v="Norway"/>
    <s v="Klaeboe"/>
    <s v="Jan"/>
    <s v="Medium"/>
    <x v="208"/>
  </r>
  <r>
    <n v="10301"/>
    <n v="23"/>
    <n v="174.42"/>
    <n v="9"/>
    <n v="4011.66"/>
    <d v="2018-10-05T00:00:00"/>
    <s v="Shipped"/>
    <s v="Classic Cars"/>
    <n v="169"/>
    <s v="S18_3232"/>
    <x v="42"/>
    <s v="+47 2212 1555"/>
    <s v="Drammensveien 126 A, PB 744 Sentrum"/>
    <s v="Oslo"/>
    <s v="N 0106"/>
    <s v="Norway"/>
    <s v="Klaeboe"/>
    <s v="Jan"/>
    <s v="Medium"/>
    <x v="227"/>
  </r>
  <r>
    <n v="10301"/>
    <n v="39"/>
    <n v="165.3"/>
    <n v="6"/>
    <n v="6446.7"/>
    <d v="2018-10-05T00:00:00"/>
    <s v="Shipped"/>
    <s v="Classic Cars"/>
    <n v="141"/>
    <s v="S18_3685"/>
    <x v="42"/>
    <s v="+47 2212 1555"/>
    <s v="Drammensveien 126 A, PB 744 Sentrum"/>
    <s v="Oslo"/>
    <s v="N 0106"/>
    <s v="Norway"/>
    <s v="Klaeboe"/>
    <s v="Jan"/>
    <s v="Medium"/>
    <x v="452"/>
  </r>
  <r>
    <n v="10301"/>
    <n v="27"/>
    <n v="72.02"/>
    <n v="1"/>
    <n v="1944.54"/>
    <d v="2018-10-05T00:00:00"/>
    <s v="Shipped"/>
    <s v="Classic Cars"/>
    <n v="73"/>
    <s v="S24_1046"/>
    <x v="42"/>
    <s v="+47 2212 1555"/>
    <s v="Drammensveien 126 A, PB 744 Sentrum"/>
    <s v="Oslo"/>
    <s v="N 0106"/>
    <s v="Norway"/>
    <s v="Klaeboe"/>
    <s v="Jan"/>
    <s v="Small"/>
    <x v="453"/>
  </r>
  <r>
    <n v="10301"/>
    <n v="22"/>
    <n v="51.32"/>
    <n v="3"/>
    <n v="1129.04"/>
    <d v="2018-10-05T00:00:00"/>
    <s v="Shipped"/>
    <s v="Classic Cars"/>
    <n v="50"/>
    <s v="S24_1628"/>
    <x v="42"/>
    <s v="+47 2212 1555"/>
    <s v="Drammensveien 126 A, PB 744 Sentrum"/>
    <s v="Oslo"/>
    <s v="N 0106"/>
    <s v="Norway"/>
    <s v="Klaeboe"/>
    <s v="Jan"/>
    <s v="Small"/>
    <x v="126"/>
  </r>
  <r>
    <n v="10301"/>
    <n v="48"/>
    <n v="34.36"/>
    <n v="10"/>
    <n v="1649.28"/>
    <d v="2018-10-05T00:00:00"/>
    <s v="Shipped"/>
    <s v="Classic Cars"/>
    <n v="37"/>
    <s v="S24_2972"/>
    <x v="42"/>
    <s v="+47 2212 1555"/>
    <s v="Drammensveien 126 A, PB 744 Sentrum"/>
    <s v="Oslo"/>
    <s v="N 0106"/>
    <s v="Norway"/>
    <s v="Klaeboe"/>
    <s v="Jan"/>
    <s v="Small"/>
    <x v="454"/>
  </r>
  <r>
    <n v="10301"/>
    <n v="22"/>
    <n v="96.37"/>
    <n v="2"/>
    <n v="2120.14"/>
    <d v="2018-10-05T00:00:00"/>
    <s v="Shipped"/>
    <s v="Classic Cars"/>
    <n v="107"/>
    <s v="S24_3432"/>
    <x v="42"/>
    <s v="+47 2212 1555"/>
    <s v="Drammensveien 126 A, PB 744 Sentrum"/>
    <s v="Oslo"/>
    <s v="N 0106"/>
    <s v="Norway"/>
    <s v="Klaeboe"/>
    <s v="Jan"/>
    <s v="Small"/>
    <x v="455"/>
  </r>
  <r>
    <n v="10301"/>
    <n v="50"/>
    <n v="154.47"/>
    <n v="11"/>
    <n v="7723.5"/>
    <d v="2018-10-05T00:00:00"/>
    <s v="Shipped"/>
    <s v="Classic Cars"/>
    <n v="140"/>
    <s v="S24_3856"/>
    <x v="42"/>
    <s v="+47 2212 1555"/>
    <s v="Drammensveien 126 A, PB 744 Sentrum"/>
    <s v="Oslo"/>
    <s v="N 0106"/>
    <s v="Norway"/>
    <s v="Klaeboe"/>
    <s v="Jan"/>
    <s v="Large"/>
    <x v="456"/>
  </r>
  <r>
    <n v="10155"/>
    <n v="32"/>
    <n v="141.44"/>
    <n v="13"/>
    <n v="4526.08"/>
    <d v="2018-10-06T00:00:00"/>
    <s v="Shipped"/>
    <s v="Classic Cars"/>
    <n v="136"/>
    <s v="S10_4757"/>
    <x v="43"/>
    <s v="90-224 8555"/>
    <s v="Keskuskatu 45"/>
    <s v="Helsinki"/>
    <s v="21240"/>
    <s v="Finland"/>
    <s v="Karttunen"/>
    <s v="Matti"/>
    <s v="Medium"/>
    <x v="457"/>
  </r>
  <r>
    <n v="10155"/>
    <n v="38"/>
    <n v="171.88"/>
    <n v="5"/>
    <n v="6531.44"/>
    <d v="2018-10-06T00:00:00"/>
    <s v="Shipped"/>
    <s v="Planes"/>
    <n v="157"/>
    <s v="S18_1662"/>
    <x v="43"/>
    <s v="90-224 8555"/>
    <s v="Keskuskatu 45"/>
    <s v="Helsinki"/>
    <s v="21240"/>
    <s v="Finland"/>
    <s v="Karttunen"/>
    <s v="Matti"/>
    <s v="Medium"/>
    <x v="458"/>
  </r>
  <r>
    <n v="10302"/>
    <n v="43"/>
    <n v="170"/>
    <n v="1"/>
    <n v="7310"/>
    <d v="2018-10-06T00:00:00"/>
    <s v="Shipped"/>
    <s v="Vintage Cars"/>
    <n v="170"/>
    <s v="S18_1749"/>
    <x v="44"/>
    <s v="(171) 555-2282"/>
    <s v="Berkeley Gardens 12  Brewery"/>
    <s v="Liverpool"/>
    <s v="WX1 6LT"/>
    <s v="UK"/>
    <s v="Devon"/>
    <s v="Elizabeth"/>
    <s v="Large"/>
    <x v="459"/>
  </r>
  <r>
    <n v="10155"/>
    <n v="44"/>
    <n v="79.14"/>
    <n v="11"/>
    <n v="3482.16"/>
    <d v="2018-10-06T00:00:00"/>
    <s v="Shipped"/>
    <s v="Ships"/>
    <n v="86"/>
    <s v="S18_3029"/>
    <x v="43"/>
    <s v="90-224 8555"/>
    <s v="Keskuskatu 45"/>
    <s v="Helsinki"/>
    <s v="21240"/>
    <s v="Finland"/>
    <s v="Karttunen"/>
    <s v="Matti"/>
    <s v="Medium"/>
    <x v="460"/>
  </r>
  <r>
    <n v="10155"/>
    <n v="29"/>
    <n v="124.93"/>
    <n v="10"/>
    <n v="3622.97"/>
    <d v="2018-10-06T00:00:00"/>
    <s v="Shipped"/>
    <s v="Vintage Cars"/>
    <n v="105"/>
    <s v="S18_3856"/>
    <x v="43"/>
    <s v="90-224 8555"/>
    <s v="Keskuskatu 45"/>
    <s v="Helsinki"/>
    <s v="21240"/>
    <s v="Finland"/>
    <s v="Karttunen"/>
    <s v="Matti"/>
    <s v="Medium"/>
    <x v="17"/>
  </r>
  <r>
    <n v="10302"/>
    <n v="38"/>
    <n v="89.27"/>
    <n v="2"/>
    <n v="3392.26"/>
    <d v="2018-10-06T00:00:00"/>
    <s v="Shipped"/>
    <s v="Vintage Cars"/>
    <n v="92"/>
    <s v="S18_4409"/>
    <x v="44"/>
    <s v="(171) 555-2282"/>
    <s v="Berkeley Gardens 12  Brewery"/>
    <s v="Liverpool"/>
    <s v="WX1 6LT"/>
    <s v="UK"/>
    <s v="Devon"/>
    <s v="Elizabeth"/>
    <s v="Medium"/>
    <x v="461"/>
  </r>
  <r>
    <n v="10302"/>
    <n v="23"/>
    <n v="72.7"/>
    <n v="3"/>
    <n v="1672.1"/>
    <d v="2018-10-06T00:00:00"/>
    <s v="Shipped"/>
    <s v="Classic Cars"/>
    <n v="71"/>
    <s v="S18_4933"/>
    <x v="44"/>
    <s v="(171) 555-2282"/>
    <s v="Berkeley Gardens 12  Brewery"/>
    <s v="Liverpool"/>
    <s v="WX1 6LT"/>
    <s v="UK"/>
    <s v="Devon"/>
    <s v="Elizabeth"/>
    <s v="Small"/>
    <x v="462"/>
  </r>
  <r>
    <n v="10302"/>
    <n v="49"/>
    <n v="108.14"/>
    <n v="5"/>
    <n v="5298.86"/>
    <d v="2018-10-06T00:00:00"/>
    <s v="Shipped"/>
    <s v="Classic Cars"/>
    <n v="90"/>
    <s v="S24_2766"/>
    <x v="44"/>
    <s v="(171) 555-2282"/>
    <s v="Berkeley Gardens 12  Brewery"/>
    <s v="Liverpool"/>
    <s v="WX1 6LT"/>
    <s v="UK"/>
    <s v="Devon"/>
    <s v="Elizabeth"/>
    <s v="Medium"/>
    <x v="463"/>
  </r>
  <r>
    <n v="10155"/>
    <n v="23"/>
    <n v="72.62"/>
    <n v="6"/>
    <n v="1670.26"/>
    <d v="2018-10-06T00:00:00"/>
    <s v="Shipped"/>
    <s v="Planes"/>
    <n v="68"/>
    <s v="S24_2841"/>
    <x v="43"/>
    <s v="90-224 8555"/>
    <s v="Keskuskatu 45"/>
    <s v="Helsinki"/>
    <s v="21240"/>
    <s v="Finland"/>
    <s v="Karttunen"/>
    <s v="Matti"/>
    <s v="Small"/>
    <x v="464"/>
  </r>
  <r>
    <n v="10302"/>
    <n v="45"/>
    <n v="123.31"/>
    <n v="4"/>
    <n v="5548.95"/>
    <d v="2018-10-06T00:00:00"/>
    <s v="Shipped"/>
    <s v="Classic Cars"/>
    <n v="117"/>
    <s v="S24_2887"/>
    <x v="44"/>
    <s v="(171) 555-2282"/>
    <s v="Berkeley Gardens 12  Brewery"/>
    <s v="Liverpool"/>
    <s v="WX1 6LT"/>
    <s v="UK"/>
    <s v="Devon"/>
    <s v="Elizabeth"/>
    <s v="Medium"/>
    <x v="465"/>
  </r>
  <r>
    <n v="10302"/>
    <n v="48"/>
    <n v="74.48"/>
    <n v="6"/>
    <n v="3575.04"/>
    <d v="2018-10-06T00:00:00"/>
    <s v="Shipped"/>
    <s v="Classic Cars"/>
    <n v="85"/>
    <s v="S24_3191"/>
    <x v="44"/>
    <s v="(171) 555-2282"/>
    <s v="Berkeley Gardens 12  Brewery"/>
    <s v="Liverpool"/>
    <s v="WX1 6LT"/>
    <s v="UK"/>
    <s v="Devon"/>
    <s v="Elizabeth"/>
    <s v="Medium"/>
    <x v="466"/>
  </r>
  <r>
    <n v="10155"/>
    <n v="34"/>
    <n v="55.89"/>
    <n v="7"/>
    <n v="1900.26"/>
    <d v="2018-10-06T00:00:00"/>
    <s v="Shipped"/>
    <s v="Vintage Cars"/>
    <n v="65"/>
    <s v="S24_3420"/>
    <x v="43"/>
    <s v="90-224 8555"/>
    <s v="Keskuskatu 45"/>
    <s v="Helsinki"/>
    <s v="21240"/>
    <s v="Finland"/>
    <s v="Karttunen"/>
    <s v="Matti"/>
    <s v="Small"/>
    <x v="467"/>
  </r>
  <r>
    <n v="10155"/>
    <n v="37"/>
    <n v="67.930000000000007"/>
    <n v="12"/>
    <n v="2513.41"/>
    <d v="2018-10-06T00:00:00"/>
    <s v="Shipped"/>
    <s v="Vintage Cars"/>
    <n v="83"/>
    <s v="S24_3816"/>
    <x v="43"/>
    <s v="90-224 8555"/>
    <s v="Keskuskatu 45"/>
    <s v="Helsinki"/>
    <s v="21240"/>
    <s v="Finland"/>
    <s v="Karttunen"/>
    <s v="Matti"/>
    <s v="Small"/>
    <x v="197"/>
  </r>
  <r>
    <n v="10155"/>
    <n v="44"/>
    <n v="77.11"/>
    <n v="4"/>
    <n v="3392.84"/>
    <d v="2018-10-06T00:00:00"/>
    <s v="Shipped"/>
    <s v="Planes"/>
    <n v="68"/>
    <s v="S24_3949"/>
    <x v="43"/>
    <s v="90-224 8555"/>
    <s v="Keskuskatu 45"/>
    <s v="Helsinki"/>
    <s v="21240"/>
    <s v="Finland"/>
    <s v="Karttunen"/>
    <s v="Matti"/>
    <s v="Medium"/>
    <x v="468"/>
  </r>
  <r>
    <n v="10155"/>
    <n v="32"/>
    <n v="91.43"/>
    <n v="9"/>
    <n v="2925.76"/>
    <d v="2018-10-06T00:00:00"/>
    <s v="Shipped"/>
    <s v="Ships"/>
    <n v="90"/>
    <s v="S700_2047"/>
    <x v="43"/>
    <s v="90-224 8555"/>
    <s v="Keskuskatu 45"/>
    <s v="Helsinki"/>
    <s v="21240"/>
    <s v="Finland"/>
    <s v="Karttunen"/>
    <s v="Matti"/>
    <s v="Small"/>
    <x v="469"/>
  </r>
  <r>
    <n v="10155"/>
    <n v="20"/>
    <n v="117.67"/>
    <n v="2"/>
    <n v="2353.4"/>
    <d v="2018-10-06T00:00:00"/>
    <s v="Shipped"/>
    <s v="Planes"/>
    <n v="99"/>
    <s v="S700_2466"/>
    <x v="43"/>
    <s v="90-224 8555"/>
    <s v="Keskuskatu 45"/>
    <s v="Helsinki"/>
    <s v="21240"/>
    <s v="Finland"/>
    <s v="Karttunen"/>
    <s v="Matti"/>
    <s v="Small"/>
    <x v="470"/>
  </r>
  <r>
    <n v="10155"/>
    <n v="43"/>
    <n v="86.4"/>
    <n v="1"/>
    <n v="3715.2"/>
    <d v="2018-10-06T00:00:00"/>
    <s v="Shipped"/>
    <s v="Planes"/>
    <n v="80"/>
    <s v="S700_3167"/>
    <x v="43"/>
    <s v="90-224 8555"/>
    <s v="Keskuskatu 45"/>
    <s v="Helsinki"/>
    <s v="21240"/>
    <s v="Finland"/>
    <s v="Karttunen"/>
    <s v="Matti"/>
    <s v="Medium"/>
    <x v="471"/>
  </r>
  <r>
    <n v="10155"/>
    <n v="44"/>
    <n v="85.87"/>
    <n v="3"/>
    <n v="3778.28"/>
    <d v="2018-10-06T00:00:00"/>
    <s v="Shipped"/>
    <s v="Planes"/>
    <n v="74"/>
    <s v="S700_4002"/>
    <x v="43"/>
    <s v="90-224 8555"/>
    <s v="Keskuskatu 45"/>
    <s v="Helsinki"/>
    <s v="21240"/>
    <s v="Finland"/>
    <s v="Karttunen"/>
    <s v="Matti"/>
    <s v="Medium"/>
    <x v="235"/>
  </r>
  <r>
    <n v="10155"/>
    <n v="34"/>
    <n v="49.16"/>
    <n v="8"/>
    <n v="1671.44"/>
    <d v="2018-10-06T00:00:00"/>
    <s v="Shipped"/>
    <s v="Planes"/>
    <n v="49"/>
    <s v="S72_1253"/>
    <x v="43"/>
    <s v="90-224 8555"/>
    <s v="Keskuskatu 45"/>
    <s v="Helsinki"/>
    <s v="21240"/>
    <s v="Finland"/>
    <s v="Karttunen"/>
    <s v="Matti"/>
    <s v="Small"/>
    <x v="472"/>
  </r>
  <r>
    <n v="10156"/>
    <n v="20"/>
    <n v="41.02"/>
    <n v="1"/>
    <n v="820.4"/>
    <d v="2018-10-08T00:00:00"/>
    <s v="Shipped"/>
    <s v="Vintage Cars"/>
    <n v="43"/>
    <s v="S50_1341"/>
    <x v="4"/>
    <s v="(91) 555 94 44"/>
    <s v="C/ Moralzarzal, 86"/>
    <s v="Madrid"/>
    <s v="28034"/>
    <s v="Spain"/>
    <s v="Freyre"/>
    <s v="Diego"/>
    <s v="Small"/>
    <x v="473"/>
  </r>
  <r>
    <n v="10156"/>
    <n v="48"/>
    <n v="103.21"/>
    <n v="2"/>
    <n v="4954.08"/>
    <d v="2018-10-08T00:00:00"/>
    <s v="Shipped"/>
    <s v="Planes"/>
    <n v="91"/>
    <s v="S700_1691"/>
    <x v="4"/>
    <s v="(91) 555 94 44"/>
    <s v="C/ Moralzarzal, 86"/>
    <s v="Madrid"/>
    <s v="28034"/>
    <s v="Spain"/>
    <s v="Freyre"/>
    <s v="Diego"/>
    <s v="Medium"/>
    <x v="474"/>
  </r>
  <r>
    <n v="10158"/>
    <n v="22"/>
    <n v="67.03"/>
    <n v="1"/>
    <n v="1474.66"/>
    <d v="2018-10-10T00:00:00"/>
    <s v="Shipped"/>
    <s v="Motorcycles"/>
    <n v="76"/>
    <s v="S24_2000"/>
    <x v="3"/>
    <s v="07-98 9555"/>
    <s v="Erling Skakkes gate 78"/>
    <s v="Stavern"/>
    <s v="4110"/>
    <s v="Norway"/>
    <s v="Bergulfsen"/>
    <s v="Jonas"/>
    <s v="Small"/>
    <x v="475"/>
  </r>
  <r>
    <n v="10161"/>
    <n v="28"/>
    <n v="134.46"/>
    <n v="12"/>
    <n v="3764.88"/>
    <d v="2018-10-17T00:00:00"/>
    <s v="Shipped"/>
    <s v="Classic Cars"/>
    <n v="141"/>
    <s v="S18_1129"/>
    <x v="45"/>
    <s v="86 21 3555"/>
    <s v="Smagsloget 45"/>
    <s v="Aaarhus"/>
    <s v="8200"/>
    <s v="Denmark"/>
    <s v="Ibsen"/>
    <s v="Palle"/>
    <s v="Medium"/>
    <x v="476"/>
  </r>
  <r>
    <n v="10161"/>
    <n v="43"/>
    <n v="143.11000000000001"/>
    <n v="8"/>
    <n v="6153.73"/>
    <d v="2018-10-17T00:00:00"/>
    <s v="Shipped"/>
    <s v="Classic Cars"/>
    <n v="124"/>
    <s v="S18_1589"/>
    <x v="45"/>
    <s v="86 21 3555"/>
    <s v="Smagsloget 45"/>
    <s v="Aaarhus"/>
    <s v="8200"/>
    <s v="Denmark"/>
    <s v="Ibsen"/>
    <s v="Palle"/>
    <s v="Medium"/>
    <x v="477"/>
  </r>
  <r>
    <n v="10161"/>
    <n v="48"/>
    <n v="128.03"/>
    <n v="11"/>
    <n v="6145.44"/>
    <d v="2018-10-17T00:00:00"/>
    <s v="Shipped"/>
    <s v="Classic Cars"/>
    <n v="142"/>
    <s v="S18_1984"/>
    <x v="45"/>
    <s v="86 21 3555"/>
    <s v="Smagsloget 45"/>
    <s v="Aaarhus"/>
    <s v="8200"/>
    <s v="Denmark"/>
    <s v="Ibsen"/>
    <s v="Palle"/>
    <s v="Medium"/>
    <x v="303"/>
  </r>
  <r>
    <n v="10161"/>
    <n v="23"/>
    <n v="138.6"/>
    <n v="9"/>
    <n v="3187.8"/>
    <d v="2018-10-17T00:00:00"/>
    <s v="Shipped"/>
    <s v="Classic Cars"/>
    <n v="132"/>
    <s v="S18_2870"/>
    <x v="45"/>
    <s v="86 21 3555"/>
    <s v="Smagsloget 45"/>
    <s v="Aaarhus"/>
    <s v="8200"/>
    <s v="Denmark"/>
    <s v="Ibsen"/>
    <s v="Palle"/>
    <s v="Medium"/>
    <x v="478"/>
  </r>
  <r>
    <n v="10161"/>
    <n v="36"/>
    <n v="154"/>
    <n v="10"/>
    <n v="5544"/>
    <d v="2018-10-17T00:00:00"/>
    <s v="Shipped"/>
    <s v="Classic Cars"/>
    <n v="141"/>
    <s v="S18_3685"/>
    <x v="45"/>
    <s v="86 21 3555"/>
    <s v="Smagsloget 45"/>
    <s v="Aaarhus"/>
    <s v="8200"/>
    <s v="Denmark"/>
    <s v="Ibsen"/>
    <s v="Palle"/>
    <s v="Medium"/>
    <x v="447"/>
  </r>
  <r>
    <n v="10161"/>
    <n v="25"/>
    <n v="80.540000000000006"/>
    <n v="1"/>
    <n v="2013.5"/>
    <d v="2018-10-17T00:00:00"/>
    <s v="Shipped"/>
    <s v="Classic Cars"/>
    <n v="71"/>
    <s v="S18_4933"/>
    <x v="45"/>
    <s v="86 21 3555"/>
    <s v="Smagsloget 45"/>
    <s v="Aaarhus"/>
    <s v="8200"/>
    <s v="Denmark"/>
    <s v="Ibsen"/>
    <s v="Palle"/>
    <s v="Small"/>
    <x v="479"/>
  </r>
  <r>
    <n v="10161"/>
    <n v="37"/>
    <n v="72.760000000000005"/>
    <n v="5"/>
    <n v="2692.12"/>
    <d v="2018-10-17T00:00:00"/>
    <s v="Shipped"/>
    <s v="Classic Cars"/>
    <n v="73"/>
    <s v="S24_1046"/>
    <x v="45"/>
    <s v="86 21 3555"/>
    <s v="Smagsloget 45"/>
    <s v="Aaarhus"/>
    <s v="8200"/>
    <s v="Denmark"/>
    <s v="Ibsen"/>
    <s v="Palle"/>
    <s v="Small"/>
    <x v="462"/>
  </r>
  <r>
    <n v="10161"/>
    <n v="23"/>
    <n v="53.33"/>
    <n v="7"/>
    <n v="1226.5899999999999"/>
    <d v="2018-10-17T00:00:00"/>
    <s v="Shipped"/>
    <s v="Classic Cars"/>
    <n v="50"/>
    <s v="S24_1628"/>
    <x v="45"/>
    <s v="86 21 3555"/>
    <s v="Smagsloget 45"/>
    <s v="Aaarhus"/>
    <s v="8200"/>
    <s v="Denmark"/>
    <s v="Ibsen"/>
    <s v="Palle"/>
    <s v="Small"/>
    <x v="480"/>
  </r>
  <r>
    <n v="10161"/>
    <n v="20"/>
    <n v="107.23"/>
    <n v="3"/>
    <n v="2144.6"/>
    <d v="2018-10-17T00:00:00"/>
    <s v="Shipped"/>
    <s v="Classic Cars"/>
    <n v="90"/>
    <s v="S24_2766"/>
    <x v="45"/>
    <s v="86 21 3555"/>
    <s v="Smagsloget 45"/>
    <s v="Aaarhus"/>
    <s v="8200"/>
    <s v="Denmark"/>
    <s v="Ibsen"/>
    <s v="Palle"/>
    <s v="Small"/>
    <x v="481"/>
  </r>
  <r>
    <n v="10161"/>
    <n v="25"/>
    <n v="110.39"/>
    <n v="2"/>
    <n v="2759.75"/>
    <d v="2018-10-17T00:00:00"/>
    <s v="Shipped"/>
    <s v="Classic Cars"/>
    <n v="117"/>
    <s v="S24_2887"/>
    <x v="45"/>
    <s v="86 21 3555"/>
    <s v="Smagsloget 45"/>
    <s v="Aaarhus"/>
    <s v="8200"/>
    <s v="Denmark"/>
    <s v="Ibsen"/>
    <s v="Palle"/>
    <s v="Small"/>
    <x v="482"/>
  </r>
  <r>
    <n v="10161"/>
    <n v="20"/>
    <n v="77.05"/>
    <n v="4"/>
    <n v="1541"/>
    <d v="2018-10-17T00:00:00"/>
    <s v="Shipped"/>
    <s v="Classic Cars"/>
    <n v="85"/>
    <s v="S24_3191"/>
    <x v="45"/>
    <s v="86 21 3555"/>
    <s v="Smagsloget 45"/>
    <s v="Aaarhus"/>
    <s v="8200"/>
    <s v="Denmark"/>
    <s v="Ibsen"/>
    <s v="Palle"/>
    <s v="Small"/>
    <x v="483"/>
  </r>
  <r>
    <n v="10161"/>
    <n v="30"/>
    <n v="104.94"/>
    <n v="6"/>
    <n v="3148.2"/>
    <d v="2018-10-17T00:00:00"/>
    <s v="Shipped"/>
    <s v="Classic Cars"/>
    <n v="107"/>
    <s v="S24_3432"/>
    <x v="45"/>
    <s v="86 21 3555"/>
    <s v="Smagsloget 45"/>
    <s v="Aaarhus"/>
    <s v="8200"/>
    <s v="Denmark"/>
    <s v="Ibsen"/>
    <s v="Palle"/>
    <s v="Medium"/>
    <x v="216"/>
  </r>
  <r>
    <n v="10163"/>
    <n v="21"/>
    <n v="231.44"/>
    <n v="1"/>
    <n v="4860.24"/>
    <d v="2018-10-20T00:00:00"/>
    <s v="Shipped"/>
    <s v="Classic Cars"/>
    <n v="214"/>
    <s v="S10_1949"/>
    <x v="14"/>
    <s v="2125558493"/>
    <s v="5905 Pompton St."/>
    <s v="NYC"/>
    <s v="10022"/>
    <s v="USA"/>
    <s v="Hernandez"/>
    <s v="Maria"/>
    <s v="Medium"/>
    <x v="484"/>
  </r>
  <r>
    <n v="10163"/>
    <n v="31"/>
    <n v="107.39"/>
    <n v="2"/>
    <n v="3329.09"/>
    <d v="2018-10-20T00:00:00"/>
    <s v="Shipped"/>
    <s v="Vintage Cars"/>
    <n v="101"/>
    <s v="S18_2949"/>
    <x v="14"/>
    <s v="2125558493"/>
    <s v="5905 Pompton St."/>
    <s v="NYC"/>
    <s v="10022"/>
    <s v="USA"/>
    <s v="Hernandez"/>
    <s v="Maria"/>
    <s v="Medium"/>
    <x v="485"/>
  </r>
  <r>
    <n v="10163"/>
    <n v="48"/>
    <n v="69.959999999999994"/>
    <n v="4"/>
    <n v="3358.08"/>
    <d v="2018-10-20T00:00:00"/>
    <s v="Shipped"/>
    <s v="Vintage Cars"/>
    <n v="62"/>
    <s v="S18_2957"/>
    <x v="14"/>
    <s v="2125558493"/>
    <s v="5905 Pompton St."/>
    <s v="NYC"/>
    <s v="10022"/>
    <s v="USA"/>
    <s v="Hernandez"/>
    <s v="Maria"/>
    <s v="Medium"/>
    <x v="123"/>
  </r>
  <r>
    <n v="10163"/>
    <n v="40"/>
    <n v="122.52"/>
    <n v="3"/>
    <n v="4900.8"/>
    <d v="2018-10-20T00:00:00"/>
    <s v="Shipped"/>
    <s v="Vintage Cars"/>
    <n v="104"/>
    <s v="S18_3136"/>
    <x v="14"/>
    <s v="2125558493"/>
    <s v="5905 Pompton St."/>
    <s v="NYC"/>
    <s v="10022"/>
    <s v="USA"/>
    <s v="Hernandez"/>
    <s v="Maria"/>
    <s v="Medium"/>
    <x v="124"/>
  </r>
  <r>
    <n v="10163"/>
    <n v="43"/>
    <n v="116.08"/>
    <n v="6"/>
    <n v="4991.4399999999996"/>
    <d v="2018-10-20T00:00:00"/>
    <s v="Shipped"/>
    <s v="Vintage Cars"/>
    <n v="99"/>
    <s v="S18_3320"/>
    <x v="14"/>
    <s v="2125558493"/>
    <s v="5905 Pompton St."/>
    <s v="NYC"/>
    <s v="10022"/>
    <s v="USA"/>
    <s v="Hernandez"/>
    <s v="Maria"/>
    <s v="Medium"/>
    <x v="486"/>
  </r>
  <r>
    <n v="10163"/>
    <n v="42"/>
    <n v="91.55"/>
    <n v="5"/>
    <n v="3845.1"/>
    <d v="2018-10-20T00:00:00"/>
    <s v="Shipped"/>
    <s v="Vintage Cars"/>
    <n v="97"/>
    <s v="S24_4258"/>
    <x v="14"/>
    <s v="2125558493"/>
    <s v="5905 Pompton St."/>
    <s v="NYC"/>
    <s v="10022"/>
    <s v="USA"/>
    <s v="Hernandez"/>
    <s v="Maria"/>
    <s v="Medium"/>
    <x v="46"/>
  </r>
  <r>
    <n v="10164"/>
    <n v="21"/>
    <n v="168.42"/>
    <n v="2"/>
    <n v="3536.82"/>
    <d v="2018-10-21T00:00:00"/>
    <s v="Resolved"/>
    <s v="Classic Cars"/>
    <n v="147"/>
    <s v="S10_4962"/>
    <x v="46"/>
    <s v="7675-3555"/>
    <s v="Kirchgasse 6"/>
    <s v="Graz"/>
    <s v="8010"/>
    <s v="Austria"/>
    <s v="Mendel"/>
    <s v="Roland"/>
    <s v="Medium"/>
    <x v="487"/>
  </r>
  <r>
    <n v="10164"/>
    <n v="49"/>
    <n v="133.94"/>
    <n v="6"/>
    <n v="6563.06"/>
    <d v="2018-10-21T00:00:00"/>
    <s v="Resolved"/>
    <s v="Trucks and Buses"/>
    <n v="136"/>
    <s v="S12_1666"/>
    <x v="46"/>
    <s v="7675-3555"/>
    <s v="Kirchgasse 6"/>
    <s v="Graz"/>
    <s v="8010"/>
    <s v="Austria"/>
    <s v="Mendel"/>
    <s v="Roland"/>
    <s v="Medium"/>
    <x v="488"/>
  </r>
  <r>
    <n v="10164"/>
    <n v="36"/>
    <n v="99.17"/>
    <n v="8"/>
    <n v="3570.12"/>
    <d v="2018-10-21T00:00:00"/>
    <s v="Resolved"/>
    <s v="Trucks and Buses"/>
    <n v="116"/>
    <s v="S18_1097"/>
    <x v="46"/>
    <s v="7675-3555"/>
    <s v="Kirchgasse 6"/>
    <s v="Graz"/>
    <s v="8010"/>
    <s v="Austria"/>
    <s v="Mendel"/>
    <s v="Roland"/>
    <s v="Medium"/>
    <x v="489"/>
  </r>
  <r>
    <n v="10166"/>
    <n v="43"/>
    <n v="161.18"/>
    <n v="2"/>
    <n v="6930.74"/>
    <d v="2018-10-21T00:00:00"/>
    <s v="Shipped"/>
    <s v="Vintage Cars"/>
    <n v="136"/>
    <s v="S18_3140"/>
    <x v="47"/>
    <s v="5085552555"/>
    <s v="1785 First Street"/>
    <s v="New Bedford"/>
    <s v="50553"/>
    <s v="USA"/>
    <s v="Benitez"/>
    <s v="Violeta"/>
    <s v="Medium"/>
    <x v="209"/>
  </r>
  <r>
    <n v="10166"/>
    <n v="26"/>
    <n v="73.73"/>
    <n v="1"/>
    <n v="1916.98"/>
    <d v="2018-10-21T00:00:00"/>
    <s v="Shipped"/>
    <s v="Vintage Cars"/>
    <n v="87"/>
    <s v="S18_4522"/>
    <x v="47"/>
    <s v="5085552555"/>
    <s v="1785 First Street"/>
    <s v="New Bedford"/>
    <s v="50553"/>
    <s v="USA"/>
    <s v="Benitez"/>
    <s v="Violeta"/>
    <s v="Small"/>
    <x v="490"/>
  </r>
  <r>
    <n v="10164"/>
    <n v="45"/>
    <n v="111.39"/>
    <n v="3"/>
    <n v="5012.55"/>
    <d v="2018-10-21T00:00:00"/>
    <s v="Resolved"/>
    <s v="Trucks and Buses"/>
    <n v="121"/>
    <s v="S18_4600"/>
    <x v="46"/>
    <s v="7675-3555"/>
    <s v="Kirchgasse 6"/>
    <s v="Graz"/>
    <s v="8010"/>
    <s v="Austria"/>
    <s v="Mendel"/>
    <s v="Roland"/>
    <s v="Medium"/>
    <x v="491"/>
  </r>
  <r>
    <n v="10164"/>
    <n v="25"/>
    <n v="53.83"/>
    <n v="7"/>
    <n v="1345.75"/>
    <d v="2018-10-21T00:00:00"/>
    <s v="Resolved"/>
    <s v="Vintage Cars"/>
    <n v="50"/>
    <s v="S18_4668"/>
    <x v="46"/>
    <s v="7675-3555"/>
    <s v="Kirchgasse 6"/>
    <s v="Graz"/>
    <s v="8010"/>
    <s v="Austria"/>
    <s v="Mendel"/>
    <s v="Roland"/>
    <s v="Small"/>
    <x v="492"/>
  </r>
  <r>
    <n v="10164"/>
    <n v="24"/>
    <n v="109.79"/>
    <n v="1"/>
    <n v="2634.96"/>
    <d v="2018-10-21T00:00:00"/>
    <s v="Resolved"/>
    <s v="Trucks and Buses"/>
    <n v="96"/>
    <s v="S32_1268"/>
    <x v="46"/>
    <s v="7675-3555"/>
    <s v="Kirchgasse 6"/>
    <s v="Graz"/>
    <s v="8010"/>
    <s v="Austria"/>
    <s v="Mendel"/>
    <s v="Roland"/>
    <s v="Small"/>
    <x v="493"/>
  </r>
  <r>
    <n v="10164"/>
    <n v="49"/>
    <n v="54.94"/>
    <n v="5"/>
    <n v="2692.06"/>
    <d v="2018-10-21T00:00:00"/>
    <s v="Resolved"/>
    <s v="Trucks and Buses"/>
    <n v="64"/>
    <s v="S32_3522"/>
    <x v="46"/>
    <s v="7675-3555"/>
    <s v="Kirchgasse 6"/>
    <s v="Graz"/>
    <s v="8010"/>
    <s v="Austria"/>
    <s v="Mendel"/>
    <s v="Roland"/>
    <s v="Small"/>
    <x v="494"/>
  </r>
  <r>
    <n v="10166"/>
    <n v="29"/>
    <n v="103.93"/>
    <n v="3"/>
    <n v="3013.97"/>
    <d v="2018-10-21T00:00:00"/>
    <s v="Shipped"/>
    <s v="Ships"/>
    <n v="86"/>
    <s v="S700_1938"/>
    <x v="47"/>
    <s v="5085552555"/>
    <s v="1785 First Street"/>
    <s v="New Bedford"/>
    <s v="50553"/>
    <s v="USA"/>
    <s v="Benitez"/>
    <s v="Violeta"/>
    <s v="Medium"/>
    <x v="495"/>
  </r>
  <r>
    <n v="10164"/>
    <n v="39"/>
    <n v="81.93"/>
    <n v="4"/>
    <n v="3195.27"/>
    <d v="2018-10-21T00:00:00"/>
    <s v="Resolved"/>
    <s v="Classic Cars"/>
    <n v="101"/>
    <s v="S700_2824"/>
    <x v="46"/>
    <s v="7675-3555"/>
    <s v="Kirchgasse 6"/>
    <s v="Graz"/>
    <s v="8010"/>
    <s v="Austria"/>
    <s v="Mendel"/>
    <s v="Roland"/>
    <s v="Medium"/>
    <x v="496"/>
  </r>
  <r>
    <n v="10165"/>
    <n v="44"/>
    <n v="195.33"/>
    <n v="3"/>
    <n v="8594.52"/>
    <d v="2018-10-22T00:00:00"/>
    <s v="Shipped"/>
    <s v="Classic Cars"/>
    <n v="207"/>
    <s v="S12_1108"/>
    <x v="16"/>
    <s v="+65 221 7555"/>
    <s v="Bronz Sok., Bronz Apt. 3/6 Tesvikiye"/>
    <s v="Singapore"/>
    <s v="79903"/>
    <s v="Singapore"/>
    <s v="Natividad"/>
    <s v="Eric"/>
    <s v="Large"/>
    <x v="497"/>
  </r>
  <r>
    <n v="10165"/>
    <n v="34"/>
    <n v="143.53"/>
    <n v="4"/>
    <n v="4880.0200000000004"/>
    <d v="2018-10-22T00:00:00"/>
    <s v="Shipped"/>
    <s v="Classic Cars"/>
    <n v="151"/>
    <s v="S12_3148"/>
    <x v="16"/>
    <s v="+65 221 7555"/>
    <s v="Bronz Sok., Bronz Apt. 3/6 Tesvikiye"/>
    <s v="Singapore"/>
    <s v="79903"/>
    <s v="Singapore"/>
    <s v="Natividad"/>
    <s v="Eric"/>
    <s v="Medium"/>
    <x v="498"/>
  </r>
  <r>
    <n v="10165"/>
    <n v="27"/>
    <n v="205.89"/>
    <n v="2"/>
    <n v="5559.03"/>
    <d v="2018-10-22T00:00:00"/>
    <s v="Shipped"/>
    <s v="Classic Cars"/>
    <n v="173"/>
    <s v="S12_3891"/>
    <x v="16"/>
    <s v="+65 221 7555"/>
    <s v="Bronz Sok., Bronz Apt. 3/6 Tesvikiye"/>
    <s v="Singapore"/>
    <s v="79903"/>
    <s v="Singapore"/>
    <s v="Natividad"/>
    <s v="Eric"/>
    <s v="Medium"/>
    <x v="499"/>
  </r>
  <r>
    <n v="10165"/>
    <n v="48"/>
    <n v="142.19999999999999"/>
    <n v="12"/>
    <n v="6825.6"/>
    <d v="2018-10-22T00:00:00"/>
    <s v="Shipped"/>
    <s v="Trucks and Buses"/>
    <n v="118"/>
    <s v="S12_4473"/>
    <x v="16"/>
    <s v="+65 221 7555"/>
    <s v="Bronz Sok., Bronz Apt. 3/6 Tesvikiye"/>
    <s v="Singapore"/>
    <s v="79903"/>
    <s v="Singapore"/>
    <s v="Natividad"/>
    <s v="Eric"/>
    <s v="Medium"/>
    <x v="500"/>
  </r>
  <r>
    <n v="10165"/>
    <n v="29"/>
    <n v="173.55"/>
    <n v="11"/>
    <n v="5032.95"/>
    <d v="2018-10-22T00:00:00"/>
    <s v="Shipped"/>
    <s v="Classic Cars"/>
    <n v="163"/>
    <s v="S18_2238"/>
    <x v="16"/>
    <s v="+65 221 7555"/>
    <s v="Bronz Sok., Bronz Apt. 3/6 Tesvikiye"/>
    <s v="Singapore"/>
    <s v="79903"/>
    <s v="Singapore"/>
    <s v="Natividad"/>
    <s v="Eric"/>
    <s v="Medium"/>
    <x v="501"/>
  </r>
  <r>
    <n v="10165"/>
    <n v="46"/>
    <n v="130.09"/>
    <n v="15"/>
    <n v="5984.14"/>
    <d v="2018-10-22T00:00:00"/>
    <s v="Shipped"/>
    <s v="Trucks and Buses"/>
    <n v="122"/>
    <s v="S18_2319"/>
    <x v="16"/>
    <s v="+65 221 7555"/>
    <s v="Bronz Sok., Bronz Apt. 3/6 Tesvikiye"/>
    <s v="Singapore"/>
    <s v="79903"/>
    <s v="Singapore"/>
    <s v="Natividad"/>
    <s v="Eric"/>
    <s v="Medium"/>
    <x v="502"/>
  </r>
  <r>
    <n v="10165"/>
    <n v="31"/>
    <n v="71.099999999999994"/>
    <n v="18"/>
    <n v="2204.1"/>
    <d v="2018-10-22T00:00:00"/>
    <s v="Shipped"/>
    <s v="Trucks and Buses"/>
    <n v="60"/>
    <s v="S18_2432"/>
    <x v="16"/>
    <s v="+65 221 7555"/>
    <s v="Bronz Sok., Bronz Apt. 3/6 Tesvikiye"/>
    <s v="Singapore"/>
    <s v="79903"/>
    <s v="Singapore"/>
    <s v="Natividad"/>
    <s v="Eric"/>
    <s v="Small"/>
    <x v="503"/>
  </r>
  <r>
    <n v="10165"/>
    <n v="47"/>
    <n v="186.27"/>
    <n v="16"/>
    <n v="8754.69"/>
    <d v="2018-10-22T00:00:00"/>
    <s v="Shipped"/>
    <s v="Classic Cars"/>
    <n v="169"/>
    <s v="S18_3232"/>
    <x v="16"/>
    <s v="+65 221 7555"/>
    <s v="Bronz Sok., Bronz Apt. 3/6 Tesvikiye"/>
    <s v="Singapore"/>
    <s v="79903"/>
    <s v="Singapore"/>
    <s v="Natividad"/>
    <s v="Eric"/>
    <s v="Large"/>
    <x v="504"/>
  </r>
  <r>
    <n v="10165"/>
    <n v="50"/>
    <n v="106.89"/>
    <n v="1"/>
    <n v="5344.5"/>
    <d v="2018-10-22T00:00:00"/>
    <s v="Shipped"/>
    <s v="Trains"/>
    <n v="100"/>
    <s v="S18_3259"/>
    <x v="16"/>
    <s v="+65 221 7555"/>
    <s v="Bronz Sok., Bronz Apt. 3/6 Tesvikiye"/>
    <s v="Singapore"/>
    <s v="79903"/>
    <s v="Singapore"/>
    <s v="Natividad"/>
    <s v="Eric"/>
    <s v="Medium"/>
    <x v="505"/>
  </r>
  <r>
    <n v="10165"/>
    <n v="28"/>
    <n v="119.2"/>
    <n v="6"/>
    <n v="3337.6"/>
    <d v="2018-10-22T00:00:00"/>
    <s v="Shipped"/>
    <s v="Classic Cars"/>
    <n v="143"/>
    <s v="S18_4027"/>
    <x v="16"/>
    <s v="+65 221 7555"/>
    <s v="Bronz Sok., Bronz Apt. 3/6 Tesvikiye"/>
    <s v="Singapore"/>
    <s v="79903"/>
    <s v="Singapore"/>
    <s v="Natividad"/>
    <s v="Eric"/>
    <s v="Medium"/>
    <x v="506"/>
  </r>
  <r>
    <n v="10165"/>
    <n v="25"/>
    <n v="69.36"/>
    <n v="9"/>
    <n v="1734"/>
    <d v="2018-10-22T00:00:00"/>
    <s v="Shipped"/>
    <s v="Classic Cars"/>
    <n v="57"/>
    <s v="S24_1444"/>
    <x v="16"/>
    <s v="+65 221 7555"/>
    <s v="Bronz Sok., Bronz Apt. 3/6 Tesvikiye"/>
    <s v="Singapore"/>
    <s v="79903"/>
    <s v="Singapore"/>
    <s v="Natividad"/>
    <s v="Eric"/>
    <s v="Small"/>
    <x v="507"/>
  </r>
  <r>
    <n v="10165"/>
    <n v="32"/>
    <n v="145.68"/>
    <n v="17"/>
    <n v="4661.76"/>
    <d v="2018-10-22T00:00:00"/>
    <s v="Shipped"/>
    <s v="Trucks and Buses"/>
    <n v="127"/>
    <s v="S24_2300"/>
    <x v="16"/>
    <s v="+65 221 7555"/>
    <s v="Bronz Sok., Bronz Apt. 3/6 Tesvikiye"/>
    <s v="Singapore"/>
    <s v="79903"/>
    <s v="Singapore"/>
    <s v="Natividad"/>
    <s v="Eric"/>
    <s v="Medium"/>
    <x v="134"/>
  </r>
  <r>
    <n v="10165"/>
    <n v="27"/>
    <n v="31.82"/>
    <n v="13"/>
    <n v="859.14"/>
    <d v="2018-10-22T00:00:00"/>
    <s v="Shipped"/>
    <s v="Classic Cars"/>
    <n v="35"/>
    <s v="S24_2840"/>
    <x v="16"/>
    <s v="+65 221 7555"/>
    <s v="Bronz Sok., Bronz Apt. 3/6 Tesvikiye"/>
    <s v="Singapore"/>
    <s v="79903"/>
    <s v="Singapore"/>
    <s v="Natividad"/>
    <s v="Eric"/>
    <s v="Small"/>
    <x v="508"/>
  </r>
  <r>
    <n v="10165"/>
    <n v="24"/>
    <n v="99.36"/>
    <n v="8"/>
    <n v="2384.64"/>
    <d v="2018-10-22T00:00:00"/>
    <s v="Shipped"/>
    <s v="Classic Cars"/>
    <n v="118"/>
    <s v="S24_4048"/>
    <x v="16"/>
    <s v="+65 221 7555"/>
    <s v="Bronz Sok., Bronz Apt. 3/6 Tesvikiye"/>
    <s v="Singapore"/>
    <s v="79903"/>
    <s v="Singapore"/>
    <s v="Natividad"/>
    <s v="Eric"/>
    <s v="Small"/>
    <x v="509"/>
  </r>
  <r>
    <n v="10165"/>
    <n v="48"/>
    <n v="45.99"/>
    <n v="14"/>
    <n v="2207.52"/>
    <d v="2018-10-22T00:00:00"/>
    <s v="Shipped"/>
    <s v="Trucks and Buses"/>
    <n v="54"/>
    <s v="S32_2509"/>
    <x v="16"/>
    <s v="+65 221 7555"/>
    <s v="Bronz Sok., Bronz Apt. 3/6 Tesvikiye"/>
    <s v="Singapore"/>
    <s v="79903"/>
    <s v="Singapore"/>
    <s v="Natividad"/>
    <s v="Eric"/>
    <s v="Small"/>
    <x v="510"/>
  </r>
  <r>
    <n v="10165"/>
    <n v="44"/>
    <n v="53.44"/>
    <n v="7"/>
    <n v="2351.36"/>
    <d v="2018-10-22T00:00:00"/>
    <s v="Shipped"/>
    <s v="Trains"/>
    <n v="62"/>
    <s v="S32_3207"/>
    <x v="16"/>
    <s v="+65 221 7555"/>
    <s v="Bronz Sok., Bronz Apt. 3/6 Tesvikiye"/>
    <s v="Singapore"/>
    <s v="79903"/>
    <s v="Singapore"/>
    <s v="Natividad"/>
    <s v="Eric"/>
    <s v="Small"/>
    <x v="511"/>
  </r>
  <r>
    <n v="10165"/>
    <n v="48"/>
    <n v="94.92"/>
    <n v="10"/>
    <n v="4556.16"/>
    <d v="2018-10-22T00:00:00"/>
    <s v="Shipped"/>
    <s v="Trucks and Buses"/>
    <n v="115"/>
    <s v="S50_1392"/>
    <x v="16"/>
    <s v="+65 221 7555"/>
    <s v="Bronz Sok., Bronz Apt. 3/6 Tesvikiye"/>
    <s v="Singapore"/>
    <s v="79903"/>
    <s v="Singapore"/>
    <s v="Natividad"/>
    <s v="Eric"/>
    <s v="Medium"/>
    <x v="512"/>
  </r>
  <r>
    <n v="10165"/>
    <n v="38"/>
    <n v="66.78"/>
    <n v="5"/>
    <n v="2537.64"/>
    <d v="2018-10-22T00:00:00"/>
    <s v="Shipped"/>
    <s v="Trains"/>
    <n v="58"/>
    <s v="S50_1514"/>
    <x v="16"/>
    <s v="+65 221 7555"/>
    <s v="Bronz Sok., Bronz Apt. 3/6 Tesvikiye"/>
    <s v="Singapore"/>
    <s v="79903"/>
    <s v="Singapore"/>
    <s v="Natividad"/>
    <s v="Eric"/>
    <s v="Small"/>
    <x v="513"/>
  </r>
  <r>
    <n v="10167"/>
    <n v="44"/>
    <n v="134.63999999999999"/>
    <n v="9"/>
    <n v="5924.16"/>
    <d v="2018-10-23T00:00:00"/>
    <s v="Cancelled"/>
    <s v="Classic Cars"/>
    <n v="136"/>
    <s v="S10_4757"/>
    <x v="48"/>
    <s v="0695-34 6555"/>
    <s v="?kergatan 24"/>
    <s v="Boras"/>
    <s v="S-844 67"/>
    <s v="Sweden"/>
    <s v="Larsson"/>
    <s v="Maria"/>
    <s v="Medium"/>
    <x v="514"/>
  </r>
  <r>
    <n v="10167"/>
    <n v="43"/>
    <n v="134.04"/>
    <n v="1"/>
    <n v="5763.72"/>
    <d v="2018-10-23T00:00:00"/>
    <s v="Cancelled"/>
    <s v="Planes"/>
    <n v="157"/>
    <s v="S18_1662"/>
    <x v="48"/>
    <s v="0695-34 6555"/>
    <s v="?kergatan 24"/>
    <s v="Boras"/>
    <s v="S-844 67"/>
    <s v="Sweden"/>
    <s v="Larsson"/>
    <s v="Maria"/>
    <s v="Medium"/>
    <x v="515"/>
  </r>
  <r>
    <n v="10167"/>
    <n v="46"/>
    <n v="73.12"/>
    <n v="7"/>
    <n v="3363.52"/>
    <d v="2018-10-23T00:00:00"/>
    <s v="Cancelled"/>
    <s v="Ships"/>
    <n v="86"/>
    <s v="S18_3029"/>
    <x v="48"/>
    <s v="0695-34 6555"/>
    <s v="?kergatan 24"/>
    <s v="Boras"/>
    <s v="S-844 67"/>
    <s v="Sweden"/>
    <s v="Larsson"/>
    <s v="Maria"/>
    <s v="Medium"/>
    <x v="516"/>
  </r>
  <r>
    <n v="10167"/>
    <n v="34"/>
    <n v="105.87"/>
    <n v="6"/>
    <n v="3599.58"/>
    <d v="2018-10-23T00:00:00"/>
    <s v="Cancelled"/>
    <s v="Vintage Cars"/>
    <n v="105"/>
    <s v="S18_3856"/>
    <x v="48"/>
    <s v="0695-34 6555"/>
    <s v="?kergatan 24"/>
    <s v="Boras"/>
    <s v="S-844 67"/>
    <s v="Sweden"/>
    <s v="Larsson"/>
    <s v="Maria"/>
    <s v="Medium"/>
    <x v="517"/>
  </r>
  <r>
    <n v="10167"/>
    <n v="33"/>
    <n v="115.52"/>
    <n v="16"/>
    <n v="3812.16"/>
    <d v="2018-10-23T00:00:00"/>
    <s v="Cancelled"/>
    <s v="Ships"/>
    <n v="122"/>
    <s v="S24_2011"/>
    <x v="48"/>
    <s v="0695-34 6555"/>
    <s v="?kergatan 24"/>
    <s v="Boras"/>
    <s v="S-844 67"/>
    <s v="Sweden"/>
    <s v="Larsson"/>
    <s v="Maria"/>
    <s v="Medium"/>
    <x v="518"/>
  </r>
  <r>
    <n v="10167"/>
    <n v="21"/>
    <n v="69.88"/>
    <n v="2"/>
    <n v="1467.48"/>
    <d v="2018-10-23T00:00:00"/>
    <s v="Cancelled"/>
    <s v="Planes"/>
    <n v="68"/>
    <s v="S24_2841"/>
    <x v="48"/>
    <s v="0695-34 6555"/>
    <s v="?kergatan 24"/>
    <s v="Boras"/>
    <s v="S-844 67"/>
    <s v="Sweden"/>
    <s v="Larsson"/>
    <s v="Maria"/>
    <s v="Small"/>
    <x v="519"/>
  </r>
  <r>
    <n v="10167"/>
    <n v="20"/>
    <n v="79.66"/>
    <n v="11"/>
    <n v="1593.2"/>
    <d v="2018-10-23T00:00:00"/>
    <s v="Cancelled"/>
    <s v="Vintage Cars"/>
    <n v="88"/>
    <s v="S24_3151"/>
    <x v="48"/>
    <s v="0695-34 6555"/>
    <s v="?kergatan 24"/>
    <s v="Boras"/>
    <s v="S-844 67"/>
    <s v="Sweden"/>
    <s v="Larsson"/>
    <s v="Maria"/>
    <s v="Small"/>
    <x v="520"/>
  </r>
  <r>
    <n v="10167"/>
    <n v="32"/>
    <n v="63.12"/>
    <n v="3"/>
    <n v="2019.84"/>
    <d v="2018-10-23T00:00:00"/>
    <s v="Cancelled"/>
    <s v="Vintage Cars"/>
    <n v="65"/>
    <s v="S24_3420"/>
    <x v="48"/>
    <s v="0695-34 6555"/>
    <s v="?kergatan 24"/>
    <s v="Boras"/>
    <s v="S-844 67"/>
    <s v="Sweden"/>
    <s v="Larsson"/>
    <s v="Maria"/>
    <s v="Small"/>
    <x v="521"/>
  </r>
  <r>
    <n v="10167"/>
    <n v="29"/>
    <n v="83.86"/>
    <n v="8"/>
    <n v="2431.94"/>
    <d v="2018-10-23T00:00:00"/>
    <s v="Cancelled"/>
    <s v="Vintage Cars"/>
    <n v="83"/>
    <s v="S24_3816"/>
    <x v="48"/>
    <s v="0695-34 6555"/>
    <s v="?kergatan 24"/>
    <s v="Boras"/>
    <s v="S-844 67"/>
    <s v="Sweden"/>
    <s v="Larsson"/>
    <s v="Maria"/>
    <s v="Small"/>
    <x v="522"/>
  </r>
  <r>
    <n v="10167"/>
    <n v="43"/>
    <n v="75.34"/>
    <n v="12"/>
    <n v="3239.62"/>
    <d v="2018-10-23T00:00:00"/>
    <s v="Cancelled"/>
    <s v="Ships"/>
    <n v="66"/>
    <s v="S700_1138"/>
    <x v="48"/>
    <s v="0695-34 6555"/>
    <s v="?kergatan 24"/>
    <s v="Boras"/>
    <s v="S-844 67"/>
    <s v="Sweden"/>
    <s v="Larsson"/>
    <s v="Maria"/>
    <s v="Medium"/>
    <x v="523"/>
  </r>
  <r>
    <n v="10167"/>
    <n v="29"/>
    <n v="101.38"/>
    <n v="5"/>
    <n v="2940.02"/>
    <d v="2018-10-23T00:00:00"/>
    <s v="Cancelled"/>
    <s v="Ships"/>
    <n v="90"/>
    <s v="S700_2047"/>
    <x v="48"/>
    <s v="0695-34 6555"/>
    <s v="?kergatan 24"/>
    <s v="Boras"/>
    <s v="S-844 67"/>
    <s v="Sweden"/>
    <s v="Larsson"/>
    <s v="Maria"/>
    <s v="Small"/>
    <x v="436"/>
  </r>
  <r>
    <n v="10167"/>
    <n v="46"/>
    <n v="70.11"/>
    <n v="10"/>
    <n v="3225.06"/>
    <d v="2018-10-23T00:00:00"/>
    <s v="Cancelled"/>
    <s v="Ships"/>
    <n v="72"/>
    <s v="S700_2610"/>
    <x v="48"/>
    <s v="0695-34 6555"/>
    <s v="?kergatan 24"/>
    <s v="Boras"/>
    <s v="S-844 67"/>
    <s v="Sweden"/>
    <s v="Larsson"/>
    <s v="Maria"/>
    <s v="Medium"/>
    <x v="524"/>
  </r>
  <r>
    <n v="10167"/>
    <n v="24"/>
    <n v="117.2"/>
    <n v="13"/>
    <n v="2812.8"/>
    <d v="2018-10-23T00:00:00"/>
    <s v="Cancelled"/>
    <s v="Ships"/>
    <n v="100"/>
    <s v="S700_3505"/>
    <x v="48"/>
    <s v="0695-34 6555"/>
    <s v="?kergatan 24"/>
    <s v="Boras"/>
    <s v="S-844 67"/>
    <s v="Sweden"/>
    <s v="Larsson"/>
    <s v="Maria"/>
    <s v="Small"/>
    <x v="525"/>
  </r>
  <r>
    <n v="10167"/>
    <n v="28"/>
    <n v="107.25"/>
    <n v="14"/>
    <n v="3003"/>
    <d v="2018-10-23T00:00:00"/>
    <s v="Cancelled"/>
    <s v="Ships"/>
    <n v="99"/>
    <s v="S700_3962"/>
    <x v="48"/>
    <s v="0695-34 6555"/>
    <s v="?kergatan 24"/>
    <s v="Boras"/>
    <s v="S-844 67"/>
    <s v="Sweden"/>
    <s v="Larsson"/>
    <s v="Maria"/>
    <s v="Medium"/>
    <x v="526"/>
  </r>
  <r>
    <n v="10167"/>
    <n v="40"/>
    <n v="41.71"/>
    <n v="4"/>
    <n v="1668.4"/>
    <d v="2018-10-23T00:00:00"/>
    <s v="Cancelled"/>
    <s v="Planes"/>
    <n v="49"/>
    <s v="S72_1253"/>
    <x v="48"/>
    <s v="0695-34 6555"/>
    <s v="?kergatan 24"/>
    <s v="Boras"/>
    <s v="S-844 67"/>
    <s v="Sweden"/>
    <s v="Larsson"/>
    <s v="Maria"/>
    <s v="Small"/>
    <x v="527"/>
  </r>
  <r>
    <n v="10167"/>
    <n v="38"/>
    <n v="48.59"/>
    <n v="15"/>
    <n v="1846.42"/>
    <d v="2018-10-23T00:00:00"/>
    <s v="Cancelled"/>
    <s v="Ships"/>
    <n v="54"/>
    <s v="S72_3212"/>
    <x v="48"/>
    <s v="0695-34 6555"/>
    <s v="?kergatan 24"/>
    <s v="Boras"/>
    <s v="S-844 67"/>
    <s v="Sweden"/>
    <s v="Larsson"/>
    <s v="Maria"/>
    <s v="Small"/>
    <x v="528"/>
  </r>
  <r>
    <n v="10168"/>
    <n v="36"/>
    <n v="96.66"/>
    <n v="1"/>
    <n v="3479.76"/>
    <d v="2018-10-28T00:00:00"/>
    <s v="Shipped"/>
    <s v="Motorcycles"/>
    <n v="95"/>
    <s v="S10_1678"/>
    <x v="32"/>
    <s v="6505556809"/>
    <s v="9408 Furth Circle"/>
    <s v="Burlingame"/>
    <s v="94217"/>
    <s v="USA"/>
    <s v="Hirano"/>
    <s v="Juri"/>
    <s v="Medium"/>
    <x v="529"/>
  </r>
  <r>
    <n v="10168"/>
    <n v="27"/>
    <n v="135.59"/>
    <n v="4"/>
    <n v="3660.93"/>
    <d v="2018-10-28T00:00:00"/>
    <s v="Shipped"/>
    <s v="Motorcycles"/>
    <n v="118"/>
    <s v="S10_2016"/>
    <x v="32"/>
    <s v="6505556809"/>
    <s v="9408 Furth Circle"/>
    <s v="Burlingame"/>
    <s v="94217"/>
    <s v="USA"/>
    <s v="Hirano"/>
    <s v="Juri"/>
    <s v="Medium"/>
    <x v="530"/>
  </r>
  <r>
    <n v="10168"/>
    <n v="20"/>
    <n v="209.15"/>
    <n v="3"/>
    <n v="4183"/>
    <d v="2018-10-28T00:00:00"/>
    <s v="Shipped"/>
    <s v="Motorcycles"/>
    <n v="193"/>
    <s v="S10_4698"/>
    <x v="32"/>
    <s v="6505556809"/>
    <s v="9408 Furth Circle"/>
    <s v="Burlingame"/>
    <s v="94217"/>
    <s v="USA"/>
    <s v="Hirano"/>
    <s v="Juri"/>
    <s v="Medium"/>
    <x v="531"/>
  </r>
  <r>
    <n v="10168"/>
    <n v="21"/>
    <n v="70.959999999999994"/>
    <n v="9"/>
    <n v="1490.16"/>
    <d v="2018-10-28T00:00:00"/>
    <s v="Shipped"/>
    <s v="Planes"/>
    <n v="84"/>
    <s v="S18_2581"/>
    <x v="32"/>
    <s v="6505556809"/>
    <s v="9408 Furth Circle"/>
    <s v="Burlingame"/>
    <s v="94217"/>
    <s v="USA"/>
    <s v="Hirano"/>
    <s v="Juri"/>
    <s v="Small"/>
    <x v="532"/>
  </r>
  <r>
    <n v="10168"/>
    <n v="46"/>
    <n v="61.18"/>
    <n v="5"/>
    <n v="2814.28"/>
    <d v="2018-10-28T00:00:00"/>
    <s v="Shipped"/>
    <s v="Motorcycles"/>
    <n v="60"/>
    <s v="S18_2625"/>
    <x v="32"/>
    <s v="6505556809"/>
    <s v="9408 Furth Circle"/>
    <s v="Burlingame"/>
    <s v="94217"/>
    <s v="USA"/>
    <s v="Hirano"/>
    <s v="Juri"/>
    <s v="Small"/>
    <x v="101"/>
  </r>
  <r>
    <n v="10168"/>
    <n v="50"/>
    <n v="114.95"/>
    <n v="2"/>
    <n v="5747.5"/>
    <d v="2018-10-28T00:00:00"/>
    <s v="Shipped"/>
    <s v="Motorcycles"/>
    <n v="112"/>
    <s v="S24_1578"/>
    <x v="32"/>
    <s v="6505556809"/>
    <s v="9408 Furth Circle"/>
    <s v="Burlingame"/>
    <s v="94217"/>
    <s v="USA"/>
    <s v="Hirano"/>
    <s v="Juri"/>
    <s v="Medium"/>
    <x v="533"/>
  </r>
  <r>
    <n v="10168"/>
    <n v="49"/>
    <n v="131.30000000000001"/>
    <n v="11"/>
    <n v="6433.7"/>
    <d v="2018-10-28T00:00:00"/>
    <s v="Shipped"/>
    <s v="Planes"/>
    <n v="109"/>
    <s v="S24_1785"/>
    <x v="32"/>
    <s v="6505556809"/>
    <s v="9408 Furth Circle"/>
    <s v="Burlingame"/>
    <s v="94217"/>
    <s v="USA"/>
    <s v="Hirano"/>
    <s v="Juri"/>
    <s v="Medium"/>
    <x v="534"/>
  </r>
  <r>
    <n v="10168"/>
    <n v="29"/>
    <n v="75.41"/>
    <n v="6"/>
    <n v="2186.89"/>
    <d v="2018-10-28T00:00:00"/>
    <s v="Shipped"/>
    <s v="Motorcycles"/>
    <n v="76"/>
    <s v="S24_2000"/>
    <x v="32"/>
    <s v="6505556809"/>
    <s v="9408 Furth Circle"/>
    <s v="Burlingame"/>
    <s v="94217"/>
    <s v="USA"/>
    <s v="Hirano"/>
    <s v="Juri"/>
    <s v="Small"/>
    <x v="535"/>
  </r>
  <r>
    <n v="10168"/>
    <n v="27"/>
    <n v="73.02"/>
    <n v="18"/>
    <n v="1971.54"/>
    <d v="2018-10-28T00:00:00"/>
    <s v="Shipped"/>
    <s v="Planes"/>
    <n v="68"/>
    <s v="S24_3949"/>
    <x v="32"/>
    <s v="6505556809"/>
    <s v="9408 Furth Circle"/>
    <s v="Burlingame"/>
    <s v="94217"/>
    <s v="USA"/>
    <s v="Hirano"/>
    <s v="Juri"/>
    <s v="Small"/>
    <x v="536"/>
  </r>
  <r>
    <n v="10168"/>
    <n v="48"/>
    <n v="78.25"/>
    <n v="10"/>
    <n v="3756"/>
    <d v="2018-10-28T00:00:00"/>
    <s v="Shipped"/>
    <s v="Planes"/>
    <n v="72"/>
    <s v="S24_4278"/>
    <x v="32"/>
    <s v="6505556809"/>
    <s v="9408 Furth Circle"/>
    <s v="Burlingame"/>
    <s v="94217"/>
    <s v="USA"/>
    <s v="Hirano"/>
    <s v="Juri"/>
    <s v="Medium"/>
    <x v="537"/>
  </r>
  <r>
    <n v="10168"/>
    <n v="28"/>
    <n v="115.87"/>
    <n v="7"/>
    <n v="3244.36"/>
    <d v="2018-10-28T00:00:00"/>
    <s v="Shipped"/>
    <s v="Motorcycles"/>
    <n v="99"/>
    <s v="S32_1374"/>
    <x v="32"/>
    <s v="6505556809"/>
    <s v="9408 Furth Circle"/>
    <s v="Burlingame"/>
    <s v="94217"/>
    <s v="USA"/>
    <s v="Hirano"/>
    <s v="Juri"/>
    <s v="Medium"/>
    <x v="538"/>
  </r>
  <r>
    <n v="10168"/>
    <n v="31"/>
    <n v="73.61"/>
    <n v="12"/>
    <n v="2281.91"/>
    <d v="2018-10-28T00:00:00"/>
    <s v="Shipped"/>
    <s v="Vintage Cars"/>
    <n v="68"/>
    <s v="S32_4289"/>
    <x v="32"/>
    <s v="6505556809"/>
    <s v="9408 Furth Circle"/>
    <s v="Burlingame"/>
    <s v="94217"/>
    <s v="USA"/>
    <s v="Hirano"/>
    <s v="Juri"/>
    <s v="Small"/>
    <x v="539"/>
  </r>
  <r>
    <n v="10168"/>
    <n v="48"/>
    <n v="51.93"/>
    <n v="13"/>
    <n v="2492.64"/>
    <d v="2018-10-28T00:00:00"/>
    <s v="Shipped"/>
    <s v="Vintage Cars"/>
    <n v="43"/>
    <s v="S50_1341"/>
    <x v="32"/>
    <s v="6505556809"/>
    <s v="9408 Furth Circle"/>
    <s v="Burlingame"/>
    <s v="94217"/>
    <s v="USA"/>
    <s v="Hirano"/>
    <s v="Juri"/>
    <s v="Small"/>
    <x v="540"/>
  </r>
  <r>
    <n v="10168"/>
    <n v="28"/>
    <n v="98.65"/>
    <n v="14"/>
    <n v="2762.2"/>
    <d v="2018-10-28T00:00:00"/>
    <s v="Shipped"/>
    <s v="Planes"/>
    <n v="91"/>
    <s v="S700_1691"/>
    <x v="32"/>
    <s v="6505556809"/>
    <s v="9408 Furth Circle"/>
    <s v="Burlingame"/>
    <s v="94217"/>
    <s v="USA"/>
    <s v="Hirano"/>
    <s v="Juri"/>
    <s v="Small"/>
    <x v="174"/>
  </r>
  <r>
    <n v="10168"/>
    <n v="31"/>
    <n v="110.69"/>
    <n v="16"/>
    <n v="3431.39"/>
    <d v="2018-10-28T00:00:00"/>
    <s v="Shipped"/>
    <s v="Planes"/>
    <n v="99"/>
    <s v="S700_2466"/>
    <x v="32"/>
    <s v="6505556809"/>
    <s v="9408 Furth Circle"/>
    <s v="Burlingame"/>
    <s v="94217"/>
    <s v="USA"/>
    <s v="Hirano"/>
    <s v="Juri"/>
    <s v="Medium"/>
    <x v="541"/>
  </r>
  <r>
    <n v="10168"/>
    <n v="36"/>
    <n v="125.77"/>
    <n v="8"/>
    <n v="4527.72"/>
    <d v="2018-10-28T00:00:00"/>
    <s v="Shipped"/>
    <s v="Planes"/>
    <n v="118"/>
    <s v="S700_2834"/>
    <x v="32"/>
    <s v="6505556809"/>
    <s v="9408 Furth Circle"/>
    <s v="Burlingame"/>
    <s v="94217"/>
    <s v="USA"/>
    <s v="Hirano"/>
    <s v="Juri"/>
    <s v="Medium"/>
    <x v="542"/>
  </r>
  <r>
    <n v="10168"/>
    <n v="48"/>
    <n v="96"/>
    <n v="15"/>
    <n v="4608"/>
    <d v="2018-10-28T00:00:00"/>
    <s v="Shipped"/>
    <s v="Planes"/>
    <n v="80"/>
    <s v="S700_3167"/>
    <x v="32"/>
    <s v="6505556809"/>
    <s v="9408 Furth Circle"/>
    <s v="Burlingame"/>
    <s v="94217"/>
    <s v="USA"/>
    <s v="Hirano"/>
    <s v="Juri"/>
    <s v="Medium"/>
    <x v="357"/>
  </r>
  <r>
    <n v="10168"/>
    <n v="39"/>
    <n v="82.91"/>
    <n v="17"/>
    <n v="3233.49"/>
    <d v="2018-10-28T00:00:00"/>
    <s v="Shipped"/>
    <s v="Planes"/>
    <n v="74"/>
    <s v="S700_4002"/>
    <x v="32"/>
    <s v="6505556809"/>
    <s v="9408 Furth Circle"/>
    <s v="Burlingame"/>
    <s v="94217"/>
    <s v="USA"/>
    <s v="Hirano"/>
    <s v="Juri"/>
    <s v="Medium"/>
    <x v="543"/>
  </r>
  <r>
    <n v="10169"/>
    <n v="30"/>
    <n v="167.33"/>
    <n v="2"/>
    <n v="5019.8999999999996"/>
    <d v="2018-11-04T00:00:00"/>
    <s v="Shipped"/>
    <s v="Classic Cars"/>
    <n v="194"/>
    <s v="S12_1099"/>
    <x v="37"/>
    <s v="02 9936 8555"/>
    <s v="201 Miller Street"/>
    <s v="North Sydney"/>
    <s v="2060"/>
    <s v="Australia"/>
    <s v="O'Hara"/>
    <s v="Anna"/>
    <s v="Medium"/>
    <x v="544"/>
  </r>
  <r>
    <n v="10169"/>
    <n v="35"/>
    <n v="132.55000000000001"/>
    <n v="13"/>
    <n v="4639.25"/>
    <d v="2018-11-04T00:00:00"/>
    <s v="Shipped"/>
    <s v="Motorcycles"/>
    <n v="150"/>
    <s v="S12_2823"/>
    <x v="37"/>
    <s v="02 9936 8555"/>
    <s v="201 Miller Street"/>
    <s v="North Sydney"/>
    <s v="2060"/>
    <s v="Australia"/>
    <s v="O'Hara"/>
    <s v="Anna"/>
    <s v="Medium"/>
    <x v="545"/>
  </r>
  <r>
    <n v="10170"/>
    <n v="47"/>
    <n v="116.27"/>
    <n v="4"/>
    <n v="5464.69"/>
    <d v="2018-11-04T00:00:00"/>
    <s v="Shipped"/>
    <s v="Classic Cars"/>
    <n v="117"/>
    <s v="S12_3380"/>
    <x v="46"/>
    <s v="7675-3555"/>
    <s v="Kirchgasse 6"/>
    <s v="Graz"/>
    <s v="8010"/>
    <s v="Austria"/>
    <s v="Mendel"/>
    <s v="Roland"/>
    <s v="Medium"/>
    <x v="546"/>
  </r>
  <r>
    <n v="10169"/>
    <n v="36"/>
    <n v="63.84"/>
    <n v="3"/>
    <n v="2298.2399999999998"/>
    <d v="2018-11-04T00:00:00"/>
    <s v="Shipped"/>
    <s v="Classic Cars"/>
    <n v="79"/>
    <s v="S12_3990"/>
    <x v="37"/>
    <s v="02 9936 8555"/>
    <s v="201 Miller Street"/>
    <s v="North Sydney"/>
    <s v="2060"/>
    <s v="Australia"/>
    <s v="O'Hara"/>
    <s v="Anna"/>
    <s v="Small"/>
    <x v="547"/>
  </r>
  <r>
    <n v="10170"/>
    <n v="41"/>
    <n v="107.1"/>
    <n v="3"/>
    <n v="4391.1000000000004"/>
    <d v="2018-11-04T00:00:00"/>
    <s v="Shipped"/>
    <s v="Classic Cars"/>
    <n v="115"/>
    <s v="S12_4675"/>
    <x v="46"/>
    <s v="7675-3555"/>
    <s v="Kirchgasse 6"/>
    <s v="Graz"/>
    <s v="8010"/>
    <s v="Austria"/>
    <s v="Mendel"/>
    <s v="Roland"/>
    <s v="Medium"/>
    <x v="548"/>
  </r>
  <r>
    <n v="10170"/>
    <n v="20"/>
    <n v="63.14"/>
    <n v="2"/>
    <n v="1262.8"/>
    <d v="2018-11-04T00:00:00"/>
    <s v="Shipped"/>
    <s v="Classic Cars"/>
    <n v="77"/>
    <s v="S18_1889"/>
    <x v="46"/>
    <s v="7675-3555"/>
    <s v="Kirchgasse 6"/>
    <s v="Graz"/>
    <s v="8010"/>
    <s v="Austria"/>
    <s v="Mendel"/>
    <s v="Roland"/>
    <s v="Small"/>
    <x v="549"/>
  </r>
  <r>
    <n v="10169"/>
    <n v="32"/>
    <n v="70.760000000000005"/>
    <n v="5"/>
    <n v="2264.3200000000002"/>
    <d v="2018-11-04T00:00:00"/>
    <s v="Shipped"/>
    <s v="Classic Cars"/>
    <n v="80"/>
    <s v="S18_3278"/>
    <x v="37"/>
    <s v="02 9936 8555"/>
    <s v="201 Miller Street"/>
    <s v="North Sydney"/>
    <s v="2060"/>
    <s v="Australia"/>
    <s v="O'Hara"/>
    <s v="Anna"/>
    <s v="Small"/>
    <x v="550"/>
  </r>
  <r>
    <n v="10169"/>
    <n v="36"/>
    <n v="123.47"/>
    <n v="4"/>
    <n v="4444.92"/>
    <d v="2018-11-04T00:00:00"/>
    <s v="Shipped"/>
    <s v="Classic Cars"/>
    <n v="146"/>
    <s v="S18_3482"/>
    <x v="37"/>
    <s v="02 9936 8555"/>
    <s v="201 Miller Street"/>
    <s v="North Sydney"/>
    <s v="2060"/>
    <s v="Australia"/>
    <s v="O'Hara"/>
    <s v="Anna"/>
    <s v="Medium"/>
    <x v="551"/>
  </r>
  <r>
    <n v="10169"/>
    <n v="38"/>
    <n v="68.39"/>
    <n v="8"/>
    <n v="2598.8200000000002"/>
    <d v="2018-11-04T00:00:00"/>
    <s v="Shipped"/>
    <s v="Motorcycles"/>
    <n v="62"/>
    <s v="S18_3782"/>
    <x v="37"/>
    <s v="02 9936 8555"/>
    <s v="201 Miller Street"/>
    <s v="North Sydney"/>
    <s v="2060"/>
    <s v="Australia"/>
    <s v="O'Hara"/>
    <s v="Anna"/>
    <s v="Small"/>
    <x v="552"/>
  </r>
  <r>
    <n v="10169"/>
    <n v="33"/>
    <n v="148.80000000000001"/>
    <n v="7"/>
    <n v="4910.3999999999996"/>
    <d v="2018-11-04T00:00:00"/>
    <s v="Shipped"/>
    <s v="Classic Cars"/>
    <n v="148"/>
    <s v="S18_4721"/>
    <x v="37"/>
    <s v="02 9936 8555"/>
    <s v="201 Miller Street"/>
    <s v="North Sydney"/>
    <s v="2060"/>
    <s v="Australia"/>
    <s v="O'Hara"/>
    <s v="Anna"/>
    <s v="Medium"/>
    <x v="553"/>
  </r>
  <r>
    <n v="10169"/>
    <n v="38"/>
    <n v="74.11"/>
    <n v="11"/>
    <n v="2816.18"/>
    <d v="2018-11-04T00:00:00"/>
    <s v="Shipped"/>
    <s v="Motorcycles"/>
    <n v="69"/>
    <s v="S24_2360"/>
    <x v="37"/>
    <s v="02 9936 8555"/>
    <s v="201 Miller Street"/>
    <s v="North Sydney"/>
    <s v="2060"/>
    <s v="Australia"/>
    <s v="O'Hara"/>
    <s v="Anna"/>
    <s v="Small"/>
    <x v="554"/>
  </r>
  <r>
    <n v="10169"/>
    <n v="34"/>
    <n v="50.21"/>
    <n v="1"/>
    <n v="1707.14"/>
    <d v="2018-11-04T00:00:00"/>
    <s v="Shipped"/>
    <s v="Classic Cars"/>
    <n v="61"/>
    <s v="S24_3371"/>
    <x v="37"/>
    <s v="02 9936 8555"/>
    <s v="201 Miller Street"/>
    <s v="North Sydney"/>
    <s v="2060"/>
    <s v="Australia"/>
    <s v="O'Hara"/>
    <s v="Anna"/>
    <s v="Small"/>
    <x v="555"/>
  </r>
  <r>
    <n v="10170"/>
    <n v="34"/>
    <n v="112.34"/>
    <n v="1"/>
    <n v="3819.56"/>
    <d v="2018-11-04T00:00:00"/>
    <s v="Shipped"/>
    <s v="Classic Cars"/>
    <n v="140"/>
    <s v="S24_3856"/>
    <x v="46"/>
    <s v="7675-3555"/>
    <s v="Kirchgasse 6"/>
    <s v="Graz"/>
    <s v="8010"/>
    <s v="Austria"/>
    <s v="Mendel"/>
    <s v="Roland"/>
    <s v="Medium"/>
    <x v="556"/>
  </r>
  <r>
    <n v="10169"/>
    <n v="24"/>
    <n v="94.58"/>
    <n v="6"/>
    <n v="2269.92"/>
    <d v="2018-11-04T00:00:00"/>
    <s v="Shipped"/>
    <s v="Classic Cars"/>
    <n v="80"/>
    <s v="S24_4620"/>
    <x v="37"/>
    <s v="02 9936 8555"/>
    <s v="201 Miller Street"/>
    <s v="North Sydney"/>
    <s v="2060"/>
    <s v="Australia"/>
    <s v="O'Hara"/>
    <s v="Anna"/>
    <s v="Small"/>
    <x v="557"/>
  </r>
  <r>
    <n v="10169"/>
    <n v="26"/>
    <n v="39.83"/>
    <n v="9"/>
    <n v="1035.58"/>
    <d v="2018-11-04T00:00:00"/>
    <s v="Shipped"/>
    <s v="Motorcycles"/>
    <n v="40"/>
    <s v="S32_2206"/>
    <x v="37"/>
    <s v="02 9936 8555"/>
    <s v="201 Miller Street"/>
    <s v="North Sydney"/>
    <s v="2060"/>
    <s v="Australia"/>
    <s v="O'Hara"/>
    <s v="Anna"/>
    <s v="Small"/>
    <x v="558"/>
  </r>
  <r>
    <n v="10169"/>
    <n v="34"/>
    <n v="115.32"/>
    <n v="12"/>
    <n v="3920.88"/>
    <d v="2018-11-04T00:00:00"/>
    <s v="Shipped"/>
    <s v="Motorcycles"/>
    <n v="102"/>
    <s v="S32_4485"/>
    <x v="37"/>
    <s v="02 9936 8555"/>
    <s v="201 Miller Street"/>
    <s v="North Sydney"/>
    <s v="2060"/>
    <s v="Australia"/>
    <s v="O'Hara"/>
    <s v="Anna"/>
    <s v="Medium"/>
    <x v="559"/>
  </r>
  <r>
    <n v="10169"/>
    <n v="48"/>
    <n v="80.55"/>
    <n v="10"/>
    <n v="3866.4"/>
    <d v="2018-11-04T00:00:00"/>
    <s v="Shipped"/>
    <s v="Motorcycles"/>
    <n v="81"/>
    <s v="S50_4713"/>
    <x v="37"/>
    <s v="02 9936 8555"/>
    <s v="201 Miller Street"/>
    <s v="North Sydney"/>
    <s v="2060"/>
    <s v="Australia"/>
    <s v="O'Hara"/>
    <s v="Anna"/>
    <s v="Medium"/>
    <x v="277"/>
  </r>
  <r>
    <n v="10171"/>
    <n v="35"/>
    <n v="128.80000000000001"/>
    <n v="2"/>
    <n v="4508"/>
    <d v="2018-11-05T00:00:00"/>
    <s v="Shipped"/>
    <s v="Classic Cars"/>
    <n v="141"/>
    <s v="S18_1129"/>
    <x v="49"/>
    <s v="(514) 555-8054"/>
    <s v="43 rue St. Laurent"/>
    <s v="Montreal"/>
    <s v="H1J 1C3"/>
    <s v="Canada"/>
    <s v="Fresnisre"/>
    <s v="Jean"/>
    <s v="Medium"/>
    <x v="560"/>
  </r>
  <r>
    <n v="10173"/>
    <n v="43"/>
    <n v="117.12"/>
    <n v="6"/>
    <n v="5036.16"/>
    <d v="2018-11-05T00:00:00"/>
    <s v="Shipped"/>
    <s v="Vintage Cars"/>
    <n v="102"/>
    <s v="S18_1342"/>
    <x v="6"/>
    <s v="035-640555"/>
    <s v="Via Ludovico il Moro 22"/>
    <s v="Bergamo"/>
    <s v="24100"/>
    <s v="Italy"/>
    <s v="Rovelli"/>
    <s v="Giovanni"/>
    <s v="Medium"/>
    <x v="561"/>
  </r>
  <r>
    <n v="10173"/>
    <n v="48"/>
    <n v="44.21"/>
    <n v="5"/>
    <n v="2122.08"/>
    <d v="2018-11-05T00:00:00"/>
    <s v="Shipped"/>
    <s v="Vintage Cars"/>
    <n v="53"/>
    <s v="S18_1367"/>
    <x v="6"/>
    <s v="035-640555"/>
    <s v="Via Ludovico il Moro 22"/>
    <s v="Bergamo"/>
    <s v="24100"/>
    <s v="Italy"/>
    <s v="Rovelli"/>
    <s v="Giovanni"/>
    <s v="Small"/>
    <x v="562"/>
  </r>
  <r>
    <n v="10172"/>
    <n v="42"/>
    <n v="118.22"/>
    <n v="6"/>
    <n v="4965.24"/>
    <d v="2018-11-05T00:00:00"/>
    <s v="Shipped"/>
    <s v="Classic Cars"/>
    <n v="124"/>
    <s v="S18_1589"/>
    <x v="50"/>
    <s v="2035552570"/>
    <s v="25593 South Bay Ln."/>
    <s v="Bridgewater"/>
    <s v="97562"/>
    <s v="USA"/>
    <s v="King"/>
    <s v="Julie"/>
    <s v="Medium"/>
    <x v="239"/>
  </r>
  <r>
    <n v="10173"/>
    <n v="24"/>
    <n v="146.19999999999999"/>
    <n v="13"/>
    <n v="3508.8"/>
    <d v="2018-11-05T00:00:00"/>
    <s v="Shipped"/>
    <s v="Vintage Cars"/>
    <n v="170"/>
    <s v="S18_1749"/>
    <x v="6"/>
    <s v="035-640555"/>
    <s v="Via Ludovico il Moro 22"/>
    <s v="Bergamo"/>
    <s v="24100"/>
    <s v="Italy"/>
    <s v="Rovelli"/>
    <s v="Giovanni"/>
    <s v="Medium"/>
    <x v="563"/>
  </r>
  <r>
    <n v="10171"/>
    <n v="35"/>
    <n v="133.72"/>
    <n v="1"/>
    <n v="4680.2"/>
    <d v="2018-11-05T00:00:00"/>
    <s v="Shipped"/>
    <s v="Classic Cars"/>
    <n v="142"/>
    <s v="S18_1984"/>
    <x v="49"/>
    <s v="(514) 555-8054"/>
    <s v="43 rue St. Laurent"/>
    <s v="Montreal"/>
    <s v="H1J 1C3"/>
    <s v="Canada"/>
    <s v="Fresnisre"/>
    <s v="Jean"/>
    <s v="Medium"/>
    <x v="564"/>
  </r>
  <r>
    <n v="10173"/>
    <n v="26"/>
    <n v="57.51"/>
    <n v="12"/>
    <n v="1495.26"/>
    <d v="2018-11-05T00:00:00"/>
    <s v="Shipped"/>
    <s v="Vintage Cars"/>
    <n v="60"/>
    <s v="S18_2248"/>
    <x v="6"/>
    <s v="035-640555"/>
    <s v="Via Ludovico il Moro 22"/>
    <s v="Bergamo"/>
    <s v="24100"/>
    <s v="Italy"/>
    <s v="Rovelli"/>
    <s v="Giovanni"/>
    <s v="Small"/>
    <x v="392"/>
  </r>
  <r>
    <n v="10173"/>
    <n v="31"/>
    <n v="144.93"/>
    <n v="10"/>
    <n v="4492.83"/>
    <d v="2018-11-05T00:00:00"/>
    <s v="Shipped"/>
    <s v="Vintage Cars"/>
    <n v="127"/>
    <s v="S18_2325"/>
    <x v="6"/>
    <s v="035-640555"/>
    <s v="Via Ludovico il Moro 22"/>
    <s v="Bergamo"/>
    <s v="24100"/>
    <s v="Italy"/>
    <s v="Rovelli"/>
    <s v="Giovanni"/>
    <s v="Medium"/>
    <x v="565"/>
  </r>
  <r>
    <n v="10173"/>
    <n v="22"/>
    <n v="156.94"/>
    <n v="7"/>
    <n v="3452.68"/>
    <d v="2018-11-05T00:00:00"/>
    <s v="Shipped"/>
    <s v="Vintage Cars"/>
    <n v="168"/>
    <s v="S18_2795"/>
    <x v="6"/>
    <s v="035-640555"/>
    <s v="Via Ludovico il Moro 22"/>
    <s v="Bergamo"/>
    <s v="24100"/>
    <s v="Italy"/>
    <s v="Rovelli"/>
    <s v="Giovanni"/>
    <s v="Medium"/>
    <x v="566"/>
  </r>
  <r>
    <n v="10172"/>
    <n v="39"/>
    <n v="154.44"/>
    <n v="7"/>
    <n v="6023.16"/>
    <d v="2018-11-05T00:00:00"/>
    <s v="Shipped"/>
    <s v="Classic Cars"/>
    <n v="132"/>
    <s v="S18_2870"/>
    <x v="50"/>
    <s v="2035552570"/>
    <s v="25593 South Bay Ln."/>
    <s v="Bridgewater"/>
    <s v="97562"/>
    <s v="USA"/>
    <s v="King"/>
    <s v="Julie"/>
    <s v="Medium"/>
    <x v="567"/>
  </r>
  <r>
    <n v="10173"/>
    <n v="28"/>
    <n v="53.72"/>
    <n v="2"/>
    <n v="1504.16"/>
    <d v="2018-11-05T00:00:00"/>
    <s v="Shipped"/>
    <s v="Vintage Cars"/>
    <n v="62"/>
    <s v="S18_2957"/>
    <x v="6"/>
    <s v="035-640555"/>
    <s v="Via Ludovico il Moro 22"/>
    <s v="Bergamo"/>
    <s v="24100"/>
    <s v="Italy"/>
    <s v="Rovelli"/>
    <s v="Giovanni"/>
    <s v="Small"/>
    <x v="568"/>
  </r>
  <r>
    <n v="10173"/>
    <n v="31"/>
    <n v="89.01"/>
    <n v="1"/>
    <n v="2759.31"/>
    <d v="2018-11-05T00:00:00"/>
    <s v="Shipped"/>
    <s v="Vintage Cars"/>
    <n v="104"/>
    <s v="S18_3136"/>
    <x v="6"/>
    <s v="035-640555"/>
    <s v="Via Ludovico il Moro 22"/>
    <s v="Bergamo"/>
    <s v="24100"/>
    <s v="Italy"/>
    <s v="Rovelli"/>
    <s v="Giovanni"/>
    <s v="Small"/>
    <x v="569"/>
  </r>
  <r>
    <n v="10171"/>
    <n v="39"/>
    <n v="140.55000000000001"/>
    <n v="3"/>
    <n v="5481.45"/>
    <d v="2018-11-05T00:00:00"/>
    <s v="Shipped"/>
    <s v="Classic Cars"/>
    <n v="169"/>
    <s v="S18_3232"/>
    <x v="49"/>
    <s v="(514) 555-8054"/>
    <s v="43 rue St. Laurent"/>
    <s v="Montreal"/>
    <s v="H1J 1C3"/>
    <s v="Canada"/>
    <s v="Fresnisre"/>
    <s v="Jean"/>
    <s v="Medium"/>
    <x v="570"/>
  </r>
  <r>
    <n v="10173"/>
    <n v="29"/>
    <n v="95.24"/>
    <n v="4"/>
    <n v="2761.96"/>
    <d v="2018-11-05T00:00:00"/>
    <s v="Shipped"/>
    <s v="Vintage Cars"/>
    <n v="99"/>
    <s v="S18_3320"/>
    <x v="6"/>
    <s v="035-640555"/>
    <s v="Via Ludovico il Moro 22"/>
    <s v="Bergamo"/>
    <s v="24100"/>
    <s v="Italy"/>
    <s v="Rovelli"/>
    <s v="Giovanni"/>
    <s v="Small"/>
    <x v="571"/>
  </r>
  <r>
    <n v="10172"/>
    <n v="48"/>
    <n v="114.44"/>
    <n v="8"/>
    <n v="5493.12"/>
    <d v="2018-11-05T00:00:00"/>
    <s v="Shipped"/>
    <s v="Classic Cars"/>
    <n v="141"/>
    <s v="S18_3685"/>
    <x v="50"/>
    <s v="2035552570"/>
    <s v="25593 South Bay Ln."/>
    <s v="Bridgewater"/>
    <s v="97562"/>
    <s v="USA"/>
    <s v="King"/>
    <s v="Julie"/>
    <s v="Medium"/>
    <x v="572"/>
  </r>
  <r>
    <n v="10173"/>
    <n v="21"/>
    <n v="75.459999999999994"/>
    <n v="14"/>
    <n v="1584.66"/>
    <d v="2018-11-05T00:00:00"/>
    <s v="Shipped"/>
    <s v="Vintage Cars"/>
    <n v="92"/>
    <s v="S18_4409"/>
    <x v="6"/>
    <s v="035-640555"/>
    <s v="Via Ludovico il Moro 22"/>
    <s v="Bergamo"/>
    <s v="24100"/>
    <s v="Italy"/>
    <s v="Rovelli"/>
    <s v="Giovanni"/>
    <s v="Small"/>
    <x v="291"/>
  </r>
  <r>
    <n v="10173"/>
    <n v="39"/>
    <n v="71.98"/>
    <n v="15"/>
    <n v="2807.22"/>
    <d v="2018-11-05T00:00:00"/>
    <s v="Shipped"/>
    <s v="Classic Cars"/>
    <n v="71"/>
    <s v="S18_4933"/>
    <x v="6"/>
    <s v="035-640555"/>
    <s v="Via Ludovico il Moro 22"/>
    <s v="Bergamo"/>
    <s v="24100"/>
    <s v="Italy"/>
    <s v="Rovelli"/>
    <s v="Giovanni"/>
    <s v="Small"/>
    <x v="573"/>
  </r>
  <r>
    <n v="10172"/>
    <n v="32"/>
    <n v="75.69"/>
    <n v="3"/>
    <n v="2422.08"/>
    <d v="2018-11-05T00:00:00"/>
    <s v="Shipped"/>
    <s v="Classic Cars"/>
    <n v="73"/>
    <s v="S24_1046"/>
    <x v="50"/>
    <s v="2035552570"/>
    <s v="25593 South Bay Ln."/>
    <s v="Bridgewater"/>
    <s v="97562"/>
    <s v="USA"/>
    <s v="King"/>
    <s v="Julie"/>
    <s v="Small"/>
    <x v="574"/>
  </r>
  <r>
    <n v="10172"/>
    <n v="34"/>
    <n v="42.76"/>
    <n v="5"/>
    <n v="1453.84"/>
    <d v="2018-11-05T00:00:00"/>
    <s v="Shipped"/>
    <s v="Classic Cars"/>
    <n v="50"/>
    <s v="S24_1628"/>
    <x v="50"/>
    <s v="2035552570"/>
    <s v="25593 South Bay Ln."/>
    <s v="Bridgewater"/>
    <s v="97562"/>
    <s v="USA"/>
    <s v="King"/>
    <s v="Julie"/>
    <s v="Small"/>
    <x v="144"/>
  </r>
  <r>
    <n v="10173"/>
    <n v="31"/>
    <n v="31.53"/>
    <n v="9"/>
    <n v="977.43"/>
    <d v="2018-11-05T00:00:00"/>
    <s v="Shipped"/>
    <s v="Vintage Cars"/>
    <n v="33"/>
    <s v="S24_1937"/>
    <x v="6"/>
    <s v="035-640555"/>
    <s v="Via Ludovico il Moro 22"/>
    <s v="Bergamo"/>
    <s v="24100"/>
    <s v="Italy"/>
    <s v="Rovelli"/>
    <s v="Giovanni"/>
    <s v="Small"/>
    <x v="367"/>
  </r>
  <r>
    <n v="10173"/>
    <n v="27"/>
    <n v="41.22"/>
    <n v="8"/>
    <n v="1112.94"/>
    <d v="2018-11-05T00:00:00"/>
    <s v="Shipped"/>
    <s v="Vintage Cars"/>
    <n v="44"/>
    <s v="S24_2022"/>
    <x v="6"/>
    <s v="035-640555"/>
    <s v="Via Ludovico il Moro 22"/>
    <s v="Bergamo"/>
    <s v="24100"/>
    <s v="Italy"/>
    <s v="Rovelli"/>
    <s v="Giovanni"/>
    <s v="Small"/>
    <x v="575"/>
  </r>
  <r>
    <n v="10172"/>
    <n v="22"/>
    <n v="74.510000000000005"/>
    <n v="1"/>
    <n v="1639.22"/>
    <d v="2018-11-05T00:00:00"/>
    <s v="Shipped"/>
    <s v="Classic Cars"/>
    <n v="90"/>
    <s v="S24_2766"/>
    <x v="50"/>
    <s v="2035552570"/>
    <s v="25593 South Bay Ln."/>
    <s v="Bridgewater"/>
    <s v="97562"/>
    <s v="USA"/>
    <s v="King"/>
    <s v="Julie"/>
    <s v="Small"/>
    <x v="285"/>
  </r>
  <r>
    <n v="10173"/>
    <n v="23"/>
    <n v="118.61"/>
    <n v="16"/>
    <n v="2728.03"/>
    <d v="2018-11-05T00:00:00"/>
    <s v="Shipped"/>
    <s v="Classic Cars"/>
    <n v="117"/>
    <s v="S24_2887"/>
    <x v="6"/>
    <s v="035-640555"/>
    <s v="Via Ludovico il Moro 22"/>
    <s v="Bergamo"/>
    <s v="24100"/>
    <s v="Italy"/>
    <s v="Rovelli"/>
    <s v="Giovanni"/>
    <s v="Small"/>
    <x v="576"/>
  </r>
  <r>
    <n v="10171"/>
    <n v="36"/>
    <n v="35.49"/>
    <n v="4"/>
    <n v="1277.6400000000001"/>
    <d v="2018-11-05T00:00:00"/>
    <s v="Shipped"/>
    <s v="Classic Cars"/>
    <n v="37"/>
    <s v="S24_2972"/>
    <x v="49"/>
    <s v="(514) 555-8054"/>
    <s v="43 rue St. Laurent"/>
    <s v="Montreal"/>
    <s v="H1J 1C3"/>
    <s v="Canada"/>
    <s v="Fresnisre"/>
    <s v="Jean"/>
    <s v="Small"/>
    <x v="577"/>
  </r>
  <r>
    <n v="10172"/>
    <n v="24"/>
    <n v="81.33"/>
    <n v="2"/>
    <n v="1951.92"/>
    <d v="2018-11-05T00:00:00"/>
    <s v="Shipped"/>
    <s v="Classic Cars"/>
    <n v="85"/>
    <s v="S24_3191"/>
    <x v="50"/>
    <s v="2035552570"/>
    <s v="25593 South Bay Ln."/>
    <s v="Bridgewater"/>
    <s v="97562"/>
    <s v="USA"/>
    <s v="King"/>
    <s v="Julie"/>
    <s v="Small"/>
    <x v="578"/>
  </r>
  <r>
    <n v="10172"/>
    <n v="22"/>
    <n v="98.51"/>
    <n v="4"/>
    <n v="2167.2199999999998"/>
    <d v="2018-11-05T00:00:00"/>
    <s v="Shipped"/>
    <s v="Classic Cars"/>
    <n v="107"/>
    <s v="S24_3432"/>
    <x v="50"/>
    <s v="2035552570"/>
    <s v="25593 South Bay Ln."/>
    <s v="Bridgewater"/>
    <s v="97562"/>
    <s v="USA"/>
    <s v="King"/>
    <s v="Julie"/>
    <s v="Small"/>
    <x v="579"/>
  </r>
  <r>
    <n v="10173"/>
    <n v="35"/>
    <n v="33.229999999999997"/>
    <n v="11"/>
    <n v="1163.05"/>
    <d v="2018-11-05T00:00:00"/>
    <s v="Shipped"/>
    <s v="Vintage Cars"/>
    <n v="41"/>
    <s v="S24_3969"/>
    <x v="6"/>
    <s v="035-640555"/>
    <s v="Via Ludovico il Moro 22"/>
    <s v="Bergamo"/>
    <s v="24100"/>
    <s v="Italy"/>
    <s v="Rovelli"/>
    <s v="Giovanni"/>
    <s v="Small"/>
    <x v="580"/>
  </r>
  <r>
    <n v="10173"/>
    <n v="22"/>
    <n v="116.87"/>
    <n v="3"/>
    <n v="2571.14"/>
    <d v="2018-11-05T00:00:00"/>
    <s v="Shipped"/>
    <s v="Vintage Cars"/>
    <n v="97"/>
    <s v="S24_4258"/>
    <x v="6"/>
    <s v="035-640555"/>
    <s v="Via Ludovico il Moro 22"/>
    <s v="Bergamo"/>
    <s v="24100"/>
    <s v="Italy"/>
    <s v="Rovelli"/>
    <s v="Giovanni"/>
    <s v="Small"/>
    <x v="581"/>
  </r>
  <r>
    <n v="10174"/>
    <n v="34"/>
    <n v="235.73"/>
    <n v="4"/>
    <n v="8014.82"/>
    <d v="2018-11-06T00:00:00"/>
    <s v="Shipped"/>
    <s v="Classic Cars"/>
    <n v="214"/>
    <s v="S10_1949"/>
    <x v="40"/>
    <s v="61-7-3844-6555"/>
    <s v="31 Duncan St. West End"/>
    <s v="South Brisbane"/>
    <s v="4101"/>
    <s v="Australia"/>
    <s v="Calaghan"/>
    <s v="Tony"/>
    <s v="Large"/>
    <x v="582"/>
  </r>
  <r>
    <n v="10175"/>
    <n v="33"/>
    <n v="162.51"/>
    <n v="9"/>
    <n v="5362.83"/>
    <d v="2018-11-06T00:00:00"/>
    <s v="Shipped"/>
    <s v="Classic Cars"/>
    <n v="147"/>
    <s v="S10_4962"/>
    <x v="26"/>
    <s v="(171) 555-0297"/>
    <s v="35 King George"/>
    <s v="London"/>
    <s v="WX3 6FW"/>
    <s v="UK"/>
    <s v="Brown"/>
    <s v="Ann"/>
    <s v="Medium"/>
    <x v="583"/>
  </r>
  <r>
    <n v="10176"/>
    <n v="33"/>
    <n v="226.5"/>
    <n v="2"/>
    <n v="7474.5"/>
    <d v="2018-11-06T00:00:00"/>
    <s v="Shipped"/>
    <s v="Classic Cars"/>
    <n v="207"/>
    <s v="S12_1108"/>
    <x v="51"/>
    <s v="0522-556555"/>
    <s v="Strada Provinciale 124"/>
    <s v="Reggio Emilia"/>
    <s v="42100"/>
    <s v="Italy"/>
    <s v="Moroni"/>
    <s v="Maurizio"/>
    <s v="Large"/>
    <x v="281"/>
  </r>
  <r>
    <n v="10174"/>
    <n v="43"/>
    <n v="158.54"/>
    <n v="1"/>
    <n v="6817.22"/>
    <d v="2018-11-06T00:00:00"/>
    <s v="Shipped"/>
    <s v="Trucks and Buses"/>
    <n v="136"/>
    <s v="S12_1666"/>
    <x v="40"/>
    <s v="61-7-3844-6555"/>
    <s v="31 Duncan St. West End"/>
    <s v="South Brisbane"/>
    <s v="4101"/>
    <s v="Australia"/>
    <s v="Calaghan"/>
    <s v="Tony"/>
    <s v="Medium"/>
    <x v="584"/>
  </r>
  <r>
    <n v="10176"/>
    <n v="47"/>
    <n v="178.27"/>
    <n v="3"/>
    <n v="8378.69"/>
    <d v="2018-11-06T00:00:00"/>
    <s v="Shipped"/>
    <s v="Classic Cars"/>
    <n v="151"/>
    <s v="S12_3148"/>
    <x v="51"/>
    <s v="0522-556555"/>
    <s v="Strada Provinciale 124"/>
    <s v="Reggio Emilia"/>
    <s v="42100"/>
    <s v="Italy"/>
    <s v="Moroni"/>
    <s v="Maurizio"/>
    <s v="Large"/>
    <x v="585"/>
  </r>
  <r>
    <n v="10176"/>
    <n v="50"/>
    <n v="157.44999999999999"/>
    <n v="1"/>
    <n v="7872.5"/>
    <d v="2018-11-06T00:00:00"/>
    <s v="Shipped"/>
    <s v="Classic Cars"/>
    <n v="173"/>
    <s v="S12_3891"/>
    <x v="51"/>
    <s v="0522-556555"/>
    <s v="Strada Provinciale 124"/>
    <s v="Reggio Emilia"/>
    <s v="42100"/>
    <s v="Italy"/>
    <s v="Moroni"/>
    <s v="Maurizio"/>
    <s v="Large"/>
    <x v="10"/>
  </r>
  <r>
    <n v="10175"/>
    <n v="26"/>
    <n v="136.28"/>
    <n v="1"/>
    <n v="3543.28"/>
    <d v="2018-11-06T00:00:00"/>
    <s v="Shipped"/>
    <s v="Trucks and Buses"/>
    <n v="118"/>
    <s v="S12_4473"/>
    <x v="26"/>
    <s v="(171) 555-0297"/>
    <s v="35 King George"/>
    <s v="London"/>
    <s v="WX3 6FW"/>
    <s v="UK"/>
    <s v="Brown"/>
    <s v="Ann"/>
    <s v="Medium"/>
    <x v="586"/>
  </r>
  <r>
    <n v="10174"/>
    <n v="48"/>
    <n v="93.34"/>
    <n v="3"/>
    <n v="4480.32"/>
    <d v="2018-11-06T00:00:00"/>
    <s v="Shipped"/>
    <s v="Trucks and Buses"/>
    <n v="116"/>
    <s v="S18_1097"/>
    <x v="40"/>
    <s v="61-7-3844-6555"/>
    <s v="31 Duncan St. West End"/>
    <s v="South Brisbane"/>
    <s v="4101"/>
    <s v="Australia"/>
    <s v="Calaghan"/>
    <s v="Tony"/>
    <s v="Medium"/>
    <x v="587"/>
  </r>
  <r>
    <n v="10176"/>
    <n v="20"/>
    <n v="183.38"/>
    <n v="10"/>
    <n v="3667.6"/>
    <d v="2018-11-06T00:00:00"/>
    <s v="Shipped"/>
    <s v="Classic Cars"/>
    <n v="163"/>
    <s v="S18_2238"/>
    <x v="51"/>
    <s v="0522-556555"/>
    <s v="Strada Provinciale 124"/>
    <s v="Reggio Emilia"/>
    <s v="42100"/>
    <s v="Italy"/>
    <s v="Moroni"/>
    <s v="Maurizio"/>
    <s v="Medium"/>
    <x v="588"/>
  </r>
  <r>
    <n v="10175"/>
    <n v="48"/>
    <n v="122.73"/>
    <n v="4"/>
    <n v="5891.04"/>
    <d v="2018-11-06T00:00:00"/>
    <s v="Shipped"/>
    <s v="Trucks and Buses"/>
    <n v="122"/>
    <s v="S18_2319"/>
    <x v="26"/>
    <s v="(171) 555-0297"/>
    <s v="35 King George"/>
    <s v="London"/>
    <s v="WX3 6FW"/>
    <s v="UK"/>
    <s v="Brown"/>
    <s v="Ann"/>
    <s v="Medium"/>
    <x v="589"/>
  </r>
  <r>
    <n v="10175"/>
    <n v="41"/>
    <n v="69.28"/>
    <n v="7"/>
    <n v="2840.48"/>
    <d v="2018-11-06T00:00:00"/>
    <s v="Shipped"/>
    <s v="Trucks and Buses"/>
    <n v="60"/>
    <s v="S18_2432"/>
    <x v="26"/>
    <s v="(171) 555-0297"/>
    <s v="35 King George"/>
    <s v="London"/>
    <s v="WX3 6FW"/>
    <s v="UK"/>
    <s v="Brown"/>
    <s v="Ann"/>
    <s v="Small"/>
    <x v="590"/>
  </r>
  <r>
    <n v="10174"/>
    <n v="46"/>
    <n v="121.57"/>
    <n v="5"/>
    <n v="5592.22"/>
    <d v="2018-11-06T00:00:00"/>
    <s v="Shipped"/>
    <s v="Vintage Cars"/>
    <n v="101"/>
    <s v="S18_2949"/>
    <x v="40"/>
    <s v="61-7-3844-6555"/>
    <s v="31 Duncan St. West End"/>
    <s v="South Brisbane"/>
    <s v="4101"/>
    <s v="Australia"/>
    <s v="Calaghan"/>
    <s v="Tony"/>
    <s v="Medium"/>
    <x v="591"/>
  </r>
  <r>
    <n v="10175"/>
    <n v="29"/>
    <n v="152.41"/>
    <n v="5"/>
    <n v="4419.8900000000003"/>
    <d v="2018-11-06T00:00:00"/>
    <s v="Shipped"/>
    <s v="Classic Cars"/>
    <n v="169"/>
    <s v="S18_3232"/>
    <x v="26"/>
    <s v="(171) 555-0297"/>
    <s v="35 King George"/>
    <s v="London"/>
    <s v="WX3 6FW"/>
    <s v="UK"/>
    <s v="Brown"/>
    <s v="Ann"/>
    <s v="Medium"/>
    <x v="570"/>
  </r>
  <r>
    <n v="10176"/>
    <n v="36"/>
    <n v="153.66999999999999"/>
    <n v="5"/>
    <n v="5532.12"/>
    <d v="2018-11-06T00:00:00"/>
    <s v="Shipped"/>
    <s v="Classic Cars"/>
    <n v="143"/>
    <s v="S18_4027"/>
    <x v="51"/>
    <s v="0522-556555"/>
    <s v="Strada Provinciale 124"/>
    <s v="Reggio Emilia"/>
    <s v="42100"/>
    <s v="Italy"/>
    <s v="Moroni"/>
    <s v="Maurizio"/>
    <s v="Medium"/>
    <x v="592"/>
  </r>
  <r>
    <n v="10175"/>
    <n v="47"/>
    <n v="108.97"/>
    <n v="10"/>
    <n v="5121.59"/>
    <d v="2018-11-06T00:00:00"/>
    <s v="Shipped"/>
    <s v="Trucks and Buses"/>
    <n v="121"/>
    <s v="S18_4600"/>
    <x v="26"/>
    <s v="(171) 555-0297"/>
    <s v="35 King George"/>
    <s v="London"/>
    <s v="WX3 6FW"/>
    <s v="UK"/>
    <s v="Brown"/>
    <s v="Ann"/>
    <s v="Medium"/>
    <x v="593"/>
  </r>
  <r>
    <n v="10174"/>
    <n v="49"/>
    <n v="44.78"/>
    <n v="2"/>
    <n v="2194.2199999999998"/>
    <d v="2018-11-06T00:00:00"/>
    <s v="Shipped"/>
    <s v="Vintage Cars"/>
    <n v="50"/>
    <s v="S18_4668"/>
    <x v="40"/>
    <s v="61-7-3844-6555"/>
    <s v="31 Duncan St. West End"/>
    <s v="South Brisbane"/>
    <s v="4101"/>
    <s v="Australia"/>
    <s v="Calaghan"/>
    <s v="Tony"/>
    <s v="Small"/>
    <x v="594"/>
  </r>
  <r>
    <n v="10176"/>
    <n v="27"/>
    <n v="68.78"/>
    <n v="8"/>
    <n v="1857.06"/>
    <d v="2018-11-06T00:00:00"/>
    <s v="Shipped"/>
    <s v="Classic Cars"/>
    <n v="57"/>
    <s v="S24_1444"/>
    <x v="51"/>
    <s v="0522-556555"/>
    <s v="Strada Provinciale 124"/>
    <s v="Reggio Emilia"/>
    <s v="42100"/>
    <s v="Italy"/>
    <s v="Moroni"/>
    <s v="Maurizio"/>
    <s v="Small"/>
    <x v="595"/>
  </r>
  <r>
    <n v="10175"/>
    <n v="28"/>
    <n v="106.07"/>
    <n v="6"/>
    <n v="2969.96"/>
    <d v="2018-11-06T00:00:00"/>
    <s v="Shipped"/>
    <s v="Trucks and Buses"/>
    <n v="127"/>
    <s v="S24_2300"/>
    <x v="26"/>
    <s v="(171) 555-0297"/>
    <s v="35 King George"/>
    <s v="London"/>
    <s v="WX3 6FW"/>
    <s v="UK"/>
    <s v="Brown"/>
    <s v="Ann"/>
    <s v="Small"/>
    <x v="596"/>
  </r>
  <r>
    <n v="10175"/>
    <n v="37"/>
    <n v="31.12"/>
    <n v="2"/>
    <n v="1151.44"/>
    <d v="2018-11-06T00:00:00"/>
    <s v="Shipped"/>
    <s v="Classic Cars"/>
    <n v="35"/>
    <s v="S24_2840"/>
    <x v="26"/>
    <s v="(171) 555-0297"/>
    <s v="35 King George"/>
    <s v="London"/>
    <s v="WX3 6FW"/>
    <s v="UK"/>
    <s v="Brown"/>
    <s v="Ann"/>
    <s v="Small"/>
    <x v="597"/>
  </r>
  <r>
    <n v="10176"/>
    <n v="29"/>
    <n v="100.54"/>
    <n v="7"/>
    <n v="2915.66"/>
    <d v="2018-11-06T00:00:00"/>
    <s v="Shipped"/>
    <s v="Classic Cars"/>
    <n v="118"/>
    <s v="S24_4048"/>
    <x v="51"/>
    <s v="0522-556555"/>
    <s v="Strada Provinciale 124"/>
    <s v="Reggio Emilia"/>
    <s v="42100"/>
    <s v="Italy"/>
    <s v="Moroni"/>
    <s v="Maurizio"/>
    <s v="Small"/>
    <x v="598"/>
  </r>
  <r>
    <n v="10175"/>
    <n v="22"/>
    <n v="110.76"/>
    <n v="8"/>
    <n v="2436.7199999999998"/>
    <d v="2018-11-06T00:00:00"/>
    <s v="Shipped"/>
    <s v="Trucks and Buses"/>
    <n v="96"/>
    <s v="S32_1268"/>
    <x v="26"/>
    <s v="(171) 555-0297"/>
    <s v="35 King George"/>
    <s v="London"/>
    <s v="WX3 6FW"/>
    <s v="UK"/>
    <s v="Brown"/>
    <s v="Ann"/>
    <s v="Small"/>
    <x v="599"/>
  </r>
  <r>
    <n v="10175"/>
    <n v="50"/>
    <n v="63.31"/>
    <n v="3"/>
    <n v="3165.5"/>
    <d v="2018-11-06T00:00:00"/>
    <s v="Shipped"/>
    <s v="Trucks and Buses"/>
    <n v="54"/>
    <s v="S32_2509"/>
    <x v="26"/>
    <s v="(171) 555-0297"/>
    <s v="35 King George"/>
    <s v="London"/>
    <s v="WX3 6FW"/>
    <s v="UK"/>
    <s v="Brown"/>
    <s v="Ann"/>
    <s v="Medium"/>
    <x v="600"/>
  </r>
  <r>
    <n v="10176"/>
    <n v="22"/>
    <n v="64"/>
    <n v="6"/>
    <n v="1408"/>
    <d v="2018-11-06T00:00:00"/>
    <s v="Shipped"/>
    <s v="Trains"/>
    <n v="62"/>
    <s v="S32_3207"/>
    <x v="51"/>
    <s v="0522-556555"/>
    <s v="Strada Provinciale 124"/>
    <s v="Reggio Emilia"/>
    <s v="42100"/>
    <s v="Italy"/>
    <s v="Moroni"/>
    <s v="Maurizio"/>
    <s v="Small"/>
    <x v="601"/>
  </r>
  <r>
    <n v="10175"/>
    <n v="29"/>
    <n v="74.98"/>
    <n v="12"/>
    <n v="2174.42"/>
    <d v="2018-11-06T00:00:00"/>
    <s v="Shipped"/>
    <s v="Trucks and Buses"/>
    <n v="64"/>
    <s v="S32_3522"/>
    <x v="26"/>
    <s v="(171) 555-0297"/>
    <s v="35 King George"/>
    <s v="London"/>
    <s v="WX3 6FW"/>
    <s v="UK"/>
    <s v="Brown"/>
    <s v="Ann"/>
    <s v="Small"/>
    <x v="602"/>
  </r>
  <r>
    <n v="10176"/>
    <n v="23"/>
    <n v="135.43"/>
    <n v="9"/>
    <n v="3114.89"/>
    <d v="2018-11-06T00:00:00"/>
    <s v="Shipped"/>
    <s v="Trucks and Buses"/>
    <n v="115"/>
    <s v="S50_1392"/>
    <x v="51"/>
    <s v="0522-556555"/>
    <s v="Strada Provinciale 124"/>
    <s v="Reggio Emilia"/>
    <s v="42100"/>
    <s v="Italy"/>
    <s v="Moroni"/>
    <s v="Maurizio"/>
    <s v="Medium"/>
    <x v="603"/>
  </r>
  <r>
    <n v="10176"/>
    <n v="38"/>
    <n v="64.44"/>
    <n v="4"/>
    <n v="2448.7199999999998"/>
    <d v="2018-11-06T00:00:00"/>
    <s v="Shipped"/>
    <s v="Trains"/>
    <n v="58"/>
    <s v="S50_1514"/>
    <x v="51"/>
    <s v="0522-556555"/>
    <s v="Strada Provinciale 124"/>
    <s v="Reggio Emilia"/>
    <s v="42100"/>
    <s v="Italy"/>
    <s v="Moroni"/>
    <s v="Maurizio"/>
    <s v="Small"/>
    <x v="604"/>
  </r>
  <r>
    <n v="10175"/>
    <n v="42"/>
    <n v="85.98"/>
    <n v="11"/>
    <n v="3611.16"/>
    <d v="2018-11-06T00:00:00"/>
    <s v="Shipped"/>
    <s v="Classic Cars"/>
    <n v="101"/>
    <s v="S700_2824"/>
    <x v="26"/>
    <s v="(171) 555-0297"/>
    <s v="35 King George"/>
    <s v="London"/>
    <s v="WX3 6FW"/>
    <s v="UK"/>
    <s v="Brown"/>
    <s v="Ann"/>
    <s v="Medium"/>
    <x v="605"/>
  </r>
  <r>
    <n v="10177"/>
    <n v="23"/>
    <n v="159.81"/>
    <n v="9"/>
    <n v="3675.63"/>
    <d v="2018-11-07T00:00:00"/>
    <s v="Shipped"/>
    <s v="Vintage Cars"/>
    <n v="136"/>
    <s v="S18_3140"/>
    <x v="52"/>
    <s v="+34 913 728 555"/>
    <s v="Merchants House, 27-30 Merchant's Quay"/>
    <s v="Madrid"/>
    <s v="28023"/>
    <s v="Spain"/>
    <s v="Fernandez"/>
    <s v="Jesus"/>
    <s v="Medium"/>
    <x v="29"/>
  </r>
  <r>
    <n v="10177"/>
    <n v="29"/>
    <n v="105.88"/>
    <n v="11"/>
    <n v="3070.52"/>
    <d v="2018-11-07T00:00:00"/>
    <s v="Shipped"/>
    <s v="Trains"/>
    <n v="100"/>
    <s v="S18_3259"/>
    <x v="52"/>
    <s v="+34 913 728 555"/>
    <s v="Merchants House, 27-30 Merchant's Quay"/>
    <s v="Madrid"/>
    <s v="28023"/>
    <s v="Spain"/>
    <s v="Fernandez"/>
    <s v="Jesus"/>
    <s v="Medium"/>
    <x v="74"/>
  </r>
  <r>
    <n v="10177"/>
    <n v="35"/>
    <n v="74.599999999999994"/>
    <n v="8"/>
    <n v="2611"/>
    <d v="2018-11-07T00:00:00"/>
    <s v="Shipped"/>
    <s v="Vintage Cars"/>
    <n v="87"/>
    <s v="S18_4522"/>
    <x v="52"/>
    <s v="+34 913 728 555"/>
    <s v="Merchants House, 27-30 Merchant's Quay"/>
    <s v="Madrid"/>
    <s v="28023"/>
    <s v="Spain"/>
    <s v="Fernandez"/>
    <s v="Jesus"/>
    <s v="Small"/>
    <x v="606"/>
  </r>
  <r>
    <n v="10177"/>
    <n v="50"/>
    <n v="121.66"/>
    <n v="7"/>
    <n v="6083"/>
    <d v="2018-11-07T00:00:00"/>
    <s v="Shipped"/>
    <s v="Ships"/>
    <n v="122"/>
    <s v="S24_2011"/>
    <x v="52"/>
    <s v="+34 913 728 555"/>
    <s v="Merchants House, 27-30 Merchant's Quay"/>
    <s v="Madrid"/>
    <s v="28023"/>
    <s v="Spain"/>
    <s v="Fernandez"/>
    <s v="Jesus"/>
    <s v="Medium"/>
    <x v="607"/>
  </r>
  <r>
    <n v="10177"/>
    <n v="45"/>
    <n v="72.58"/>
    <n v="2"/>
    <n v="3266.1"/>
    <d v="2018-11-07T00:00:00"/>
    <s v="Shipped"/>
    <s v="Vintage Cars"/>
    <n v="88"/>
    <s v="S24_3151"/>
    <x v="52"/>
    <s v="+34 913 728 555"/>
    <s v="Merchants House, 27-30 Merchant's Quay"/>
    <s v="Madrid"/>
    <s v="28023"/>
    <s v="Spain"/>
    <s v="Fernandez"/>
    <s v="Jesus"/>
    <s v="Medium"/>
    <x v="608"/>
  </r>
  <r>
    <n v="10177"/>
    <n v="24"/>
    <n v="76"/>
    <n v="3"/>
    <n v="1824"/>
    <d v="2018-11-07T00:00:00"/>
    <s v="Shipped"/>
    <s v="Ships"/>
    <n v="66"/>
    <s v="S700_1138"/>
    <x v="52"/>
    <s v="+34 913 728 555"/>
    <s v="Merchants House, 27-30 Merchant's Quay"/>
    <s v="Madrid"/>
    <s v="28023"/>
    <s v="Spain"/>
    <s v="Fernandez"/>
    <s v="Jesus"/>
    <s v="Small"/>
    <x v="609"/>
  </r>
  <r>
    <n v="10177"/>
    <n v="31"/>
    <n v="88.34"/>
    <n v="10"/>
    <n v="2738.54"/>
    <d v="2018-11-07T00:00:00"/>
    <s v="Shipped"/>
    <s v="Ships"/>
    <n v="86"/>
    <s v="S700_1938"/>
    <x v="52"/>
    <s v="+34 913 728 555"/>
    <s v="Merchants House, 27-30 Merchant's Quay"/>
    <s v="Madrid"/>
    <s v="28023"/>
    <s v="Spain"/>
    <s v="Fernandez"/>
    <s v="Jesus"/>
    <s v="Small"/>
    <x v="610"/>
  </r>
  <r>
    <n v="10177"/>
    <n v="32"/>
    <n v="76.62"/>
    <n v="1"/>
    <n v="2451.84"/>
    <d v="2018-11-07T00:00:00"/>
    <s v="Shipped"/>
    <s v="Ships"/>
    <n v="72"/>
    <s v="S700_2610"/>
    <x v="52"/>
    <s v="+34 913 728 555"/>
    <s v="Merchants House, 27-30 Merchant's Quay"/>
    <s v="Madrid"/>
    <s v="28023"/>
    <s v="Spain"/>
    <s v="Fernandez"/>
    <s v="Jesus"/>
    <s v="Small"/>
    <x v="611"/>
  </r>
  <r>
    <n v="10177"/>
    <n v="44"/>
    <n v="92.16"/>
    <n v="4"/>
    <n v="4055.04"/>
    <d v="2018-11-07T00:00:00"/>
    <s v="Shipped"/>
    <s v="Ships"/>
    <n v="100"/>
    <s v="S700_3505"/>
    <x v="52"/>
    <s v="+34 913 728 555"/>
    <s v="Merchants House, 27-30 Merchant's Quay"/>
    <s v="Madrid"/>
    <s v="28023"/>
    <s v="Spain"/>
    <s v="Fernandez"/>
    <s v="Jesus"/>
    <s v="Medium"/>
    <x v="612"/>
  </r>
  <r>
    <n v="10177"/>
    <n v="24"/>
    <n v="105.27"/>
    <n v="5"/>
    <n v="2526.48"/>
    <d v="2018-11-07T00:00:00"/>
    <s v="Shipped"/>
    <s v="Ships"/>
    <n v="99"/>
    <s v="S700_3962"/>
    <x v="52"/>
    <s v="+34 913 728 555"/>
    <s v="Merchants House, 27-30 Merchant's Quay"/>
    <s v="Madrid"/>
    <s v="28023"/>
    <s v="Spain"/>
    <s v="Fernandez"/>
    <s v="Jesus"/>
    <s v="Small"/>
    <x v="323"/>
  </r>
  <r>
    <n v="10177"/>
    <n v="40"/>
    <n v="50.23"/>
    <n v="6"/>
    <n v="2009.2"/>
    <d v="2018-11-07T00:00:00"/>
    <s v="Shipped"/>
    <s v="Ships"/>
    <n v="54"/>
    <s v="S72_3212"/>
    <x v="52"/>
    <s v="+34 913 728 555"/>
    <s v="Merchants House, 27-30 Merchant's Quay"/>
    <s v="Madrid"/>
    <s v="28023"/>
    <s v="Spain"/>
    <s v="Fernandez"/>
    <s v="Jesus"/>
    <s v="Small"/>
    <x v="613"/>
  </r>
  <r>
    <n v="10178"/>
    <n v="24"/>
    <n v="145.52000000000001"/>
    <n v="12"/>
    <n v="3492.48"/>
    <d v="2018-11-08T00:00:00"/>
    <s v="Shipped"/>
    <s v="Classic Cars"/>
    <n v="136"/>
    <s v="S10_4757"/>
    <x v="30"/>
    <s v="61.77.6555"/>
    <s v="1 rue Alsace-Lorraine"/>
    <s v="Toulouse"/>
    <s v="31000"/>
    <s v="France"/>
    <s v="Roulet"/>
    <s v="Annette"/>
    <s v="Medium"/>
    <x v="614"/>
  </r>
  <r>
    <n v="10178"/>
    <n v="42"/>
    <n v="154.54"/>
    <n v="4"/>
    <n v="6490.68"/>
    <d v="2018-11-08T00:00:00"/>
    <s v="Shipped"/>
    <s v="Planes"/>
    <n v="157"/>
    <s v="S18_1662"/>
    <x v="30"/>
    <s v="61.77.6555"/>
    <s v="1 rue Alsace-Lorraine"/>
    <s v="Toulouse"/>
    <s v="31000"/>
    <s v="France"/>
    <s v="Roulet"/>
    <s v="Annette"/>
    <s v="Medium"/>
    <x v="615"/>
  </r>
  <r>
    <n v="10178"/>
    <n v="41"/>
    <n v="81.72"/>
    <n v="10"/>
    <n v="3350.52"/>
    <d v="2018-11-08T00:00:00"/>
    <s v="Shipped"/>
    <s v="Ships"/>
    <n v="86"/>
    <s v="S18_3029"/>
    <x v="30"/>
    <s v="61.77.6555"/>
    <s v="1 rue Alsace-Lorraine"/>
    <s v="Toulouse"/>
    <s v="31000"/>
    <s v="France"/>
    <s v="Roulet"/>
    <s v="Annette"/>
    <s v="Medium"/>
    <x v="616"/>
  </r>
  <r>
    <n v="10178"/>
    <n v="48"/>
    <n v="112.22"/>
    <n v="9"/>
    <n v="5386.56"/>
    <d v="2018-11-08T00:00:00"/>
    <s v="Shipped"/>
    <s v="Vintage Cars"/>
    <n v="105"/>
    <s v="S18_3856"/>
    <x v="30"/>
    <s v="61.77.6555"/>
    <s v="1 rue Alsace-Lorraine"/>
    <s v="Toulouse"/>
    <s v="31000"/>
    <s v="France"/>
    <s v="Roulet"/>
    <s v="Annette"/>
    <s v="Medium"/>
    <x v="617"/>
  </r>
  <r>
    <n v="10178"/>
    <n v="34"/>
    <n v="80.84"/>
    <n v="5"/>
    <n v="2748.56"/>
    <d v="2018-11-08T00:00:00"/>
    <s v="Shipped"/>
    <s v="Planes"/>
    <n v="68"/>
    <s v="S24_2841"/>
    <x v="30"/>
    <s v="61.77.6555"/>
    <s v="1 rue Alsace-Lorraine"/>
    <s v="Toulouse"/>
    <s v="31000"/>
    <s v="France"/>
    <s v="Roulet"/>
    <s v="Annette"/>
    <s v="Small"/>
    <x v="618"/>
  </r>
  <r>
    <n v="10178"/>
    <n v="27"/>
    <n v="73.64"/>
    <n v="6"/>
    <n v="1988.28"/>
    <d v="2018-11-08T00:00:00"/>
    <s v="Shipped"/>
    <s v="Vintage Cars"/>
    <n v="65"/>
    <s v="S24_3420"/>
    <x v="30"/>
    <s v="61.77.6555"/>
    <s v="1 rue Alsace-Lorraine"/>
    <s v="Toulouse"/>
    <s v="31000"/>
    <s v="France"/>
    <s v="Roulet"/>
    <s v="Annette"/>
    <s v="Small"/>
    <x v="619"/>
  </r>
  <r>
    <n v="10178"/>
    <n v="21"/>
    <n v="72.12"/>
    <n v="11"/>
    <n v="1514.52"/>
    <d v="2018-11-08T00:00:00"/>
    <s v="Shipped"/>
    <s v="Vintage Cars"/>
    <n v="83"/>
    <s v="S24_3816"/>
    <x v="30"/>
    <s v="61.77.6555"/>
    <s v="1 rue Alsace-Lorraine"/>
    <s v="Toulouse"/>
    <s v="31000"/>
    <s v="France"/>
    <s v="Roulet"/>
    <s v="Annette"/>
    <s v="Small"/>
    <x v="620"/>
  </r>
  <r>
    <n v="10178"/>
    <n v="30"/>
    <n v="72.33"/>
    <n v="3"/>
    <n v="2169.9"/>
    <d v="2018-11-08T00:00:00"/>
    <s v="Shipped"/>
    <s v="Planes"/>
    <n v="68"/>
    <s v="S24_3949"/>
    <x v="30"/>
    <s v="61.77.6555"/>
    <s v="1 rue Alsace-Lorraine"/>
    <s v="Toulouse"/>
    <s v="31000"/>
    <s v="France"/>
    <s v="Roulet"/>
    <s v="Annette"/>
    <s v="Small"/>
    <x v="295"/>
  </r>
  <r>
    <n v="10178"/>
    <n v="34"/>
    <n v="96.86"/>
    <n v="8"/>
    <n v="3293.24"/>
    <d v="2018-11-08T00:00:00"/>
    <s v="Shipped"/>
    <s v="Ships"/>
    <n v="90"/>
    <s v="S700_2047"/>
    <x v="30"/>
    <s v="61.77.6555"/>
    <s v="1 rue Alsace-Lorraine"/>
    <s v="Toulouse"/>
    <s v="31000"/>
    <s v="France"/>
    <s v="Roulet"/>
    <s v="Annette"/>
    <s v="Medium"/>
    <x v="249"/>
  </r>
  <r>
    <n v="10178"/>
    <n v="22"/>
    <n v="87.75"/>
    <n v="1"/>
    <n v="1930.5"/>
    <d v="2018-11-08T00:00:00"/>
    <s v="Shipped"/>
    <s v="Planes"/>
    <n v="99"/>
    <s v="S700_2466"/>
    <x v="30"/>
    <s v="61.77.6555"/>
    <s v="1 rue Alsace-Lorraine"/>
    <s v="Toulouse"/>
    <s v="31000"/>
    <s v="France"/>
    <s v="Roulet"/>
    <s v="Annette"/>
    <s v="Small"/>
    <x v="621"/>
  </r>
  <r>
    <n v="10178"/>
    <n v="45"/>
    <n v="76.25"/>
    <n v="2"/>
    <n v="3431.25"/>
    <d v="2018-11-08T00:00:00"/>
    <s v="Shipped"/>
    <s v="Planes"/>
    <n v="74"/>
    <s v="S700_4002"/>
    <x v="30"/>
    <s v="61.77.6555"/>
    <s v="1 rue Alsace-Lorraine"/>
    <s v="Toulouse"/>
    <s v="31000"/>
    <s v="France"/>
    <s v="Roulet"/>
    <s v="Annette"/>
    <s v="Medium"/>
    <x v="65"/>
  </r>
  <r>
    <n v="10178"/>
    <n v="45"/>
    <n v="51.15"/>
    <n v="7"/>
    <n v="2301.75"/>
    <d v="2018-11-08T00:00:00"/>
    <s v="Shipped"/>
    <s v="Planes"/>
    <n v="49"/>
    <s v="S72_1253"/>
    <x v="30"/>
    <s v="61.77.6555"/>
    <s v="1 rue Alsace-Lorraine"/>
    <s v="Toulouse"/>
    <s v="31000"/>
    <s v="France"/>
    <s v="Roulet"/>
    <s v="Annette"/>
    <s v="Small"/>
    <x v="622"/>
  </r>
  <r>
    <n v="10180"/>
    <n v="29"/>
    <n v="86.13"/>
    <n v="9"/>
    <n v="2497.77"/>
    <d v="2018-11-11T00:00:00"/>
    <s v="Shipped"/>
    <s v="Motorcycles"/>
    <n v="95"/>
    <s v="S10_1678"/>
    <x v="53"/>
    <s v="20.16.1555"/>
    <s v="184, chausse de Tournai"/>
    <s v="Lille"/>
    <s v="59000"/>
    <s v="France"/>
    <s v="Rance"/>
    <s v="Martine"/>
    <s v="Small"/>
    <x v="623"/>
  </r>
  <r>
    <n v="10180"/>
    <n v="42"/>
    <n v="111.8"/>
    <n v="12"/>
    <n v="4695.6000000000004"/>
    <d v="2018-11-11T00:00:00"/>
    <s v="Shipped"/>
    <s v="Motorcycles"/>
    <n v="118"/>
    <s v="S10_2016"/>
    <x v="53"/>
    <s v="20.16.1555"/>
    <s v="184, chausse de Tournai"/>
    <s v="Lille"/>
    <s v="59000"/>
    <s v="France"/>
    <s v="Rance"/>
    <s v="Martine"/>
    <s v="Medium"/>
    <x v="624"/>
  </r>
  <r>
    <n v="10180"/>
    <n v="41"/>
    <n v="216.9"/>
    <n v="11"/>
    <n v="8892.9"/>
    <d v="2018-11-11T00:00:00"/>
    <s v="Shipped"/>
    <s v="Motorcycles"/>
    <n v="193"/>
    <s v="S10_4698"/>
    <x v="53"/>
    <s v="20.16.1555"/>
    <s v="184, chausse de Tournai"/>
    <s v="Lille"/>
    <s v="59000"/>
    <s v="France"/>
    <s v="Rance"/>
    <s v="Martine"/>
    <s v="Large"/>
    <x v="625"/>
  </r>
  <r>
    <n v="10180"/>
    <n v="40"/>
    <n v="168.69"/>
    <n v="8"/>
    <n v="6747.6"/>
    <d v="2018-11-11T00:00:00"/>
    <s v="Shipped"/>
    <s v="Motorcycles"/>
    <n v="150"/>
    <s v="S12_2823"/>
    <x v="53"/>
    <s v="20.16.1555"/>
    <s v="184, chausse de Tournai"/>
    <s v="Lille"/>
    <s v="59000"/>
    <s v="France"/>
    <s v="Rance"/>
    <s v="Martine"/>
    <s v="Medium"/>
    <x v="626"/>
  </r>
  <r>
    <n v="10180"/>
    <n v="25"/>
    <n v="64.2"/>
    <n v="13"/>
    <n v="1605"/>
    <d v="2018-11-11T00:00:00"/>
    <s v="Shipped"/>
    <s v="Motorcycles"/>
    <n v="60"/>
    <s v="S18_2625"/>
    <x v="53"/>
    <s v="20.16.1555"/>
    <s v="184, chausse de Tournai"/>
    <s v="Lille"/>
    <s v="59000"/>
    <s v="France"/>
    <s v="Rance"/>
    <s v="Martine"/>
    <s v="Small"/>
    <x v="325"/>
  </r>
  <r>
    <n v="10180"/>
    <n v="21"/>
    <n v="50.36"/>
    <n v="3"/>
    <n v="1057.56"/>
    <d v="2018-11-11T00:00:00"/>
    <s v="Shipped"/>
    <s v="Motorcycles"/>
    <n v="62"/>
    <s v="S18_3782"/>
    <x v="53"/>
    <s v="20.16.1555"/>
    <s v="184, chausse de Tournai"/>
    <s v="Lille"/>
    <s v="59000"/>
    <s v="France"/>
    <s v="Rance"/>
    <s v="Martine"/>
    <s v="Small"/>
    <x v="627"/>
  </r>
  <r>
    <n v="10180"/>
    <n v="44"/>
    <n v="126.48"/>
    <n v="2"/>
    <n v="5565.12"/>
    <d v="2018-11-11T00:00:00"/>
    <s v="Shipped"/>
    <s v="Classic Cars"/>
    <n v="148"/>
    <s v="S18_4721"/>
    <x v="53"/>
    <s v="20.16.1555"/>
    <s v="184, chausse de Tournai"/>
    <s v="Lille"/>
    <s v="59000"/>
    <s v="France"/>
    <s v="Rance"/>
    <s v="Martine"/>
    <s v="Medium"/>
    <x v="628"/>
  </r>
  <r>
    <n v="10180"/>
    <n v="48"/>
    <n v="111.57"/>
    <n v="10"/>
    <n v="5355.36"/>
    <d v="2018-11-11T00:00:00"/>
    <s v="Shipped"/>
    <s v="Motorcycles"/>
    <n v="112"/>
    <s v="S24_1578"/>
    <x v="53"/>
    <s v="20.16.1555"/>
    <s v="184, chausse de Tournai"/>
    <s v="Lille"/>
    <s v="59000"/>
    <s v="France"/>
    <s v="Rance"/>
    <s v="Martine"/>
    <s v="Medium"/>
    <x v="629"/>
  </r>
  <r>
    <n v="10180"/>
    <n v="28"/>
    <n v="68.55"/>
    <n v="14"/>
    <n v="1919.4"/>
    <d v="2018-11-11T00:00:00"/>
    <s v="Shipped"/>
    <s v="Motorcycles"/>
    <n v="76"/>
    <s v="S24_2000"/>
    <x v="53"/>
    <s v="20.16.1555"/>
    <s v="184, chausse de Tournai"/>
    <s v="Lille"/>
    <s v="59000"/>
    <s v="France"/>
    <s v="Rance"/>
    <s v="Martine"/>
    <s v="Small"/>
    <x v="630"/>
  </r>
  <r>
    <n v="10180"/>
    <n v="35"/>
    <n v="72.03"/>
    <n v="6"/>
    <n v="2521.0500000000002"/>
    <d v="2018-11-11T00:00:00"/>
    <s v="Shipped"/>
    <s v="Motorcycles"/>
    <n v="69"/>
    <s v="S24_2360"/>
    <x v="53"/>
    <s v="20.16.1555"/>
    <s v="184, chausse de Tournai"/>
    <s v="Lille"/>
    <s v="59000"/>
    <s v="France"/>
    <s v="Rance"/>
    <s v="Martine"/>
    <s v="Small"/>
    <x v="631"/>
  </r>
  <r>
    <n v="10180"/>
    <n v="28"/>
    <n v="71.14"/>
    <n v="1"/>
    <n v="1991.92"/>
    <d v="2018-11-11T00:00:00"/>
    <s v="Shipped"/>
    <s v="Classic Cars"/>
    <n v="80"/>
    <s v="S24_4620"/>
    <x v="53"/>
    <s v="20.16.1555"/>
    <s v="184, chausse de Tournai"/>
    <s v="Lille"/>
    <s v="59000"/>
    <s v="France"/>
    <s v="Rance"/>
    <s v="Martine"/>
    <s v="Small"/>
    <x v="632"/>
  </r>
  <r>
    <n v="10180"/>
    <n v="34"/>
    <n v="45.46"/>
    <n v="4"/>
    <n v="1545.64"/>
    <d v="2018-11-11T00:00:00"/>
    <s v="Shipped"/>
    <s v="Motorcycles"/>
    <n v="40"/>
    <s v="S32_2206"/>
    <x v="53"/>
    <s v="20.16.1555"/>
    <s v="184, chausse de Tournai"/>
    <s v="Lille"/>
    <s v="59000"/>
    <s v="France"/>
    <s v="Rance"/>
    <s v="Martine"/>
    <s v="Small"/>
    <x v="633"/>
  </r>
  <r>
    <n v="10180"/>
    <n v="22"/>
    <n v="114.3"/>
    <n v="7"/>
    <n v="2514.6"/>
    <d v="2018-11-11T00:00:00"/>
    <s v="Shipped"/>
    <s v="Motorcycles"/>
    <n v="102"/>
    <s v="S32_4485"/>
    <x v="53"/>
    <s v="20.16.1555"/>
    <s v="184, chausse de Tournai"/>
    <s v="Lille"/>
    <s v="59000"/>
    <s v="France"/>
    <s v="Rance"/>
    <s v="Martine"/>
    <s v="Small"/>
    <x v="634"/>
  </r>
  <r>
    <n v="10180"/>
    <n v="21"/>
    <n v="93.56"/>
    <n v="5"/>
    <n v="1964.76"/>
    <d v="2018-11-11T00:00:00"/>
    <s v="Shipped"/>
    <s v="Motorcycles"/>
    <n v="81"/>
    <s v="S50_4713"/>
    <x v="53"/>
    <s v="20.16.1555"/>
    <s v="184, chausse de Tournai"/>
    <s v="Lille"/>
    <s v="59000"/>
    <s v="France"/>
    <s v="Rance"/>
    <s v="Martine"/>
    <s v="Small"/>
    <x v="635"/>
  </r>
  <r>
    <n v="10181"/>
    <n v="27"/>
    <n v="200.41"/>
    <n v="14"/>
    <n v="5411.07"/>
    <d v="2018-11-12T00:00:00"/>
    <s v="Shipped"/>
    <s v="Classic Cars"/>
    <n v="194"/>
    <s v="S12_1099"/>
    <x v="54"/>
    <s v="+47 2267 3215"/>
    <s v="Drammen 121, PR 744 Sentrum"/>
    <s v="Bergen"/>
    <s v="N 5804"/>
    <s v="Norway"/>
    <s v="Oeztan"/>
    <s v="Veysel"/>
    <s v="Medium"/>
    <x v="636"/>
  </r>
  <r>
    <n v="10181"/>
    <n v="28"/>
    <n v="102.17"/>
    <n v="12"/>
    <n v="2860.76"/>
    <d v="2018-11-12T00:00:00"/>
    <s v="Shipped"/>
    <s v="Classic Cars"/>
    <n v="117"/>
    <s v="S12_3380"/>
    <x v="54"/>
    <s v="+47 2267 3215"/>
    <s v="Drammen 121, PR 744 Sentrum"/>
    <s v="Bergen"/>
    <s v="N 5804"/>
    <s v="Norway"/>
    <s v="Oeztan"/>
    <s v="Veysel"/>
    <s v="Small"/>
    <x v="637"/>
  </r>
  <r>
    <n v="10181"/>
    <n v="20"/>
    <n v="81.400000000000006"/>
    <n v="15"/>
    <n v="1628"/>
    <d v="2018-11-12T00:00:00"/>
    <s v="Shipped"/>
    <s v="Classic Cars"/>
    <n v="79"/>
    <s v="S12_3990"/>
    <x v="54"/>
    <s v="+47 2267 3215"/>
    <s v="Drammen 121, PR 744 Sentrum"/>
    <s v="Bergen"/>
    <s v="N 5804"/>
    <s v="Norway"/>
    <s v="Oeztan"/>
    <s v="Veysel"/>
    <s v="Small"/>
    <x v="638"/>
  </r>
  <r>
    <n v="10181"/>
    <n v="36"/>
    <n v="124.37"/>
    <n v="11"/>
    <n v="4477.32"/>
    <d v="2018-11-12T00:00:00"/>
    <s v="Shipped"/>
    <s v="Classic Cars"/>
    <n v="115"/>
    <s v="S12_4675"/>
    <x v="54"/>
    <s v="+47 2267 3215"/>
    <s v="Drammen 121, PR 744 Sentrum"/>
    <s v="Bergen"/>
    <s v="N 5804"/>
    <s v="Norway"/>
    <s v="Oeztan"/>
    <s v="Veysel"/>
    <s v="Medium"/>
    <x v="639"/>
  </r>
  <r>
    <n v="10181"/>
    <n v="44"/>
    <n v="123.14"/>
    <n v="6"/>
    <n v="5418.16"/>
    <d v="2018-11-12T00:00:00"/>
    <s v="Shipped"/>
    <s v="Classic Cars"/>
    <n v="141"/>
    <s v="S18_1129"/>
    <x v="54"/>
    <s v="+47 2267 3215"/>
    <s v="Drammen 121, PR 744 Sentrum"/>
    <s v="Bergen"/>
    <s v="N 5804"/>
    <s v="Norway"/>
    <s v="Oeztan"/>
    <s v="Veysel"/>
    <s v="Medium"/>
    <x v="640"/>
  </r>
  <r>
    <n v="10182"/>
    <n v="25"/>
    <n v="87.33"/>
    <n v="3"/>
    <n v="2183.25"/>
    <d v="2018-11-12T00:00:00"/>
    <s v="Shipped"/>
    <s v="Vintage Cars"/>
    <n v="102"/>
    <s v="S18_1342"/>
    <x v="12"/>
    <s v="4155551450"/>
    <s v="5677 Strong St."/>
    <s v="San Rafael"/>
    <s v="97562"/>
    <s v="USA"/>
    <s v="Nelson"/>
    <s v="Valarie"/>
    <s v="Small"/>
    <x v="409"/>
  </r>
  <r>
    <n v="10182"/>
    <n v="32"/>
    <n v="54.45"/>
    <n v="2"/>
    <n v="1742.4"/>
    <d v="2018-11-12T00:00:00"/>
    <s v="Shipped"/>
    <s v="Vintage Cars"/>
    <n v="53"/>
    <s v="S18_1367"/>
    <x v="12"/>
    <s v="4155551450"/>
    <s v="5677 Strong St."/>
    <s v="San Rafael"/>
    <s v="97562"/>
    <s v="USA"/>
    <s v="Nelson"/>
    <s v="Valarie"/>
    <s v="Small"/>
    <x v="641"/>
  </r>
  <r>
    <n v="10181"/>
    <n v="42"/>
    <n v="129.41999999999999"/>
    <n v="2"/>
    <n v="5435.64"/>
    <d v="2018-11-12T00:00:00"/>
    <s v="Shipped"/>
    <s v="Classic Cars"/>
    <n v="124"/>
    <s v="S18_1589"/>
    <x v="54"/>
    <s v="+47 2267 3215"/>
    <s v="Drammen 121, PR 744 Sentrum"/>
    <s v="Bergen"/>
    <s v="N 5804"/>
    <s v="Norway"/>
    <s v="Oeztan"/>
    <s v="Veysel"/>
    <s v="Medium"/>
    <x v="642"/>
  </r>
  <r>
    <n v="10182"/>
    <n v="44"/>
    <n v="171.7"/>
    <n v="10"/>
    <n v="7554.8"/>
    <d v="2018-11-12T00:00:00"/>
    <s v="Shipped"/>
    <s v="Vintage Cars"/>
    <n v="170"/>
    <s v="S18_1749"/>
    <x v="12"/>
    <s v="4155551450"/>
    <s v="5677 Strong St."/>
    <s v="San Rafael"/>
    <s v="97562"/>
    <s v="USA"/>
    <s v="Nelson"/>
    <s v="Valarie"/>
    <s v="Large"/>
    <x v="643"/>
  </r>
  <r>
    <n v="10181"/>
    <n v="22"/>
    <n v="73.92"/>
    <n v="10"/>
    <n v="1626.24"/>
    <d v="2018-11-12T00:00:00"/>
    <s v="Shipped"/>
    <s v="Classic Cars"/>
    <n v="77"/>
    <s v="S18_1889"/>
    <x v="54"/>
    <s v="+47 2267 3215"/>
    <s v="Drammen 121, PR 744 Sentrum"/>
    <s v="Bergen"/>
    <s v="N 5804"/>
    <s v="Norway"/>
    <s v="Oeztan"/>
    <s v="Veysel"/>
    <s v="Small"/>
    <x v="644"/>
  </r>
  <r>
    <n v="10181"/>
    <n v="21"/>
    <n v="156.47999999999999"/>
    <n v="5"/>
    <n v="3286.08"/>
    <d v="2018-11-12T00:00:00"/>
    <s v="Shipped"/>
    <s v="Classic Cars"/>
    <n v="142"/>
    <s v="S18_1984"/>
    <x v="54"/>
    <s v="+47 2267 3215"/>
    <s v="Drammen 121, PR 744 Sentrum"/>
    <s v="Bergen"/>
    <s v="N 5804"/>
    <s v="Norway"/>
    <s v="Oeztan"/>
    <s v="Veysel"/>
    <s v="Medium"/>
    <x v="645"/>
  </r>
  <r>
    <n v="10182"/>
    <n v="38"/>
    <n v="61.15"/>
    <n v="9"/>
    <n v="2323.6999999999998"/>
    <d v="2018-11-12T00:00:00"/>
    <s v="Shipped"/>
    <s v="Vintage Cars"/>
    <n v="60"/>
    <s v="S18_2248"/>
    <x v="12"/>
    <s v="4155551450"/>
    <s v="5677 Strong St."/>
    <s v="San Rafael"/>
    <s v="97562"/>
    <s v="USA"/>
    <s v="Nelson"/>
    <s v="Valarie"/>
    <s v="Small"/>
    <x v="646"/>
  </r>
  <r>
    <n v="10182"/>
    <n v="20"/>
    <n v="110.6"/>
    <n v="7"/>
    <n v="2212"/>
    <d v="2018-11-12T00:00:00"/>
    <s v="Shipped"/>
    <s v="Vintage Cars"/>
    <n v="127"/>
    <s v="S18_2325"/>
    <x v="12"/>
    <s v="4155551450"/>
    <s v="5677 Strong St."/>
    <s v="San Rafael"/>
    <s v="97562"/>
    <s v="USA"/>
    <s v="Nelson"/>
    <s v="Valarie"/>
    <s v="Small"/>
    <x v="647"/>
  </r>
  <r>
    <n v="10182"/>
    <n v="21"/>
    <n v="145.13"/>
    <n v="4"/>
    <n v="3047.73"/>
    <d v="2018-11-12T00:00:00"/>
    <s v="Shipped"/>
    <s v="Vintage Cars"/>
    <n v="168"/>
    <s v="S18_2795"/>
    <x v="12"/>
    <s v="4155551450"/>
    <s v="5677 Strong St."/>
    <s v="San Rafael"/>
    <s v="97562"/>
    <s v="USA"/>
    <s v="Nelson"/>
    <s v="Valarie"/>
    <s v="Medium"/>
    <x v="648"/>
  </r>
  <r>
    <n v="10181"/>
    <n v="27"/>
    <n v="143.88"/>
    <n v="3"/>
    <n v="3884.76"/>
    <d v="2018-11-12T00:00:00"/>
    <s v="Shipped"/>
    <s v="Classic Cars"/>
    <n v="132"/>
    <s v="S18_2870"/>
    <x v="54"/>
    <s v="+47 2267 3215"/>
    <s v="Drammen 121, PR 744 Sentrum"/>
    <s v="Bergen"/>
    <s v="N 5804"/>
    <s v="Norway"/>
    <s v="Oeztan"/>
    <s v="Veysel"/>
    <s v="Medium"/>
    <x v="649"/>
  </r>
  <r>
    <n v="10181"/>
    <n v="45"/>
    <n v="140.55000000000001"/>
    <n v="7"/>
    <n v="6324.75"/>
    <d v="2018-11-12T00:00:00"/>
    <s v="Shipped"/>
    <s v="Classic Cars"/>
    <n v="169"/>
    <s v="S18_3232"/>
    <x v="54"/>
    <s v="+47 2267 3215"/>
    <s v="Drammen 121, PR 744 Sentrum"/>
    <s v="Bergen"/>
    <s v="N 5804"/>
    <s v="Norway"/>
    <s v="Oeztan"/>
    <s v="Veysel"/>
    <s v="Medium"/>
    <x v="650"/>
  </r>
  <r>
    <n v="10181"/>
    <n v="30"/>
    <n v="82.82"/>
    <n v="17"/>
    <n v="2484.6"/>
    <d v="2018-11-12T00:00:00"/>
    <s v="Shipped"/>
    <s v="Classic Cars"/>
    <n v="80"/>
    <s v="S18_3278"/>
    <x v="54"/>
    <s v="+47 2267 3215"/>
    <s v="Drammen 121, PR 744 Sentrum"/>
    <s v="Bergen"/>
    <s v="N 5804"/>
    <s v="Norway"/>
    <s v="Oeztan"/>
    <s v="Veysel"/>
    <s v="Small"/>
    <x v="651"/>
  </r>
  <r>
    <n v="10182"/>
    <n v="33"/>
    <n v="86.31"/>
    <n v="1"/>
    <n v="2848.23"/>
    <d v="2018-11-12T00:00:00"/>
    <s v="Shipped"/>
    <s v="Vintage Cars"/>
    <n v="99"/>
    <s v="S18_3320"/>
    <x v="12"/>
    <s v="4155551450"/>
    <s v="5677 Strong St."/>
    <s v="San Rafael"/>
    <s v="97562"/>
    <s v="USA"/>
    <s v="Nelson"/>
    <s v="Valarie"/>
    <s v="Small"/>
    <x v="652"/>
  </r>
  <r>
    <n v="10181"/>
    <n v="22"/>
    <n v="154.34"/>
    <n v="16"/>
    <n v="3395.48"/>
    <d v="2018-11-12T00:00:00"/>
    <s v="Shipped"/>
    <s v="Classic Cars"/>
    <n v="146"/>
    <s v="S18_3482"/>
    <x v="54"/>
    <s v="+47 2267 3215"/>
    <s v="Drammen 121, PR 744 Sentrum"/>
    <s v="Bergen"/>
    <s v="N 5804"/>
    <s v="Norway"/>
    <s v="Oeztan"/>
    <s v="Veysel"/>
    <s v="Medium"/>
    <x v="653"/>
  </r>
  <r>
    <n v="10181"/>
    <n v="39"/>
    <n v="148.34"/>
    <n v="4"/>
    <n v="5785.26"/>
    <d v="2018-11-12T00:00:00"/>
    <s v="Shipped"/>
    <s v="Classic Cars"/>
    <n v="141"/>
    <s v="S18_3685"/>
    <x v="54"/>
    <s v="+47 2267 3215"/>
    <s v="Drammen 121, PR 744 Sentrum"/>
    <s v="Bergen"/>
    <s v="N 5804"/>
    <s v="Norway"/>
    <s v="Oeztan"/>
    <s v="Veysel"/>
    <s v="Medium"/>
    <x v="654"/>
  </r>
  <r>
    <n v="10182"/>
    <n v="36"/>
    <n v="109.52"/>
    <n v="11"/>
    <n v="3942.72"/>
    <d v="2018-11-12T00:00:00"/>
    <s v="Shipped"/>
    <s v="Vintage Cars"/>
    <n v="92"/>
    <s v="S18_4409"/>
    <x v="12"/>
    <s v="4155551450"/>
    <s v="5677 Strong St."/>
    <s v="San Rafael"/>
    <s v="97562"/>
    <s v="USA"/>
    <s v="Nelson"/>
    <s v="Valarie"/>
    <s v="Medium"/>
    <x v="655"/>
  </r>
  <r>
    <n v="10182"/>
    <n v="44"/>
    <n v="69.84"/>
    <n v="12"/>
    <n v="3072.96"/>
    <d v="2018-11-12T00:00:00"/>
    <s v="Shipped"/>
    <s v="Classic Cars"/>
    <n v="71"/>
    <s v="S18_4933"/>
    <x v="12"/>
    <s v="4155551450"/>
    <s v="5677 Strong St."/>
    <s v="San Rafael"/>
    <s v="97562"/>
    <s v="USA"/>
    <s v="Nelson"/>
    <s v="Valarie"/>
    <s v="Medium"/>
    <x v="656"/>
  </r>
  <r>
    <n v="10182"/>
    <n v="47"/>
    <n v="74.22"/>
    <n v="16"/>
    <n v="3488.34"/>
    <d v="2018-11-12T00:00:00"/>
    <s v="Shipped"/>
    <s v="Classic Cars"/>
    <n v="73"/>
    <s v="S24_1046"/>
    <x v="12"/>
    <s v="4155551450"/>
    <s v="5677 Strong St."/>
    <s v="San Rafael"/>
    <s v="97562"/>
    <s v="USA"/>
    <s v="Nelson"/>
    <s v="Valarie"/>
    <s v="Medium"/>
    <x v="657"/>
  </r>
  <r>
    <n v="10181"/>
    <n v="34"/>
    <n v="53.83"/>
    <n v="1"/>
    <n v="1830.22"/>
    <d v="2018-11-12T00:00:00"/>
    <s v="Shipped"/>
    <s v="Classic Cars"/>
    <n v="50"/>
    <s v="S24_1628"/>
    <x v="54"/>
    <s v="+47 2267 3215"/>
    <s v="Drammen 121, PR 744 Sentrum"/>
    <s v="Bergen"/>
    <s v="N 5804"/>
    <s v="Norway"/>
    <s v="Oeztan"/>
    <s v="Veysel"/>
    <s v="Small"/>
    <x v="658"/>
  </r>
  <r>
    <n v="10182"/>
    <n v="39"/>
    <n v="36.840000000000003"/>
    <n v="6"/>
    <n v="1436.76"/>
    <d v="2018-11-12T00:00:00"/>
    <s v="Shipped"/>
    <s v="Vintage Cars"/>
    <n v="33"/>
    <s v="S24_1937"/>
    <x v="12"/>
    <s v="4155551450"/>
    <s v="5677 Strong St."/>
    <s v="San Rafael"/>
    <s v="97562"/>
    <s v="USA"/>
    <s v="Nelson"/>
    <s v="Valarie"/>
    <s v="Small"/>
    <x v="659"/>
  </r>
  <r>
    <n v="10182"/>
    <n v="31"/>
    <n v="36.74"/>
    <n v="5"/>
    <n v="1138.94"/>
    <d v="2018-11-12T00:00:00"/>
    <s v="Shipped"/>
    <s v="Vintage Cars"/>
    <n v="44"/>
    <s v="S24_2022"/>
    <x v="12"/>
    <s v="4155551450"/>
    <s v="5677 Strong St."/>
    <s v="San Rafael"/>
    <s v="97562"/>
    <s v="USA"/>
    <s v="Nelson"/>
    <s v="Valarie"/>
    <s v="Small"/>
    <x v="660"/>
  </r>
  <r>
    <n v="10182"/>
    <n v="36"/>
    <n v="73.599999999999994"/>
    <n v="14"/>
    <n v="2649.6"/>
    <d v="2018-11-12T00:00:00"/>
    <s v="Shipped"/>
    <s v="Classic Cars"/>
    <n v="90"/>
    <s v="S24_2766"/>
    <x v="12"/>
    <s v="4155551450"/>
    <s v="5677 Strong St."/>
    <s v="San Rafael"/>
    <s v="97562"/>
    <s v="USA"/>
    <s v="Nelson"/>
    <s v="Valarie"/>
    <s v="Small"/>
    <x v="419"/>
  </r>
  <r>
    <n v="10182"/>
    <n v="20"/>
    <n v="119.79"/>
    <n v="13"/>
    <n v="2395.8000000000002"/>
    <d v="2018-11-12T00:00:00"/>
    <s v="Shipped"/>
    <s v="Classic Cars"/>
    <n v="117"/>
    <s v="S24_2887"/>
    <x v="12"/>
    <s v="4155551450"/>
    <s v="5677 Strong St."/>
    <s v="San Rafael"/>
    <s v="97562"/>
    <s v="USA"/>
    <s v="Nelson"/>
    <s v="Valarie"/>
    <s v="Small"/>
    <x v="661"/>
  </r>
  <r>
    <n v="10181"/>
    <n v="37"/>
    <n v="42.67"/>
    <n v="8"/>
    <n v="1578.79"/>
    <d v="2018-11-12T00:00:00"/>
    <s v="Shipped"/>
    <s v="Classic Cars"/>
    <n v="37"/>
    <s v="S24_2972"/>
    <x v="54"/>
    <s v="+47 2267 3215"/>
    <s v="Drammen 121, PR 744 Sentrum"/>
    <s v="Bergen"/>
    <s v="N 5804"/>
    <s v="Norway"/>
    <s v="Oeztan"/>
    <s v="Veysel"/>
    <s v="Small"/>
    <x v="662"/>
  </r>
  <r>
    <n v="10182"/>
    <n v="33"/>
    <n v="94.17"/>
    <n v="15"/>
    <n v="3107.61"/>
    <d v="2018-11-12T00:00:00"/>
    <s v="Shipped"/>
    <s v="Classic Cars"/>
    <n v="85"/>
    <s v="S24_3191"/>
    <x v="12"/>
    <s v="4155551450"/>
    <s v="5677 Strong St."/>
    <s v="San Rafael"/>
    <s v="97562"/>
    <s v="USA"/>
    <s v="Nelson"/>
    <s v="Valarie"/>
    <s v="Medium"/>
    <x v="663"/>
  </r>
  <r>
    <n v="10181"/>
    <n v="23"/>
    <n v="65.52"/>
    <n v="13"/>
    <n v="1506.96"/>
    <d v="2018-11-12T00:00:00"/>
    <s v="Shipped"/>
    <s v="Classic Cars"/>
    <n v="61"/>
    <s v="S24_3371"/>
    <x v="54"/>
    <s v="+47 2267 3215"/>
    <s v="Drammen 121, PR 744 Sentrum"/>
    <s v="Bergen"/>
    <s v="N 5804"/>
    <s v="Norway"/>
    <s v="Oeztan"/>
    <s v="Veysel"/>
    <s v="Small"/>
    <x v="664"/>
  </r>
  <r>
    <n v="10182"/>
    <n v="49"/>
    <n v="127.43"/>
    <n v="17"/>
    <n v="6244.07"/>
    <d v="2018-11-12T00:00:00"/>
    <s v="Shipped"/>
    <s v="Classic Cars"/>
    <n v="107"/>
    <s v="S24_3432"/>
    <x v="12"/>
    <s v="4155551450"/>
    <s v="5677 Strong St."/>
    <s v="San Rafael"/>
    <s v="97562"/>
    <s v="USA"/>
    <s v="Nelson"/>
    <s v="Valarie"/>
    <s v="Medium"/>
    <x v="665"/>
  </r>
  <r>
    <n v="10181"/>
    <n v="25"/>
    <n v="154.47"/>
    <n v="9"/>
    <n v="3861.75"/>
    <d v="2018-11-12T00:00:00"/>
    <s v="Shipped"/>
    <s v="Classic Cars"/>
    <n v="140"/>
    <s v="S24_3856"/>
    <x v="54"/>
    <s v="+47 2267 3215"/>
    <s v="Drammen 121, PR 744 Sentrum"/>
    <s v="Bergen"/>
    <s v="N 5804"/>
    <s v="Norway"/>
    <s v="Oeztan"/>
    <s v="Veysel"/>
    <s v="Medium"/>
    <x v="666"/>
  </r>
  <r>
    <n v="10182"/>
    <n v="23"/>
    <n v="42.26"/>
    <n v="8"/>
    <n v="971.98"/>
    <d v="2018-11-12T00:00:00"/>
    <s v="Shipped"/>
    <s v="Vintage Cars"/>
    <n v="41"/>
    <s v="S24_3969"/>
    <x v="12"/>
    <s v="4155551450"/>
    <s v="5677 Strong St."/>
    <s v="San Rafael"/>
    <s v="97562"/>
    <s v="USA"/>
    <s v="Nelson"/>
    <s v="Valarie"/>
    <s v="Small"/>
    <x v="667"/>
  </r>
  <r>
    <n v="10183"/>
    <n v="23"/>
    <n v="233.59"/>
    <n v="8"/>
    <n v="5372.57"/>
    <d v="2018-11-13T00:00:00"/>
    <s v="Shipped"/>
    <s v="Classic Cars"/>
    <n v="214"/>
    <s v="S10_1949"/>
    <x v="55"/>
    <s v="2155554695"/>
    <s v="782 First Street"/>
    <s v="Philadelphia"/>
    <s v="71270"/>
    <s v="USA"/>
    <s v="Cervantes"/>
    <s v="Francisca"/>
    <s v="Medium"/>
    <x v="668"/>
  </r>
  <r>
    <n v="10183"/>
    <n v="28"/>
    <n v="122.62"/>
    <n v="1"/>
    <n v="3433.36"/>
    <d v="2018-11-13T00:00:00"/>
    <s v="Shipped"/>
    <s v="Classic Cars"/>
    <n v="147"/>
    <s v="S10_4962"/>
    <x v="55"/>
    <s v="2155554695"/>
    <s v="782 First Street"/>
    <s v="Philadelphia"/>
    <s v="71270"/>
    <s v="USA"/>
    <s v="Cervantes"/>
    <s v="Francisca"/>
    <s v="Medium"/>
    <x v="669"/>
  </r>
  <r>
    <n v="10183"/>
    <n v="41"/>
    <n v="150.34"/>
    <n v="5"/>
    <n v="6163.94"/>
    <d v="2018-11-13T00:00:00"/>
    <s v="Shipped"/>
    <s v="Trucks and Buses"/>
    <n v="136"/>
    <s v="S12_1666"/>
    <x v="55"/>
    <s v="2155554695"/>
    <s v="782 First Street"/>
    <s v="Philadelphia"/>
    <s v="71270"/>
    <s v="USA"/>
    <s v="Cervantes"/>
    <s v="Francisca"/>
    <s v="Medium"/>
    <x v="670"/>
  </r>
  <r>
    <n v="10183"/>
    <n v="21"/>
    <n v="96.84"/>
    <n v="7"/>
    <n v="2033.64"/>
    <d v="2018-11-13T00:00:00"/>
    <s v="Shipped"/>
    <s v="Trucks and Buses"/>
    <n v="116"/>
    <s v="S18_1097"/>
    <x v="55"/>
    <s v="2155554695"/>
    <s v="782 First Street"/>
    <s v="Philadelphia"/>
    <s v="71270"/>
    <s v="USA"/>
    <s v="Cervantes"/>
    <s v="Francisca"/>
    <s v="Small"/>
    <x v="671"/>
  </r>
  <r>
    <n v="10183"/>
    <n v="37"/>
    <n v="89.15"/>
    <n v="9"/>
    <n v="3298.55"/>
    <d v="2018-11-13T00:00:00"/>
    <s v="Shipped"/>
    <s v="Vintage Cars"/>
    <n v="101"/>
    <s v="S18_2949"/>
    <x v="55"/>
    <s v="2155554695"/>
    <s v="782 First Street"/>
    <s v="Philadelphia"/>
    <s v="71270"/>
    <s v="USA"/>
    <s v="Cervantes"/>
    <s v="Francisca"/>
    <s v="Medium"/>
    <x v="672"/>
  </r>
  <r>
    <n v="10183"/>
    <n v="39"/>
    <n v="68.08"/>
    <n v="11"/>
    <n v="2655.12"/>
    <d v="2018-11-13T00:00:00"/>
    <s v="Shipped"/>
    <s v="Vintage Cars"/>
    <n v="62"/>
    <s v="S18_2957"/>
    <x v="55"/>
    <s v="2155554695"/>
    <s v="782 First Street"/>
    <s v="Philadelphia"/>
    <s v="71270"/>
    <s v="USA"/>
    <s v="Cervantes"/>
    <s v="Francisca"/>
    <s v="Small"/>
    <x v="673"/>
  </r>
  <r>
    <n v="10183"/>
    <n v="22"/>
    <n v="113.1"/>
    <n v="10"/>
    <n v="2488.1999999999998"/>
    <d v="2018-11-13T00:00:00"/>
    <s v="Shipped"/>
    <s v="Vintage Cars"/>
    <n v="104"/>
    <s v="S18_3136"/>
    <x v="55"/>
    <s v="2155554695"/>
    <s v="782 First Street"/>
    <s v="Philadelphia"/>
    <s v="71270"/>
    <s v="USA"/>
    <s v="Cervantes"/>
    <s v="Francisca"/>
    <s v="Small"/>
    <x v="674"/>
  </r>
  <r>
    <n v="10183"/>
    <n v="21"/>
    <n v="116.24"/>
    <n v="2"/>
    <n v="2441.04"/>
    <d v="2018-11-13T00:00:00"/>
    <s v="Shipped"/>
    <s v="Trucks and Buses"/>
    <n v="121"/>
    <s v="S18_4600"/>
    <x v="55"/>
    <s v="2155554695"/>
    <s v="782 First Street"/>
    <s v="Philadelphia"/>
    <s v="71270"/>
    <s v="USA"/>
    <s v="Cervantes"/>
    <s v="Francisca"/>
    <s v="Small"/>
    <x v="675"/>
  </r>
  <r>
    <n v="10183"/>
    <n v="40"/>
    <n v="49.3"/>
    <n v="6"/>
    <n v="1972"/>
    <d v="2018-11-13T00:00:00"/>
    <s v="Shipped"/>
    <s v="Vintage Cars"/>
    <n v="50"/>
    <s v="S18_4668"/>
    <x v="55"/>
    <s v="2155554695"/>
    <s v="782 First Street"/>
    <s v="Philadelphia"/>
    <s v="71270"/>
    <s v="USA"/>
    <s v="Cervantes"/>
    <s v="Francisca"/>
    <s v="Small"/>
    <x v="676"/>
  </r>
  <r>
    <n v="10183"/>
    <n v="47"/>
    <n v="107.13"/>
    <n v="12"/>
    <n v="5035.1099999999997"/>
    <d v="2018-11-13T00:00:00"/>
    <s v="Shipped"/>
    <s v="Vintage Cars"/>
    <n v="97"/>
    <s v="S24_4258"/>
    <x v="55"/>
    <s v="2155554695"/>
    <s v="782 First Street"/>
    <s v="Philadelphia"/>
    <s v="71270"/>
    <s v="USA"/>
    <s v="Cervantes"/>
    <s v="Francisca"/>
    <s v="Medium"/>
    <x v="677"/>
  </r>
  <r>
    <n v="10183"/>
    <n v="49"/>
    <n v="64.64"/>
    <n v="4"/>
    <n v="3167.36"/>
    <d v="2018-11-13T00:00:00"/>
    <s v="Shipped"/>
    <s v="Trucks and Buses"/>
    <n v="64"/>
    <s v="S32_3522"/>
    <x v="55"/>
    <s v="2155554695"/>
    <s v="782 First Street"/>
    <s v="Philadelphia"/>
    <s v="71270"/>
    <s v="USA"/>
    <s v="Cervantes"/>
    <s v="Francisca"/>
    <s v="Medium"/>
    <x v="678"/>
  </r>
  <r>
    <n v="10183"/>
    <n v="23"/>
    <n v="86.99"/>
    <n v="3"/>
    <n v="2000.77"/>
    <d v="2018-11-13T00:00:00"/>
    <s v="Shipped"/>
    <s v="Classic Cars"/>
    <n v="101"/>
    <s v="S700_2824"/>
    <x v="55"/>
    <s v="2155554695"/>
    <s v="782 First Street"/>
    <s v="Philadelphia"/>
    <s v="71270"/>
    <s v="USA"/>
    <s v="Cervantes"/>
    <s v="Francisca"/>
    <s v="Small"/>
    <x v="146"/>
  </r>
  <r>
    <n v="10186"/>
    <n v="26"/>
    <n v="148.24"/>
    <n v="9"/>
    <n v="3854.24"/>
    <d v="2018-11-14T00:00:00"/>
    <s v="Shipped"/>
    <s v="Classic Cars"/>
    <n v="136"/>
    <s v="S10_4757"/>
    <x v="56"/>
    <s v="(171) 555-7555"/>
    <s v="120 Hanover Sq."/>
    <s v="London"/>
    <s v="WA1 1DP"/>
    <s v="UK"/>
    <s v="Hardy"/>
    <s v="Thomas"/>
    <s v="Medium"/>
    <x v="679"/>
  </r>
  <r>
    <n v="10185"/>
    <n v="21"/>
    <n v="184.94"/>
    <n v="13"/>
    <n v="3883.74"/>
    <d v="2018-11-14T00:00:00"/>
    <s v="Shipped"/>
    <s v="Classic Cars"/>
    <n v="207"/>
    <s v="S12_1108"/>
    <x v="34"/>
    <s v="5085559555"/>
    <s v="4575 Hillside Dr."/>
    <s v="New Bedford"/>
    <s v="50553"/>
    <s v="USA"/>
    <s v="Tam"/>
    <s v="Wing C"/>
    <s v="Medium"/>
    <x v="680"/>
  </r>
  <r>
    <n v="10185"/>
    <n v="33"/>
    <n v="122.37"/>
    <n v="14"/>
    <n v="4038.21"/>
    <d v="2018-11-14T00:00:00"/>
    <s v="Shipped"/>
    <s v="Classic Cars"/>
    <n v="151"/>
    <s v="S12_3148"/>
    <x v="34"/>
    <s v="5085559555"/>
    <s v="4575 Hillside Dr."/>
    <s v="New Bedford"/>
    <s v="50553"/>
    <s v="USA"/>
    <s v="Tam"/>
    <s v="Wing C"/>
    <s v="Medium"/>
    <x v="681"/>
  </r>
  <r>
    <n v="10185"/>
    <n v="43"/>
    <n v="183.4"/>
    <n v="12"/>
    <n v="7886.2"/>
    <d v="2018-11-14T00:00:00"/>
    <s v="Shipped"/>
    <s v="Classic Cars"/>
    <n v="173"/>
    <s v="S12_3891"/>
    <x v="34"/>
    <s v="5085559555"/>
    <s v="4575 Hillside Dr."/>
    <s v="New Bedford"/>
    <s v="50553"/>
    <s v="USA"/>
    <s v="Tam"/>
    <s v="Wing C"/>
    <s v="Large"/>
    <x v="682"/>
  </r>
  <r>
    <n v="10184"/>
    <n v="37"/>
    <n v="122.06"/>
    <n v="6"/>
    <n v="4516.22"/>
    <d v="2018-11-14T00:00:00"/>
    <s v="Shipped"/>
    <s v="Trucks and Buses"/>
    <n v="118"/>
    <s v="S12_4473"/>
    <x v="57"/>
    <s v="(95) 555 82 82"/>
    <s v="C/ Romero, 33"/>
    <s v="Sevilla"/>
    <s v="41101"/>
    <s v="Spain"/>
    <s v="Roel"/>
    <s v="Jose Pedro"/>
    <s v="Medium"/>
    <x v="683"/>
  </r>
  <r>
    <n v="10186"/>
    <n v="32"/>
    <n v="187.65"/>
    <n v="1"/>
    <n v="6004.8"/>
    <d v="2018-11-14T00:00:00"/>
    <s v="Shipped"/>
    <s v="Planes"/>
    <n v="157"/>
    <s v="S18_1662"/>
    <x v="56"/>
    <s v="(171) 555-7555"/>
    <s v="120 Hanover Sq."/>
    <s v="London"/>
    <s v="WA1 1DP"/>
    <s v="UK"/>
    <s v="Hardy"/>
    <s v="Thomas"/>
    <s v="Medium"/>
    <x v="477"/>
  </r>
  <r>
    <n v="10184"/>
    <n v="46"/>
    <n v="160.46"/>
    <n v="5"/>
    <n v="7381.16"/>
    <d v="2018-11-14T00:00:00"/>
    <s v="Shipped"/>
    <s v="Classic Cars"/>
    <n v="163"/>
    <s v="S18_2238"/>
    <x v="57"/>
    <s v="(95) 555 82 82"/>
    <s v="C/ Romero, 33"/>
    <s v="Sevilla"/>
    <s v="41101"/>
    <s v="Spain"/>
    <s v="Roel"/>
    <s v="Jose Pedro"/>
    <s v="Large"/>
    <x v="81"/>
  </r>
  <r>
    <n v="10184"/>
    <n v="46"/>
    <n v="130.09"/>
    <n v="9"/>
    <n v="5984.14"/>
    <d v="2018-11-14T00:00:00"/>
    <s v="Shipped"/>
    <s v="Trucks and Buses"/>
    <n v="122"/>
    <s v="S18_2319"/>
    <x v="57"/>
    <s v="(95) 555 82 82"/>
    <s v="C/ Romero, 33"/>
    <s v="Sevilla"/>
    <s v="41101"/>
    <s v="Spain"/>
    <s v="Roel"/>
    <s v="Jose Pedro"/>
    <s v="Medium"/>
    <x v="202"/>
  </r>
  <r>
    <n v="10184"/>
    <n v="44"/>
    <n v="60.16"/>
    <n v="12"/>
    <n v="2647.04"/>
    <d v="2018-11-14T00:00:00"/>
    <s v="Shipped"/>
    <s v="Trucks and Buses"/>
    <n v="60"/>
    <s v="S18_2432"/>
    <x v="57"/>
    <s v="(95) 555 82 82"/>
    <s v="C/ Romero, 33"/>
    <s v="Sevilla"/>
    <s v="41101"/>
    <s v="Spain"/>
    <s v="Roel"/>
    <s v="Jose Pedro"/>
    <s v="Small"/>
    <x v="684"/>
  </r>
  <r>
    <n v="10186"/>
    <n v="32"/>
    <n v="89.46"/>
    <n v="7"/>
    <n v="2862.72"/>
    <d v="2018-11-14T00:00:00"/>
    <s v="Shipped"/>
    <s v="Ships"/>
    <n v="86"/>
    <s v="S18_3029"/>
    <x v="56"/>
    <s v="(171) 555-7555"/>
    <s v="120 Hanover Sq."/>
    <s v="London"/>
    <s v="WA1 1DP"/>
    <s v="UK"/>
    <s v="Hardy"/>
    <s v="Thomas"/>
    <s v="Small"/>
    <x v="685"/>
  </r>
  <r>
    <n v="10185"/>
    <n v="28"/>
    <n v="122.93"/>
    <n v="9"/>
    <n v="3442.04"/>
    <d v="2018-11-14T00:00:00"/>
    <s v="Shipped"/>
    <s v="Vintage Cars"/>
    <n v="136"/>
    <s v="S18_3140"/>
    <x v="34"/>
    <s v="5085559555"/>
    <s v="4575 Hillside Dr."/>
    <s v="New Bedford"/>
    <s v="50553"/>
    <s v="USA"/>
    <s v="Tam"/>
    <s v="Wing C"/>
    <s v="Medium"/>
    <x v="686"/>
  </r>
  <r>
    <n v="10184"/>
    <n v="28"/>
    <n v="157.49"/>
    <n v="10"/>
    <n v="4409.72"/>
    <d v="2018-11-14T00:00:00"/>
    <s v="Shipped"/>
    <s v="Classic Cars"/>
    <n v="169"/>
    <s v="S18_3232"/>
    <x v="57"/>
    <s v="(95) 555 82 82"/>
    <s v="C/ Romero, 33"/>
    <s v="Sevilla"/>
    <s v="41101"/>
    <s v="Spain"/>
    <s v="Roel"/>
    <s v="Jose Pedro"/>
    <s v="Medium"/>
    <x v="687"/>
  </r>
  <r>
    <n v="10185"/>
    <n v="49"/>
    <n v="80.67"/>
    <n v="11"/>
    <n v="3952.83"/>
    <d v="2018-11-14T00:00:00"/>
    <s v="Shipped"/>
    <s v="Trains"/>
    <n v="100"/>
    <s v="S18_3259"/>
    <x v="34"/>
    <s v="5085559555"/>
    <s v="4575 Hillside Dr."/>
    <s v="New Bedford"/>
    <s v="50553"/>
    <s v="USA"/>
    <s v="Tam"/>
    <s v="Wing C"/>
    <s v="Medium"/>
    <x v="688"/>
  </r>
  <r>
    <n v="10186"/>
    <n v="46"/>
    <n v="106.93"/>
    <n v="6"/>
    <n v="4918.78"/>
    <d v="2018-11-14T00:00:00"/>
    <s v="Shipped"/>
    <s v="Vintage Cars"/>
    <n v="105"/>
    <s v="S18_3856"/>
    <x v="56"/>
    <s v="(171) 555-7555"/>
    <s v="120 Hanover Sq."/>
    <s v="London"/>
    <s v="WA1 1DP"/>
    <s v="UK"/>
    <s v="Hardy"/>
    <s v="Thomas"/>
    <s v="Medium"/>
    <x v="452"/>
  </r>
  <r>
    <n v="10185"/>
    <n v="39"/>
    <n v="130.69"/>
    <n v="16"/>
    <n v="5096.91"/>
    <d v="2018-11-14T00:00:00"/>
    <s v="Shipped"/>
    <s v="Classic Cars"/>
    <n v="143"/>
    <s v="S18_4027"/>
    <x v="34"/>
    <s v="5085559555"/>
    <s v="4575 Hillside Dr."/>
    <s v="New Bedford"/>
    <s v="50553"/>
    <s v="USA"/>
    <s v="Tam"/>
    <s v="Wing C"/>
    <s v="Medium"/>
    <x v="689"/>
  </r>
  <r>
    <n v="10185"/>
    <n v="47"/>
    <n v="77.239999999999995"/>
    <n v="8"/>
    <n v="3630.28"/>
    <d v="2018-11-14T00:00:00"/>
    <s v="Shipped"/>
    <s v="Vintage Cars"/>
    <n v="87"/>
    <s v="S18_4522"/>
    <x v="34"/>
    <s v="5085559555"/>
    <s v="4575 Hillside Dr."/>
    <s v="New Bedford"/>
    <s v="50553"/>
    <s v="USA"/>
    <s v="Tam"/>
    <s v="Wing C"/>
    <s v="Medium"/>
    <x v="424"/>
  </r>
  <r>
    <n v="10184"/>
    <n v="31"/>
    <n v="60.11"/>
    <n v="3"/>
    <n v="1863.41"/>
    <d v="2018-11-14T00:00:00"/>
    <s v="Shipped"/>
    <s v="Classic Cars"/>
    <n v="57"/>
    <s v="S24_1444"/>
    <x v="57"/>
    <s v="(95) 555 82 82"/>
    <s v="C/ Romero, 33"/>
    <s v="Sevilla"/>
    <s v="41101"/>
    <s v="Spain"/>
    <s v="Roel"/>
    <s v="Jose Pedro"/>
    <s v="Small"/>
    <x v="378"/>
  </r>
  <r>
    <n v="10185"/>
    <n v="30"/>
    <n v="105.69"/>
    <n v="7"/>
    <n v="3170.7"/>
    <d v="2018-11-14T00:00:00"/>
    <s v="Shipped"/>
    <s v="Ships"/>
    <n v="122"/>
    <s v="S24_2011"/>
    <x v="34"/>
    <s v="5085559555"/>
    <s v="4575 Hillside Dr."/>
    <s v="New Bedford"/>
    <s v="50553"/>
    <s v="USA"/>
    <s v="Tam"/>
    <s v="Wing C"/>
    <s v="Medium"/>
    <x v="212"/>
  </r>
  <r>
    <n v="10184"/>
    <n v="24"/>
    <n v="145.68"/>
    <n v="11"/>
    <n v="3496.32"/>
    <d v="2018-11-14T00:00:00"/>
    <s v="Shipped"/>
    <s v="Trucks and Buses"/>
    <n v="127"/>
    <s v="S24_2300"/>
    <x v="57"/>
    <s v="(95) 555 82 82"/>
    <s v="C/ Romero, 33"/>
    <s v="Sevilla"/>
    <s v="41101"/>
    <s v="Spain"/>
    <s v="Roel"/>
    <s v="Jose Pedro"/>
    <s v="Medium"/>
    <x v="690"/>
  </r>
  <r>
    <n v="10184"/>
    <n v="42"/>
    <n v="31.82"/>
    <n v="7"/>
    <n v="1336.44"/>
    <d v="2018-11-14T00:00:00"/>
    <s v="Shipped"/>
    <s v="Classic Cars"/>
    <n v="35"/>
    <s v="S24_2840"/>
    <x v="57"/>
    <s v="(95) 555 82 82"/>
    <s v="C/ Romero, 33"/>
    <s v="Sevilla"/>
    <s v="41101"/>
    <s v="Spain"/>
    <s v="Roel"/>
    <s v="Jose Pedro"/>
    <s v="Small"/>
    <x v="213"/>
  </r>
  <r>
    <n v="10186"/>
    <n v="22"/>
    <n v="69.2"/>
    <n v="2"/>
    <n v="1522.4"/>
    <d v="2018-11-14T00:00:00"/>
    <s v="Shipped"/>
    <s v="Planes"/>
    <n v="68"/>
    <s v="S24_2841"/>
    <x v="56"/>
    <s v="(171) 555-7555"/>
    <s v="120 Hanover Sq."/>
    <s v="London"/>
    <s v="WA1 1DP"/>
    <s v="UK"/>
    <s v="Hardy"/>
    <s v="Thomas"/>
    <s v="Small"/>
    <x v="691"/>
  </r>
  <r>
    <n v="10185"/>
    <n v="33"/>
    <n v="74.349999999999994"/>
    <n v="2"/>
    <n v="2453.5500000000002"/>
    <d v="2018-11-14T00:00:00"/>
    <s v="Shipped"/>
    <s v="Vintage Cars"/>
    <n v="88"/>
    <s v="S24_3151"/>
    <x v="34"/>
    <s v="5085559555"/>
    <s v="4575 Hillside Dr."/>
    <s v="New Bedford"/>
    <s v="50553"/>
    <s v="USA"/>
    <s v="Tam"/>
    <s v="Wing C"/>
    <s v="Small"/>
    <x v="327"/>
  </r>
  <r>
    <n v="10186"/>
    <n v="21"/>
    <n v="69.040000000000006"/>
    <n v="3"/>
    <n v="1449.84"/>
    <d v="2018-11-14T00:00:00"/>
    <s v="Shipped"/>
    <s v="Vintage Cars"/>
    <n v="65"/>
    <s v="S24_3420"/>
    <x v="56"/>
    <s v="(171) 555-7555"/>
    <s v="120 Hanover Sq."/>
    <s v="London"/>
    <s v="WA1 1DP"/>
    <s v="UK"/>
    <s v="Hardy"/>
    <s v="Thomas"/>
    <s v="Small"/>
    <x v="267"/>
  </r>
  <r>
    <n v="10186"/>
    <n v="36"/>
    <n v="85.54"/>
    <n v="8"/>
    <n v="3079.44"/>
    <d v="2018-11-14T00:00:00"/>
    <s v="Shipped"/>
    <s v="Vintage Cars"/>
    <n v="83"/>
    <s v="S24_3816"/>
    <x v="56"/>
    <s v="(171) 555-7555"/>
    <s v="120 Hanover Sq."/>
    <s v="London"/>
    <s v="WA1 1DP"/>
    <s v="UK"/>
    <s v="Hardy"/>
    <s v="Thomas"/>
    <s v="Medium"/>
    <x v="692"/>
  </r>
  <r>
    <n v="10184"/>
    <n v="49"/>
    <n v="118.28"/>
    <n v="2"/>
    <n v="5795.72"/>
    <d v="2018-11-14T00:00:00"/>
    <s v="Shipped"/>
    <s v="Classic Cars"/>
    <n v="118"/>
    <s v="S24_4048"/>
    <x v="57"/>
    <s v="(95) 555 82 82"/>
    <s v="C/ Romero, 33"/>
    <s v="Sevilla"/>
    <s v="41101"/>
    <s v="Spain"/>
    <s v="Roel"/>
    <s v="Jose Pedro"/>
    <s v="Medium"/>
    <x v="693"/>
  </r>
  <r>
    <n v="10184"/>
    <n v="46"/>
    <n v="100.16"/>
    <n v="13"/>
    <n v="4607.3599999999997"/>
    <d v="2018-11-14T00:00:00"/>
    <s v="Shipped"/>
    <s v="Trucks and Buses"/>
    <n v="96"/>
    <s v="S32_1268"/>
    <x v="57"/>
    <s v="(95) 555 82 82"/>
    <s v="C/ Romero, 33"/>
    <s v="Sevilla"/>
    <s v="41101"/>
    <s v="Spain"/>
    <s v="Roel"/>
    <s v="Jose Pedro"/>
    <s v="Medium"/>
    <x v="694"/>
  </r>
  <r>
    <n v="10184"/>
    <n v="33"/>
    <n v="62.77"/>
    <n v="8"/>
    <n v="2071.41"/>
    <d v="2018-11-14T00:00:00"/>
    <s v="Shipped"/>
    <s v="Trucks and Buses"/>
    <n v="54"/>
    <s v="S32_2509"/>
    <x v="57"/>
    <s v="(95) 555 82 82"/>
    <s v="C/ Romero, 33"/>
    <s v="Sevilla"/>
    <s v="41101"/>
    <s v="Spain"/>
    <s v="Roel"/>
    <s v="Jose Pedro"/>
    <s v="Small"/>
    <x v="695"/>
  </r>
  <r>
    <n v="10184"/>
    <n v="48"/>
    <n v="50.95"/>
    <n v="1"/>
    <n v="2445.6"/>
    <d v="2018-11-14T00:00:00"/>
    <s v="Shipped"/>
    <s v="Trains"/>
    <n v="62"/>
    <s v="S32_3207"/>
    <x v="57"/>
    <s v="(95) 555 82 82"/>
    <s v="C/ Romero, 33"/>
    <s v="Sevilla"/>
    <s v="41101"/>
    <s v="Spain"/>
    <s v="Roel"/>
    <s v="Jose Pedro"/>
    <s v="Small"/>
    <x v="696"/>
  </r>
  <r>
    <n v="10184"/>
    <n v="45"/>
    <n v="109.96"/>
    <n v="4"/>
    <n v="4948.2"/>
    <d v="2018-11-14T00:00:00"/>
    <s v="Shipped"/>
    <s v="Trucks and Buses"/>
    <n v="115"/>
    <s v="S50_1392"/>
    <x v="57"/>
    <s v="(95) 555 82 82"/>
    <s v="C/ Romero, 33"/>
    <s v="Sevilla"/>
    <s v="41101"/>
    <s v="Spain"/>
    <s v="Roel"/>
    <s v="Jose Pedro"/>
    <s v="Medium"/>
    <x v="697"/>
  </r>
  <r>
    <n v="10185"/>
    <n v="20"/>
    <n v="48.62"/>
    <n v="15"/>
    <n v="972.4"/>
    <d v="2018-11-14T00:00:00"/>
    <s v="Shipped"/>
    <s v="Trains"/>
    <n v="58"/>
    <s v="S50_1514"/>
    <x v="34"/>
    <s v="5085559555"/>
    <s v="4575 Hillside Dr."/>
    <s v="New Bedford"/>
    <s v="50553"/>
    <s v="USA"/>
    <s v="Tam"/>
    <s v="Wing C"/>
    <s v="Small"/>
    <x v="698"/>
  </r>
  <r>
    <n v="10185"/>
    <n v="21"/>
    <n v="54"/>
    <n v="3"/>
    <n v="1134"/>
    <d v="2018-11-14T00:00:00"/>
    <s v="Shipped"/>
    <s v="Ships"/>
    <n v="66"/>
    <s v="S700_1138"/>
    <x v="34"/>
    <s v="5085559555"/>
    <s v="4575 Hillside Dr."/>
    <s v="New Bedford"/>
    <s v="50553"/>
    <s v="USA"/>
    <s v="Tam"/>
    <s v="Wing C"/>
    <s v="Small"/>
    <x v="699"/>
  </r>
  <r>
    <n v="10185"/>
    <n v="30"/>
    <n v="94.4"/>
    <n v="10"/>
    <n v="2832"/>
    <d v="2018-11-14T00:00:00"/>
    <s v="Shipped"/>
    <s v="Ships"/>
    <n v="86"/>
    <s v="S700_1938"/>
    <x v="34"/>
    <s v="5085559555"/>
    <s v="4575 Hillside Dr."/>
    <s v="New Bedford"/>
    <s v="50553"/>
    <s v="USA"/>
    <s v="Tam"/>
    <s v="Wing C"/>
    <s v="Small"/>
    <x v="700"/>
  </r>
  <r>
    <n v="10186"/>
    <n v="24"/>
    <n v="99.57"/>
    <n v="5"/>
    <n v="2389.6799999999998"/>
    <d v="2018-11-14T00:00:00"/>
    <s v="Shipped"/>
    <s v="Ships"/>
    <n v="90"/>
    <s v="S700_2047"/>
    <x v="56"/>
    <s v="(171) 555-7555"/>
    <s v="120 Hanover Sq."/>
    <s v="London"/>
    <s v="WA1 1DP"/>
    <s v="UK"/>
    <s v="Hardy"/>
    <s v="Thomas"/>
    <s v="Small"/>
    <x v="36"/>
  </r>
  <r>
    <n v="10185"/>
    <n v="39"/>
    <n v="57.82"/>
    <n v="1"/>
    <n v="2254.98"/>
    <d v="2018-11-14T00:00:00"/>
    <s v="Shipped"/>
    <s v="Ships"/>
    <n v="72"/>
    <s v="S700_2610"/>
    <x v="34"/>
    <s v="5085559555"/>
    <s v="4575 Hillside Dr."/>
    <s v="New Bedford"/>
    <s v="50553"/>
    <s v="USA"/>
    <s v="Tam"/>
    <s v="Wing C"/>
    <s v="Small"/>
    <x v="701"/>
  </r>
  <r>
    <n v="10185"/>
    <n v="37"/>
    <n v="105.18"/>
    <n v="4"/>
    <n v="3891.66"/>
    <d v="2018-11-14T00:00:00"/>
    <s v="Shipped"/>
    <s v="Ships"/>
    <n v="100"/>
    <s v="S700_3505"/>
    <x v="34"/>
    <s v="5085559555"/>
    <s v="4575 Hillside Dr."/>
    <s v="New Bedford"/>
    <s v="50553"/>
    <s v="USA"/>
    <s v="Tam"/>
    <s v="Wing C"/>
    <s v="Medium"/>
    <x v="702"/>
  </r>
  <r>
    <n v="10185"/>
    <n v="22"/>
    <n v="79.45"/>
    <n v="5"/>
    <n v="1747.9"/>
    <d v="2018-11-14T00:00:00"/>
    <s v="Shipped"/>
    <s v="Ships"/>
    <n v="99"/>
    <s v="S700_3962"/>
    <x v="34"/>
    <s v="5085559555"/>
    <s v="4575 Hillside Dr."/>
    <s v="New Bedford"/>
    <s v="50553"/>
    <s v="USA"/>
    <s v="Tam"/>
    <s v="Wing C"/>
    <s v="Small"/>
    <x v="147"/>
  </r>
  <r>
    <n v="10186"/>
    <n v="28"/>
    <n v="52.14"/>
    <n v="4"/>
    <n v="1459.92"/>
    <d v="2018-11-14T00:00:00"/>
    <s v="Shipped"/>
    <s v="Planes"/>
    <n v="49"/>
    <s v="S72_1253"/>
    <x v="56"/>
    <s v="(171) 555-7555"/>
    <s v="120 Hanover Sq."/>
    <s v="London"/>
    <s v="WA1 1DP"/>
    <s v="UK"/>
    <s v="Hardy"/>
    <s v="Thomas"/>
    <s v="Small"/>
    <x v="703"/>
  </r>
  <r>
    <n v="10185"/>
    <n v="28"/>
    <n v="64.430000000000007"/>
    <n v="6"/>
    <n v="1804.04"/>
    <d v="2018-11-14T00:00:00"/>
    <s v="Shipped"/>
    <s v="Ships"/>
    <n v="54"/>
    <s v="S72_3212"/>
    <x v="34"/>
    <s v="5085559555"/>
    <s v="4575 Hillside Dr."/>
    <s v="New Bedford"/>
    <s v="50553"/>
    <s v="USA"/>
    <s v="Tam"/>
    <s v="Wing C"/>
    <s v="Small"/>
    <x v="704"/>
  </r>
  <r>
    <n v="10188"/>
    <n v="48"/>
    <n v="114.84"/>
    <n v="1"/>
    <n v="5512.32"/>
    <d v="2018-11-18T00:00:00"/>
    <s v="Shipped"/>
    <s v="Motorcycles"/>
    <n v="95"/>
    <s v="S10_1678"/>
    <x v="54"/>
    <s v="+47 2267 3215"/>
    <s v="Drammen 121, PR 744 Sentrum"/>
    <s v="Bergen"/>
    <s v="N 5804"/>
    <s v="Norway"/>
    <s v="Oeztan"/>
    <s v="Veysel"/>
    <s v="Medium"/>
    <x v="705"/>
  </r>
  <r>
    <n v="10188"/>
    <n v="38"/>
    <n v="96.34"/>
    <n v="4"/>
    <n v="3660.92"/>
    <d v="2018-11-18T00:00:00"/>
    <s v="Shipped"/>
    <s v="Motorcycles"/>
    <n v="118"/>
    <s v="S10_2016"/>
    <x v="54"/>
    <s v="+47 2267 3215"/>
    <s v="Drammen 121, PR 744 Sentrum"/>
    <s v="Bergen"/>
    <s v="N 5804"/>
    <s v="Norway"/>
    <s v="Oeztan"/>
    <s v="Veysel"/>
    <s v="Medium"/>
    <x v="706"/>
  </r>
  <r>
    <n v="10188"/>
    <n v="45"/>
    <n v="193.66"/>
    <n v="3"/>
    <n v="8714.7000000000007"/>
    <d v="2018-11-18T00:00:00"/>
    <s v="Shipped"/>
    <s v="Motorcycles"/>
    <n v="193"/>
    <s v="S10_4698"/>
    <x v="54"/>
    <s v="+47 2267 3215"/>
    <s v="Drammen 121, PR 744 Sentrum"/>
    <s v="Bergen"/>
    <s v="N 5804"/>
    <s v="Norway"/>
    <s v="Oeztan"/>
    <s v="Veysel"/>
    <s v="Large"/>
    <x v="707"/>
  </r>
  <r>
    <n v="10189"/>
    <n v="28"/>
    <n v="161.16"/>
    <n v="1"/>
    <n v="4512.4799999999996"/>
    <d v="2018-11-18T00:00:00"/>
    <s v="Shipped"/>
    <s v="Motorcycles"/>
    <n v="150"/>
    <s v="S12_2823"/>
    <x v="35"/>
    <s v="6265557265"/>
    <s v="78934 Hillside Dr."/>
    <s v="Pasadena"/>
    <s v="90003"/>
    <s v="USA"/>
    <s v="Young"/>
    <s v="Julie"/>
    <s v="Medium"/>
    <x v="708"/>
  </r>
  <r>
    <n v="10188"/>
    <n v="32"/>
    <n v="65.42"/>
    <n v="5"/>
    <n v="2093.44"/>
    <d v="2018-11-18T00:00:00"/>
    <s v="Shipped"/>
    <s v="Motorcycles"/>
    <n v="60"/>
    <s v="S18_2625"/>
    <x v="54"/>
    <s v="+47 2267 3215"/>
    <s v="Drammen 121, PR 744 Sentrum"/>
    <s v="Bergen"/>
    <s v="N 5804"/>
    <s v="Norway"/>
    <s v="Oeztan"/>
    <s v="Veysel"/>
    <s v="Small"/>
    <x v="709"/>
  </r>
  <r>
    <n v="10188"/>
    <n v="25"/>
    <n v="101.43"/>
    <n v="2"/>
    <n v="2535.75"/>
    <d v="2018-11-18T00:00:00"/>
    <s v="Shipped"/>
    <s v="Motorcycles"/>
    <n v="112"/>
    <s v="S24_1578"/>
    <x v="54"/>
    <s v="+47 2267 3215"/>
    <s v="Drammen 121, PR 744 Sentrum"/>
    <s v="Bergen"/>
    <s v="N 5804"/>
    <s v="Norway"/>
    <s v="Oeztan"/>
    <s v="Veysel"/>
    <s v="Small"/>
    <x v="710"/>
  </r>
  <r>
    <n v="10188"/>
    <n v="40"/>
    <n v="91.4"/>
    <n v="6"/>
    <n v="3656"/>
    <d v="2018-11-18T00:00:00"/>
    <s v="Shipped"/>
    <s v="Motorcycles"/>
    <n v="76"/>
    <s v="S24_2000"/>
    <x v="54"/>
    <s v="+47 2267 3215"/>
    <s v="Drammen 121, PR 744 Sentrum"/>
    <s v="Bergen"/>
    <s v="N 5804"/>
    <s v="Norway"/>
    <s v="Oeztan"/>
    <s v="Veysel"/>
    <s v="Medium"/>
    <x v="711"/>
  </r>
  <r>
    <n v="10188"/>
    <n v="44"/>
    <n v="98.89"/>
    <n v="7"/>
    <n v="4351.16"/>
    <d v="2018-11-18T00:00:00"/>
    <s v="Shipped"/>
    <s v="Motorcycles"/>
    <n v="99"/>
    <s v="S32_1374"/>
    <x v="54"/>
    <s v="+47 2267 3215"/>
    <s v="Drammen 121, PR 744 Sentrum"/>
    <s v="Bergen"/>
    <s v="N 5804"/>
    <s v="Norway"/>
    <s v="Oeztan"/>
    <s v="Veysel"/>
    <s v="Medium"/>
    <x v="712"/>
  </r>
  <r>
    <n v="10188"/>
    <n v="29"/>
    <n v="136.44999999999999"/>
    <n v="8"/>
    <n v="3957.05"/>
    <d v="2018-11-18T00:00:00"/>
    <s v="Shipped"/>
    <s v="Planes"/>
    <n v="118"/>
    <s v="S700_2834"/>
    <x v="54"/>
    <s v="+47 2267 3215"/>
    <s v="Drammen 121, PR 744 Sentrum"/>
    <s v="Bergen"/>
    <s v="N 5804"/>
    <s v="Norway"/>
    <s v="Oeztan"/>
    <s v="Veysel"/>
    <s v="Medium"/>
    <x v="713"/>
  </r>
  <r>
    <n v="10190"/>
    <n v="42"/>
    <n v="76.19"/>
    <n v="3"/>
    <n v="3199.98"/>
    <d v="2018-11-19T00:00:00"/>
    <s v="Shipped"/>
    <s v="Motorcycles"/>
    <n v="69"/>
    <s v="S24_2360"/>
    <x v="4"/>
    <s v="(91) 555 94 44"/>
    <s v="C/ Moralzarzal, 86"/>
    <s v="Madrid"/>
    <s v="28034"/>
    <s v="Spain"/>
    <s v="Freyre"/>
    <s v="Diego"/>
    <s v="Medium"/>
    <x v="134"/>
  </r>
  <r>
    <n v="10190"/>
    <n v="46"/>
    <n v="32.99"/>
    <n v="1"/>
    <n v="1517.54"/>
    <d v="2018-11-19T00:00:00"/>
    <s v="Shipped"/>
    <s v="Motorcycles"/>
    <n v="40"/>
    <s v="S32_2206"/>
    <x v="4"/>
    <s v="(91) 555 94 44"/>
    <s v="C/ Moralzarzal, 86"/>
    <s v="Madrid"/>
    <s v="28034"/>
    <s v="Spain"/>
    <s v="Freyre"/>
    <s v="Diego"/>
    <s v="Small"/>
    <x v="313"/>
  </r>
  <r>
    <n v="10190"/>
    <n v="42"/>
    <n v="85.72"/>
    <n v="4"/>
    <n v="3600.24"/>
    <d v="2018-11-19T00:00:00"/>
    <s v="Shipped"/>
    <s v="Motorcycles"/>
    <n v="102"/>
    <s v="S32_4485"/>
    <x v="4"/>
    <s v="(91) 555 94 44"/>
    <s v="C/ Moralzarzal, 86"/>
    <s v="Madrid"/>
    <s v="28034"/>
    <s v="Spain"/>
    <s v="Freyre"/>
    <s v="Diego"/>
    <s v="Medium"/>
    <x v="714"/>
  </r>
  <r>
    <n v="10190"/>
    <n v="40"/>
    <n v="66.72"/>
    <n v="2"/>
    <n v="2668.8"/>
    <d v="2018-11-19T00:00:00"/>
    <s v="Shipped"/>
    <s v="Motorcycles"/>
    <n v="81"/>
    <s v="S50_4713"/>
    <x v="4"/>
    <s v="(91) 555 94 44"/>
    <s v="C/ Moralzarzal, 86"/>
    <s v="Madrid"/>
    <s v="28034"/>
    <s v="Spain"/>
    <s v="Freyre"/>
    <s v="Diego"/>
    <s v="Small"/>
    <x v="715"/>
  </r>
  <r>
    <n v="10191"/>
    <n v="21"/>
    <n v="182.9"/>
    <n v="3"/>
    <n v="3840.9"/>
    <d v="2018-11-20T00:00:00"/>
    <s v="Shipped"/>
    <s v="Classic Cars"/>
    <n v="194"/>
    <s v="S12_1099"/>
    <x v="58"/>
    <s v="0221-5554327"/>
    <s v="Mehrheimerstr. 369"/>
    <s v="Koln"/>
    <s v="50739"/>
    <s v="Germany"/>
    <s v="Pfalzheim"/>
    <s v="Henriette"/>
    <s v="Medium"/>
    <x v="716"/>
  </r>
  <r>
    <n v="10191"/>
    <n v="40"/>
    <n v="139.75"/>
    <n v="1"/>
    <n v="5590"/>
    <d v="2018-11-20T00:00:00"/>
    <s v="Shipped"/>
    <s v="Classic Cars"/>
    <n v="117"/>
    <s v="S12_3380"/>
    <x v="58"/>
    <s v="0221-5554327"/>
    <s v="Mehrheimerstr. 369"/>
    <s v="Koln"/>
    <s v="50739"/>
    <s v="Germany"/>
    <s v="Pfalzheim"/>
    <s v="Henriette"/>
    <s v="Medium"/>
    <x v="331"/>
  </r>
  <r>
    <n v="10191"/>
    <n v="30"/>
    <n v="64.64"/>
    <n v="4"/>
    <n v="1939.2"/>
    <d v="2018-11-20T00:00:00"/>
    <s v="Shipped"/>
    <s v="Classic Cars"/>
    <n v="79"/>
    <s v="S12_3990"/>
    <x v="58"/>
    <s v="0221-5554327"/>
    <s v="Mehrheimerstr. 369"/>
    <s v="Koln"/>
    <s v="50739"/>
    <s v="Germany"/>
    <s v="Pfalzheim"/>
    <s v="Henriette"/>
    <s v="Small"/>
    <x v="717"/>
  </r>
  <r>
    <n v="10192"/>
    <n v="27"/>
    <n v="131.28"/>
    <n v="16"/>
    <n v="3544.56"/>
    <d v="2018-11-20T00:00:00"/>
    <s v="Shipped"/>
    <s v="Classic Cars"/>
    <n v="115"/>
    <s v="S12_4675"/>
    <x v="0"/>
    <s v="6035558647"/>
    <s v="2304 Long Airport Avenue"/>
    <s v="Nashua"/>
    <s v="62005"/>
    <s v="USA"/>
    <s v="Young"/>
    <s v="Valarie"/>
    <s v="Medium"/>
    <x v="718"/>
  </r>
  <r>
    <n v="10192"/>
    <n v="22"/>
    <n v="150.03"/>
    <n v="11"/>
    <n v="3300.66"/>
    <d v="2018-11-20T00:00:00"/>
    <s v="Shipped"/>
    <s v="Classic Cars"/>
    <n v="141"/>
    <s v="S18_1129"/>
    <x v="0"/>
    <s v="6035558647"/>
    <s v="2304 Long Airport Avenue"/>
    <s v="Nashua"/>
    <s v="62005"/>
    <s v="USA"/>
    <s v="Young"/>
    <s v="Valarie"/>
    <s v="Medium"/>
    <x v="719"/>
  </r>
  <r>
    <n v="10192"/>
    <n v="29"/>
    <n v="146.84"/>
    <n v="7"/>
    <n v="4258.3599999999997"/>
    <d v="2018-11-20T00:00:00"/>
    <s v="Shipped"/>
    <s v="Classic Cars"/>
    <n v="124"/>
    <s v="S18_1589"/>
    <x v="0"/>
    <s v="6035558647"/>
    <s v="2304 Long Airport Avenue"/>
    <s v="Nashua"/>
    <s v="62005"/>
    <s v="USA"/>
    <s v="Young"/>
    <s v="Valarie"/>
    <s v="Medium"/>
    <x v="720"/>
  </r>
  <r>
    <n v="10192"/>
    <n v="45"/>
    <n v="90.86"/>
    <n v="15"/>
    <n v="4088.7"/>
    <d v="2018-11-20T00:00:00"/>
    <s v="Shipped"/>
    <s v="Classic Cars"/>
    <n v="77"/>
    <s v="S18_1889"/>
    <x v="0"/>
    <s v="6035558647"/>
    <s v="2304 Long Airport Avenue"/>
    <s v="Nashua"/>
    <s v="62005"/>
    <s v="USA"/>
    <s v="Young"/>
    <s v="Valarie"/>
    <s v="Medium"/>
    <x v="223"/>
  </r>
  <r>
    <n v="10192"/>
    <n v="47"/>
    <n v="157.9"/>
    <n v="10"/>
    <n v="7421.3"/>
    <d v="2018-11-20T00:00:00"/>
    <s v="Shipped"/>
    <s v="Classic Cars"/>
    <n v="142"/>
    <s v="S18_1984"/>
    <x v="0"/>
    <s v="6035558647"/>
    <s v="2304 Long Airport Avenue"/>
    <s v="Nashua"/>
    <s v="62005"/>
    <s v="USA"/>
    <s v="Young"/>
    <s v="Valarie"/>
    <s v="Large"/>
    <x v="721"/>
  </r>
  <r>
    <n v="10192"/>
    <n v="38"/>
    <n v="130.68"/>
    <n v="8"/>
    <n v="4965.84"/>
    <d v="2018-11-20T00:00:00"/>
    <s v="Shipped"/>
    <s v="Classic Cars"/>
    <n v="132"/>
    <s v="S18_2870"/>
    <x v="0"/>
    <s v="6035558647"/>
    <s v="2304 Long Airport Avenue"/>
    <s v="Nashua"/>
    <s v="62005"/>
    <s v="USA"/>
    <s v="Young"/>
    <s v="Valarie"/>
    <s v="Medium"/>
    <x v="722"/>
  </r>
  <r>
    <n v="10192"/>
    <n v="26"/>
    <n v="150.71"/>
    <n v="12"/>
    <n v="3918.46"/>
    <d v="2018-11-20T00:00:00"/>
    <s v="Shipped"/>
    <s v="Classic Cars"/>
    <n v="169"/>
    <s v="S18_3232"/>
    <x v="0"/>
    <s v="6035558647"/>
    <s v="2304 Long Airport Avenue"/>
    <s v="Nashua"/>
    <s v="62005"/>
    <s v="USA"/>
    <s v="Young"/>
    <s v="Valarie"/>
    <s v="Medium"/>
    <x v="723"/>
  </r>
  <r>
    <n v="10191"/>
    <n v="36"/>
    <n v="94.88"/>
    <n v="6"/>
    <n v="3415.68"/>
    <d v="2018-11-20T00:00:00"/>
    <s v="Shipped"/>
    <s v="Classic Cars"/>
    <n v="80"/>
    <s v="S18_3278"/>
    <x v="58"/>
    <s v="0221-5554327"/>
    <s v="Mehrheimerstr. 369"/>
    <s v="Koln"/>
    <s v="50739"/>
    <s v="Germany"/>
    <s v="Pfalzheim"/>
    <s v="Henriette"/>
    <s v="Medium"/>
    <x v="333"/>
  </r>
  <r>
    <n v="10191"/>
    <n v="23"/>
    <n v="148.46"/>
    <n v="5"/>
    <n v="3414.58"/>
    <d v="2018-11-20T00:00:00"/>
    <s v="Shipped"/>
    <s v="Classic Cars"/>
    <n v="146"/>
    <s v="S18_3482"/>
    <x v="58"/>
    <s v="0221-5554327"/>
    <s v="Mehrheimerstr. 369"/>
    <s v="Koln"/>
    <s v="50739"/>
    <s v="Germany"/>
    <s v="Pfalzheim"/>
    <s v="Henriette"/>
    <s v="Medium"/>
    <x v="724"/>
  </r>
  <r>
    <n v="10192"/>
    <n v="45"/>
    <n v="118.68"/>
    <n v="9"/>
    <n v="5340.6"/>
    <d v="2018-11-20T00:00:00"/>
    <s v="Shipped"/>
    <s v="Classic Cars"/>
    <n v="141"/>
    <s v="S18_3685"/>
    <x v="0"/>
    <s v="6035558647"/>
    <s v="2304 Long Airport Avenue"/>
    <s v="Nashua"/>
    <s v="62005"/>
    <s v="USA"/>
    <s v="Young"/>
    <s v="Valarie"/>
    <s v="Medium"/>
    <x v="725"/>
  </r>
  <r>
    <n v="10191"/>
    <n v="43"/>
    <n v="72.739999999999995"/>
    <n v="9"/>
    <n v="3127.82"/>
    <d v="2018-11-20T00:00:00"/>
    <s v="Shipped"/>
    <s v="Motorcycles"/>
    <n v="62"/>
    <s v="S18_3782"/>
    <x v="58"/>
    <s v="0221-5554327"/>
    <s v="Mehrheimerstr. 369"/>
    <s v="Koln"/>
    <s v="50739"/>
    <s v="Germany"/>
    <s v="Pfalzheim"/>
    <s v="Henriette"/>
    <s v="Medium"/>
    <x v="726"/>
  </r>
  <r>
    <n v="10191"/>
    <n v="32"/>
    <n v="132.43"/>
    <n v="8"/>
    <n v="4237.76"/>
    <d v="2018-11-20T00:00:00"/>
    <s v="Shipped"/>
    <s v="Classic Cars"/>
    <n v="148"/>
    <s v="S18_4721"/>
    <x v="58"/>
    <s v="0221-5554327"/>
    <s v="Mehrheimerstr. 369"/>
    <s v="Koln"/>
    <s v="50739"/>
    <s v="Germany"/>
    <s v="Pfalzheim"/>
    <s v="Henriette"/>
    <s v="Medium"/>
    <x v="727"/>
  </r>
  <r>
    <n v="10192"/>
    <n v="37"/>
    <n v="69.819999999999993"/>
    <n v="4"/>
    <n v="2583.34"/>
    <d v="2018-11-20T00:00:00"/>
    <s v="Shipped"/>
    <s v="Classic Cars"/>
    <n v="73"/>
    <s v="S24_1046"/>
    <x v="0"/>
    <s v="6035558647"/>
    <s v="2304 Long Airport Avenue"/>
    <s v="Nashua"/>
    <s v="62005"/>
    <s v="USA"/>
    <s v="Young"/>
    <s v="Valarie"/>
    <s v="Small"/>
    <x v="728"/>
  </r>
  <r>
    <n v="10192"/>
    <n v="47"/>
    <n v="53.83"/>
    <n v="6"/>
    <n v="2530.0100000000002"/>
    <d v="2018-11-20T00:00:00"/>
    <s v="Shipped"/>
    <s v="Classic Cars"/>
    <n v="50"/>
    <s v="S24_1628"/>
    <x v="0"/>
    <s v="6035558647"/>
    <s v="2304 Long Airport Avenue"/>
    <s v="Nashua"/>
    <s v="62005"/>
    <s v="USA"/>
    <s v="Young"/>
    <s v="Valarie"/>
    <s v="Small"/>
    <x v="729"/>
  </r>
  <r>
    <n v="10192"/>
    <n v="46"/>
    <n v="83.6"/>
    <n v="2"/>
    <n v="3845.6"/>
    <d v="2018-11-20T00:00:00"/>
    <s v="Shipped"/>
    <s v="Classic Cars"/>
    <n v="90"/>
    <s v="S24_2766"/>
    <x v="0"/>
    <s v="6035558647"/>
    <s v="2304 Long Airport Avenue"/>
    <s v="Nashua"/>
    <s v="62005"/>
    <s v="USA"/>
    <s v="Young"/>
    <s v="Valarie"/>
    <s v="Medium"/>
    <x v="730"/>
  </r>
  <r>
    <n v="10192"/>
    <n v="23"/>
    <n v="132.71"/>
    <n v="1"/>
    <n v="3052.33"/>
    <d v="2018-11-20T00:00:00"/>
    <s v="Shipped"/>
    <s v="Classic Cars"/>
    <n v="117"/>
    <s v="S24_2887"/>
    <x v="0"/>
    <s v="6035558647"/>
    <s v="2304 Long Airport Avenue"/>
    <s v="Nashua"/>
    <s v="62005"/>
    <s v="USA"/>
    <s v="Young"/>
    <s v="Valarie"/>
    <s v="Medium"/>
    <x v="731"/>
  </r>
  <r>
    <n v="10192"/>
    <n v="30"/>
    <n v="30.59"/>
    <n v="13"/>
    <n v="917.7"/>
    <d v="2018-11-20T00:00:00"/>
    <s v="Shipped"/>
    <s v="Classic Cars"/>
    <n v="37"/>
    <s v="S24_2972"/>
    <x v="0"/>
    <s v="6035558647"/>
    <s v="2304 Long Airport Avenue"/>
    <s v="Nashua"/>
    <s v="62005"/>
    <s v="USA"/>
    <s v="Young"/>
    <s v="Valarie"/>
    <s v="Small"/>
    <x v="58"/>
  </r>
  <r>
    <n v="10192"/>
    <n v="32"/>
    <n v="72.77"/>
    <n v="3"/>
    <n v="2328.64"/>
    <d v="2018-11-20T00:00:00"/>
    <s v="Shipped"/>
    <s v="Classic Cars"/>
    <n v="85"/>
    <s v="S24_3191"/>
    <x v="0"/>
    <s v="6035558647"/>
    <s v="2304 Long Airport Avenue"/>
    <s v="Nashua"/>
    <s v="62005"/>
    <s v="USA"/>
    <s v="Young"/>
    <s v="Valarie"/>
    <s v="Small"/>
    <x v="732"/>
  </r>
  <r>
    <n v="10191"/>
    <n v="48"/>
    <n v="60.01"/>
    <n v="2"/>
    <n v="2880.48"/>
    <d v="2018-11-20T00:00:00"/>
    <s v="Shipped"/>
    <s v="Classic Cars"/>
    <n v="61"/>
    <s v="S24_3371"/>
    <x v="58"/>
    <s v="0221-5554327"/>
    <s v="Mehrheimerstr. 369"/>
    <s v="Koln"/>
    <s v="50739"/>
    <s v="Germany"/>
    <s v="Pfalzheim"/>
    <s v="Henriette"/>
    <s v="Small"/>
    <x v="733"/>
  </r>
  <r>
    <n v="10192"/>
    <n v="46"/>
    <n v="121"/>
    <n v="5"/>
    <n v="5566"/>
    <d v="2018-11-20T00:00:00"/>
    <s v="Shipped"/>
    <s v="Classic Cars"/>
    <n v="107"/>
    <s v="S24_3432"/>
    <x v="0"/>
    <s v="6035558647"/>
    <s v="2304 Long Airport Avenue"/>
    <s v="Nashua"/>
    <s v="62005"/>
    <s v="USA"/>
    <s v="Young"/>
    <s v="Valarie"/>
    <s v="Medium"/>
    <x v="734"/>
  </r>
  <r>
    <n v="10192"/>
    <n v="45"/>
    <n v="140.43"/>
    <n v="14"/>
    <n v="6319.35"/>
    <d v="2018-11-20T00:00:00"/>
    <s v="Shipped"/>
    <s v="Classic Cars"/>
    <n v="140"/>
    <s v="S24_3856"/>
    <x v="0"/>
    <s v="6035558647"/>
    <s v="2304 Long Airport Avenue"/>
    <s v="Nashua"/>
    <s v="62005"/>
    <s v="USA"/>
    <s v="Young"/>
    <s v="Valarie"/>
    <s v="Medium"/>
    <x v="735"/>
  </r>
  <r>
    <n v="10191"/>
    <n v="44"/>
    <n v="66.290000000000006"/>
    <n v="7"/>
    <n v="2916.76"/>
    <d v="2018-11-20T00:00:00"/>
    <s v="Shipped"/>
    <s v="Classic Cars"/>
    <n v="80"/>
    <s v="S24_4620"/>
    <x v="58"/>
    <s v="0221-5554327"/>
    <s v="Mehrheimerstr. 369"/>
    <s v="Koln"/>
    <s v="50739"/>
    <s v="Germany"/>
    <s v="Pfalzheim"/>
    <s v="Henriette"/>
    <s v="Small"/>
    <x v="736"/>
  </r>
  <r>
    <n v="10193"/>
    <n v="28"/>
    <n v="110.96"/>
    <n v="7"/>
    <n v="3106.88"/>
    <d v="2018-11-21T00:00:00"/>
    <s v="Shipped"/>
    <s v="Vintage Cars"/>
    <n v="102"/>
    <s v="S18_1342"/>
    <x v="59"/>
    <s v="61-9-3844-6555"/>
    <s v="7 Allen Street"/>
    <s v="Glen Waverly"/>
    <s v="3150"/>
    <s v="Australia"/>
    <s v="Connery"/>
    <s v="Sean"/>
    <s v="Medium"/>
    <x v="737"/>
  </r>
  <r>
    <n v="10193"/>
    <n v="46"/>
    <n v="53.37"/>
    <n v="6"/>
    <n v="2455.02"/>
    <d v="2018-11-21T00:00:00"/>
    <s v="Shipped"/>
    <s v="Vintage Cars"/>
    <n v="53"/>
    <s v="S18_1367"/>
    <x v="59"/>
    <s v="61-9-3844-6555"/>
    <s v="7 Allen Street"/>
    <s v="Glen Waverly"/>
    <s v="3150"/>
    <s v="Australia"/>
    <s v="Connery"/>
    <s v="Sean"/>
    <s v="Small"/>
    <x v="738"/>
  </r>
  <r>
    <n v="10193"/>
    <n v="21"/>
    <n v="149.6"/>
    <n v="14"/>
    <n v="3141.6"/>
    <d v="2018-11-21T00:00:00"/>
    <s v="Shipped"/>
    <s v="Vintage Cars"/>
    <n v="170"/>
    <s v="S18_1749"/>
    <x v="59"/>
    <s v="61-9-3844-6555"/>
    <s v="7 Allen Street"/>
    <s v="Glen Waverly"/>
    <s v="3150"/>
    <s v="Australia"/>
    <s v="Connery"/>
    <s v="Sean"/>
    <s v="Medium"/>
    <x v="739"/>
  </r>
  <r>
    <n v="10193"/>
    <n v="42"/>
    <n v="59.33"/>
    <n v="13"/>
    <n v="2491.86"/>
    <d v="2018-11-21T00:00:00"/>
    <s v="Shipped"/>
    <s v="Vintage Cars"/>
    <n v="60"/>
    <s v="S18_2248"/>
    <x v="59"/>
    <s v="61-9-3844-6555"/>
    <s v="7 Allen Street"/>
    <s v="Glen Waverly"/>
    <s v="3150"/>
    <s v="Australia"/>
    <s v="Connery"/>
    <s v="Sean"/>
    <s v="Small"/>
    <x v="740"/>
  </r>
  <r>
    <n v="10193"/>
    <n v="44"/>
    <n v="105.52"/>
    <n v="11"/>
    <n v="4642.88"/>
    <d v="2018-11-21T00:00:00"/>
    <s v="Shipped"/>
    <s v="Vintage Cars"/>
    <n v="127"/>
    <s v="S18_2325"/>
    <x v="59"/>
    <s v="61-9-3844-6555"/>
    <s v="7 Allen Street"/>
    <s v="Glen Waverly"/>
    <s v="3150"/>
    <s v="Australia"/>
    <s v="Connery"/>
    <s v="Sean"/>
    <s v="Medium"/>
    <x v="741"/>
  </r>
  <r>
    <n v="10193"/>
    <n v="22"/>
    <n v="167.06"/>
    <n v="8"/>
    <n v="3675.32"/>
    <d v="2018-11-21T00:00:00"/>
    <s v="Shipped"/>
    <s v="Vintage Cars"/>
    <n v="168"/>
    <s v="S18_2795"/>
    <x v="59"/>
    <s v="61-9-3844-6555"/>
    <s v="7 Allen Street"/>
    <s v="Glen Waverly"/>
    <s v="3150"/>
    <s v="Australia"/>
    <s v="Connery"/>
    <s v="Sean"/>
    <s v="Medium"/>
    <x v="742"/>
  </r>
  <r>
    <n v="10193"/>
    <n v="28"/>
    <n v="93.21"/>
    <n v="1"/>
    <n v="2609.88"/>
    <d v="2018-11-21T00:00:00"/>
    <s v="Shipped"/>
    <s v="Vintage Cars"/>
    <n v="101"/>
    <s v="S18_2949"/>
    <x v="59"/>
    <s v="61-9-3844-6555"/>
    <s v="7 Allen Street"/>
    <s v="Glen Waverly"/>
    <s v="3150"/>
    <s v="Australia"/>
    <s v="Connery"/>
    <s v="Sean"/>
    <s v="Small"/>
    <x v="743"/>
  </r>
  <r>
    <n v="10193"/>
    <n v="24"/>
    <n v="51.84"/>
    <n v="3"/>
    <n v="1244.1600000000001"/>
    <d v="2018-11-21T00:00:00"/>
    <s v="Shipped"/>
    <s v="Vintage Cars"/>
    <n v="62"/>
    <s v="S18_2957"/>
    <x v="59"/>
    <s v="61-9-3844-6555"/>
    <s v="7 Allen Street"/>
    <s v="Glen Waverly"/>
    <s v="3150"/>
    <s v="Australia"/>
    <s v="Connery"/>
    <s v="Sean"/>
    <s v="Small"/>
    <x v="744"/>
  </r>
  <r>
    <n v="10193"/>
    <n v="23"/>
    <n v="120.43"/>
    <n v="2"/>
    <n v="2769.89"/>
    <d v="2018-11-21T00:00:00"/>
    <s v="Shipped"/>
    <s v="Vintage Cars"/>
    <n v="104"/>
    <s v="S18_3136"/>
    <x v="59"/>
    <s v="61-9-3844-6555"/>
    <s v="7 Allen Street"/>
    <s v="Glen Waverly"/>
    <s v="3150"/>
    <s v="Australia"/>
    <s v="Connery"/>
    <s v="Sean"/>
    <s v="Small"/>
    <x v="745"/>
  </r>
  <r>
    <n v="10193"/>
    <n v="32"/>
    <n v="79.37"/>
    <n v="5"/>
    <n v="2539.84"/>
    <d v="2018-11-21T00:00:00"/>
    <s v="Shipped"/>
    <s v="Vintage Cars"/>
    <n v="99"/>
    <s v="S18_3320"/>
    <x v="59"/>
    <s v="61-9-3844-6555"/>
    <s v="7 Allen Street"/>
    <s v="Glen Waverly"/>
    <s v="3150"/>
    <s v="Australia"/>
    <s v="Connery"/>
    <s v="Sean"/>
    <s v="Small"/>
    <x v="96"/>
  </r>
  <r>
    <n v="10193"/>
    <n v="24"/>
    <n v="97.55"/>
    <n v="15"/>
    <n v="2341.1999999999998"/>
    <d v="2018-11-21T00:00:00"/>
    <s v="Shipped"/>
    <s v="Vintage Cars"/>
    <n v="92"/>
    <s v="S18_4409"/>
    <x v="59"/>
    <s v="61-9-3844-6555"/>
    <s v="7 Allen Street"/>
    <s v="Glen Waverly"/>
    <s v="3150"/>
    <s v="Australia"/>
    <s v="Connery"/>
    <s v="Sean"/>
    <s v="Small"/>
    <x v="746"/>
  </r>
  <r>
    <n v="10193"/>
    <n v="25"/>
    <n v="76.260000000000005"/>
    <n v="16"/>
    <n v="1906.5"/>
    <d v="2018-11-21T00:00:00"/>
    <s v="Shipped"/>
    <s v="Classic Cars"/>
    <n v="71"/>
    <s v="S18_4933"/>
    <x v="59"/>
    <s v="61-9-3844-6555"/>
    <s v="7 Allen Street"/>
    <s v="Glen Waverly"/>
    <s v="3150"/>
    <s v="Australia"/>
    <s v="Connery"/>
    <s v="Sean"/>
    <s v="Small"/>
    <x v="336"/>
  </r>
  <r>
    <n v="10193"/>
    <n v="26"/>
    <n v="29.21"/>
    <n v="10"/>
    <n v="759.46"/>
    <d v="2018-11-21T00:00:00"/>
    <s v="Shipped"/>
    <s v="Vintage Cars"/>
    <n v="33"/>
    <s v="S24_1937"/>
    <x v="59"/>
    <s v="61-9-3844-6555"/>
    <s v="7 Allen Street"/>
    <s v="Glen Waverly"/>
    <s v="3150"/>
    <s v="Australia"/>
    <s v="Connery"/>
    <s v="Sean"/>
    <s v="Small"/>
    <x v="747"/>
  </r>
  <r>
    <n v="10193"/>
    <n v="20"/>
    <n v="50.62"/>
    <n v="9"/>
    <n v="1012.4"/>
    <d v="2018-11-21T00:00:00"/>
    <s v="Shipped"/>
    <s v="Vintage Cars"/>
    <n v="44"/>
    <s v="S24_2022"/>
    <x v="59"/>
    <s v="61-9-3844-6555"/>
    <s v="7 Allen Street"/>
    <s v="Glen Waverly"/>
    <s v="3150"/>
    <s v="Australia"/>
    <s v="Connery"/>
    <s v="Sean"/>
    <s v="Small"/>
    <x v="748"/>
  </r>
  <r>
    <n v="10193"/>
    <n v="22"/>
    <n v="41.03"/>
    <n v="12"/>
    <n v="902.66"/>
    <d v="2018-11-21T00:00:00"/>
    <s v="Shipped"/>
    <s v="Vintage Cars"/>
    <n v="41"/>
    <s v="S24_3969"/>
    <x v="59"/>
    <s v="61-9-3844-6555"/>
    <s v="7 Allen Street"/>
    <s v="Glen Waverly"/>
    <s v="3150"/>
    <s v="Australia"/>
    <s v="Connery"/>
    <s v="Sean"/>
    <s v="Small"/>
    <x v="749"/>
  </r>
  <r>
    <n v="10193"/>
    <n v="20"/>
    <n v="113.95"/>
    <n v="4"/>
    <n v="2279"/>
    <d v="2018-11-21T00:00:00"/>
    <s v="Shipped"/>
    <s v="Vintage Cars"/>
    <n v="97"/>
    <s v="S24_4258"/>
    <x v="59"/>
    <s v="61-9-3844-6555"/>
    <s v="7 Allen Street"/>
    <s v="Glen Waverly"/>
    <s v="3150"/>
    <s v="Australia"/>
    <s v="Connery"/>
    <s v="Sean"/>
    <s v="Small"/>
    <x v="750"/>
  </r>
  <r>
    <n v="10194"/>
    <n v="42"/>
    <n v="173.58"/>
    <n v="11"/>
    <n v="7290.36"/>
    <d v="2018-11-25T00:00:00"/>
    <s v="Shipped"/>
    <s v="Classic Cars"/>
    <n v="214"/>
    <s v="S10_1949"/>
    <x v="60"/>
    <s v="78.32.5555"/>
    <s v="2, rue du Commerce"/>
    <s v="Lyon"/>
    <s v="69004"/>
    <s v="France"/>
    <s v="Saveley"/>
    <s v="Mary"/>
    <s v="Large"/>
    <x v="529"/>
  </r>
  <r>
    <n v="10194"/>
    <n v="26"/>
    <n v="163.99"/>
    <n v="4"/>
    <n v="4263.74"/>
    <d v="2018-11-25T00:00:00"/>
    <s v="Shipped"/>
    <s v="Classic Cars"/>
    <n v="147"/>
    <s v="S10_4962"/>
    <x v="60"/>
    <s v="78.32.5555"/>
    <s v="2, rue du Commerce"/>
    <s v="Lyon"/>
    <s v="69004"/>
    <s v="France"/>
    <s v="Saveley"/>
    <s v="Mary"/>
    <s v="Medium"/>
    <x v="751"/>
  </r>
  <r>
    <n v="10194"/>
    <n v="38"/>
    <n v="129.84"/>
    <n v="8"/>
    <n v="4933.92"/>
    <d v="2018-11-25T00:00:00"/>
    <s v="Shipped"/>
    <s v="Trucks and Buses"/>
    <n v="136"/>
    <s v="S12_1666"/>
    <x v="60"/>
    <s v="78.32.5555"/>
    <s v="2, rue du Commerce"/>
    <s v="Lyon"/>
    <s v="69004"/>
    <s v="France"/>
    <s v="Saveley"/>
    <s v="Mary"/>
    <s v="Medium"/>
    <x v="346"/>
  </r>
  <r>
    <n v="10195"/>
    <n v="49"/>
    <n v="131.54"/>
    <n v="6"/>
    <n v="6445.46"/>
    <d v="2018-11-25T00:00:00"/>
    <s v="Shipped"/>
    <s v="Trucks and Buses"/>
    <n v="118"/>
    <s v="S12_4473"/>
    <x v="61"/>
    <s v="9145554562"/>
    <s v="3758 North Pendale Street"/>
    <s v="White Plains"/>
    <s v="24067"/>
    <s v="USA"/>
    <s v="Frick"/>
    <s v="Steve"/>
    <s v="Medium"/>
    <x v="752"/>
  </r>
  <r>
    <n v="10194"/>
    <n v="21"/>
    <n v="93.34"/>
    <n v="10"/>
    <n v="1960.14"/>
    <d v="2018-11-25T00:00:00"/>
    <s v="Shipped"/>
    <s v="Trucks and Buses"/>
    <n v="116"/>
    <s v="S18_1097"/>
    <x v="60"/>
    <s v="78.32.5555"/>
    <s v="2, rue du Commerce"/>
    <s v="Lyon"/>
    <s v="69004"/>
    <s v="France"/>
    <s v="Saveley"/>
    <s v="Mary"/>
    <s v="Small"/>
    <x v="381"/>
  </r>
  <r>
    <n v="10195"/>
    <n v="27"/>
    <n v="189.93"/>
    <n v="5"/>
    <n v="5128.1099999999997"/>
    <d v="2018-11-25T00:00:00"/>
    <s v="Shipped"/>
    <s v="Classic Cars"/>
    <n v="163"/>
    <s v="S18_2238"/>
    <x v="61"/>
    <s v="9145554562"/>
    <s v="3758 North Pendale Street"/>
    <s v="White Plains"/>
    <s v="24067"/>
    <s v="USA"/>
    <s v="Frick"/>
    <s v="Steve"/>
    <s v="Medium"/>
    <x v="753"/>
  </r>
  <r>
    <n v="10195"/>
    <n v="35"/>
    <n v="103.09"/>
    <n v="9"/>
    <n v="3608.15"/>
    <d v="2018-11-25T00:00:00"/>
    <s v="Shipped"/>
    <s v="Trucks and Buses"/>
    <n v="122"/>
    <s v="S18_2319"/>
    <x v="61"/>
    <s v="9145554562"/>
    <s v="3758 North Pendale Street"/>
    <s v="White Plains"/>
    <s v="24067"/>
    <s v="USA"/>
    <s v="Frick"/>
    <s v="Steve"/>
    <s v="Medium"/>
    <x v="754"/>
  </r>
  <r>
    <n v="10194"/>
    <n v="45"/>
    <n v="70.489999999999995"/>
    <n v="2"/>
    <n v="3172.05"/>
    <d v="2018-11-25T00:00:00"/>
    <s v="Shipped"/>
    <s v="Trucks and Buses"/>
    <n v="60"/>
    <s v="S18_2432"/>
    <x v="60"/>
    <s v="78.32.5555"/>
    <s v="2, rue du Commerce"/>
    <s v="Lyon"/>
    <s v="69004"/>
    <s v="France"/>
    <s v="Saveley"/>
    <s v="Mary"/>
    <s v="Medium"/>
    <x v="755"/>
  </r>
  <r>
    <n v="10195"/>
    <n v="50"/>
    <n v="152.41"/>
    <n v="10"/>
    <n v="7620.5"/>
    <d v="2018-11-25T00:00:00"/>
    <s v="Shipped"/>
    <s v="Classic Cars"/>
    <n v="169"/>
    <s v="S18_3232"/>
    <x v="61"/>
    <s v="9145554562"/>
    <s v="3758 North Pendale Street"/>
    <s v="White Plains"/>
    <s v="24067"/>
    <s v="USA"/>
    <s v="Frick"/>
    <s v="Steve"/>
    <s v="Large"/>
    <x v="209"/>
  </r>
  <r>
    <n v="10194"/>
    <n v="32"/>
    <n v="133.19"/>
    <n v="5"/>
    <n v="4262.08"/>
    <d v="2018-11-25T00:00:00"/>
    <s v="Shipped"/>
    <s v="Trucks and Buses"/>
    <n v="121"/>
    <s v="S18_4600"/>
    <x v="60"/>
    <s v="78.32.5555"/>
    <s v="2, rue du Commerce"/>
    <s v="Lyon"/>
    <s v="69004"/>
    <s v="France"/>
    <s v="Saveley"/>
    <s v="Mary"/>
    <s v="Medium"/>
    <x v="756"/>
  </r>
  <r>
    <n v="10194"/>
    <n v="41"/>
    <n v="44.78"/>
    <n v="9"/>
    <n v="1835.98"/>
    <d v="2018-11-25T00:00:00"/>
    <s v="Shipped"/>
    <s v="Vintage Cars"/>
    <n v="50"/>
    <s v="S18_4668"/>
    <x v="60"/>
    <s v="78.32.5555"/>
    <s v="2, rue du Commerce"/>
    <s v="Lyon"/>
    <s v="69004"/>
    <s v="France"/>
    <s v="Saveley"/>
    <s v="Mary"/>
    <s v="Small"/>
    <x v="757"/>
  </r>
  <r>
    <n v="10195"/>
    <n v="44"/>
    <n v="66.47"/>
    <n v="3"/>
    <n v="2924.68"/>
    <d v="2018-11-25T00:00:00"/>
    <s v="Shipped"/>
    <s v="Classic Cars"/>
    <n v="57"/>
    <s v="S24_1444"/>
    <x v="61"/>
    <s v="9145554562"/>
    <s v="3758 North Pendale Street"/>
    <s v="White Plains"/>
    <s v="24067"/>
    <s v="USA"/>
    <s v="Frick"/>
    <s v="Steve"/>
    <s v="Small"/>
    <x v="758"/>
  </r>
  <r>
    <n v="10194"/>
    <n v="49"/>
    <n v="117.57"/>
    <n v="1"/>
    <n v="5760.93"/>
    <d v="2018-11-25T00:00:00"/>
    <s v="Shipped"/>
    <s v="Trucks and Buses"/>
    <n v="127"/>
    <s v="S24_2300"/>
    <x v="60"/>
    <s v="78.32.5555"/>
    <s v="2, rue du Commerce"/>
    <s v="Lyon"/>
    <s v="69004"/>
    <s v="France"/>
    <s v="Saveley"/>
    <s v="Mary"/>
    <s v="Medium"/>
    <x v="759"/>
  </r>
  <r>
    <n v="10195"/>
    <n v="32"/>
    <n v="28.29"/>
    <n v="7"/>
    <n v="905.28"/>
    <d v="2018-11-25T00:00:00"/>
    <s v="Shipped"/>
    <s v="Classic Cars"/>
    <n v="35"/>
    <s v="S24_2840"/>
    <x v="61"/>
    <s v="9145554562"/>
    <s v="3758 North Pendale Street"/>
    <s v="White Plains"/>
    <s v="24067"/>
    <s v="USA"/>
    <s v="Frick"/>
    <s v="Steve"/>
    <s v="Small"/>
    <x v="760"/>
  </r>
  <r>
    <n v="10195"/>
    <n v="34"/>
    <n v="108.82"/>
    <n v="2"/>
    <n v="3699.88"/>
    <d v="2018-11-25T00:00:00"/>
    <s v="Shipped"/>
    <s v="Classic Cars"/>
    <n v="118"/>
    <s v="S24_4048"/>
    <x v="61"/>
    <s v="9145554562"/>
    <s v="3758 North Pendale Street"/>
    <s v="White Plains"/>
    <s v="24067"/>
    <s v="USA"/>
    <s v="Frick"/>
    <s v="Steve"/>
    <s v="Medium"/>
    <x v="761"/>
  </r>
  <r>
    <n v="10194"/>
    <n v="37"/>
    <n v="97.27"/>
    <n v="3"/>
    <n v="3598.99"/>
    <d v="2018-11-25T00:00:00"/>
    <s v="Shipped"/>
    <s v="Trucks and Buses"/>
    <n v="96"/>
    <s v="S32_1268"/>
    <x v="60"/>
    <s v="78.32.5555"/>
    <s v="2, rue du Commerce"/>
    <s v="Lyon"/>
    <s v="69004"/>
    <s v="France"/>
    <s v="Saveley"/>
    <s v="Mary"/>
    <s v="Medium"/>
    <x v="762"/>
  </r>
  <r>
    <n v="10195"/>
    <n v="32"/>
    <n v="43.29"/>
    <n v="8"/>
    <n v="1385.28"/>
    <d v="2018-11-25T00:00:00"/>
    <s v="Shipped"/>
    <s v="Trucks and Buses"/>
    <n v="54"/>
    <s v="S32_2509"/>
    <x v="61"/>
    <s v="9145554562"/>
    <s v="3758 North Pendale Street"/>
    <s v="White Plains"/>
    <s v="24067"/>
    <s v="USA"/>
    <s v="Frick"/>
    <s v="Steve"/>
    <s v="Small"/>
    <x v="763"/>
  </r>
  <r>
    <n v="10195"/>
    <n v="33"/>
    <n v="54.68"/>
    <n v="1"/>
    <n v="1804.44"/>
    <d v="2018-11-25T00:00:00"/>
    <s v="Shipped"/>
    <s v="Trains"/>
    <n v="62"/>
    <s v="S32_3207"/>
    <x v="61"/>
    <s v="9145554562"/>
    <s v="3758 North Pendale Street"/>
    <s v="White Plains"/>
    <s v="24067"/>
    <s v="USA"/>
    <s v="Frick"/>
    <s v="Steve"/>
    <s v="Small"/>
    <x v="232"/>
  </r>
  <r>
    <n v="10194"/>
    <n v="39"/>
    <n v="54.94"/>
    <n v="7"/>
    <n v="2142.66"/>
    <d v="2018-11-25T00:00:00"/>
    <s v="Shipped"/>
    <s v="Trucks and Buses"/>
    <n v="64"/>
    <s v="S32_3522"/>
    <x v="60"/>
    <s v="78.32.5555"/>
    <s v="2, rue du Commerce"/>
    <s v="Lyon"/>
    <s v="69004"/>
    <s v="France"/>
    <s v="Saveley"/>
    <s v="Mary"/>
    <s v="Small"/>
    <x v="764"/>
  </r>
  <r>
    <n v="10195"/>
    <n v="49"/>
    <n v="105.33"/>
    <n v="4"/>
    <n v="5161.17"/>
    <d v="2018-11-25T00:00:00"/>
    <s v="Shipped"/>
    <s v="Trucks and Buses"/>
    <n v="115"/>
    <s v="S50_1392"/>
    <x v="61"/>
    <s v="9145554562"/>
    <s v="3758 North Pendale Street"/>
    <s v="White Plains"/>
    <s v="24067"/>
    <s v="USA"/>
    <s v="Frick"/>
    <s v="Steve"/>
    <s v="Medium"/>
    <x v="765"/>
  </r>
  <r>
    <n v="10194"/>
    <n v="26"/>
    <n v="89.01"/>
    <n v="6"/>
    <n v="2314.2600000000002"/>
    <d v="2018-11-25T00:00:00"/>
    <s v="Shipped"/>
    <s v="Classic Cars"/>
    <n v="101"/>
    <s v="S700_2824"/>
    <x v="60"/>
    <s v="78.32.5555"/>
    <s v="2, rue du Commerce"/>
    <s v="Lyon"/>
    <s v="69004"/>
    <s v="France"/>
    <s v="Saveley"/>
    <s v="Mary"/>
    <s v="Small"/>
    <x v="766"/>
  </r>
  <r>
    <n v="10197"/>
    <n v="45"/>
    <n v="118.32"/>
    <n v="6"/>
    <n v="5324.4"/>
    <d v="2018-11-26T00:00:00"/>
    <s v="Shipped"/>
    <s v="Classic Cars"/>
    <n v="136"/>
    <s v="S10_4757"/>
    <x v="17"/>
    <s v="(93) 203 4555"/>
    <s v="Rambla de Catalu¤a, 23"/>
    <s v="Barcelona"/>
    <s v="8022"/>
    <s v="Spain"/>
    <s v="Saavedra"/>
    <s v="Eduardo"/>
    <s v="Medium"/>
    <x v="767"/>
  </r>
  <r>
    <n v="10196"/>
    <n v="47"/>
    <n v="189.1"/>
    <n v="5"/>
    <n v="8887.7000000000007"/>
    <d v="2018-11-26T00:00:00"/>
    <s v="Shipped"/>
    <s v="Classic Cars"/>
    <n v="207"/>
    <s v="S12_1108"/>
    <x v="62"/>
    <s v="2035559545"/>
    <s v="567 North Pendale Street"/>
    <s v="New Haven"/>
    <s v="97823"/>
    <s v="USA"/>
    <s v="Murphy"/>
    <s v="Leslie"/>
    <s v="Large"/>
    <x v="768"/>
  </r>
  <r>
    <n v="10196"/>
    <n v="24"/>
    <n v="158.63"/>
    <n v="6"/>
    <n v="3807.12"/>
    <d v="2018-11-26T00:00:00"/>
    <s v="Shipped"/>
    <s v="Classic Cars"/>
    <n v="151"/>
    <s v="S12_3148"/>
    <x v="62"/>
    <s v="2035559545"/>
    <s v="567 North Pendale Street"/>
    <s v="New Haven"/>
    <s v="97823"/>
    <s v="USA"/>
    <s v="Murphy"/>
    <s v="Leslie"/>
    <s v="Medium"/>
    <x v="769"/>
  </r>
  <r>
    <n v="10196"/>
    <n v="38"/>
    <n v="190.32"/>
    <n v="4"/>
    <n v="7232.16"/>
    <d v="2018-11-26T00:00:00"/>
    <s v="Shipped"/>
    <s v="Classic Cars"/>
    <n v="173"/>
    <s v="S12_3891"/>
    <x v="62"/>
    <s v="2035559545"/>
    <s v="567 North Pendale Street"/>
    <s v="New Haven"/>
    <s v="97823"/>
    <s v="USA"/>
    <s v="Murphy"/>
    <s v="Leslie"/>
    <s v="Large"/>
    <x v="221"/>
  </r>
  <r>
    <n v="10197"/>
    <n v="46"/>
    <n v="87.74"/>
    <n v="4"/>
    <n v="4036.04"/>
    <d v="2018-11-26T00:00:00"/>
    <s v="Shipped"/>
    <s v="Ships"/>
    <n v="86"/>
    <s v="S18_3029"/>
    <x v="17"/>
    <s v="(93) 203 4555"/>
    <s v="Rambla de Catalu¤a, 23"/>
    <s v="Barcelona"/>
    <s v="8022"/>
    <s v="Spain"/>
    <s v="Saavedra"/>
    <s v="Eduardo"/>
    <s v="Medium"/>
    <x v="770"/>
  </r>
  <r>
    <n v="10196"/>
    <n v="49"/>
    <n v="140.69"/>
    <n v="1"/>
    <n v="6893.81"/>
    <d v="2018-11-26T00:00:00"/>
    <s v="Shipped"/>
    <s v="Vintage Cars"/>
    <n v="136"/>
    <s v="S18_3140"/>
    <x v="62"/>
    <s v="2035559545"/>
    <s v="567 North Pendale Street"/>
    <s v="New Haven"/>
    <s v="97823"/>
    <s v="USA"/>
    <s v="Murphy"/>
    <s v="Leslie"/>
    <s v="Medium"/>
    <x v="771"/>
  </r>
  <r>
    <n v="10196"/>
    <n v="35"/>
    <n v="101.85"/>
    <n v="3"/>
    <n v="3564.75"/>
    <d v="2018-11-26T00:00:00"/>
    <s v="Shipped"/>
    <s v="Trains"/>
    <n v="100"/>
    <s v="S18_3259"/>
    <x v="62"/>
    <s v="2035559545"/>
    <s v="567 North Pendale Street"/>
    <s v="New Haven"/>
    <s v="97823"/>
    <s v="USA"/>
    <s v="Murphy"/>
    <s v="Leslie"/>
    <s v="Medium"/>
    <x v="226"/>
  </r>
  <r>
    <n v="10197"/>
    <n v="22"/>
    <n v="115.4"/>
    <n v="3"/>
    <n v="2538.8000000000002"/>
    <d v="2018-11-26T00:00:00"/>
    <s v="Shipped"/>
    <s v="Vintage Cars"/>
    <n v="105"/>
    <s v="S18_3856"/>
    <x v="17"/>
    <s v="(93) 203 4555"/>
    <s v="Rambla de Catalu¤a, 23"/>
    <s v="Barcelona"/>
    <s v="8022"/>
    <s v="Spain"/>
    <s v="Saavedra"/>
    <s v="Eduardo"/>
    <s v="Small"/>
    <x v="772"/>
  </r>
  <r>
    <n v="10196"/>
    <n v="27"/>
    <n v="168.04"/>
    <n v="8"/>
    <n v="4537.08"/>
    <d v="2018-11-26T00:00:00"/>
    <s v="Shipped"/>
    <s v="Classic Cars"/>
    <n v="143"/>
    <s v="S18_4027"/>
    <x v="62"/>
    <s v="2035559545"/>
    <s v="567 North Pendale Street"/>
    <s v="New Haven"/>
    <s v="97823"/>
    <s v="USA"/>
    <s v="Murphy"/>
    <s v="Leslie"/>
    <s v="Medium"/>
    <x v="773"/>
  </r>
  <r>
    <n v="10197"/>
    <n v="50"/>
    <n v="101.81"/>
    <n v="14"/>
    <n v="5090.5"/>
    <d v="2018-11-26T00:00:00"/>
    <s v="Shipped"/>
    <s v="Vintage Cars"/>
    <n v="87"/>
    <s v="S18_4522"/>
    <x v="17"/>
    <s v="(93) 203 4555"/>
    <s v="Rambla de Catalu¤a, 23"/>
    <s v="Barcelona"/>
    <s v="8022"/>
    <s v="Spain"/>
    <s v="Saavedra"/>
    <s v="Eduardo"/>
    <s v="Medium"/>
    <x v="142"/>
  </r>
  <r>
    <n v="10197"/>
    <n v="41"/>
    <n v="110.6"/>
    <n v="13"/>
    <n v="4534.6000000000004"/>
    <d v="2018-11-26T00:00:00"/>
    <s v="Shipped"/>
    <s v="Ships"/>
    <n v="122"/>
    <s v="S24_2011"/>
    <x v="17"/>
    <s v="(93) 203 4555"/>
    <s v="Rambla de Catalu¤a, 23"/>
    <s v="Barcelona"/>
    <s v="8022"/>
    <s v="Spain"/>
    <s v="Saavedra"/>
    <s v="Eduardo"/>
    <s v="Medium"/>
    <x v="2"/>
  </r>
  <r>
    <n v="10197"/>
    <n v="47"/>
    <n v="83.2"/>
    <n v="8"/>
    <n v="3910.4"/>
    <d v="2018-11-26T00:00:00"/>
    <s v="Shipped"/>
    <s v="Vintage Cars"/>
    <n v="88"/>
    <s v="S24_3151"/>
    <x v="17"/>
    <s v="(93) 203 4555"/>
    <s v="Rambla de Catalu¤a, 23"/>
    <s v="Barcelona"/>
    <s v="8022"/>
    <s v="Spain"/>
    <s v="Saavedra"/>
    <s v="Eduardo"/>
    <s v="Medium"/>
    <x v="774"/>
  </r>
  <r>
    <n v="10197"/>
    <n v="22"/>
    <n v="86.38"/>
    <n v="5"/>
    <n v="1900.36"/>
    <d v="2018-11-26T00:00:00"/>
    <s v="Shipped"/>
    <s v="Vintage Cars"/>
    <n v="83"/>
    <s v="S24_3816"/>
    <x v="17"/>
    <s v="(93) 203 4555"/>
    <s v="Rambla de Catalu¤a, 23"/>
    <s v="Barcelona"/>
    <s v="8022"/>
    <s v="Spain"/>
    <s v="Saavedra"/>
    <s v="Eduardo"/>
    <s v="Small"/>
    <x v="775"/>
  </r>
  <r>
    <n v="10196"/>
    <n v="46"/>
    <n v="62.09"/>
    <n v="7"/>
    <n v="2856.14"/>
    <d v="2018-11-26T00:00:00"/>
    <s v="Shipped"/>
    <s v="Trains"/>
    <n v="58"/>
    <s v="S50_1514"/>
    <x v="62"/>
    <s v="2035559545"/>
    <s v="567 North Pendale Street"/>
    <s v="New Haven"/>
    <s v="97823"/>
    <s v="USA"/>
    <s v="Murphy"/>
    <s v="Leslie"/>
    <s v="Small"/>
    <x v="776"/>
  </r>
  <r>
    <n v="10197"/>
    <n v="23"/>
    <n v="64.67"/>
    <n v="9"/>
    <n v="1487.41"/>
    <d v="2018-11-26T00:00:00"/>
    <s v="Shipped"/>
    <s v="Ships"/>
    <n v="66"/>
    <s v="S700_1138"/>
    <x v="17"/>
    <s v="(93) 203 4555"/>
    <s v="Rambla de Catalu¤a, 23"/>
    <s v="Barcelona"/>
    <s v="8022"/>
    <s v="Spain"/>
    <s v="Saavedra"/>
    <s v="Eduardo"/>
    <s v="Small"/>
    <x v="130"/>
  </r>
  <r>
    <n v="10196"/>
    <n v="50"/>
    <n v="94.4"/>
    <n v="2"/>
    <n v="4720"/>
    <d v="2018-11-26T00:00:00"/>
    <s v="Shipped"/>
    <s v="Ships"/>
    <n v="86"/>
    <s v="S700_1938"/>
    <x v="62"/>
    <s v="2035559545"/>
    <s v="567 North Pendale Street"/>
    <s v="New Haven"/>
    <s v="97823"/>
    <s v="USA"/>
    <s v="Murphy"/>
    <s v="Leslie"/>
    <s v="Medium"/>
    <x v="174"/>
  </r>
  <r>
    <n v="10197"/>
    <n v="24"/>
    <n v="90.52"/>
    <n v="2"/>
    <n v="2172.48"/>
    <d v="2018-11-26T00:00:00"/>
    <s v="Shipped"/>
    <s v="Ships"/>
    <n v="90"/>
    <s v="S700_2047"/>
    <x v="17"/>
    <s v="(93) 203 4555"/>
    <s v="Rambla de Catalu¤a, 23"/>
    <s v="Barcelona"/>
    <s v="8022"/>
    <s v="Spain"/>
    <s v="Saavedra"/>
    <s v="Eduardo"/>
    <s v="Small"/>
    <x v="777"/>
  </r>
  <r>
    <n v="10197"/>
    <n v="50"/>
    <n v="78.790000000000006"/>
    <n v="7"/>
    <n v="3939.5"/>
    <d v="2018-11-26T00:00:00"/>
    <s v="Shipped"/>
    <s v="Ships"/>
    <n v="72"/>
    <s v="S700_2610"/>
    <x v="17"/>
    <s v="(93) 203 4555"/>
    <s v="Rambla de Catalu¤a, 23"/>
    <s v="Barcelona"/>
    <s v="8022"/>
    <s v="Spain"/>
    <s v="Saavedra"/>
    <s v="Eduardo"/>
    <s v="Medium"/>
    <x v="355"/>
  </r>
  <r>
    <n v="10197"/>
    <n v="27"/>
    <n v="92.16"/>
    <n v="10"/>
    <n v="2488.3200000000002"/>
    <d v="2018-11-26T00:00:00"/>
    <s v="Shipped"/>
    <s v="Ships"/>
    <n v="100"/>
    <s v="S700_3505"/>
    <x v="17"/>
    <s v="(93) 203 4555"/>
    <s v="Rambla de Catalu¤a, 23"/>
    <s v="Barcelona"/>
    <s v="8022"/>
    <s v="Spain"/>
    <s v="Saavedra"/>
    <s v="Eduardo"/>
    <s v="Small"/>
    <x v="357"/>
  </r>
  <r>
    <n v="10197"/>
    <n v="35"/>
    <n v="93.35"/>
    <n v="11"/>
    <n v="3267.25"/>
    <d v="2018-11-26T00:00:00"/>
    <s v="Shipped"/>
    <s v="Ships"/>
    <n v="99"/>
    <s v="S700_3962"/>
    <x v="17"/>
    <s v="(93) 203 4555"/>
    <s v="Rambla de Catalu¤a, 23"/>
    <s v="Barcelona"/>
    <s v="8022"/>
    <s v="Spain"/>
    <s v="Saavedra"/>
    <s v="Eduardo"/>
    <s v="Medium"/>
    <x v="778"/>
  </r>
  <r>
    <n v="10197"/>
    <n v="29"/>
    <n v="41.71"/>
    <n v="1"/>
    <n v="1209.5899999999999"/>
    <d v="2018-11-26T00:00:00"/>
    <s v="Shipped"/>
    <s v="Planes"/>
    <n v="49"/>
    <s v="S72_1253"/>
    <x v="17"/>
    <s v="(93) 203 4555"/>
    <s v="Rambla de Catalu¤a, 23"/>
    <s v="Barcelona"/>
    <s v="8022"/>
    <s v="Spain"/>
    <s v="Saavedra"/>
    <s v="Eduardo"/>
    <s v="Small"/>
    <x v="779"/>
  </r>
  <r>
    <n v="10197"/>
    <n v="42"/>
    <n v="50.23"/>
    <n v="12"/>
    <n v="2109.66"/>
    <d v="2018-11-26T00:00:00"/>
    <s v="Shipped"/>
    <s v="Ships"/>
    <n v="54"/>
    <s v="S72_3212"/>
    <x v="17"/>
    <s v="(93) 203 4555"/>
    <s v="Rambla de Catalu¤a, 23"/>
    <s v="Barcelona"/>
    <s v="8022"/>
    <s v="Spain"/>
    <s v="Saavedra"/>
    <s v="Eduardo"/>
    <s v="Small"/>
    <x v="343"/>
  </r>
  <r>
    <n v="10198"/>
    <n v="42"/>
    <n v="178.19"/>
    <n v="4"/>
    <n v="7483.98"/>
    <d v="2018-11-27T00:00:00"/>
    <s v="Shipped"/>
    <s v="Planes"/>
    <n v="157"/>
    <s v="S18_1662"/>
    <x v="8"/>
    <s v="+63 2 555 3587"/>
    <s v="15 McCallum Street - NatWest Center #13-03"/>
    <s v="Makati City"/>
    <s v="1227 MM"/>
    <s v="Philippines"/>
    <s v="Cruz"/>
    <s v="Arnold"/>
    <s v="Large"/>
    <x v="780"/>
  </r>
  <r>
    <n v="10198"/>
    <n v="48"/>
    <n v="67.819999999999993"/>
    <n v="5"/>
    <n v="3255.36"/>
    <d v="2018-11-27T00:00:00"/>
    <s v="Shipped"/>
    <s v="Planes"/>
    <n v="68"/>
    <s v="S24_2841"/>
    <x v="8"/>
    <s v="+63 2 555 3587"/>
    <s v="15 McCallum Street - NatWest Center #13-03"/>
    <s v="Makati City"/>
    <s v="1227 MM"/>
    <s v="Philippines"/>
    <s v="Cruz"/>
    <s v="Arnold"/>
    <s v="Medium"/>
    <x v="781"/>
  </r>
  <r>
    <n v="10198"/>
    <n v="27"/>
    <n v="71.67"/>
    <n v="6"/>
    <n v="1935.09"/>
    <d v="2018-11-27T00:00:00"/>
    <s v="Shipped"/>
    <s v="Vintage Cars"/>
    <n v="65"/>
    <s v="S24_3420"/>
    <x v="8"/>
    <s v="+63 2 555 3587"/>
    <s v="15 McCallum Street - NatWest Center #13-03"/>
    <s v="Makati City"/>
    <s v="1227 MM"/>
    <s v="Philippines"/>
    <s v="Cruz"/>
    <s v="Arnold"/>
    <s v="Small"/>
    <x v="782"/>
  </r>
  <r>
    <n v="10198"/>
    <n v="43"/>
    <n v="66.19"/>
    <n v="3"/>
    <n v="2846.17"/>
    <d v="2018-11-27T00:00:00"/>
    <s v="Shipped"/>
    <s v="Planes"/>
    <n v="68"/>
    <s v="S24_3949"/>
    <x v="8"/>
    <s v="+63 2 555 3587"/>
    <s v="15 McCallum Street - NatWest Center #13-03"/>
    <s v="Makati City"/>
    <s v="1227 MM"/>
    <s v="Philippines"/>
    <s v="Cruz"/>
    <s v="Arnold"/>
    <s v="Small"/>
    <x v="783"/>
  </r>
  <r>
    <n v="10198"/>
    <n v="42"/>
    <n v="113.68"/>
    <n v="1"/>
    <n v="4774.5600000000004"/>
    <d v="2018-11-27T00:00:00"/>
    <s v="Shipped"/>
    <s v="Planes"/>
    <n v="99"/>
    <s v="S700_2466"/>
    <x v="8"/>
    <s v="+63 2 555 3587"/>
    <s v="15 McCallum Street - NatWest Center #13-03"/>
    <s v="Makati City"/>
    <s v="1227 MM"/>
    <s v="Philippines"/>
    <s v="Cruz"/>
    <s v="Arnold"/>
    <s v="Medium"/>
    <x v="175"/>
  </r>
  <r>
    <n v="10198"/>
    <n v="40"/>
    <n v="63.67"/>
    <n v="2"/>
    <n v="2546.8000000000002"/>
    <d v="2018-11-27T00:00:00"/>
    <s v="Shipped"/>
    <s v="Planes"/>
    <n v="74"/>
    <s v="S700_4002"/>
    <x v="8"/>
    <s v="+63 2 555 3587"/>
    <s v="15 McCallum Street - NatWest Center #13-03"/>
    <s v="Makati City"/>
    <s v="1227 MM"/>
    <s v="Philippines"/>
    <s v="Cruz"/>
    <s v="Arnold"/>
    <s v="Small"/>
    <x v="784"/>
  </r>
  <r>
    <n v="10199"/>
    <n v="29"/>
    <n v="38.4"/>
    <n v="1"/>
    <n v="1113.5999999999999"/>
    <d v="2018-12-01T00:00:00"/>
    <s v="Shipped"/>
    <s v="Vintage Cars"/>
    <n v="43"/>
    <s v="S50_1341"/>
    <x v="63"/>
    <s v="3105553722"/>
    <s v="3675 Furth Circle"/>
    <s v="Burbank"/>
    <s v="94019"/>
    <s v="USA"/>
    <s v="Thompson"/>
    <s v="Steve"/>
    <s v="Small"/>
    <x v="785"/>
  </r>
  <r>
    <n v="10199"/>
    <n v="48"/>
    <n v="83.12"/>
    <n v="2"/>
    <n v="3989.76"/>
    <d v="2018-12-01T00:00:00"/>
    <s v="Shipped"/>
    <s v="Planes"/>
    <n v="91"/>
    <s v="S700_1691"/>
    <x v="63"/>
    <s v="3105553722"/>
    <s v="3675 Furth Circle"/>
    <s v="Burbank"/>
    <s v="94019"/>
    <s v="USA"/>
    <s v="Thompson"/>
    <s v="Steve"/>
    <s v="Medium"/>
    <x v="786"/>
  </r>
  <r>
    <n v="10199"/>
    <n v="38"/>
    <n v="82.4"/>
    <n v="3"/>
    <n v="3131.2"/>
    <d v="2018-12-01T00:00:00"/>
    <s v="Shipped"/>
    <s v="Planes"/>
    <n v="80"/>
    <s v="S700_3167"/>
    <x v="63"/>
    <s v="3105553722"/>
    <s v="3675 Furth Circle"/>
    <s v="Burbank"/>
    <s v="94019"/>
    <s v="USA"/>
    <s v="Thompson"/>
    <s v="Steve"/>
    <s v="Medium"/>
    <x v="787"/>
  </r>
  <r>
    <n v="10203"/>
    <n v="20"/>
    <n v="196.52"/>
    <n v="8"/>
    <n v="3930.4"/>
    <d v="2018-12-02T00:00:00"/>
    <s v="Shipped"/>
    <s v="Classic Cars"/>
    <n v="194"/>
    <s v="S12_1099"/>
    <x v="4"/>
    <s v="(91) 555 94 44"/>
    <s v="C/ Moralzarzal, 86"/>
    <s v="Madrid"/>
    <s v="28034"/>
    <s v="Spain"/>
    <s v="Freyre"/>
    <s v="Diego"/>
    <s v="Medium"/>
    <x v="788"/>
  </r>
  <r>
    <n v="10203"/>
    <n v="20"/>
    <n v="112.74"/>
    <n v="6"/>
    <n v="2254.8000000000002"/>
    <d v="2018-12-02T00:00:00"/>
    <s v="Shipped"/>
    <s v="Classic Cars"/>
    <n v="117"/>
    <s v="S12_3380"/>
    <x v="4"/>
    <s v="(91) 555 94 44"/>
    <s v="C/ Moralzarzal, 86"/>
    <s v="Madrid"/>
    <s v="28034"/>
    <s v="Spain"/>
    <s v="Freyre"/>
    <s v="Diego"/>
    <s v="Small"/>
    <x v="585"/>
  </r>
  <r>
    <n v="10203"/>
    <n v="44"/>
    <n v="82.99"/>
    <n v="9"/>
    <n v="3651.56"/>
    <d v="2018-12-02T00:00:00"/>
    <s v="Shipped"/>
    <s v="Classic Cars"/>
    <n v="79"/>
    <s v="S12_3990"/>
    <x v="4"/>
    <s v="(91) 555 94 44"/>
    <s v="C/ Moralzarzal, 86"/>
    <s v="Madrid"/>
    <s v="28034"/>
    <s v="Spain"/>
    <s v="Freyre"/>
    <s v="Diego"/>
    <s v="Medium"/>
    <x v="789"/>
  </r>
  <r>
    <n v="10203"/>
    <n v="47"/>
    <n v="110.55"/>
    <n v="5"/>
    <n v="5195.8500000000004"/>
    <d v="2018-12-02T00:00:00"/>
    <s v="Shipped"/>
    <s v="Classic Cars"/>
    <n v="115"/>
    <s v="S12_4675"/>
    <x v="4"/>
    <s v="(91) 555 94 44"/>
    <s v="C/ Moralzarzal, 86"/>
    <s v="Madrid"/>
    <s v="28034"/>
    <s v="Spain"/>
    <s v="Freyre"/>
    <s v="Diego"/>
    <s v="Medium"/>
    <x v="790"/>
  </r>
  <r>
    <n v="10204"/>
    <n v="42"/>
    <n v="147.19999999999999"/>
    <n v="17"/>
    <n v="6182.4"/>
    <d v="2018-12-02T00:00:00"/>
    <s v="Shipped"/>
    <s v="Classic Cars"/>
    <n v="141"/>
    <s v="S18_1129"/>
    <x v="25"/>
    <s v="2125557413"/>
    <s v="4092 Furth Circle"/>
    <s v="NYC"/>
    <s v="10022"/>
    <s v="USA"/>
    <s v="Young"/>
    <s v="Jeff"/>
    <s v="Medium"/>
    <x v="791"/>
  </r>
  <r>
    <n v="10204"/>
    <n v="40"/>
    <n v="100.8"/>
    <n v="13"/>
    <n v="4032"/>
    <d v="2018-12-02T00:00:00"/>
    <s v="Shipped"/>
    <s v="Classic Cars"/>
    <n v="124"/>
    <s v="S18_1589"/>
    <x v="25"/>
    <s v="2125557413"/>
    <s v="4092 Furth Circle"/>
    <s v="NYC"/>
    <s v="10022"/>
    <s v="USA"/>
    <s v="Young"/>
    <s v="Jeff"/>
    <s v="Medium"/>
    <x v="562"/>
  </r>
  <r>
    <n v="10204"/>
    <n v="33"/>
    <n v="178.5"/>
    <n v="4"/>
    <n v="5890.5"/>
    <d v="2018-12-02T00:00:00"/>
    <s v="Shipped"/>
    <s v="Vintage Cars"/>
    <n v="170"/>
    <s v="S18_1749"/>
    <x v="25"/>
    <s v="2125557413"/>
    <s v="4092 Furth Circle"/>
    <s v="NYC"/>
    <s v="10022"/>
    <s v="USA"/>
    <s v="Young"/>
    <s v="Jeff"/>
    <s v="Medium"/>
    <x v="792"/>
  </r>
  <r>
    <n v="10203"/>
    <n v="45"/>
    <n v="85.47"/>
    <n v="4"/>
    <n v="3846.15"/>
    <d v="2018-12-02T00:00:00"/>
    <s v="Shipped"/>
    <s v="Classic Cars"/>
    <n v="77"/>
    <s v="S18_1889"/>
    <x v="4"/>
    <s v="(91) 555 94 44"/>
    <s v="C/ Moralzarzal, 86"/>
    <s v="Madrid"/>
    <s v="28034"/>
    <s v="Spain"/>
    <s v="Freyre"/>
    <s v="Diego"/>
    <s v="Medium"/>
    <x v="301"/>
  </r>
  <r>
    <n v="10204"/>
    <n v="38"/>
    <n v="169.28"/>
    <n v="16"/>
    <n v="6432.64"/>
    <d v="2018-12-02T00:00:00"/>
    <s v="Shipped"/>
    <s v="Classic Cars"/>
    <n v="142"/>
    <s v="S18_1984"/>
    <x v="25"/>
    <s v="2125557413"/>
    <s v="4092 Furth Circle"/>
    <s v="NYC"/>
    <s v="10022"/>
    <s v="USA"/>
    <s v="Young"/>
    <s v="Jeff"/>
    <s v="Medium"/>
    <x v="793"/>
  </r>
  <r>
    <n v="10204"/>
    <n v="23"/>
    <n v="71.44"/>
    <n v="3"/>
    <n v="1643.12"/>
    <d v="2018-12-02T00:00:00"/>
    <s v="Shipped"/>
    <s v="Vintage Cars"/>
    <n v="60"/>
    <s v="S18_2248"/>
    <x v="25"/>
    <s v="2125557413"/>
    <s v="4092 Furth Circle"/>
    <s v="NYC"/>
    <s v="10022"/>
    <s v="USA"/>
    <s v="Young"/>
    <s v="Jeff"/>
    <s v="Small"/>
    <x v="794"/>
  </r>
  <r>
    <n v="10204"/>
    <n v="26"/>
    <n v="123.32"/>
    <n v="1"/>
    <n v="3206.32"/>
    <d v="2018-12-02T00:00:00"/>
    <s v="Shipped"/>
    <s v="Vintage Cars"/>
    <n v="127"/>
    <s v="S18_2325"/>
    <x v="25"/>
    <s v="2125557413"/>
    <s v="4092 Furth Circle"/>
    <s v="NYC"/>
    <s v="10022"/>
    <s v="USA"/>
    <s v="Young"/>
    <s v="Jeff"/>
    <s v="Medium"/>
    <x v="795"/>
  </r>
  <r>
    <n v="10204"/>
    <n v="27"/>
    <n v="154.44"/>
    <n v="14"/>
    <n v="4169.88"/>
    <d v="2018-12-02T00:00:00"/>
    <s v="Shipped"/>
    <s v="Classic Cars"/>
    <n v="132"/>
    <s v="S18_2870"/>
    <x v="25"/>
    <s v="2125557413"/>
    <s v="4092 Furth Circle"/>
    <s v="NYC"/>
    <s v="10022"/>
    <s v="USA"/>
    <s v="Young"/>
    <s v="Jeff"/>
    <s v="Medium"/>
    <x v="796"/>
  </r>
  <r>
    <n v="10203"/>
    <n v="48"/>
    <n v="172.73"/>
    <n v="1"/>
    <n v="8291.0400000000009"/>
    <d v="2018-12-02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Large"/>
    <x v="797"/>
  </r>
  <r>
    <n v="10203"/>
    <n v="33"/>
    <n v="86.04"/>
    <n v="11"/>
    <n v="2839.32"/>
    <d v="2018-12-02T00:00:00"/>
    <s v="Shipped"/>
    <s v="Classic Cars"/>
    <n v="80"/>
    <s v="S18_3278"/>
    <x v="4"/>
    <s v="(91) 555 94 44"/>
    <s v="C/ Moralzarzal, 86"/>
    <s v="Madrid"/>
    <s v="28034"/>
    <s v="Spain"/>
    <s v="Freyre"/>
    <s v="Diego"/>
    <s v="Small"/>
    <x v="798"/>
  </r>
  <r>
    <n v="10203"/>
    <n v="32"/>
    <n v="160.22"/>
    <n v="10"/>
    <n v="5127.04"/>
    <d v="2018-12-02T00:00:00"/>
    <s v="Shipped"/>
    <s v="Classic Cars"/>
    <n v="146"/>
    <s v="S18_3482"/>
    <x v="4"/>
    <s v="(91) 555 94 44"/>
    <s v="C/ Moralzarzal, 86"/>
    <s v="Madrid"/>
    <s v="28034"/>
    <s v="Spain"/>
    <s v="Freyre"/>
    <s v="Diego"/>
    <s v="Medium"/>
    <x v="799"/>
  </r>
  <r>
    <n v="10204"/>
    <n v="35"/>
    <n v="163.88"/>
    <n v="15"/>
    <n v="5735.8"/>
    <d v="2018-12-02T00:00:00"/>
    <s v="Shipped"/>
    <s v="Classic Cars"/>
    <n v="141"/>
    <s v="S18_3685"/>
    <x v="25"/>
    <s v="2125557413"/>
    <s v="4092 Furth Circle"/>
    <s v="NYC"/>
    <s v="10022"/>
    <s v="USA"/>
    <s v="Young"/>
    <s v="Jeff"/>
    <s v="Medium"/>
    <x v="551"/>
  </r>
  <r>
    <n v="10204"/>
    <n v="29"/>
    <n v="85.59"/>
    <n v="5"/>
    <n v="2482.11"/>
    <d v="2018-12-02T00:00:00"/>
    <s v="Shipped"/>
    <s v="Vintage Cars"/>
    <n v="92"/>
    <s v="S18_4409"/>
    <x v="25"/>
    <s v="2125557413"/>
    <s v="4092 Furth Circle"/>
    <s v="NYC"/>
    <s v="10022"/>
    <s v="USA"/>
    <s v="Young"/>
    <s v="Jeff"/>
    <s v="Small"/>
    <x v="800"/>
  </r>
  <r>
    <n v="10204"/>
    <n v="45"/>
    <n v="76.260000000000005"/>
    <n v="6"/>
    <n v="3431.7"/>
    <d v="2018-12-02T00:00:00"/>
    <s v="Shipped"/>
    <s v="Classic Cars"/>
    <n v="71"/>
    <s v="S18_4933"/>
    <x v="25"/>
    <s v="2125557413"/>
    <s v="4092 Furth Circle"/>
    <s v="NYC"/>
    <s v="10022"/>
    <s v="USA"/>
    <s v="Young"/>
    <s v="Jeff"/>
    <s v="Medium"/>
    <x v="801"/>
  </r>
  <r>
    <n v="10204"/>
    <n v="20"/>
    <n v="62.47"/>
    <n v="10"/>
    <n v="1249.4000000000001"/>
    <d v="2018-12-02T00:00:00"/>
    <s v="Shipped"/>
    <s v="Classic Cars"/>
    <n v="73"/>
    <s v="S24_1046"/>
    <x v="25"/>
    <s v="2125557413"/>
    <s v="4092 Furth Circle"/>
    <s v="NYC"/>
    <s v="10022"/>
    <s v="USA"/>
    <s v="Young"/>
    <s v="Jeff"/>
    <s v="Small"/>
    <x v="414"/>
  </r>
  <r>
    <n v="10204"/>
    <n v="45"/>
    <n v="49.81"/>
    <n v="12"/>
    <n v="2241.4499999999998"/>
    <d v="2018-12-02T00:00:00"/>
    <s v="Shipped"/>
    <s v="Classic Cars"/>
    <n v="50"/>
    <s v="S24_1628"/>
    <x v="25"/>
    <s v="2125557413"/>
    <s v="4092 Furth Circle"/>
    <s v="NYC"/>
    <s v="10022"/>
    <s v="USA"/>
    <s v="Young"/>
    <s v="Jeff"/>
    <s v="Small"/>
    <x v="802"/>
  </r>
  <r>
    <n v="10204"/>
    <n v="47"/>
    <n v="96.32"/>
    <n v="8"/>
    <n v="4527.04"/>
    <d v="2018-12-02T00:00:00"/>
    <s v="Shipped"/>
    <s v="Classic Cars"/>
    <n v="90"/>
    <s v="S24_2766"/>
    <x v="25"/>
    <s v="2125557413"/>
    <s v="4092 Furth Circle"/>
    <s v="NYC"/>
    <s v="10022"/>
    <s v="USA"/>
    <s v="Young"/>
    <s v="Jeff"/>
    <s v="Medium"/>
    <x v="803"/>
  </r>
  <r>
    <n v="10204"/>
    <n v="42"/>
    <n v="101"/>
    <n v="7"/>
    <n v="4242"/>
    <d v="2018-12-02T00:00:00"/>
    <s v="Shipped"/>
    <s v="Classic Cars"/>
    <n v="117"/>
    <s v="S24_2887"/>
    <x v="25"/>
    <s v="2125557413"/>
    <s v="4092 Furth Circle"/>
    <s v="NYC"/>
    <s v="10022"/>
    <s v="USA"/>
    <s v="Young"/>
    <s v="Jeff"/>
    <s v="Medium"/>
    <x v="320"/>
  </r>
  <r>
    <n v="10203"/>
    <n v="21"/>
    <n v="37"/>
    <n v="2"/>
    <n v="777"/>
    <d v="2018-12-02T00:00:00"/>
    <s v="Shipped"/>
    <s v="Classic Cars"/>
    <n v="37"/>
    <s v="S24_2972"/>
    <x v="4"/>
    <s v="(91) 555 94 44"/>
    <s v="C/ Moralzarzal, 86"/>
    <s v="Madrid"/>
    <s v="28034"/>
    <s v="Spain"/>
    <s v="Freyre"/>
    <s v="Diego"/>
    <s v="Small"/>
    <x v="804"/>
  </r>
  <r>
    <n v="10204"/>
    <n v="40"/>
    <n v="79.62"/>
    <n v="9"/>
    <n v="3184.8"/>
    <d v="2018-12-02T00:00:00"/>
    <s v="Shipped"/>
    <s v="Classic Cars"/>
    <n v="85"/>
    <s v="S24_3191"/>
    <x v="25"/>
    <s v="2125557413"/>
    <s v="4092 Furth Circle"/>
    <s v="NYC"/>
    <s v="10022"/>
    <s v="USA"/>
    <s v="Young"/>
    <s v="Jeff"/>
    <s v="Medium"/>
    <x v="76"/>
  </r>
  <r>
    <n v="10203"/>
    <n v="34"/>
    <n v="64.900000000000006"/>
    <n v="7"/>
    <n v="2206.6"/>
    <d v="2018-12-02T00:00:00"/>
    <s v="Shipped"/>
    <s v="Classic Cars"/>
    <n v="61"/>
    <s v="S24_3371"/>
    <x v="4"/>
    <s v="(91) 555 94 44"/>
    <s v="C/ Moralzarzal, 86"/>
    <s v="Madrid"/>
    <s v="28034"/>
    <s v="Spain"/>
    <s v="Freyre"/>
    <s v="Diego"/>
    <s v="Small"/>
    <x v="805"/>
  </r>
  <r>
    <n v="10204"/>
    <n v="48"/>
    <n v="91.02"/>
    <n v="11"/>
    <n v="4368.96"/>
    <d v="2018-12-02T00:00:00"/>
    <s v="Shipped"/>
    <s v="Classic Cars"/>
    <n v="107"/>
    <s v="S24_3432"/>
    <x v="25"/>
    <s v="2125557413"/>
    <s v="4092 Furth Circle"/>
    <s v="NYC"/>
    <s v="10022"/>
    <s v="USA"/>
    <s v="Young"/>
    <s v="Jeff"/>
    <s v="Medium"/>
    <x v="806"/>
  </r>
  <r>
    <n v="10203"/>
    <n v="47"/>
    <n v="148.86000000000001"/>
    <n v="3"/>
    <n v="6996.42"/>
    <d v="2018-12-02T00:00:00"/>
    <s v="Shipped"/>
    <s v="Classic Cars"/>
    <n v="140"/>
    <s v="S24_3856"/>
    <x v="4"/>
    <s v="(91) 555 94 44"/>
    <s v="C/ Moralzarzal, 86"/>
    <s v="Madrid"/>
    <s v="28034"/>
    <s v="Spain"/>
    <s v="Freyre"/>
    <s v="Diego"/>
    <s v="Medium"/>
    <x v="807"/>
  </r>
  <r>
    <n v="10204"/>
    <n v="39"/>
    <n v="33.229999999999997"/>
    <n v="2"/>
    <n v="1295.97"/>
    <d v="2018-12-02T00:00:00"/>
    <s v="Shipped"/>
    <s v="Vintage Cars"/>
    <n v="41"/>
    <s v="S24_3969"/>
    <x v="25"/>
    <s v="2125557413"/>
    <s v="4092 Furth Circle"/>
    <s v="NYC"/>
    <s v="10022"/>
    <s v="USA"/>
    <s v="Young"/>
    <s v="Jeff"/>
    <s v="Small"/>
    <x v="808"/>
  </r>
  <r>
    <n v="10205"/>
    <n v="36"/>
    <n v="103.77"/>
    <n v="2"/>
    <n v="3735.72"/>
    <d v="2018-12-03T00:00:00"/>
    <s v="Shipped"/>
    <s v="Vintage Cars"/>
    <n v="102"/>
    <s v="S18_1342"/>
    <x v="4"/>
    <s v="(91) 555 94 44"/>
    <s v="C/ Moralzarzal, 86"/>
    <s v="Madrid"/>
    <s v="28034"/>
    <s v="Spain"/>
    <s v="Freyre"/>
    <s v="Diego"/>
    <s v="Medium"/>
    <x v="809"/>
  </r>
  <r>
    <n v="10205"/>
    <n v="48"/>
    <n v="63.61"/>
    <n v="1"/>
    <n v="3053.28"/>
    <d v="2018-12-03T00:00:00"/>
    <s v="Shipped"/>
    <s v="Vintage Cars"/>
    <n v="53"/>
    <s v="S18_1367"/>
    <x v="4"/>
    <s v="(91) 555 94 44"/>
    <s v="C/ Moralzarzal, 86"/>
    <s v="Madrid"/>
    <s v="28034"/>
    <s v="Spain"/>
    <s v="Freyre"/>
    <s v="Diego"/>
    <s v="Medium"/>
    <x v="186"/>
  </r>
  <r>
    <n v="10205"/>
    <n v="40"/>
    <n v="187.31"/>
    <n v="3"/>
    <n v="7492.4"/>
    <d v="2018-12-03T00:00:00"/>
    <s v="Shipped"/>
    <s v="Vintage Cars"/>
    <n v="168"/>
    <s v="S18_2795"/>
    <x v="4"/>
    <s v="(91) 555 94 44"/>
    <s v="C/ Moralzarzal, 86"/>
    <s v="Madrid"/>
    <s v="28034"/>
    <s v="Spain"/>
    <s v="Freyre"/>
    <s v="Diego"/>
    <s v="Large"/>
    <x v="9"/>
  </r>
  <r>
    <n v="10205"/>
    <n v="32"/>
    <n v="37.17"/>
    <n v="5"/>
    <n v="1189.44"/>
    <d v="2018-12-03T00:00:00"/>
    <s v="Shipped"/>
    <s v="Vintage Cars"/>
    <n v="33"/>
    <s v="S24_1937"/>
    <x v="4"/>
    <s v="(91) 555 94 44"/>
    <s v="C/ Moralzarzal, 86"/>
    <s v="Madrid"/>
    <s v="28034"/>
    <s v="Spain"/>
    <s v="Freyre"/>
    <s v="Diego"/>
    <s v="Small"/>
    <x v="810"/>
  </r>
  <r>
    <n v="10205"/>
    <n v="24"/>
    <n v="38.08"/>
    <n v="4"/>
    <n v="913.92"/>
    <d v="2018-12-03T00:00:00"/>
    <s v="Shipped"/>
    <s v="Vintage Cars"/>
    <n v="44"/>
    <s v="S24_2022"/>
    <x v="4"/>
    <s v="(91) 555 94 44"/>
    <s v="C/ Moralzarzal, 86"/>
    <s v="Madrid"/>
    <s v="28034"/>
    <s v="Spain"/>
    <s v="Freyre"/>
    <s v="Diego"/>
    <s v="Small"/>
    <x v="607"/>
  </r>
  <r>
    <n v="10206"/>
    <n v="47"/>
    <n v="192.87"/>
    <n v="6"/>
    <n v="9064.89"/>
    <d v="2018-12-05T00:00:00"/>
    <s v="Shipped"/>
    <s v="Classic Cars"/>
    <n v="214"/>
    <s v="S10_1949"/>
    <x v="64"/>
    <s v="(604) 555-3392"/>
    <s v="1900 Oak St."/>
    <s v="Vancouver"/>
    <s v="V3F 2K1"/>
    <s v="Canada"/>
    <s v="Tannamuri"/>
    <s v="Yoshi"/>
    <s v="Large"/>
    <x v="811"/>
  </r>
  <r>
    <n v="10206"/>
    <n v="28"/>
    <n v="144.87"/>
    <n v="3"/>
    <n v="4056.36"/>
    <d v="2018-12-05T00:00:00"/>
    <s v="Shipped"/>
    <s v="Trucks and Buses"/>
    <n v="136"/>
    <s v="S12_1666"/>
    <x v="64"/>
    <s v="(604) 555-3392"/>
    <s v="1900 Oak St."/>
    <s v="Vancouver"/>
    <s v="V3F 2K1"/>
    <s v="Canada"/>
    <s v="Tannamuri"/>
    <s v="Yoshi"/>
    <s v="Medium"/>
    <x v="281"/>
  </r>
  <r>
    <n v="10206"/>
    <n v="34"/>
    <n v="116.67"/>
    <n v="5"/>
    <n v="3966.78"/>
    <d v="2018-12-05T00:00:00"/>
    <s v="Shipped"/>
    <s v="Trucks and Buses"/>
    <n v="116"/>
    <s v="S18_1097"/>
    <x v="64"/>
    <s v="(604) 555-3392"/>
    <s v="1900 Oak St."/>
    <s v="Vancouver"/>
    <s v="V3F 2K1"/>
    <s v="Canada"/>
    <s v="Tannamuri"/>
    <s v="Yoshi"/>
    <s v="Medium"/>
    <x v="812"/>
  </r>
  <r>
    <n v="10206"/>
    <n v="37"/>
    <n v="90.17"/>
    <n v="7"/>
    <n v="3336.29"/>
    <d v="2018-12-05T00:00:00"/>
    <s v="Shipped"/>
    <s v="Vintage Cars"/>
    <n v="101"/>
    <s v="S18_2949"/>
    <x v="64"/>
    <s v="(604) 555-3392"/>
    <s v="1900 Oak St."/>
    <s v="Vancouver"/>
    <s v="V3F 2K1"/>
    <s v="Canada"/>
    <s v="Tannamuri"/>
    <s v="Yoshi"/>
    <s v="Medium"/>
    <x v="813"/>
  </r>
  <r>
    <n v="10206"/>
    <n v="28"/>
    <n v="67.459999999999994"/>
    <n v="9"/>
    <n v="1888.88"/>
    <d v="2018-12-05T00:00:00"/>
    <s v="Shipped"/>
    <s v="Vintage Cars"/>
    <n v="62"/>
    <s v="S18_2957"/>
    <x v="64"/>
    <s v="(604) 555-3392"/>
    <s v="1900 Oak St."/>
    <s v="Vancouver"/>
    <s v="V3F 2K1"/>
    <s v="Canada"/>
    <s v="Tannamuri"/>
    <s v="Yoshi"/>
    <s v="Small"/>
    <x v="814"/>
  </r>
  <r>
    <n v="10206"/>
    <n v="30"/>
    <n v="119.38"/>
    <n v="8"/>
    <n v="3581.4"/>
    <d v="2018-12-05T00:00:00"/>
    <s v="Shipped"/>
    <s v="Vintage Cars"/>
    <n v="104"/>
    <s v="S18_3136"/>
    <x v="64"/>
    <s v="(604) 555-3392"/>
    <s v="1900 Oak St."/>
    <s v="Vancouver"/>
    <s v="V3F 2K1"/>
    <s v="Canada"/>
    <s v="Tannamuri"/>
    <s v="Yoshi"/>
    <s v="Medium"/>
    <x v="616"/>
  </r>
  <r>
    <n v="10206"/>
    <n v="28"/>
    <n v="87.3"/>
    <n v="11"/>
    <n v="2444.4"/>
    <d v="2018-12-05T00:00:00"/>
    <s v="Shipped"/>
    <s v="Vintage Cars"/>
    <n v="99"/>
    <s v="S18_3320"/>
    <x v="64"/>
    <s v="(604) 555-3392"/>
    <s v="1900 Oak St."/>
    <s v="Vancouver"/>
    <s v="V3F 2K1"/>
    <s v="Canada"/>
    <s v="Tannamuri"/>
    <s v="Yoshi"/>
    <s v="Small"/>
    <x v="815"/>
  </r>
  <r>
    <n v="10206"/>
    <n v="21"/>
    <n v="53.33"/>
    <n v="4"/>
    <n v="1119.93"/>
    <d v="2018-12-05T00:00:00"/>
    <s v="Shipped"/>
    <s v="Vintage Cars"/>
    <n v="50"/>
    <s v="S18_4668"/>
    <x v="64"/>
    <s v="(604) 555-3392"/>
    <s v="1900 Oak St."/>
    <s v="Vancouver"/>
    <s v="V3F 2K1"/>
    <s v="Canada"/>
    <s v="Tannamuri"/>
    <s v="Yoshi"/>
    <s v="Small"/>
    <x v="292"/>
  </r>
  <r>
    <n v="10206"/>
    <n v="33"/>
    <n v="97.39"/>
    <n v="10"/>
    <n v="3213.87"/>
    <d v="2018-12-05T00:00:00"/>
    <s v="Shipped"/>
    <s v="Vintage Cars"/>
    <n v="97"/>
    <s v="S24_4258"/>
    <x v="64"/>
    <s v="(604) 555-3392"/>
    <s v="1900 Oak St."/>
    <s v="Vancouver"/>
    <s v="V3F 2K1"/>
    <s v="Canada"/>
    <s v="Tannamuri"/>
    <s v="Yoshi"/>
    <s v="Medium"/>
    <x v="816"/>
  </r>
  <r>
    <n v="10206"/>
    <n v="36"/>
    <n v="58.82"/>
    <n v="2"/>
    <n v="2117.52"/>
    <d v="2018-12-05T00:00:00"/>
    <s v="Shipped"/>
    <s v="Trucks and Buses"/>
    <n v="64"/>
    <s v="S32_3522"/>
    <x v="64"/>
    <s v="(604) 555-3392"/>
    <s v="1900 Oak St."/>
    <s v="Vancouver"/>
    <s v="V3F 2K1"/>
    <s v="Canada"/>
    <s v="Tannamuri"/>
    <s v="Yoshi"/>
    <s v="Small"/>
    <x v="601"/>
  </r>
  <r>
    <n v="10206"/>
    <n v="33"/>
    <n v="117.33"/>
    <n v="1"/>
    <n v="3871.89"/>
    <d v="2018-12-05T00:00:00"/>
    <s v="Shipped"/>
    <s v="Classic Cars"/>
    <n v="101"/>
    <s v="S700_2824"/>
    <x v="64"/>
    <s v="(604) 555-3392"/>
    <s v="1900 Oak St."/>
    <s v="Vancouver"/>
    <s v="V3F 2K1"/>
    <s v="Canada"/>
    <s v="Tannamuri"/>
    <s v="Yoshi"/>
    <s v="Medium"/>
    <x v="817"/>
  </r>
  <r>
    <n v="10207"/>
    <n v="31"/>
    <n v="131.49"/>
    <n v="15"/>
    <n v="4076.19"/>
    <d v="2018-12-09T00:00:00"/>
    <s v="Shipped"/>
    <s v="Classic Cars"/>
    <n v="147"/>
    <s v="S10_4962"/>
    <x v="65"/>
    <s v="6175552555"/>
    <s v="6251 Ingle Ln."/>
    <s v="Boston"/>
    <s v="51003"/>
    <s v="USA"/>
    <s v="Franco"/>
    <s v="Valarie"/>
    <s v="Medium"/>
    <x v="818"/>
  </r>
  <r>
    <n v="10207"/>
    <n v="34"/>
    <n v="99.54"/>
    <n v="7"/>
    <n v="3384.36"/>
    <d v="2018-12-09T00:00:00"/>
    <s v="Shipped"/>
    <s v="Trucks and Buses"/>
    <n v="118"/>
    <s v="S12_4473"/>
    <x v="65"/>
    <s v="6175552555"/>
    <s v="6251 Ingle Ln."/>
    <s v="Boston"/>
    <s v="51003"/>
    <s v="USA"/>
    <s v="Franco"/>
    <s v="Valarie"/>
    <s v="Medium"/>
    <x v="819"/>
  </r>
  <r>
    <n v="10207"/>
    <n v="44"/>
    <n v="160.46"/>
    <n v="6"/>
    <n v="7060.24"/>
    <d v="2018-12-09T00:00:00"/>
    <s v="Shipped"/>
    <s v="Classic Cars"/>
    <n v="163"/>
    <s v="S18_2238"/>
    <x v="65"/>
    <s v="6175552555"/>
    <s v="6251 Ingle Ln."/>
    <s v="Boston"/>
    <s v="51003"/>
    <s v="USA"/>
    <s v="Franco"/>
    <s v="Valarie"/>
    <s v="Large"/>
    <x v="820"/>
  </r>
  <r>
    <n v="10207"/>
    <n v="43"/>
    <n v="133.78"/>
    <n v="10"/>
    <n v="5752.54"/>
    <d v="2018-12-09T00:00:00"/>
    <s v="Shipped"/>
    <s v="Trucks and Buses"/>
    <n v="122"/>
    <s v="S18_2319"/>
    <x v="65"/>
    <s v="6175552555"/>
    <s v="6251 Ingle Ln."/>
    <s v="Boston"/>
    <s v="51003"/>
    <s v="USA"/>
    <s v="Franco"/>
    <s v="Valarie"/>
    <s v="Medium"/>
    <x v="821"/>
  </r>
  <r>
    <n v="10207"/>
    <n v="37"/>
    <n v="69.89"/>
    <n v="13"/>
    <n v="2585.9299999999998"/>
    <d v="2018-12-09T00:00:00"/>
    <s v="Shipped"/>
    <s v="Trucks and Buses"/>
    <n v="60"/>
    <s v="S18_2432"/>
    <x v="65"/>
    <s v="6175552555"/>
    <s v="6251 Ingle Ln."/>
    <s v="Boston"/>
    <s v="51003"/>
    <s v="USA"/>
    <s v="Franco"/>
    <s v="Valarie"/>
    <s v="Small"/>
    <x v="822"/>
  </r>
  <r>
    <n v="10207"/>
    <n v="25"/>
    <n v="157.49"/>
    <n v="11"/>
    <n v="3937.25"/>
    <d v="2018-12-09T00:00:00"/>
    <s v="Shipped"/>
    <s v="Classic Cars"/>
    <n v="169"/>
    <s v="S18_3232"/>
    <x v="65"/>
    <s v="6175552555"/>
    <s v="6251 Ingle Ln."/>
    <s v="Boston"/>
    <s v="51003"/>
    <s v="USA"/>
    <s v="Franco"/>
    <s v="Valarie"/>
    <s v="Medium"/>
    <x v="1"/>
  </r>
  <r>
    <n v="10207"/>
    <n v="40"/>
    <n v="153.66999999999999"/>
    <n v="1"/>
    <n v="6146.8"/>
    <d v="2018-12-09T00:00:00"/>
    <s v="Shipped"/>
    <s v="Classic Cars"/>
    <n v="143"/>
    <s v="S18_4027"/>
    <x v="65"/>
    <s v="6175552555"/>
    <s v="6251 Ingle Ln."/>
    <s v="Boston"/>
    <s v="51003"/>
    <s v="USA"/>
    <s v="Franco"/>
    <s v="Valarie"/>
    <s v="Medium"/>
    <x v="823"/>
  </r>
  <r>
    <n v="10207"/>
    <n v="47"/>
    <n v="141.66"/>
    <n v="16"/>
    <n v="6658.02"/>
    <d v="2018-12-09T00:00:00"/>
    <s v="Shipped"/>
    <s v="Trucks and Buses"/>
    <n v="121"/>
    <s v="S18_4600"/>
    <x v="65"/>
    <s v="6175552555"/>
    <s v="6251 Ingle Ln."/>
    <s v="Boston"/>
    <s v="51003"/>
    <s v="USA"/>
    <s v="Franco"/>
    <s v="Valarie"/>
    <s v="Medium"/>
    <x v="824"/>
  </r>
  <r>
    <n v="10207"/>
    <n v="49"/>
    <n v="46.82"/>
    <n v="4"/>
    <n v="2294.1799999999998"/>
    <d v="2018-12-09T00:00:00"/>
    <s v="Shipped"/>
    <s v="Classic Cars"/>
    <n v="57"/>
    <s v="S24_1444"/>
    <x v="65"/>
    <s v="6175552555"/>
    <s v="6251 Ingle Ln."/>
    <s v="Boston"/>
    <s v="51003"/>
    <s v="USA"/>
    <s v="Franco"/>
    <s v="Valarie"/>
    <s v="Small"/>
    <x v="657"/>
  </r>
  <r>
    <n v="10207"/>
    <n v="46"/>
    <n v="148.24"/>
    <n v="12"/>
    <n v="6819.04"/>
    <d v="2018-12-09T00:00:00"/>
    <s v="Shipped"/>
    <s v="Trucks and Buses"/>
    <n v="127"/>
    <s v="S24_2300"/>
    <x v="65"/>
    <s v="6175552555"/>
    <s v="6251 Ingle Ln."/>
    <s v="Boston"/>
    <s v="51003"/>
    <s v="USA"/>
    <s v="Franco"/>
    <s v="Valarie"/>
    <s v="Medium"/>
    <x v="305"/>
  </r>
  <r>
    <n v="10207"/>
    <n v="42"/>
    <n v="29.7"/>
    <n v="8"/>
    <n v="1247.4000000000001"/>
    <d v="2018-12-09T00:00:00"/>
    <s v="Shipped"/>
    <s v="Classic Cars"/>
    <n v="35"/>
    <s v="S24_2840"/>
    <x v="65"/>
    <s v="6175552555"/>
    <s v="6251 Ingle Ln."/>
    <s v="Boston"/>
    <s v="51003"/>
    <s v="USA"/>
    <s v="Franco"/>
    <s v="Valarie"/>
    <s v="Small"/>
    <x v="419"/>
  </r>
  <r>
    <n v="10207"/>
    <n v="28"/>
    <n v="106.45"/>
    <n v="3"/>
    <n v="2980.6"/>
    <d v="2018-12-09T00:00:00"/>
    <s v="Shipped"/>
    <s v="Classic Cars"/>
    <n v="118"/>
    <s v="S24_4048"/>
    <x v="65"/>
    <s v="6175552555"/>
    <s v="6251 Ingle Ln."/>
    <s v="Boston"/>
    <s v="51003"/>
    <s v="USA"/>
    <s v="Franco"/>
    <s v="Valarie"/>
    <s v="Small"/>
    <x v="825"/>
  </r>
  <r>
    <n v="10207"/>
    <n v="49"/>
    <n v="80.900000000000006"/>
    <n v="14"/>
    <n v="3964.1"/>
    <d v="2018-12-09T00:00:00"/>
    <s v="Shipped"/>
    <s v="Trucks and Buses"/>
    <n v="96"/>
    <s v="S32_1268"/>
    <x v="65"/>
    <s v="6175552555"/>
    <s v="6251 Ingle Ln."/>
    <s v="Boston"/>
    <s v="51003"/>
    <s v="USA"/>
    <s v="Franco"/>
    <s v="Valarie"/>
    <s v="Medium"/>
    <x v="826"/>
  </r>
  <r>
    <n v="10207"/>
    <n v="27"/>
    <n v="60.06"/>
    <n v="9"/>
    <n v="1621.62"/>
    <d v="2018-12-09T00:00:00"/>
    <s v="Shipped"/>
    <s v="Trucks and Buses"/>
    <n v="54"/>
    <s v="S32_2509"/>
    <x v="65"/>
    <s v="6175552555"/>
    <s v="6251 Ingle Ln."/>
    <s v="Boston"/>
    <s v="51003"/>
    <s v="USA"/>
    <s v="Franco"/>
    <s v="Valarie"/>
    <s v="Small"/>
    <x v="633"/>
  </r>
  <r>
    <n v="10207"/>
    <n v="45"/>
    <n v="56.55"/>
    <n v="2"/>
    <n v="2544.75"/>
    <d v="2018-12-09T00:00:00"/>
    <s v="Shipped"/>
    <s v="Trains"/>
    <n v="62"/>
    <s v="S32_3207"/>
    <x v="65"/>
    <s v="6175552555"/>
    <s v="6251 Ingle Ln."/>
    <s v="Boston"/>
    <s v="51003"/>
    <s v="USA"/>
    <s v="Franco"/>
    <s v="Valarie"/>
    <s v="Small"/>
    <x v="827"/>
  </r>
  <r>
    <n v="10207"/>
    <n v="28"/>
    <n v="94.92"/>
    <n v="5"/>
    <n v="2657.76"/>
    <d v="2018-12-09T00:00:00"/>
    <s v="Shipped"/>
    <s v="Trucks and Buses"/>
    <n v="115"/>
    <s v="S50_1392"/>
    <x v="65"/>
    <s v="6175552555"/>
    <s v="6251 Ingle Ln."/>
    <s v="Boston"/>
    <s v="51003"/>
    <s v="USA"/>
    <s v="Franco"/>
    <s v="Valarie"/>
    <s v="Small"/>
    <x v="828"/>
  </r>
  <r>
    <n v="10208"/>
    <n v="46"/>
    <n v="187.02"/>
    <n v="13"/>
    <n v="8602.92"/>
    <d v="2019-01-02T00:00:00"/>
    <s v="Shipped"/>
    <s v="Classic Cars"/>
    <n v="207"/>
    <s v="S12_1108"/>
    <x v="60"/>
    <s v="78.32.5555"/>
    <s v="2, rue du Commerce"/>
    <s v="Lyon"/>
    <s v="69004"/>
    <s v="France"/>
    <s v="Saveley"/>
    <s v="Mary"/>
    <s v="Large"/>
    <x v="362"/>
  </r>
  <r>
    <n v="10208"/>
    <n v="26"/>
    <n v="120.86"/>
    <n v="14"/>
    <n v="3142.36"/>
    <d v="2019-01-02T00:00:00"/>
    <s v="Shipped"/>
    <s v="Classic Cars"/>
    <n v="151"/>
    <s v="S12_3148"/>
    <x v="60"/>
    <s v="78.32.5555"/>
    <s v="2, rue du Commerce"/>
    <s v="Lyon"/>
    <s v="69004"/>
    <s v="France"/>
    <s v="Saveley"/>
    <s v="Mary"/>
    <s v="Medium"/>
    <x v="829"/>
  </r>
  <r>
    <n v="10208"/>
    <n v="20"/>
    <n v="155.72"/>
    <n v="12"/>
    <n v="3114.4"/>
    <d v="2019-01-02T00:00:00"/>
    <s v="Shipped"/>
    <s v="Classic Cars"/>
    <n v="173"/>
    <s v="S12_3891"/>
    <x v="60"/>
    <s v="78.32.5555"/>
    <s v="2, rue du Commerce"/>
    <s v="Lyon"/>
    <s v="69004"/>
    <s v="France"/>
    <s v="Saveley"/>
    <s v="Mary"/>
    <s v="Medium"/>
    <x v="830"/>
  </r>
  <r>
    <n v="10208"/>
    <n v="24"/>
    <n v="109.27"/>
    <n v="9"/>
    <n v="2622.48"/>
    <d v="2019-01-02T00:00:00"/>
    <s v="Shipped"/>
    <s v="Vintage Cars"/>
    <n v="136"/>
    <s v="S18_3140"/>
    <x v="60"/>
    <s v="78.32.5555"/>
    <s v="2, rue du Commerce"/>
    <s v="Lyon"/>
    <s v="69004"/>
    <s v="France"/>
    <s v="Saveley"/>
    <s v="Mary"/>
    <s v="Small"/>
    <x v="410"/>
  </r>
  <r>
    <n v="10208"/>
    <n v="48"/>
    <n v="116.97"/>
    <n v="11"/>
    <n v="5614.56"/>
    <d v="2019-01-02T00:00:00"/>
    <s v="Shipped"/>
    <s v="Trains"/>
    <n v="100"/>
    <s v="S18_3259"/>
    <x v="60"/>
    <s v="78.32.5555"/>
    <s v="2, rue du Commerce"/>
    <s v="Lyon"/>
    <s v="69004"/>
    <s v="France"/>
    <s v="Saveley"/>
    <s v="Mary"/>
    <s v="Medium"/>
    <x v="831"/>
  </r>
  <r>
    <n v="10208"/>
    <n v="45"/>
    <n v="87.77"/>
    <n v="8"/>
    <n v="3949.65"/>
    <d v="2019-01-02T00:00:00"/>
    <s v="Shipped"/>
    <s v="Vintage Cars"/>
    <n v="87"/>
    <s v="S18_4522"/>
    <x v="60"/>
    <s v="78.32.5555"/>
    <s v="2, rue du Commerce"/>
    <s v="Lyon"/>
    <s v="69004"/>
    <s v="France"/>
    <s v="Saveley"/>
    <s v="Mary"/>
    <s v="Medium"/>
    <x v="689"/>
  </r>
  <r>
    <n v="10208"/>
    <n v="35"/>
    <n v="122.89"/>
    <n v="7"/>
    <n v="4301.1499999999996"/>
    <d v="2019-01-02T00:00:00"/>
    <s v="Shipped"/>
    <s v="Ships"/>
    <n v="122"/>
    <s v="S24_2011"/>
    <x v="60"/>
    <s v="78.32.5555"/>
    <s v="2, rue du Commerce"/>
    <s v="Lyon"/>
    <s v="69004"/>
    <s v="France"/>
    <s v="Saveley"/>
    <s v="Mary"/>
    <s v="Medium"/>
    <x v="326"/>
  </r>
  <r>
    <n v="10208"/>
    <n v="20"/>
    <n v="89.4"/>
    <n v="2"/>
    <n v="1788"/>
    <d v="2019-01-02T00:00:00"/>
    <s v="Shipped"/>
    <s v="Vintage Cars"/>
    <n v="88"/>
    <s v="S24_3151"/>
    <x v="60"/>
    <s v="78.32.5555"/>
    <s v="2, rue du Commerce"/>
    <s v="Lyon"/>
    <s v="69004"/>
    <s v="France"/>
    <s v="Saveley"/>
    <s v="Mary"/>
    <s v="Small"/>
    <x v="832"/>
  </r>
  <r>
    <n v="10208"/>
    <n v="30"/>
    <n v="65.61"/>
    <n v="15"/>
    <n v="1968.3"/>
    <d v="2019-01-02T00:00:00"/>
    <s v="Shipped"/>
    <s v="Trains"/>
    <n v="58"/>
    <s v="S50_1514"/>
    <x v="60"/>
    <s v="78.32.5555"/>
    <s v="2, rue du Commerce"/>
    <s v="Lyon"/>
    <s v="69004"/>
    <s v="France"/>
    <s v="Saveley"/>
    <s v="Mary"/>
    <s v="Small"/>
    <x v="833"/>
  </r>
  <r>
    <n v="10208"/>
    <n v="38"/>
    <n v="74.67"/>
    <n v="3"/>
    <n v="2837.46"/>
    <d v="2019-01-02T00:00:00"/>
    <s v="Shipped"/>
    <s v="Ships"/>
    <n v="66"/>
    <s v="S700_1138"/>
    <x v="60"/>
    <s v="78.32.5555"/>
    <s v="2, rue du Commerce"/>
    <s v="Lyon"/>
    <s v="69004"/>
    <s v="France"/>
    <s v="Saveley"/>
    <s v="Mary"/>
    <s v="Small"/>
    <x v="834"/>
  </r>
  <r>
    <n v="10208"/>
    <n v="40"/>
    <n v="80.55"/>
    <n v="10"/>
    <n v="3222"/>
    <d v="2019-01-02T00:00:00"/>
    <s v="Shipped"/>
    <s v="Ships"/>
    <n v="86"/>
    <s v="S700_1938"/>
    <x v="60"/>
    <s v="78.32.5555"/>
    <s v="2, rue du Commerce"/>
    <s v="Lyon"/>
    <s v="69004"/>
    <s v="France"/>
    <s v="Saveley"/>
    <s v="Mary"/>
    <s v="Medium"/>
    <x v="835"/>
  </r>
  <r>
    <n v="10208"/>
    <n v="46"/>
    <n v="74.45"/>
    <n v="1"/>
    <n v="3424.7"/>
    <d v="2019-01-02T00:00:00"/>
    <s v="Shipped"/>
    <s v="Ships"/>
    <n v="72"/>
    <s v="S700_2610"/>
    <x v="60"/>
    <s v="78.32.5555"/>
    <s v="2, rue du Commerce"/>
    <s v="Lyon"/>
    <s v="69004"/>
    <s v="France"/>
    <s v="Saveley"/>
    <s v="Mary"/>
    <s v="Medium"/>
    <x v="836"/>
  </r>
  <r>
    <n v="10208"/>
    <n v="37"/>
    <n v="120.2"/>
    <n v="4"/>
    <n v="4447.3999999999996"/>
    <d v="2019-01-02T00:00:00"/>
    <s v="Shipped"/>
    <s v="Ships"/>
    <n v="100"/>
    <s v="S700_3505"/>
    <x v="60"/>
    <s v="78.32.5555"/>
    <s v="2, rue du Commerce"/>
    <s v="Lyon"/>
    <s v="69004"/>
    <s v="France"/>
    <s v="Saveley"/>
    <s v="Mary"/>
    <s v="Medium"/>
    <x v="837"/>
  </r>
  <r>
    <n v="10208"/>
    <n v="33"/>
    <n v="85.41"/>
    <n v="5"/>
    <n v="2818.53"/>
    <d v="2019-01-02T00:00:00"/>
    <s v="Shipped"/>
    <s v="Ships"/>
    <n v="99"/>
    <s v="S700_3962"/>
    <x v="60"/>
    <s v="78.32.5555"/>
    <s v="2, rue du Commerce"/>
    <s v="Lyon"/>
    <s v="69004"/>
    <s v="France"/>
    <s v="Saveley"/>
    <s v="Mary"/>
    <s v="Small"/>
    <x v="838"/>
  </r>
  <r>
    <n v="10208"/>
    <n v="42"/>
    <n v="63.88"/>
    <n v="6"/>
    <n v="2682.96"/>
    <d v="2019-01-02T00:00:00"/>
    <s v="Shipped"/>
    <s v="Ships"/>
    <n v="54"/>
    <s v="S72_3212"/>
    <x v="60"/>
    <s v="78.32.5555"/>
    <s v="2, rue du Commerce"/>
    <s v="Lyon"/>
    <s v="69004"/>
    <s v="France"/>
    <s v="Saveley"/>
    <s v="Mary"/>
    <s v="Small"/>
    <x v="839"/>
  </r>
  <r>
    <n v="10210"/>
    <n v="23"/>
    <n v="130.83000000000001"/>
    <n v="2"/>
    <n v="3009.09"/>
    <d v="2019-01-12T00:00:00"/>
    <s v="Shipped"/>
    <s v="Motorcycles"/>
    <n v="118"/>
    <s v="S10_2016"/>
    <x v="66"/>
    <s v="+81 06 6342 5555"/>
    <s v="Dojima Avanza 4F, 1-6-20 Dojima, Kita-ku"/>
    <s v="Osaka"/>
    <s v="530-0003"/>
    <s v="Japan"/>
    <s v="Kentary"/>
    <s v="Mory"/>
    <s v="Medium"/>
    <x v="840"/>
  </r>
  <r>
    <n v="10210"/>
    <n v="34"/>
    <n v="180.1"/>
    <n v="1"/>
    <n v="6123.4"/>
    <d v="2019-01-12T00:00:00"/>
    <s v="Shipped"/>
    <s v="Motorcycles"/>
    <n v="193"/>
    <s v="S10_4698"/>
    <x v="66"/>
    <s v="+81 06 6342 5555"/>
    <s v="Dojima Avanza 4F, 1-6-20 Dojima, Kita-ku"/>
    <s v="Osaka"/>
    <s v="530-0003"/>
    <s v="Japan"/>
    <s v="Kentary"/>
    <s v="Mory"/>
    <s v="Medium"/>
    <x v="841"/>
  </r>
  <r>
    <n v="10210"/>
    <n v="31"/>
    <n v="184.5"/>
    <n v="17"/>
    <n v="5719.5"/>
    <d v="2019-01-12T00:00:00"/>
    <s v="Shipped"/>
    <s v="Planes"/>
    <n v="157"/>
    <s v="S18_1662"/>
    <x v="66"/>
    <s v="+81 06 6342 5555"/>
    <s v="Dojima Avanza 4F, 1-6-20 Dojima, Kita-ku"/>
    <s v="Osaka"/>
    <s v="530-0003"/>
    <s v="Japan"/>
    <s v="Kentary"/>
    <s v="Mory"/>
    <s v="Medium"/>
    <x v="842"/>
  </r>
  <r>
    <n v="10210"/>
    <n v="50"/>
    <n v="76.88"/>
    <n v="7"/>
    <n v="3844"/>
    <d v="2019-01-12T00:00:00"/>
    <s v="Shipped"/>
    <s v="Planes"/>
    <n v="84"/>
    <s v="S18_2581"/>
    <x v="66"/>
    <s v="+81 06 6342 5555"/>
    <s v="Dojima Avanza 4F, 1-6-20 Dojima, Kita-ku"/>
    <s v="Osaka"/>
    <s v="530-0003"/>
    <s v="Japan"/>
    <s v="Kentary"/>
    <s v="Mory"/>
    <s v="Medium"/>
    <x v="843"/>
  </r>
  <r>
    <n v="10210"/>
    <n v="40"/>
    <n v="49.67"/>
    <n v="3"/>
    <n v="1986.8"/>
    <d v="2019-01-12T00:00:00"/>
    <s v="Shipped"/>
    <s v="Motorcycles"/>
    <n v="60"/>
    <s v="S18_2625"/>
    <x v="66"/>
    <s v="+81 06 6342 5555"/>
    <s v="Dojima Avanza 4F, 1-6-20 Dojima, Kita-ku"/>
    <s v="Osaka"/>
    <s v="530-0003"/>
    <s v="Japan"/>
    <s v="Kentary"/>
    <s v="Mory"/>
    <s v="Small"/>
    <x v="844"/>
  </r>
  <r>
    <n v="10210"/>
    <n v="27"/>
    <n v="98.48"/>
    <n v="9"/>
    <n v="2658.96"/>
    <d v="2019-01-12T00:00:00"/>
    <s v="Shipped"/>
    <s v="Planes"/>
    <n v="109"/>
    <s v="S24_1785"/>
    <x v="66"/>
    <s v="+81 06 6342 5555"/>
    <s v="Dojima Avanza 4F, 1-6-20 Dojima, Kita-ku"/>
    <s v="Osaka"/>
    <s v="530-0003"/>
    <s v="Japan"/>
    <s v="Kentary"/>
    <s v="Mory"/>
    <s v="Small"/>
    <x v="319"/>
  </r>
  <r>
    <n v="10210"/>
    <n v="30"/>
    <n v="61.7"/>
    <n v="4"/>
    <n v="1851"/>
    <d v="2019-01-12T00:00:00"/>
    <s v="Shipped"/>
    <s v="Motorcycles"/>
    <n v="76"/>
    <s v="S24_2000"/>
    <x v="66"/>
    <s v="+81 06 6342 5555"/>
    <s v="Dojima Avanza 4F, 1-6-20 Dojima, Kita-ku"/>
    <s v="Osaka"/>
    <s v="530-0003"/>
    <s v="Japan"/>
    <s v="Kentary"/>
    <s v="Mory"/>
    <s v="Small"/>
    <x v="845"/>
  </r>
  <r>
    <n v="10210"/>
    <n v="29"/>
    <n v="69.599999999999994"/>
    <n v="16"/>
    <n v="2018.4"/>
    <d v="2019-01-12T00:00:00"/>
    <s v="Shipped"/>
    <s v="Planes"/>
    <n v="68"/>
    <s v="S24_3949"/>
    <x v="66"/>
    <s v="+81 06 6342 5555"/>
    <s v="Dojima Avanza 4F, 1-6-20 Dojima, Kita-ku"/>
    <s v="Osaka"/>
    <s v="530-0003"/>
    <s v="Japan"/>
    <s v="Kentary"/>
    <s v="Mory"/>
    <s v="Small"/>
    <x v="846"/>
  </r>
  <r>
    <n v="10210"/>
    <n v="40"/>
    <n v="71"/>
    <n v="8"/>
    <n v="2840"/>
    <d v="2019-01-12T00:00:00"/>
    <s v="Shipped"/>
    <s v="Planes"/>
    <n v="72"/>
    <s v="S24_4278"/>
    <x v="66"/>
    <s v="+81 06 6342 5555"/>
    <s v="Dojima Avanza 4F, 1-6-20 Dojima, Kita-ku"/>
    <s v="Osaka"/>
    <s v="530-0003"/>
    <s v="Japan"/>
    <s v="Kentary"/>
    <s v="Mory"/>
    <s v="Small"/>
    <x v="847"/>
  </r>
  <r>
    <n v="10210"/>
    <n v="46"/>
    <n v="79.91"/>
    <n v="5"/>
    <n v="3675.86"/>
    <d v="2019-01-12T00:00:00"/>
    <s v="Shipped"/>
    <s v="Motorcycles"/>
    <n v="99"/>
    <s v="S32_1374"/>
    <x v="66"/>
    <s v="+81 06 6342 5555"/>
    <s v="Dojima Avanza 4F, 1-6-20 Dojima, Kita-ku"/>
    <s v="Osaka"/>
    <s v="530-0003"/>
    <s v="Japan"/>
    <s v="Kentary"/>
    <s v="Mory"/>
    <s v="Medium"/>
    <x v="537"/>
  </r>
  <r>
    <n v="10210"/>
    <n v="39"/>
    <n v="59.16"/>
    <n v="10"/>
    <n v="2307.2399999999998"/>
    <d v="2019-01-12T00:00:00"/>
    <s v="Shipped"/>
    <s v="Vintage Cars"/>
    <n v="68"/>
    <s v="S32_4289"/>
    <x v="66"/>
    <s v="+81 06 6342 5555"/>
    <s v="Dojima Avanza 4F, 1-6-20 Dojima, Kita-ku"/>
    <s v="Osaka"/>
    <s v="530-0003"/>
    <s v="Japan"/>
    <s v="Kentary"/>
    <s v="Mory"/>
    <s v="Small"/>
    <x v="848"/>
  </r>
  <r>
    <n v="10210"/>
    <n v="43"/>
    <n v="41.02"/>
    <n v="11"/>
    <n v="1763.86"/>
    <d v="2019-01-12T00:00:00"/>
    <s v="Shipped"/>
    <s v="Vintage Cars"/>
    <n v="43"/>
    <s v="S50_1341"/>
    <x v="66"/>
    <s v="+81 06 6342 5555"/>
    <s v="Dojima Avanza 4F, 1-6-20 Dojima, Kita-ku"/>
    <s v="Osaka"/>
    <s v="530-0003"/>
    <s v="Japan"/>
    <s v="Kentary"/>
    <s v="Mory"/>
    <s v="Small"/>
    <x v="849"/>
  </r>
  <r>
    <n v="10210"/>
    <n v="21"/>
    <n v="78.55"/>
    <n v="12"/>
    <n v="1649.55"/>
    <d v="2019-01-12T00:00:00"/>
    <s v="Shipped"/>
    <s v="Planes"/>
    <n v="91"/>
    <s v="S700_1691"/>
    <x v="66"/>
    <s v="+81 06 6342 5555"/>
    <s v="Dojima Avanza 4F, 1-6-20 Dojima, Kita-ku"/>
    <s v="Osaka"/>
    <s v="530-0003"/>
    <s v="Japan"/>
    <s v="Kentary"/>
    <s v="Mory"/>
    <s v="Small"/>
    <x v="850"/>
  </r>
  <r>
    <n v="10210"/>
    <n v="26"/>
    <n v="99.72"/>
    <n v="14"/>
    <n v="2592.7199999999998"/>
    <d v="2019-01-12T00:00:00"/>
    <s v="Shipped"/>
    <s v="Planes"/>
    <n v="99"/>
    <s v="S700_2466"/>
    <x v="66"/>
    <s v="+81 06 6342 5555"/>
    <s v="Dojima Avanza 4F, 1-6-20 Dojima, Kita-ku"/>
    <s v="Osaka"/>
    <s v="530-0003"/>
    <s v="Japan"/>
    <s v="Kentary"/>
    <s v="Mory"/>
    <s v="Small"/>
    <x v="340"/>
  </r>
  <r>
    <n v="10210"/>
    <n v="25"/>
    <n v="112.72"/>
    <n v="6"/>
    <n v="2818"/>
    <d v="2019-01-12T00:00:00"/>
    <s v="Shipped"/>
    <s v="Planes"/>
    <n v="118"/>
    <s v="S700_2834"/>
    <x v="66"/>
    <s v="+81 06 6342 5555"/>
    <s v="Dojima Avanza 4F, 1-6-20 Dojima, Kita-ku"/>
    <s v="Osaka"/>
    <s v="530-0003"/>
    <s v="Japan"/>
    <s v="Kentary"/>
    <s v="Mory"/>
    <s v="Small"/>
    <x v="851"/>
  </r>
  <r>
    <n v="10210"/>
    <n v="31"/>
    <n v="86.4"/>
    <n v="13"/>
    <n v="2678.4"/>
    <d v="2019-01-12T00:00:00"/>
    <s v="Shipped"/>
    <s v="Planes"/>
    <n v="80"/>
    <s v="S700_3167"/>
    <x v="66"/>
    <s v="+81 06 6342 5555"/>
    <s v="Dojima Avanza 4F, 1-6-20 Dojima, Kita-ku"/>
    <s v="Osaka"/>
    <s v="530-0003"/>
    <s v="Japan"/>
    <s v="Kentary"/>
    <s v="Mory"/>
    <s v="Small"/>
    <x v="852"/>
  </r>
  <r>
    <n v="10210"/>
    <n v="42"/>
    <n v="70.33"/>
    <n v="15"/>
    <n v="2953.86"/>
    <d v="2019-01-12T00:00:00"/>
    <s v="Shipped"/>
    <s v="Planes"/>
    <n v="74"/>
    <s v="S700_4002"/>
    <x v="66"/>
    <s v="+81 06 6342 5555"/>
    <s v="Dojima Avanza 4F, 1-6-20 Dojima, Kita-ku"/>
    <s v="Osaka"/>
    <s v="530-0003"/>
    <s v="Japan"/>
    <s v="Kentary"/>
    <s v="Mory"/>
    <s v="Small"/>
    <x v="853"/>
  </r>
  <r>
    <n v="10211"/>
    <n v="41"/>
    <n v="114.84"/>
    <n v="14"/>
    <n v="4708.4399999999996"/>
    <d v="2019-01-15T00:00:00"/>
    <s v="Shipped"/>
    <s v="Motorcycles"/>
    <n v="95"/>
    <s v="S10_1678"/>
    <x v="67"/>
    <s v="(1) 47.55.6555"/>
    <s v="25, rue Lauriston"/>
    <s v="Paris"/>
    <s v="75016"/>
    <s v="France"/>
    <s v="Perrier"/>
    <s v="Dominique"/>
    <s v="Medium"/>
    <x v="854"/>
  </r>
  <r>
    <n v="10211"/>
    <n v="41"/>
    <n v="182.9"/>
    <n v="2"/>
    <n v="7498.9"/>
    <d v="2019-01-15T00:00:00"/>
    <s v="Shipped"/>
    <s v="Classic Cars"/>
    <n v="194"/>
    <s v="S12_1099"/>
    <x v="67"/>
    <s v="(1) 47.55.6555"/>
    <s v="25, rue Lauriston"/>
    <s v="Paris"/>
    <s v="75016"/>
    <s v="France"/>
    <s v="Perrier"/>
    <s v="Dominique"/>
    <s v="Large"/>
    <x v="855"/>
  </r>
  <r>
    <n v="10211"/>
    <n v="36"/>
    <n v="132.55000000000001"/>
    <n v="13"/>
    <n v="4771.8"/>
    <d v="2019-01-15T00:00:00"/>
    <s v="Shipped"/>
    <s v="Motorcycles"/>
    <n v="150"/>
    <s v="S12_2823"/>
    <x v="67"/>
    <s v="(1) 47.55.6555"/>
    <s v="25, rue Lauriston"/>
    <s v="Paris"/>
    <s v="75016"/>
    <s v="France"/>
    <s v="Perrier"/>
    <s v="Dominique"/>
    <s v="Medium"/>
    <x v="856"/>
  </r>
  <r>
    <n v="10211"/>
    <n v="28"/>
    <n v="92.57"/>
    <n v="3"/>
    <n v="2591.96"/>
    <d v="2019-01-15T00:00:00"/>
    <s v="Shipped"/>
    <s v="Classic Cars"/>
    <n v="79"/>
    <s v="S12_3990"/>
    <x v="67"/>
    <s v="(1) 47.55.6555"/>
    <s v="25, rue Lauriston"/>
    <s v="Paris"/>
    <s v="75016"/>
    <s v="France"/>
    <s v="Perrier"/>
    <s v="Dominique"/>
    <s v="Small"/>
    <x v="857"/>
  </r>
  <r>
    <n v="10211"/>
    <n v="35"/>
    <n v="78"/>
    <n v="5"/>
    <n v="2730"/>
    <d v="2019-01-15T00:00:00"/>
    <s v="Shipped"/>
    <s v="Classic Cars"/>
    <n v="80"/>
    <s v="S18_3278"/>
    <x v="67"/>
    <s v="(1) 47.55.6555"/>
    <s v="25, rue Lauriston"/>
    <s v="Paris"/>
    <s v="75016"/>
    <s v="France"/>
    <s v="Perrier"/>
    <s v="Dominique"/>
    <s v="Small"/>
    <x v="858"/>
  </r>
  <r>
    <n v="10211"/>
    <n v="28"/>
    <n v="133.76"/>
    <n v="4"/>
    <n v="3745.28"/>
    <d v="2019-01-15T00:00:00"/>
    <s v="Shipped"/>
    <s v="Classic Cars"/>
    <n v="146"/>
    <s v="S18_3482"/>
    <x v="67"/>
    <s v="(1) 47.55.6555"/>
    <s v="25, rue Lauriston"/>
    <s v="Paris"/>
    <s v="75016"/>
    <s v="France"/>
    <s v="Perrier"/>
    <s v="Dominique"/>
    <s v="Medium"/>
    <x v="859"/>
  </r>
  <r>
    <n v="10211"/>
    <n v="46"/>
    <n v="54.09"/>
    <n v="8"/>
    <n v="2488.14"/>
    <d v="2019-01-15T00:00:00"/>
    <s v="Shipped"/>
    <s v="Motorcycles"/>
    <n v="62"/>
    <s v="S18_3782"/>
    <x v="67"/>
    <s v="(1) 47.55.6555"/>
    <s v="25, rue Lauriston"/>
    <s v="Paris"/>
    <s v="75016"/>
    <s v="France"/>
    <s v="Perrier"/>
    <s v="Dominique"/>
    <s v="Small"/>
    <x v="860"/>
  </r>
  <r>
    <n v="10211"/>
    <n v="41"/>
    <n v="138.38"/>
    <n v="7"/>
    <n v="5673.58"/>
    <d v="2019-01-15T00:00:00"/>
    <s v="Shipped"/>
    <s v="Classic Cars"/>
    <n v="148"/>
    <s v="S18_4721"/>
    <x v="67"/>
    <s v="(1) 47.55.6555"/>
    <s v="25, rue Lauriston"/>
    <s v="Paris"/>
    <s v="75016"/>
    <s v="France"/>
    <s v="Perrier"/>
    <s v="Dominique"/>
    <s v="Medium"/>
    <x v="861"/>
  </r>
  <r>
    <n v="10211"/>
    <n v="25"/>
    <n v="90.16"/>
    <n v="15"/>
    <n v="2254"/>
    <d v="2019-01-15T00:00:00"/>
    <s v="Shipped"/>
    <s v="Motorcycles"/>
    <n v="112"/>
    <s v="S24_1578"/>
    <x v="67"/>
    <s v="(1) 47.55.6555"/>
    <s v="25, rue Lauriston"/>
    <s v="Paris"/>
    <s v="75016"/>
    <s v="France"/>
    <s v="Perrier"/>
    <s v="Dominique"/>
    <s v="Small"/>
    <x v="18"/>
  </r>
  <r>
    <n v="10211"/>
    <n v="21"/>
    <n v="63.72"/>
    <n v="11"/>
    <n v="1338.12"/>
    <d v="2019-01-15T00:00:00"/>
    <s v="Shipped"/>
    <s v="Motorcycles"/>
    <n v="69"/>
    <s v="S24_2360"/>
    <x v="67"/>
    <s v="(1) 47.55.6555"/>
    <s v="25, rue Lauriston"/>
    <s v="Paris"/>
    <s v="75016"/>
    <s v="France"/>
    <s v="Perrier"/>
    <s v="Dominique"/>
    <s v="Small"/>
    <x v="862"/>
  </r>
  <r>
    <n v="10211"/>
    <n v="48"/>
    <n v="48.98"/>
    <n v="1"/>
    <n v="2351.04"/>
    <d v="2019-01-15T00:00:00"/>
    <s v="Shipped"/>
    <s v="Classic Cars"/>
    <n v="61"/>
    <s v="S24_3371"/>
    <x v="67"/>
    <s v="(1) 47.55.6555"/>
    <s v="25, rue Lauriston"/>
    <s v="Paris"/>
    <s v="75016"/>
    <s v="France"/>
    <s v="Perrier"/>
    <s v="Dominique"/>
    <s v="Small"/>
    <x v="863"/>
  </r>
  <r>
    <n v="10211"/>
    <n v="22"/>
    <n v="92.16"/>
    <n v="6"/>
    <n v="2027.52"/>
    <d v="2019-01-15T00:00:00"/>
    <s v="Shipped"/>
    <s v="Classic Cars"/>
    <n v="80"/>
    <s v="S24_4620"/>
    <x v="67"/>
    <s v="(1) 47.55.6555"/>
    <s v="25, rue Lauriston"/>
    <s v="Paris"/>
    <s v="75016"/>
    <s v="France"/>
    <s v="Perrier"/>
    <s v="Dominique"/>
    <s v="Small"/>
    <x v="864"/>
  </r>
  <r>
    <n v="10211"/>
    <n v="41"/>
    <n v="42.24"/>
    <n v="9"/>
    <n v="1731.84"/>
    <d v="2019-01-15T00:00:00"/>
    <s v="Shipped"/>
    <s v="Motorcycles"/>
    <n v="40"/>
    <s v="S32_2206"/>
    <x v="67"/>
    <s v="(1) 47.55.6555"/>
    <s v="25, rue Lauriston"/>
    <s v="Paris"/>
    <s v="75016"/>
    <s v="France"/>
    <s v="Perrier"/>
    <s v="Dominique"/>
    <s v="Small"/>
    <x v="865"/>
  </r>
  <r>
    <n v="10211"/>
    <n v="37"/>
    <n v="109.19"/>
    <n v="12"/>
    <n v="4040.03"/>
    <d v="2019-01-15T00:00:00"/>
    <s v="Shipped"/>
    <s v="Motorcycles"/>
    <n v="102"/>
    <s v="S32_4485"/>
    <x v="67"/>
    <s v="(1) 47.55.6555"/>
    <s v="25, rue Lauriston"/>
    <s v="Paris"/>
    <s v="75016"/>
    <s v="France"/>
    <s v="Perrier"/>
    <s v="Dominique"/>
    <s v="Medium"/>
    <x v="115"/>
  </r>
  <r>
    <n v="10211"/>
    <n v="40"/>
    <n v="80.55"/>
    <n v="10"/>
    <n v="3222"/>
    <d v="2019-01-15T00:00:00"/>
    <s v="Shipped"/>
    <s v="Motorcycles"/>
    <n v="81"/>
    <s v="S50_4713"/>
    <x v="67"/>
    <s v="(1) 47.55.6555"/>
    <s v="25, rue Lauriston"/>
    <s v="Paris"/>
    <s v="75016"/>
    <s v="France"/>
    <s v="Perrier"/>
    <s v="Dominique"/>
    <s v="Medium"/>
    <x v="129"/>
  </r>
  <r>
    <n v="10212"/>
    <n v="39"/>
    <n v="126.84"/>
    <n v="16"/>
    <n v="4946.76"/>
    <d v="2019-01-16T00:00:00"/>
    <s v="Shipped"/>
    <s v="Classic Cars"/>
    <n v="117"/>
    <s v="S12_3380"/>
    <x v="4"/>
    <s v="(91) 555 94 44"/>
    <s v="C/ Moralzarzal, 86"/>
    <s v="Madrid"/>
    <s v="28034"/>
    <s v="Spain"/>
    <s v="Freyre"/>
    <s v="Diego"/>
    <s v="Medium"/>
    <x v="866"/>
  </r>
  <r>
    <n v="10212"/>
    <n v="33"/>
    <n v="126.68"/>
    <n v="15"/>
    <n v="4180.4399999999996"/>
    <d v="2019-01-16T00:00:00"/>
    <s v="Shipped"/>
    <s v="Classic Cars"/>
    <n v="115"/>
    <s v="S12_4675"/>
    <x v="4"/>
    <s v="(91) 555 94 44"/>
    <s v="C/ Moralzarzal, 86"/>
    <s v="Madrid"/>
    <s v="28034"/>
    <s v="Spain"/>
    <s v="Freyre"/>
    <s v="Diego"/>
    <s v="Medium"/>
    <x v="867"/>
  </r>
  <r>
    <n v="10212"/>
    <n v="29"/>
    <n v="144.37"/>
    <n v="10"/>
    <n v="4186.7299999999996"/>
    <d v="2019-01-16T00:00:00"/>
    <s v="Shipped"/>
    <s v="Classic Cars"/>
    <n v="141"/>
    <s v="S18_1129"/>
    <x v="4"/>
    <s v="(91) 555 94 44"/>
    <s v="C/ Moralzarzal, 86"/>
    <s v="Madrid"/>
    <s v="28034"/>
    <s v="Spain"/>
    <s v="Freyre"/>
    <s v="Diego"/>
    <s v="Medium"/>
    <x v="868"/>
  </r>
  <r>
    <n v="10212"/>
    <n v="38"/>
    <n v="118.22"/>
    <n v="6"/>
    <n v="4492.3599999999997"/>
    <d v="2019-01-16T00:00:00"/>
    <s v="Shipped"/>
    <s v="Classic Cars"/>
    <n v="124"/>
    <s v="S18_1589"/>
    <x v="4"/>
    <s v="(91) 555 94 44"/>
    <s v="C/ Moralzarzal, 86"/>
    <s v="Madrid"/>
    <s v="28034"/>
    <s v="Spain"/>
    <s v="Freyre"/>
    <s v="Diego"/>
    <s v="Medium"/>
    <x v="869"/>
  </r>
  <r>
    <n v="10212"/>
    <n v="20"/>
    <n v="66.989999999999995"/>
    <n v="14"/>
    <n v="1339.8"/>
    <d v="2019-01-16T00:00:00"/>
    <s v="Shipped"/>
    <s v="Classic Cars"/>
    <n v="77"/>
    <s v="S18_1889"/>
    <x v="4"/>
    <s v="(91) 555 94 44"/>
    <s v="C/ Moralzarzal, 86"/>
    <s v="Madrid"/>
    <s v="28034"/>
    <s v="Spain"/>
    <s v="Freyre"/>
    <s v="Diego"/>
    <s v="Small"/>
    <x v="870"/>
  </r>
  <r>
    <n v="10212"/>
    <n v="41"/>
    <n v="118.07"/>
    <n v="9"/>
    <n v="4840.87"/>
    <d v="2019-01-16T00:00:00"/>
    <s v="Shipped"/>
    <s v="Classic Cars"/>
    <n v="142"/>
    <s v="S18_1984"/>
    <x v="4"/>
    <s v="(91) 555 94 44"/>
    <s v="C/ Moralzarzal, 86"/>
    <s v="Madrid"/>
    <s v="28034"/>
    <s v="Spain"/>
    <s v="Freyre"/>
    <s v="Diego"/>
    <s v="Medium"/>
    <x v="401"/>
  </r>
  <r>
    <n v="10212"/>
    <n v="40"/>
    <n v="122.76"/>
    <n v="7"/>
    <n v="4910.3999999999996"/>
    <d v="2019-01-16T00:00:00"/>
    <s v="Shipped"/>
    <s v="Classic Cars"/>
    <n v="132"/>
    <s v="S18_2870"/>
    <x v="4"/>
    <s v="(91) 555 94 44"/>
    <s v="C/ Moralzarzal, 86"/>
    <s v="Madrid"/>
    <s v="28034"/>
    <s v="Spain"/>
    <s v="Freyre"/>
    <s v="Diego"/>
    <s v="Medium"/>
    <x v="871"/>
  </r>
  <r>
    <n v="10212"/>
    <n v="40"/>
    <n v="138.86000000000001"/>
    <n v="11"/>
    <n v="5554.4"/>
    <d v="2019-01-16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Medium"/>
    <x v="872"/>
  </r>
  <r>
    <n v="10212"/>
    <n v="45"/>
    <n v="141.28"/>
    <n v="8"/>
    <n v="6357.6"/>
    <d v="2019-01-16T00:00:00"/>
    <s v="Shipped"/>
    <s v="Classic Cars"/>
    <n v="141"/>
    <s v="S18_3685"/>
    <x v="4"/>
    <s v="(91) 555 94 44"/>
    <s v="C/ Moralzarzal, 86"/>
    <s v="Madrid"/>
    <s v="28034"/>
    <s v="Spain"/>
    <s v="Freyre"/>
    <s v="Diego"/>
    <s v="Medium"/>
    <x v="873"/>
  </r>
  <r>
    <n v="10212"/>
    <n v="41"/>
    <n v="82.31"/>
    <n v="3"/>
    <n v="3374.71"/>
    <d v="2019-01-16T00:00:00"/>
    <s v="Shipped"/>
    <s v="Classic Cars"/>
    <n v="73"/>
    <s v="S24_1046"/>
    <x v="4"/>
    <s v="(91) 555 94 44"/>
    <s v="C/ Moralzarzal, 86"/>
    <s v="Madrid"/>
    <s v="28034"/>
    <s v="Spain"/>
    <s v="Freyre"/>
    <s v="Diego"/>
    <s v="Medium"/>
    <x v="874"/>
  </r>
  <r>
    <n v="10212"/>
    <n v="45"/>
    <n v="53.33"/>
    <n v="5"/>
    <n v="2399.85"/>
    <d v="2019-01-16T00:00:00"/>
    <s v="Shipped"/>
    <s v="Classic Cars"/>
    <n v="50"/>
    <s v="S24_1628"/>
    <x v="4"/>
    <s v="(91) 555 94 44"/>
    <s v="C/ Moralzarzal, 86"/>
    <s v="Madrid"/>
    <s v="28034"/>
    <s v="Spain"/>
    <s v="Freyre"/>
    <s v="Diego"/>
    <s v="Small"/>
    <x v="875"/>
  </r>
  <r>
    <n v="10212"/>
    <n v="45"/>
    <n v="88.14"/>
    <n v="1"/>
    <n v="3966.3"/>
    <d v="2019-01-16T00:00:00"/>
    <s v="Shipped"/>
    <s v="Classic Cars"/>
    <n v="90"/>
    <s v="S24_2766"/>
    <x v="4"/>
    <s v="(91) 555 94 44"/>
    <s v="C/ Moralzarzal, 86"/>
    <s v="Madrid"/>
    <s v="28034"/>
    <s v="Spain"/>
    <s v="Freyre"/>
    <s v="Diego"/>
    <s v="Medium"/>
    <x v="876"/>
  </r>
  <r>
    <n v="10212"/>
    <n v="34"/>
    <n v="43.42"/>
    <n v="12"/>
    <n v="1476.28"/>
    <d v="2019-01-16T00:00:00"/>
    <s v="Shipped"/>
    <s v="Classic Cars"/>
    <n v="37"/>
    <s v="S24_2972"/>
    <x v="4"/>
    <s v="(91) 555 94 44"/>
    <s v="C/ Moralzarzal, 86"/>
    <s v="Madrid"/>
    <s v="28034"/>
    <s v="Spain"/>
    <s v="Freyre"/>
    <s v="Diego"/>
    <s v="Small"/>
    <x v="75"/>
  </r>
  <r>
    <n v="10212"/>
    <n v="27"/>
    <n v="79.62"/>
    <n v="2"/>
    <n v="2149.7399999999998"/>
    <d v="2019-01-16T00:00:00"/>
    <s v="Shipped"/>
    <s v="Classic Cars"/>
    <n v="85"/>
    <s v="S24_3191"/>
    <x v="4"/>
    <s v="(91) 555 94 44"/>
    <s v="C/ Moralzarzal, 86"/>
    <s v="Madrid"/>
    <s v="28034"/>
    <s v="Spain"/>
    <s v="Freyre"/>
    <s v="Diego"/>
    <s v="Small"/>
    <x v="464"/>
  </r>
  <r>
    <n v="10212"/>
    <n v="46"/>
    <n v="87.81"/>
    <n v="4"/>
    <n v="4039.26"/>
    <d v="2019-01-16T00:00:00"/>
    <s v="Shipped"/>
    <s v="Classic Cars"/>
    <n v="107"/>
    <s v="S24_3432"/>
    <x v="4"/>
    <s v="(91) 555 94 44"/>
    <s v="C/ Moralzarzal, 86"/>
    <s v="Madrid"/>
    <s v="28034"/>
    <s v="Spain"/>
    <s v="Freyre"/>
    <s v="Diego"/>
    <s v="Medium"/>
    <x v="182"/>
  </r>
  <r>
    <n v="10212"/>
    <n v="49"/>
    <n v="141.83000000000001"/>
    <n v="13"/>
    <n v="6949.67"/>
    <d v="2019-01-16T00:00:00"/>
    <s v="Shipped"/>
    <s v="Classic Cars"/>
    <n v="140"/>
    <s v="S24_3856"/>
    <x v="4"/>
    <s v="(91) 555 94 44"/>
    <s v="C/ Moralzarzal, 86"/>
    <s v="Madrid"/>
    <s v="28034"/>
    <s v="Spain"/>
    <s v="Freyre"/>
    <s v="Diego"/>
    <s v="Medium"/>
    <x v="877"/>
  </r>
  <r>
    <n v="10213"/>
    <n v="38"/>
    <n v="94.79"/>
    <n v="1"/>
    <n v="3602.02"/>
    <d v="2019-01-22T00:00:00"/>
    <s v="Shipped"/>
    <s v="Vintage Cars"/>
    <n v="92"/>
    <s v="S18_4409"/>
    <x v="56"/>
    <s v="(171) 555-7555"/>
    <s v="120 Hanover Sq."/>
    <s v="London"/>
    <s v="WA1 1DP"/>
    <s v="UK"/>
    <s v="Hardy"/>
    <s v="Thomas"/>
    <s v="Medium"/>
    <x v="552"/>
  </r>
  <r>
    <n v="10213"/>
    <n v="25"/>
    <n v="83.39"/>
    <n v="2"/>
    <n v="2084.75"/>
    <d v="2019-01-22T00:00:00"/>
    <s v="Shipped"/>
    <s v="Classic Cars"/>
    <n v="71"/>
    <s v="S18_4933"/>
    <x v="56"/>
    <s v="(171) 555-7555"/>
    <s v="120 Hanover Sq."/>
    <s v="London"/>
    <s v="WA1 1DP"/>
    <s v="UK"/>
    <s v="Hardy"/>
    <s v="Thomas"/>
    <s v="Small"/>
    <x v="292"/>
  </r>
  <r>
    <n v="10213"/>
    <n v="27"/>
    <n v="103.35"/>
    <n v="3"/>
    <n v="2790.45"/>
    <d v="2019-01-22T00:00:00"/>
    <s v="Shipped"/>
    <s v="Classic Cars"/>
    <n v="117"/>
    <s v="S24_2887"/>
    <x v="56"/>
    <s v="(171) 555-7555"/>
    <s v="120 Hanover Sq."/>
    <s v="London"/>
    <s v="WA1 1DP"/>
    <s v="UK"/>
    <s v="Hardy"/>
    <s v="Thomas"/>
    <s v="Small"/>
    <x v="878"/>
  </r>
  <r>
    <n v="10214"/>
    <n v="30"/>
    <n v="198.9"/>
    <n v="7"/>
    <n v="5967"/>
    <d v="2019-01-26T00:00:00"/>
    <s v="Shipped"/>
    <s v="Vintage Cars"/>
    <n v="170"/>
    <s v="S18_1749"/>
    <x v="24"/>
    <s v="(91) 555 22 82"/>
    <s v="C/ Araquil, 67"/>
    <s v="Madrid"/>
    <s v="28023"/>
    <s v="Spain"/>
    <s v="Sommer"/>
    <s v="Mart¡n"/>
    <s v="Medium"/>
    <x v="879"/>
  </r>
  <r>
    <n v="10214"/>
    <n v="21"/>
    <n v="62.96"/>
    <n v="6"/>
    <n v="1322.16"/>
    <d v="2019-01-26T00:00:00"/>
    <s v="Shipped"/>
    <s v="Vintage Cars"/>
    <n v="60"/>
    <s v="S18_2248"/>
    <x v="24"/>
    <s v="(91) 555 22 82"/>
    <s v="C/ Araquil, 67"/>
    <s v="Madrid"/>
    <s v="28023"/>
    <s v="Spain"/>
    <s v="Sommer"/>
    <s v="Mart¡n"/>
    <s v="Small"/>
    <x v="549"/>
  </r>
  <r>
    <n v="10214"/>
    <n v="27"/>
    <n v="133.49"/>
    <n v="4"/>
    <n v="3604.23"/>
    <d v="2019-01-26T00:00:00"/>
    <s v="Shipped"/>
    <s v="Vintage Cars"/>
    <n v="127"/>
    <s v="S18_2325"/>
    <x v="24"/>
    <s v="(91) 555 22 82"/>
    <s v="C/ Araquil, 67"/>
    <s v="Madrid"/>
    <s v="28023"/>
    <s v="Spain"/>
    <s v="Sommer"/>
    <s v="Mart¡n"/>
    <s v="Medium"/>
    <x v="880"/>
  </r>
  <r>
    <n v="10214"/>
    <n v="50"/>
    <n v="190.69"/>
    <n v="1"/>
    <n v="9534.5"/>
    <d v="2019-01-26T00:00:00"/>
    <s v="Shipped"/>
    <s v="Vintage Cars"/>
    <n v="168"/>
    <s v="S18_2795"/>
    <x v="24"/>
    <s v="(91) 555 22 82"/>
    <s v="C/ Araquil, 67"/>
    <s v="Madrid"/>
    <s v="28023"/>
    <s v="Spain"/>
    <s v="Sommer"/>
    <s v="Mart¡n"/>
    <s v="Large"/>
    <x v="302"/>
  </r>
  <r>
    <n v="10214"/>
    <n v="20"/>
    <n v="34.19"/>
    <n v="3"/>
    <n v="683.8"/>
    <d v="2019-01-26T00:00:00"/>
    <s v="Shipped"/>
    <s v="Vintage Cars"/>
    <n v="33"/>
    <s v="S24_1937"/>
    <x v="24"/>
    <s v="(91) 555 22 82"/>
    <s v="C/ Araquil, 67"/>
    <s v="Madrid"/>
    <s v="28023"/>
    <s v="Spain"/>
    <s v="Sommer"/>
    <s v="Mart¡n"/>
    <s v="Small"/>
    <x v="881"/>
  </r>
  <r>
    <n v="10214"/>
    <n v="49"/>
    <n v="47.94"/>
    <n v="2"/>
    <n v="2349.06"/>
    <d v="2019-01-26T00:00:00"/>
    <s v="Shipped"/>
    <s v="Vintage Cars"/>
    <n v="44"/>
    <s v="S24_2022"/>
    <x v="24"/>
    <s v="(91) 555 22 82"/>
    <s v="C/ Araquil, 67"/>
    <s v="Madrid"/>
    <s v="28023"/>
    <s v="Spain"/>
    <s v="Sommer"/>
    <s v="Mart¡n"/>
    <s v="Small"/>
    <x v="326"/>
  </r>
  <r>
    <n v="10214"/>
    <n v="44"/>
    <n v="34.880000000000003"/>
    <n v="5"/>
    <n v="1534.72"/>
    <d v="2019-01-26T00:00:00"/>
    <s v="Shipped"/>
    <s v="Vintage Cars"/>
    <n v="41"/>
    <s v="S24_3969"/>
    <x v="24"/>
    <s v="(91) 555 22 82"/>
    <s v="C/ Araquil, 67"/>
    <s v="Madrid"/>
    <s v="28023"/>
    <s v="Spain"/>
    <s v="Sommer"/>
    <s v="Mart¡n"/>
    <s v="Small"/>
    <x v="882"/>
  </r>
  <r>
    <n v="10215"/>
    <n v="35"/>
    <n v="173.58"/>
    <n v="3"/>
    <n v="6075.3"/>
    <d v="2019-01-29T00:00:00"/>
    <s v="Shipped"/>
    <s v="Classic Cars"/>
    <n v="214"/>
    <s v="S10_1949"/>
    <x v="63"/>
    <s v="3105553722"/>
    <s v="3675 Furth Circle"/>
    <s v="Burbank"/>
    <s v="94019"/>
    <s v="USA"/>
    <s v="Thompson"/>
    <s v="Steve"/>
    <s v="Medium"/>
    <x v="883"/>
  </r>
  <r>
    <n v="10215"/>
    <n v="46"/>
    <n v="112"/>
    <n v="2"/>
    <n v="5152"/>
    <d v="2019-01-29T00:00:00"/>
    <s v="Shipped"/>
    <s v="Trucks and Buses"/>
    <n v="116"/>
    <s v="S18_1097"/>
    <x v="63"/>
    <s v="3105553722"/>
    <s v="3675 Furth Circle"/>
    <s v="Burbank"/>
    <s v="94019"/>
    <s v="USA"/>
    <s v="Thompson"/>
    <s v="Steve"/>
    <s v="Medium"/>
    <x v="884"/>
  </r>
  <r>
    <n v="10215"/>
    <n v="27"/>
    <n v="89.38"/>
    <n v="10"/>
    <n v="2413.2600000000002"/>
    <d v="2019-01-29T00:00:00"/>
    <s v="Shipped"/>
    <s v="Vintage Cars"/>
    <n v="102"/>
    <s v="S18_1342"/>
    <x v="63"/>
    <s v="3105553722"/>
    <s v="3675 Furth Circle"/>
    <s v="Burbank"/>
    <s v="94019"/>
    <s v="USA"/>
    <s v="Thompson"/>
    <s v="Steve"/>
    <s v="Small"/>
    <x v="885"/>
  </r>
  <r>
    <n v="10215"/>
    <n v="33"/>
    <n v="43.13"/>
    <n v="9"/>
    <n v="1423.29"/>
    <d v="2019-01-29T00:00:00"/>
    <s v="Shipped"/>
    <s v="Vintage Cars"/>
    <n v="53"/>
    <s v="S18_1367"/>
    <x v="63"/>
    <s v="3105553722"/>
    <s v="3675 Furth Circle"/>
    <s v="Burbank"/>
    <s v="94019"/>
    <s v="USA"/>
    <s v="Thompson"/>
    <s v="Steve"/>
    <s v="Small"/>
    <x v="886"/>
  </r>
  <r>
    <n v="10215"/>
    <n v="49"/>
    <n v="112.45"/>
    <n v="4"/>
    <n v="5510.05"/>
    <d v="2019-01-29T00:00:00"/>
    <s v="Shipped"/>
    <s v="Vintage Cars"/>
    <n v="101"/>
    <s v="S18_2949"/>
    <x v="63"/>
    <s v="3105553722"/>
    <s v="3675 Furth Circle"/>
    <s v="Burbank"/>
    <s v="94019"/>
    <s v="USA"/>
    <s v="Thompson"/>
    <s v="Steve"/>
    <s v="Medium"/>
    <x v="325"/>
  </r>
  <r>
    <n v="10215"/>
    <n v="31"/>
    <n v="58.71"/>
    <n v="6"/>
    <n v="1820.01"/>
    <d v="2019-01-29T00:00:00"/>
    <s v="Shipped"/>
    <s v="Vintage Cars"/>
    <n v="62"/>
    <s v="S18_2957"/>
    <x v="63"/>
    <s v="3105553722"/>
    <s v="3675 Furth Circle"/>
    <s v="Burbank"/>
    <s v="94019"/>
    <s v="USA"/>
    <s v="Thompson"/>
    <s v="Steve"/>
    <s v="Small"/>
    <x v="648"/>
  </r>
  <r>
    <n v="10215"/>
    <n v="49"/>
    <n v="107.86"/>
    <n v="5"/>
    <n v="5285.14"/>
    <d v="2019-01-29T00:00:00"/>
    <s v="Shipped"/>
    <s v="Vintage Cars"/>
    <n v="104"/>
    <s v="S18_3136"/>
    <x v="63"/>
    <s v="3105553722"/>
    <s v="3675 Furth Circle"/>
    <s v="Burbank"/>
    <s v="94019"/>
    <s v="USA"/>
    <s v="Thompson"/>
    <s v="Steve"/>
    <s v="Medium"/>
    <x v="672"/>
  </r>
  <r>
    <n v="10215"/>
    <n v="41"/>
    <n v="111.12"/>
    <n v="8"/>
    <n v="4555.92"/>
    <d v="2019-01-29T00:00:00"/>
    <s v="Shipped"/>
    <s v="Vintage Cars"/>
    <n v="99"/>
    <s v="S18_3320"/>
    <x v="63"/>
    <s v="3105553722"/>
    <s v="3675 Furth Circle"/>
    <s v="Burbank"/>
    <s v="94019"/>
    <s v="USA"/>
    <s v="Thompson"/>
    <s v="Steve"/>
    <s v="Medium"/>
    <x v="504"/>
  </r>
  <r>
    <n v="10215"/>
    <n v="46"/>
    <n v="45.28"/>
    <n v="1"/>
    <n v="2082.88"/>
    <d v="2019-01-29T00:00:00"/>
    <s v="Shipped"/>
    <s v="Vintage Cars"/>
    <n v="50"/>
    <s v="S18_4668"/>
    <x v="63"/>
    <s v="3105553722"/>
    <s v="3675 Furth Circle"/>
    <s v="Burbank"/>
    <s v="94019"/>
    <s v="USA"/>
    <s v="Thompson"/>
    <s v="Steve"/>
    <s v="Small"/>
    <x v="887"/>
  </r>
  <r>
    <n v="10215"/>
    <n v="39"/>
    <n v="90.57"/>
    <n v="7"/>
    <n v="3532.23"/>
    <d v="2019-01-29T00:00:00"/>
    <s v="Shipped"/>
    <s v="Vintage Cars"/>
    <n v="97"/>
    <s v="S24_4258"/>
    <x v="63"/>
    <s v="3105553722"/>
    <s v="3675 Furth Circle"/>
    <s v="Burbank"/>
    <s v="94019"/>
    <s v="USA"/>
    <s v="Thompson"/>
    <s v="Steve"/>
    <s v="Medium"/>
    <x v="888"/>
  </r>
  <r>
    <n v="10216"/>
    <n v="43"/>
    <n v="133.94"/>
    <n v="1"/>
    <n v="5759.42"/>
    <d v="2019-02-02T00:00:00"/>
    <s v="Shipped"/>
    <s v="Trucks and Buses"/>
    <n v="136"/>
    <s v="S12_1666"/>
    <x v="68"/>
    <s v="30.59.8555"/>
    <s v="67, avenue de l'Europe"/>
    <s v="Versailles"/>
    <s v="78000"/>
    <s v="France"/>
    <s v="Tonini"/>
    <s v="Daniel"/>
    <s v="Medium"/>
    <x v="889"/>
  </r>
  <r>
    <n v="10217"/>
    <n v="48"/>
    <n v="146.26"/>
    <n v="4"/>
    <n v="7020.48"/>
    <d v="2019-02-04T00:00:00"/>
    <s v="Shipped"/>
    <s v="Classic Cars"/>
    <n v="147"/>
    <s v="S10_4962"/>
    <x v="69"/>
    <s v="+65 224 1555"/>
    <s v="Village Close - 106 Linden Road Sandown"/>
    <s v="Singapore"/>
    <s v="69045"/>
    <s v="Singapore"/>
    <s v="Victorino"/>
    <s v="Wendy"/>
    <s v="Large"/>
    <x v="890"/>
  </r>
  <r>
    <n v="10217"/>
    <n v="35"/>
    <n v="61.38"/>
    <n v="2"/>
    <n v="2148.3000000000002"/>
    <d v="2019-02-04T00:00:00"/>
    <s v="Shipped"/>
    <s v="Trucks and Buses"/>
    <n v="60"/>
    <s v="S18_2432"/>
    <x v="69"/>
    <s v="+65 224 1555"/>
    <s v="Village Close - 106 Linden Road Sandown"/>
    <s v="Singapore"/>
    <s v="69045"/>
    <s v="Singapore"/>
    <s v="Victorino"/>
    <s v="Wendy"/>
    <s v="Small"/>
    <x v="740"/>
  </r>
  <r>
    <n v="10217"/>
    <n v="38"/>
    <n v="118.66"/>
    <n v="5"/>
    <n v="4509.08"/>
    <d v="2019-02-04T00:00:00"/>
    <s v="Shipped"/>
    <s v="Trucks and Buses"/>
    <n v="121"/>
    <s v="S18_4600"/>
    <x v="69"/>
    <s v="+65 224 1555"/>
    <s v="Village Close - 106 Linden Road Sandown"/>
    <s v="Singapore"/>
    <s v="69045"/>
    <s v="Singapore"/>
    <s v="Victorino"/>
    <s v="Wendy"/>
    <s v="Medium"/>
    <x v="312"/>
  </r>
  <r>
    <n v="10217"/>
    <n v="28"/>
    <n v="112.46"/>
    <n v="1"/>
    <n v="3148.88"/>
    <d v="2019-02-04T00:00:00"/>
    <s v="Shipped"/>
    <s v="Trucks and Buses"/>
    <n v="127"/>
    <s v="S24_2300"/>
    <x v="69"/>
    <s v="+65 224 1555"/>
    <s v="Village Close - 106 Linden Road Sandown"/>
    <s v="Singapore"/>
    <s v="69045"/>
    <s v="Singapore"/>
    <s v="Victorino"/>
    <s v="Wendy"/>
    <s v="Medium"/>
    <x v="891"/>
  </r>
  <r>
    <n v="10217"/>
    <n v="21"/>
    <n v="106.9"/>
    <n v="3"/>
    <n v="2244.9"/>
    <d v="2019-02-04T00:00:00"/>
    <s v="Shipped"/>
    <s v="Trucks and Buses"/>
    <n v="96"/>
    <s v="S32_1268"/>
    <x v="69"/>
    <s v="+65 224 1555"/>
    <s v="Village Close - 106 Linden Road Sandown"/>
    <s v="Singapore"/>
    <s v="69045"/>
    <s v="Singapore"/>
    <s v="Victorino"/>
    <s v="Wendy"/>
    <s v="Small"/>
    <x v="892"/>
  </r>
  <r>
    <n v="10217"/>
    <n v="39"/>
    <n v="62.05"/>
    <n v="7"/>
    <n v="2419.9499999999998"/>
    <d v="2019-02-04T00:00:00"/>
    <s v="Shipped"/>
    <s v="Trucks and Buses"/>
    <n v="64"/>
    <s v="S32_3522"/>
    <x v="69"/>
    <s v="+65 224 1555"/>
    <s v="Village Close - 106 Linden Road Sandown"/>
    <s v="Singapore"/>
    <s v="69045"/>
    <s v="Singapore"/>
    <s v="Victorino"/>
    <s v="Wendy"/>
    <s v="Small"/>
    <x v="893"/>
  </r>
  <r>
    <n v="10217"/>
    <n v="31"/>
    <n v="88"/>
    <n v="6"/>
    <n v="2728"/>
    <d v="2019-02-04T00:00:00"/>
    <s v="Shipped"/>
    <s v="Classic Cars"/>
    <n v="101"/>
    <s v="S700_2824"/>
    <x v="69"/>
    <s v="+65 224 1555"/>
    <s v="Village Close - 106 Linden Road Sandown"/>
    <s v="Singapore"/>
    <s v="69045"/>
    <s v="Singapore"/>
    <s v="Victorino"/>
    <s v="Wendy"/>
    <s v="Small"/>
    <x v="36"/>
  </r>
  <r>
    <n v="10219"/>
    <n v="48"/>
    <n v="101.91"/>
    <n v="2"/>
    <n v="4891.68"/>
    <d v="2019-02-10T00:00:00"/>
    <s v="Shipped"/>
    <s v="Trucks and Buses"/>
    <n v="118"/>
    <s v="S12_4473"/>
    <x v="38"/>
    <s v="4155554312"/>
    <s v="2793 Furth Circle"/>
    <s v="Brisbane"/>
    <s v="94217"/>
    <s v="USA"/>
    <s v="Taylor"/>
    <s v="Sue"/>
    <s v="Medium"/>
    <x v="857"/>
  </r>
  <r>
    <n v="10219"/>
    <n v="43"/>
    <n v="196.48"/>
    <n v="1"/>
    <n v="8448.64"/>
    <d v="2019-02-10T00:00:00"/>
    <s v="Shipped"/>
    <s v="Classic Cars"/>
    <n v="163"/>
    <s v="S18_2238"/>
    <x v="38"/>
    <s v="4155554312"/>
    <s v="2793 Furth Circle"/>
    <s v="Brisbane"/>
    <s v="94217"/>
    <s v="USA"/>
    <s v="Taylor"/>
    <s v="Sue"/>
    <s v="Large"/>
    <x v="894"/>
  </r>
  <r>
    <n v="10219"/>
    <n v="21"/>
    <n v="40.31"/>
    <n v="3"/>
    <n v="846.51"/>
    <d v="2019-02-10T00:00:00"/>
    <s v="Shipped"/>
    <s v="Classic Cars"/>
    <n v="35"/>
    <s v="S24_2840"/>
    <x v="38"/>
    <s v="4155554312"/>
    <s v="2793 Furth Circle"/>
    <s v="Brisbane"/>
    <s v="94217"/>
    <s v="USA"/>
    <s v="Taylor"/>
    <s v="Sue"/>
    <s v="Small"/>
    <x v="876"/>
  </r>
  <r>
    <n v="10219"/>
    <n v="35"/>
    <n v="55.19"/>
    <n v="4"/>
    <n v="1931.65"/>
    <d v="2019-02-10T00:00:00"/>
    <s v="Shipped"/>
    <s v="Trucks and Buses"/>
    <n v="54"/>
    <s v="S32_2509"/>
    <x v="38"/>
    <s v="4155554312"/>
    <s v="2793 Furth Circle"/>
    <s v="Brisbane"/>
    <s v="94217"/>
    <s v="USA"/>
    <s v="Taylor"/>
    <s v="Sue"/>
    <s v="Small"/>
    <x v="762"/>
  </r>
  <r>
    <n v="10220"/>
    <n v="32"/>
    <n v="224.42"/>
    <n v="2"/>
    <n v="7181.44"/>
    <d v="2019-02-12T00:00:00"/>
    <s v="Shipped"/>
    <s v="Classic Cars"/>
    <n v="207"/>
    <s v="S12_1108"/>
    <x v="70"/>
    <s v="+353 1862 1555"/>
    <s v="25 Maiden Lane"/>
    <s v="Dublin"/>
    <s v="2"/>
    <s v="Ireland"/>
    <s v="Cassidy"/>
    <s v="Dean"/>
    <s v="Large"/>
    <x v="767"/>
  </r>
  <r>
    <n v="10220"/>
    <n v="30"/>
    <n v="157.12"/>
    <n v="3"/>
    <n v="4713.6000000000004"/>
    <d v="2019-02-12T00:00:00"/>
    <s v="Shipped"/>
    <s v="Classic Cars"/>
    <n v="151"/>
    <s v="S12_3148"/>
    <x v="70"/>
    <s v="+353 1862 1555"/>
    <s v="25 Maiden Lane"/>
    <s v="Dublin"/>
    <s v="2"/>
    <s v="Ireland"/>
    <s v="Cassidy"/>
    <s v="Dean"/>
    <s v="Medium"/>
    <x v="768"/>
  </r>
  <r>
    <n v="10220"/>
    <n v="27"/>
    <n v="186.86"/>
    <n v="1"/>
    <n v="5045.22"/>
    <d v="2019-02-12T00:00:00"/>
    <s v="Shipped"/>
    <s v="Classic Cars"/>
    <n v="173"/>
    <s v="S12_3891"/>
    <x v="70"/>
    <s v="+353 1862 1555"/>
    <s v="25 Maiden Lane"/>
    <s v="Dublin"/>
    <s v="2"/>
    <s v="Ireland"/>
    <s v="Cassidy"/>
    <s v="Dean"/>
    <s v="Medium"/>
    <x v="895"/>
  </r>
  <r>
    <n v="10220"/>
    <n v="50"/>
    <n v="165.16"/>
    <n v="5"/>
    <n v="8258"/>
    <d v="2019-02-12T00:00:00"/>
    <s v="Shipped"/>
    <s v="Classic Cars"/>
    <n v="143"/>
    <s v="S18_4027"/>
    <x v="70"/>
    <s v="+353 1862 1555"/>
    <s v="25 Maiden Lane"/>
    <s v="Dublin"/>
    <s v="2"/>
    <s v="Ireland"/>
    <s v="Cassidy"/>
    <s v="Dean"/>
    <s v="Large"/>
    <x v="896"/>
  </r>
  <r>
    <n v="10220"/>
    <n v="26"/>
    <n v="56.07"/>
    <n v="8"/>
    <n v="1457.82"/>
    <d v="2019-02-12T00:00:00"/>
    <s v="Shipped"/>
    <s v="Classic Cars"/>
    <n v="57"/>
    <s v="S24_1444"/>
    <x v="70"/>
    <s v="+353 1862 1555"/>
    <s v="25 Maiden Lane"/>
    <s v="Dublin"/>
    <s v="2"/>
    <s v="Ireland"/>
    <s v="Cassidy"/>
    <s v="Dean"/>
    <s v="Small"/>
    <x v="594"/>
  </r>
  <r>
    <n v="10220"/>
    <n v="37"/>
    <n v="136.02000000000001"/>
    <n v="7"/>
    <n v="5032.74"/>
    <d v="2019-02-12T00:00:00"/>
    <s v="Shipped"/>
    <s v="Classic Cars"/>
    <n v="118"/>
    <s v="S24_4048"/>
    <x v="70"/>
    <s v="+353 1862 1555"/>
    <s v="25 Maiden Lane"/>
    <s v="Dublin"/>
    <s v="2"/>
    <s v="Ireland"/>
    <s v="Cassidy"/>
    <s v="Dean"/>
    <s v="Medium"/>
    <x v="897"/>
  </r>
  <r>
    <n v="10220"/>
    <n v="20"/>
    <n v="52.82"/>
    <n v="6"/>
    <n v="1056.4000000000001"/>
    <d v="2019-02-12T00:00:00"/>
    <s v="Shipped"/>
    <s v="Trains"/>
    <n v="62"/>
    <s v="S32_3207"/>
    <x v="70"/>
    <s v="+353 1862 1555"/>
    <s v="25 Maiden Lane"/>
    <s v="Dublin"/>
    <s v="2"/>
    <s v="Ireland"/>
    <s v="Cassidy"/>
    <s v="Dean"/>
    <s v="Small"/>
    <x v="898"/>
  </r>
  <r>
    <n v="10220"/>
    <n v="37"/>
    <n v="107.65"/>
    <n v="9"/>
    <n v="3983.05"/>
    <d v="2019-02-12T00:00:00"/>
    <s v="Shipped"/>
    <s v="Trucks and Buses"/>
    <n v="115"/>
    <s v="S50_1392"/>
    <x v="70"/>
    <s v="+353 1862 1555"/>
    <s v="25 Maiden Lane"/>
    <s v="Dublin"/>
    <s v="2"/>
    <s v="Ireland"/>
    <s v="Cassidy"/>
    <s v="Dean"/>
    <s v="Medium"/>
    <x v="899"/>
  </r>
  <r>
    <n v="10220"/>
    <n v="30"/>
    <n v="68.540000000000006"/>
    <n v="4"/>
    <n v="2056.1999999999998"/>
    <d v="2019-02-12T00:00:00"/>
    <s v="Shipped"/>
    <s v="Trains"/>
    <n v="58"/>
    <s v="S50_1514"/>
    <x v="70"/>
    <s v="+353 1862 1555"/>
    <s v="25 Maiden Lane"/>
    <s v="Dublin"/>
    <s v="2"/>
    <s v="Ireland"/>
    <s v="Cassidy"/>
    <s v="Dean"/>
    <s v="Small"/>
    <x v="900"/>
  </r>
  <r>
    <n v="10221"/>
    <n v="33"/>
    <n v="133.86000000000001"/>
    <n v="3"/>
    <n v="4417.38"/>
    <d v="2019-02-18T00:00:00"/>
    <s v="Shipped"/>
    <s v="Vintage Cars"/>
    <n v="136"/>
    <s v="S18_3140"/>
    <x v="71"/>
    <s v="(02) 5554 67"/>
    <s v="Rue Joseph-Bens 532"/>
    <s v="Bruxelles"/>
    <s v="B-1180"/>
    <s v="Belgium"/>
    <s v="Dewey"/>
    <s v="Catherine"/>
    <s v="Medium"/>
    <x v="591"/>
  </r>
  <r>
    <n v="10221"/>
    <n v="23"/>
    <n v="80.67"/>
    <n v="5"/>
    <n v="1855.41"/>
    <d v="2019-02-18T00:00:00"/>
    <s v="Shipped"/>
    <s v="Trains"/>
    <n v="100"/>
    <s v="S18_3259"/>
    <x v="71"/>
    <s v="(02) 5554 67"/>
    <s v="Rue Joseph-Bens 532"/>
    <s v="Bruxelles"/>
    <s v="B-1180"/>
    <s v="Belgium"/>
    <s v="Dewey"/>
    <s v="Catherine"/>
    <s v="Small"/>
    <x v="901"/>
  </r>
  <r>
    <n v="10221"/>
    <n v="39"/>
    <n v="89.53"/>
    <n v="2"/>
    <n v="3491.67"/>
    <d v="2019-02-18T00:00:00"/>
    <s v="Shipped"/>
    <s v="Vintage Cars"/>
    <n v="87"/>
    <s v="S18_4522"/>
    <x v="71"/>
    <s v="(02) 5554 67"/>
    <s v="Rue Joseph-Bens 532"/>
    <s v="Bruxelles"/>
    <s v="B-1180"/>
    <s v="Belgium"/>
    <s v="Dewey"/>
    <s v="Catherine"/>
    <s v="Medium"/>
    <x v="902"/>
  </r>
  <r>
    <n v="10221"/>
    <n v="49"/>
    <n v="138.87"/>
    <n v="1"/>
    <n v="6804.63"/>
    <d v="2019-02-18T00:00:00"/>
    <s v="Shipped"/>
    <s v="Ships"/>
    <n v="122"/>
    <s v="S24_2011"/>
    <x v="71"/>
    <s v="(02) 5554 67"/>
    <s v="Rue Joseph-Bens 532"/>
    <s v="Bruxelles"/>
    <s v="B-1180"/>
    <s v="Belgium"/>
    <s v="Dewey"/>
    <s v="Catherine"/>
    <s v="Medium"/>
    <x v="903"/>
  </r>
  <r>
    <n v="10221"/>
    <n v="23"/>
    <n v="97"/>
    <n v="4"/>
    <n v="2231"/>
    <d v="2019-02-18T00:00:00"/>
    <s v="Shipped"/>
    <s v="Ships"/>
    <n v="86"/>
    <s v="S700_1938"/>
    <x v="71"/>
    <s v="(02) 5554 67"/>
    <s v="Rue Joseph-Bens 532"/>
    <s v="Bruxelles"/>
    <s v="B-1180"/>
    <s v="Belgium"/>
    <s v="Dewey"/>
    <s v="Catherine"/>
    <s v="Small"/>
    <x v="904"/>
  </r>
  <r>
    <n v="10222"/>
    <n v="49"/>
    <n v="122.4"/>
    <n v="12"/>
    <n v="5997.6"/>
    <d v="2019-02-19T00:00:00"/>
    <s v="Shipped"/>
    <s v="Classic Cars"/>
    <n v="136"/>
    <s v="S10_4757"/>
    <x v="72"/>
    <s v="7605558146"/>
    <s v="361 Furth Circle"/>
    <s v="San Diego"/>
    <s v="91217"/>
    <s v="USA"/>
    <s v="Thompson"/>
    <s v="Valarie"/>
    <s v="Medium"/>
    <x v="905"/>
  </r>
  <r>
    <n v="10222"/>
    <n v="49"/>
    <n v="141.91999999999999"/>
    <n v="4"/>
    <n v="6954.08"/>
    <d v="2019-02-19T00:00:00"/>
    <s v="Shipped"/>
    <s v="Planes"/>
    <n v="157"/>
    <s v="S18_1662"/>
    <x v="72"/>
    <s v="7605558146"/>
    <s v="361 Furth Circle"/>
    <s v="San Diego"/>
    <s v="91217"/>
    <s v="USA"/>
    <s v="Thompson"/>
    <s v="Valarie"/>
    <s v="Medium"/>
    <x v="906"/>
  </r>
  <r>
    <n v="10222"/>
    <n v="49"/>
    <n v="94.62"/>
    <n v="10"/>
    <n v="4636.38"/>
    <d v="2019-02-19T00:00:00"/>
    <s v="Shipped"/>
    <s v="Ships"/>
    <n v="86"/>
    <s v="S18_3029"/>
    <x v="72"/>
    <s v="7605558146"/>
    <s v="361 Furth Circle"/>
    <s v="San Diego"/>
    <s v="91217"/>
    <s v="USA"/>
    <s v="Thompson"/>
    <s v="Valarie"/>
    <s v="Medium"/>
    <x v="907"/>
  </r>
  <r>
    <n v="10222"/>
    <n v="45"/>
    <n v="85.75"/>
    <n v="9"/>
    <n v="3858.75"/>
    <d v="2019-02-19T00:00:00"/>
    <s v="Shipped"/>
    <s v="Vintage Cars"/>
    <n v="105"/>
    <s v="S18_3856"/>
    <x v="72"/>
    <s v="7605558146"/>
    <s v="361 Furth Circle"/>
    <s v="San Diego"/>
    <s v="91217"/>
    <s v="USA"/>
    <s v="Thompson"/>
    <s v="Valarie"/>
    <s v="Medium"/>
    <x v="908"/>
  </r>
  <r>
    <n v="10222"/>
    <n v="32"/>
    <n v="81.53"/>
    <n v="5"/>
    <n v="2608.96"/>
    <d v="2019-02-19T00:00:00"/>
    <s v="Shipped"/>
    <s v="Planes"/>
    <n v="68"/>
    <s v="S24_2841"/>
    <x v="72"/>
    <s v="7605558146"/>
    <s v="361 Furth Circle"/>
    <s v="San Diego"/>
    <s v="91217"/>
    <s v="USA"/>
    <s v="Thompson"/>
    <s v="Valarie"/>
    <s v="Small"/>
    <x v="596"/>
  </r>
  <r>
    <n v="10222"/>
    <n v="47"/>
    <n v="70.81"/>
    <n v="14"/>
    <n v="3328.07"/>
    <d v="2019-02-19T00:00:00"/>
    <s v="Shipped"/>
    <s v="Vintage Cars"/>
    <n v="88"/>
    <s v="S24_3151"/>
    <x v="72"/>
    <s v="7605558146"/>
    <s v="361 Furth Circle"/>
    <s v="San Diego"/>
    <s v="91217"/>
    <s v="USA"/>
    <s v="Thompson"/>
    <s v="Valarie"/>
    <s v="Medium"/>
    <x v="597"/>
  </r>
  <r>
    <n v="10222"/>
    <n v="43"/>
    <n v="70.349999999999994"/>
    <n v="6"/>
    <n v="3025.05"/>
    <d v="2019-02-19T00:00:00"/>
    <s v="Shipped"/>
    <s v="Vintage Cars"/>
    <n v="65"/>
    <s v="S24_3420"/>
    <x v="72"/>
    <s v="7605558146"/>
    <s v="361 Furth Circle"/>
    <s v="San Diego"/>
    <s v="91217"/>
    <s v="USA"/>
    <s v="Thompson"/>
    <s v="Valarie"/>
    <s v="Medium"/>
    <x v="909"/>
  </r>
  <r>
    <n v="10222"/>
    <n v="46"/>
    <n v="80.510000000000005"/>
    <n v="11"/>
    <n v="3703.46"/>
    <d v="2019-02-19T00:00:00"/>
    <s v="Shipped"/>
    <s v="Vintage Cars"/>
    <n v="83"/>
    <s v="S24_3816"/>
    <x v="72"/>
    <s v="7605558146"/>
    <s v="361 Furth Circle"/>
    <s v="San Diego"/>
    <s v="91217"/>
    <s v="USA"/>
    <s v="Thompson"/>
    <s v="Valarie"/>
    <s v="Medium"/>
    <x v="910"/>
  </r>
  <r>
    <n v="10222"/>
    <n v="48"/>
    <n v="56.64"/>
    <n v="3"/>
    <n v="2718.72"/>
    <d v="2019-02-19T00:00:00"/>
    <s v="Shipped"/>
    <s v="Planes"/>
    <n v="68"/>
    <s v="S24_3949"/>
    <x v="72"/>
    <s v="7605558146"/>
    <s v="361 Furth Circle"/>
    <s v="San Diego"/>
    <s v="91217"/>
    <s v="USA"/>
    <s v="Thompson"/>
    <s v="Valarie"/>
    <s v="Small"/>
    <x v="619"/>
  </r>
  <r>
    <n v="10222"/>
    <n v="31"/>
    <n v="62.67"/>
    <n v="15"/>
    <n v="1942.77"/>
    <d v="2019-02-19T00:00:00"/>
    <s v="Shipped"/>
    <s v="Ships"/>
    <n v="66"/>
    <s v="S700_1138"/>
    <x v="72"/>
    <s v="7605558146"/>
    <s v="361 Furth Circle"/>
    <s v="San Diego"/>
    <s v="91217"/>
    <s v="USA"/>
    <s v="Thompson"/>
    <s v="Valarie"/>
    <s v="Small"/>
    <x v="911"/>
  </r>
  <r>
    <n v="10222"/>
    <n v="26"/>
    <n v="102.29"/>
    <n v="8"/>
    <n v="2659.54"/>
    <d v="2019-02-19T00:00:00"/>
    <s v="Shipped"/>
    <s v="Ships"/>
    <n v="90"/>
    <s v="S700_2047"/>
    <x v="72"/>
    <s v="7605558146"/>
    <s v="361 Furth Circle"/>
    <s v="San Diego"/>
    <s v="91217"/>
    <s v="USA"/>
    <s v="Thompson"/>
    <s v="Valarie"/>
    <s v="Small"/>
    <x v="912"/>
  </r>
  <r>
    <n v="10222"/>
    <n v="37"/>
    <n v="87.75"/>
    <n v="1"/>
    <n v="3246.75"/>
    <d v="2019-02-19T00:00:00"/>
    <s v="Shipped"/>
    <s v="Planes"/>
    <n v="99"/>
    <s v="S700_2466"/>
    <x v="72"/>
    <s v="7605558146"/>
    <s v="361 Furth Circle"/>
    <s v="San Diego"/>
    <s v="91217"/>
    <s v="USA"/>
    <s v="Thompson"/>
    <s v="Valarie"/>
    <s v="Medium"/>
    <x v="137"/>
  </r>
  <r>
    <n v="10222"/>
    <n v="36"/>
    <n v="80.95"/>
    <n v="13"/>
    <n v="2914.2"/>
    <d v="2019-02-19T00:00:00"/>
    <s v="Shipped"/>
    <s v="Ships"/>
    <n v="72"/>
    <s v="S700_2610"/>
    <x v="72"/>
    <s v="7605558146"/>
    <s v="361 Furth Circle"/>
    <s v="San Diego"/>
    <s v="91217"/>
    <s v="USA"/>
    <s v="Thompson"/>
    <s v="Valarie"/>
    <s v="Small"/>
    <x v="913"/>
  </r>
  <r>
    <n v="10222"/>
    <n v="38"/>
    <n v="110.19"/>
    <n v="16"/>
    <n v="4187.22"/>
    <d v="2019-02-19T00:00:00"/>
    <s v="Shipped"/>
    <s v="Ships"/>
    <n v="100"/>
    <s v="S700_3505"/>
    <x v="72"/>
    <s v="7605558146"/>
    <s v="361 Furth Circle"/>
    <s v="San Diego"/>
    <s v="91217"/>
    <s v="USA"/>
    <s v="Thompson"/>
    <s v="Valarie"/>
    <s v="Medium"/>
    <x v="470"/>
  </r>
  <r>
    <n v="10222"/>
    <n v="31"/>
    <n v="95.34"/>
    <n v="17"/>
    <n v="2955.54"/>
    <d v="2019-02-19T00:00:00"/>
    <s v="Shipped"/>
    <s v="Ships"/>
    <n v="99"/>
    <s v="S700_3962"/>
    <x v="72"/>
    <s v="7605558146"/>
    <s v="361 Furth Circle"/>
    <s v="San Diego"/>
    <s v="91217"/>
    <s v="USA"/>
    <s v="Thompson"/>
    <s v="Valarie"/>
    <s v="Small"/>
    <x v="914"/>
  </r>
  <r>
    <n v="10222"/>
    <n v="43"/>
    <n v="74.03"/>
    <n v="2"/>
    <n v="3183.29"/>
    <d v="2019-02-19T00:00:00"/>
    <s v="Shipped"/>
    <s v="Planes"/>
    <n v="74"/>
    <s v="S700_4002"/>
    <x v="72"/>
    <s v="7605558146"/>
    <s v="361 Furth Circle"/>
    <s v="San Diego"/>
    <s v="91217"/>
    <s v="USA"/>
    <s v="Thompson"/>
    <s v="Valarie"/>
    <s v="Medium"/>
    <x v="915"/>
  </r>
  <r>
    <n v="10222"/>
    <n v="31"/>
    <n v="45.69"/>
    <n v="7"/>
    <n v="1416.39"/>
    <d v="2019-02-19T00:00:00"/>
    <s v="Shipped"/>
    <s v="Planes"/>
    <n v="49"/>
    <s v="S72_1253"/>
    <x v="72"/>
    <s v="7605558146"/>
    <s v="361 Furth Circle"/>
    <s v="San Diego"/>
    <s v="91217"/>
    <s v="USA"/>
    <s v="Thompson"/>
    <s v="Valarie"/>
    <s v="Small"/>
    <x v="916"/>
  </r>
  <r>
    <n v="10222"/>
    <n v="36"/>
    <n v="63.34"/>
    <n v="18"/>
    <n v="2280.2399999999998"/>
    <d v="2019-02-19T00:00:00"/>
    <s v="Shipped"/>
    <s v="Ships"/>
    <n v="54"/>
    <s v="S72_3212"/>
    <x v="72"/>
    <s v="7605558146"/>
    <s v="361 Furth Circle"/>
    <s v="San Diego"/>
    <s v="91217"/>
    <s v="USA"/>
    <s v="Thompson"/>
    <s v="Valarie"/>
    <s v="Small"/>
    <x v="917"/>
  </r>
  <r>
    <n v="10223"/>
    <n v="37"/>
    <n v="107.18"/>
    <n v="1"/>
    <n v="3965.66"/>
    <d v="2019-02-20T00:00:00"/>
    <s v="Shipped"/>
    <s v="Motorcycles"/>
    <n v="95"/>
    <s v="S10_1678"/>
    <x v="19"/>
    <s v="03 9520 4555"/>
    <s v="636 St Kilda Road"/>
    <s v="Melbourne"/>
    <s v="3004"/>
    <s v="Australia"/>
    <s v="Ferguson"/>
    <s v="Peter"/>
    <s v="Medium"/>
    <x v="918"/>
  </r>
  <r>
    <n v="10223"/>
    <n v="47"/>
    <n v="115.37"/>
    <n v="4"/>
    <n v="5422.39"/>
    <d v="2019-02-20T00:00:00"/>
    <s v="Shipped"/>
    <s v="Motorcycles"/>
    <n v="118"/>
    <s v="S10_2016"/>
    <x v="19"/>
    <s v="03 9520 4555"/>
    <s v="636 St Kilda Road"/>
    <s v="Melbourne"/>
    <s v="3004"/>
    <s v="Australia"/>
    <s v="Ferguson"/>
    <s v="Peter"/>
    <s v="Medium"/>
    <x v="919"/>
  </r>
  <r>
    <n v="10223"/>
    <n v="49"/>
    <n v="199.47"/>
    <n v="3"/>
    <n v="9774.0300000000007"/>
    <d v="2019-02-20T00:00:00"/>
    <s v="Shipped"/>
    <s v="Motorcycles"/>
    <n v="193"/>
    <s v="S10_4698"/>
    <x v="19"/>
    <s v="03 9520 4555"/>
    <s v="636 St Kilda Road"/>
    <s v="Melbourne"/>
    <s v="3004"/>
    <s v="Australia"/>
    <s v="Ferguson"/>
    <s v="Peter"/>
    <s v="Large"/>
    <x v="920"/>
  </r>
  <r>
    <n v="10223"/>
    <n v="47"/>
    <n v="100.53"/>
    <n v="9"/>
    <n v="4724.91"/>
    <d v="2019-02-20T00:00:00"/>
    <s v="Shipped"/>
    <s v="Planes"/>
    <n v="84"/>
    <s v="S18_2581"/>
    <x v="19"/>
    <s v="03 9520 4555"/>
    <s v="636 St Kilda Road"/>
    <s v="Melbourne"/>
    <s v="3004"/>
    <s v="Australia"/>
    <s v="Ferguson"/>
    <s v="Peter"/>
    <s v="Medium"/>
    <x v="921"/>
  </r>
  <r>
    <n v="10223"/>
    <n v="28"/>
    <n v="60.57"/>
    <n v="5"/>
    <n v="1695.96"/>
    <d v="2019-02-20T00:00:00"/>
    <s v="Shipped"/>
    <s v="Motorcycles"/>
    <n v="60"/>
    <s v="S18_2625"/>
    <x v="19"/>
    <s v="03 9520 4555"/>
    <s v="636 St Kilda Road"/>
    <s v="Melbourne"/>
    <s v="3004"/>
    <s v="Australia"/>
    <s v="Ferguson"/>
    <s v="Peter"/>
    <s v="Small"/>
    <x v="417"/>
  </r>
  <r>
    <n v="10223"/>
    <n v="32"/>
    <n v="91.29"/>
    <n v="2"/>
    <n v="2921.28"/>
    <d v="2019-02-20T00:00:00"/>
    <s v="Shipped"/>
    <s v="Motorcycles"/>
    <n v="112"/>
    <s v="S24_1578"/>
    <x v="19"/>
    <s v="03 9520 4555"/>
    <s v="636 St Kilda Road"/>
    <s v="Melbourne"/>
    <s v="3004"/>
    <s v="Australia"/>
    <s v="Ferguson"/>
    <s v="Peter"/>
    <s v="Small"/>
    <x v="922"/>
  </r>
  <r>
    <n v="10223"/>
    <n v="34"/>
    <n v="106.14"/>
    <n v="11"/>
    <n v="3608.76"/>
    <d v="2019-02-20T00:00:00"/>
    <s v="Shipped"/>
    <s v="Planes"/>
    <n v="109"/>
    <s v="S24_1785"/>
    <x v="19"/>
    <s v="03 9520 4555"/>
    <s v="636 St Kilda Road"/>
    <s v="Melbourne"/>
    <s v="3004"/>
    <s v="Australia"/>
    <s v="Ferguson"/>
    <s v="Peter"/>
    <s v="Medium"/>
    <x v="657"/>
  </r>
  <r>
    <n v="10223"/>
    <n v="38"/>
    <n v="69.31"/>
    <n v="6"/>
    <n v="2633.78"/>
    <d v="2019-02-20T00:00:00"/>
    <s v="Shipped"/>
    <s v="Motorcycles"/>
    <n v="76"/>
    <s v="S24_2000"/>
    <x v="19"/>
    <s v="03 9520 4555"/>
    <s v="636 St Kilda Road"/>
    <s v="Melbourne"/>
    <s v="3004"/>
    <s v="Australia"/>
    <s v="Ferguson"/>
    <s v="Peter"/>
    <s v="Small"/>
    <x v="881"/>
  </r>
  <r>
    <n v="10223"/>
    <n v="23"/>
    <n v="74.62"/>
    <n v="10"/>
    <n v="1716.26"/>
    <d v="2019-02-20T00:00:00"/>
    <s v="Shipped"/>
    <s v="Planes"/>
    <n v="72"/>
    <s v="S24_4278"/>
    <x v="19"/>
    <s v="03 9520 4555"/>
    <s v="636 St Kilda Road"/>
    <s v="Melbourne"/>
    <s v="3004"/>
    <s v="Australia"/>
    <s v="Ferguson"/>
    <s v="Peter"/>
    <s v="Small"/>
    <x v="923"/>
  </r>
  <r>
    <n v="10223"/>
    <n v="21"/>
    <n v="117.87"/>
    <n v="7"/>
    <n v="2475.27"/>
    <d v="2019-02-20T00:00:00"/>
    <s v="Shipped"/>
    <s v="Motorcycles"/>
    <n v="99"/>
    <s v="S32_1374"/>
    <x v="19"/>
    <s v="03 9520 4555"/>
    <s v="636 St Kilda Road"/>
    <s v="Melbourne"/>
    <s v="3004"/>
    <s v="Australia"/>
    <s v="Ferguson"/>
    <s v="Peter"/>
    <s v="Small"/>
    <x v="677"/>
  </r>
  <r>
    <n v="10223"/>
    <n v="20"/>
    <n v="66.040000000000006"/>
    <n v="12"/>
    <n v="1320.8"/>
    <d v="2019-02-20T00:00:00"/>
    <s v="Shipped"/>
    <s v="Vintage Cars"/>
    <n v="68"/>
    <s v="S32_4289"/>
    <x v="19"/>
    <s v="03 9520 4555"/>
    <s v="636 St Kilda Road"/>
    <s v="Melbourne"/>
    <s v="3004"/>
    <s v="Australia"/>
    <s v="Ferguson"/>
    <s v="Peter"/>
    <s v="Small"/>
    <x v="924"/>
  </r>
  <r>
    <n v="10223"/>
    <n v="41"/>
    <n v="46.26"/>
    <n v="13"/>
    <n v="1896.66"/>
    <d v="2019-02-20T00:00:00"/>
    <s v="Shipped"/>
    <s v="Vintage Cars"/>
    <n v="43"/>
    <s v="S50_1341"/>
    <x v="19"/>
    <s v="03 9520 4555"/>
    <s v="636 St Kilda Road"/>
    <s v="Melbourne"/>
    <s v="3004"/>
    <s v="Australia"/>
    <s v="Ferguson"/>
    <s v="Peter"/>
    <s v="Small"/>
    <x v="925"/>
  </r>
  <r>
    <n v="10223"/>
    <n v="25"/>
    <n v="101.39"/>
    <n v="14"/>
    <n v="2534.75"/>
    <d v="2019-02-20T00:00:00"/>
    <s v="Shipped"/>
    <s v="Planes"/>
    <n v="91"/>
    <s v="S700_1691"/>
    <x v="19"/>
    <s v="03 9520 4555"/>
    <s v="636 St Kilda Road"/>
    <s v="Melbourne"/>
    <s v="3004"/>
    <s v="Australia"/>
    <s v="Ferguson"/>
    <s v="Peter"/>
    <s v="Small"/>
    <x v="603"/>
  </r>
  <r>
    <n v="10223"/>
    <n v="29"/>
    <n v="110.34"/>
    <n v="8"/>
    <n v="3199.86"/>
    <d v="2019-02-20T00:00:00"/>
    <s v="Shipped"/>
    <s v="Planes"/>
    <n v="118"/>
    <s v="S700_2834"/>
    <x v="19"/>
    <s v="03 9520 4555"/>
    <s v="636 St Kilda Road"/>
    <s v="Melbourne"/>
    <s v="3004"/>
    <s v="Australia"/>
    <s v="Ferguson"/>
    <s v="Peter"/>
    <s v="Medium"/>
    <x v="926"/>
  </r>
  <r>
    <n v="10223"/>
    <n v="26"/>
    <n v="67.2"/>
    <n v="15"/>
    <n v="1747.2"/>
    <d v="2019-02-20T00:00:00"/>
    <s v="Shipped"/>
    <s v="Planes"/>
    <n v="80"/>
    <s v="S700_3167"/>
    <x v="19"/>
    <s v="03 9520 4555"/>
    <s v="636 St Kilda Road"/>
    <s v="Melbourne"/>
    <s v="3004"/>
    <s v="Australia"/>
    <s v="Ferguson"/>
    <s v="Peter"/>
    <s v="Small"/>
    <x v="250"/>
  </r>
  <r>
    <n v="10224"/>
    <n v="43"/>
    <n v="141.58000000000001"/>
    <n v="6"/>
    <n v="6087.94"/>
    <d v="2019-02-21T00:00:00"/>
    <s v="Shipped"/>
    <s v="Motorcycles"/>
    <n v="150"/>
    <s v="S12_2823"/>
    <x v="53"/>
    <s v="20.16.1555"/>
    <s v="184, chausse de Tournai"/>
    <s v="Lille"/>
    <s v="59000"/>
    <s v="France"/>
    <s v="Rance"/>
    <s v="Martine"/>
    <s v="Medium"/>
    <x v="927"/>
  </r>
  <r>
    <n v="10224"/>
    <n v="38"/>
    <n v="58.44"/>
    <n v="1"/>
    <n v="2220.7199999999998"/>
    <d v="2019-02-21T00:00:00"/>
    <s v="Shipped"/>
    <s v="Motorcycles"/>
    <n v="62"/>
    <s v="S18_3782"/>
    <x v="53"/>
    <s v="20.16.1555"/>
    <s v="184, chausse de Tournai"/>
    <s v="Lille"/>
    <s v="59000"/>
    <s v="France"/>
    <s v="Rance"/>
    <s v="Martine"/>
    <s v="Small"/>
    <x v="928"/>
  </r>
  <r>
    <n v="10224"/>
    <n v="37"/>
    <n v="80.34"/>
    <n v="4"/>
    <n v="2972.58"/>
    <d v="2019-02-21T00:00:00"/>
    <s v="Shipped"/>
    <s v="Motorcycles"/>
    <n v="69"/>
    <s v="S24_2360"/>
    <x v="53"/>
    <s v="20.16.1555"/>
    <s v="184, chausse de Tournai"/>
    <s v="Lille"/>
    <s v="59000"/>
    <s v="France"/>
    <s v="Rance"/>
    <s v="Martine"/>
    <s v="Small"/>
    <x v="211"/>
  </r>
  <r>
    <n v="10224"/>
    <n v="43"/>
    <n v="39.43"/>
    <n v="2"/>
    <n v="1695.49"/>
    <d v="2019-02-21T00:00:00"/>
    <s v="Shipped"/>
    <s v="Motorcycles"/>
    <n v="40"/>
    <s v="S32_2206"/>
    <x v="53"/>
    <s v="20.16.1555"/>
    <s v="184, chausse de Tournai"/>
    <s v="Lille"/>
    <s v="59000"/>
    <s v="France"/>
    <s v="Rance"/>
    <s v="Martine"/>
    <s v="Small"/>
    <x v="929"/>
  </r>
  <r>
    <n v="10224"/>
    <n v="30"/>
    <n v="111.23"/>
    <n v="5"/>
    <n v="3336.9"/>
    <d v="2019-02-21T00:00:00"/>
    <s v="Shipped"/>
    <s v="Motorcycles"/>
    <n v="102"/>
    <s v="S32_4485"/>
    <x v="53"/>
    <s v="20.16.1555"/>
    <s v="184, chausse de Tournai"/>
    <s v="Lille"/>
    <s v="59000"/>
    <s v="France"/>
    <s v="Rance"/>
    <s v="Martine"/>
    <s v="Medium"/>
    <x v="930"/>
  </r>
  <r>
    <n v="10224"/>
    <n v="50"/>
    <n v="77.290000000000006"/>
    <n v="3"/>
    <n v="3864.5"/>
    <d v="2019-02-21T00:00:00"/>
    <s v="Shipped"/>
    <s v="Motorcycles"/>
    <n v="81"/>
    <s v="S50_4713"/>
    <x v="53"/>
    <s v="20.16.1555"/>
    <s v="184, chausse de Tournai"/>
    <s v="Lille"/>
    <s v="59000"/>
    <s v="France"/>
    <s v="Rance"/>
    <s v="Martine"/>
    <s v="Medium"/>
    <x v="785"/>
  </r>
  <r>
    <n v="10225"/>
    <n v="27"/>
    <n v="167.33"/>
    <n v="9"/>
    <n v="4517.91"/>
    <d v="2019-02-22T00:00:00"/>
    <s v="Shipped"/>
    <s v="Classic Cars"/>
    <n v="194"/>
    <s v="S12_1099"/>
    <x v="73"/>
    <s v="0897-034555"/>
    <s v="Grenzacherweg 237"/>
    <s v="Gensve"/>
    <s v="1203"/>
    <s v="Switzerland"/>
    <s v="Holz"/>
    <s v="Michael"/>
    <s v="Medium"/>
    <x v="931"/>
  </r>
  <r>
    <n v="10225"/>
    <n v="25"/>
    <n v="99.82"/>
    <n v="7"/>
    <n v="2495.5"/>
    <d v="2019-02-22T00:00:00"/>
    <s v="Shipped"/>
    <s v="Classic Cars"/>
    <n v="117"/>
    <s v="S12_3380"/>
    <x v="73"/>
    <s v="0897-034555"/>
    <s v="Grenzacherweg 237"/>
    <s v="Gensve"/>
    <s v="1203"/>
    <s v="Switzerland"/>
    <s v="Holz"/>
    <s v="Michael"/>
    <s v="Small"/>
    <x v="932"/>
  </r>
  <r>
    <n v="10225"/>
    <n v="37"/>
    <n v="77.41"/>
    <n v="10"/>
    <n v="2864.17"/>
    <d v="2019-02-22T00:00:00"/>
    <s v="Shipped"/>
    <s v="Classic Cars"/>
    <n v="79"/>
    <s v="S12_3990"/>
    <x v="73"/>
    <s v="0897-034555"/>
    <s v="Grenzacherweg 237"/>
    <s v="Gensve"/>
    <s v="1203"/>
    <s v="Switzerland"/>
    <s v="Holz"/>
    <s v="Michael"/>
    <s v="Small"/>
    <x v="626"/>
  </r>
  <r>
    <n v="10225"/>
    <n v="21"/>
    <n v="127.83"/>
    <n v="6"/>
    <n v="2684.43"/>
    <d v="2019-02-22T00:00:00"/>
    <s v="Shipped"/>
    <s v="Classic Cars"/>
    <n v="115"/>
    <s v="S12_4675"/>
    <x v="73"/>
    <s v="0897-034555"/>
    <s v="Grenzacherweg 237"/>
    <s v="Gensve"/>
    <s v="1203"/>
    <s v="Switzerland"/>
    <s v="Holz"/>
    <s v="Michael"/>
    <s v="Small"/>
    <x v="933"/>
  </r>
  <r>
    <n v="10225"/>
    <n v="32"/>
    <n v="141.54"/>
    <n v="1"/>
    <n v="4529.28"/>
    <d v="2019-02-22T00:00:00"/>
    <s v="Shipped"/>
    <s v="Classic Cars"/>
    <n v="141"/>
    <s v="S18_1129"/>
    <x v="73"/>
    <s v="0897-034555"/>
    <s v="Grenzacherweg 237"/>
    <s v="Gensve"/>
    <s v="1203"/>
    <s v="Switzerland"/>
    <s v="Holz"/>
    <s v="Michael"/>
    <s v="Medium"/>
    <x v="73"/>
  </r>
  <r>
    <n v="10225"/>
    <n v="47"/>
    <n v="64.680000000000007"/>
    <n v="5"/>
    <n v="3039.96"/>
    <d v="2019-02-22T00:00:00"/>
    <s v="Shipped"/>
    <s v="Classic Cars"/>
    <n v="77"/>
    <s v="S18_1889"/>
    <x v="73"/>
    <s v="0897-034555"/>
    <s v="Grenzacherweg 237"/>
    <s v="Gensve"/>
    <s v="1203"/>
    <s v="Switzerland"/>
    <s v="Holz"/>
    <s v="Michael"/>
    <s v="Medium"/>
    <x v="934"/>
  </r>
  <r>
    <n v="10225"/>
    <n v="43"/>
    <n v="149.02000000000001"/>
    <n v="2"/>
    <n v="6407.86"/>
    <d v="2019-02-22T00:00:00"/>
    <s v="Shipped"/>
    <s v="Classic Cars"/>
    <n v="169"/>
    <s v="S18_3232"/>
    <x v="73"/>
    <s v="0897-034555"/>
    <s v="Grenzacherweg 237"/>
    <s v="Gensve"/>
    <s v="1203"/>
    <s v="Switzerland"/>
    <s v="Holz"/>
    <s v="Michael"/>
    <s v="Medium"/>
    <x v="935"/>
  </r>
  <r>
    <n v="10225"/>
    <n v="37"/>
    <n v="95.69"/>
    <n v="12"/>
    <n v="3540.53"/>
    <d v="2019-02-22T00:00:00"/>
    <s v="Shipped"/>
    <s v="Classic Cars"/>
    <n v="80"/>
    <s v="S18_3278"/>
    <x v="73"/>
    <s v="0897-034555"/>
    <s v="Grenzacherweg 237"/>
    <s v="Gensve"/>
    <s v="1203"/>
    <s v="Switzerland"/>
    <s v="Holz"/>
    <s v="Michael"/>
    <s v="Medium"/>
    <x v="936"/>
  </r>
  <r>
    <n v="10225"/>
    <n v="27"/>
    <n v="169.04"/>
    <n v="11"/>
    <n v="4564.08"/>
    <d v="2019-02-22T00:00:00"/>
    <s v="Shipped"/>
    <s v="Classic Cars"/>
    <n v="146"/>
    <s v="S18_3482"/>
    <x v="73"/>
    <s v="0897-034555"/>
    <s v="Grenzacherweg 237"/>
    <s v="Gensve"/>
    <s v="1203"/>
    <s v="Switzerland"/>
    <s v="Holz"/>
    <s v="Michael"/>
    <s v="Medium"/>
    <x v="504"/>
  </r>
  <r>
    <n v="10225"/>
    <n v="35"/>
    <n v="150.29"/>
    <n v="14"/>
    <n v="5260.15"/>
    <d v="2019-02-22T00:00:00"/>
    <s v="Shipped"/>
    <s v="Classic Cars"/>
    <n v="148"/>
    <s v="S18_4721"/>
    <x v="73"/>
    <s v="0897-034555"/>
    <s v="Grenzacherweg 237"/>
    <s v="Gensve"/>
    <s v="1203"/>
    <s v="Switzerland"/>
    <s v="Holz"/>
    <s v="Michael"/>
    <s v="Medium"/>
    <x v="887"/>
  </r>
  <r>
    <n v="10225"/>
    <n v="42"/>
    <n v="36.630000000000003"/>
    <n v="3"/>
    <n v="1538.46"/>
    <d v="2019-02-22T00:00:00"/>
    <s v="Shipped"/>
    <s v="Classic Cars"/>
    <n v="37"/>
    <s v="S24_2972"/>
    <x v="73"/>
    <s v="0897-034555"/>
    <s v="Grenzacherweg 237"/>
    <s v="Gensve"/>
    <s v="1203"/>
    <s v="Switzerland"/>
    <s v="Holz"/>
    <s v="Michael"/>
    <s v="Small"/>
    <x v="419"/>
  </r>
  <r>
    <n v="10225"/>
    <n v="24"/>
    <n v="50.21"/>
    <n v="8"/>
    <n v="1205.04"/>
    <d v="2019-02-22T00:00:00"/>
    <s v="Shipped"/>
    <s v="Classic Cars"/>
    <n v="61"/>
    <s v="S24_3371"/>
    <x v="73"/>
    <s v="0897-034555"/>
    <s v="Grenzacherweg 237"/>
    <s v="Gensve"/>
    <s v="1203"/>
    <s v="Switzerland"/>
    <s v="Holz"/>
    <s v="Michael"/>
    <s v="Small"/>
    <x v="420"/>
  </r>
  <r>
    <n v="10225"/>
    <n v="40"/>
    <n v="113.75"/>
    <n v="4"/>
    <n v="4550"/>
    <d v="2019-02-22T00:00:00"/>
    <s v="Shipped"/>
    <s v="Classic Cars"/>
    <n v="140"/>
    <s v="S24_3856"/>
    <x v="73"/>
    <s v="0897-034555"/>
    <s v="Grenzacherweg 237"/>
    <s v="Gensve"/>
    <s v="1203"/>
    <s v="Switzerland"/>
    <s v="Holz"/>
    <s v="Michael"/>
    <s v="Medium"/>
    <x v="483"/>
  </r>
  <r>
    <n v="10225"/>
    <n v="46"/>
    <n v="70.33"/>
    <n v="13"/>
    <n v="3235.18"/>
    <d v="2019-02-22T00:00:00"/>
    <s v="Shipped"/>
    <s v="Classic Cars"/>
    <n v="80"/>
    <s v="S24_4620"/>
    <x v="73"/>
    <s v="0897-034555"/>
    <s v="Grenzacherweg 237"/>
    <s v="Gensve"/>
    <s v="1203"/>
    <s v="Switzerland"/>
    <s v="Holz"/>
    <s v="Michael"/>
    <s v="Medium"/>
    <x v="217"/>
  </r>
  <r>
    <n v="10226"/>
    <n v="38"/>
    <n v="109.51"/>
    <n v="4"/>
    <n v="4161.38"/>
    <d v="2019-02-26T00:00:00"/>
    <s v="Shipped"/>
    <s v="Classic Cars"/>
    <n v="124"/>
    <s v="S18_1589"/>
    <x v="72"/>
    <s v="7605558146"/>
    <s v="361 Furth Circle"/>
    <s v="San Diego"/>
    <s v="91217"/>
    <s v="USA"/>
    <s v="Thompson"/>
    <s v="Valarie"/>
    <s v="Medium"/>
    <x v="416"/>
  </r>
  <r>
    <n v="10226"/>
    <n v="24"/>
    <n v="162.16999999999999"/>
    <n v="7"/>
    <n v="3892.08"/>
    <d v="2019-02-26T00:00:00"/>
    <s v="Shipped"/>
    <s v="Classic Cars"/>
    <n v="142"/>
    <s v="S18_1984"/>
    <x v="72"/>
    <s v="7605558146"/>
    <s v="361 Furth Circle"/>
    <s v="San Diego"/>
    <s v="91217"/>
    <s v="USA"/>
    <s v="Thompson"/>
    <s v="Valarie"/>
    <s v="Medium"/>
    <x v="937"/>
  </r>
  <r>
    <n v="10226"/>
    <n v="24"/>
    <n v="134.63999999999999"/>
    <n v="5"/>
    <n v="3231.36"/>
    <d v="2019-02-26T00:00:00"/>
    <s v="Shipped"/>
    <s v="Classic Cars"/>
    <n v="132"/>
    <s v="S18_2870"/>
    <x v="72"/>
    <s v="7605558146"/>
    <s v="361 Furth Circle"/>
    <s v="San Diego"/>
    <s v="91217"/>
    <s v="USA"/>
    <s v="Thompson"/>
    <s v="Valarie"/>
    <s v="Medium"/>
    <x v="938"/>
  </r>
  <r>
    <n v="10226"/>
    <n v="46"/>
    <n v="159.65"/>
    <n v="6"/>
    <n v="7343.9"/>
    <d v="2019-02-26T00:00:00"/>
    <s v="Shipped"/>
    <s v="Classic Cars"/>
    <n v="141"/>
    <s v="S18_3685"/>
    <x v="72"/>
    <s v="7605558146"/>
    <s v="361 Furth Circle"/>
    <s v="San Diego"/>
    <s v="91217"/>
    <s v="USA"/>
    <s v="Thompson"/>
    <s v="Valarie"/>
    <s v="Large"/>
    <x v="939"/>
  </r>
  <r>
    <n v="10226"/>
    <n v="21"/>
    <n v="60.26"/>
    <n v="1"/>
    <n v="1265.46"/>
    <d v="2019-02-26T00:00:00"/>
    <s v="Shipped"/>
    <s v="Classic Cars"/>
    <n v="73"/>
    <s v="S24_1046"/>
    <x v="72"/>
    <s v="7605558146"/>
    <s v="361 Furth Circle"/>
    <s v="San Diego"/>
    <s v="91217"/>
    <s v="USA"/>
    <s v="Thompson"/>
    <s v="Valarie"/>
    <s v="Small"/>
    <x v="490"/>
  </r>
  <r>
    <n v="10226"/>
    <n v="36"/>
    <n v="43.27"/>
    <n v="3"/>
    <n v="1557.72"/>
    <d v="2019-02-26T00:00:00"/>
    <s v="Shipped"/>
    <s v="Classic Cars"/>
    <n v="50"/>
    <s v="S24_1628"/>
    <x v="72"/>
    <s v="7605558146"/>
    <s v="361 Furth Circle"/>
    <s v="San Diego"/>
    <s v="91217"/>
    <s v="USA"/>
    <s v="Thompson"/>
    <s v="Valarie"/>
    <s v="Small"/>
    <x v="940"/>
  </r>
  <r>
    <n v="10226"/>
    <n v="48"/>
    <n v="92.09"/>
    <n v="2"/>
    <n v="4420.32"/>
    <d v="2019-02-26T00:00:00"/>
    <s v="Shipped"/>
    <s v="Classic Cars"/>
    <n v="107"/>
    <s v="S24_3432"/>
    <x v="72"/>
    <s v="7605558146"/>
    <s v="361 Furth Circle"/>
    <s v="San Diego"/>
    <s v="91217"/>
    <s v="USA"/>
    <s v="Thompson"/>
    <s v="Valarie"/>
    <s v="Medium"/>
    <x v="941"/>
  </r>
  <r>
    <n v="10227"/>
    <n v="25"/>
    <n v="118.15"/>
    <n v="3"/>
    <n v="2953.75"/>
    <d v="2019-03-02T00:00:00"/>
    <s v="Shipped"/>
    <s v="Vintage Cars"/>
    <n v="102"/>
    <s v="S18_1342"/>
    <x v="60"/>
    <s v="78.32.5555"/>
    <s v="2, rue du Commerce"/>
    <s v="Lyon"/>
    <s v="69004"/>
    <s v="France"/>
    <s v="Saveley"/>
    <s v="Mary"/>
    <s v="Small"/>
    <x v="942"/>
  </r>
  <r>
    <n v="10227"/>
    <n v="31"/>
    <n v="48.52"/>
    <n v="2"/>
    <n v="1504.12"/>
    <d v="2019-03-02T00:00:00"/>
    <s v="Shipped"/>
    <s v="Vintage Cars"/>
    <n v="53"/>
    <s v="S18_1367"/>
    <x v="60"/>
    <s v="78.32.5555"/>
    <s v="2, rue du Commerce"/>
    <s v="Lyon"/>
    <s v="69004"/>
    <s v="France"/>
    <s v="Saveley"/>
    <s v="Mary"/>
    <s v="Small"/>
    <x v="943"/>
  </r>
  <r>
    <n v="10227"/>
    <n v="26"/>
    <n v="142.80000000000001"/>
    <n v="10"/>
    <n v="3712.8"/>
    <d v="2019-03-02T00:00:00"/>
    <s v="Shipped"/>
    <s v="Vintage Cars"/>
    <n v="170"/>
    <s v="S18_1749"/>
    <x v="60"/>
    <s v="78.32.5555"/>
    <s v="2, rue du Commerce"/>
    <s v="Lyon"/>
    <s v="69004"/>
    <s v="France"/>
    <s v="Saveley"/>
    <s v="Mary"/>
    <s v="Medium"/>
    <x v="737"/>
  </r>
  <r>
    <n v="10227"/>
    <n v="28"/>
    <n v="50.85"/>
    <n v="9"/>
    <n v="1423.8"/>
    <d v="2019-03-02T00:00:00"/>
    <s v="Shipped"/>
    <s v="Vintage Cars"/>
    <n v="60"/>
    <s v="S18_2248"/>
    <x v="60"/>
    <s v="78.32.5555"/>
    <s v="2, rue du Commerce"/>
    <s v="Lyon"/>
    <s v="69004"/>
    <s v="France"/>
    <s v="Saveley"/>
    <s v="Mary"/>
    <s v="Small"/>
    <x v="515"/>
  </r>
  <r>
    <n v="10227"/>
    <n v="46"/>
    <n v="152.56"/>
    <n v="7"/>
    <n v="7017.76"/>
    <d v="2019-03-02T00:00:00"/>
    <s v="Shipped"/>
    <s v="Vintage Cars"/>
    <n v="127"/>
    <s v="S18_2325"/>
    <x v="60"/>
    <s v="78.32.5555"/>
    <s v="2, rue du Commerce"/>
    <s v="Lyon"/>
    <s v="69004"/>
    <s v="France"/>
    <s v="Saveley"/>
    <s v="Mary"/>
    <s v="Large"/>
    <x v="944"/>
  </r>
  <r>
    <n v="10227"/>
    <n v="29"/>
    <n v="192.38"/>
    <n v="4"/>
    <n v="5579.02"/>
    <d v="2019-03-02T00:00:00"/>
    <s v="Shipped"/>
    <s v="Vintage Cars"/>
    <n v="168"/>
    <s v="S18_2795"/>
    <x v="60"/>
    <s v="78.32.5555"/>
    <s v="2, rue du Commerce"/>
    <s v="Lyon"/>
    <s v="69004"/>
    <s v="France"/>
    <s v="Saveley"/>
    <s v="Mary"/>
    <s v="Medium"/>
    <x v="945"/>
  </r>
  <r>
    <n v="10227"/>
    <n v="33"/>
    <n v="111.12"/>
    <n v="1"/>
    <n v="3666.96"/>
    <d v="2019-03-02T00:00:00"/>
    <s v="Shipped"/>
    <s v="Vintage Cars"/>
    <n v="99"/>
    <s v="S18_3320"/>
    <x v="60"/>
    <s v="78.32.5555"/>
    <s v="2, rue du Commerce"/>
    <s v="Lyon"/>
    <s v="69004"/>
    <s v="France"/>
    <s v="Saveley"/>
    <s v="Mary"/>
    <s v="Medium"/>
    <x v="168"/>
  </r>
  <r>
    <n v="10227"/>
    <n v="34"/>
    <n v="104.91"/>
    <n v="11"/>
    <n v="3566.94"/>
    <d v="2019-03-02T00:00:00"/>
    <s v="Shipped"/>
    <s v="Vintage Cars"/>
    <n v="92"/>
    <s v="S18_4409"/>
    <x v="60"/>
    <s v="78.32.5555"/>
    <s v="2, rue du Commerce"/>
    <s v="Lyon"/>
    <s v="69004"/>
    <s v="France"/>
    <s v="Saveley"/>
    <s v="Mary"/>
    <s v="Medium"/>
    <x v="725"/>
  </r>
  <r>
    <n v="10227"/>
    <n v="37"/>
    <n v="57.73"/>
    <n v="12"/>
    <n v="2136.0100000000002"/>
    <d v="2019-03-02T00:00:00"/>
    <s v="Shipped"/>
    <s v="Classic Cars"/>
    <n v="71"/>
    <s v="S18_4933"/>
    <x v="60"/>
    <s v="78.32.5555"/>
    <s v="2, rue du Commerce"/>
    <s v="Lyon"/>
    <s v="69004"/>
    <s v="France"/>
    <s v="Saveley"/>
    <s v="Mary"/>
    <s v="Small"/>
    <x v="946"/>
  </r>
  <r>
    <n v="10227"/>
    <n v="42"/>
    <n v="29.21"/>
    <n v="6"/>
    <n v="1226.82"/>
    <d v="2019-03-02T00:00:00"/>
    <s v="Shipped"/>
    <s v="Vintage Cars"/>
    <n v="33"/>
    <s v="S24_1937"/>
    <x v="60"/>
    <s v="78.32.5555"/>
    <s v="2, rue du Commerce"/>
    <s v="Lyon"/>
    <s v="69004"/>
    <s v="France"/>
    <s v="Saveley"/>
    <s v="Mary"/>
    <s v="Small"/>
    <x v="947"/>
  </r>
  <r>
    <n v="10227"/>
    <n v="24"/>
    <n v="48.38"/>
    <n v="5"/>
    <n v="1161.1199999999999"/>
    <d v="2019-03-02T00:00:00"/>
    <s v="Shipped"/>
    <s v="Vintage Cars"/>
    <n v="44"/>
    <s v="S24_2022"/>
    <x v="60"/>
    <s v="78.32.5555"/>
    <s v="2, rue du Commerce"/>
    <s v="Lyon"/>
    <s v="69004"/>
    <s v="France"/>
    <s v="Saveley"/>
    <s v="Mary"/>
    <s v="Small"/>
    <x v="105"/>
  </r>
  <r>
    <n v="10227"/>
    <n v="47"/>
    <n v="88.14"/>
    <n v="14"/>
    <n v="4142.58"/>
    <d v="2019-03-02T00:00:00"/>
    <s v="Shipped"/>
    <s v="Classic Cars"/>
    <n v="90"/>
    <s v="S24_2766"/>
    <x v="60"/>
    <s v="78.32.5555"/>
    <s v="2, rue du Commerce"/>
    <s v="Lyon"/>
    <s v="69004"/>
    <s v="France"/>
    <s v="Saveley"/>
    <s v="Mary"/>
    <s v="Medium"/>
    <x v="948"/>
  </r>
  <r>
    <n v="10227"/>
    <n v="33"/>
    <n v="131.53"/>
    <n v="13"/>
    <n v="4340.49"/>
    <d v="2019-03-02T00:00:00"/>
    <s v="Shipped"/>
    <s v="Classic Cars"/>
    <n v="117"/>
    <s v="S24_2887"/>
    <x v="60"/>
    <s v="78.32.5555"/>
    <s v="2, rue du Commerce"/>
    <s v="Lyon"/>
    <s v="69004"/>
    <s v="France"/>
    <s v="Saveley"/>
    <s v="Mary"/>
    <s v="Medium"/>
    <x v="134"/>
  </r>
  <r>
    <n v="10227"/>
    <n v="40"/>
    <n v="79.62"/>
    <n v="15"/>
    <n v="3184.8"/>
    <d v="2019-03-02T00:00:00"/>
    <s v="Shipped"/>
    <s v="Classic Cars"/>
    <n v="85"/>
    <s v="S24_3191"/>
    <x v="60"/>
    <s v="78.32.5555"/>
    <s v="2, rue du Commerce"/>
    <s v="Lyon"/>
    <s v="69004"/>
    <s v="France"/>
    <s v="Saveley"/>
    <s v="Mary"/>
    <s v="Medium"/>
    <x v="949"/>
  </r>
  <r>
    <n v="10227"/>
    <n v="27"/>
    <n v="43.9"/>
    <n v="8"/>
    <n v="1185.3"/>
    <d v="2019-03-02T00:00:00"/>
    <s v="Shipped"/>
    <s v="Vintage Cars"/>
    <n v="41"/>
    <s v="S24_3969"/>
    <x v="60"/>
    <s v="78.32.5555"/>
    <s v="2, rue du Commerce"/>
    <s v="Lyon"/>
    <s v="69004"/>
    <s v="France"/>
    <s v="Saveley"/>
    <s v="Mary"/>
    <s v="Small"/>
    <x v="338"/>
  </r>
  <r>
    <n v="10228"/>
    <n v="29"/>
    <n v="222.87"/>
    <n v="2"/>
    <n v="6463.23"/>
    <d v="2019-03-10T00:00:00"/>
    <s v="Shipped"/>
    <s v="Classic Cars"/>
    <n v="214"/>
    <s v="S10_1949"/>
    <x v="74"/>
    <s v="6175555555"/>
    <s v="4658 Baden Av."/>
    <s v="Cambridge"/>
    <s v="51247"/>
    <s v="USA"/>
    <s v="Tseng"/>
    <s v="Kyung"/>
    <s v="Medium"/>
    <x v="950"/>
  </r>
  <r>
    <n v="10228"/>
    <n v="32"/>
    <n v="105"/>
    <n v="1"/>
    <n v="3360"/>
    <d v="2019-03-10T00:00:00"/>
    <s v="Shipped"/>
    <s v="Trucks and Buses"/>
    <n v="116"/>
    <s v="S18_1097"/>
    <x v="74"/>
    <s v="6175555555"/>
    <s v="4658 Baden Av."/>
    <s v="Cambridge"/>
    <s v="51247"/>
    <s v="USA"/>
    <s v="Tseng"/>
    <s v="Kyung"/>
    <s v="Medium"/>
    <x v="951"/>
  </r>
  <r>
    <n v="10228"/>
    <n v="24"/>
    <n v="104.35"/>
    <n v="3"/>
    <n v="2504.4"/>
    <d v="2019-03-10T00:00:00"/>
    <s v="Shipped"/>
    <s v="Vintage Cars"/>
    <n v="101"/>
    <s v="S18_2949"/>
    <x v="74"/>
    <s v="6175555555"/>
    <s v="4658 Baden Av."/>
    <s v="Cambridge"/>
    <s v="51247"/>
    <s v="USA"/>
    <s v="Tseng"/>
    <s v="Kyung"/>
    <s v="Small"/>
    <x v="100"/>
  </r>
  <r>
    <n v="10228"/>
    <n v="45"/>
    <n v="63.71"/>
    <n v="5"/>
    <n v="2866.95"/>
    <d v="2019-03-10T00:00:00"/>
    <s v="Shipped"/>
    <s v="Vintage Cars"/>
    <n v="62"/>
    <s v="S18_2957"/>
    <x v="74"/>
    <s v="6175555555"/>
    <s v="4658 Baden Av."/>
    <s v="Cambridge"/>
    <s v="51247"/>
    <s v="USA"/>
    <s v="Tseng"/>
    <s v="Kyung"/>
    <s v="Small"/>
    <x v="952"/>
  </r>
  <r>
    <n v="10228"/>
    <n v="31"/>
    <n v="102.63"/>
    <n v="4"/>
    <n v="3181.53"/>
    <d v="2019-03-10T00:00:00"/>
    <s v="Shipped"/>
    <s v="Vintage Cars"/>
    <n v="104"/>
    <s v="S18_3136"/>
    <x v="74"/>
    <s v="6175555555"/>
    <s v="4658 Baden Av."/>
    <s v="Cambridge"/>
    <s v="51247"/>
    <s v="USA"/>
    <s v="Tseng"/>
    <s v="Kyung"/>
    <s v="Medium"/>
    <x v="953"/>
  </r>
  <r>
    <n v="10228"/>
    <n v="33"/>
    <n v="103.23"/>
    <n v="6"/>
    <n v="3406.59"/>
    <d v="2019-03-10T00:00:00"/>
    <s v="Shipped"/>
    <s v="Vintage Cars"/>
    <n v="97"/>
    <s v="S24_4258"/>
    <x v="74"/>
    <s v="6175555555"/>
    <s v="4658 Baden Av."/>
    <s v="Cambridge"/>
    <s v="51247"/>
    <s v="USA"/>
    <s v="Tseng"/>
    <s v="Kyung"/>
    <s v="Medium"/>
    <x v="897"/>
  </r>
  <r>
    <n v="10229"/>
    <n v="50"/>
    <n v="128.53"/>
    <n v="9"/>
    <n v="6426.5"/>
    <d v="2019-03-11T00:00:00"/>
    <s v="Shipped"/>
    <s v="Classic Cars"/>
    <n v="147"/>
    <s v="S10_4962"/>
    <x v="12"/>
    <s v="4155551450"/>
    <s v="5677 Strong St."/>
    <s v="San Rafael"/>
    <s v="97562"/>
    <s v="USA"/>
    <s v="Nelson"/>
    <s v="Valarie"/>
    <s v="Medium"/>
    <x v="954"/>
  </r>
  <r>
    <n v="10229"/>
    <n v="25"/>
    <n v="138.04"/>
    <n v="13"/>
    <n v="3451"/>
    <d v="2019-03-11T00:00:00"/>
    <s v="Shipped"/>
    <s v="Trucks and Buses"/>
    <n v="136"/>
    <s v="S12_1666"/>
    <x v="12"/>
    <s v="4155551450"/>
    <s v="5677 Strong St."/>
    <s v="San Rafael"/>
    <s v="97562"/>
    <s v="USA"/>
    <s v="Nelson"/>
    <s v="Valarie"/>
    <s v="Medium"/>
    <x v="767"/>
  </r>
  <r>
    <n v="10229"/>
    <n v="36"/>
    <n v="125.61"/>
    <n v="1"/>
    <n v="4521.96"/>
    <d v="2019-03-11T00:00:00"/>
    <s v="Shipped"/>
    <s v="Trucks and Buses"/>
    <n v="118"/>
    <s v="S12_4473"/>
    <x v="12"/>
    <s v="4155551450"/>
    <s v="5677 Strong St."/>
    <s v="San Rafael"/>
    <s v="97562"/>
    <s v="USA"/>
    <s v="Nelson"/>
    <s v="Valarie"/>
    <s v="Medium"/>
    <x v="955"/>
  </r>
  <r>
    <n v="10229"/>
    <n v="26"/>
    <n v="144.82"/>
    <n v="4"/>
    <n v="3765.32"/>
    <d v="2019-03-11T00:00:00"/>
    <s v="Shipped"/>
    <s v="Trucks and Buses"/>
    <n v="122"/>
    <s v="S18_2319"/>
    <x v="12"/>
    <s v="4155551450"/>
    <s v="5677 Strong St."/>
    <s v="San Rafael"/>
    <s v="97562"/>
    <s v="USA"/>
    <s v="Nelson"/>
    <s v="Valarie"/>
    <s v="Medium"/>
    <x v="956"/>
  </r>
  <r>
    <n v="10229"/>
    <n v="28"/>
    <n v="59.55"/>
    <n v="7"/>
    <n v="1667.4"/>
    <d v="2019-03-11T00:00:00"/>
    <s v="Shipped"/>
    <s v="Trucks and Buses"/>
    <n v="60"/>
    <s v="S18_2432"/>
    <x v="12"/>
    <s v="4155551450"/>
    <s v="5677 Strong St."/>
    <s v="San Rafael"/>
    <s v="97562"/>
    <s v="USA"/>
    <s v="Nelson"/>
    <s v="Valarie"/>
    <s v="Small"/>
    <x v="957"/>
  </r>
  <r>
    <n v="10229"/>
    <n v="22"/>
    <n v="189.66"/>
    <n v="5"/>
    <n v="4172.5200000000004"/>
    <d v="2019-03-11T00:00:00"/>
    <s v="Shipped"/>
    <s v="Classic Cars"/>
    <n v="169"/>
    <s v="S18_3232"/>
    <x v="12"/>
    <s v="4155551450"/>
    <s v="5677 Strong St."/>
    <s v="San Rafael"/>
    <s v="97562"/>
    <s v="USA"/>
    <s v="Nelson"/>
    <s v="Valarie"/>
    <s v="Medium"/>
    <x v="958"/>
  </r>
  <r>
    <n v="10229"/>
    <n v="41"/>
    <n v="115.03"/>
    <n v="10"/>
    <n v="4716.2299999999996"/>
    <d v="2019-03-11T00:00:00"/>
    <s v="Shipped"/>
    <s v="Trucks and Buses"/>
    <n v="121"/>
    <s v="S18_4600"/>
    <x v="12"/>
    <s v="4155551450"/>
    <s v="5677 Strong St."/>
    <s v="San Rafael"/>
    <s v="97562"/>
    <s v="USA"/>
    <s v="Nelson"/>
    <s v="Valarie"/>
    <s v="Medium"/>
    <x v="141"/>
  </r>
  <r>
    <n v="10229"/>
    <n v="39"/>
    <n v="40.25"/>
    <n v="14"/>
    <n v="1569.75"/>
    <d v="2019-03-11T00:00:00"/>
    <s v="Shipped"/>
    <s v="Vintage Cars"/>
    <n v="50"/>
    <s v="S18_4668"/>
    <x v="12"/>
    <s v="4155551450"/>
    <s v="5677 Strong St."/>
    <s v="San Rafael"/>
    <s v="97562"/>
    <s v="USA"/>
    <s v="Nelson"/>
    <s v="Valarie"/>
    <s v="Small"/>
    <x v="959"/>
  </r>
  <r>
    <n v="10229"/>
    <n v="48"/>
    <n v="118.84"/>
    <n v="6"/>
    <n v="5704.32"/>
    <d v="2019-03-11T00:00:00"/>
    <s v="Shipped"/>
    <s v="Trucks and Buses"/>
    <n v="127"/>
    <s v="S24_2300"/>
    <x v="12"/>
    <s v="4155551450"/>
    <s v="5677 Strong St."/>
    <s v="San Rafael"/>
    <s v="97562"/>
    <s v="USA"/>
    <s v="Nelson"/>
    <s v="Valarie"/>
    <s v="Medium"/>
    <x v="960"/>
  </r>
  <r>
    <n v="10229"/>
    <n v="33"/>
    <n v="32.880000000000003"/>
    <n v="2"/>
    <n v="1085.04"/>
    <d v="2019-03-11T00:00:00"/>
    <s v="Shipped"/>
    <s v="Classic Cars"/>
    <n v="35"/>
    <s v="S24_2840"/>
    <x v="12"/>
    <s v="4155551450"/>
    <s v="5677 Strong St."/>
    <s v="San Rafael"/>
    <s v="97562"/>
    <s v="USA"/>
    <s v="Nelson"/>
    <s v="Valarie"/>
    <s v="Small"/>
    <x v="405"/>
  </r>
  <r>
    <n v="10229"/>
    <n v="25"/>
    <n v="111.72"/>
    <n v="8"/>
    <n v="2793"/>
    <d v="2019-03-11T00:00:00"/>
    <s v="Shipped"/>
    <s v="Trucks and Buses"/>
    <n v="96"/>
    <s v="S32_1268"/>
    <x v="12"/>
    <s v="4155551450"/>
    <s v="5677 Strong St."/>
    <s v="San Rafael"/>
    <s v="97562"/>
    <s v="USA"/>
    <s v="Nelson"/>
    <s v="Valarie"/>
    <s v="Small"/>
    <x v="961"/>
  </r>
  <r>
    <n v="10229"/>
    <n v="23"/>
    <n v="54.11"/>
    <n v="3"/>
    <n v="1244.53"/>
    <d v="2019-03-11T00:00:00"/>
    <s v="Shipped"/>
    <s v="Trucks and Buses"/>
    <n v="54"/>
    <s v="S32_2509"/>
    <x v="12"/>
    <s v="4155551450"/>
    <s v="5677 Strong St."/>
    <s v="San Rafael"/>
    <s v="97562"/>
    <s v="USA"/>
    <s v="Nelson"/>
    <s v="Valarie"/>
    <s v="Small"/>
    <x v="962"/>
  </r>
  <r>
    <n v="10229"/>
    <n v="30"/>
    <n v="73.040000000000006"/>
    <n v="12"/>
    <n v="2191.1999999999998"/>
    <d v="2019-03-11T00:00:00"/>
    <s v="Shipped"/>
    <s v="Trucks and Buses"/>
    <n v="64"/>
    <s v="S32_3522"/>
    <x v="12"/>
    <s v="4155551450"/>
    <s v="5677 Strong St."/>
    <s v="San Rafael"/>
    <s v="97562"/>
    <s v="USA"/>
    <s v="Nelson"/>
    <s v="Valarie"/>
    <s v="Small"/>
    <x v="898"/>
  </r>
  <r>
    <n v="10229"/>
    <n v="50"/>
    <n v="112.28"/>
    <n v="11"/>
    <n v="5614"/>
    <d v="2019-03-11T00:00:00"/>
    <s v="Shipped"/>
    <s v="Classic Cars"/>
    <n v="101"/>
    <s v="S700_2824"/>
    <x v="12"/>
    <s v="4155551450"/>
    <s v="5677 Strong St."/>
    <s v="San Rafael"/>
    <s v="97562"/>
    <s v="USA"/>
    <s v="Nelson"/>
    <s v="Valarie"/>
    <s v="Medium"/>
    <x v="963"/>
  </r>
  <r>
    <n v="10230"/>
    <n v="43"/>
    <n v="163.16999999999999"/>
    <n v="1"/>
    <n v="7016.31"/>
    <d v="2019-03-15T00:00:00"/>
    <s v="Shipped"/>
    <s v="Classic Cars"/>
    <n v="151"/>
    <s v="S12_3148"/>
    <x v="1"/>
    <s v="+49 69 66 90 2555"/>
    <s v="Lyonerstr. 34"/>
    <s v="Frankfurt"/>
    <s v="60528"/>
    <s v="Germany"/>
    <s v="Keitel"/>
    <s v="Roland"/>
    <s v="Large"/>
    <x v="314"/>
  </r>
  <r>
    <n v="10230"/>
    <n v="49"/>
    <n v="148.99"/>
    <n v="8"/>
    <n v="7300.51"/>
    <d v="2019-03-15T00:00:00"/>
    <s v="Shipped"/>
    <s v="Classic Cars"/>
    <n v="163"/>
    <s v="S18_2238"/>
    <x v="1"/>
    <s v="+49 69 66 90 2555"/>
    <s v="Lyonerstr. 34"/>
    <s v="Frankfurt"/>
    <s v="60528"/>
    <s v="Germany"/>
    <s v="Keitel"/>
    <s v="Roland"/>
    <s v="Large"/>
    <x v="239"/>
  </r>
  <r>
    <n v="10230"/>
    <n v="42"/>
    <n v="172.34"/>
    <n v="3"/>
    <n v="7238.28"/>
    <d v="2019-03-15T00:00:00"/>
    <s v="Shipped"/>
    <s v="Classic Cars"/>
    <n v="143"/>
    <s v="S18_4027"/>
    <x v="1"/>
    <s v="+49 69 66 90 2555"/>
    <s v="Lyonerstr. 34"/>
    <s v="Frankfurt"/>
    <s v="60528"/>
    <s v="Germany"/>
    <s v="Keitel"/>
    <s v="Roland"/>
    <s v="Large"/>
    <x v="117"/>
  </r>
  <r>
    <n v="10230"/>
    <n v="36"/>
    <n v="54.33"/>
    <n v="6"/>
    <n v="1955.88"/>
    <d v="2019-03-15T00:00:00"/>
    <s v="Shipped"/>
    <s v="Classic Cars"/>
    <n v="57"/>
    <s v="S24_1444"/>
    <x v="1"/>
    <s v="+49 69 66 90 2555"/>
    <s v="Lyonerstr. 34"/>
    <s v="Frankfurt"/>
    <s v="60528"/>
    <s v="Germany"/>
    <s v="Keitel"/>
    <s v="Roland"/>
    <s v="Small"/>
    <x v="964"/>
  </r>
  <r>
    <n v="10230"/>
    <n v="45"/>
    <n v="105.27"/>
    <n v="5"/>
    <n v="4737.1499999999996"/>
    <d v="2019-03-15T00:00:00"/>
    <s v="Shipped"/>
    <s v="Classic Cars"/>
    <n v="118"/>
    <s v="S24_4048"/>
    <x v="1"/>
    <s v="+49 69 66 90 2555"/>
    <s v="Lyonerstr. 34"/>
    <s v="Frankfurt"/>
    <s v="60528"/>
    <s v="Germany"/>
    <s v="Keitel"/>
    <s v="Roland"/>
    <s v="Medium"/>
    <x v="294"/>
  </r>
  <r>
    <n v="10230"/>
    <n v="46"/>
    <n v="60.9"/>
    <n v="4"/>
    <n v="2801.4"/>
    <d v="2019-03-15T00:00:00"/>
    <s v="Shipped"/>
    <s v="Trains"/>
    <n v="62"/>
    <s v="S32_3207"/>
    <x v="1"/>
    <s v="+49 69 66 90 2555"/>
    <s v="Lyonerstr. 34"/>
    <s v="Frankfurt"/>
    <s v="60528"/>
    <s v="Germany"/>
    <s v="Keitel"/>
    <s v="Roland"/>
    <s v="Small"/>
    <x v="965"/>
  </r>
  <r>
    <n v="10230"/>
    <n v="34"/>
    <n v="116.91"/>
    <n v="7"/>
    <n v="3974.94"/>
    <d v="2019-03-15T00:00:00"/>
    <s v="Shipped"/>
    <s v="Trucks and Buses"/>
    <n v="115"/>
    <s v="S50_1392"/>
    <x v="1"/>
    <s v="+49 69 66 90 2555"/>
    <s v="Lyonerstr. 34"/>
    <s v="Frankfurt"/>
    <s v="60528"/>
    <s v="Germany"/>
    <s v="Keitel"/>
    <s v="Roland"/>
    <s v="Medium"/>
    <x v="966"/>
  </r>
  <r>
    <n v="10230"/>
    <n v="43"/>
    <n v="52.14"/>
    <n v="2"/>
    <n v="2242.02"/>
    <d v="2019-03-15T00:00:00"/>
    <s v="Shipped"/>
    <s v="Trains"/>
    <n v="58"/>
    <s v="S50_1514"/>
    <x v="1"/>
    <s v="+49 69 66 90 2555"/>
    <s v="Lyonerstr. 34"/>
    <s v="Frankfurt"/>
    <s v="60528"/>
    <s v="Germany"/>
    <s v="Keitel"/>
    <s v="Roland"/>
    <s v="Small"/>
    <x v="967"/>
  </r>
  <r>
    <n v="10231"/>
    <n v="42"/>
    <n v="199.49"/>
    <n v="2"/>
    <n v="8378.58"/>
    <d v="2019-03-19T00:00:00"/>
    <s v="Shipped"/>
    <s v="Classic Cars"/>
    <n v="207"/>
    <s v="S12_1108"/>
    <x v="52"/>
    <s v="+34 913 728 555"/>
    <s v="Merchants House, 27-30 Merchant's Quay"/>
    <s v="Madrid"/>
    <s v="28023"/>
    <s v="Spain"/>
    <s v="Fernandez"/>
    <s v="Jesus"/>
    <s v="Large"/>
    <x v="968"/>
  </r>
  <r>
    <n v="10231"/>
    <n v="49"/>
    <n v="141.88"/>
    <n v="1"/>
    <n v="6952.12"/>
    <d v="2019-03-19T00:00:00"/>
    <s v="Shipped"/>
    <s v="Classic Cars"/>
    <n v="173"/>
    <s v="S12_3891"/>
    <x v="52"/>
    <s v="+34 913 728 555"/>
    <s v="Merchants House, 27-30 Merchant's Quay"/>
    <s v="Madrid"/>
    <s v="28023"/>
    <s v="Spain"/>
    <s v="Fernandez"/>
    <s v="Jesus"/>
    <s v="Medium"/>
    <x v="969"/>
  </r>
  <r>
    <n v="10232"/>
    <n v="22"/>
    <n v="163.91"/>
    <n v="6"/>
    <n v="3606.02"/>
    <d v="2019-03-20T00:00:00"/>
    <s v="Shipped"/>
    <s v="Vintage Cars"/>
    <n v="136"/>
    <s v="S18_3140"/>
    <x v="75"/>
    <s v="(198) 555-8888"/>
    <s v="Garden House Crowther Way"/>
    <s v="Cowes"/>
    <s v="PO31 7PJ"/>
    <s v="UK"/>
    <s v="Bennett"/>
    <s v="Helen"/>
    <s v="Medium"/>
    <x v="970"/>
  </r>
  <r>
    <n v="10232"/>
    <n v="48"/>
    <n v="95.8"/>
    <n v="8"/>
    <n v="4598.3999999999996"/>
    <d v="2019-03-20T00:00:00"/>
    <s v="Shipped"/>
    <s v="Trains"/>
    <n v="100"/>
    <s v="S18_3259"/>
    <x v="75"/>
    <s v="(198) 555-8888"/>
    <s v="Garden House Crowther Way"/>
    <s v="Cowes"/>
    <s v="PO31 7PJ"/>
    <s v="UK"/>
    <s v="Bennett"/>
    <s v="Helen"/>
    <s v="Medium"/>
    <x v="971"/>
  </r>
  <r>
    <n v="10232"/>
    <n v="23"/>
    <n v="89.53"/>
    <n v="5"/>
    <n v="2059.19"/>
    <d v="2019-03-20T00:00:00"/>
    <s v="Shipped"/>
    <s v="Vintage Cars"/>
    <n v="87"/>
    <s v="S18_4522"/>
    <x v="75"/>
    <s v="(198) 555-8888"/>
    <s v="Garden House Crowther Way"/>
    <s v="Cowes"/>
    <s v="PO31 7PJ"/>
    <s v="UK"/>
    <s v="Bennett"/>
    <s v="Helen"/>
    <s v="Small"/>
    <x v="972"/>
  </r>
  <r>
    <n v="10232"/>
    <n v="46"/>
    <n v="122.89"/>
    <n v="4"/>
    <n v="5652.94"/>
    <d v="2019-03-20T00:00:00"/>
    <s v="Shipped"/>
    <s v="Ships"/>
    <n v="122"/>
    <s v="S24_2011"/>
    <x v="75"/>
    <s v="(198) 555-8888"/>
    <s v="Garden House Crowther Way"/>
    <s v="Cowes"/>
    <s v="PO31 7PJ"/>
    <s v="UK"/>
    <s v="Bennett"/>
    <s v="Helen"/>
    <s v="Medium"/>
    <x v="973"/>
  </r>
  <r>
    <n v="10232"/>
    <n v="26"/>
    <n v="88.34"/>
    <n v="7"/>
    <n v="2296.84"/>
    <d v="2019-03-20T00:00:00"/>
    <s v="Shipped"/>
    <s v="Ships"/>
    <n v="86"/>
    <s v="S700_1938"/>
    <x v="75"/>
    <s v="(198) 555-8888"/>
    <s v="Garden House Crowther Way"/>
    <s v="Cowes"/>
    <s v="PO31 7PJ"/>
    <s v="UK"/>
    <s v="Bennett"/>
    <s v="Helen"/>
    <s v="Small"/>
    <x v="473"/>
  </r>
  <r>
    <n v="10232"/>
    <n v="48"/>
    <n v="96.16"/>
    <n v="1"/>
    <n v="4615.68"/>
    <d v="2019-03-20T00:00:00"/>
    <s v="Shipped"/>
    <s v="Ships"/>
    <n v="100"/>
    <s v="S700_3505"/>
    <x v="75"/>
    <s v="(198) 555-8888"/>
    <s v="Garden House Crowther Way"/>
    <s v="Cowes"/>
    <s v="PO31 7PJ"/>
    <s v="UK"/>
    <s v="Bennett"/>
    <s v="Helen"/>
    <s v="Medium"/>
    <x v="974"/>
  </r>
  <r>
    <n v="10232"/>
    <n v="35"/>
    <n v="82.43"/>
    <n v="2"/>
    <n v="2885.05"/>
    <d v="2019-03-20T00:00:00"/>
    <s v="Shipped"/>
    <s v="Ships"/>
    <n v="99"/>
    <s v="S700_3962"/>
    <x v="75"/>
    <s v="(198) 555-8888"/>
    <s v="Garden House Crowther Way"/>
    <s v="Cowes"/>
    <s v="PO31 7PJ"/>
    <s v="UK"/>
    <s v="Bennett"/>
    <s v="Helen"/>
    <s v="Small"/>
    <x v="817"/>
  </r>
  <r>
    <n v="10232"/>
    <n v="24"/>
    <n v="49.69"/>
    <n v="3"/>
    <n v="1192.56"/>
    <d v="2019-03-20T00:00:00"/>
    <s v="Shipped"/>
    <s v="Ships"/>
    <n v="54"/>
    <s v="S72_3212"/>
    <x v="75"/>
    <s v="(198) 555-8888"/>
    <s v="Garden House Crowther Way"/>
    <s v="Cowes"/>
    <s v="PO31 7PJ"/>
    <s v="UK"/>
    <s v="Bennett"/>
    <s v="Helen"/>
    <s v="Small"/>
    <x v="975"/>
  </r>
  <r>
    <n v="10233"/>
    <n v="40"/>
    <n v="94.71"/>
    <n v="2"/>
    <n v="3788.4"/>
    <d v="2019-03-29T00:00:00"/>
    <s v="Shipped"/>
    <s v="Vintage Cars"/>
    <n v="88"/>
    <s v="S24_3151"/>
    <x v="76"/>
    <s v="2015559350"/>
    <s v="7476 Moss Rd."/>
    <s v="Newark"/>
    <s v="94019"/>
    <s v="USA"/>
    <s v="Brown"/>
    <s v="William"/>
    <s v="Medium"/>
    <x v="730"/>
  </r>
  <r>
    <n v="10233"/>
    <n v="36"/>
    <n v="70.67"/>
    <n v="3"/>
    <n v="2544.12"/>
    <d v="2019-03-29T00:00:00"/>
    <s v="Shipped"/>
    <s v="Ships"/>
    <n v="66"/>
    <s v="S700_1138"/>
    <x v="76"/>
    <s v="2015559350"/>
    <s v="7476 Moss Rd."/>
    <s v="Newark"/>
    <s v="94019"/>
    <s v="USA"/>
    <s v="Brown"/>
    <s v="William"/>
    <s v="Small"/>
    <x v="329"/>
  </r>
  <r>
    <n v="10233"/>
    <n v="29"/>
    <n v="82.4"/>
    <n v="1"/>
    <n v="2389.6"/>
    <d v="2019-03-29T00:00:00"/>
    <s v="Shipped"/>
    <s v="Ships"/>
    <n v="72"/>
    <s v="S700_2610"/>
    <x v="76"/>
    <s v="2015559350"/>
    <s v="7476 Moss Rd."/>
    <s v="Newark"/>
    <s v="94019"/>
    <s v="USA"/>
    <s v="Brown"/>
    <s v="William"/>
    <s v="Small"/>
    <x v="976"/>
  </r>
  <r>
    <n v="10235"/>
    <n v="24"/>
    <n v="76.03"/>
    <n v="3"/>
    <n v="1824.72"/>
    <d v="2019-04-02T00:00:00"/>
    <s v="Shipped"/>
    <s v="Planes"/>
    <n v="84"/>
    <s v="S18_2581"/>
    <x v="77"/>
    <s v="(604) 555-4555"/>
    <s v="23 Tsawassen Blvd."/>
    <s v="Tsawassen"/>
    <s v="T2F 8M4"/>
    <s v="Canada"/>
    <s v="Lincoln"/>
    <s v="Elizabeth"/>
    <s v="Small"/>
    <x v="189"/>
  </r>
  <r>
    <n v="10235"/>
    <n v="23"/>
    <n v="96.29"/>
    <n v="5"/>
    <n v="2214.67"/>
    <d v="2019-04-02T00:00:00"/>
    <s v="Shipped"/>
    <s v="Planes"/>
    <n v="109"/>
    <s v="S24_1785"/>
    <x v="77"/>
    <s v="(604) 555-4555"/>
    <s v="23 Tsawassen Blvd."/>
    <s v="Tsawassen"/>
    <s v="T2F 8M4"/>
    <s v="Canada"/>
    <s v="Lincoln"/>
    <s v="Elizabeth"/>
    <s v="Small"/>
    <x v="801"/>
  </r>
  <r>
    <n v="10235"/>
    <n v="33"/>
    <n v="60.05"/>
    <n v="12"/>
    <n v="1981.65"/>
    <d v="2019-04-02T00:00:00"/>
    <s v="Shipped"/>
    <s v="Planes"/>
    <n v="68"/>
    <s v="S24_3949"/>
    <x v="77"/>
    <s v="(604) 555-4555"/>
    <s v="23 Tsawassen Blvd."/>
    <s v="Tsawassen"/>
    <s v="T2F 8M4"/>
    <s v="Canada"/>
    <s v="Lincoln"/>
    <s v="Elizabeth"/>
    <s v="Small"/>
    <x v="182"/>
  </r>
  <r>
    <n v="10235"/>
    <n v="40"/>
    <n v="81.14"/>
    <n v="4"/>
    <n v="3245.6"/>
    <d v="2019-04-02T00:00:00"/>
    <s v="Shipped"/>
    <s v="Planes"/>
    <n v="72"/>
    <s v="S24_4278"/>
    <x v="77"/>
    <s v="(604) 555-4555"/>
    <s v="23 Tsawassen Blvd."/>
    <s v="Tsawassen"/>
    <s v="T2F 8M4"/>
    <s v="Canada"/>
    <s v="Lincoln"/>
    <s v="Elizabeth"/>
    <s v="Medium"/>
    <x v="977"/>
  </r>
  <r>
    <n v="10235"/>
    <n v="41"/>
    <n v="101.89"/>
    <n v="1"/>
    <n v="4177.49"/>
    <d v="2019-04-02T00:00:00"/>
    <s v="Shipped"/>
    <s v="Motorcycles"/>
    <n v="99"/>
    <s v="S32_1374"/>
    <x v="77"/>
    <s v="(604) 555-4555"/>
    <s v="23 Tsawassen Blvd."/>
    <s v="Tsawassen"/>
    <s v="T2F 8M4"/>
    <s v="Canada"/>
    <s v="Lincoln"/>
    <s v="Elizabeth"/>
    <s v="Medium"/>
    <x v="978"/>
  </r>
  <r>
    <n v="10235"/>
    <n v="34"/>
    <n v="77.73"/>
    <n v="6"/>
    <n v="2642.82"/>
    <d v="2019-04-02T00:00:00"/>
    <s v="Shipped"/>
    <s v="Vintage Cars"/>
    <n v="68"/>
    <s v="S32_4289"/>
    <x v="77"/>
    <s v="(604) 555-4555"/>
    <s v="23 Tsawassen Blvd."/>
    <s v="Tsawassen"/>
    <s v="T2F 8M4"/>
    <s v="Canada"/>
    <s v="Lincoln"/>
    <s v="Elizabeth"/>
    <s v="Small"/>
    <x v="898"/>
  </r>
  <r>
    <n v="10235"/>
    <n v="41"/>
    <n v="35.35"/>
    <n v="7"/>
    <n v="1449.35"/>
    <d v="2019-04-02T00:00:00"/>
    <s v="Shipped"/>
    <s v="Vintage Cars"/>
    <n v="43"/>
    <s v="S50_1341"/>
    <x v="77"/>
    <s v="(604) 555-4555"/>
    <s v="23 Tsawassen Blvd."/>
    <s v="Tsawassen"/>
    <s v="T2F 8M4"/>
    <s v="Canada"/>
    <s v="Lincoln"/>
    <s v="Elizabeth"/>
    <s v="Small"/>
    <x v="979"/>
  </r>
  <r>
    <n v="10235"/>
    <n v="25"/>
    <n v="103.21"/>
    <n v="8"/>
    <n v="2580.25"/>
    <d v="2019-04-02T00:00:00"/>
    <s v="Shipped"/>
    <s v="Planes"/>
    <n v="91"/>
    <s v="S700_1691"/>
    <x v="77"/>
    <s v="(604) 555-4555"/>
    <s v="23 Tsawassen Blvd."/>
    <s v="Tsawassen"/>
    <s v="T2F 8M4"/>
    <s v="Canada"/>
    <s v="Lincoln"/>
    <s v="Elizabeth"/>
    <s v="Small"/>
    <x v="980"/>
  </r>
  <r>
    <n v="10235"/>
    <n v="38"/>
    <n v="88.75"/>
    <n v="10"/>
    <n v="3372.5"/>
    <d v="2019-04-02T00:00:00"/>
    <s v="Shipped"/>
    <s v="Planes"/>
    <n v="99"/>
    <s v="S700_2466"/>
    <x v="77"/>
    <s v="(604) 555-4555"/>
    <s v="23 Tsawassen Blvd."/>
    <s v="Tsawassen"/>
    <s v="T2F 8M4"/>
    <s v="Canada"/>
    <s v="Lincoln"/>
    <s v="Elizabeth"/>
    <s v="Medium"/>
    <x v="981"/>
  </r>
  <r>
    <n v="10235"/>
    <n v="25"/>
    <n v="96.11"/>
    <n v="2"/>
    <n v="2402.75"/>
    <d v="2019-04-02T00:00:00"/>
    <s v="Shipped"/>
    <s v="Planes"/>
    <n v="118"/>
    <s v="S700_2834"/>
    <x v="77"/>
    <s v="(604) 555-4555"/>
    <s v="23 Tsawassen Blvd."/>
    <s v="Tsawassen"/>
    <s v="T2F 8M4"/>
    <s v="Canada"/>
    <s v="Lincoln"/>
    <s v="Elizabeth"/>
    <s v="Small"/>
    <x v="340"/>
  </r>
  <r>
    <n v="10235"/>
    <n v="32"/>
    <n v="92"/>
    <n v="9"/>
    <n v="2944"/>
    <d v="2019-04-02T00:00:00"/>
    <s v="Shipped"/>
    <s v="Planes"/>
    <n v="80"/>
    <s v="S700_3167"/>
    <x v="77"/>
    <s v="(604) 555-4555"/>
    <s v="23 Tsawassen Blvd."/>
    <s v="Tsawassen"/>
    <s v="T2F 8M4"/>
    <s v="Canada"/>
    <s v="Lincoln"/>
    <s v="Elizabeth"/>
    <s v="Small"/>
    <x v="982"/>
  </r>
  <r>
    <n v="10235"/>
    <n v="34"/>
    <n v="72.55"/>
    <n v="11"/>
    <n v="2466.6999999999998"/>
    <d v="2019-04-02T00:00:00"/>
    <s v="Shipped"/>
    <s v="Planes"/>
    <n v="74"/>
    <s v="S700_4002"/>
    <x v="77"/>
    <s v="(604) 555-4555"/>
    <s v="23 Tsawassen Blvd."/>
    <s v="Tsawassen"/>
    <s v="T2F 8M4"/>
    <s v="Canada"/>
    <s v="Lincoln"/>
    <s v="Elizabeth"/>
    <s v="Small"/>
    <x v="983"/>
  </r>
  <r>
    <n v="10236"/>
    <n v="22"/>
    <n v="129.63999999999999"/>
    <n v="1"/>
    <n v="2852.08"/>
    <d v="2019-04-03T00:00:00"/>
    <s v="Shipped"/>
    <s v="Motorcycles"/>
    <n v="118"/>
    <s v="S10_2016"/>
    <x v="9"/>
    <s v="2155559857"/>
    <s v="11328 Douglas Av."/>
    <s v="Philadelphia"/>
    <s v="71270"/>
    <s v="USA"/>
    <s v="Hernandez"/>
    <s v="Rosa"/>
    <s v="Small"/>
    <x v="950"/>
  </r>
  <r>
    <n v="10236"/>
    <n v="23"/>
    <n v="55.72"/>
    <n v="2"/>
    <n v="1281.56"/>
    <d v="2019-04-03T00:00:00"/>
    <s v="Shipped"/>
    <s v="Motorcycles"/>
    <n v="60"/>
    <s v="S18_2625"/>
    <x v="9"/>
    <s v="2155559857"/>
    <s v="11328 Douglas Av."/>
    <s v="Philadelphia"/>
    <s v="71270"/>
    <s v="USA"/>
    <s v="Hernandez"/>
    <s v="Rosa"/>
    <s v="Small"/>
    <x v="984"/>
  </r>
  <r>
    <n v="10236"/>
    <n v="36"/>
    <n v="87.6"/>
    <n v="3"/>
    <n v="3153.6"/>
    <d v="2019-04-03T00:00:00"/>
    <s v="Shipped"/>
    <s v="Motorcycles"/>
    <n v="76"/>
    <s v="S24_2000"/>
    <x v="9"/>
    <s v="2155559857"/>
    <s v="11328 Douglas Av."/>
    <s v="Philadelphia"/>
    <s v="71270"/>
    <s v="USA"/>
    <s v="Hernandez"/>
    <s v="Rosa"/>
    <s v="Medium"/>
    <x v="985"/>
  </r>
  <r>
    <n v="10237"/>
    <n v="23"/>
    <n v="101.44"/>
    <n v="7"/>
    <n v="2333.12"/>
    <d v="2019-04-05T00:00:00"/>
    <s v="Shipped"/>
    <s v="Motorcycles"/>
    <n v="95"/>
    <s v="S10_1678"/>
    <x v="2"/>
    <s v="2125551500"/>
    <s v="2678 Kingston Rd."/>
    <s v="NYC"/>
    <s v="10022"/>
    <s v="USA"/>
    <s v="Frick"/>
    <s v="Michael"/>
    <s v="Small"/>
    <x v="986"/>
  </r>
  <r>
    <n v="10237"/>
    <n v="39"/>
    <n v="180.1"/>
    <n v="9"/>
    <n v="7023.9"/>
    <d v="2019-04-05T00:00:00"/>
    <s v="Shipped"/>
    <s v="Motorcycles"/>
    <n v="193"/>
    <s v="S10_4698"/>
    <x v="2"/>
    <s v="2125551500"/>
    <s v="2678 Kingston Rd."/>
    <s v="NYC"/>
    <s v="10022"/>
    <s v="USA"/>
    <s v="Frick"/>
    <s v="Michael"/>
    <s v="Large"/>
    <x v="987"/>
  </r>
  <r>
    <n v="10237"/>
    <n v="32"/>
    <n v="131.04"/>
    <n v="6"/>
    <n v="4193.28"/>
    <d v="2019-04-05T00:00:00"/>
    <s v="Shipped"/>
    <s v="Motorcycles"/>
    <n v="150"/>
    <s v="S12_2823"/>
    <x v="2"/>
    <s v="2125551500"/>
    <s v="2678 Kingston Rd."/>
    <s v="NYC"/>
    <s v="10022"/>
    <s v="USA"/>
    <s v="Frick"/>
    <s v="Michael"/>
    <s v="Medium"/>
    <x v="988"/>
  </r>
  <r>
    <n v="10237"/>
    <n v="26"/>
    <n v="52.22"/>
    <n v="1"/>
    <n v="1357.72"/>
    <d v="2019-04-05T00:00:00"/>
    <s v="Shipped"/>
    <s v="Motorcycles"/>
    <n v="62"/>
    <s v="S18_3782"/>
    <x v="2"/>
    <s v="2125551500"/>
    <s v="2678 Kingston Rd."/>
    <s v="NYC"/>
    <s v="10022"/>
    <s v="USA"/>
    <s v="Frick"/>
    <s v="Michael"/>
    <s v="Small"/>
    <x v="989"/>
  </r>
  <r>
    <n v="10237"/>
    <n v="20"/>
    <n v="114.95"/>
    <n v="8"/>
    <n v="2299"/>
    <d v="2019-04-05T00:00:00"/>
    <s v="Shipped"/>
    <s v="Motorcycles"/>
    <n v="112"/>
    <s v="S24_1578"/>
    <x v="2"/>
    <s v="2125551500"/>
    <s v="2678 Kingston Rd."/>
    <s v="NYC"/>
    <s v="10022"/>
    <s v="USA"/>
    <s v="Frick"/>
    <s v="Michael"/>
    <s v="Small"/>
    <x v="990"/>
  </r>
  <r>
    <n v="10237"/>
    <n v="26"/>
    <n v="79.650000000000006"/>
    <n v="4"/>
    <n v="2070.9"/>
    <d v="2019-04-05T00:00:00"/>
    <s v="Shipped"/>
    <s v="Motorcycles"/>
    <n v="69"/>
    <s v="S24_2360"/>
    <x v="2"/>
    <s v="2125551500"/>
    <s v="2678 Kingston Rd."/>
    <s v="NYC"/>
    <s v="10022"/>
    <s v="USA"/>
    <s v="Frick"/>
    <s v="Michael"/>
    <s v="Small"/>
    <x v="960"/>
  </r>
  <r>
    <n v="10237"/>
    <n v="26"/>
    <n v="40.229999999999997"/>
    <n v="2"/>
    <n v="1045.98"/>
    <d v="2019-04-05T00:00:00"/>
    <s v="Shipped"/>
    <s v="Motorcycles"/>
    <n v="40"/>
    <s v="S32_2206"/>
    <x v="2"/>
    <s v="2125551500"/>
    <s v="2678 Kingston Rd."/>
    <s v="NYC"/>
    <s v="10022"/>
    <s v="USA"/>
    <s v="Frick"/>
    <s v="Michael"/>
    <s v="Small"/>
    <x v="991"/>
  </r>
  <r>
    <n v="10237"/>
    <n v="27"/>
    <n v="115.32"/>
    <n v="5"/>
    <n v="3113.64"/>
    <d v="2019-04-05T00:00:00"/>
    <s v="Shipped"/>
    <s v="Motorcycles"/>
    <n v="102"/>
    <s v="S32_4485"/>
    <x v="2"/>
    <s v="2125551500"/>
    <s v="2678 Kingston Rd."/>
    <s v="NYC"/>
    <s v="10022"/>
    <s v="USA"/>
    <s v="Frick"/>
    <s v="Michael"/>
    <s v="Medium"/>
    <x v="992"/>
  </r>
  <r>
    <n v="10237"/>
    <n v="20"/>
    <n v="68.34"/>
    <n v="3"/>
    <n v="1366.8"/>
    <d v="2019-04-05T00:00:00"/>
    <s v="Shipped"/>
    <s v="Motorcycles"/>
    <n v="81"/>
    <s v="S50_4713"/>
    <x v="2"/>
    <s v="2125551500"/>
    <s v="2678 Kingston Rd."/>
    <s v="NYC"/>
    <s v="10022"/>
    <s v="USA"/>
    <s v="Frick"/>
    <s v="Michael"/>
    <s v="Small"/>
    <x v="993"/>
  </r>
  <r>
    <n v="10238"/>
    <n v="28"/>
    <n v="206.24"/>
    <n v="3"/>
    <n v="5774.72"/>
    <d v="2019-04-09T00:00:00"/>
    <s v="Shipped"/>
    <s v="Classic Cars"/>
    <n v="194"/>
    <s v="S12_1099"/>
    <x v="5"/>
    <s v="31 12 3555"/>
    <s v="Vinb'ltet 34"/>
    <s v="Kobenhavn"/>
    <s v="1734"/>
    <s v="Denmark"/>
    <s v="Petersen"/>
    <s v="Jytte"/>
    <s v="Medium"/>
    <x v="994"/>
  </r>
  <r>
    <n v="10238"/>
    <n v="29"/>
    <n v="109.22"/>
    <n v="1"/>
    <n v="3167.38"/>
    <d v="2019-04-09T00:00:00"/>
    <s v="Shipped"/>
    <s v="Classic Cars"/>
    <n v="117"/>
    <s v="S12_3380"/>
    <x v="5"/>
    <s v="31 12 3555"/>
    <s v="Vinb'ltet 34"/>
    <s v="Kobenhavn"/>
    <s v="1734"/>
    <s v="Denmark"/>
    <s v="Petersen"/>
    <s v="Jytte"/>
    <s v="Medium"/>
    <x v="788"/>
  </r>
  <r>
    <n v="10238"/>
    <n v="20"/>
    <n v="74.209999999999994"/>
    <n v="4"/>
    <n v="1484.2"/>
    <d v="2019-04-09T00:00:00"/>
    <s v="Shipped"/>
    <s v="Classic Cars"/>
    <n v="79"/>
    <s v="S12_3990"/>
    <x v="5"/>
    <s v="31 12 3555"/>
    <s v="Vinb'ltet 34"/>
    <s v="Kobenhavn"/>
    <s v="1734"/>
    <s v="Denmark"/>
    <s v="Petersen"/>
    <s v="Jytte"/>
    <s v="Small"/>
    <x v="995"/>
  </r>
  <r>
    <n v="10238"/>
    <n v="41"/>
    <n v="73.17"/>
    <n v="6"/>
    <n v="2999.97"/>
    <d v="2019-04-09T00:00:00"/>
    <s v="Shipped"/>
    <s v="Classic Cars"/>
    <n v="80"/>
    <s v="S18_3278"/>
    <x v="5"/>
    <s v="31 12 3555"/>
    <s v="Vinb'ltet 34"/>
    <s v="Kobenhavn"/>
    <s v="1734"/>
    <s v="Denmark"/>
    <s v="Petersen"/>
    <s v="Jytte"/>
    <s v="Small"/>
    <x v="28"/>
  </r>
  <r>
    <n v="10238"/>
    <n v="49"/>
    <n v="133.76"/>
    <n v="5"/>
    <n v="6554.24"/>
    <d v="2019-04-09T00:00:00"/>
    <s v="Shipped"/>
    <s v="Classic Cars"/>
    <n v="146"/>
    <s v="S18_3482"/>
    <x v="5"/>
    <s v="31 12 3555"/>
    <s v="Vinb'ltet 34"/>
    <s v="Kobenhavn"/>
    <s v="1734"/>
    <s v="Denmark"/>
    <s v="Petersen"/>
    <s v="Jytte"/>
    <s v="Medium"/>
    <x v="996"/>
  </r>
  <r>
    <n v="10238"/>
    <n v="44"/>
    <n v="144.34"/>
    <n v="8"/>
    <n v="6350.96"/>
    <d v="2019-04-09T00:00:00"/>
    <s v="Shipped"/>
    <s v="Classic Cars"/>
    <n v="148"/>
    <s v="S18_4721"/>
    <x v="5"/>
    <s v="31 12 3555"/>
    <s v="Vinb'ltet 34"/>
    <s v="Kobenhavn"/>
    <s v="1734"/>
    <s v="Denmark"/>
    <s v="Petersen"/>
    <s v="Jytte"/>
    <s v="Medium"/>
    <x v="997"/>
  </r>
  <r>
    <n v="10238"/>
    <n v="47"/>
    <n v="62.45"/>
    <n v="2"/>
    <n v="2935.15"/>
    <d v="2019-04-09T00:00:00"/>
    <s v="Shipped"/>
    <s v="Classic Cars"/>
    <n v="61"/>
    <s v="S24_3371"/>
    <x v="5"/>
    <s v="31 12 3555"/>
    <s v="Vinb'ltet 34"/>
    <s v="Kobenhavn"/>
    <s v="1734"/>
    <s v="Denmark"/>
    <s v="Petersen"/>
    <s v="Jytte"/>
    <s v="Small"/>
    <x v="998"/>
  </r>
  <r>
    <n v="10238"/>
    <n v="22"/>
    <n v="93.77"/>
    <n v="7"/>
    <n v="2062.94"/>
    <d v="2019-04-09T00:00:00"/>
    <s v="Shipped"/>
    <s v="Classic Cars"/>
    <n v="80"/>
    <s v="S24_4620"/>
    <x v="5"/>
    <s v="31 12 3555"/>
    <s v="Vinb'ltet 34"/>
    <s v="Kobenhavn"/>
    <s v="1734"/>
    <s v="Denmark"/>
    <s v="Petersen"/>
    <s v="Jytte"/>
    <s v="Small"/>
    <x v="999"/>
  </r>
  <r>
    <n v="10239"/>
    <n v="21"/>
    <n v="93.28"/>
    <n v="5"/>
    <n v="1958.88"/>
    <d v="2019-04-12T00:00:00"/>
    <s v="Shipped"/>
    <s v="Classic Cars"/>
    <n v="115"/>
    <s v="S12_4675"/>
    <x v="39"/>
    <s v="981-443655"/>
    <s v="Torikatu 38"/>
    <s v="Oulu"/>
    <s v="90110"/>
    <s v="Finland"/>
    <s v="Koskitalo"/>
    <s v="Pirkko"/>
    <s v="Small"/>
    <x v="1000"/>
  </r>
  <r>
    <n v="10239"/>
    <n v="46"/>
    <n v="73.92"/>
    <n v="4"/>
    <n v="3400.32"/>
    <d v="2019-04-12T00:00:00"/>
    <s v="Shipped"/>
    <s v="Classic Cars"/>
    <n v="77"/>
    <s v="S18_1889"/>
    <x v="39"/>
    <s v="981-443655"/>
    <s v="Torikatu 38"/>
    <s v="Oulu"/>
    <s v="90110"/>
    <s v="Finland"/>
    <s v="Koskitalo"/>
    <s v="Pirkko"/>
    <s v="Medium"/>
    <x v="118"/>
  </r>
  <r>
    <n v="10239"/>
    <n v="47"/>
    <n v="150.71"/>
    <n v="1"/>
    <n v="7083.37"/>
    <d v="2019-04-12T00:00:00"/>
    <s v="Shipped"/>
    <s v="Classic Cars"/>
    <n v="169"/>
    <s v="S18_3232"/>
    <x v="39"/>
    <s v="981-443655"/>
    <s v="Torikatu 38"/>
    <s v="Oulu"/>
    <s v="90110"/>
    <s v="Finland"/>
    <s v="Koskitalo"/>
    <s v="Pirkko"/>
    <s v="Large"/>
    <x v="1001"/>
  </r>
  <r>
    <n v="10239"/>
    <n v="20"/>
    <n v="44.56"/>
    <n v="2"/>
    <n v="891.2"/>
    <d v="2019-04-12T00:00:00"/>
    <s v="Shipped"/>
    <s v="Classic Cars"/>
    <n v="37"/>
    <s v="S24_2972"/>
    <x v="39"/>
    <s v="981-443655"/>
    <s v="Torikatu 38"/>
    <s v="Oulu"/>
    <s v="90110"/>
    <s v="Finland"/>
    <s v="Koskitalo"/>
    <s v="Pirkko"/>
    <s v="Small"/>
    <x v="369"/>
  </r>
  <r>
    <n v="10239"/>
    <n v="29"/>
    <n v="154.47"/>
    <n v="3"/>
    <n v="4479.63"/>
    <d v="2019-04-12T00:00:00"/>
    <s v="Shipped"/>
    <s v="Classic Cars"/>
    <n v="140"/>
    <s v="S24_3856"/>
    <x v="39"/>
    <s v="981-443655"/>
    <s v="Torikatu 38"/>
    <s v="Oulu"/>
    <s v="90110"/>
    <s v="Finland"/>
    <s v="Koskitalo"/>
    <s v="Pirkko"/>
    <s v="Medium"/>
    <x v="1002"/>
  </r>
  <r>
    <n v="10240"/>
    <n v="41"/>
    <n v="137.29"/>
    <n v="3"/>
    <n v="5628.89"/>
    <d v="2019-04-13T00:00:00"/>
    <s v="Shipped"/>
    <s v="Classic Cars"/>
    <n v="141"/>
    <s v="S18_1129"/>
    <x v="66"/>
    <s v="+81 06 6342 5555"/>
    <s v="Dojima Avanza 4F, 1-6-20 Dojima, Kita-ku"/>
    <s v="Osaka"/>
    <s v="530-0003"/>
    <s v="Japan"/>
    <s v="Kentary"/>
    <s v="Mory"/>
    <s v="Medium"/>
    <x v="1003"/>
  </r>
  <r>
    <n v="10241"/>
    <n v="21"/>
    <n v="119.46"/>
    <n v="11"/>
    <n v="2508.66"/>
    <d v="2019-04-13T00:00:00"/>
    <s v="Shipped"/>
    <s v="Classic Cars"/>
    <n v="124"/>
    <s v="S18_1589"/>
    <x v="78"/>
    <s v="88.60.1555"/>
    <s v="24, place Kluber"/>
    <s v="Strasbourg"/>
    <s v="67000"/>
    <s v="France"/>
    <s v="Citeaux"/>
    <s v="Frederique"/>
    <s v="Small"/>
    <x v="1004"/>
  </r>
  <r>
    <n v="10241"/>
    <n v="41"/>
    <n v="185.3"/>
    <n v="2"/>
    <n v="7597.3"/>
    <d v="2019-04-13T00:00:00"/>
    <s v="Shipped"/>
    <s v="Vintage Cars"/>
    <n v="170"/>
    <s v="S18_1749"/>
    <x v="78"/>
    <s v="88.60.1555"/>
    <s v="24, place Kluber"/>
    <s v="Strasbourg"/>
    <s v="67000"/>
    <s v="France"/>
    <s v="Citeaux"/>
    <s v="Frederique"/>
    <s v="Large"/>
    <x v="11"/>
  </r>
  <r>
    <n v="10240"/>
    <n v="37"/>
    <n v="149.36000000000001"/>
    <n v="2"/>
    <n v="5526.32"/>
    <d v="2019-04-13T00:00:00"/>
    <s v="Shipped"/>
    <s v="Classic Cars"/>
    <n v="142"/>
    <s v="S18_1984"/>
    <x v="66"/>
    <s v="+81 06 6342 5555"/>
    <s v="Dojima Avanza 4F, 1-6-20 Dojima, Kita-ku"/>
    <s v="Osaka"/>
    <s v="530-0003"/>
    <s v="Japan"/>
    <s v="Kentary"/>
    <s v="Mory"/>
    <s v="Medium"/>
    <x v="476"/>
  </r>
  <r>
    <n v="10241"/>
    <n v="33"/>
    <n v="72.650000000000006"/>
    <n v="1"/>
    <n v="2397.4499999999998"/>
    <d v="2019-04-13T00:00:00"/>
    <s v="Shipped"/>
    <s v="Vintage Cars"/>
    <n v="60"/>
    <s v="S18_2248"/>
    <x v="78"/>
    <s v="88.60.1555"/>
    <s v="24, place Kluber"/>
    <s v="Strasbourg"/>
    <s v="67000"/>
    <s v="France"/>
    <s v="Citeaux"/>
    <s v="Frederique"/>
    <s v="Small"/>
    <x v="140"/>
  </r>
  <r>
    <n v="10241"/>
    <n v="44"/>
    <n v="155.76"/>
    <n v="12"/>
    <n v="6853.44"/>
    <d v="2019-04-13T00:00:00"/>
    <s v="Shipped"/>
    <s v="Classic Cars"/>
    <n v="132"/>
    <s v="S18_2870"/>
    <x v="78"/>
    <s v="88.60.1555"/>
    <s v="24, place Kluber"/>
    <s v="Strasbourg"/>
    <s v="67000"/>
    <s v="France"/>
    <s v="Citeaux"/>
    <s v="Frederique"/>
    <s v="Medium"/>
    <x v="417"/>
  </r>
  <r>
    <n v="10240"/>
    <n v="37"/>
    <n v="161.06"/>
    <n v="1"/>
    <n v="5959.22"/>
    <d v="2019-04-13T00:00:00"/>
    <s v="Shipped"/>
    <s v="Classic Cars"/>
    <n v="141"/>
    <s v="S18_3685"/>
    <x v="66"/>
    <s v="+81 06 6342 5555"/>
    <s v="Dojima Avanza 4F, 1-6-20 Dojima, Kita-ku"/>
    <s v="Osaka"/>
    <s v="530-0003"/>
    <s v="Japan"/>
    <s v="Kentary"/>
    <s v="Mory"/>
    <s v="Medium"/>
    <x v="723"/>
  </r>
  <r>
    <n v="10241"/>
    <n v="42"/>
    <n v="90.19"/>
    <n v="3"/>
    <n v="3787.98"/>
    <d v="2019-04-13T00:00:00"/>
    <s v="Shipped"/>
    <s v="Vintage Cars"/>
    <n v="92"/>
    <s v="S18_4409"/>
    <x v="78"/>
    <s v="88.60.1555"/>
    <s v="24, place Kluber"/>
    <s v="Strasbourg"/>
    <s v="67000"/>
    <s v="France"/>
    <s v="Citeaux"/>
    <s v="Frederique"/>
    <s v="Medium"/>
    <x v="652"/>
  </r>
  <r>
    <n v="10241"/>
    <n v="30"/>
    <n v="66.989999999999995"/>
    <n v="4"/>
    <n v="2009.7"/>
    <d v="2019-04-13T00:00:00"/>
    <s v="Shipped"/>
    <s v="Classic Cars"/>
    <n v="71"/>
    <s v="S18_4933"/>
    <x v="78"/>
    <s v="88.60.1555"/>
    <s v="24, place Kluber"/>
    <s v="Strasbourg"/>
    <s v="67000"/>
    <s v="France"/>
    <s v="Citeaux"/>
    <s v="Frederique"/>
    <s v="Small"/>
    <x v="1005"/>
  </r>
  <r>
    <n v="10241"/>
    <n v="22"/>
    <n v="76.430000000000007"/>
    <n v="8"/>
    <n v="1681.46"/>
    <d v="2019-04-13T00:00:00"/>
    <s v="Shipped"/>
    <s v="Classic Cars"/>
    <n v="73"/>
    <s v="S24_1046"/>
    <x v="78"/>
    <s v="88.60.1555"/>
    <s v="24, place Kluber"/>
    <s v="Strasbourg"/>
    <s v="67000"/>
    <s v="France"/>
    <s v="Citeaux"/>
    <s v="Frederique"/>
    <s v="Small"/>
    <x v="1006"/>
  </r>
  <r>
    <n v="10241"/>
    <n v="21"/>
    <n v="40.25"/>
    <n v="10"/>
    <n v="845.25"/>
    <d v="2019-04-13T00:00:00"/>
    <s v="Shipped"/>
    <s v="Classic Cars"/>
    <n v="50"/>
    <s v="S24_1628"/>
    <x v="78"/>
    <s v="88.60.1555"/>
    <s v="24, place Kluber"/>
    <s v="Strasbourg"/>
    <s v="67000"/>
    <s v="France"/>
    <s v="Citeaux"/>
    <s v="Frederique"/>
    <s v="Small"/>
    <x v="1007"/>
  </r>
  <r>
    <n v="10241"/>
    <n v="47"/>
    <n v="94.5"/>
    <n v="6"/>
    <n v="4441.5"/>
    <d v="2019-04-13T00:00:00"/>
    <s v="Shipped"/>
    <s v="Classic Cars"/>
    <n v="90"/>
    <s v="S24_2766"/>
    <x v="78"/>
    <s v="88.60.1555"/>
    <s v="24, place Kluber"/>
    <s v="Strasbourg"/>
    <s v="67000"/>
    <s v="France"/>
    <s v="Citeaux"/>
    <s v="Frederique"/>
    <s v="Medium"/>
    <x v="326"/>
  </r>
  <r>
    <n v="10241"/>
    <n v="28"/>
    <n v="98.65"/>
    <n v="5"/>
    <n v="2762.2"/>
    <d v="2019-04-13T00:00:00"/>
    <s v="Shipped"/>
    <s v="Classic Cars"/>
    <n v="117"/>
    <s v="S24_2887"/>
    <x v="78"/>
    <s v="88.60.1555"/>
    <s v="24, place Kluber"/>
    <s v="Strasbourg"/>
    <s v="67000"/>
    <s v="France"/>
    <s v="Citeaux"/>
    <s v="Frederique"/>
    <s v="Small"/>
    <x v="1008"/>
  </r>
  <r>
    <n v="10241"/>
    <n v="26"/>
    <n v="81.33"/>
    <n v="7"/>
    <n v="2114.58"/>
    <d v="2019-04-13T00:00:00"/>
    <s v="Shipped"/>
    <s v="Classic Cars"/>
    <n v="85"/>
    <s v="S24_3191"/>
    <x v="78"/>
    <s v="88.60.1555"/>
    <s v="24, place Kluber"/>
    <s v="Strasbourg"/>
    <s v="67000"/>
    <s v="France"/>
    <s v="Citeaux"/>
    <s v="Frederique"/>
    <s v="Small"/>
    <x v="1009"/>
  </r>
  <r>
    <n v="10241"/>
    <n v="27"/>
    <n v="86.73"/>
    <n v="9"/>
    <n v="2341.71"/>
    <d v="2019-04-13T00:00:00"/>
    <s v="Shipped"/>
    <s v="Classic Cars"/>
    <n v="107"/>
    <s v="S24_3432"/>
    <x v="78"/>
    <s v="88.60.1555"/>
    <s v="24, place Kluber"/>
    <s v="Strasbourg"/>
    <s v="67000"/>
    <s v="France"/>
    <s v="Citeaux"/>
    <s v="Frederique"/>
    <s v="Small"/>
    <x v="661"/>
  </r>
  <r>
    <n v="10242"/>
    <n v="46"/>
    <n v="36.93"/>
    <n v="1"/>
    <n v="1698.78"/>
    <d v="2019-04-20T00:00:00"/>
    <s v="Shipped"/>
    <s v="Vintage Cars"/>
    <n v="41"/>
    <s v="S24_3969"/>
    <x v="79"/>
    <s v="2125551957"/>
    <s v="5290 North Pendale Street"/>
    <s v="NYC"/>
    <s v="10022"/>
    <s v="USA"/>
    <s v="Kuo"/>
    <s v="Kee"/>
    <s v="Small"/>
    <x v="127"/>
  </r>
  <r>
    <n v="10243"/>
    <n v="47"/>
    <n v="130.94"/>
    <n v="2"/>
    <n v="6154.18"/>
    <d v="2019-04-26T00:00:00"/>
    <s v="Shipped"/>
    <s v="Vintage Cars"/>
    <n v="127"/>
    <s v="S18_2325"/>
    <x v="65"/>
    <s v="6175552555"/>
    <s v="6251 Ingle Ln."/>
    <s v="Boston"/>
    <s v="51003"/>
    <s v="USA"/>
    <s v="Franco"/>
    <s v="Valarie"/>
    <s v="Medium"/>
    <x v="1010"/>
  </r>
  <r>
    <n v="10243"/>
    <n v="33"/>
    <n v="29.54"/>
    <n v="1"/>
    <n v="974.82"/>
    <d v="2019-04-26T00:00:00"/>
    <s v="Shipped"/>
    <s v="Vintage Cars"/>
    <n v="33"/>
    <s v="S24_1937"/>
    <x v="65"/>
    <s v="6175552555"/>
    <s v="6251 Ingle Ln."/>
    <s v="Boston"/>
    <s v="51003"/>
    <s v="USA"/>
    <s v="Franco"/>
    <s v="Valarie"/>
    <s v="Small"/>
    <x v="553"/>
  </r>
  <r>
    <n v="10244"/>
    <n v="40"/>
    <n v="117.12"/>
    <n v="7"/>
    <n v="4684.8"/>
    <d v="2019-04-29T00:00:00"/>
    <s v="Shipped"/>
    <s v="Vintage Cars"/>
    <n v="102"/>
    <s v="S18_1342"/>
    <x v="4"/>
    <s v="(91) 555 94 44"/>
    <s v="C/ Moralzarzal, 86"/>
    <s v="Madrid"/>
    <s v="28034"/>
    <s v="Spain"/>
    <s v="Freyre"/>
    <s v="Diego"/>
    <s v="Medium"/>
    <x v="1011"/>
  </r>
  <r>
    <n v="10244"/>
    <n v="20"/>
    <n v="58.22"/>
    <n v="6"/>
    <n v="1164.4000000000001"/>
    <d v="2019-04-29T00:00:00"/>
    <s v="Shipped"/>
    <s v="Vintage Cars"/>
    <n v="53"/>
    <s v="S18_1367"/>
    <x v="4"/>
    <s v="(91) 555 94 44"/>
    <s v="C/ Moralzarzal, 86"/>
    <s v="Madrid"/>
    <s v="28034"/>
    <s v="Spain"/>
    <s v="Freyre"/>
    <s v="Diego"/>
    <s v="Small"/>
    <x v="1012"/>
  </r>
  <r>
    <n v="10244"/>
    <n v="43"/>
    <n v="138.38"/>
    <n v="8"/>
    <n v="5950.34"/>
    <d v="2019-04-29T00:00:00"/>
    <s v="Shipped"/>
    <s v="Vintage Cars"/>
    <n v="168"/>
    <s v="S18_2795"/>
    <x v="4"/>
    <s v="(91) 555 94 44"/>
    <s v="C/ Moralzarzal, 86"/>
    <s v="Madrid"/>
    <s v="28034"/>
    <s v="Spain"/>
    <s v="Freyre"/>
    <s v="Diego"/>
    <s v="Medium"/>
    <x v="984"/>
  </r>
  <r>
    <n v="10244"/>
    <n v="30"/>
    <n v="117.52"/>
    <n v="1"/>
    <n v="3525.6"/>
    <d v="2019-04-29T00:00:00"/>
    <s v="Shipped"/>
    <s v="Vintage Cars"/>
    <n v="101"/>
    <s v="S18_2949"/>
    <x v="4"/>
    <s v="(91) 555 94 44"/>
    <s v="C/ Moralzarzal, 86"/>
    <s v="Madrid"/>
    <s v="28034"/>
    <s v="Spain"/>
    <s v="Freyre"/>
    <s v="Diego"/>
    <s v="Medium"/>
    <x v="1013"/>
  </r>
  <r>
    <n v="10244"/>
    <n v="24"/>
    <n v="58.09"/>
    <n v="3"/>
    <n v="1394.16"/>
    <d v="2019-04-29T00:00:00"/>
    <s v="Shipped"/>
    <s v="Vintage Cars"/>
    <n v="62"/>
    <s v="S18_2957"/>
    <x v="4"/>
    <s v="(91) 555 94 44"/>
    <s v="C/ Moralzarzal, 86"/>
    <s v="Madrid"/>
    <s v="28034"/>
    <s v="Spain"/>
    <s v="Freyre"/>
    <s v="Diego"/>
    <s v="Small"/>
    <x v="1014"/>
  </r>
  <r>
    <n v="10244"/>
    <n v="29"/>
    <n v="115.19"/>
    <n v="2"/>
    <n v="3340.51"/>
    <d v="2019-04-29T00:00:00"/>
    <s v="Shipped"/>
    <s v="Vintage Cars"/>
    <n v="104"/>
    <s v="S18_3136"/>
    <x v="4"/>
    <s v="(91) 555 94 44"/>
    <s v="C/ Moralzarzal, 86"/>
    <s v="Madrid"/>
    <s v="28034"/>
    <s v="Spain"/>
    <s v="Freyre"/>
    <s v="Diego"/>
    <s v="Medium"/>
    <x v="1015"/>
  </r>
  <r>
    <n v="10244"/>
    <n v="36"/>
    <n v="84.33"/>
    <n v="5"/>
    <n v="3035.88"/>
    <d v="2019-04-29T00:00:00"/>
    <s v="Shipped"/>
    <s v="Vintage Cars"/>
    <n v="99"/>
    <s v="S18_3320"/>
    <x v="4"/>
    <s v="(91) 555 94 44"/>
    <s v="C/ Moralzarzal, 86"/>
    <s v="Madrid"/>
    <s v="28034"/>
    <s v="Spain"/>
    <s v="Freyre"/>
    <s v="Diego"/>
    <s v="Medium"/>
    <x v="1016"/>
  </r>
  <r>
    <n v="10244"/>
    <n v="39"/>
    <n v="45.25"/>
    <n v="9"/>
    <n v="1764.75"/>
    <d v="2019-04-29T00:00:00"/>
    <s v="Shipped"/>
    <s v="Vintage Cars"/>
    <n v="44"/>
    <s v="S24_2022"/>
    <x v="4"/>
    <s v="(91) 555 94 44"/>
    <s v="C/ Moralzarzal, 86"/>
    <s v="Madrid"/>
    <s v="28034"/>
    <s v="Spain"/>
    <s v="Freyre"/>
    <s v="Diego"/>
    <s v="Small"/>
    <x v="1017"/>
  </r>
  <r>
    <n v="10244"/>
    <n v="40"/>
    <n v="86.68"/>
    <n v="4"/>
    <n v="3467.2"/>
    <d v="2019-04-29T00:00:00"/>
    <s v="Shipped"/>
    <s v="Vintage Cars"/>
    <n v="97"/>
    <s v="S24_4258"/>
    <x v="4"/>
    <s v="(91) 555 94 44"/>
    <s v="C/ Moralzarzal, 86"/>
    <s v="Madrid"/>
    <s v="28034"/>
    <s v="Spain"/>
    <s v="Freyre"/>
    <s v="Diego"/>
    <s v="Medium"/>
    <x v="877"/>
  </r>
  <r>
    <n v="10245"/>
    <n v="34"/>
    <n v="180.01"/>
    <n v="9"/>
    <n v="6120.34"/>
    <d v="2019-05-04T00:00:00"/>
    <s v="Shipped"/>
    <s v="Classic Cars"/>
    <n v="214"/>
    <s v="S10_1949"/>
    <x v="62"/>
    <s v="2035559545"/>
    <s v="567 North Pendale Street"/>
    <s v="New Haven"/>
    <s v="97823"/>
    <s v="USA"/>
    <s v="Murphy"/>
    <s v="Leslie"/>
    <s v="Medium"/>
    <x v="1018"/>
  </r>
  <r>
    <n v="10245"/>
    <n v="28"/>
    <n v="163.99"/>
    <n v="2"/>
    <n v="4591.72"/>
    <d v="2019-05-04T00:00:00"/>
    <s v="Shipped"/>
    <s v="Classic Cars"/>
    <n v="147"/>
    <s v="S10_4962"/>
    <x v="62"/>
    <s v="2035559545"/>
    <s v="567 North Pendale Street"/>
    <s v="New Haven"/>
    <s v="97823"/>
    <s v="USA"/>
    <s v="Murphy"/>
    <s v="Leslie"/>
    <s v="Medium"/>
    <x v="1019"/>
  </r>
  <r>
    <n v="10245"/>
    <n v="38"/>
    <n v="155.80000000000001"/>
    <n v="6"/>
    <n v="5920.4"/>
    <d v="2019-05-04T00:00:00"/>
    <s v="Shipped"/>
    <s v="Trucks and Buses"/>
    <n v="136"/>
    <s v="S12_1666"/>
    <x v="62"/>
    <s v="2035559545"/>
    <s v="567 North Pendale Street"/>
    <s v="New Haven"/>
    <s v="97823"/>
    <s v="USA"/>
    <s v="Murphy"/>
    <s v="Leslie"/>
    <s v="Medium"/>
    <x v="1020"/>
  </r>
  <r>
    <n v="10245"/>
    <n v="29"/>
    <n v="119"/>
    <n v="8"/>
    <n v="3451"/>
    <d v="2019-05-04T00:00:00"/>
    <s v="Shipped"/>
    <s v="Trucks and Buses"/>
    <n v="116"/>
    <s v="S18_1097"/>
    <x v="62"/>
    <s v="2035559545"/>
    <s v="567 North Pendale Street"/>
    <s v="New Haven"/>
    <s v="97823"/>
    <s v="USA"/>
    <s v="Murphy"/>
    <s v="Leslie"/>
    <s v="Medium"/>
    <x v="1021"/>
  </r>
  <r>
    <n v="10245"/>
    <n v="21"/>
    <n v="113.82"/>
    <n v="3"/>
    <n v="2390.2199999999998"/>
    <d v="2019-05-04T00:00:00"/>
    <s v="Shipped"/>
    <s v="Trucks and Buses"/>
    <n v="121"/>
    <s v="S18_4600"/>
    <x v="62"/>
    <s v="2035559545"/>
    <s v="567 North Pendale Street"/>
    <s v="New Haven"/>
    <s v="97823"/>
    <s v="USA"/>
    <s v="Murphy"/>
    <s v="Leslie"/>
    <s v="Small"/>
    <x v="1022"/>
  </r>
  <r>
    <n v="10245"/>
    <n v="45"/>
    <n v="59.87"/>
    <n v="7"/>
    <n v="2694.15"/>
    <d v="2019-05-04T00:00:00"/>
    <s v="Shipped"/>
    <s v="Vintage Cars"/>
    <n v="50"/>
    <s v="S18_4668"/>
    <x v="62"/>
    <s v="2035559545"/>
    <s v="567 North Pendale Street"/>
    <s v="New Haven"/>
    <s v="97823"/>
    <s v="USA"/>
    <s v="Murphy"/>
    <s v="Leslie"/>
    <s v="Small"/>
    <x v="1023"/>
  </r>
  <r>
    <n v="10245"/>
    <n v="37"/>
    <n v="111.72"/>
    <n v="1"/>
    <n v="4133.6400000000003"/>
    <d v="2019-05-04T00:00:00"/>
    <s v="Shipped"/>
    <s v="Trucks and Buses"/>
    <n v="96"/>
    <s v="S32_1268"/>
    <x v="62"/>
    <s v="2035559545"/>
    <s v="567 North Pendale Street"/>
    <s v="New Haven"/>
    <s v="97823"/>
    <s v="USA"/>
    <s v="Murphy"/>
    <s v="Leslie"/>
    <s v="Medium"/>
    <x v="1024"/>
  </r>
  <r>
    <n v="10245"/>
    <n v="44"/>
    <n v="69.16"/>
    <n v="5"/>
    <n v="3043.04"/>
    <d v="2019-05-04T00:00:00"/>
    <s v="Shipped"/>
    <s v="Trucks and Buses"/>
    <n v="64"/>
    <s v="S32_3522"/>
    <x v="62"/>
    <s v="2035559545"/>
    <s v="567 North Pendale Street"/>
    <s v="New Haven"/>
    <s v="97823"/>
    <s v="USA"/>
    <s v="Murphy"/>
    <s v="Leslie"/>
    <s v="Medium"/>
    <x v="1025"/>
  </r>
  <r>
    <n v="10245"/>
    <n v="44"/>
    <n v="105.2"/>
    <n v="4"/>
    <n v="4628.8"/>
    <d v="2019-05-04T00:00:00"/>
    <s v="Shipped"/>
    <s v="Classic Cars"/>
    <n v="101"/>
    <s v="S700_2824"/>
    <x v="62"/>
    <s v="2035559545"/>
    <s v="567 North Pendale Street"/>
    <s v="New Haven"/>
    <s v="97823"/>
    <s v="USA"/>
    <s v="Murphy"/>
    <s v="Leslie"/>
    <s v="Medium"/>
    <x v="130"/>
  </r>
  <r>
    <n v="10247"/>
    <n v="44"/>
    <n v="241.05"/>
    <n v="2"/>
    <n v="10606.2"/>
    <d v="2019-05-05T00:00:00"/>
    <s v="Shipped"/>
    <s v="Classic Cars"/>
    <n v="207"/>
    <s v="S12_1108"/>
    <x v="33"/>
    <s v="+358 9 8045 555"/>
    <s v="Software Engineering Center, SEC Oy"/>
    <s v="Espoo"/>
    <s v="FIN-02271"/>
    <s v="Finland"/>
    <s v="Suominen"/>
    <s v="Kalle"/>
    <s v="Large"/>
    <x v="994"/>
  </r>
  <r>
    <n v="10247"/>
    <n v="25"/>
    <n v="175.25"/>
    <n v="3"/>
    <n v="4381.25"/>
    <d v="2019-05-05T00:00:00"/>
    <s v="Shipped"/>
    <s v="Classic Cars"/>
    <n v="151"/>
    <s v="S12_3148"/>
    <x v="33"/>
    <s v="+358 9 8045 555"/>
    <s v="Software Engineering Center, SEC Oy"/>
    <s v="Espoo"/>
    <s v="FIN-02271"/>
    <s v="Finland"/>
    <s v="Suominen"/>
    <s v="Kalle"/>
    <s v="Medium"/>
    <x v="1026"/>
  </r>
  <r>
    <n v="10247"/>
    <n v="27"/>
    <n v="153.99"/>
    <n v="1"/>
    <n v="4157.7299999999996"/>
    <d v="2019-05-05T00:00:00"/>
    <s v="Shipped"/>
    <s v="Classic Cars"/>
    <n v="173"/>
    <s v="S12_3891"/>
    <x v="33"/>
    <s v="+358 9 8045 555"/>
    <s v="Software Engineering Center, SEC Oy"/>
    <s v="Espoo"/>
    <s v="FIN-02271"/>
    <s v="Finland"/>
    <s v="Suominen"/>
    <s v="Kalle"/>
    <s v="Medium"/>
    <x v="788"/>
  </r>
  <r>
    <n v="10246"/>
    <n v="46"/>
    <n v="110.21"/>
    <n v="5"/>
    <n v="5069.66"/>
    <d v="2019-05-05T00:00:00"/>
    <s v="Shipped"/>
    <s v="Trucks and Buses"/>
    <n v="118"/>
    <s v="S12_4473"/>
    <x v="4"/>
    <s v="(91) 555 94 44"/>
    <s v="C/ Moralzarzal, 86"/>
    <s v="Madrid"/>
    <s v="28034"/>
    <s v="Spain"/>
    <s v="Freyre"/>
    <s v="Diego"/>
    <s v="Medium"/>
    <x v="995"/>
  </r>
  <r>
    <n v="10246"/>
    <n v="40"/>
    <n v="163.72999999999999"/>
    <n v="4"/>
    <n v="6549.2"/>
    <d v="2019-05-05T00:00:00"/>
    <s v="Shipped"/>
    <s v="Classic Cars"/>
    <n v="163"/>
    <s v="S18_2238"/>
    <x v="4"/>
    <s v="(91) 555 94 44"/>
    <s v="C/ Moralzarzal, 86"/>
    <s v="Madrid"/>
    <s v="28034"/>
    <s v="Spain"/>
    <s v="Freyre"/>
    <s v="Diego"/>
    <s v="Medium"/>
    <x v="238"/>
  </r>
  <r>
    <n v="10246"/>
    <n v="22"/>
    <n v="98.18"/>
    <n v="8"/>
    <n v="2159.96"/>
    <d v="2019-05-05T00:00:00"/>
    <s v="Shipped"/>
    <s v="Trucks and Buses"/>
    <n v="122"/>
    <s v="S18_2319"/>
    <x v="4"/>
    <s v="(91) 555 94 44"/>
    <s v="C/ Moralzarzal, 86"/>
    <s v="Madrid"/>
    <s v="28034"/>
    <s v="Spain"/>
    <s v="Freyre"/>
    <s v="Diego"/>
    <s v="Small"/>
    <x v="140"/>
  </r>
  <r>
    <n v="10246"/>
    <n v="30"/>
    <n v="61.99"/>
    <n v="11"/>
    <n v="1859.7"/>
    <d v="2019-05-05T00:00:00"/>
    <s v="Shipped"/>
    <s v="Trucks and Buses"/>
    <n v="60"/>
    <s v="S18_2432"/>
    <x v="4"/>
    <s v="(91) 555 94 44"/>
    <s v="C/ Moralzarzal, 86"/>
    <s v="Madrid"/>
    <s v="28034"/>
    <s v="Spain"/>
    <s v="Freyre"/>
    <s v="Diego"/>
    <s v="Small"/>
    <x v="1027"/>
  </r>
  <r>
    <n v="10246"/>
    <n v="36"/>
    <n v="198.13"/>
    <n v="9"/>
    <n v="7132.68"/>
    <d v="2019-05-05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Large"/>
    <x v="1028"/>
  </r>
  <r>
    <n v="10247"/>
    <n v="48"/>
    <n v="140.75"/>
    <n v="5"/>
    <n v="6756"/>
    <d v="2019-05-05T00:00:00"/>
    <s v="Shipped"/>
    <s v="Classic Cars"/>
    <n v="143"/>
    <s v="S18_4027"/>
    <x v="33"/>
    <s v="+358 9 8045 555"/>
    <s v="Software Engineering Center, SEC Oy"/>
    <s v="Espoo"/>
    <s v="FIN-02271"/>
    <s v="Finland"/>
    <s v="Suominen"/>
    <s v="Kalle"/>
    <s v="Medium"/>
    <x v="1029"/>
  </r>
  <r>
    <n v="10246"/>
    <n v="44"/>
    <n v="52.6"/>
    <n v="2"/>
    <n v="2314.4"/>
    <d v="2019-05-05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887"/>
  </r>
  <r>
    <n v="10246"/>
    <n v="29"/>
    <n v="121.4"/>
    <n v="10"/>
    <n v="3520.6"/>
    <d v="2019-05-05T00:00:00"/>
    <s v="Shipped"/>
    <s v="Trucks and Buses"/>
    <n v="127"/>
    <s v="S24_2300"/>
    <x v="4"/>
    <s v="(91) 555 94 44"/>
    <s v="C/ Moralzarzal, 86"/>
    <s v="Madrid"/>
    <s v="28034"/>
    <s v="Spain"/>
    <s v="Freyre"/>
    <s v="Diego"/>
    <s v="Medium"/>
    <x v="1030"/>
  </r>
  <r>
    <n v="10246"/>
    <n v="49"/>
    <n v="36.07"/>
    <n v="6"/>
    <n v="1767.43"/>
    <d v="2019-05-05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Small"/>
    <x v="1031"/>
  </r>
  <r>
    <n v="10246"/>
    <n v="46"/>
    <n v="137.19999999999999"/>
    <n v="1"/>
    <n v="6311.2"/>
    <d v="2019-05-05T00:00:00"/>
    <s v="Shipped"/>
    <s v="Classic Cars"/>
    <n v="118"/>
    <s v="S24_4048"/>
    <x v="4"/>
    <s v="(91) 555 94 44"/>
    <s v="C/ Moralzarzal, 86"/>
    <s v="Madrid"/>
    <s v="28034"/>
    <s v="Spain"/>
    <s v="Freyre"/>
    <s v="Diego"/>
    <s v="Medium"/>
    <x v="1032"/>
  </r>
  <r>
    <n v="10246"/>
    <n v="35"/>
    <n v="48.7"/>
    <n v="7"/>
    <n v="1704.5"/>
    <d v="2019-05-05T00:00:00"/>
    <s v="Shipped"/>
    <s v="Trucks and Buses"/>
    <n v="54"/>
    <s v="S32_2509"/>
    <x v="4"/>
    <s v="(91) 555 94 44"/>
    <s v="C/ Moralzarzal, 86"/>
    <s v="Madrid"/>
    <s v="28034"/>
    <s v="Spain"/>
    <s v="Freyre"/>
    <s v="Diego"/>
    <s v="Small"/>
    <x v="1033"/>
  </r>
  <r>
    <n v="10247"/>
    <n v="40"/>
    <n v="49.71"/>
    <n v="6"/>
    <n v="1988.4"/>
    <d v="2019-05-05T00:00:00"/>
    <s v="Shipped"/>
    <s v="Trains"/>
    <n v="62"/>
    <s v="S32_3207"/>
    <x v="33"/>
    <s v="+358 9 8045 555"/>
    <s v="Software Engineering Center, SEC Oy"/>
    <s v="Espoo"/>
    <s v="FIN-02271"/>
    <s v="Finland"/>
    <s v="Suominen"/>
    <s v="Kalle"/>
    <s v="Small"/>
    <x v="581"/>
  </r>
  <r>
    <n v="10246"/>
    <n v="22"/>
    <n v="133.11000000000001"/>
    <n v="3"/>
    <n v="2928.42"/>
    <d v="2019-05-05T00:00:00"/>
    <s v="Shipped"/>
    <s v="Trucks and Buses"/>
    <n v="115"/>
    <s v="S50_1392"/>
    <x v="4"/>
    <s v="(91) 555 94 44"/>
    <s v="C/ Moralzarzal, 86"/>
    <s v="Madrid"/>
    <s v="28034"/>
    <s v="Spain"/>
    <s v="Freyre"/>
    <s v="Diego"/>
    <s v="Small"/>
    <x v="246"/>
  </r>
  <r>
    <n v="10247"/>
    <n v="49"/>
    <n v="63.85"/>
    <n v="4"/>
    <n v="3128.65"/>
    <d v="2019-05-05T00:00:00"/>
    <s v="Shipped"/>
    <s v="Trains"/>
    <n v="58"/>
    <s v="S50_1514"/>
    <x v="33"/>
    <s v="+358 9 8045 555"/>
    <s v="Software Engineering Center, SEC Oy"/>
    <s v="Espoo"/>
    <s v="FIN-02271"/>
    <s v="Finland"/>
    <s v="Suominen"/>
    <s v="Kalle"/>
    <s v="Medium"/>
    <x v="1034"/>
  </r>
  <r>
    <n v="10248"/>
    <n v="20"/>
    <n v="145.52000000000001"/>
    <n v="3"/>
    <n v="2910.4"/>
    <d v="2019-05-07T00:00:00"/>
    <s v="Cancelled"/>
    <s v="Classic Cars"/>
    <n v="136"/>
    <s v="S10_4757"/>
    <x v="7"/>
    <s v="2125557818"/>
    <s v="897 Long Airport Avenue"/>
    <s v="NYC"/>
    <s v="10022"/>
    <s v="USA"/>
    <s v="Yu"/>
    <s v="Kwai"/>
    <s v="Small"/>
    <x v="1035"/>
  </r>
  <r>
    <n v="10248"/>
    <n v="21"/>
    <n v="73.98"/>
    <n v="1"/>
    <n v="1553.58"/>
    <d v="2019-05-07T00:00:00"/>
    <s v="Cancelled"/>
    <s v="Ships"/>
    <n v="86"/>
    <s v="S18_3029"/>
    <x v="7"/>
    <s v="2125557818"/>
    <s v="897 Long Airport Avenue"/>
    <s v="NYC"/>
    <s v="10022"/>
    <s v="USA"/>
    <s v="Yu"/>
    <s v="Kwai"/>
    <s v="Small"/>
    <x v="302"/>
  </r>
  <r>
    <n v="10248"/>
    <n v="32"/>
    <n v="118.83"/>
    <n v="12"/>
    <n v="3802.56"/>
    <d v="2019-05-07T00:00:00"/>
    <s v="Cancelled"/>
    <s v="Vintage Cars"/>
    <n v="136"/>
    <s v="S18_3140"/>
    <x v="7"/>
    <s v="2125557818"/>
    <s v="897 Long Airport Avenue"/>
    <s v="NYC"/>
    <s v="10022"/>
    <s v="USA"/>
    <s v="Yu"/>
    <s v="Kwai"/>
    <s v="Medium"/>
    <x v="1036"/>
  </r>
  <r>
    <n v="10248"/>
    <n v="42"/>
    <n v="121.01"/>
    <n v="14"/>
    <n v="5082.42"/>
    <d v="2019-05-07T00:00:00"/>
    <s v="Cancelled"/>
    <s v="Trains"/>
    <n v="100"/>
    <s v="S18_3259"/>
    <x v="7"/>
    <s v="2125557818"/>
    <s v="897 Long Airport Avenue"/>
    <s v="NYC"/>
    <s v="10022"/>
    <s v="USA"/>
    <s v="Yu"/>
    <s v="Kwai"/>
    <s v="Medium"/>
    <x v="591"/>
  </r>
  <r>
    <n v="10248"/>
    <n v="42"/>
    <n v="75.48"/>
    <n v="11"/>
    <n v="3170.16"/>
    <d v="2019-05-07T00:00:00"/>
    <s v="Cancelled"/>
    <s v="Vintage Cars"/>
    <n v="87"/>
    <s v="S18_4522"/>
    <x v="7"/>
    <s v="2125557818"/>
    <s v="897 Long Airport Avenue"/>
    <s v="NYC"/>
    <s v="10022"/>
    <s v="USA"/>
    <s v="Yu"/>
    <s v="Kwai"/>
    <s v="Medium"/>
    <x v="1037"/>
  </r>
  <r>
    <n v="10248"/>
    <n v="48"/>
    <n v="145.01"/>
    <n v="10"/>
    <n v="6960.48"/>
    <d v="2019-05-07T00:00:00"/>
    <s v="Cancelled"/>
    <s v="Ships"/>
    <n v="122"/>
    <s v="S24_2011"/>
    <x v="7"/>
    <s v="2125557818"/>
    <s v="897 Long Airport Avenue"/>
    <s v="NYC"/>
    <s v="10022"/>
    <s v="USA"/>
    <s v="Yu"/>
    <s v="Kwai"/>
    <s v="Medium"/>
    <x v="479"/>
  </r>
  <r>
    <n v="10248"/>
    <n v="30"/>
    <n v="101.79"/>
    <n v="5"/>
    <n v="3053.7"/>
    <d v="2019-05-07T00:00:00"/>
    <s v="Cancelled"/>
    <s v="Vintage Cars"/>
    <n v="88"/>
    <s v="S24_3151"/>
    <x v="7"/>
    <s v="2125557818"/>
    <s v="897 Long Airport Avenue"/>
    <s v="NYC"/>
    <s v="10022"/>
    <s v="USA"/>
    <s v="Yu"/>
    <s v="Kwai"/>
    <s v="Medium"/>
    <x v="1038"/>
  </r>
  <r>
    <n v="10248"/>
    <n v="23"/>
    <n v="76.31"/>
    <n v="2"/>
    <n v="1755.13"/>
    <d v="2019-05-07T00:00:00"/>
    <s v="Cancelled"/>
    <s v="Vintage Cars"/>
    <n v="83"/>
    <s v="S24_3816"/>
    <x v="7"/>
    <s v="2125557818"/>
    <s v="897 Long Airport Avenue"/>
    <s v="NYC"/>
    <s v="10022"/>
    <s v="USA"/>
    <s v="Yu"/>
    <s v="Kwai"/>
    <s v="Small"/>
    <x v="1039"/>
  </r>
  <r>
    <n v="10248"/>
    <n v="36"/>
    <n v="71.34"/>
    <n v="6"/>
    <n v="2568.2399999999998"/>
    <d v="2019-05-07T00:00:00"/>
    <s v="Cancelled"/>
    <s v="Ships"/>
    <n v="66"/>
    <s v="S700_1138"/>
    <x v="7"/>
    <s v="2125557818"/>
    <s v="897 Long Airport Avenue"/>
    <s v="NYC"/>
    <s v="10022"/>
    <s v="USA"/>
    <s v="Yu"/>
    <s v="Kwai"/>
    <s v="Small"/>
    <x v="1040"/>
  </r>
  <r>
    <n v="10248"/>
    <n v="40"/>
    <n v="103.93"/>
    <n v="13"/>
    <n v="4157.2"/>
    <d v="2019-05-07T00:00:00"/>
    <s v="Cancelled"/>
    <s v="Ships"/>
    <n v="86"/>
    <s v="S700_1938"/>
    <x v="7"/>
    <s v="2125557818"/>
    <s v="897 Long Airport Avenue"/>
    <s v="NYC"/>
    <s v="10022"/>
    <s v="USA"/>
    <s v="Yu"/>
    <s v="Kwai"/>
    <s v="Medium"/>
    <x v="1041"/>
  </r>
  <r>
    <n v="10248"/>
    <n v="32"/>
    <n v="75.89"/>
    <n v="4"/>
    <n v="2428.48"/>
    <d v="2019-05-07T00:00:00"/>
    <s v="Cancelled"/>
    <s v="Ships"/>
    <n v="72"/>
    <s v="S700_2610"/>
    <x v="7"/>
    <s v="2125557818"/>
    <s v="897 Long Airport Avenue"/>
    <s v="NYC"/>
    <s v="10022"/>
    <s v="USA"/>
    <s v="Yu"/>
    <s v="Kwai"/>
    <s v="Small"/>
    <x v="1042"/>
  </r>
  <r>
    <n v="10248"/>
    <n v="30"/>
    <n v="108.18"/>
    <n v="7"/>
    <n v="3245.4"/>
    <d v="2019-05-07T00:00:00"/>
    <s v="Cancelled"/>
    <s v="Ships"/>
    <n v="100"/>
    <s v="S700_3505"/>
    <x v="7"/>
    <s v="2125557818"/>
    <s v="897 Long Airport Avenue"/>
    <s v="NYC"/>
    <s v="10022"/>
    <s v="USA"/>
    <s v="Yu"/>
    <s v="Kwai"/>
    <s v="Medium"/>
    <x v="1043"/>
  </r>
  <r>
    <n v="10248"/>
    <n v="35"/>
    <n v="90.37"/>
    <n v="8"/>
    <n v="3162.95"/>
    <d v="2019-05-07T00:00:00"/>
    <s v="Cancelled"/>
    <s v="Ships"/>
    <n v="99"/>
    <s v="S700_3962"/>
    <x v="7"/>
    <s v="2125557818"/>
    <s v="897 Long Airport Avenue"/>
    <s v="NYC"/>
    <s v="10022"/>
    <s v="USA"/>
    <s v="Yu"/>
    <s v="Kwai"/>
    <s v="Medium"/>
    <x v="175"/>
  </r>
  <r>
    <n v="10248"/>
    <n v="23"/>
    <n v="65.52"/>
    <n v="9"/>
    <n v="1506.96"/>
    <d v="2019-05-07T00:00:00"/>
    <s v="Cancelled"/>
    <s v="Ships"/>
    <n v="54"/>
    <s v="S72_3212"/>
    <x v="7"/>
    <s v="2125557818"/>
    <s v="897 Long Airport Avenue"/>
    <s v="NYC"/>
    <s v="10022"/>
    <s v="USA"/>
    <s v="Yu"/>
    <s v="Kwai"/>
    <s v="Small"/>
    <x v="356"/>
  </r>
  <r>
    <n v="10249"/>
    <n v="46"/>
    <n v="121.75"/>
    <n v="5"/>
    <n v="5600.5"/>
    <d v="2019-05-08T00:00:00"/>
    <s v="Shipped"/>
    <s v="Vintage Cars"/>
    <n v="105"/>
    <s v="S18_3856"/>
    <x v="74"/>
    <s v="6175555555"/>
    <s v="4658 Baden Av."/>
    <s v="Cambridge"/>
    <s v="51247"/>
    <s v="USA"/>
    <s v="Tseng"/>
    <s v="Kyung"/>
    <s v="Medium"/>
    <x v="1044"/>
  </r>
  <r>
    <n v="10249"/>
    <n v="20"/>
    <n v="67.819999999999993"/>
    <n v="1"/>
    <n v="1356.4"/>
    <d v="2019-05-08T00:00:00"/>
    <s v="Shipped"/>
    <s v="Planes"/>
    <n v="68"/>
    <s v="S24_2841"/>
    <x v="74"/>
    <s v="6175555555"/>
    <s v="4658 Baden Av."/>
    <s v="Cambridge"/>
    <s v="51247"/>
    <s v="USA"/>
    <s v="Tseng"/>
    <s v="Kyung"/>
    <s v="Small"/>
    <x v="1045"/>
  </r>
  <r>
    <n v="10249"/>
    <n v="25"/>
    <n v="69.7"/>
    <n v="2"/>
    <n v="1742.5"/>
    <d v="2019-05-08T00:00:00"/>
    <s v="Shipped"/>
    <s v="Vintage Cars"/>
    <n v="65"/>
    <s v="S24_3420"/>
    <x v="74"/>
    <s v="6175555555"/>
    <s v="4658 Baden Av."/>
    <s v="Cambridge"/>
    <s v="51247"/>
    <s v="USA"/>
    <s v="Tseng"/>
    <s v="Kyung"/>
    <s v="Small"/>
    <x v="1046"/>
  </r>
  <r>
    <n v="10249"/>
    <n v="40"/>
    <n v="95.95"/>
    <n v="4"/>
    <n v="3838"/>
    <d v="2019-05-08T00:00:00"/>
    <s v="Shipped"/>
    <s v="Ships"/>
    <n v="90"/>
    <s v="S700_2047"/>
    <x v="74"/>
    <s v="6175555555"/>
    <s v="4658 Baden Av."/>
    <s v="Cambridge"/>
    <s v="51247"/>
    <s v="USA"/>
    <s v="Tseng"/>
    <s v="Kyung"/>
    <s v="Medium"/>
    <x v="22"/>
  </r>
  <r>
    <n v="10249"/>
    <n v="32"/>
    <n v="57.61"/>
    <n v="3"/>
    <n v="1843.52"/>
    <d v="2019-05-08T00:00:00"/>
    <s v="Shipped"/>
    <s v="Planes"/>
    <n v="49"/>
    <s v="S72_1253"/>
    <x v="74"/>
    <s v="6175555555"/>
    <s v="4658 Baden Av."/>
    <s v="Cambridge"/>
    <s v="51247"/>
    <s v="USA"/>
    <s v="Tseng"/>
    <s v="Kyung"/>
    <s v="Small"/>
    <x v="1047"/>
  </r>
  <r>
    <n v="10250"/>
    <n v="45"/>
    <n v="181.34"/>
    <n v="14"/>
    <n v="8160.3"/>
    <d v="2019-05-11T00:00:00"/>
    <s v="Shipped"/>
    <s v="Planes"/>
    <n v="157"/>
    <s v="S18_1662"/>
    <x v="80"/>
    <s v="4085553659"/>
    <s v="3086 Ingle Ln."/>
    <s v="San Jose"/>
    <s v="94217"/>
    <s v="USA"/>
    <s v="Frick"/>
    <s v="Sue"/>
    <s v="Large"/>
    <x v="1048"/>
  </r>
  <r>
    <n v="10250"/>
    <n v="27"/>
    <n v="98.84"/>
    <n v="4"/>
    <n v="2668.68"/>
    <d v="2019-05-11T00:00:00"/>
    <s v="Shipped"/>
    <s v="Planes"/>
    <n v="84"/>
    <s v="S18_2581"/>
    <x v="80"/>
    <s v="4085553659"/>
    <s v="3086 Ingle Ln."/>
    <s v="San Jose"/>
    <s v="94217"/>
    <s v="USA"/>
    <s v="Frick"/>
    <s v="Sue"/>
    <s v="Small"/>
    <x v="644"/>
  </r>
  <r>
    <n v="10250"/>
    <n v="31"/>
    <n v="88.63"/>
    <n v="6"/>
    <n v="2747.53"/>
    <d v="2019-05-11T00:00:00"/>
    <s v="Shipped"/>
    <s v="Planes"/>
    <n v="109"/>
    <s v="S24_1785"/>
    <x v="80"/>
    <s v="4085553659"/>
    <s v="3086 Ingle Ln."/>
    <s v="San Jose"/>
    <s v="94217"/>
    <s v="USA"/>
    <s v="Frick"/>
    <s v="Sue"/>
    <s v="Small"/>
    <x v="1049"/>
  </r>
  <r>
    <n v="10250"/>
    <n v="32"/>
    <n v="87.6"/>
    <n v="1"/>
    <n v="2803.2"/>
    <d v="2019-05-11T00:00:00"/>
    <s v="Shipped"/>
    <s v="Motorcycles"/>
    <n v="76"/>
    <s v="S24_2000"/>
    <x v="80"/>
    <s v="4085553659"/>
    <s v="3086 Ingle Ln."/>
    <s v="San Jose"/>
    <s v="94217"/>
    <s v="USA"/>
    <s v="Frick"/>
    <s v="Sue"/>
    <s v="Small"/>
    <x v="1050"/>
  </r>
  <r>
    <n v="10250"/>
    <n v="40"/>
    <n v="75.06"/>
    <n v="13"/>
    <n v="3002.4"/>
    <d v="2019-05-11T00:00:00"/>
    <s v="Shipped"/>
    <s v="Planes"/>
    <n v="68"/>
    <s v="S24_3949"/>
    <x v="80"/>
    <s v="4085553659"/>
    <s v="3086 Ingle Ln."/>
    <s v="San Jose"/>
    <s v="94217"/>
    <s v="USA"/>
    <s v="Frick"/>
    <s v="Sue"/>
    <s v="Medium"/>
    <x v="1051"/>
  </r>
  <r>
    <n v="10250"/>
    <n v="37"/>
    <n v="74.62"/>
    <n v="5"/>
    <n v="2760.94"/>
    <d v="2019-05-11T00:00:00"/>
    <s v="Shipped"/>
    <s v="Planes"/>
    <n v="72"/>
    <s v="S24_4278"/>
    <x v="80"/>
    <s v="4085553659"/>
    <s v="3086 Ingle Ln."/>
    <s v="San Jose"/>
    <s v="94217"/>
    <s v="USA"/>
    <s v="Frick"/>
    <s v="Sue"/>
    <s v="Small"/>
    <x v="338"/>
  </r>
  <r>
    <n v="10250"/>
    <n v="31"/>
    <n v="105.88"/>
    <n v="2"/>
    <n v="3282.28"/>
    <d v="2019-05-11T00:00:00"/>
    <s v="Shipped"/>
    <s v="Motorcycles"/>
    <n v="99"/>
    <s v="S32_1374"/>
    <x v="80"/>
    <s v="4085553659"/>
    <s v="3086 Ingle Ln."/>
    <s v="San Jose"/>
    <s v="94217"/>
    <s v="USA"/>
    <s v="Frick"/>
    <s v="Sue"/>
    <s v="Medium"/>
    <x v="1052"/>
  </r>
  <r>
    <n v="10250"/>
    <n v="50"/>
    <n v="61.22"/>
    <n v="7"/>
    <n v="3061"/>
    <d v="2019-05-11T00:00:00"/>
    <s v="Shipped"/>
    <s v="Vintage Cars"/>
    <n v="68"/>
    <s v="S32_4289"/>
    <x v="80"/>
    <s v="4085553659"/>
    <s v="3086 Ingle Ln."/>
    <s v="San Jose"/>
    <s v="94217"/>
    <s v="USA"/>
    <s v="Frick"/>
    <s v="Sue"/>
    <s v="Medium"/>
    <x v="632"/>
  </r>
  <r>
    <n v="10250"/>
    <n v="36"/>
    <n v="51.93"/>
    <n v="8"/>
    <n v="1869.48"/>
    <d v="2019-05-11T00:00:00"/>
    <s v="Shipped"/>
    <s v="Vintage Cars"/>
    <n v="43"/>
    <s v="S50_1341"/>
    <x v="80"/>
    <s v="4085553659"/>
    <s v="3086 Ingle Ln."/>
    <s v="San Jose"/>
    <s v="94217"/>
    <s v="USA"/>
    <s v="Frick"/>
    <s v="Sue"/>
    <s v="Small"/>
    <x v="1053"/>
  </r>
  <r>
    <n v="10250"/>
    <n v="31"/>
    <n v="91.34"/>
    <n v="9"/>
    <n v="2831.54"/>
    <d v="2019-05-11T00:00:00"/>
    <s v="Shipped"/>
    <s v="Planes"/>
    <n v="91"/>
    <s v="S700_1691"/>
    <x v="80"/>
    <s v="4085553659"/>
    <s v="3086 Ingle Ln."/>
    <s v="San Jose"/>
    <s v="94217"/>
    <s v="USA"/>
    <s v="Frick"/>
    <s v="Sue"/>
    <s v="Small"/>
    <x v="1054"/>
  </r>
  <r>
    <n v="10250"/>
    <n v="35"/>
    <n v="111.69"/>
    <n v="11"/>
    <n v="3909.15"/>
    <d v="2019-05-11T00:00:00"/>
    <s v="Shipped"/>
    <s v="Planes"/>
    <n v="99"/>
    <s v="S700_2466"/>
    <x v="80"/>
    <s v="4085553659"/>
    <s v="3086 Ingle Ln."/>
    <s v="San Jose"/>
    <s v="94217"/>
    <s v="USA"/>
    <s v="Frick"/>
    <s v="Sue"/>
    <s v="Medium"/>
    <x v="201"/>
  </r>
  <r>
    <n v="10250"/>
    <n v="44"/>
    <n v="137.63"/>
    <n v="3"/>
    <n v="6055.72"/>
    <d v="2019-05-11T00:00:00"/>
    <s v="Shipped"/>
    <s v="Planes"/>
    <n v="118"/>
    <s v="S700_2834"/>
    <x v="80"/>
    <s v="4085553659"/>
    <s v="3086 Ingle Ln."/>
    <s v="San Jose"/>
    <s v="94217"/>
    <s v="USA"/>
    <s v="Frick"/>
    <s v="Sue"/>
    <s v="Medium"/>
    <x v="609"/>
  </r>
  <r>
    <n v="10250"/>
    <n v="44"/>
    <n v="67.2"/>
    <n v="10"/>
    <n v="2956.8"/>
    <d v="2019-05-11T00:00:00"/>
    <s v="Shipped"/>
    <s v="Planes"/>
    <n v="80"/>
    <s v="S700_3167"/>
    <x v="80"/>
    <s v="4085553659"/>
    <s v="3086 Ingle Ln."/>
    <s v="San Jose"/>
    <s v="94217"/>
    <s v="USA"/>
    <s v="Frick"/>
    <s v="Sue"/>
    <s v="Small"/>
    <x v="278"/>
  </r>
  <r>
    <n v="10250"/>
    <n v="38"/>
    <n v="62.19"/>
    <n v="12"/>
    <n v="2363.2199999999998"/>
    <d v="2019-05-11T00:00:00"/>
    <s v="Shipped"/>
    <s v="Planes"/>
    <n v="74"/>
    <s v="S700_4002"/>
    <x v="80"/>
    <s v="4085553659"/>
    <s v="3086 Ingle Ln."/>
    <s v="San Jose"/>
    <s v="94217"/>
    <s v="USA"/>
    <s v="Frick"/>
    <s v="Sue"/>
    <s v="Small"/>
    <x v="974"/>
  </r>
  <r>
    <n v="10251"/>
    <n v="28"/>
    <n v="113.88"/>
    <n v="2"/>
    <n v="3188.64"/>
    <d v="2019-05-18T00:00:00"/>
    <s v="Shipped"/>
    <s v="Motorcycles"/>
    <n v="95"/>
    <s v="S10_1678"/>
    <x v="76"/>
    <s v="2015559350"/>
    <s v="7476 Moss Rd."/>
    <s v="Newark"/>
    <s v="94019"/>
    <s v="USA"/>
    <s v="Brown"/>
    <s v="William"/>
    <s v="Medium"/>
    <x v="1055"/>
  </r>
  <r>
    <n v="10251"/>
    <n v="44"/>
    <n v="130.83000000000001"/>
    <n v="5"/>
    <n v="5756.52"/>
    <d v="2019-05-18T00:00:00"/>
    <s v="Shipped"/>
    <s v="Motorcycles"/>
    <n v="118"/>
    <s v="S10_2016"/>
    <x v="76"/>
    <s v="2015559350"/>
    <s v="7476 Moss Rd."/>
    <s v="Newark"/>
    <s v="94019"/>
    <s v="USA"/>
    <s v="Brown"/>
    <s v="William"/>
    <s v="Medium"/>
    <x v="1056"/>
  </r>
  <r>
    <n v="10251"/>
    <n v="43"/>
    <n v="164.61"/>
    <n v="4"/>
    <n v="7078.23"/>
    <d v="2019-05-18T00:00:00"/>
    <s v="Shipped"/>
    <s v="Motorcycles"/>
    <n v="193"/>
    <s v="S10_4698"/>
    <x v="76"/>
    <s v="2015559350"/>
    <s v="7476 Moss Rd."/>
    <s v="Newark"/>
    <s v="94019"/>
    <s v="USA"/>
    <s v="Brown"/>
    <s v="William"/>
    <s v="Large"/>
    <x v="1057"/>
  </r>
  <r>
    <n v="10251"/>
    <n v="46"/>
    <n v="164.18"/>
    <n v="1"/>
    <n v="7552.28"/>
    <d v="2019-05-18T00:00:00"/>
    <s v="Shipped"/>
    <s v="Motorcycles"/>
    <n v="150"/>
    <s v="S12_2823"/>
    <x v="76"/>
    <s v="2015559350"/>
    <s v="7476 Moss Rd."/>
    <s v="Newark"/>
    <s v="94019"/>
    <s v="USA"/>
    <s v="Brown"/>
    <s v="William"/>
    <s v="Large"/>
    <x v="890"/>
  </r>
  <r>
    <n v="10251"/>
    <n v="29"/>
    <n v="61.18"/>
    <n v="6"/>
    <n v="1774.22"/>
    <d v="2019-05-18T00:00:00"/>
    <s v="Shipped"/>
    <s v="Motorcycles"/>
    <n v="60"/>
    <s v="S18_2625"/>
    <x v="76"/>
    <s v="2015559350"/>
    <s v="7476 Moss Rd."/>
    <s v="Newark"/>
    <s v="94019"/>
    <s v="USA"/>
    <s v="Brown"/>
    <s v="William"/>
    <s v="Small"/>
    <x v="1058"/>
  </r>
  <r>
    <n v="10251"/>
    <n v="26"/>
    <n v="101.43"/>
    <n v="3"/>
    <n v="2637.18"/>
    <d v="2019-05-18T00:00:00"/>
    <s v="Shipped"/>
    <s v="Motorcycles"/>
    <n v="112"/>
    <s v="S24_1578"/>
    <x v="76"/>
    <s v="2015559350"/>
    <s v="7476 Moss Rd."/>
    <s v="Newark"/>
    <s v="94019"/>
    <s v="USA"/>
    <s v="Brown"/>
    <s v="William"/>
    <s v="Small"/>
    <x v="1059"/>
  </r>
  <r>
    <n v="10252"/>
    <n v="20"/>
    <n v="76.39"/>
    <n v="2"/>
    <n v="1527.8"/>
    <d v="2019-05-26T00:00:00"/>
    <s v="Shipped"/>
    <s v="Classic Cars"/>
    <n v="80"/>
    <s v="S18_3278"/>
    <x v="67"/>
    <s v="(1) 47.55.6555"/>
    <s v="25, rue Lauriston"/>
    <s v="Paris"/>
    <s v="75016"/>
    <s v="France"/>
    <s v="Perrier"/>
    <s v="Dominique"/>
    <s v="Small"/>
    <x v="1060"/>
  </r>
  <r>
    <n v="10252"/>
    <n v="41"/>
    <n v="164.63"/>
    <n v="1"/>
    <n v="6749.83"/>
    <d v="2019-05-26T00:00:00"/>
    <s v="Shipped"/>
    <s v="Classic Cars"/>
    <n v="146"/>
    <s v="S18_3482"/>
    <x v="67"/>
    <s v="(1) 47.55.6555"/>
    <s v="25, rue Lauriston"/>
    <s v="Paris"/>
    <s v="75016"/>
    <s v="France"/>
    <s v="Perrier"/>
    <s v="Dominique"/>
    <s v="Medium"/>
    <x v="1061"/>
  </r>
  <r>
    <n v="10252"/>
    <n v="31"/>
    <n v="52.84"/>
    <n v="5"/>
    <n v="1638.04"/>
    <d v="2019-05-26T00:00:00"/>
    <s v="Shipped"/>
    <s v="Motorcycles"/>
    <n v="62"/>
    <s v="S18_3782"/>
    <x v="67"/>
    <s v="(1) 47.55.6555"/>
    <s v="25, rue Lauriston"/>
    <s v="Paris"/>
    <s v="75016"/>
    <s v="France"/>
    <s v="Perrier"/>
    <s v="Dominique"/>
    <s v="Small"/>
    <x v="1062"/>
  </r>
  <r>
    <n v="10252"/>
    <n v="26"/>
    <n v="136.9"/>
    <n v="4"/>
    <n v="3559.4"/>
    <d v="2019-05-26T00:00:00"/>
    <s v="Shipped"/>
    <s v="Classic Cars"/>
    <n v="148"/>
    <s v="S18_4721"/>
    <x v="67"/>
    <s v="(1) 47.55.6555"/>
    <s v="25, rue Lauriston"/>
    <s v="Paris"/>
    <s v="75016"/>
    <s v="France"/>
    <s v="Perrier"/>
    <s v="Dominique"/>
    <s v="Medium"/>
    <x v="15"/>
  </r>
  <r>
    <n v="10252"/>
    <n v="47"/>
    <n v="65.8"/>
    <n v="8"/>
    <n v="3092.6"/>
    <d v="2019-05-26T00:00:00"/>
    <s v="Shipped"/>
    <s v="Motorcycles"/>
    <n v="69"/>
    <s v="S24_2360"/>
    <x v="67"/>
    <s v="(1) 47.55.6555"/>
    <s v="25, rue Lauriston"/>
    <s v="Paris"/>
    <s v="75016"/>
    <s v="France"/>
    <s v="Perrier"/>
    <s v="Dominique"/>
    <s v="Medium"/>
    <x v="1063"/>
  </r>
  <r>
    <n v="10252"/>
    <n v="38"/>
    <n v="87.31"/>
    <n v="3"/>
    <n v="3317.78"/>
    <d v="2019-05-26T00:00:00"/>
    <s v="Shipped"/>
    <s v="Classic Cars"/>
    <n v="80"/>
    <s v="S24_4620"/>
    <x v="67"/>
    <s v="(1) 47.55.6555"/>
    <s v="25, rue Lauriston"/>
    <s v="Paris"/>
    <s v="75016"/>
    <s v="France"/>
    <s v="Perrier"/>
    <s v="Dominique"/>
    <s v="Medium"/>
    <x v="579"/>
  </r>
  <r>
    <n v="10252"/>
    <n v="36"/>
    <n v="48.28"/>
    <n v="6"/>
    <n v="1738.08"/>
    <d v="2019-05-26T00:00:00"/>
    <s v="Shipped"/>
    <s v="Motorcycles"/>
    <n v="40"/>
    <s v="S32_2206"/>
    <x v="67"/>
    <s v="(1) 47.55.6555"/>
    <s v="25, rue Lauriston"/>
    <s v="Paris"/>
    <s v="75016"/>
    <s v="France"/>
    <s v="Perrier"/>
    <s v="Dominique"/>
    <s v="Small"/>
    <x v="33"/>
  </r>
  <r>
    <n v="10252"/>
    <n v="25"/>
    <n v="113.28"/>
    <n v="9"/>
    <n v="2832"/>
    <d v="2019-05-26T00:00:00"/>
    <s v="Shipped"/>
    <s v="Motorcycles"/>
    <n v="102"/>
    <s v="S32_4485"/>
    <x v="67"/>
    <s v="(1) 47.55.6555"/>
    <s v="25, rue Lauriston"/>
    <s v="Paris"/>
    <s v="75016"/>
    <s v="France"/>
    <s v="Perrier"/>
    <s v="Dominique"/>
    <s v="Small"/>
    <x v="865"/>
  </r>
  <r>
    <n v="10252"/>
    <n v="48"/>
    <n v="72.41"/>
    <n v="7"/>
    <n v="3475.68"/>
    <d v="2019-05-26T00:00:00"/>
    <s v="Shipped"/>
    <s v="Motorcycles"/>
    <n v="81"/>
    <s v="S50_4713"/>
    <x v="67"/>
    <s v="(1) 47.55.6555"/>
    <s v="25, rue Lauriston"/>
    <s v="Paris"/>
    <s v="75016"/>
    <s v="France"/>
    <s v="Perrier"/>
    <s v="Dominique"/>
    <s v="Medium"/>
    <x v="232"/>
  </r>
  <r>
    <n v="10253"/>
    <n v="24"/>
    <n v="163.44"/>
    <n v="13"/>
    <n v="3922.56"/>
    <d v="2019-06-01T00:00:00"/>
    <s v="Cancelled"/>
    <s v="Classic Cars"/>
    <n v="194"/>
    <s v="S12_1099"/>
    <x v="44"/>
    <s v="(171) 555-2282"/>
    <s v="Berkeley Gardens 12  Brewery"/>
    <s v="Liverpool"/>
    <s v="WX1 6LT"/>
    <s v="UK"/>
    <s v="Devon"/>
    <s v="Elizabeth"/>
    <s v="Medium"/>
    <x v="1064"/>
  </r>
  <r>
    <n v="10253"/>
    <n v="22"/>
    <n v="109.22"/>
    <n v="11"/>
    <n v="2402.84"/>
    <d v="2019-06-01T00:00:00"/>
    <s v="Cancelled"/>
    <s v="Classic Cars"/>
    <n v="117"/>
    <s v="S12_3380"/>
    <x v="44"/>
    <s v="(171) 555-2282"/>
    <s v="Berkeley Gardens 12  Brewery"/>
    <s v="Liverpool"/>
    <s v="WX1 6LT"/>
    <s v="UK"/>
    <s v="Devon"/>
    <s v="Elizabeth"/>
    <s v="Small"/>
    <x v="1065"/>
  </r>
  <r>
    <n v="10253"/>
    <n v="25"/>
    <n v="90.17"/>
    <n v="14"/>
    <n v="2254.25"/>
    <d v="2019-06-01T00:00:00"/>
    <s v="Cancelled"/>
    <s v="Classic Cars"/>
    <n v="79"/>
    <s v="S12_3990"/>
    <x v="44"/>
    <s v="(171) 555-2282"/>
    <s v="Berkeley Gardens 12  Brewery"/>
    <s v="Liverpool"/>
    <s v="WX1 6LT"/>
    <s v="UK"/>
    <s v="Devon"/>
    <s v="Elizabeth"/>
    <s v="Small"/>
    <x v="583"/>
  </r>
  <r>
    <n v="10253"/>
    <n v="41"/>
    <n v="119.77"/>
    <n v="10"/>
    <n v="4910.57"/>
    <d v="2019-06-01T00:00:00"/>
    <s v="Cancelled"/>
    <s v="Classic Cars"/>
    <n v="115"/>
    <s v="S12_4675"/>
    <x v="44"/>
    <s v="(171) 555-2282"/>
    <s v="Berkeley Gardens 12  Brewery"/>
    <s v="Liverpool"/>
    <s v="WX1 6LT"/>
    <s v="UK"/>
    <s v="Devon"/>
    <s v="Elizabeth"/>
    <s v="Medium"/>
    <x v="281"/>
  </r>
  <r>
    <n v="10253"/>
    <n v="26"/>
    <n v="117.48"/>
    <n v="5"/>
    <n v="3054.48"/>
    <d v="2019-06-01T00:00:00"/>
    <s v="Cancelled"/>
    <s v="Classic Cars"/>
    <n v="141"/>
    <s v="S18_1129"/>
    <x v="44"/>
    <s v="(171) 555-2282"/>
    <s v="Berkeley Gardens 12  Brewery"/>
    <s v="Liverpool"/>
    <s v="WX1 6LT"/>
    <s v="UK"/>
    <s v="Devon"/>
    <s v="Elizabeth"/>
    <s v="Medium"/>
    <x v="545"/>
  </r>
  <r>
    <n v="10253"/>
    <n v="24"/>
    <n v="140.62"/>
    <n v="1"/>
    <n v="3374.88"/>
    <d v="2019-06-01T00:00:00"/>
    <s v="Cancelled"/>
    <s v="Classic Cars"/>
    <n v="124"/>
    <s v="S18_1589"/>
    <x v="44"/>
    <s v="(171) 555-2282"/>
    <s v="Berkeley Gardens 12  Brewery"/>
    <s v="Liverpool"/>
    <s v="WX1 6LT"/>
    <s v="UK"/>
    <s v="Devon"/>
    <s v="Elizabeth"/>
    <s v="Medium"/>
    <x v="789"/>
  </r>
  <r>
    <n v="10253"/>
    <n v="23"/>
    <n v="83.93"/>
    <n v="9"/>
    <n v="1930.39"/>
    <d v="2019-06-01T00:00:00"/>
    <s v="Cancelled"/>
    <s v="Classic Cars"/>
    <n v="77"/>
    <s v="S18_1889"/>
    <x v="44"/>
    <s v="(171) 555-2282"/>
    <s v="Berkeley Gardens 12  Brewery"/>
    <s v="Liverpool"/>
    <s v="WX1 6LT"/>
    <s v="UK"/>
    <s v="Devon"/>
    <s v="Elizabeth"/>
    <s v="Small"/>
    <x v="1066"/>
  </r>
  <r>
    <n v="10253"/>
    <n v="33"/>
    <n v="135.13999999999999"/>
    <n v="4"/>
    <n v="4459.62"/>
    <d v="2019-06-01T00:00:00"/>
    <s v="Cancelled"/>
    <s v="Classic Cars"/>
    <n v="142"/>
    <s v="S18_1984"/>
    <x v="44"/>
    <s v="(171) 555-2282"/>
    <s v="Berkeley Gardens 12  Brewery"/>
    <s v="Liverpool"/>
    <s v="WX1 6LT"/>
    <s v="UK"/>
    <s v="Devon"/>
    <s v="Elizabeth"/>
    <s v="Medium"/>
    <x v="1067"/>
  </r>
  <r>
    <n v="10253"/>
    <n v="37"/>
    <n v="139.91999999999999"/>
    <n v="2"/>
    <n v="5177.04"/>
    <d v="2019-06-01T00:00:00"/>
    <s v="Cancelled"/>
    <s v="Classic Cars"/>
    <n v="132"/>
    <s v="S18_2870"/>
    <x v="44"/>
    <s v="(171) 555-2282"/>
    <s v="Berkeley Gardens 12  Brewery"/>
    <s v="Liverpool"/>
    <s v="WX1 6LT"/>
    <s v="UK"/>
    <s v="Devon"/>
    <s v="Elizabeth"/>
    <s v="Medium"/>
    <x v="119"/>
  </r>
  <r>
    <n v="10253"/>
    <n v="40"/>
    <n v="169.34"/>
    <n v="6"/>
    <n v="6773.6"/>
    <d v="2019-06-01T00:00:00"/>
    <s v="Cancelled"/>
    <s v="Classic Cars"/>
    <n v="169"/>
    <s v="S18_3232"/>
    <x v="44"/>
    <s v="(171) 555-2282"/>
    <s v="Berkeley Gardens 12  Brewery"/>
    <s v="Liverpool"/>
    <s v="WX1 6LT"/>
    <s v="UK"/>
    <s v="Devon"/>
    <s v="Elizabeth"/>
    <s v="Medium"/>
    <x v="54"/>
  </r>
  <r>
    <n v="10253"/>
    <n v="31"/>
    <n v="129.97999999999999"/>
    <n v="3"/>
    <n v="4029.38"/>
    <d v="2019-06-01T00:00:00"/>
    <s v="Cancelled"/>
    <s v="Classic Cars"/>
    <n v="141"/>
    <s v="S18_3685"/>
    <x v="44"/>
    <s v="(171) 555-2282"/>
    <s v="Berkeley Gardens 12  Brewery"/>
    <s v="Liverpool"/>
    <s v="WX1 6LT"/>
    <s v="UK"/>
    <s v="Devon"/>
    <s v="Elizabeth"/>
    <s v="Medium"/>
    <x v="1068"/>
  </r>
  <r>
    <n v="10253"/>
    <n v="40"/>
    <n v="42.67"/>
    <n v="7"/>
    <n v="1706.8"/>
    <d v="2019-06-01T00:00:00"/>
    <s v="Cancelled"/>
    <s v="Classic Cars"/>
    <n v="37"/>
    <s v="S24_2972"/>
    <x v="44"/>
    <s v="(171) 555-2282"/>
    <s v="Berkeley Gardens 12  Brewery"/>
    <s v="Liverpool"/>
    <s v="WX1 6LT"/>
    <s v="UK"/>
    <s v="Devon"/>
    <s v="Elizabeth"/>
    <s v="Small"/>
    <x v="1069"/>
  </r>
  <r>
    <n v="10253"/>
    <n v="24"/>
    <n v="52.66"/>
    <n v="12"/>
    <n v="1263.8399999999999"/>
    <d v="2019-06-01T00:00:00"/>
    <s v="Cancelled"/>
    <s v="Classic Cars"/>
    <n v="61"/>
    <s v="S24_3371"/>
    <x v="44"/>
    <s v="(171) 555-2282"/>
    <s v="Berkeley Gardens 12  Brewery"/>
    <s v="Liverpool"/>
    <s v="WX1 6LT"/>
    <s v="UK"/>
    <s v="Devon"/>
    <s v="Elizabeth"/>
    <s v="Small"/>
    <x v="631"/>
  </r>
  <r>
    <n v="10253"/>
    <n v="39"/>
    <n v="132"/>
    <n v="8"/>
    <n v="5148"/>
    <d v="2019-06-01T00:00:00"/>
    <s v="Cancelled"/>
    <s v="Classic Cars"/>
    <n v="140"/>
    <s v="S24_3856"/>
    <x v="44"/>
    <s v="(171) 555-2282"/>
    <s v="Berkeley Gardens 12  Brewery"/>
    <s v="Liverpool"/>
    <s v="WX1 6LT"/>
    <s v="UK"/>
    <s v="Devon"/>
    <s v="Elizabeth"/>
    <s v="Medium"/>
    <x v="661"/>
  </r>
  <r>
    <n v="10255"/>
    <n v="24"/>
    <n v="155.25"/>
    <n v="1"/>
    <n v="3726"/>
    <d v="2019-06-04T00:00:00"/>
    <s v="Shipped"/>
    <s v="Vintage Cars"/>
    <n v="168"/>
    <s v="S18_2795"/>
    <x v="78"/>
    <s v="88.60.1555"/>
    <s v="24, place Kluber"/>
    <s v="Strasbourg"/>
    <s v="67000"/>
    <s v="France"/>
    <s v="Citeaux"/>
    <s v="Frederique"/>
    <s v="Medium"/>
    <x v="1070"/>
  </r>
  <r>
    <n v="10255"/>
    <n v="37"/>
    <n v="45.7"/>
    <n v="2"/>
    <n v="1690.9"/>
    <d v="2019-06-04T00:00:00"/>
    <s v="Shipped"/>
    <s v="Vintage Cars"/>
    <n v="44"/>
    <s v="S24_2022"/>
    <x v="78"/>
    <s v="88.60.1555"/>
    <s v="24, place Kluber"/>
    <s v="Strasbourg"/>
    <s v="67000"/>
    <s v="France"/>
    <s v="Citeaux"/>
    <s v="Frederique"/>
    <s v="Small"/>
    <x v="154"/>
  </r>
  <r>
    <n v="10256"/>
    <n v="34"/>
    <n v="95.55"/>
    <n v="2"/>
    <n v="3248.7"/>
    <d v="2019-06-08T00:00:00"/>
    <s v="Shipped"/>
    <s v="Vintage Cars"/>
    <n v="102"/>
    <s v="S18_1342"/>
    <x v="5"/>
    <s v="31 12 3555"/>
    <s v="Vinb'ltet 34"/>
    <s v="Kobenhavn"/>
    <s v="1734"/>
    <s v="Denmark"/>
    <s v="Petersen"/>
    <s v="Jytte"/>
    <s v="Medium"/>
    <x v="830"/>
  </r>
  <r>
    <n v="10256"/>
    <n v="29"/>
    <n v="51.75"/>
    <n v="1"/>
    <n v="1500.75"/>
    <d v="2019-06-08T00:00:00"/>
    <s v="Shipped"/>
    <s v="Vintage Cars"/>
    <n v="53"/>
    <s v="S18_1367"/>
    <x v="5"/>
    <s v="31 12 3555"/>
    <s v="Vinb'ltet 34"/>
    <s v="Kobenhavn"/>
    <s v="1734"/>
    <s v="Denmark"/>
    <s v="Petersen"/>
    <s v="Jytte"/>
    <s v="Small"/>
    <x v="1071"/>
  </r>
  <r>
    <n v="10257"/>
    <n v="50"/>
    <n v="88.14"/>
    <n v="1"/>
    <n v="4407"/>
    <d v="2019-06-14T00:00:00"/>
    <s v="Shipped"/>
    <s v="Vintage Cars"/>
    <n v="101"/>
    <s v="S18_2949"/>
    <x v="80"/>
    <s v="4085553659"/>
    <s v="3086 Ingle Ln."/>
    <s v="San Jose"/>
    <s v="94217"/>
    <s v="USA"/>
    <s v="Frick"/>
    <s v="Sue"/>
    <s v="Medium"/>
    <x v="1072"/>
  </r>
  <r>
    <n v="10257"/>
    <n v="49"/>
    <n v="53.72"/>
    <n v="3"/>
    <n v="2632.28"/>
    <d v="2019-06-14T00:00:00"/>
    <s v="Shipped"/>
    <s v="Vintage Cars"/>
    <n v="62"/>
    <s v="S18_2957"/>
    <x v="80"/>
    <s v="4085553659"/>
    <s v="3086 Ingle Ln."/>
    <s v="San Jose"/>
    <s v="94217"/>
    <s v="USA"/>
    <s v="Frick"/>
    <s v="Sue"/>
    <s v="Small"/>
    <x v="1073"/>
  </r>
  <r>
    <n v="10257"/>
    <n v="37"/>
    <n v="84.82"/>
    <n v="2"/>
    <n v="3138.34"/>
    <d v="2019-06-14T00:00:00"/>
    <s v="Shipped"/>
    <s v="Vintage Cars"/>
    <n v="104"/>
    <s v="S18_3136"/>
    <x v="80"/>
    <s v="4085553659"/>
    <s v="3086 Ingle Ln."/>
    <s v="San Jose"/>
    <s v="94217"/>
    <s v="USA"/>
    <s v="Frick"/>
    <s v="Sue"/>
    <s v="Medium"/>
    <x v="1074"/>
  </r>
  <r>
    <n v="10257"/>
    <n v="26"/>
    <n v="89.29"/>
    <n v="5"/>
    <n v="2321.54"/>
    <d v="2019-06-14T00:00:00"/>
    <s v="Shipped"/>
    <s v="Vintage Cars"/>
    <n v="99"/>
    <s v="S18_3320"/>
    <x v="80"/>
    <s v="4085553659"/>
    <s v="3086 Ingle Ln."/>
    <s v="San Jose"/>
    <s v="94217"/>
    <s v="USA"/>
    <s v="Frick"/>
    <s v="Sue"/>
    <s v="Small"/>
    <x v="1075"/>
  </r>
  <r>
    <n v="10257"/>
    <n v="46"/>
    <n v="78.89"/>
    <n v="4"/>
    <n v="3628.94"/>
    <d v="2019-06-14T00:00:00"/>
    <s v="Shipped"/>
    <s v="Vintage Cars"/>
    <n v="97"/>
    <s v="S24_4258"/>
    <x v="80"/>
    <s v="4085553659"/>
    <s v="3086 Ingle Ln."/>
    <s v="San Jose"/>
    <s v="94217"/>
    <s v="USA"/>
    <s v="Frick"/>
    <s v="Sue"/>
    <s v="Medium"/>
    <x v="386"/>
  </r>
  <r>
    <n v="10258"/>
    <n v="32"/>
    <n v="240.02"/>
    <n v="6"/>
    <n v="7680.64"/>
    <d v="2019-06-15T00:00:00"/>
    <s v="Shipped"/>
    <s v="Classic Cars"/>
    <n v="214"/>
    <s v="S10_1949"/>
    <x v="81"/>
    <s v="+81 3 3584 0555"/>
    <s v="2-2-8 Roppongi"/>
    <s v="Minato-ku"/>
    <s v="106-0032"/>
    <s v="Japan"/>
    <s v="Shimamura"/>
    <s v="Akiko"/>
    <s v="Large"/>
    <x v="1076"/>
  </r>
  <r>
    <n v="10259"/>
    <n v="26"/>
    <n v="155.13"/>
    <n v="12"/>
    <n v="4033.38"/>
    <d v="2019-06-15T00:00:00"/>
    <s v="Shipped"/>
    <s v="Classic Cars"/>
    <n v="147"/>
    <s v="S10_4962"/>
    <x v="69"/>
    <s v="+65 224 1555"/>
    <s v="Village Close - 106 Linden Road Sandown"/>
    <s v="Singapore"/>
    <s v="69045"/>
    <s v="Singapore"/>
    <s v="Victorino"/>
    <s v="Wendy"/>
    <s v="Medium"/>
    <x v="1077"/>
  </r>
  <r>
    <n v="10258"/>
    <n v="41"/>
    <n v="162.63999999999999"/>
    <n v="3"/>
    <n v="6668.24"/>
    <d v="2019-06-15T00:00:00"/>
    <s v="Shipped"/>
    <s v="Trucks and Buses"/>
    <n v="136"/>
    <s v="S12_1666"/>
    <x v="81"/>
    <s v="+81 3 3584 0555"/>
    <s v="2-2-8 Roppongi"/>
    <s v="Minato-ku"/>
    <s v="106-0032"/>
    <s v="Japan"/>
    <s v="Shimamura"/>
    <s v="Akiko"/>
    <s v="Medium"/>
    <x v="1078"/>
  </r>
  <r>
    <n v="10259"/>
    <n v="46"/>
    <n v="142.19999999999999"/>
    <n v="4"/>
    <n v="6541.2"/>
    <d v="2019-06-15T00:00:00"/>
    <s v="Shipped"/>
    <s v="Trucks and Buses"/>
    <n v="118"/>
    <s v="S12_4473"/>
    <x v="69"/>
    <s v="+65 224 1555"/>
    <s v="Village Close - 106 Linden Road Sandown"/>
    <s v="Singapore"/>
    <s v="69045"/>
    <s v="Singapore"/>
    <s v="Victorino"/>
    <s v="Wendy"/>
    <s v="Medium"/>
    <x v="1079"/>
  </r>
  <r>
    <n v="10258"/>
    <n v="41"/>
    <n v="133"/>
    <n v="5"/>
    <n v="5453"/>
    <d v="2019-06-15T00:00:00"/>
    <s v="Shipped"/>
    <s v="Trucks and Buses"/>
    <n v="116"/>
    <s v="S18_1097"/>
    <x v="81"/>
    <s v="+81 3 3584 0555"/>
    <s v="2-2-8 Roppongi"/>
    <s v="Minato-ku"/>
    <s v="106-0032"/>
    <s v="Japan"/>
    <s v="Shimamura"/>
    <s v="Akiko"/>
    <s v="Medium"/>
    <x v="1080"/>
  </r>
  <r>
    <n v="10259"/>
    <n v="30"/>
    <n v="189.93"/>
    <n v="3"/>
    <n v="5697.9"/>
    <d v="2019-06-15T00:00:00"/>
    <s v="Shipped"/>
    <s v="Classic Cars"/>
    <n v="163"/>
    <s v="S18_2238"/>
    <x v="69"/>
    <s v="+65 224 1555"/>
    <s v="Village Close - 106 Linden Road Sandown"/>
    <s v="Singapore"/>
    <s v="69045"/>
    <s v="Singapore"/>
    <s v="Victorino"/>
    <s v="Wendy"/>
    <s v="Medium"/>
    <x v="1081"/>
  </r>
  <r>
    <n v="10259"/>
    <n v="34"/>
    <n v="99.41"/>
    <n v="7"/>
    <n v="3379.94"/>
    <d v="2019-06-15T00:00:00"/>
    <s v="Shipped"/>
    <s v="Trucks and Buses"/>
    <n v="122"/>
    <s v="S18_2319"/>
    <x v="69"/>
    <s v="+65 224 1555"/>
    <s v="Village Close - 106 Linden Road Sandown"/>
    <s v="Singapore"/>
    <s v="69045"/>
    <s v="Singapore"/>
    <s v="Victorino"/>
    <s v="Wendy"/>
    <s v="Medium"/>
    <x v="1082"/>
  </r>
  <r>
    <n v="10259"/>
    <n v="30"/>
    <n v="49.22"/>
    <n v="10"/>
    <n v="1476.6"/>
    <d v="2019-06-15T00:00:00"/>
    <s v="Shipped"/>
    <s v="Trucks and Buses"/>
    <n v="60"/>
    <s v="S18_2432"/>
    <x v="69"/>
    <s v="+65 224 1555"/>
    <s v="Village Close - 106 Linden Road Sandown"/>
    <s v="Singapore"/>
    <s v="69045"/>
    <s v="Singapore"/>
    <s v="Victorino"/>
    <s v="Wendy"/>
    <s v="Small"/>
    <x v="1083"/>
  </r>
  <r>
    <n v="10259"/>
    <n v="27"/>
    <n v="135.47"/>
    <n v="8"/>
    <n v="3657.69"/>
    <d v="2019-06-15T00:00:00"/>
    <s v="Shipped"/>
    <s v="Classic Cars"/>
    <n v="169"/>
    <s v="S18_3232"/>
    <x v="69"/>
    <s v="+65 224 1555"/>
    <s v="Village Close - 106 Linden Road Sandown"/>
    <s v="Singapore"/>
    <s v="69045"/>
    <s v="Singapore"/>
    <s v="Victorino"/>
    <s v="Wendy"/>
    <s v="Medium"/>
    <x v="1084"/>
  </r>
  <r>
    <n v="10259"/>
    <n v="41"/>
    <n v="113.82"/>
    <n v="13"/>
    <n v="4666.62"/>
    <d v="2019-06-15T00:00:00"/>
    <s v="Shipped"/>
    <s v="Trucks and Buses"/>
    <n v="121"/>
    <s v="S18_4600"/>
    <x v="69"/>
    <s v="+65 224 1555"/>
    <s v="Village Close - 106 Linden Road Sandown"/>
    <s v="Singapore"/>
    <s v="69045"/>
    <s v="Singapore"/>
    <s v="Victorino"/>
    <s v="Wendy"/>
    <s v="Medium"/>
    <x v="1085"/>
  </r>
  <r>
    <n v="10258"/>
    <n v="21"/>
    <n v="59.87"/>
    <n v="4"/>
    <n v="1257.27"/>
    <d v="2019-06-15T00:00:00"/>
    <s v="Shipped"/>
    <s v="Vintage Cars"/>
    <n v="50"/>
    <s v="S18_4668"/>
    <x v="81"/>
    <s v="+81 3 3584 0555"/>
    <s v="2-2-8 Roppongi"/>
    <s v="Minato-ku"/>
    <s v="106-0032"/>
    <s v="Japan"/>
    <s v="Shimamura"/>
    <s v="Akiko"/>
    <s v="Small"/>
    <x v="228"/>
  </r>
  <r>
    <n v="10259"/>
    <n v="28"/>
    <n v="46.82"/>
    <n v="1"/>
    <n v="1310.96"/>
    <d v="2019-06-15T00:00:00"/>
    <s v="Shipped"/>
    <s v="Classic Cars"/>
    <n v="57"/>
    <s v="S24_1444"/>
    <x v="69"/>
    <s v="+65 224 1555"/>
    <s v="Village Close - 106 Linden Road Sandown"/>
    <s v="Singapore"/>
    <s v="69045"/>
    <s v="Singapore"/>
    <s v="Victorino"/>
    <s v="Wendy"/>
    <s v="Small"/>
    <x v="959"/>
  </r>
  <r>
    <n v="10259"/>
    <n v="47"/>
    <n v="112.46"/>
    <n v="9"/>
    <n v="5285.62"/>
    <d v="2019-06-15T00:00:00"/>
    <s v="Shipped"/>
    <s v="Trucks and Buses"/>
    <n v="127"/>
    <s v="S24_2300"/>
    <x v="69"/>
    <s v="+65 224 1555"/>
    <s v="Village Close - 106 Linden Road Sandown"/>
    <s v="Singapore"/>
    <s v="69045"/>
    <s v="Singapore"/>
    <s v="Victorino"/>
    <s v="Wendy"/>
    <s v="Medium"/>
    <x v="758"/>
  </r>
  <r>
    <n v="10259"/>
    <n v="31"/>
    <n v="33.24"/>
    <n v="5"/>
    <n v="1030.44"/>
    <d v="2019-06-15T00:00:00"/>
    <s v="Shipped"/>
    <s v="Classic Cars"/>
    <n v="35"/>
    <s v="S24_2840"/>
    <x v="69"/>
    <s v="+65 224 1555"/>
    <s v="Village Close - 106 Linden Road Sandown"/>
    <s v="Singapore"/>
    <s v="69045"/>
    <s v="Singapore"/>
    <s v="Victorino"/>
    <s v="Wendy"/>
    <s v="Small"/>
    <x v="1086"/>
  </r>
  <r>
    <n v="10259"/>
    <n v="45"/>
    <n v="86.68"/>
    <n v="11"/>
    <n v="3900.6"/>
    <d v="2019-06-15T00:00:00"/>
    <s v="Shipped"/>
    <s v="Trucks and Buses"/>
    <n v="96"/>
    <s v="S32_1268"/>
    <x v="69"/>
    <s v="+65 224 1555"/>
    <s v="Village Close - 106 Linden Road Sandown"/>
    <s v="Singapore"/>
    <s v="69045"/>
    <s v="Singapore"/>
    <s v="Victorino"/>
    <s v="Wendy"/>
    <s v="Medium"/>
    <x v="775"/>
  </r>
  <r>
    <n v="10259"/>
    <n v="40"/>
    <n v="43.83"/>
    <n v="6"/>
    <n v="1753.2"/>
    <d v="2019-06-15T00:00:00"/>
    <s v="Shipped"/>
    <s v="Trucks and Buses"/>
    <n v="54"/>
    <s v="S32_2509"/>
    <x v="69"/>
    <s v="+65 224 1555"/>
    <s v="Village Close - 106 Linden Road Sandown"/>
    <s v="Singapore"/>
    <s v="69045"/>
    <s v="Singapore"/>
    <s v="Victorino"/>
    <s v="Wendy"/>
    <s v="Small"/>
    <x v="112"/>
  </r>
  <r>
    <n v="10258"/>
    <n v="20"/>
    <n v="61.41"/>
    <n v="2"/>
    <n v="1228.2"/>
    <d v="2019-06-15T00:00:00"/>
    <s v="Shipped"/>
    <s v="Trucks and Buses"/>
    <n v="64"/>
    <s v="S32_3522"/>
    <x v="81"/>
    <s v="+81 3 3584 0555"/>
    <s v="2-2-8 Roppongi"/>
    <s v="Minato-ku"/>
    <s v="106-0032"/>
    <s v="Japan"/>
    <s v="Shimamura"/>
    <s v="Akiko"/>
    <s v="Small"/>
    <x v="750"/>
  </r>
  <r>
    <n v="10259"/>
    <n v="29"/>
    <n v="105.33"/>
    <n v="2"/>
    <n v="3054.57"/>
    <d v="2019-06-15T00:00:00"/>
    <s v="Shipped"/>
    <s v="Trucks and Buses"/>
    <n v="115"/>
    <s v="S50_1392"/>
    <x v="69"/>
    <s v="+65 224 1555"/>
    <s v="Village Close - 106 Linden Road Sandown"/>
    <s v="Singapore"/>
    <s v="69045"/>
    <s v="Singapore"/>
    <s v="Victorino"/>
    <s v="Wendy"/>
    <s v="Medium"/>
    <x v="493"/>
  </r>
  <r>
    <n v="10258"/>
    <n v="45"/>
    <n v="80.92"/>
    <n v="1"/>
    <n v="3641.4"/>
    <d v="2019-06-15T00:00:00"/>
    <s v="Shipped"/>
    <s v="Classic Cars"/>
    <n v="101"/>
    <s v="S700_2824"/>
    <x v="81"/>
    <s v="+81 3 3584 0555"/>
    <s v="2-2-8 Roppongi"/>
    <s v="Minato-ku"/>
    <s v="106-0032"/>
    <s v="Japan"/>
    <s v="Shimamura"/>
    <s v="Akiko"/>
    <s v="Medium"/>
    <x v="1087"/>
  </r>
  <r>
    <n v="10261"/>
    <n v="27"/>
    <n v="125.12"/>
    <n v="1"/>
    <n v="3378.24"/>
    <d v="2019-06-17T00:00:00"/>
    <s v="Shipped"/>
    <s v="Classic Cars"/>
    <n v="136"/>
    <s v="S10_4757"/>
    <x v="49"/>
    <s v="(514) 555-8054"/>
    <s v="43 rue St. Laurent"/>
    <s v="Montreal"/>
    <s v="H1J 1C3"/>
    <s v="Canada"/>
    <s v="Fresnisre"/>
    <s v="Jean"/>
    <s v="Medium"/>
    <x v="1088"/>
  </r>
  <r>
    <n v="10261"/>
    <n v="20"/>
    <n v="89.53"/>
    <n v="9"/>
    <n v="1790.6"/>
    <d v="2019-06-17T00:00:00"/>
    <s v="Shipped"/>
    <s v="Vintage Cars"/>
    <n v="87"/>
    <s v="S18_4522"/>
    <x v="49"/>
    <s v="(514) 555-8054"/>
    <s v="43 rue St. Laurent"/>
    <s v="Montreal"/>
    <s v="H1J 1C3"/>
    <s v="Canada"/>
    <s v="Fresnisre"/>
    <s v="Jean"/>
    <s v="Small"/>
    <x v="1089"/>
  </r>
  <r>
    <n v="10261"/>
    <n v="36"/>
    <n v="125.35"/>
    <n v="8"/>
    <n v="4512.6000000000004"/>
    <d v="2019-06-17T00:00:00"/>
    <s v="Shipped"/>
    <s v="Ships"/>
    <n v="122"/>
    <s v="S24_2011"/>
    <x v="49"/>
    <s v="(514) 555-8054"/>
    <s v="43 rue St. Laurent"/>
    <s v="Montreal"/>
    <s v="H1J 1C3"/>
    <s v="Canada"/>
    <s v="Fresnisre"/>
    <s v="Jean"/>
    <s v="Medium"/>
    <x v="553"/>
  </r>
  <r>
    <n v="10261"/>
    <n v="22"/>
    <n v="91.17"/>
    <n v="3"/>
    <n v="2005.74"/>
    <d v="2019-06-17T00:00:00"/>
    <s v="Shipped"/>
    <s v="Vintage Cars"/>
    <n v="88"/>
    <s v="S24_3151"/>
    <x v="49"/>
    <s v="(514) 555-8054"/>
    <s v="43 rue St. Laurent"/>
    <s v="Montreal"/>
    <s v="H1J 1C3"/>
    <s v="Canada"/>
    <s v="Fresnisre"/>
    <s v="Jean"/>
    <s v="Small"/>
    <x v="1090"/>
  </r>
  <r>
    <n v="10261"/>
    <n v="34"/>
    <n v="62"/>
    <n v="4"/>
    <n v="2108"/>
    <d v="2019-06-17T00:00:00"/>
    <s v="Shipped"/>
    <s v="Ships"/>
    <n v="66"/>
    <s v="S700_1138"/>
    <x v="49"/>
    <s v="(514) 555-8054"/>
    <s v="43 rue St. Laurent"/>
    <s v="Montreal"/>
    <s v="H1J 1C3"/>
    <s v="Canada"/>
    <s v="Fresnisre"/>
    <s v="Jean"/>
    <s v="Small"/>
    <x v="1091"/>
  </r>
  <r>
    <n v="10261"/>
    <n v="44"/>
    <n v="68.67"/>
    <n v="2"/>
    <n v="3021.48"/>
    <d v="2019-06-17T00:00:00"/>
    <s v="Shipped"/>
    <s v="Ships"/>
    <n v="72"/>
    <s v="S700_2610"/>
    <x v="49"/>
    <s v="(514) 555-8054"/>
    <s v="43 rue St. Laurent"/>
    <s v="Montreal"/>
    <s v="H1J 1C3"/>
    <s v="Canada"/>
    <s v="Fresnisre"/>
    <s v="Jean"/>
    <s v="Medium"/>
    <x v="1092"/>
  </r>
  <r>
    <n v="10261"/>
    <n v="25"/>
    <n v="88.15"/>
    <n v="5"/>
    <n v="2203.75"/>
    <d v="2019-06-17T00:00:00"/>
    <s v="Shipped"/>
    <s v="Ships"/>
    <n v="100"/>
    <s v="S700_3505"/>
    <x v="49"/>
    <s v="(514) 555-8054"/>
    <s v="43 rue St. Laurent"/>
    <s v="Montreal"/>
    <s v="H1J 1C3"/>
    <s v="Canada"/>
    <s v="Fresnisre"/>
    <s v="Jean"/>
    <s v="Small"/>
    <x v="330"/>
  </r>
  <r>
    <n v="10261"/>
    <n v="50"/>
    <n v="81.430000000000007"/>
    <n v="6"/>
    <n v="4071.5"/>
    <d v="2019-06-17T00:00:00"/>
    <s v="Shipped"/>
    <s v="Ships"/>
    <n v="99"/>
    <s v="S700_3962"/>
    <x v="49"/>
    <s v="(514) 555-8054"/>
    <s v="43 rue St. Laurent"/>
    <s v="Montreal"/>
    <s v="H1J 1C3"/>
    <s v="Canada"/>
    <s v="Fresnisre"/>
    <s v="Jean"/>
    <s v="Medium"/>
    <x v="121"/>
  </r>
  <r>
    <n v="10261"/>
    <n v="29"/>
    <n v="50.78"/>
    <n v="7"/>
    <n v="1472.62"/>
    <d v="2019-06-17T00:00:00"/>
    <s v="Shipped"/>
    <s v="Ships"/>
    <n v="54"/>
    <s v="S72_3212"/>
    <x v="49"/>
    <s v="(514) 555-8054"/>
    <s v="43 rue St. Laurent"/>
    <s v="Montreal"/>
    <s v="H1J 1C3"/>
    <s v="Canada"/>
    <s v="Fresnisre"/>
    <s v="Jean"/>
    <s v="Small"/>
    <x v="1093"/>
  </r>
  <r>
    <n v="10262"/>
    <n v="49"/>
    <n v="134.04"/>
    <n v="9"/>
    <n v="6567.96"/>
    <d v="2019-06-24T00:00:00"/>
    <s v="Cancelled"/>
    <s v="Planes"/>
    <n v="157"/>
    <s v="S18_1662"/>
    <x v="4"/>
    <s v="(91) 555 94 44"/>
    <s v="C/ Moralzarzal, 86"/>
    <s v="Madrid"/>
    <s v="28034"/>
    <s v="Spain"/>
    <s v="Freyre"/>
    <s v="Diego"/>
    <s v="Medium"/>
    <x v="316"/>
  </r>
  <r>
    <n v="10262"/>
    <n v="32"/>
    <n v="84.3"/>
    <n v="15"/>
    <n v="2697.6"/>
    <d v="2019-06-24T00:00:00"/>
    <s v="Cancelled"/>
    <s v="Ships"/>
    <n v="86"/>
    <s v="S18_3029"/>
    <x v="4"/>
    <s v="(91) 555 94 44"/>
    <s v="C/ Moralzarzal, 86"/>
    <s v="Madrid"/>
    <s v="28034"/>
    <s v="Spain"/>
    <s v="Freyre"/>
    <s v="Diego"/>
    <s v="Small"/>
    <x v="1094"/>
  </r>
  <r>
    <n v="10262"/>
    <n v="34"/>
    <n v="120.69"/>
    <n v="14"/>
    <n v="4103.46"/>
    <d v="2019-06-24T00:00:00"/>
    <s v="Cancelled"/>
    <s v="Vintage Cars"/>
    <n v="105"/>
    <s v="S18_3856"/>
    <x v="4"/>
    <s v="(91) 555 94 44"/>
    <s v="C/ Moralzarzal, 86"/>
    <s v="Madrid"/>
    <s v="28034"/>
    <s v="Spain"/>
    <s v="Freyre"/>
    <s v="Diego"/>
    <s v="Medium"/>
    <x v="936"/>
  </r>
  <r>
    <n v="10262"/>
    <n v="34"/>
    <n v="97.38"/>
    <n v="1"/>
    <n v="3310.92"/>
    <d v="2019-06-24T00:00:00"/>
    <s v="Cancelled"/>
    <s v="Planes"/>
    <n v="109"/>
    <s v="S24_1785"/>
    <x v="4"/>
    <s v="(91) 555 94 44"/>
    <s v="C/ Moralzarzal, 86"/>
    <s v="Madrid"/>
    <s v="28034"/>
    <s v="Spain"/>
    <s v="Freyre"/>
    <s v="Diego"/>
    <s v="Medium"/>
    <x v="824"/>
  </r>
  <r>
    <n v="10262"/>
    <n v="24"/>
    <n v="67.14"/>
    <n v="10"/>
    <n v="1611.36"/>
    <d v="2019-06-24T00:00:00"/>
    <s v="Cancelled"/>
    <s v="Planes"/>
    <n v="68"/>
    <s v="S24_2841"/>
    <x v="4"/>
    <s v="(91) 555 94 44"/>
    <s v="C/ Moralzarzal, 86"/>
    <s v="Madrid"/>
    <s v="28034"/>
    <s v="Spain"/>
    <s v="Freyre"/>
    <s v="Diego"/>
    <s v="Small"/>
    <x v="1095"/>
  </r>
  <r>
    <n v="10262"/>
    <n v="46"/>
    <n v="70.349999999999994"/>
    <n v="11"/>
    <n v="3236.1"/>
    <d v="2019-06-24T00:00:00"/>
    <s v="Cancelled"/>
    <s v="Vintage Cars"/>
    <n v="65"/>
    <s v="S24_3420"/>
    <x v="4"/>
    <s v="(91) 555 94 44"/>
    <s v="C/ Moralzarzal, 86"/>
    <s v="Madrid"/>
    <s v="28034"/>
    <s v="Spain"/>
    <s v="Freyre"/>
    <s v="Diego"/>
    <s v="Medium"/>
    <x v="1096"/>
  </r>
  <r>
    <n v="10262"/>
    <n v="49"/>
    <n v="87.21"/>
    <n v="16"/>
    <n v="4273.29"/>
    <d v="2019-06-24T00:00:00"/>
    <s v="Cancelled"/>
    <s v="Vintage Cars"/>
    <n v="83"/>
    <s v="S24_3816"/>
    <x v="4"/>
    <s v="(91) 555 94 44"/>
    <s v="C/ Moralzarzal, 86"/>
    <s v="Madrid"/>
    <s v="28034"/>
    <s v="Spain"/>
    <s v="Freyre"/>
    <s v="Diego"/>
    <s v="Medium"/>
    <x v="1097"/>
  </r>
  <r>
    <n v="10262"/>
    <n v="48"/>
    <n v="61.42"/>
    <n v="8"/>
    <n v="2948.16"/>
    <d v="2019-06-24T00:00:00"/>
    <s v="Cancelled"/>
    <s v="Planes"/>
    <n v="68"/>
    <s v="S24_3949"/>
    <x v="4"/>
    <s v="(91) 555 94 44"/>
    <s v="C/ Moralzarzal, 86"/>
    <s v="Madrid"/>
    <s v="28034"/>
    <s v="Spain"/>
    <s v="Freyre"/>
    <s v="Diego"/>
    <s v="Small"/>
    <x v="804"/>
  </r>
  <r>
    <n v="10262"/>
    <n v="40"/>
    <n v="79.11"/>
    <n v="2"/>
    <n v="3164.4"/>
    <d v="2019-06-24T00:00:00"/>
    <s v="Cancelled"/>
    <s v="Vintage Cars"/>
    <n v="68"/>
    <s v="S32_4289"/>
    <x v="4"/>
    <s v="(91) 555 94 44"/>
    <s v="C/ Moralzarzal, 86"/>
    <s v="Madrid"/>
    <s v="28034"/>
    <s v="Spain"/>
    <s v="Freyre"/>
    <s v="Diego"/>
    <s v="Medium"/>
    <x v="1098"/>
  </r>
  <r>
    <n v="10262"/>
    <n v="49"/>
    <n v="37.97"/>
    <n v="3"/>
    <n v="1860.53"/>
    <d v="2019-06-24T00:00:00"/>
    <s v="Cancelled"/>
    <s v="Vintage Cars"/>
    <n v="43"/>
    <s v="S50_1341"/>
    <x v="4"/>
    <s v="(91) 555 94 44"/>
    <s v="C/ Moralzarzal, 86"/>
    <s v="Madrid"/>
    <s v="28034"/>
    <s v="Spain"/>
    <s v="Freyre"/>
    <s v="Diego"/>
    <s v="Small"/>
    <x v="1099"/>
  </r>
  <r>
    <n v="10262"/>
    <n v="40"/>
    <n v="84.03"/>
    <n v="4"/>
    <n v="3361.2"/>
    <d v="2019-06-24T00:00:00"/>
    <s v="Cancelled"/>
    <s v="Planes"/>
    <n v="91"/>
    <s v="S700_1691"/>
    <x v="4"/>
    <s v="(91) 555 94 44"/>
    <s v="C/ Moralzarzal, 86"/>
    <s v="Madrid"/>
    <s v="28034"/>
    <s v="Spain"/>
    <s v="Freyre"/>
    <s v="Diego"/>
    <s v="Medium"/>
    <x v="1100"/>
  </r>
  <r>
    <n v="10262"/>
    <n v="44"/>
    <n v="94.14"/>
    <n v="13"/>
    <n v="4142.16"/>
    <d v="2019-06-24T00:00:00"/>
    <s v="Cancelled"/>
    <s v="Ships"/>
    <n v="90"/>
    <s v="S700_2047"/>
    <x v="4"/>
    <s v="(91) 555 94 44"/>
    <s v="C/ Moralzarzal, 86"/>
    <s v="Madrid"/>
    <s v="28034"/>
    <s v="Spain"/>
    <s v="Freyre"/>
    <s v="Diego"/>
    <s v="Medium"/>
    <x v="233"/>
  </r>
  <r>
    <n v="10262"/>
    <n v="33"/>
    <n v="90.75"/>
    <n v="6"/>
    <n v="2994.75"/>
    <d v="2019-06-24T00:00:00"/>
    <s v="Cancelled"/>
    <s v="Planes"/>
    <n v="99"/>
    <s v="S700_2466"/>
    <x v="4"/>
    <s v="(91) 555 94 44"/>
    <s v="C/ Moralzarzal, 86"/>
    <s v="Madrid"/>
    <s v="28034"/>
    <s v="Spain"/>
    <s v="Freyre"/>
    <s v="Diego"/>
    <s v="Small"/>
    <x v="1101"/>
  </r>
  <r>
    <n v="10262"/>
    <n v="27"/>
    <n v="76"/>
    <n v="5"/>
    <n v="2052"/>
    <d v="2019-06-24T00:00:00"/>
    <s v="Cancelled"/>
    <s v="Planes"/>
    <n v="80"/>
    <s v="S700_3167"/>
    <x v="4"/>
    <s v="(91) 555 94 44"/>
    <s v="C/ Moralzarzal, 86"/>
    <s v="Madrid"/>
    <s v="28034"/>
    <s v="Spain"/>
    <s v="Freyre"/>
    <s v="Diego"/>
    <s v="Small"/>
    <x v="354"/>
  </r>
  <r>
    <n v="10262"/>
    <n v="35"/>
    <n v="71.069999999999993"/>
    <n v="7"/>
    <n v="2487.4499999999998"/>
    <d v="2019-06-24T00:00:00"/>
    <s v="Cancelled"/>
    <s v="Planes"/>
    <n v="74"/>
    <s v="S700_4002"/>
    <x v="4"/>
    <s v="(91) 555 94 44"/>
    <s v="C/ Moralzarzal, 86"/>
    <s v="Madrid"/>
    <s v="28034"/>
    <s v="Spain"/>
    <s v="Freyre"/>
    <s v="Diego"/>
    <s v="Small"/>
    <x v="1102"/>
  </r>
  <r>
    <n v="10262"/>
    <n v="21"/>
    <n v="57.11"/>
    <n v="12"/>
    <n v="1199.31"/>
    <d v="2019-06-24T00:00:00"/>
    <s v="Cancelled"/>
    <s v="Planes"/>
    <n v="49"/>
    <s v="S72_1253"/>
    <x v="4"/>
    <s v="(91) 555 94 44"/>
    <s v="C/ Moralzarzal, 86"/>
    <s v="Madrid"/>
    <s v="28034"/>
    <s v="Spain"/>
    <s v="Freyre"/>
    <s v="Diego"/>
    <s v="Small"/>
    <x v="1103"/>
  </r>
  <r>
    <n v="10263"/>
    <n v="34"/>
    <n v="108.14"/>
    <n v="2"/>
    <n v="3676.76"/>
    <d v="2019-06-28T00:00:00"/>
    <s v="Shipped"/>
    <s v="Motorcycles"/>
    <n v="95"/>
    <s v="S10_1678"/>
    <x v="50"/>
    <s v="2035552570"/>
    <s v="25593 South Bay Ln."/>
    <s v="Bridgewater"/>
    <s v="97562"/>
    <s v="USA"/>
    <s v="King"/>
    <s v="Julie"/>
    <s v="Medium"/>
    <x v="1104"/>
  </r>
  <r>
    <n v="10263"/>
    <n v="40"/>
    <n v="111.8"/>
    <n v="5"/>
    <n v="4472"/>
    <d v="2019-06-28T00:00:00"/>
    <s v="Shipped"/>
    <s v="Motorcycles"/>
    <n v="118"/>
    <s v="S10_2016"/>
    <x v="50"/>
    <s v="2035552570"/>
    <s v="25593 South Bay Ln."/>
    <s v="Bridgewater"/>
    <s v="97562"/>
    <s v="USA"/>
    <s v="King"/>
    <s v="Julie"/>
    <s v="Medium"/>
    <x v="1105"/>
  </r>
  <r>
    <n v="10263"/>
    <n v="41"/>
    <n v="203.34"/>
    <n v="4"/>
    <n v="8336.94"/>
    <d v="2019-06-28T00:00:00"/>
    <s v="Shipped"/>
    <s v="Motorcycles"/>
    <n v="193"/>
    <s v="S10_4698"/>
    <x v="50"/>
    <s v="2035552570"/>
    <s v="25593 South Bay Ln."/>
    <s v="Bridgewater"/>
    <s v="97562"/>
    <s v="USA"/>
    <s v="King"/>
    <s v="Julie"/>
    <s v="Large"/>
    <x v="1106"/>
  </r>
  <r>
    <n v="10263"/>
    <n v="48"/>
    <n v="134.05000000000001"/>
    <n v="1"/>
    <n v="6434.4"/>
    <d v="2019-06-28T00:00:00"/>
    <s v="Shipped"/>
    <s v="Motorcycles"/>
    <n v="150"/>
    <s v="S12_2823"/>
    <x v="50"/>
    <s v="2035552570"/>
    <s v="25593 South Bay Ln."/>
    <s v="Bridgewater"/>
    <s v="97562"/>
    <s v="USA"/>
    <s v="King"/>
    <s v="Julie"/>
    <s v="Medium"/>
    <x v="1107"/>
  </r>
  <r>
    <n v="10263"/>
    <n v="33"/>
    <n v="86.17"/>
    <n v="10"/>
    <n v="2843.61"/>
    <d v="2019-06-28T00:00:00"/>
    <s v="Shipped"/>
    <s v="Planes"/>
    <n v="84"/>
    <s v="S18_2581"/>
    <x v="50"/>
    <s v="2035552570"/>
    <s v="25593 South Bay Ln."/>
    <s v="Bridgewater"/>
    <s v="97562"/>
    <s v="USA"/>
    <s v="King"/>
    <s v="Julie"/>
    <s v="Small"/>
    <x v="477"/>
  </r>
  <r>
    <n v="10263"/>
    <n v="34"/>
    <n v="58.75"/>
    <n v="6"/>
    <n v="1997.5"/>
    <d v="2019-06-28T00:00:00"/>
    <s v="Shipped"/>
    <s v="Motorcycles"/>
    <n v="60"/>
    <s v="S18_2625"/>
    <x v="50"/>
    <s v="2035552570"/>
    <s v="25593 South Bay Ln."/>
    <s v="Bridgewater"/>
    <s v="97562"/>
    <s v="USA"/>
    <s v="King"/>
    <s v="Julie"/>
    <s v="Small"/>
    <x v="1108"/>
  </r>
  <r>
    <n v="10263"/>
    <n v="42"/>
    <n v="102.56"/>
    <n v="3"/>
    <n v="4307.5200000000004"/>
    <d v="2019-06-28T00:00:00"/>
    <s v="Shipped"/>
    <s v="Motorcycles"/>
    <n v="112"/>
    <s v="S24_1578"/>
    <x v="50"/>
    <s v="2035552570"/>
    <s v="25593 South Bay Ln."/>
    <s v="Bridgewater"/>
    <s v="97562"/>
    <s v="USA"/>
    <s v="King"/>
    <s v="Julie"/>
    <s v="Medium"/>
    <x v="689"/>
  </r>
  <r>
    <n v="10263"/>
    <n v="37"/>
    <n v="62.46"/>
    <n v="7"/>
    <n v="2311.02"/>
    <d v="2019-06-28T00:00:00"/>
    <s v="Shipped"/>
    <s v="Motorcycles"/>
    <n v="76"/>
    <s v="S24_2000"/>
    <x v="50"/>
    <s v="2035552570"/>
    <s v="25593 South Bay Ln."/>
    <s v="Bridgewater"/>
    <s v="97562"/>
    <s v="USA"/>
    <s v="King"/>
    <s v="Julie"/>
    <s v="Small"/>
    <x v="1109"/>
  </r>
  <r>
    <n v="10263"/>
    <n v="24"/>
    <n v="75.349999999999994"/>
    <n v="11"/>
    <n v="1808.4"/>
    <d v="2019-06-28T00:00:00"/>
    <s v="Shipped"/>
    <s v="Planes"/>
    <n v="72"/>
    <s v="S24_4278"/>
    <x v="50"/>
    <s v="2035552570"/>
    <s v="25593 South Bay Ln."/>
    <s v="Bridgewater"/>
    <s v="97562"/>
    <s v="USA"/>
    <s v="King"/>
    <s v="Julie"/>
    <s v="Small"/>
    <x v="215"/>
  </r>
  <r>
    <n v="10263"/>
    <n v="31"/>
    <n v="79.91"/>
    <n v="8"/>
    <n v="2477.21"/>
    <d v="2019-06-28T00:00:00"/>
    <s v="Shipped"/>
    <s v="Motorcycles"/>
    <n v="99"/>
    <s v="S32_1374"/>
    <x v="50"/>
    <s v="2035552570"/>
    <s v="25593 South Bay Ln."/>
    <s v="Bridgewater"/>
    <s v="97562"/>
    <s v="USA"/>
    <s v="King"/>
    <s v="Julie"/>
    <s v="Small"/>
    <x v="692"/>
  </r>
  <r>
    <n v="10263"/>
    <n v="47"/>
    <n v="116.28"/>
    <n v="9"/>
    <n v="5465.16"/>
    <d v="2019-06-28T00:00:00"/>
    <s v="Shipped"/>
    <s v="Planes"/>
    <n v="118"/>
    <s v="S700_2834"/>
    <x v="50"/>
    <s v="2035552570"/>
    <s v="25593 South Bay Ln."/>
    <s v="Bridgewater"/>
    <s v="97562"/>
    <s v="USA"/>
    <s v="King"/>
    <s v="Julie"/>
    <s v="Medium"/>
    <x v="904"/>
  </r>
  <r>
    <n v="10264"/>
    <n v="48"/>
    <n v="54.71"/>
    <n v="3"/>
    <n v="2626.08"/>
    <d v="2019-06-30T00:00:00"/>
    <s v="Shipped"/>
    <s v="Motorcycles"/>
    <n v="62"/>
    <s v="S18_3782"/>
    <x v="82"/>
    <s v="6175559555"/>
    <s v="8616 Spinnaker Dr."/>
    <s v="Boston"/>
    <s v="51003"/>
    <s v="USA"/>
    <s v="Yoshido"/>
    <s v="Juri"/>
    <s v="Small"/>
    <x v="872"/>
  </r>
  <r>
    <n v="10264"/>
    <n v="20"/>
    <n v="120.53"/>
    <n v="2"/>
    <n v="2410.6"/>
    <d v="2019-06-30T00:00:00"/>
    <s v="Shipped"/>
    <s v="Classic Cars"/>
    <n v="148"/>
    <s v="S18_4721"/>
    <x v="82"/>
    <s v="6175559555"/>
    <s v="8616 Spinnaker Dr."/>
    <s v="Boston"/>
    <s v="51003"/>
    <s v="USA"/>
    <s v="Yoshido"/>
    <s v="Juri"/>
    <s v="Small"/>
    <x v="653"/>
  </r>
  <r>
    <n v="10264"/>
    <n v="37"/>
    <n v="65.099999999999994"/>
    <n v="6"/>
    <n v="2408.6999999999998"/>
    <d v="2019-06-30T00:00:00"/>
    <s v="Shipped"/>
    <s v="Motorcycles"/>
    <n v="69"/>
    <s v="S24_2360"/>
    <x v="82"/>
    <s v="6175559555"/>
    <s v="8616 Spinnaker Dr."/>
    <s v="Boston"/>
    <s v="51003"/>
    <s v="USA"/>
    <s v="Yoshido"/>
    <s v="Juri"/>
    <s v="Small"/>
    <x v="378"/>
  </r>
  <r>
    <n v="10264"/>
    <n v="47"/>
    <n v="83.27"/>
    <n v="1"/>
    <n v="3913.69"/>
    <d v="2019-06-30T00:00:00"/>
    <s v="Shipped"/>
    <s v="Classic Cars"/>
    <n v="80"/>
    <s v="S24_4620"/>
    <x v="82"/>
    <s v="6175559555"/>
    <s v="8616 Spinnaker Dr."/>
    <s v="Boston"/>
    <s v="51003"/>
    <s v="USA"/>
    <s v="Yoshido"/>
    <s v="Juri"/>
    <s v="Medium"/>
    <x v="466"/>
  </r>
  <r>
    <n v="10264"/>
    <n v="20"/>
    <n v="32.590000000000003"/>
    <n v="4"/>
    <n v="651.79999999999995"/>
    <d v="2019-06-30T00:00:00"/>
    <s v="Shipped"/>
    <s v="Motorcycles"/>
    <n v="40"/>
    <s v="S32_2206"/>
    <x v="82"/>
    <s v="6175559555"/>
    <s v="8616 Spinnaker Dr."/>
    <s v="Boston"/>
    <s v="51003"/>
    <s v="USA"/>
    <s v="Yoshido"/>
    <s v="Juri"/>
    <s v="Small"/>
    <x v="1110"/>
  </r>
  <r>
    <n v="10264"/>
    <n v="34"/>
    <n v="97.97"/>
    <n v="7"/>
    <n v="3330.98"/>
    <d v="2019-06-30T00:00:00"/>
    <s v="Shipped"/>
    <s v="Motorcycles"/>
    <n v="102"/>
    <s v="S32_4485"/>
    <x v="82"/>
    <s v="6175559555"/>
    <s v="8616 Spinnaker Dr."/>
    <s v="Boston"/>
    <s v="51003"/>
    <s v="USA"/>
    <s v="Yoshido"/>
    <s v="Juri"/>
    <s v="Medium"/>
    <x v="1111"/>
  </r>
  <r>
    <n v="10264"/>
    <n v="47"/>
    <n v="89.5"/>
    <n v="5"/>
    <n v="4206.5"/>
    <d v="2019-06-30T00:00:00"/>
    <s v="Shipped"/>
    <s v="Motorcycles"/>
    <n v="81"/>
    <s v="S50_4713"/>
    <x v="82"/>
    <s v="6175559555"/>
    <s v="8616 Spinnaker Dr."/>
    <s v="Boston"/>
    <s v="51003"/>
    <s v="USA"/>
    <s v="Yoshido"/>
    <s v="Juri"/>
    <s v="Medium"/>
    <x v="1112"/>
  </r>
  <r>
    <n v="10265"/>
    <n v="45"/>
    <n v="86.84"/>
    <n v="2"/>
    <n v="3907.8"/>
    <d v="2019-07-02T00:00:00"/>
    <s v="Shipped"/>
    <s v="Classic Cars"/>
    <n v="80"/>
    <s v="S18_3278"/>
    <x v="59"/>
    <s v="61-9-3844-6555"/>
    <s v="7 Allen Street"/>
    <s v="Glen Waverly"/>
    <s v="3150"/>
    <s v="Australia"/>
    <s v="Connery"/>
    <s v="Sean"/>
    <s v="Medium"/>
    <x v="649"/>
  </r>
  <r>
    <n v="10265"/>
    <n v="49"/>
    <n v="171.98"/>
    <n v="1"/>
    <n v="8427.02"/>
    <d v="2019-07-02T00:00:00"/>
    <s v="Shipped"/>
    <s v="Classic Cars"/>
    <n v="146"/>
    <s v="S18_3482"/>
    <x v="59"/>
    <s v="61-9-3844-6555"/>
    <s v="7 Allen Street"/>
    <s v="Glen Waverly"/>
    <s v="3150"/>
    <s v="Australia"/>
    <s v="Connery"/>
    <s v="Sean"/>
    <s v="Large"/>
    <x v="485"/>
  </r>
  <r>
    <n v="10266"/>
    <n v="44"/>
    <n v="208.19"/>
    <n v="14"/>
    <n v="9160.36"/>
    <d v="2019-07-06T00:00:00"/>
    <s v="Shipped"/>
    <s v="Classic Cars"/>
    <n v="194"/>
    <s v="S12_1099"/>
    <x v="51"/>
    <s v="0522-556555"/>
    <s v="Strada Provinciale 124"/>
    <s v="Reggio Emilia"/>
    <s v="42100"/>
    <s v="Italy"/>
    <s v="Moroni"/>
    <s v="Maurizio"/>
    <s v="Large"/>
    <x v="1113"/>
  </r>
  <r>
    <n v="10266"/>
    <n v="22"/>
    <n v="111.57"/>
    <n v="12"/>
    <n v="2454.54"/>
    <d v="2019-07-06T00:00:00"/>
    <s v="Shipped"/>
    <s v="Classic Cars"/>
    <n v="117"/>
    <s v="S12_3380"/>
    <x v="51"/>
    <s v="0522-556555"/>
    <s v="Strada Provinciale 124"/>
    <s v="Reggio Emilia"/>
    <s v="42100"/>
    <s v="Italy"/>
    <s v="Moroni"/>
    <s v="Maurizio"/>
    <s v="Small"/>
    <x v="1114"/>
  </r>
  <r>
    <n v="10266"/>
    <n v="35"/>
    <n v="76.61"/>
    <n v="15"/>
    <n v="2681.35"/>
    <d v="2019-07-06T00:00:00"/>
    <s v="Shipped"/>
    <s v="Classic Cars"/>
    <n v="79"/>
    <s v="S12_3990"/>
    <x v="51"/>
    <s v="0522-556555"/>
    <s v="Strada Provinciale 124"/>
    <s v="Reggio Emilia"/>
    <s v="42100"/>
    <s v="Italy"/>
    <s v="Moroni"/>
    <s v="Maurizio"/>
    <s v="Small"/>
    <x v="1115"/>
  </r>
  <r>
    <n v="10266"/>
    <n v="40"/>
    <n v="111.71"/>
    <n v="11"/>
    <n v="4468.3999999999996"/>
    <d v="2019-07-06T00:00:00"/>
    <s v="Shipped"/>
    <s v="Classic Cars"/>
    <n v="115"/>
    <s v="S12_4675"/>
    <x v="51"/>
    <s v="0522-556555"/>
    <s v="Strada Provinciale 124"/>
    <s v="Reggio Emilia"/>
    <s v="42100"/>
    <s v="Italy"/>
    <s v="Moroni"/>
    <s v="Maurizio"/>
    <s v="Medium"/>
    <x v="1116"/>
  </r>
  <r>
    <n v="10266"/>
    <n v="21"/>
    <n v="120.31"/>
    <n v="6"/>
    <n v="2526.5100000000002"/>
    <d v="2019-07-06T00:00:00"/>
    <s v="Shipped"/>
    <s v="Classic Cars"/>
    <n v="141"/>
    <s v="S18_1129"/>
    <x v="51"/>
    <s v="0522-556555"/>
    <s v="Strada Provinciale 124"/>
    <s v="Reggio Emilia"/>
    <s v="42100"/>
    <s v="Italy"/>
    <s v="Moroni"/>
    <s v="Maurizio"/>
    <s v="Small"/>
    <x v="441"/>
  </r>
  <r>
    <n v="10266"/>
    <n v="36"/>
    <n v="144.35"/>
    <n v="2"/>
    <n v="5196.6000000000004"/>
    <d v="2019-07-06T00:00:00"/>
    <s v="Shipped"/>
    <s v="Classic Cars"/>
    <n v="124"/>
    <s v="S18_1589"/>
    <x v="51"/>
    <s v="0522-556555"/>
    <s v="Strada Provinciale 124"/>
    <s v="Reggio Emilia"/>
    <s v="42100"/>
    <s v="Italy"/>
    <s v="Moroni"/>
    <s v="Maurizio"/>
    <s v="Medium"/>
    <x v="1117"/>
  </r>
  <r>
    <n v="10266"/>
    <n v="33"/>
    <n v="74.69"/>
    <n v="10"/>
    <n v="2464.77"/>
    <d v="2019-07-06T00:00:00"/>
    <s v="Shipped"/>
    <s v="Classic Cars"/>
    <n v="77"/>
    <s v="S18_1889"/>
    <x v="51"/>
    <s v="0522-556555"/>
    <s v="Strada Provinciale 124"/>
    <s v="Reggio Emilia"/>
    <s v="42100"/>
    <s v="Italy"/>
    <s v="Moroni"/>
    <s v="Maurizio"/>
    <s v="Small"/>
    <x v="122"/>
  </r>
  <r>
    <n v="10266"/>
    <n v="49"/>
    <n v="126.6"/>
    <n v="5"/>
    <n v="6203.4"/>
    <d v="2019-07-06T00:00:00"/>
    <s v="Shipped"/>
    <s v="Classic Cars"/>
    <n v="142"/>
    <s v="S18_1984"/>
    <x v="51"/>
    <s v="0522-556555"/>
    <s v="Strada Provinciale 124"/>
    <s v="Reggio Emilia"/>
    <s v="42100"/>
    <s v="Italy"/>
    <s v="Moroni"/>
    <s v="Maurizio"/>
    <s v="Medium"/>
    <x v="500"/>
  </r>
  <r>
    <n v="10266"/>
    <n v="20"/>
    <n v="141.24"/>
    <n v="3"/>
    <n v="2824.8"/>
    <d v="2019-07-06T00:00:00"/>
    <s v="Shipped"/>
    <s v="Classic Cars"/>
    <n v="132"/>
    <s v="S18_2870"/>
    <x v="51"/>
    <s v="0522-556555"/>
    <s v="Strada Provinciale 124"/>
    <s v="Reggio Emilia"/>
    <s v="42100"/>
    <s v="Italy"/>
    <s v="Moroni"/>
    <s v="Maurizio"/>
    <s v="Small"/>
    <x v="307"/>
  </r>
  <r>
    <n v="10266"/>
    <n v="29"/>
    <n v="165.95"/>
    <n v="7"/>
    <n v="4812.55"/>
    <d v="2019-07-06T00:00:00"/>
    <s v="Shipped"/>
    <s v="Classic Cars"/>
    <n v="169"/>
    <s v="S18_3232"/>
    <x v="51"/>
    <s v="0522-556555"/>
    <s v="Strada Provinciale 124"/>
    <s v="Reggio Emilia"/>
    <s v="42100"/>
    <s v="Italy"/>
    <s v="Moroni"/>
    <s v="Maurizio"/>
    <s v="Medium"/>
    <x v="1118"/>
  </r>
  <r>
    <n v="10266"/>
    <n v="33"/>
    <n v="152.58000000000001"/>
    <n v="4"/>
    <n v="5035.1400000000003"/>
    <d v="2019-07-06T00:00:00"/>
    <s v="Shipped"/>
    <s v="Classic Cars"/>
    <n v="141"/>
    <s v="S18_3685"/>
    <x v="51"/>
    <s v="0522-556555"/>
    <s v="Strada Provinciale 124"/>
    <s v="Reggio Emilia"/>
    <s v="42100"/>
    <s v="Italy"/>
    <s v="Moroni"/>
    <s v="Maurizio"/>
    <s v="Medium"/>
    <x v="1119"/>
  </r>
  <r>
    <n v="10266"/>
    <n v="28"/>
    <n v="48.3"/>
    <n v="1"/>
    <n v="1352.4"/>
    <d v="2019-07-06T00:00:00"/>
    <s v="Shipped"/>
    <s v="Classic Cars"/>
    <n v="50"/>
    <s v="S24_1628"/>
    <x v="51"/>
    <s v="0522-556555"/>
    <s v="Strada Provinciale 124"/>
    <s v="Reggio Emilia"/>
    <s v="42100"/>
    <s v="Italy"/>
    <s v="Moroni"/>
    <s v="Maurizio"/>
    <s v="Small"/>
    <x v="1120"/>
  </r>
  <r>
    <n v="10266"/>
    <n v="34"/>
    <n v="40.4"/>
    <n v="8"/>
    <n v="1373.6"/>
    <d v="2019-07-06T00:00:00"/>
    <s v="Shipped"/>
    <s v="Classic Cars"/>
    <n v="37"/>
    <s v="S24_2972"/>
    <x v="51"/>
    <s v="0522-556555"/>
    <s v="Strada Provinciale 124"/>
    <s v="Reggio Emilia"/>
    <s v="42100"/>
    <s v="Italy"/>
    <s v="Moroni"/>
    <s v="Maurizio"/>
    <s v="Small"/>
    <x v="1121"/>
  </r>
  <r>
    <n v="10266"/>
    <n v="47"/>
    <n v="62.45"/>
    <n v="13"/>
    <n v="2935.15"/>
    <d v="2019-07-06T00:00:00"/>
    <s v="Shipped"/>
    <s v="Classic Cars"/>
    <n v="61"/>
    <s v="S24_3371"/>
    <x v="51"/>
    <s v="0522-556555"/>
    <s v="Strada Provinciale 124"/>
    <s v="Reggio Emilia"/>
    <s v="42100"/>
    <s v="Italy"/>
    <s v="Moroni"/>
    <s v="Maurizio"/>
    <s v="Small"/>
    <x v="1122"/>
  </r>
  <r>
    <n v="10266"/>
    <n v="24"/>
    <n v="122.17"/>
    <n v="9"/>
    <n v="2932.08"/>
    <d v="2019-07-06T00:00:00"/>
    <s v="Shipped"/>
    <s v="Classic Cars"/>
    <n v="140"/>
    <s v="S24_3856"/>
    <x v="51"/>
    <s v="0522-556555"/>
    <s v="Strada Provinciale 124"/>
    <s v="Reggio Emilia"/>
    <s v="42100"/>
    <s v="Italy"/>
    <s v="Moroni"/>
    <s v="Maurizio"/>
    <s v="Small"/>
    <x v="1123"/>
  </r>
  <r>
    <n v="10267"/>
    <n v="36"/>
    <n v="75.55"/>
    <n v="1"/>
    <n v="2719.8"/>
    <d v="2019-07-07T00:00:00"/>
    <s v="Shipped"/>
    <s v="Classic Cars"/>
    <n v="71"/>
    <s v="S18_4933"/>
    <x v="25"/>
    <s v="2125557413"/>
    <s v="4092 Furth Circle"/>
    <s v="NYC"/>
    <s v="10022"/>
    <s v="USA"/>
    <s v="Young"/>
    <s v="Jeff"/>
    <s v="Small"/>
    <x v="1124"/>
  </r>
  <r>
    <n v="10267"/>
    <n v="40"/>
    <n v="80.099999999999994"/>
    <n v="5"/>
    <n v="3204"/>
    <d v="2019-07-07T00:00:00"/>
    <s v="Shipped"/>
    <s v="Classic Cars"/>
    <n v="73"/>
    <s v="S24_1046"/>
    <x v="25"/>
    <s v="2125557413"/>
    <s v="4092 Furth Circle"/>
    <s v="NYC"/>
    <s v="10022"/>
    <s v="USA"/>
    <s v="Young"/>
    <s v="Jeff"/>
    <s v="Medium"/>
    <x v="242"/>
  </r>
  <r>
    <n v="10267"/>
    <n v="38"/>
    <n v="87.24"/>
    <n v="3"/>
    <n v="3315.12"/>
    <d v="2019-07-07T00:00:00"/>
    <s v="Shipped"/>
    <s v="Classic Cars"/>
    <n v="90"/>
    <s v="S24_2766"/>
    <x v="25"/>
    <s v="2125557413"/>
    <s v="4092 Furth Circle"/>
    <s v="NYC"/>
    <s v="10022"/>
    <s v="USA"/>
    <s v="Young"/>
    <s v="Jeff"/>
    <s v="Medium"/>
    <x v="1125"/>
  </r>
  <r>
    <n v="10267"/>
    <n v="43"/>
    <n v="108.04"/>
    <n v="2"/>
    <n v="4645.72"/>
    <d v="2019-07-07T00:00:00"/>
    <s v="Shipped"/>
    <s v="Classic Cars"/>
    <n v="117"/>
    <s v="S24_2887"/>
    <x v="25"/>
    <s v="2125557413"/>
    <s v="4092 Furth Circle"/>
    <s v="NYC"/>
    <s v="10022"/>
    <s v="USA"/>
    <s v="Young"/>
    <s v="Jeff"/>
    <s v="Medium"/>
    <x v="1126"/>
  </r>
  <r>
    <n v="10267"/>
    <n v="44"/>
    <n v="96.74"/>
    <n v="4"/>
    <n v="4256.5600000000004"/>
    <d v="2019-07-07T00:00:00"/>
    <s v="Shipped"/>
    <s v="Classic Cars"/>
    <n v="85"/>
    <s v="S24_3191"/>
    <x v="25"/>
    <s v="2125557413"/>
    <s v="4092 Furth Circle"/>
    <s v="NYC"/>
    <s v="10022"/>
    <s v="USA"/>
    <s v="Young"/>
    <s v="Jeff"/>
    <s v="Medium"/>
    <x v="1127"/>
  </r>
  <r>
    <n v="10267"/>
    <n v="43"/>
    <n v="118.86"/>
    <n v="6"/>
    <n v="5110.9799999999996"/>
    <d v="2019-07-07T00:00:00"/>
    <s v="Shipped"/>
    <s v="Classic Cars"/>
    <n v="107"/>
    <s v="S24_3432"/>
    <x v="25"/>
    <s v="2125557413"/>
    <s v="4092 Furth Circle"/>
    <s v="NYC"/>
    <s v="10022"/>
    <s v="USA"/>
    <s v="Young"/>
    <s v="Jeff"/>
    <s v="Medium"/>
    <x v="1128"/>
  </r>
  <r>
    <n v="10269"/>
    <n v="32"/>
    <n v="63.08"/>
    <n v="1"/>
    <n v="2018.56"/>
    <d v="2019-07-16T00:00:00"/>
    <s v="Shipped"/>
    <s v="Vintage Cars"/>
    <n v="62"/>
    <s v="S18_2957"/>
    <x v="18"/>
    <s v="6562-9555"/>
    <s v="Geislweg 14"/>
    <s v="Salzburg"/>
    <s v="5020"/>
    <s v="Austria"/>
    <s v="Pipps"/>
    <s v="Georg"/>
    <s v="Small"/>
    <x v="794"/>
  </r>
  <r>
    <n v="10269"/>
    <n v="48"/>
    <n v="97.39"/>
    <n v="2"/>
    <n v="4674.72"/>
    <d v="2019-07-16T00:00:00"/>
    <s v="Shipped"/>
    <s v="Vintage Cars"/>
    <n v="97"/>
    <s v="S24_4258"/>
    <x v="18"/>
    <s v="6562-9555"/>
    <s v="Geislweg 14"/>
    <s v="Salzburg"/>
    <s v="5020"/>
    <s v="Austria"/>
    <s v="Pipps"/>
    <s v="Georg"/>
    <s v="Medium"/>
    <x v="1129"/>
  </r>
  <r>
    <n v="10270"/>
    <n v="21"/>
    <n v="233.59"/>
    <n v="9"/>
    <n v="4905.3900000000003"/>
    <d v="2019-07-19T00:00:00"/>
    <s v="Shipped"/>
    <s v="Classic Cars"/>
    <n v="214"/>
    <s v="S10_1949"/>
    <x v="31"/>
    <s v="+61 2 9495 8555"/>
    <s v="Monitor Money Building, 815 Pacific Hwy"/>
    <s v="Chatswood"/>
    <s v="2067"/>
    <s v="Australia"/>
    <s v="Huxley"/>
    <s v="Adrian"/>
    <s v="Medium"/>
    <x v="1130"/>
  </r>
  <r>
    <n v="10270"/>
    <n v="32"/>
    <n v="134.44"/>
    <n v="2"/>
    <n v="4302.08"/>
    <d v="2019-07-19T00:00:00"/>
    <s v="Shipped"/>
    <s v="Classic Cars"/>
    <n v="147"/>
    <s v="S10_4962"/>
    <x v="31"/>
    <s v="+61 2 9495 8555"/>
    <s v="Monitor Money Building, 815 Pacific Hwy"/>
    <s v="Chatswood"/>
    <s v="2067"/>
    <s v="Australia"/>
    <s v="Huxley"/>
    <s v="Adrian"/>
    <s v="Medium"/>
    <x v="1131"/>
  </r>
  <r>
    <n v="10270"/>
    <n v="28"/>
    <n v="146.24"/>
    <n v="6"/>
    <n v="4094.72"/>
    <d v="2019-07-19T00:00:00"/>
    <s v="Shipped"/>
    <s v="Trucks and Buses"/>
    <n v="136"/>
    <s v="S12_1666"/>
    <x v="31"/>
    <s v="+61 2 9495 8555"/>
    <s v="Monitor Money Building, 815 Pacific Hwy"/>
    <s v="Chatswood"/>
    <s v="2067"/>
    <s v="Australia"/>
    <s v="Huxley"/>
    <s v="Adrian"/>
    <s v="Medium"/>
    <x v="1132"/>
  </r>
  <r>
    <n v="10270"/>
    <n v="43"/>
    <n v="96.84"/>
    <n v="8"/>
    <n v="4164.12"/>
    <d v="2019-07-19T00:00:00"/>
    <s v="Shipped"/>
    <s v="Trucks and Buses"/>
    <n v="116"/>
    <s v="S18_1097"/>
    <x v="31"/>
    <s v="+61 2 9495 8555"/>
    <s v="Monitor Money Building, 815 Pacific Hwy"/>
    <s v="Chatswood"/>
    <s v="2067"/>
    <s v="Australia"/>
    <s v="Huxley"/>
    <s v="Adrian"/>
    <s v="Medium"/>
    <x v="1133"/>
  </r>
  <r>
    <n v="10270"/>
    <n v="31"/>
    <n v="96.24"/>
    <n v="10"/>
    <n v="2983.44"/>
    <d v="2019-07-19T00:00:00"/>
    <s v="Shipped"/>
    <s v="Vintage Cars"/>
    <n v="101"/>
    <s v="S18_2949"/>
    <x v="31"/>
    <s v="+61 2 9495 8555"/>
    <s v="Monitor Money Building, 815 Pacific Hwy"/>
    <s v="Chatswood"/>
    <s v="2067"/>
    <s v="Australia"/>
    <s v="Huxley"/>
    <s v="Adrian"/>
    <s v="Small"/>
    <x v="1134"/>
  </r>
  <r>
    <n v="10270"/>
    <n v="38"/>
    <n v="125.66"/>
    <n v="11"/>
    <n v="4775.08"/>
    <d v="2019-07-19T00:00:00"/>
    <s v="Shipped"/>
    <s v="Vintage Cars"/>
    <n v="104"/>
    <s v="S18_3136"/>
    <x v="31"/>
    <s v="+61 2 9495 8555"/>
    <s v="Monitor Money Building, 815 Pacific Hwy"/>
    <s v="Chatswood"/>
    <s v="2067"/>
    <s v="Australia"/>
    <s v="Huxley"/>
    <s v="Adrian"/>
    <s v="Medium"/>
    <x v="795"/>
  </r>
  <r>
    <n v="10270"/>
    <n v="38"/>
    <n v="141.66"/>
    <n v="3"/>
    <n v="5383.08"/>
    <d v="2019-07-19T00:00:00"/>
    <s v="Shipped"/>
    <s v="Trucks and Buses"/>
    <n v="121"/>
    <s v="S18_4600"/>
    <x v="31"/>
    <s v="+61 2 9495 8555"/>
    <s v="Monitor Money Building, 815 Pacific Hwy"/>
    <s v="Chatswood"/>
    <s v="2067"/>
    <s v="Australia"/>
    <s v="Huxley"/>
    <s v="Adrian"/>
    <s v="Medium"/>
    <x v="1029"/>
  </r>
  <r>
    <n v="10270"/>
    <n v="44"/>
    <n v="58.36"/>
    <n v="7"/>
    <n v="2567.84"/>
    <d v="2019-07-19T00:00:00"/>
    <s v="Shipped"/>
    <s v="Vintage Cars"/>
    <n v="50"/>
    <s v="S18_4668"/>
    <x v="31"/>
    <s v="+61 2 9495 8555"/>
    <s v="Monitor Money Building, 815 Pacific Hwy"/>
    <s v="Chatswood"/>
    <s v="2067"/>
    <s v="Australia"/>
    <s v="Huxley"/>
    <s v="Adrian"/>
    <s v="Small"/>
    <x v="1135"/>
  </r>
  <r>
    <n v="10270"/>
    <n v="32"/>
    <n v="85.72"/>
    <n v="1"/>
    <n v="2743.04"/>
    <d v="2019-07-19T00:00:00"/>
    <s v="Shipped"/>
    <s v="Trucks and Buses"/>
    <n v="96"/>
    <s v="S32_1268"/>
    <x v="31"/>
    <s v="+61 2 9495 8555"/>
    <s v="Monitor Money Building, 815 Pacific Hwy"/>
    <s v="Chatswood"/>
    <s v="2067"/>
    <s v="Australia"/>
    <s v="Huxley"/>
    <s v="Adrian"/>
    <s v="Small"/>
    <x v="619"/>
  </r>
  <r>
    <n v="10270"/>
    <n v="21"/>
    <n v="63.35"/>
    <n v="5"/>
    <n v="1330.35"/>
    <d v="2019-07-19T00:00:00"/>
    <s v="Shipped"/>
    <s v="Trucks and Buses"/>
    <n v="64"/>
    <s v="S32_3522"/>
    <x v="31"/>
    <s v="+61 2 9495 8555"/>
    <s v="Monitor Money Building, 815 Pacific Hwy"/>
    <s v="Chatswood"/>
    <s v="2067"/>
    <s v="Australia"/>
    <s v="Huxley"/>
    <s v="Adrian"/>
    <s v="Small"/>
    <x v="978"/>
  </r>
  <r>
    <n v="10270"/>
    <n v="46"/>
    <n v="88"/>
    <n v="4"/>
    <n v="4048"/>
    <d v="2019-07-19T00:00:00"/>
    <s v="Shipped"/>
    <s v="Classic Cars"/>
    <n v="101"/>
    <s v="S700_2824"/>
    <x v="31"/>
    <s v="+61 2 9495 8555"/>
    <s v="Monitor Money Building, 815 Pacific Hwy"/>
    <s v="Chatswood"/>
    <s v="2067"/>
    <s v="Australia"/>
    <s v="Huxley"/>
    <s v="Adrian"/>
    <s v="Medium"/>
    <x v="1136"/>
  </r>
  <r>
    <n v="10272"/>
    <n v="35"/>
    <n v="166.24"/>
    <n v="2"/>
    <n v="5818.4"/>
    <d v="2019-07-20T00:00:00"/>
    <s v="Shipped"/>
    <s v="Classic Cars"/>
    <n v="207"/>
    <s v="S12_1108"/>
    <x v="83"/>
    <s v="2155551555"/>
    <s v="7586 Pompton St."/>
    <s v="Allentown"/>
    <s v="70267"/>
    <s v="USA"/>
    <s v="Yu"/>
    <s v="Kyung"/>
    <s v="Medium"/>
    <x v="1137"/>
  </r>
  <r>
    <n v="10272"/>
    <n v="27"/>
    <n v="158.63"/>
    <n v="3"/>
    <n v="4283.01"/>
    <d v="2019-07-20T00:00:00"/>
    <s v="Shipped"/>
    <s v="Classic Cars"/>
    <n v="151"/>
    <s v="S12_3148"/>
    <x v="83"/>
    <s v="2155551555"/>
    <s v="7586 Pompton St."/>
    <s v="Allentown"/>
    <s v="70267"/>
    <s v="USA"/>
    <s v="Yu"/>
    <s v="Kyung"/>
    <s v="Medium"/>
    <x v="1138"/>
  </r>
  <r>
    <n v="10272"/>
    <n v="39"/>
    <n v="204.16"/>
    <n v="1"/>
    <n v="7962.24"/>
    <d v="2019-07-20T00:00:00"/>
    <s v="Shipped"/>
    <s v="Classic Cars"/>
    <n v="173"/>
    <s v="S12_3891"/>
    <x v="83"/>
    <s v="2155551555"/>
    <s v="7586 Pompton St."/>
    <s v="Allentown"/>
    <s v="70267"/>
    <s v="USA"/>
    <s v="Yu"/>
    <s v="Kyung"/>
    <s v="Large"/>
    <x v="1139"/>
  </r>
  <r>
    <n v="10271"/>
    <n v="31"/>
    <n v="97.17"/>
    <n v="5"/>
    <n v="3012.27"/>
    <d v="2019-07-20T00:00:00"/>
    <s v="Shipped"/>
    <s v="Trucks and Buses"/>
    <n v="118"/>
    <s v="S12_4473"/>
    <x v="12"/>
    <s v="4155551450"/>
    <s v="5677 Strong St."/>
    <s v="San Rafael"/>
    <s v="97562"/>
    <s v="USA"/>
    <s v="Nelson"/>
    <s v="Valarie"/>
    <s v="Medium"/>
    <x v="1140"/>
  </r>
  <r>
    <n v="10271"/>
    <n v="50"/>
    <n v="183.38"/>
    <n v="4"/>
    <n v="9169"/>
    <d v="2019-07-20T00:00:00"/>
    <s v="Shipped"/>
    <s v="Classic Cars"/>
    <n v="163"/>
    <s v="S18_2238"/>
    <x v="12"/>
    <s v="4155551450"/>
    <s v="5677 Strong St."/>
    <s v="San Rafael"/>
    <s v="97562"/>
    <s v="USA"/>
    <s v="Nelson"/>
    <s v="Valarie"/>
    <s v="Large"/>
    <x v="1141"/>
  </r>
  <r>
    <n v="10271"/>
    <n v="50"/>
    <n v="101.87"/>
    <n v="8"/>
    <n v="5093.5"/>
    <d v="2019-07-20T00:00:00"/>
    <s v="Shipped"/>
    <s v="Trucks and Buses"/>
    <n v="122"/>
    <s v="S18_2319"/>
    <x v="12"/>
    <s v="4155551450"/>
    <s v="5677 Strong St."/>
    <s v="San Rafael"/>
    <s v="97562"/>
    <s v="USA"/>
    <s v="Nelson"/>
    <s v="Valarie"/>
    <s v="Medium"/>
    <x v="1142"/>
  </r>
  <r>
    <n v="10271"/>
    <n v="25"/>
    <n v="69.28"/>
    <n v="11"/>
    <n v="1732"/>
    <d v="2019-07-20T00:00:00"/>
    <s v="Shipped"/>
    <s v="Trucks and Buses"/>
    <n v="60"/>
    <s v="S18_2432"/>
    <x v="12"/>
    <s v="4155551450"/>
    <s v="5677 Strong St."/>
    <s v="San Rafael"/>
    <s v="97562"/>
    <s v="USA"/>
    <s v="Nelson"/>
    <s v="Valarie"/>
    <s v="Small"/>
    <x v="12"/>
  </r>
  <r>
    <n v="10271"/>
    <n v="20"/>
    <n v="196.43"/>
    <n v="9"/>
    <n v="3928.6"/>
    <d v="2019-07-20T00:00:00"/>
    <s v="Shipped"/>
    <s v="Classic Cars"/>
    <n v="169"/>
    <s v="S18_3232"/>
    <x v="12"/>
    <s v="4155551450"/>
    <s v="5677 Strong St."/>
    <s v="San Rafael"/>
    <s v="97562"/>
    <s v="USA"/>
    <s v="Nelson"/>
    <s v="Valarie"/>
    <s v="Medium"/>
    <x v="1143"/>
  </r>
  <r>
    <n v="10272"/>
    <n v="25"/>
    <n v="149.36000000000001"/>
    <n v="5"/>
    <n v="3734"/>
    <d v="2019-07-20T00:00:00"/>
    <s v="Shipped"/>
    <s v="Classic Cars"/>
    <n v="143"/>
    <s v="S18_4027"/>
    <x v="83"/>
    <s v="2155551555"/>
    <s v="7586 Pompton St."/>
    <s v="Allentown"/>
    <s v="70267"/>
    <s v="USA"/>
    <s v="Yu"/>
    <s v="Kyung"/>
    <s v="Medium"/>
    <x v="1144"/>
  </r>
  <r>
    <n v="10271"/>
    <n v="45"/>
    <n v="64.739999999999995"/>
    <n v="2"/>
    <n v="2913.3"/>
    <d v="2019-07-20T00:00:00"/>
    <s v="Shipped"/>
    <s v="Classic Cars"/>
    <n v="57"/>
    <s v="S24_1444"/>
    <x v="12"/>
    <s v="4155551450"/>
    <s v="5677 Strong St."/>
    <s v="San Rafael"/>
    <s v="97562"/>
    <s v="USA"/>
    <s v="Nelson"/>
    <s v="Valarie"/>
    <s v="Small"/>
    <x v="1145"/>
  </r>
  <r>
    <n v="10271"/>
    <n v="43"/>
    <n v="130.35"/>
    <n v="10"/>
    <n v="5605.05"/>
    <d v="2019-07-20T00:00:00"/>
    <s v="Shipped"/>
    <s v="Trucks and Buses"/>
    <n v="127"/>
    <s v="S24_2300"/>
    <x v="12"/>
    <s v="4155551450"/>
    <s v="5677 Strong St."/>
    <s v="San Rafael"/>
    <s v="97562"/>
    <s v="USA"/>
    <s v="Nelson"/>
    <s v="Valarie"/>
    <s v="Medium"/>
    <x v="1146"/>
  </r>
  <r>
    <n v="10271"/>
    <n v="38"/>
    <n v="41.72"/>
    <n v="6"/>
    <n v="1585.36"/>
    <d v="2019-07-20T00:00:00"/>
    <s v="Shipped"/>
    <s v="Classic Cars"/>
    <n v="35"/>
    <s v="S24_2840"/>
    <x v="12"/>
    <s v="4155551450"/>
    <s v="5677 Strong St."/>
    <s v="San Rafael"/>
    <s v="97562"/>
    <s v="USA"/>
    <s v="Nelson"/>
    <s v="Valarie"/>
    <s v="Small"/>
    <x v="1030"/>
  </r>
  <r>
    <n v="10271"/>
    <n v="22"/>
    <n v="139.57"/>
    <n v="1"/>
    <n v="3070.54"/>
    <d v="2019-07-20T00:00:00"/>
    <s v="Shipped"/>
    <s v="Classic Cars"/>
    <n v="118"/>
    <s v="S24_4048"/>
    <x v="12"/>
    <s v="4155551450"/>
    <s v="5677 Strong St."/>
    <s v="San Rafael"/>
    <s v="97562"/>
    <s v="USA"/>
    <s v="Nelson"/>
    <s v="Valarie"/>
    <s v="Medium"/>
    <x v="1147"/>
  </r>
  <r>
    <n v="10271"/>
    <n v="35"/>
    <n v="47.62"/>
    <n v="7"/>
    <n v="1666.7"/>
    <d v="2019-07-20T00:00:00"/>
    <s v="Shipped"/>
    <s v="Trucks and Buses"/>
    <n v="54"/>
    <s v="S32_2509"/>
    <x v="12"/>
    <s v="4155551450"/>
    <s v="5677 Strong St."/>
    <s v="San Rafael"/>
    <s v="97562"/>
    <s v="USA"/>
    <s v="Nelson"/>
    <s v="Valarie"/>
    <s v="Small"/>
    <x v="1024"/>
  </r>
  <r>
    <n v="10272"/>
    <n v="45"/>
    <n v="64.63"/>
    <n v="6"/>
    <n v="2908.35"/>
    <d v="2019-07-20T00:00:00"/>
    <s v="Shipped"/>
    <s v="Trains"/>
    <n v="62"/>
    <s v="S32_3207"/>
    <x v="83"/>
    <s v="2155551555"/>
    <s v="7586 Pompton St."/>
    <s v="Allentown"/>
    <s v="70267"/>
    <s v="USA"/>
    <s v="Yu"/>
    <s v="Kyung"/>
    <s v="Small"/>
    <x v="33"/>
  </r>
  <r>
    <n v="10271"/>
    <n v="34"/>
    <n v="98.39"/>
    <n v="3"/>
    <n v="3345.26"/>
    <d v="2019-07-20T00:00:00"/>
    <s v="Shipped"/>
    <s v="Trucks and Buses"/>
    <n v="115"/>
    <s v="S50_1392"/>
    <x v="12"/>
    <s v="4155551450"/>
    <s v="5677 Strong St."/>
    <s v="San Rafael"/>
    <s v="97562"/>
    <s v="USA"/>
    <s v="Nelson"/>
    <s v="Valarie"/>
    <s v="Medium"/>
    <x v="407"/>
  </r>
  <r>
    <n v="10272"/>
    <n v="43"/>
    <n v="56.82"/>
    <n v="4"/>
    <n v="2443.2600000000002"/>
    <d v="2019-07-20T00:00:00"/>
    <s v="Shipped"/>
    <s v="Trains"/>
    <n v="58"/>
    <s v="S50_1514"/>
    <x v="83"/>
    <s v="2155551555"/>
    <s v="7586 Pompton St."/>
    <s v="Allentown"/>
    <s v="70267"/>
    <s v="USA"/>
    <s v="Yu"/>
    <s v="Kyung"/>
    <s v="Small"/>
    <x v="114"/>
  </r>
  <r>
    <n v="10273"/>
    <n v="30"/>
    <n v="116.96"/>
    <n v="4"/>
    <n v="3508.8"/>
    <d v="2019-07-21T00:00:00"/>
    <s v="Shipped"/>
    <s v="Classic Cars"/>
    <n v="136"/>
    <s v="S10_4757"/>
    <x v="71"/>
    <s v="(02) 5554 67"/>
    <s v="Rue Joseph-Bens 532"/>
    <s v="Bruxelles"/>
    <s v="B-1180"/>
    <s v="Belgium"/>
    <s v="Dewey"/>
    <s v="Catherine"/>
    <s v="Medium"/>
    <x v="1148"/>
  </r>
  <r>
    <n v="10274"/>
    <n v="41"/>
    <n v="164"/>
    <n v="1"/>
    <n v="6724"/>
    <d v="2019-07-21T00:00:00"/>
    <s v="Shipped"/>
    <s v="Planes"/>
    <n v="157"/>
    <s v="S18_1662"/>
    <x v="36"/>
    <s v="6175558555"/>
    <s v="7825 Douglas Av."/>
    <s v="Brickhaven"/>
    <s v="58339"/>
    <s v="USA"/>
    <s v="Nelson"/>
    <s v="Allen"/>
    <s v="Medium"/>
    <x v="1149"/>
  </r>
  <r>
    <n v="10273"/>
    <n v="34"/>
    <n v="98.06"/>
    <n v="2"/>
    <n v="3334.04"/>
    <d v="2019-07-21T00:00:00"/>
    <s v="Shipped"/>
    <s v="Ships"/>
    <n v="86"/>
    <s v="S18_3029"/>
    <x v="71"/>
    <s v="(02) 5554 67"/>
    <s v="Rue Joseph-Bens 532"/>
    <s v="Bruxelles"/>
    <s v="B-1180"/>
    <s v="Belgium"/>
    <s v="Dewey"/>
    <s v="Catherine"/>
    <s v="Medium"/>
    <x v="1150"/>
  </r>
  <r>
    <n v="10273"/>
    <n v="40"/>
    <n v="125.66"/>
    <n v="13"/>
    <n v="5026.3999999999996"/>
    <d v="2019-07-21T00:00:00"/>
    <s v="Shipped"/>
    <s v="Vintage Cars"/>
    <n v="136"/>
    <s v="S18_3140"/>
    <x v="71"/>
    <s v="(02) 5554 67"/>
    <s v="Rue Joseph-Bens 532"/>
    <s v="Bruxelles"/>
    <s v="B-1180"/>
    <s v="Belgium"/>
    <s v="Dewey"/>
    <s v="Catherine"/>
    <s v="Medium"/>
    <x v="1151"/>
  </r>
  <r>
    <n v="10273"/>
    <n v="47"/>
    <n v="115.97"/>
    <n v="15"/>
    <n v="5450.59"/>
    <d v="2019-07-21T00:00:00"/>
    <s v="Shipped"/>
    <s v="Trains"/>
    <n v="100"/>
    <s v="S18_3259"/>
    <x v="71"/>
    <s v="(02) 5554 67"/>
    <s v="Rue Joseph-Bens 532"/>
    <s v="Bruxelles"/>
    <s v="B-1180"/>
    <s v="Belgium"/>
    <s v="Dewey"/>
    <s v="Catherine"/>
    <s v="Medium"/>
    <x v="1152"/>
  </r>
  <r>
    <n v="10273"/>
    <n v="50"/>
    <n v="85.75"/>
    <n v="1"/>
    <n v="4287.5"/>
    <d v="2019-07-21T00:00:00"/>
    <s v="Shipped"/>
    <s v="Vintage Cars"/>
    <n v="105"/>
    <s v="S18_3856"/>
    <x v="71"/>
    <s v="(02) 5554 67"/>
    <s v="Rue Joseph-Bens 532"/>
    <s v="Bruxelles"/>
    <s v="B-1180"/>
    <s v="Belgium"/>
    <s v="Dewey"/>
    <s v="Catherine"/>
    <s v="Medium"/>
    <x v="411"/>
  </r>
  <r>
    <n v="10273"/>
    <n v="33"/>
    <n v="71.09"/>
    <n v="12"/>
    <n v="2345.9699999999998"/>
    <d v="2019-07-21T00:00:00"/>
    <s v="Shipped"/>
    <s v="Vintage Cars"/>
    <n v="87"/>
    <s v="S18_4522"/>
    <x v="71"/>
    <s v="(02) 5554 67"/>
    <s v="Rue Joseph-Bens 532"/>
    <s v="Bruxelles"/>
    <s v="B-1180"/>
    <s v="Belgium"/>
    <s v="Dewey"/>
    <s v="Catherine"/>
    <s v="Small"/>
    <x v="1153"/>
  </r>
  <r>
    <n v="10273"/>
    <n v="22"/>
    <n v="126.58"/>
    <n v="11"/>
    <n v="2784.76"/>
    <d v="2019-07-21T00:00:00"/>
    <s v="Shipped"/>
    <s v="Ships"/>
    <n v="122"/>
    <s v="S24_2011"/>
    <x v="71"/>
    <s v="(02) 5554 67"/>
    <s v="Rue Joseph-Bens 532"/>
    <s v="Bruxelles"/>
    <s v="B-1180"/>
    <s v="Belgium"/>
    <s v="Dewey"/>
    <s v="Catherine"/>
    <s v="Small"/>
    <x v="1007"/>
  </r>
  <r>
    <n v="10274"/>
    <n v="40"/>
    <n v="65.08"/>
    <n v="2"/>
    <n v="2603.1999999999998"/>
    <d v="2019-07-21T00:00:00"/>
    <s v="Shipped"/>
    <s v="Planes"/>
    <n v="68"/>
    <s v="S24_2841"/>
    <x v="36"/>
    <s v="6175558555"/>
    <s v="7825 Douglas Av."/>
    <s v="Brickhaven"/>
    <s v="58339"/>
    <s v="USA"/>
    <s v="Nelson"/>
    <s v="Allen"/>
    <s v="Small"/>
    <x v="903"/>
  </r>
  <r>
    <n v="10273"/>
    <n v="27"/>
    <n v="103.56"/>
    <n v="6"/>
    <n v="2796.12"/>
    <d v="2019-07-21T00:00:00"/>
    <s v="Shipped"/>
    <s v="Vintage Cars"/>
    <n v="88"/>
    <s v="S24_3151"/>
    <x v="71"/>
    <s v="(02) 5554 67"/>
    <s v="Rue Joseph-Bens 532"/>
    <s v="Bruxelles"/>
    <s v="B-1180"/>
    <s v="Belgium"/>
    <s v="Dewey"/>
    <s v="Catherine"/>
    <s v="Small"/>
    <x v="1154"/>
  </r>
  <r>
    <n v="10274"/>
    <n v="24"/>
    <n v="72.33"/>
    <n v="3"/>
    <n v="1735.92"/>
    <d v="2019-07-21T00:00:00"/>
    <s v="Shipped"/>
    <s v="Vintage Cars"/>
    <n v="65"/>
    <s v="S24_3420"/>
    <x v="36"/>
    <s v="6175558555"/>
    <s v="7825 Douglas Av."/>
    <s v="Brickhaven"/>
    <s v="58339"/>
    <s v="USA"/>
    <s v="Nelson"/>
    <s v="Allen"/>
    <s v="Small"/>
    <x v="1155"/>
  </r>
  <r>
    <n v="10273"/>
    <n v="48"/>
    <n v="83.02"/>
    <n v="3"/>
    <n v="3984.96"/>
    <d v="2019-07-21T00:00:00"/>
    <s v="Shipped"/>
    <s v="Vintage Cars"/>
    <n v="83"/>
    <s v="S24_3816"/>
    <x v="71"/>
    <s v="(02) 5554 67"/>
    <s v="Rue Joseph-Bens 532"/>
    <s v="Bruxelles"/>
    <s v="B-1180"/>
    <s v="Belgium"/>
    <s v="Dewey"/>
    <s v="Catherine"/>
    <s v="Medium"/>
    <x v="1009"/>
  </r>
  <r>
    <n v="10273"/>
    <n v="21"/>
    <n v="65.34"/>
    <n v="7"/>
    <n v="1372.14"/>
    <d v="2019-07-21T00:00:00"/>
    <s v="Shipped"/>
    <s v="Ships"/>
    <n v="66"/>
    <s v="S700_1138"/>
    <x v="71"/>
    <s v="(02) 5554 67"/>
    <s v="Rue Joseph-Bens 532"/>
    <s v="Bruxelles"/>
    <s v="B-1180"/>
    <s v="Belgium"/>
    <s v="Dewey"/>
    <s v="Catherine"/>
    <s v="Small"/>
    <x v="763"/>
  </r>
  <r>
    <n v="10273"/>
    <n v="21"/>
    <n v="102.2"/>
    <n v="14"/>
    <n v="2146.1999999999998"/>
    <d v="2019-07-21T00:00:00"/>
    <s v="Shipped"/>
    <s v="Ships"/>
    <n v="86"/>
    <s v="S700_1938"/>
    <x v="71"/>
    <s v="(02) 5554 67"/>
    <s v="Rue Joseph-Bens 532"/>
    <s v="Bruxelles"/>
    <s v="B-1180"/>
    <s v="Belgium"/>
    <s v="Dewey"/>
    <s v="Catherine"/>
    <s v="Small"/>
    <x v="1156"/>
  </r>
  <r>
    <n v="10274"/>
    <n v="24"/>
    <n v="90.52"/>
    <n v="5"/>
    <n v="2172.48"/>
    <d v="2019-07-21T00:00:00"/>
    <s v="Shipped"/>
    <s v="Ships"/>
    <n v="90"/>
    <s v="S700_2047"/>
    <x v="36"/>
    <s v="6175558555"/>
    <s v="7825 Douglas Av."/>
    <s v="Brickhaven"/>
    <s v="58339"/>
    <s v="USA"/>
    <s v="Nelson"/>
    <s v="Allen"/>
    <s v="Small"/>
    <x v="1157"/>
  </r>
  <r>
    <n v="10273"/>
    <n v="42"/>
    <n v="62.16"/>
    <n v="5"/>
    <n v="2610.7199999999998"/>
    <d v="2019-07-21T00:00:00"/>
    <s v="Shipped"/>
    <s v="Ships"/>
    <n v="72"/>
    <s v="S700_2610"/>
    <x v="71"/>
    <s v="(02) 5554 67"/>
    <s v="Rue Joseph-Bens 532"/>
    <s v="Bruxelles"/>
    <s v="B-1180"/>
    <s v="Belgium"/>
    <s v="Dewey"/>
    <s v="Catherine"/>
    <s v="Small"/>
    <x v="1158"/>
  </r>
  <r>
    <n v="10273"/>
    <n v="40"/>
    <n v="86.15"/>
    <n v="8"/>
    <n v="3446"/>
    <d v="2019-07-21T00:00:00"/>
    <s v="Shipped"/>
    <s v="Ships"/>
    <n v="100"/>
    <s v="S700_3505"/>
    <x v="71"/>
    <s v="(02) 5554 67"/>
    <s v="Rue Joseph-Bens 532"/>
    <s v="Bruxelles"/>
    <s v="B-1180"/>
    <s v="Belgium"/>
    <s v="Dewey"/>
    <s v="Catherine"/>
    <s v="Medium"/>
    <x v="1159"/>
  </r>
  <r>
    <n v="10273"/>
    <n v="26"/>
    <n v="114.21"/>
    <n v="9"/>
    <n v="2969.46"/>
    <d v="2019-07-21T00:00:00"/>
    <s v="Shipped"/>
    <s v="Ships"/>
    <n v="99"/>
    <s v="S700_3962"/>
    <x v="71"/>
    <s v="(02) 5554 67"/>
    <s v="Rue Joseph-Bens 532"/>
    <s v="Bruxelles"/>
    <s v="B-1180"/>
    <s v="Belgium"/>
    <s v="Dewey"/>
    <s v="Catherine"/>
    <s v="Small"/>
    <x v="1160"/>
  </r>
  <r>
    <n v="10274"/>
    <n v="32"/>
    <n v="58.6"/>
    <n v="4"/>
    <n v="1875.2"/>
    <d v="2019-07-21T00:00:00"/>
    <s v="Shipped"/>
    <s v="Planes"/>
    <n v="49"/>
    <s v="S72_1253"/>
    <x v="36"/>
    <s v="6175558555"/>
    <s v="7825 Douglas Av."/>
    <s v="Brickhaven"/>
    <s v="58339"/>
    <s v="USA"/>
    <s v="Nelson"/>
    <s v="Allen"/>
    <s v="Small"/>
    <x v="1102"/>
  </r>
  <r>
    <n v="10273"/>
    <n v="37"/>
    <n v="45.86"/>
    <n v="10"/>
    <n v="1696.82"/>
    <d v="2019-07-21T00:00:00"/>
    <s v="Shipped"/>
    <s v="Ships"/>
    <n v="54"/>
    <s v="S72_3212"/>
    <x v="71"/>
    <s v="(02) 5554 67"/>
    <s v="Rue Joseph-Bens 532"/>
    <s v="Bruxelles"/>
    <s v="B-1180"/>
    <s v="Belgium"/>
    <s v="Dewey"/>
    <s v="Catherine"/>
    <s v="Small"/>
    <x v="1161"/>
  </r>
  <r>
    <n v="10275"/>
    <n v="45"/>
    <n v="92.83"/>
    <n v="1"/>
    <n v="4177.3500000000004"/>
    <d v="2019-07-23T00:00:00"/>
    <s v="Shipped"/>
    <s v="Motorcycles"/>
    <n v="95"/>
    <s v="S10_1678"/>
    <x v="84"/>
    <s v="40.67.8555"/>
    <s v="67, rue des Cinquante Otages"/>
    <s v="Nantes"/>
    <s v="44000"/>
    <s v="France"/>
    <s v="Labrune"/>
    <s v="Janine"/>
    <s v="Medium"/>
    <x v="1162"/>
  </r>
  <r>
    <n v="10275"/>
    <n v="22"/>
    <n v="132.02000000000001"/>
    <n v="4"/>
    <n v="2904.44"/>
    <d v="2019-07-23T00:00:00"/>
    <s v="Shipped"/>
    <s v="Motorcycles"/>
    <n v="118"/>
    <s v="S10_2016"/>
    <x v="84"/>
    <s v="40.67.8555"/>
    <s v="67, rue des Cinquante Otages"/>
    <s v="Nantes"/>
    <s v="44000"/>
    <s v="France"/>
    <s v="Labrune"/>
    <s v="Janine"/>
    <s v="Small"/>
    <x v="1163"/>
  </r>
  <r>
    <n v="10275"/>
    <n v="36"/>
    <n v="191.72"/>
    <n v="3"/>
    <n v="6901.92"/>
    <d v="2019-07-23T00:00:00"/>
    <s v="Shipped"/>
    <s v="Motorcycles"/>
    <n v="193"/>
    <s v="S10_4698"/>
    <x v="84"/>
    <s v="40.67.8555"/>
    <s v="67, rue des Cinquante Otages"/>
    <s v="Nantes"/>
    <s v="44000"/>
    <s v="France"/>
    <s v="Labrune"/>
    <s v="Janine"/>
    <s v="Medium"/>
    <x v="1105"/>
  </r>
  <r>
    <n v="10275"/>
    <n v="35"/>
    <n v="90.39"/>
    <n v="9"/>
    <n v="3163.65"/>
    <d v="2019-07-23T00:00:00"/>
    <s v="Shipped"/>
    <s v="Planes"/>
    <n v="84"/>
    <s v="S18_2581"/>
    <x v="84"/>
    <s v="40.67.8555"/>
    <s v="67, rue des Cinquante Otages"/>
    <s v="Nantes"/>
    <s v="44000"/>
    <s v="France"/>
    <s v="Labrune"/>
    <s v="Janine"/>
    <s v="Medium"/>
    <x v="642"/>
  </r>
  <r>
    <n v="10275"/>
    <n v="37"/>
    <n v="63.6"/>
    <n v="5"/>
    <n v="2353.1999999999998"/>
    <d v="2019-07-23T00:00:00"/>
    <s v="Shipped"/>
    <s v="Motorcycles"/>
    <n v="60"/>
    <s v="S18_2625"/>
    <x v="84"/>
    <s v="40.67.8555"/>
    <s v="67, rue des Cinquante Otages"/>
    <s v="Nantes"/>
    <s v="44000"/>
    <s v="France"/>
    <s v="Labrune"/>
    <s v="Janine"/>
    <s v="Small"/>
    <x v="1164"/>
  </r>
  <r>
    <n v="10275"/>
    <n v="21"/>
    <n v="102.56"/>
    <n v="2"/>
    <n v="2153.7600000000002"/>
    <d v="2019-07-23T00:00:00"/>
    <s v="Shipped"/>
    <s v="Motorcycles"/>
    <n v="112"/>
    <s v="S24_1578"/>
    <x v="84"/>
    <s v="40.67.8555"/>
    <s v="67, rue des Cinquante Otages"/>
    <s v="Nantes"/>
    <s v="44000"/>
    <s v="France"/>
    <s v="Labrune"/>
    <s v="Janine"/>
    <s v="Small"/>
    <x v="1165"/>
  </r>
  <r>
    <n v="10275"/>
    <n v="25"/>
    <n v="95.2"/>
    <n v="11"/>
    <n v="2380"/>
    <d v="2019-07-23T00:00:00"/>
    <s v="Shipped"/>
    <s v="Planes"/>
    <n v="109"/>
    <s v="S24_1785"/>
    <x v="84"/>
    <s v="40.67.8555"/>
    <s v="67, rue des Cinquante Otages"/>
    <s v="Nantes"/>
    <s v="44000"/>
    <s v="France"/>
    <s v="Labrune"/>
    <s v="Janine"/>
    <s v="Small"/>
    <x v="97"/>
  </r>
  <r>
    <n v="10275"/>
    <n v="30"/>
    <n v="79.98"/>
    <n v="6"/>
    <n v="2399.4"/>
    <d v="2019-07-23T00:00:00"/>
    <s v="Shipped"/>
    <s v="Motorcycles"/>
    <n v="76"/>
    <s v="S24_2000"/>
    <x v="84"/>
    <s v="40.67.8555"/>
    <s v="67, rue des Cinquante Otages"/>
    <s v="Nantes"/>
    <s v="44000"/>
    <s v="France"/>
    <s v="Labrune"/>
    <s v="Janine"/>
    <s v="Small"/>
    <x v="1166"/>
  </r>
  <r>
    <n v="10275"/>
    <n v="41"/>
    <n v="81.89"/>
    <n v="18"/>
    <n v="3357.49"/>
    <d v="2019-07-23T00:00:00"/>
    <s v="Shipped"/>
    <s v="Planes"/>
    <n v="68"/>
    <s v="S24_3949"/>
    <x v="84"/>
    <s v="40.67.8555"/>
    <s v="67, rue des Cinquante Otages"/>
    <s v="Nantes"/>
    <s v="44000"/>
    <s v="France"/>
    <s v="Labrune"/>
    <s v="Janine"/>
    <s v="Medium"/>
    <x v="1167"/>
  </r>
  <r>
    <n v="10275"/>
    <n v="27"/>
    <n v="62.31"/>
    <n v="10"/>
    <n v="1682.37"/>
    <d v="2019-07-23T00:00:00"/>
    <s v="Shipped"/>
    <s v="Planes"/>
    <n v="72"/>
    <s v="S24_4278"/>
    <x v="84"/>
    <s v="40.67.8555"/>
    <s v="67, rue des Cinquante Otages"/>
    <s v="Nantes"/>
    <s v="44000"/>
    <s v="France"/>
    <s v="Labrune"/>
    <s v="Janine"/>
    <s v="Small"/>
    <x v="1168"/>
  </r>
  <r>
    <n v="10275"/>
    <n v="23"/>
    <n v="81.91"/>
    <n v="7"/>
    <n v="1883.93"/>
    <d v="2019-07-23T00:00:00"/>
    <s v="Shipped"/>
    <s v="Motorcycles"/>
    <n v="99"/>
    <s v="S32_1374"/>
    <x v="84"/>
    <s v="40.67.8555"/>
    <s v="67, rue des Cinquante Otages"/>
    <s v="Nantes"/>
    <s v="44000"/>
    <s v="France"/>
    <s v="Labrune"/>
    <s v="Janine"/>
    <s v="Small"/>
    <x v="1169"/>
  </r>
  <r>
    <n v="10275"/>
    <n v="28"/>
    <n v="63.97"/>
    <n v="12"/>
    <n v="1791.16"/>
    <d v="2019-07-23T00:00:00"/>
    <s v="Shipped"/>
    <s v="Vintage Cars"/>
    <n v="68"/>
    <s v="S32_4289"/>
    <x v="84"/>
    <s v="40.67.8555"/>
    <s v="67, rue des Cinquante Otages"/>
    <s v="Nantes"/>
    <s v="44000"/>
    <s v="France"/>
    <s v="Labrune"/>
    <s v="Janine"/>
    <s v="Small"/>
    <x v="1170"/>
  </r>
  <r>
    <n v="10275"/>
    <n v="38"/>
    <n v="45.39"/>
    <n v="13"/>
    <n v="1724.82"/>
    <d v="2019-07-23T00:00:00"/>
    <s v="Shipped"/>
    <s v="Vintage Cars"/>
    <n v="43"/>
    <s v="S50_1341"/>
    <x v="84"/>
    <s v="40.67.8555"/>
    <s v="67, rue des Cinquante Otages"/>
    <s v="Nantes"/>
    <s v="44000"/>
    <s v="France"/>
    <s v="Labrune"/>
    <s v="Janine"/>
    <s v="Small"/>
    <x v="1171"/>
  </r>
  <r>
    <n v="10275"/>
    <n v="32"/>
    <n v="89.51"/>
    <n v="14"/>
    <n v="2864.32"/>
    <d v="2019-07-23T00:00:00"/>
    <s v="Shipped"/>
    <s v="Planes"/>
    <n v="91"/>
    <s v="S700_1691"/>
    <x v="84"/>
    <s v="40.67.8555"/>
    <s v="67, rue des Cinquante Otages"/>
    <s v="Nantes"/>
    <s v="44000"/>
    <s v="France"/>
    <s v="Labrune"/>
    <s v="Janine"/>
    <s v="Small"/>
    <x v="1172"/>
  </r>
  <r>
    <n v="10275"/>
    <n v="39"/>
    <n v="114.68"/>
    <n v="16"/>
    <n v="4472.5200000000004"/>
    <d v="2019-07-23T00:00:00"/>
    <s v="Shipped"/>
    <s v="Planes"/>
    <n v="99"/>
    <s v="S700_2466"/>
    <x v="84"/>
    <s v="40.67.8555"/>
    <s v="67, rue des Cinquante Otages"/>
    <s v="Nantes"/>
    <s v="44000"/>
    <s v="France"/>
    <s v="Labrune"/>
    <s v="Janine"/>
    <s v="Medium"/>
    <x v="1173"/>
  </r>
  <r>
    <n v="10275"/>
    <n v="48"/>
    <n v="132.88999999999999"/>
    <n v="8"/>
    <n v="6378.72"/>
    <d v="2019-07-23T00:00:00"/>
    <s v="Shipped"/>
    <s v="Planes"/>
    <n v="118"/>
    <s v="S700_2834"/>
    <x v="84"/>
    <s v="40.67.8555"/>
    <s v="67, rue des Cinquante Otages"/>
    <s v="Nantes"/>
    <s v="44000"/>
    <s v="France"/>
    <s v="Labrune"/>
    <s v="Janine"/>
    <s v="Medium"/>
    <x v="1174"/>
  </r>
  <r>
    <n v="10275"/>
    <n v="43"/>
    <n v="73.599999999999994"/>
    <n v="15"/>
    <n v="3164.8"/>
    <d v="2019-07-23T00:00:00"/>
    <s v="Shipped"/>
    <s v="Planes"/>
    <n v="80"/>
    <s v="S700_3167"/>
    <x v="84"/>
    <s v="40.67.8555"/>
    <s v="67, rue des Cinquante Otages"/>
    <s v="Nantes"/>
    <s v="44000"/>
    <s v="France"/>
    <s v="Labrune"/>
    <s v="Janine"/>
    <s v="Medium"/>
    <x v="1042"/>
  </r>
  <r>
    <n v="10275"/>
    <n v="31"/>
    <n v="72.55"/>
    <n v="17"/>
    <n v="2249.0500000000002"/>
    <d v="2019-07-23T00:00:00"/>
    <s v="Shipped"/>
    <s v="Planes"/>
    <n v="74"/>
    <s v="S700_4002"/>
    <x v="84"/>
    <s v="40.67.8555"/>
    <s v="67, rue des Cinquante Otages"/>
    <s v="Nantes"/>
    <s v="44000"/>
    <s v="France"/>
    <s v="Labrune"/>
    <s v="Janine"/>
    <s v="Small"/>
    <x v="1175"/>
  </r>
  <r>
    <n v="10276"/>
    <n v="50"/>
    <n v="192.62"/>
    <n v="3"/>
    <n v="9631"/>
    <d v="2019-08-02T00:00:00"/>
    <s v="Shipped"/>
    <s v="Classic Cars"/>
    <n v="194"/>
    <s v="S12_1099"/>
    <x v="85"/>
    <s v="6175557555"/>
    <s v="7635 Spinnaker Dr."/>
    <s v="Brickhaven"/>
    <s v="58339"/>
    <s v="USA"/>
    <s v="Barajas"/>
    <s v="Miguel"/>
    <s v="Large"/>
    <x v="1176"/>
  </r>
  <r>
    <n v="10276"/>
    <n v="43"/>
    <n v="120.5"/>
    <n v="14"/>
    <n v="5181.5"/>
    <d v="2019-08-02T00:00:00"/>
    <s v="Shipped"/>
    <s v="Motorcycles"/>
    <n v="150"/>
    <s v="S12_2823"/>
    <x v="85"/>
    <s v="6175557555"/>
    <s v="7635 Spinnaker Dr."/>
    <s v="Brickhaven"/>
    <s v="58339"/>
    <s v="USA"/>
    <s v="Barajas"/>
    <s v="Miguel"/>
    <s v="Medium"/>
    <x v="1177"/>
  </r>
  <r>
    <n v="10276"/>
    <n v="47"/>
    <n v="116.27"/>
    <n v="1"/>
    <n v="5464.69"/>
    <d v="2019-08-02T00:00:00"/>
    <s v="Shipped"/>
    <s v="Classic Cars"/>
    <n v="117"/>
    <s v="S12_3380"/>
    <x v="85"/>
    <s v="6175557555"/>
    <s v="7635 Spinnaker Dr."/>
    <s v="Brickhaven"/>
    <s v="58339"/>
    <s v="USA"/>
    <s v="Barajas"/>
    <s v="Miguel"/>
    <s v="Medium"/>
    <x v="1178"/>
  </r>
  <r>
    <n v="10276"/>
    <n v="38"/>
    <n v="83.79"/>
    <n v="4"/>
    <n v="3184.02"/>
    <d v="2019-08-02T00:00:00"/>
    <s v="Shipped"/>
    <s v="Classic Cars"/>
    <n v="79"/>
    <s v="S12_3990"/>
    <x v="85"/>
    <s v="6175557555"/>
    <s v="7635 Spinnaker Dr."/>
    <s v="Brickhaven"/>
    <s v="58339"/>
    <s v="USA"/>
    <s v="Barajas"/>
    <s v="Miguel"/>
    <s v="Medium"/>
    <x v="1179"/>
  </r>
  <r>
    <n v="10276"/>
    <n v="38"/>
    <n v="69.959999999999994"/>
    <n v="6"/>
    <n v="2658.48"/>
    <d v="2019-08-02T00:00:00"/>
    <s v="Shipped"/>
    <s v="Classic Cars"/>
    <n v="80"/>
    <s v="S18_3278"/>
    <x v="85"/>
    <s v="6175557555"/>
    <s v="7635 Spinnaker Dr."/>
    <s v="Brickhaven"/>
    <s v="58339"/>
    <s v="USA"/>
    <s v="Barajas"/>
    <s v="Miguel"/>
    <s v="Small"/>
    <x v="1180"/>
  </r>
  <r>
    <n v="10276"/>
    <n v="30"/>
    <n v="130.82"/>
    <n v="5"/>
    <n v="3924.6"/>
    <d v="2019-08-02T00:00:00"/>
    <s v="Shipped"/>
    <s v="Classic Cars"/>
    <n v="146"/>
    <s v="S18_3482"/>
    <x v="85"/>
    <s v="6175557555"/>
    <s v="7635 Spinnaker Dr."/>
    <s v="Brickhaven"/>
    <s v="58339"/>
    <s v="USA"/>
    <s v="Barajas"/>
    <s v="Miguel"/>
    <s v="Medium"/>
    <x v="95"/>
  </r>
  <r>
    <n v="10276"/>
    <n v="33"/>
    <n v="50.36"/>
    <n v="9"/>
    <n v="1661.88"/>
    <d v="2019-08-02T00:00:00"/>
    <s v="Shipped"/>
    <s v="Motorcycles"/>
    <n v="62"/>
    <s v="S18_3782"/>
    <x v="85"/>
    <s v="6175557555"/>
    <s v="7635 Spinnaker Dr."/>
    <s v="Brickhaven"/>
    <s v="58339"/>
    <s v="USA"/>
    <s v="Barajas"/>
    <s v="Miguel"/>
    <s v="Small"/>
    <x v="225"/>
  </r>
  <r>
    <n v="10276"/>
    <n v="48"/>
    <n v="119.04"/>
    <n v="8"/>
    <n v="5713.92"/>
    <d v="2019-08-02T00:00:00"/>
    <s v="Shipped"/>
    <s v="Classic Cars"/>
    <n v="148"/>
    <s v="S18_4721"/>
    <x v="85"/>
    <s v="6175557555"/>
    <s v="7635 Spinnaker Dr."/>
    <s v="Brickhaven"/>
    <s v="58339"/>
    <s v="USA"/>
    <s v="Barajas"/>
    <s v="Miguel"/>
    <s v="Medium"/>
    <x v="1181"/>
  </r>
  <r>
    <n v="10276"/>
    <n v="46"/>
    <n v="75.489999999999995"/>
    <n v="12"/>
    <n v="3472.54"/>
    <d v="2019-08-02T00:00:00"/>
    <s v="Shipped"/>
    <s v="Motorcycles"/>
    <n v="69"/>
    <s v="S24_2360"/>
    <x v="85"/>
    <s v="6175557555"/>
    <s v="7635 Spinnaker Dr."/>
    <s v="Brickhaven"/>
    <s v="58339"/>
    <s v="USA"/>
    <s v="Barajas"/>
    <s v="Miguel"/>
    <s v="Medium"/>
    <x v="1182"/>
  </r>
  <r>
    <n v="10276"/>
    <n v="20"/>
    <n v="61.23"/>
    <n v="2"/>
    <n v="1224.5999999999999"/>
    <d v="2019-08-02T00:00:00"/>
    <s v="Shipped"/>
    <s v="Classic Cars"/>
    <n v="61"/>
    <s v="S24_3371"/>
    <x v="85"/>
    <s v="6175557555"/>
    <s v="7635 Spinnaker Dr."/>
    <s v="Brickhaven"/>
    <s v="58339"/>
    <s v="USA"/>
    <s v="Barajas"/>
    <s v="Miguel"/>
    <s v="Small"/>
    <x v="748"/>
  </r>
  <r>
    <n v="10276"/>
    <n v="48"/>
    <n v="75.180000000000007"/>
    <n v="7"/>
    <n v="3608.64"/>
    <d v="2019-08-02T00:00:00"/>
    <s v="Shipped"/>
    <s v="Classic Cars"/>
    <n v="80"/>
    <s v="S24_4620"/>
    <x v="85"/>
    <s v="6175557555"/>
    <s v="7635 Spinnaker Dr."/>
    <s v="Brickhaven"/>
    <s v="58339"/>
    <s v="USA"/>
    <s v="Barajas"/>
    <s v="Miguel"/>
    <s v="Medium"/>
    <x v="1183"/>
  </r>
  <r>
    <n v="10276"/>
    <n v="27"/>
    <n v="36.61"/>
    <n v="10"/>
    <n v="988.47"/>
    <d v="2019-08-02T00:00:00"/>
    <s v="Shipped"/>
    <s v="Motorcycles"/>
    <n v="40"/>
    <s v="S32_2206"/>
    <x v="85"/>
    <s v="6175557555"/>
    <s v="7635 Spinnaker Dr."/>
    <s v="Brickhaven"/>
    <s v="58339"/>
    <s v="USA"/>
    <s v="Barajas"/>
    <s v="Miguel"/>
    <s v="Small"/>
    <x v="1184"/>
  </r>
  <r>
    <n v="10276"/>
    <n v="38"/>
    <n v="113.28"/>
    <n v="13"/>
    <n v="4304.6400000000003"/>
    <d v="2019-08-02T00:00:00"/>
    <s v="Shipped"/>
    <s v="Motorcycles"/>
    <n v="102"/>
    <s v="S32_4485"/>
    <x v="85"/>
    <s v="6175557555"/>
    <s v="7635 Spinnaker Dr."/>
    <s v="Brickhaven"/>
    <s v="58339"/>
    <s v="USA"/>
    <s v="Barajas"/>
    <s v="Miguel"/>
    <s v="Medium"/>
    <x v="1185"/>
  </r>
  <r>
    <n v="10276"/>
    <n v="21"/>
    <n v="70.78"/>
    <n v="11"/>
    <n v="1486.38"/>
    <d v="2019-08-02T00:00:00"/>
    <s v="Shipped"/>
    <s v="Motorcycles"/>
    <n v="81"/>
    <s v="S50_4713"/>
    <x v="85"/>
    <s v="6175557555"/>
    <s v="7635 Spinnaker Dr."/>
    <s v="Brickhaven"/>
    <s v="58339"/>
    <s v="USA"/>
    <s v="Barajas"/>
    <s v="Miguel"/>
    <s v="Small"/>
    <x v="1186"/>
  </r>
  <r>
    <n v="10277"/>
    <n v="28"/>
    <n v="111.71"/>
    <n v="1"/>
    <n v="3127.88"/>
    <d v="2019-08-04T00:00:00"/>
    <s v="Shipped"/>
    <s v="Classic Cars"/>
    <n v="115"/>
    <s v="S12_4675"/>
    <x v="16"/>
    <s v="+65 221 7555"/>
    <s v="Bronz Sok., Bronz Apt. 3/6 Tesvikiye"/>
    <s v="Singapore"/>
    <s v="79903"/>
    <s v="Singapore"/>
    <s v="Natividad"/>
    <s v="Eric"/>
    <s v="Medium"/>
    <x v="1187"/>
  </r>
  <r>
    <n v="10278"/>
    <n v="34"/>
    <n v="137.29"/>
    <n v="6"/>
    <n v="4667.8599999999997"/>
    <d v="2019-08-06T00:00:00"/>
    <s v="Shipped"/>
    <s v="Classic Cars"/>
    <n v="141"/>
    <s v="S18_1129"/>
    <x v="23"/>
    <s v="7025551838"/>
    <s v="8489 Strong St."/>
    <s v="Las Vegas"/>
    <s v="83030"/>
    <s v="USA"/>
    <s v="King"/>
    <s v="Sue"/>
    <s v="Medium"/>
    <x v="1188"/>
  </r>
  <r>
    <n v="10278"/>
    <n v="23"/>
    <n v="113.24"/>
    <n v="2"/>
    <n v="2604.52"/>
    <d v="2019-08-06T00:00:00"/>
    <s v="Shipped"/>
    <s v="Classic Cars"/>
    <n v="124"/>
    <s v="S18_1589"/>
    <x v="23"/>
    <s v="7025551838"/>
    <s v="8489 Strong St."/>
    <s v="Las Vegas"/>
    <s v="83030"/>
    <s v="USA"/>
    <s v="King"/>
    <s v="Sue"/>
    <s v="Small"/>
    <x v="165"/>
  </r>
  <r>
    <n v="10278"/>
    <n v="29"/>
    <n v="90.86"/>
    <n v="10"/>
    <n v="2634.94"/>
    <d v="2019-08-06T00:00:00"/>
    <s v="Shipped"/>
    <s v="Classic Cars"/>
    <n v="77"/>
    <s v="S18_1889"/>
    <x v="23"/>
    <s v="7025551838"/>
    <s v="8489 Strong St."/>
    <s v="Las Vegas"/>
    <s v="83030"/>
    <s v="USA"/>
    <s v="King"/>
    <s v="Sue"/>
    <s v="Small"/>
    <x v="867"/>
  </r>
  <r>
    <n v="10278"/>
    <n v="29"/>
    <n v="129.44999999999999"/>
    <n v="5"/>
    <n v="3754.05"/>
    <d v="2019-08-06T00:00:00"/>
    <s v="Shipped"/>
    <s v="Classic Cars"/>
    <n v="142"/>
    <s v="S18_1984"/>
    <x v="23"/>
    <s v="7025551838"/>
    <s v="8489 Strong St."/>
    <s v="Las Vegas"/>
    <s v="83030"/>
    <s v="USA"/>
    <s v="King"/>
    <s v="Sue"/>
    <s v="Medium"/>
    <x v="1189"/>
  </r>
  <r>
    <n v="10278"/>
    <n v="39"/>
    <n v="110.88"/>
    <n v="3"/>
    <n v="4324.32"/>
    <d v="2019-08-06T00:00:00"/>
    <s v="Shipped"/>
    <s v="Classic Cars"/>
    <n v="132"/>
    <s v="S18_2870"/>
    <x v="23"/>
    <s v="7025551838"/>
    <s v="8489 Strong St."/>
    <s v="Las Vegas"/>
    <s v="83030"/>
    <s v="USA"/>
    <s v="King"/>
    <s v="Sue"/>
    <s v="Medium"/>
    <x v="1190"/>
  </r>
  <r>
    <n v="10278"/>
    <n v="42"/>
    <n v="152.41"/>
    <n v="7"/>
    <n v="6401.22"/>
    <d v="2019-08-06T00:00:00"/>
    <s v="Shipped"/>
    <s v="Classic Cars"/>
    <n v="169"/>
    <s v="S18_3232"/>
    <x v="23"/>
    <s v="7025551838"/>
    <s v="8489 Strong St."/>
    <s v="Las Vegas"/>
    <s v="83030"/>
    <s v="USA"/>
    <s v="King"/>
    <s v="Sue"/>
    <s v="Medium"/>
    <x v="1191"/>
  </r>
  <r>
    <n v="10278"/>
    <n v="31"/>
    <n v="132.80000000000001"/>
    <n v="4"/>
    <n v="4116.8"/>
    <d v="2019-08-06T00:00:00"/>
    <s v="Shipped"/>
    <s v="Classic Cars"/>
    <n v="141"/>
    <s v="S18_3685"/>
    <x v="23"/>
    <s v="7025551838"/>
    <s v="8489 Strong St."/>
    <s v="Las Vegas"/>
    <s v="83030"/>
    <s v="USA"/>
    <s v="King"/>
    <s v="Sue"/>
    <s v="Medium"/>
    <x v="1192"/>
  </r>
  <r>
    <n v="10278"/>
    <n v="35"/>
    <n v="45.28"/>
    <n v="1"/>
    <n v="1584.8"/>
    <d v="2019-08-06T00:00:00"/>
    <s v="Shipped"/>
    <s v="Classic Cars"/>
    <n v="50"/>
    <s v="S24_1628"/>
    <x v="23"/>
    <s v="7025551838"/>
    <s v="8489 Strong St."/>
    <s v="Las Vegas"/>
    <s v="83030"/>
    <s v="USA"/>
    <s v="King"/>
    <s v="Sue"/>
    <s v="Small"/>
    <x v="959"/>
  </r>
  <r>
    <n v="10278"/>
    <n v="31"/>
    <n v="38.89"/>
    <n v="8"/>
    <n v="1205.5899999999999"/>
    <d v="2019-08-06T00:00:00"/>
    <s v="Shipped"/>
    <s v="Classic Cars"/>
    <n v="37"/>
    <s v="S24_2972"/>
    <x v="23"/>
    <s v="7025551838"/>
    <s v="8489 Strong St."/>
    <s v="Las Vegas"/>
    <s v="83030"/>
    <s v="USA"/>
    <s v="King"/>
    <s v="Sue"/>
    <s v="Small"/>
    <x v="1193"/>
  </r>
  <r>
    <n v="10278"/>
    <n v="25"/>
    <n v="126.39"/>
    <n v="9"/>
    <n v="3159.75"/>
    <d v="2019-08-06T00:00:00"/>
    <s v="Shipped"/>
    <s v="Classic Cars"/>
    <n v="140"/>
    <s v="S24_3856"/>
    <x v="23"/>
    <s v="7025551838"/>
    <s v="8489 Strong St."/>
    <s v="Las Vegas"/>
    <s v="83030"/>
    <s v="USA"/>
    <s v="King"/>
    <s v="Sue"/>
    <s v="Medium"/>
    <x v="1194"/>
  </r>
  <r>
    <n v="10279"/>
    <n v="26"/>
    <n v="60.58"/>
    <n v="1"/>
    <n v="1575.08"/>
    <d v="2019-08-09T00:00:00"/>
    <s v="Shipped"/>
    <s v="Classic Cars"/>
    <n v="71"/>
    <s v="S18_4933"/>
    <x v="4"/>
    <s v="(91) 555 94 44"/>
    <s v="C/ Moralzarzal, 86"/>
    <s v="Madrid"/>
    <s v="28034"/>
    <s v="Spain"/>
    <s v="Freyre"/>
    <s v="Diego"/>
    <s v="Small"/>
    <x v="1195"/>
  </r>
  <r>
    <n v="10279"/>
    <n v="32"/>
    <n v="74.959999999999994"/>
    <n v="5"/>
    <n v="2398.7199999999998"/>
    <d v="2019-08-09T00:00:00"/>
    <s v="Shipped"/>
    <s v="Classic Cars"/>
    <n v="73"/>
    <s v="S24_1046"/>
    <x v="4"/>
    <s v="(91) 555 94 44"/>
    <s v="C/ Moralzarzal, 86"/>
    <s v="Madrid"/>
    <s v="28034"/>
    <s v="Spain"/>
    <s v="Freyre"/>
    <s v="Diego"/>
    <s v="Small"/>
    <x v="1196"/>
  </r>
  <r>
    <n v="10279"/>
    <n v="49"/>
    <n v="79.97"/>
    <n v="3"/>
    <n v="3918.53"/>
    <d v="2019-08-09T00:00:00"/>
    <s v="Shipped"/>
    <s v="Classic Cars"/>
    <n v="90"/>
    <s v="S24_2766"/>
    <x v="4"/>
    <s v="(91) 555 94 44"/>
    <s v="C/ Moralzarzal, 86"/>
    <s v="Madrid"/>
    <s v="28034"/>
    <s v="Spain"/>
    <s v="Freyre"/>
    <s v="Diego"/>
    <s v="Medium"/>
    <x v="1197"/>
  </r>
  <r>
    <n v="10279"/>
    <n v="48"/>
    <n v="116.27"/>
    <n v="2"/>
    <n v="5580.96"/>
    <d v="2019-08-09T00:00:00"/>
    <s v="Shipped"/>
    <s v="Classic Cars"/>
    <n v="117"/>
    <s v="S24_2887"/>
    <x v="4"/>
    <s v="(91) 555 94 44"/>
    <s v="C/ Moralzarzal, 86"/>
    <s v="Madrid"/>
    <s v="28034"/>
    <s v="Spain"/>
    <s v="Freyre"/>
    <s v="Diego"/>
    <s v="Medium"/>
    <x v="1198"/>
  </r>
  <r>
    <n v="10279"/>
    <n v="33"/>
    <n v="71.06"/>
    <n v="4"/>
    <n v="2344.98"/>
    <d v="2019-08-09T00:00:00"/>
    <s v="Shipped"/>
    <s v="Classic Cars"/>
    <n v="85"/>
    <s v="S24_3191"/>
    <x v="4"/>
    <s v="(91) 555 94 44"/>
    <s v="C/ Moralzarzal, 86"/>
    <s v="Madrid"/>
    <s v="28034"/>
    <s v="Spain"/>
    <s v="Freyre"/>
    <s v="Diego"/>
    <s v="Small"/>
    <x v="1199"/>
  </r>
  <r>
    <n v="10279"/>
    <n v="48"/>
    <n v="128.5"/>
    <n v="6"/>
    <n v="6168"/>
    <d v="2019-08-09T00:00:00"/>
    <s v="Shipped"/>
    <s v="Classic Cars"/>
    <n v="107"/>
    <s v="S24_3432"/>
    <x v="4"/>
    <s v="(91) 555 94 44"/>
    <s v="C/ Moralzarzal, 86"/>
    <s v="Madrid"/>
    <s v="28034"/>
    <s v="Spain"/>
    <s v="Freyre"/>
    <s v="Diego"/>
    <s v="Medium"/>
    <x v="1200"/>
  </r>
  <r>
    <n v="10280"/>
    <n v="34"/>
    <n v="235.73"/>
    <n v="2"/>
    <n v="8014.82"/>
    <d v="2019-08-17T00:00:00"/>
    <s v="Shipped"/>
    <s v="Classic Cars"/>
    <n v="214"/>
    <s v="S10_1949"/>
    <x v="86"/>
    <s v="011-4988555"/>
    <s v="Via Monte Bianco 34"/>
    <s v="Torino"/>
    <s v="10100"/>
    <s v="Italy"/>
    <s v="Accorti"/>
    <s v="Paolo"/>
    <s v="Large"/>
    <x v="1201"/>
  </r>
  <r>
    <n v="10280"/>
    <n v="24"/>
    <n v="116.67"/>
    <n v="1"/>
    <n v="2800.08"/>
    <d v="2019-08-17T00:00:00"/>
    <s v="Shipped"/>
    <s v="Trucks and Buses"/>
    <n v="116"/>
    <s v="S18_1097"/>
    <x v="86"/>
    <s v="011-4988555"/>
    <s v="Via Monte Bianco 34"/>
    <s v="Torino"/>
    <s v="10100"/>
    <s v="Italy"/>
    <s v="Accorti"/>
    <s v="Paolo"/>
    <s v="Small"/>
    <x v="314"/>
  </r>
  <r>
    <n v="10280"/>
    <n v="50"/>
    <n v="104.79"/>
    <n v="9"/>
    <n v="5239.5"/>
    <d v="2019-08-17T00:00:00"/>
    <s v="Shipped"/>
    <s v="Vintage Cars"/>
    <n v="102"/>
    <s v="S18_1342"/>
    <x v="86"/>
    <s v="011-4988555"/>
    <s v="Via Monte Bianco 34"/>
    <s v="Torino"/>
    <s v="10100"/>
    <s v="Italy"/>
    <s v="Accorti"/>
    <s v="Paolo"/>
    <s v="Medium"/>
    <x v="1202"/>
  </r>
  <r>
    <n v="10280"/>
    <n v="27"/>
    <n v="57.68"/>
    <n v="8"/>
    <n v="1557.36"/>
    <d v="2019-08-17T00:00:00"/>
    <s v="Shipped"/>
    <s v="Vintage Cars"/>
    <n v="53"/>
    <s v="S18_1367"/>
    <x v="86"/>
    <s v="011-4988555"/>
    <s v="Via Monte Bianco 34"/>
    <s v="Torino"/>
    <s v="10100"/>
    <s v="Italy"/>
    <s v="Accorti"/>
    <s v="Paolo"/>
    <s v="Small"/>
    <x v="584"/>
  </r>
  <r>
    <n v="10280"/>
    <n v="26"/>
    <n v="141.1"/>
    <n v="16"/>
    <n v="3668.6"/>
    <d v="2019-08-17T00:00:00"/>
    <s v="Shipped"/>
    <s v="Vintage Cars"/>
    <n v="170"/>
    <s v="S18_1749"/>
    <x v="86"/>
    <s v="011-4988555"/>
    <s v="Via Monte Bianco 34"/>
    <s v="Torino"/>
    <s v="10100"/>
    <s v="Italy"/>
    <s v="Accorti"/>
    <s v="Paolo"/>
    <s v="Medium"/>
    <x v="286"/>
  </r>
  <r>
    <n v="10280"/>
    <n v="25"/>
    <n v="62.96"/>
    <n v="15"/>
    <n v="1574"/>
    <d v="2019-08-17T00:00:00"/>
    <s v="Shipped"/>
    <s v="Vintage Cars"/>
    <n v="60"/>
    <s v="S18_2248"/>
    <x v="86"/>
    <s v="011-4988555"/>
    <s v="Via Monte Bianco 34"/>
    <s v="Torino"/>
    <s v="10100"/>
    <s v="Italy"/>
    <s v="Accorti"/>
    <s v="Paolo"/>
    <s v="Small"/>
    <x v="138"/>
  </r>
  <r>
    <n v="10280"/>
    <n v="37"/>
    <n v="128.4"/>
    <n v="13"/>
    <n v="4750.8"/>
    <d v="2019-08-17T00:00:00"/>
    <s v="Shipped"/>
    <s v="Vintage Cars"/>
    <n v="127"/>
    <s v="S18_2325"/>
    <x v="86"/>
    <s v="011-4988555"/>
    <s v="Via Monte Bianco 34"/>
    <s v="Torino"/>
    <s v="10100"/>
    <s v="Italy"/>
    <s v="Accorti"/>
    <s v="Paolo"/>
    <s v="Medium"/>
    <x v="118"/>
  </r>
  <r>
    <n v="10280"/>
    <n v="22"/>
    <n v="202.5"/>
    <n v="10"/>
    <n v="4455"/>
    <d v="2019-08-17T00:00:00"/>
    <s v="Shipped"/>
    <s v="Vintage Cars"/>
    <n v="168"/>
    <s v="S18_2795"/>
    <x v="86"/>
    <s v="011-4988555"/>
    <s v="Via Monte Bianco 34"/>
    <s v="Torino"/>
    <s v="10100"/>
    <s v="Italy"/>
    <s v="Accorti"/>
    <s v="Paolo"/>
    <s v="Medium"/>
    <x v="1164"/>
  </r>
  <r>
    <n v="10280"/>
    <n v="46"/>
    <n v="111.44"/>
    <n v="3"/>
    <n v="5126.24"/>
    <d v="2019-08-17T00:00:00"/>
    <s v="Shipped"/>
    <s v="Vintage Cars"/>
    <n v="101"/>
    <s v="S18_2949"/>
    <x v="86"/>
    <s v="011-4988555"/>
    <s v="Via Monte Bianco 34"/>
    <s v="Torino"/>
    <s v="10100"/>
    <s v="Italy"/>
    <s v="Accorti"/>
    <s v="Paolo"/>
    <s v="Medium"/>
    <x v="1203"/>
  </r>
  <r>
    <n v="10280"/>
    <n v="43"/>
    <n v="68.709999999999994"/>
    <n v="5"/>
    <n v="2954.53"/>
    <d v="2019-08-17T00:00:00"/>
    <s v="Shipped"/>
    <s v="Vintage Cars"/>
    <n v="62"/>
    <s v="S18_2957"/>
    <x v="86"/>
    <s v="011-4988555"/>
    <s v="Via Monte Bianco 34"/>
    <s v="Torino"/>
    <s v="10100"/>
    <s v="Italy"/>
    <s v="Accorti"/>
    <s v="Paolo"/>
    <s v="Small"/>
    <x v="1204"/>
  </r>
  <r>
    <n v="10280"/>
    <n v="29"/>
    <n v="103.67"/>
    <n v="4"/>
    <n v="3006.43"/>
    <d v="2019-08-17T00:00:00"/>
    <s v="Shipped"/>
    <s v="Vintage Cars"/>
    <n v="104"/>
    <s v="S18_3136"/>
    <x v="86"/>
    <s v="011-4988555"/>
    <s v="Via Monte Bianco 34"/>
    <s v="Torino"/>
    <s v="10100"/>
    <s v="Italy"/>
    <s v="Accorti"/>
    <s v="Paolo"/>
    <s v="Medium"/>
    <x v="1150"/>
  </r>
  <r>
    <n v="10280"/>
    <n v="34"/>
    <n v="102.19"/>
    <n v="7"/>
    <n v="3474.46"/>
    <d v="2019-08-17T00:00:00"/>
    <s v="Shipped"/>
    <s v="Vintage Cars"/>
    <n v="99"/>
    <s v="S18_3320"/>
    <x v="86"/>
    <s v="011-4988555"/>
    <s v="Via Monte Bianco 34"/>
    <s v="Torino"/>
    <s v="10100"/>
    <s v="Italy"/>
    <s v="Accorti"/>
    <s v="Paolo"/>
    <s v="Medium"/>
    <x v="1205"/>
  </r>
  <r>
    <n v="10280"/>
    <n v="35"/>
    <n v="105.83"/>
    <n v="17"/>
    <n v="3704.05"/>
    <d v="2019-08-17T00:00:00"/>
    <s v="Shipped"/>
    <s v="Vintage Cars"/>
    <n v="92"/>
    <s v="S18_4409"/>
    <x v="86"/>
    <s v="011-4988555"/>
    <s v="Via Monte Bianco 34"/>
    <s v="Torino"/>
    <s v="10100"/>
    <s v="Italy"/>
    <s v="Accorti"/>
    <s v="Paolo"/>
    <s v="Medium"/>
    <x v="686"/>
  </r>
  <r>
    <n v="10280"/>
    <n v="20"/>
    <n v="28.88"/>
    <n v="12"/>
    <n v="577.6"/>
    <d v="2019-08-17T00:00:00"/>
    <s v="Shipped"/>
    <s v="Vintage Cars"/>
    <n v="33"/>
    <s v="S24_1937"/>
    <x v="86"/>
    <s v="011-4988555"/>
    <s v="Via Monte Bianco 34"/>
    <s v="Torino"/>
    <s v="10100"/>
    <s v="Italy"/>
    <s v="Accorti"/>
    <s v="Paolo"/>
    <s v="Small"/>
    <x v="506"/>
  </r>
  <r>
    <n v="10280"/>
    <n v="45"/>
    <n v="47.49"/>
    <n v="11"/>
    <n v="2137.0500000000002"/>
    <d v="2019-08-17T00:00:00"/>
    <s v="Shipped"/>
    <s v="Vintage Cars"/>
    <n v="44"/>
    <s v="S24_2022"/>
    <x v="86"/>
    <s v="011-4988555"/>
    <s v="Via Monte Bianco 34"/>
    <s v="Torino"/>
    <s v="10100"/>
    <s v="Italy"/>
    <s v="Accorti"/>
    <s v="Paolo"/>
    <s v="Small"/>
    <x v="1109"/>
  </r>
  <r>
    <n v="10280"/>
    <n v="33"/>
    <n v="41.85"/>
    <n v="14"/>
    <n v="1381.05"/>
    <d v="2019-08-17T00:00:00"/>
    <s v="Shipped"/>
    <s v="Vintage Cars"/>
    <n v="41"/>
    <s v="S24_3969"/>
    <x v="86"/>
    <s v="011-4988555"/>
    <s v="Via Monte Bianco 34"/>
    <s v="Torino"/>
    <s v="10100"/>
    <s v="Italy"/>
    <s v="Accorti"/>
    <s v="Paolo"/>
    <s v="Small"/>
    <x v="1167"/>
  </r>
  <r>
    <n v="10280"/>
    <n v="21"/>
    <n v="78.89"/>
    <n v="6"/>
    <n v="1656.69"/>
    <d v="2019-08-17T00:00:00"/>
    <s v="Shipped"/>
    <s v="Vintage Cars"/>
    <n v="97"/>
    <s v="S24_4258"/>
    <x v="86"/>
    <s v="011-4988555"/>
    <s v="Via Monte Bianco 34"/>
    <s v="Torino"/>
    <s v="10100"/>
    <s v="Italy"/>
    <s v="Accorti"/>
    <s v="Paolo"/>
    <s v="Small"/>
    <x v="909"/>
  </r>
  <r>
    <n v="10281"/>
    <n v="44"/>
    <n v="159.56"/>
    <n v="9"/>
    <n v="7020.64"/>
    <d v="2019-08-19T00:00:00"/>
    <s v="Shipped"/>
    <s v="Classic Cars"/>
    <n v="147"/>
    <s v="S10_4962"/>
    <x v="83"/>
    <s v="2155551555"/>
    <s v="7586 Pompton St."/>
    <s v="Allentown"/>
    <s v="70267"/>
    <s v="USA"/>
    <s v="Yu"/>
    <s v="Kyung"/>
    <s v="Large"/>
    <x v="1206"/>
  </r>
  <r>
    <n v="10281"/>
    <n v="25"/>
    <n v="117.54"/>
    <n v="13"/>
    <n v="2938.5"/>
    <d v="2019-08-19T00:00:00"/>
    <s v="Shipped"/>
    <s v="Trucks and Buses"/>
    <n v="136"/>
    <s v="S12_1666"/>
    <x v="83"/>
    <s v="2155551555"/>
    <s v="7586 Pompton St."/>
    <s v="Allentown"/>
    <s v="70267"/>
    <s v="USA"/>
    <s v="Yu"/>
    <s v="Kyung"/>
    <s v="Small"/>
    <x v="1207"/>
  </r>
  <r>
    <n v="10281"/>
    <n v="41"/>
    <n v="127.98"/>
    <n v="1"/>
    <n v="5247.18"/>
    <d v="2019-08-19T00:00:00"/>
    <s v="Shipped"/>
    <s v="Trucks and Buses"/>
    <n v="118"/>
    <s v="S12_4473"/>
    <x v="83"/>
    <s v="2155551555"/>
    <s v="7586 Pompton St."/>
    <s v="Allentown"/>
    <s v="70267"/>
    <s v="USA"/>
    <s v="Yu"/>
    <s v="Kyung"/>
    <s v="Medium"/>
    <x v="1208"/>
  </r>
  <r>
    <n v="10281"/>
    <n v="48"/>
    <n v="120.28"/>
    <n v="4"/>
    <n v="5773.44"/>
    <d v="2019-08-19T00:00:00"/>
    <s v="Shipped"/>
    <s v="Trucks and Buses"/>
    <n v="122"/>
    <s v="S18_2319"/>
    <x v="83"/>
    <s v="2155551555"/>
    <s v="7586 Pompton St."/>
    <s v="Allentown"/>
    <s v="70267"/>
    <s v="USA"/>
    <s v="Yu"/>
    <s v="Kyung"/>
    <s v="Medium"/>
    <x v="671"/>
  </r>
  <r>
    <n v="10281"/>
    <n v="29"/>
    <n v="57.73"/>
    <n v="7"/>
    <n v="1674.17"/>
    <d v="2019-08-19T00:00:00"/>
    <s v="Shipped"/>
    <s v="Trucks and Buses"/>
    <n v="60"/>
    <s v="S18_2432"/>
    <x v="83"/>
    <s v="2155551555"/>
    <s v="7586 Pompton St."/>
    <s v="Allentown"/>
    <s v="70267"/>
    <s v="USA"/>
    <s v="Yu"/>
    <s v="Kyung"/>
    <s v="Small"/>
    <x v="1209"/>
  </r>
  <r>
    <n v="10281"/>
    <n v="25"/>
    <n v="167.65"/>
    <n v="5"/>
    <n v="4191.25"/>
    <d v="2019-08-19T00:00:00"/>
    <s v="Shipped"/>
    <s v="Classic Cars"/>
    <n v="169"/>
    <s v="S18_3232"/>
    <x v="83"/>
    <s v="2155551555"/>
    <s v="7586 Pompton St."/>
    <s v="Allentown"/>
    <s v="70267"/>
    <s v="USA"/>
    <s v="Yu"/>
    <s v="Kyung"/>
    <s v="Medium"/>
    <x v="1074"/>
  </r>
  <r>
    <n v="10281"/>
    <n v="25"/>
    <n v="99.29"/>
    <n v="10"/>
    <n v="2482.25"/>
    <d v="2019-08-19T00:00:00"/>
    <s v="Shipped"/>
    <s v="Trucks and Buses"/>
    <n v="121"/>
    <s v="S18_4600"/>
    <x v="83"/>
    <s v="2155551555"/>
    <s v="7586 Pompton St."/>
    <s v="Allentown"/>
    <s v="70267"/>
    <s v="USA"/>
    <s v="Yu"/>
    <s v="Kyung"/>
    <s v="Small"/>
    <x v="1044"/>
  </r>
  <r>
    <n v="10281"/>
    <n v="44"/>
    <n v="59.87"/>
    <n v="14"/>
    <n v="2634.28"/>
    <d v="2019-08-19T00:00:00"/>
    <s v="Shipped"/>
    <s v="Vintage Cars"/>
    <n v="50"/>
    <s v="S18_4668"/>
    <x v="83"/>
    <s v="2155551555"/>
    <s v="7586 Pompton St."/>
    <s v="Allentown"/>
    <s v="70267"/>
    <s v="USA"/>
    <s v="Yu"/>
    <s v="Kyung"/>
    <s v="Small"/>
    <x v="688"/>
  </r>
  <r>
    <n v="10281"/>
    <n v="25"/>
    <n v="111.18"/>
    <n v="6"/>
    <n v="2779.5"/>
    <d v="2019-08-19T00:00:00"/>
    <s v="Shipped"/>
    <s v="Trucks and Buses"/>
    <n v="127"/>
    <s v="S24_2300"/>
    <x v="83"/>
    <s v="2155551555"/>
    <s v="7586 Pompton St."/>
    <s v="Allentown"/>
    <s v="70267"/>
    <s v="USA"/>
    <s v="Yu"/>
    <s v="Kyung"/>
    <s v="Small"/>
    <x v="266"/>
  </r>
  <r>
    <n v="10281"/>
    <n v="20"/>
    <n v="40.659999999999997"/>
    <n v="2"/>
    <n v="813.2"/>
    <d v="2019-08-19T00:00:00"/>
    <s v="Shipped"/>
    <s v="Classic Cars"/>
    <n v="35"/>
    <s v="S24_2840"/>
    <x v="83"/>
    <s v="2155551555"/>
    <s v="7586 Pompton St."/>
    <s v="Allentown"/>
    <s v="70267"/>
    <s v="USA"/>
    <s v="Yu"/>
    <s v="Kyung"/>
    <s v="Small"/>
    <x v="462"/>
  </r>
  <r>
    <n v="10281"/>
    <n v="29"/>
    <n v="82.83"/>
    <n v="8"/>
    <n v="2402.0700000000002"/>
    <d v="2019-08-19T00:00:00"/>
    <s v="Shipped"/>
    <s v="Trucks and Buses"/>
    <n v="96"/>
    <s v="S32_1268"/>
    <x v="83"/>
    <s v="2155551555"/>
    <s v="7586 Pompton St."/>
    <s v="Allentown"/>
    <s v="70267"/>
    <s v="USA"/>
    <s v="Yu"/>
    <s v="Kyung"/>
    <s v="Small"/>
    <x v="664"/>
  </r>
  <r>
    <n v="10281"/>
    <n v="31"/>
    <n v="55.19"/>
    <n v="3"/>
    <n v="1710.89"/>
    <d v="2019-08-19T00:00:00"/>
    <s v="Shipped"/>
    <s v="Trucks and Buses"/>
    <n v="54"/>
    <s v="S32_2509"/>
    <x v="83"/>
    <s v="2155551555"/>
    <s v="7586 Pompton St."/>
    <s v="Allentown"/>
    <s v="70267"/>
    <s v="USA"/>
    <s v="Yu"/>
    <s v="Kyung"/>
    <s v="Small"/>
    <x v="216"/>
  </r>
  <r>
    <n v="10281"/>
    <n v="36"/>
    <n v="77.569999999999993"/>
    <n v="12"/>
    <n v="2792.52"/>
    <d v="2019-08-19T00:00:00"/>
    <s v="Shipped"/>
    <s v="Trucks and Buses"/>
    <n v="64"/>
    <s v="S32_3522"/>
    <x v="83"/>
    <s v="2155551555"/>
    <s v="7586 Pompton St."/>
    <s v="Allentown"/>
    <s v="70267"/>
    <s v="USA"/>
    <s v="Yu"/>
    <s v="Kyung"/>
    <s v="Small"/>
    <x v="1210"/>
  </r>
  <r>
    <n v="10281"/>
    <n v="27"/>
    <n v="85.98"/>
    <n v="11"/>
    <n v="2321.46"/>
    <d v="2019-08-19T00:00:00"/>
    <s v="Shipped"/>
    <s v="Classic Cars"/>
    <n v="101"/>
    <s v="S700_2824"/>
    <x v="83"/>
    <s v="2155551555"/>
    <s v="7586 Pompton St."/>
    <s v="Allentown"/>
    <s v="70267"/>
    <s v="USA"/>
    <s v="Yu"/>
    <s v="Kyung"/>
    <s v="Small"/>
    <x v="1101"/>
  </r>
  <r>
    <n v="10283"/>
    <n v="25"/>
    <n v="119.68"/>
    <n v="6"/>
    <n v="2992"/>
    <d v="2019-08-20T00:00:00"/>
    <s v="Shipped"/>
    <s v="Classic Cars"/>
    <n v="136"/>
    <s v="S10_4757"/>
    <x v="77"/>
    <s v="(604) 555-4555"/>
    <s v="23 Tsawassen Blvd."/>
    <s v="Tsawassen"/>
    <s v="T2F 8M4"/>
    <s v="Canada"/>
    <s v="Lincoln"/>
    <s v="Elizabeth"/>
    <s v="Small"/>
    <x v="1211"/>
  </r>
  <r>
    <n v="10282"/>
    <n v="41"/>
    <n v="172.47"/>
    <n v="5"/>
    <n v="7071.27"/>
    <d v="2019-08-20T00:00:00"/>
    <s v="Shipped"/>
    <s v="Classic Cars"/>
    <n v="207"/>
    <s v="S12_1108"/>
    <x v="12"/>
    <s v="4155551450"/>
    <s v="5677 Strong St."/>
    <s v="San Rafael"/>
    <s v="97562"/>
    <s v="USA"/>
    <s v="Nelson"/>
    <s v="Valarie"/>
    <s v="Large"/>
    <x v="1212"/>
  </r>
  <r>
    <n v="10282"/>
    <n v="27"/>
    <n v="161.66"/>
    <n v="6"/>
    <n v="4364.82"/>
    <d v="2019-08-20T00:00:00"/>
    <s v="Shipped"/>
    <s v="Classic Cars"/>
    <n v="151"/>
    <s v="S12_3148"/>
    <x v="12"/>
    <s v="4155551450"/>
    <s v="5677 Strong St."/>
    <s v="San Rafael"/>
    <s v="97562"/>
    <s v="USA"/>
    <s v="Nelson"/>
    <s v="Valarie"/>
    <s v="Medium"/>
    <x v="1213"/>
  </r>
  <r>
    <n v="10282"/>
    <n v="24"/>
    <n v="157.44999999999999"/>
    <n v="4"/>
    <n v="3778.8"/>
    <d v="2019-08-20T00:00:00"/>
    <s v="Shipped"/>
    <s v="Classic Cars"/>
    <n v="173"/>
    <s v="S12_3891"/>
    <x v="12"/>
    <s v="4155551450"/>
    <s v="5677 Strong St."/>
    <s v="San Rafael"/>
    <s v="97562"/>
    <s v="USA"/>
    <s v="Nelson"/>
    <s v="Valarie"/>
    <s v="Medium"/>
    <x v="1214"/>
  </r>
  <r>
    <n v="10282"/>
    <n v="23"/>
    <n v="140.81"/>
    <n v="13"/>
    <n v="3238.63"/>
    <d v="2019-08-20T00:00:00"/>
    <s v="Shipped"/>
    <s v="Classic Cars"/>
    <n v="163"/>
    <s v="S18_2238"/>
    <x v="12"/>
    <s v="4155551450"/>
    <s v="5677 Strong St."/>
    <s v="San Rafael"/>
    <s v="97562"/>
    <s v="USA"/>
    <s v="Nelson"/>
    <s v="Valarie"/>
    <s v="Medium"/>
    <x v="1215"/>
  </r>
  <r>
    <n v="10283"/>
    <n v="21"/>
    <n v="98.06"/>
    <n v="4"/>
    <n v="2059.2600000000002"/>
    <d v="2019-08-20T00:00:00"/>
    <s v="Shipped"/>
    <s v="Ships"/>
    <n v="86"/>
    <s v="S18_3029"/>
    <x v="77"/>
    <s v="(604) 555-4555"/>
    <s v="23 Tsawassen Blvd."/>
    <s v="Tsawassen"/>
    <s v="T2F 8M4"/>
    <s v="Canada"/>
    <s v="Lincoln"/>
    <s v="Elizabeth"/>
    <s v="Small"/>
    <x v="1216"/>
  </r>
  <r>
    <n v="10282"/>
    <n v="43"/>
    <n v="155.71"/>
    <n v="1"/>
    <n v="6695.53"/>
    <d v="2019-08-20T00:00:00"/>
    <s v="Shipped"/>
    <s v="Vintage Cars"/>
    <n v="136"/>
    <s v="S18_3140"/>
    <x v="12"/>
    <s v="4155551450"/>
    <s v="5677 Strong St."/>
    <s v="San Rafael"/>
    <s v="97562"/>
    <s v="USA"/>
    <s v="Nelson"/>
    <s v="Valarie"/>
    <s v="Medium"/>
    <x v="1217"/>
  </r>
  <r>
    <n v="10282"/>
    <n v="36"/>
    <n v="115.97"/>
    <n v="3"/>
    <n v="4174.92"/>
    <d v="2019-08-20T00:00:00"/>
    <s v="Shipped"/>
    <s v="Trains"/>
    <n v="100"/>
    <s v="S18_3259"/>
    <x v="12"/>
    <s v="4155551450"/>
    <s v="5677 Strong St."/>
    <s v="San Rafael"/>
    <s v="97562"/>
    <s v="USA"/>
    <s v="Nelson"/>
    <s v="Valarie"/>
    <s v="Medium"/>
    <x v="1218"/>
  </r>
  <r>
    <n v="10283"/>
    <n v="46"/>
    <n v="125.99"/>
    <n v="3"/>
    <n v="5795.54"/>
    <d v="2019-08-20T00:00:00"/>
    <s v="Shipped"/>
    <s v="Vintage Cars"/>
    <n v="105"/>
    <s v="S18_3856"/>
    <x v="77"/>
    <s v="(604) 555-4555"/>
    <s v="23 Tsawassen Blvd."/>
    <s v="Tsawassen"/>
    <s v="T2F 8M4"/>
    <s v="Canada"/>
    <s v="Lincoln"/>
    <s v="Elizabeth"/>
    <s v="Medium"/>
    <x v="1219"/>
  </r>
  <r>
    <n v="10282"/>
    <n v="31"/>
    <n v="150.80000000000001"/>
    <n v="8"/>
    <n v="4674.8"/>
    <d v="2019-08-20T00:00:00"/>
    <s v="Shipped"/>
    <s v="Classic Cars"/>
    <n v="143"/>
    <s v="S18_4027"/>
    <x v="12"/>
    <s v="4155551450"/>
    <s v="5677 Strong St."/>
    <s v="San Rafael"/>
    <s v="97562"/>
    <s v="USA"/>
    <s v="Nelson"/>
    <s v="Valarie"/>
    <s v="Medium"/>
    <x v="1220"/>
  </r>
  <r>
    <n v="10283"/>
    <n v="34"/>
    <n v="105.32"/>
    <n v="14"/>
    <n v="3580.88"/>
    <d v="2019-08-20T00:00:00"/>
    <s v="Shipped"/>
    <s v="Vintage Cars"/>
    <n v="87"/>
    <s v="S18_4522"/>
    <x v="77"/>
    <s v="(604) 555-4555"/>
    <s v="23 Tsawassen Blvd."/>
    <s v="Tsawassen"/>
    <s v="T2F 8M4"/>
    <s v="Canada"/>
    <s v="Lincoln"/>
    <s v="Elizabeth"/>
    <s v="Medium"/>
    <x v="209"/>
  </r>
  <r>
    <n v="10282"/>
    <n v="29"/>
    <n v="46.82"/>
    <n v="11"/>
    <n v="1357.78"/>
    <d v="2019-08-20T00:00:00"/>
    <s v="Shipped"/>
    <s v="Classic Cars"/>
    <n v="57"/>
    <s v="S24_1444"/>
    <x v="12"/>
    <s v="4155551450"/>
    <s v="5677 Strong St."/>
    <s v="San Rafael"/>
    <s v="97562"/>
    <s v="USA"/>
    <s v="Nelson"/>
    <s v="Valarie"/>
    <s v="Small"/>
    <x v="1221"/>
  </r>
  <r>
    <n v="10283"/>
    <n v="42"/>
    <n v="126.58"/>
    <n v="13"/>
    <n v="5316.36"/>
    <d v="2019-08-20T00:00:00"/>
    <s v="Shipped"/>
    <s v="Ships"/>
    <n v="122"/>
    <s v="S24_2011"/>
    <x v="77"/>
    <s v="(604) 555-4555"/>
    <s v="23 Tsawassen Blvd."/>
    <s v="Tsawassen"/>
    <s v="T2F 8M4"/>
    <s v="Canada"/>
    <s v="Lincoln"/>
    <s v="Elizabeth"/>
    <s v="Medium"/>
    <x v="461"/>
  </r>
  <r>
    <n v="10283"/>
    <n v="34"/>
    <n v="92.94"/>
    <n v="8"/>
    <n v="3159.96"/>
    <d v="2019-08-20T00:00:00"/>
    <s v="Shipped"/>
    <s v="Vintage Cars"/>
    <n v="88"/>
    <s v="S24_3151"/>
    <x v="77"/>
    <s v="(604) 555-4555"/>
    <s v="23 Tsawassen Blvd."/>
    <s v="Tsawassen"/>
    <s v="T2F 8M4"/>
    <s v="Canada"/>
    <s v="Lincoln"/>
    <s v="Elizabeth"/>
    <s v="Medium"/>
    <x v="326"/>
  </r>
  <r>
    <n v="10283"/>
    <n v="33"/>
    <n v="72.959999999999994"/>
    <n v="5"/>
    <n v="2407.6799999999998"/>
    <d v="2019-08-20T00:00:00"/>
    <s v="Shipped"/>
    <s v="Vintage Cars"/>
    <n v="83"/>
    <s v="S24_3816"/>
    <x v="77"/>
    <s v="(604) 555-4555"/>
    <s v="23 Tsawassen Blvd."/>
    <s v="Tsawassen"/>
    <s v="T2F 8M4"/>
    <s v="Canada"/>
    <s v="Lincoln"/>
    <s v="Elizabeth"/>
    <s v="Small"/>
    <x v="169"/>
  </r>
  <r>
    <n v="10282"/>
    <n v="39"/>
    <n v="123.01"/>
    <n v="10"/>
    <n v="4797.3900000000003"/>
    <d v="2019-08-20T00:00:00"/>
    <s v="Shipped"/>
    <s v="Classic Cars"/>
    <n v="118"/>
    <s v="S24_4048"/>
    <x v="12"/>
    <s v="4155551450"/>
    <s v="5677 Strong St."/>
    <s v="San Rafael"/>
    <s v="97562"/>
    <s v="USA"/>
    <s v="Nelson"/>
    <s v="Valarie"/>
    <s v="Medium"/>
    <x v="1222"/>
  </r>
  <r>
    <n v="10282"/>
    <n v="36"/>
    <n v="59.65"/>
    <n v="9"/>
    <n v="2147.4"/>
    <d v="2019-08-20T00:00:00"/>
    <s v="Shipped"/>
    <s v="Trains"/>
    <n v="62"/>
    <s v="S32_3207"/>
    <x v="12"/>
    <s v="4155551450"/>
    <s v="5677 Strong St."/>
    <s v="San Rafael"/>
    <s v="97562"/>
    <s v="USA"/>
    <s v="Nelson"/>
    <s v="Valarie"/>
    <s v="Small"/>
    <x v="1223"/>
  </r>
  <r>
    <n v="10282"/>
    <n v="38"/>
    <n v="113.44"/>
    <n v="12"/>
    <n v="4310.72"/>
    <d v="2019-08-20T00:00:00"/>
    <s v="Shipped"/>
    <s v="Trucks and Buses"/>
    <n v="115"/>
    <s v="S50_1392"/>
    <x v="12"/>
    <s v="4155551450"/>
    <s v="5677 Strong St."/>
    <s v="San Rafael"/>
    <s v="97562"/>
    <s v="USA"/>
    <s v="Nelson"/>
    <s v="Valarie"/>
    <s v="Medium"/>
    <x v="1224"/>
  </r>
  <r>
    <n v="10282"/>
    <n v="37"/>
    <n v="66.78"/>
    <n v="7"/>
    <n v="2470.86"/>
    <d v="2019-08-20T00:00:00"/>
    <s v="Shipped"/>
    <s v="Trains"/>
    <n v="58"/>
    <s v="S50_1514"/>
    <x v="12"/>
    <s v="4155551450"/>
    <s v="5677 Strong St."/>
    <s v="San Rafael"/>
    <s v="97562"/>
    <s v="USA"/>
    <s v="Nelson"/>
    <s v="Valarie"/>
    <s v="Small"/>
    <x v="1099"/>
  </r>
  <r>
    <n v="10283"/>
    <n v="45"/>
    <n v="78.67"/>
    <n v="9"/>
    <n v="3540.15"/>
    <d v="2019-08-20T00:00:00"/>
    <s v="Shipped"/>
    <s v="Ships"/>
    <n v="66"/>
    <s v="S700_1138"/>
    <x v="77"/>
    <s v="(604) 555-4555"/>
    <s v="23 Tsawassen Blvd."/>
    <s v="Tsawassen"/>
    <s v="T2F 8M4"/>
    <s v="Canada"/>
    <s v="Lincoln"/>
    <s v="Elizabeth"/>
    <s v="Medium"/>
    <x v="1225"/>
  </r>
  <r>
    <n v="10282"/>
    <n v="43"/>
    <n v="86.61"/>
    <n v="2"/>
    <n v="3724.23"/>
    <d v="2019-08-20T00:00:00"/>
    <s v="Shipped"/>
    <s v="Ships"/>
    <n v="86"/>
    <s v="S700_1938"/>
    <x v="12"/>
    <s v="4155551450"/>
    <s v="5677 Strong St."/>
    <s v="San Rafael"/>
    <s v="97562"/>
    <s v="USA"/>
    <s v="Nelson"/>
    <s v="Valarie"/>
    <s v="Medium"/>
    <x v="1172"/>
  </r>
  <r>
    <n v="10283"/>
    <n v="20"/>
    <n v="94.14"/>
    <n v="2"/>
    <n v="1882.8"/>
    <d v="2019-08-20T00:00:00"/>
    <s v="Shipped"/>
    <s v="Ships"/>
    <n v="90"/>
    <s v="S700_2047"/>
    <x v="77"/>
    <s v="(604) 555-4555"/>
    <s v="23 Tsawassen Blvd."/>
    <s v="Tsawassen"/>
    <s v="T2F 8M4"/>
    <s v="Canada"/>
    <s v="Lincoln"/>
    <s v="Elizabeth"/>
    <s v="Small"/>
    <x v="601"/>
  </r>
  <r>
    <n v="10283"/>
    <n v="47"/>
    <n v="65.77"/>
    <n v="7"/>
    <n v="3091.19"/>
    <d v="2019-08-20T00:00:00"/>
    <s v="Shipped"/>
    <s v="Ships"/>
    <n v="72"/>
    <s v="S700_2610"/>
    <x v="77"/>
    <s v="(604) 555-4555"/>
    <s v="23 Tsawassen Blvd."/>
    <s v="Tsawassen"/>
    <s v="T2F 8M4"/>
    <s v="Canada"/>
    <s v="Lincoln"/>
    <s v="Elizabeth"/>
    <s v="Medium"/>
    <x v="233"/>
  </r>
  <r>
    <n v="10283"/>
    <n v="22"/>
    <n v="88.15"/>
    <n v="10"/>
    <n v="1939.3"/>
    <d v="2019-08-20T00:00:00"/>
    <s v="Shipped"/>
    <s v="Ships"/>
    <n v="100"/>
    <s v="S700_3505"/>
    <x v="77"/>
    <s v="(604) 555-4555"/>
    <s v="23 Tsawassen Blvd."/>
    <s v="Tsawassen"/>
    <s v="T2F 8M4"/>
    <s v="Canada"/>
    <s v="Lincoln"/>
    <s v="Elizabeth"/>
    <s v="Small"/>
    <x v="1226"/>
  </r>
  <r>
    <n v="10283"/>
    <n v="38"/>
    <n v="89.38"/>
    <n v="11"/>
    <n v="3396.44"/>
    <d v="2019-08-20T00:00:00"/>
    <s v="Shipped"/>
    <s v="Ships"/>
    <n v="99"/>
    <s v="S700_3962"/>
    <x v="77"/>
    <s v="(604) 555-4555"/>
    <s v="23 Tsawassen Blvd."/>
    <s v="Tsawassen"/>
    <s v="T2F 8M4"/>
    <s v="Canada"/>
    <s v="Lincoln"/>
    <s v="Elizabeth"/>
    <s v="Medium"/>
    <x v="234"/>
  </r>
  <r>
    <n v="10283"/>
    <n v="43"/>
    <n v="57.61"/>
    <n v="1"/>
    <n v="2477.23"/>
    <d v="2019-08-20T00:00:00"/>
    <s v="Shipped"/>
    <s v="Planes"/>
    <n v="49"/>
    <s v="S72_1253"/>
    <x v="77"/>
    <s v="(604) 555-4555"/>
    <s v="23 Tsawassen Blvd."/>
    <s v="Tsawassen"/>
    <s v="T2F 8M4"/>
    <s v="Canada"/>
    <s v="Lincoln"/>
    <s v="Elizabeth"/>
    <s v="Small"/>
    <x v="1227"/>
  </r>
  <r>
    <n v="10283"/>
    <n v="33"/>
    <n v="51.32"/>
    <n v="12"/>
    <n v="1693.56"/>
    <d v="2019-08-20T00:00:00"/>
    <s v="Shipped"/>
    <s v="Ships"/>
    <n v="54"/>
    <s v="S72_3212"/>
    <x v="77"/>
    <s v="(604) 555-4555"/>
    <s v="23 Tsawassen Blvd."/>
    <s v="Tsawassen"/>
    <s v="T2F 8M4"/>
    <s v="Canada"/>
    <s v="Lincoln"/>
    <s v="Elizabeth"/>
    <s v="Small"/>
    <x v="1228"/>
  </r>
  <r>
    <n v="10284"/>
    <n v="45"/>
    <n v="127.73"/>
    <n v="11"/>
    <n v="5747.85"/>
    <d v="2019-08-21T00:00:00"/>
    <s v="Shipped"/>
    <s v="Planes"/>
    <n v="157"/>
    <s v="S18_1662"/>
    <x v="42"/>
    <s v="+47 2212 1555"/>
    <s v="Drammensveien 126 A, PB 744 Sentrum"/>
    <s v="Oslo"/>
    <s v="N 0106"/>
    <s v="Norway"/>
    <s v="Klaeboe"/>
    <s v="Jan"/>
    <s v="Medium"/>
    <x v="116"/>
  </r>
  <r>
    <n v="10284"/>
    <n v="31"/>
    <n v="71.81"/>
    <n v="1"/>
    <n v="2226.11"/>
    <d v="2019-08-21T00:00:00"/>
    <s v="Shipped"/>
    <s v="Planes"/>
    <n v="84"/>
    <s v="S18_2581"/>
    <x v="42"/>
    <s v="+47 2212 1555"/>
    <s v="Drammensveien 126 A, PB 744 Sentrum"/>
    <s v="Oslo"/>
    <s v="N 0106"/>
    <s v="Norway"/>
    <s v="Klaeboe"/>
    <s v="Jan"/>
    <s v="Small"/>
    <x v="1229"/>
  </r>
  <r>
    <n v="10284"/>
    <n v="22"/>
    <n v="105.04"/>
    <n v="3"/>
    <n v="2310.88"/>
    <d v="2019-08-21T00:00:00"/>
    <s v="Shipped"/>
    <s v="Planes"/>
    <n v="109"/>
    <s v="S24_1785"/>
    <x v="42"/>
    <s v="+47 2212 1555"/>
    <s v="Drammensveien 126 A, PB 744 Sentrum"/>
    <s v="Oslo"/>
    <s v="N 0106"/>
    <s v="Norway"/>
    <s v="Klaeboe"/>
    <s v="Jan"/>
    <s v="Small"/>
    <x v="312"/>
  </r>
  <r>
    <n v="10284"/>
    <n v="30"/>
    <n v="73.989999999999995"/>
    <n v="12"/>
    <n v="2219.6999999999998"/>
    <d v="2019-08-21T00:00:00"/>
    <s v="Shipped"/>
    <s v="Planes"/>
    <n v="68"/>
    <s v="S24_2841"/>
    <x v="42"/>
    <s v="+47 2212 1555"/>
    <s v="Drammensveien 126 A, PB 744 Sentrum"/>
    <s v="Oslo"/>
    <s v="N 0106"/>
    <s v="Norway"/>
    <s v="Klaeboe"/>
    <s v="Jan"/>
    <s v="Small"/>
    <x v="1230"/>
  </r>
  <r>
    <n v="10284"/>
    <n v="39"/>
    <n v="71.67"/>
    <n v="13"/>
    <n v="2795.13"/>
    <d v="2019-08-21T00:00:00"/>
    <s v="Shipped"/>
    <s v="Vintage Cars"/>
    <n v="65"/>
    <s v="S24_3420"/>
    <x v="42"/>
    <s v="+47 2212 1555"/>
    <s v="Drammensveien 126 A, PB 744 Sentrum"/>
    <s v="Oslo"/>
    <s v="N 0106"/>
    <s v="Norway"/>
    <s v="Klaeboe"/>
    <s v="Jan"/>
    <s v="Small"/>
    <x v="1231"/>
  </r>
  <r>
    <n v="10284"/>
    <n v="21"/>
    <n v="55.96"/>
    <n v="10"/>
    <n v="1175.1600000000001"/>
    <d v="2019-08-21T00:00:00"/>
    <s v="Shipped"/>
    <s v="Planes"/>
    <n v="68"/>
    <s v="S24_3949"/>
    <x v="42"/>
    <s v="+47 2212 1555"/>
    <s v="Drammensveien 126 A, PB 744 Sentrum"/>
    <s v="Oslo"/>
    <s v="N 0106"/>
    <s v="Norway"/>
    <s v="Klaeboe"/>
    <s v="Jan"/>
    <s v="Small"/>
    <x v="481"/>
  </r>
  <r>
    <n v="10284"/>
    <n v="21"/>
    <n v="71"/>
    <n v="2"/>
    <n v="1491"/>
    <d v="2019-08-21T00:00:00"/>
    <s v="Shipped"/>
    <s v="Planes"/>
    <n v="72"/>
    <s v="S24_4278"/>
    <x v="42"/>
    <s v="+47 2212 1555"/>
    <s v="Drammensveien 126 A, PB 744 Sentrum"/>
    <s v="Oslo"/>
    <s v="N 0106"/>
    <s v="Norway"/>
    <s v="Klaeboe"/>
    <s v="Jan"/>
    <s v="Small"/>
    <x v="1232"/>
  </r>
  <r>
    <n v="10284"/>
    <n v="50"/>
    <n v="81.86"/>
    <n v="4"/>
    <n v="4093"/>
    <d v="2019-08-21T00:00:00"/>
    <s v="Shipped"/>
    <s v="Vintage Cars"/>
    <n v="68"/>
    <s v="S32_4289"/>
    <x v="42"/>
    <s v="+47 2212 1555"/>
    <s v="Drammensveien 126 A, PB 744 Sentrum"/>
    <s v="Oslo"/>
    <s v="N 0106"/>
    <s v="Norway"/>
    <s v="Klaeboe"/>
    <s v="Jan"/>
    <s v="Medium"/>
    <x v="1233"/>
  </r>
  <r>
    <n v="10284"/>
    <n v="33"/>
    <n v="51.93"/>
    <n v="5"/>
    <n v="1713.69"/>
    <d v="2019-08-21T00:00:00"/>
    <s v="Shipped"/>
    <s v="Vintage Cars"/>
    <n v="43"/>
    <s v="S50_1341"/>
    <x v="42"/>
    <s v="+47 2212 1555"/>
    <s v="Drammensveien 126 A, PB 744 Sentrum"/>
    <s v="Oslo"/>
    <s v="N 0106"/>
    <s v="Norway"/>
    <s v="Klaeboe"/>
    <s v="Jan"/>
    <s v="Small"/>
    <x v="677"/>
  </r>
  <r>
    <n v="10284"/>
    <n v="24"/>
    <n v="83.12"/>
    <n v="6"/>
    <n v="1994.88"/>
    <d v="2019-08-21T00:00:00"/>
    <s v="Shipped"/>
    <s v="Planes"/>
    <n v="91"/>
    <s v="S700_1691"/>
    <x v="42"/>
    <s v="+47 2212 1555"/>
    <s v="Drammensveien 126 A, PB 744 Sentrum"/>
    <s v="Oslo"/>
    <s v="N 0106"/>
    <s v="Norway"/>
    <s v="Klaeboe"/>
    <s v="Jan"/>
    <s v="Small"/>
    <x v="1112"/>
  </r>
  <r>
    <n v="10284"/>
    <n v="45"/>
    <n v="101.71"/>
    <n v="8"/>
    <n v="4576.95"/>
    <d v="2019-08-21T00:00:00"/>
    <s v="Shipped"/>
    <s v="Planes"/>
    <n v="99"/>
    <s v="S700_2466"/>
    <x v="42"/>
    <s v="+47 2212 1555"/>
    <s v="Drammensveien 126 A, PB 744 Sentrum"/>
    <s v="Oslo"/>
    <s v="N 0106"/>
    <s v="Norway"/>
    <s v="Klaeboe"/>
    <s v="Jan"/>
    <s v="Medium"/>
    <x v="602"/>
  </r>
  <r>
    <n v="10284"/>
    <n v="25"/>
    <n v="69.599999999999994"/>
    <n v="7"/>
    <n v="1740"/>
    <d v="2019-08-21T00:00:00"/>
    <s v="Shipped"/>
    <s v="Planes"/>
    <n v="80"/>
    <s v="S700_3167"/>
    <x v="42"/>
    <s v="+47 2212 1555"/>
    <s v="Drammensveien 126 A, PB 744 Sentrum"/>
    <s v="Oslo"/>
    <s v="N 0106"/>
    <s v="Norway"/>
    <s v="Klaeboe"/>
    <s v="Jan"/>
    <s v="Small"/>
    <x v="1234"/>
  </r>
  <r>
    <n v="10284"/>
    <n v="32"/>
    <n v="64.41"/>
    <n v="9"/>
    <n v="2061.12"/>
    <d v="2019-08-21T00:00:00"/>
    <s v="Shipped"/>
    <s v="Planes"/>
    <n v="74"/>
    <s v="S700_4002"/>
    <x v="42"/>
    <s v="+47 2212 1555"/>
    <s v="Drammensveien 126 A, PB 744 Sentrum"/>
    <s v="Oslo"/>
    <s v="N 0106"/>
    <s v="Norway"/>
    <s v="Klaeboe"/>
    <s v="Jan"/>
    <s v="Small"/>
    <x v="1235"/>
  </r>
  <r>
    <n v="10285"/>
    <n v="36"/>
    <n v="113.88"/>
    <n v="6"/>
    <n v="4099.68"/>
    <d v="2019-08-27T00:00:00"/>
    <s v="Shipped"/>
    <s v="Motorcycles"/>
    <n v="95"/>
    <s v="S10_1678"/>
    <x v="87"/>
    <s v="6175558555"/>
    <s v="39323 Spinnaker Dr."/>
    <s v="Cambridge"/>
    <s v="51247"/>
    <s v="USA"/>
    <s v="Hernandez"/>
    <s v="Marta"/>
    <s v="Medium"/>
    <x v="1236"/>
  </r>
  <r>
    <n v="10285"/>
    <n v="47"/>
    <n v="137.97"/>
    <n v="9"/>
    <n v="6484.59"/>
    <d v="2019-08-27T00:00:00"/>
    <s v="Shipped"/>
    <s v="Motorcycles"/>
    <n v="118"/>
    <s v="S10_2016"/>
    <x v="87"/>
    <s v="6175558555"/>
    <s v="39323 Spinnaker Dr."/>
    <s v="Cambridge"/>
    <s v="51247"/>
    <s v="USA"/>
    <s v="Hernandez"/>
    <s v="Marta"/>
    <s v="Medium"/>
    <x v="1237"/>
  </r>
  <r>
    <n v="10285"/>
    <n v="27"/>
    <n v="201.41"/>
    <n v="8"/>
    <n v="5438.07"/>
    <d v="2019-08-27T00:00:00"/>
    <s v="Shipped"/>
    <s v="Motorcycles"/>
    <n v="193"/>
    <s v="S10_4698"/>
    <x v="87"/>
    <s v="6175558555"/>
    <s v="39323 Spinnaker Dr."/>
    <s v="Cambridge"/>
    <s v="51247"/>
    <s v="USA"/>
    <s v="Hernandez"/>
    <s v="Marta"/>
    <s v="Medium"/>
    <x v="1238"/>
  </r>
  <r>
    <n v="10285"/>
    <n v="49"/>
    <n v="140.08000000000001"/>
    <n v="5"/>
    <n v="6863.92"/>
    <d v="2019-08-27T00:00:00"/>
    <s v="Shipped"/>
    <s v="Motorcycles"/>
    <n v="150"/>
    <s v="S12_2823"/>
    <x v="87"/>
    <s v="6175558555"/>
    <s v="39323 Spinnaker Dr."/>
    <s v="Cambridge"/>
    <s v="51247"/>
    <s v="USA"/>
    <s v="Hernandez"/>
    <s v="Marta"/>
    <s v="Medium"/>
    <x v="1239"/>
  </r>
  <r>
    <n v="10285"/>
    <n v="20"/>
    <n v="49.06"/>
    <n v="10"/>
    <n v="981.2"/>
    <d v="2019-08-27T00:00:00"/>
    <s v="Shipped"/>
    <s v="Motorcycles"/>
    <n v="60"/>
    <s v="S18_2625"/>
    <x v="87"/>
    <s v="6175558555"/>
    <s v="39323 Spinnaker Dr."/>
    <s v="Cambridge"/>
    <s v="51247"/>
    <s v="USA"/>
    <s v="Hernandez"/>
    <s v="Marta"/>
    <s v="Small"/>
    <x v="1240"/>
  </r>
  <r>
    <n v="10285"/>
    <n v="34"/>
    <n v="109.32"/>
    <n v="7"/>
    <n v="3716.88"/>
    <d v="2019-08-27T00:00:00"/>
    <s v="Shipped"/>
    <s v="Motorcycles"/>
    <n v="112"/>
    <s v="S24_1578"/>
    <x v="87"/>
    <s v="6175558555"/>
    <s v="39323 Spinnaker Dr."/>
    <s v="Cambridge"/>
    <s v="51247"/>
    <s v="USA"/>
    <s v="Hernandez"/>
    <s v="Marta"/>
    <s v="Medium"/>
    <x v="1241"/>
  </r>
  <r>
    <n v="10285"/>
    <n v="39"/>
    <n v="70.08"/>
    <n v="11"/>
    <n v="2733.12"/>
    <d v="2019-08-27T00:00:00"/>
    <s v="Shipped"/>
    <s v="Motorcycles"/>
    <n v="76"/>
    <s v="S24_2000"/>
    <x v="87"/>
    <s v="6175558555"/>
    <s v="39323 Spinnaker Dr."/>
    <s v="Cambridge"/>
    <s v="51247"/>
    <s v="USA"/>
    <s v="Hernandez"/>
    <s v="Marta"/>
    <s v="Small"/>
    <x v="1242"/>
  </r>
  <r>
    <n v="10285"/>
    <n v="38"/>
    <n v="59.56"/>
    <n v="3"/>
    <n v="2263.2800000000002"/>
    <d v="2019-08-27T00:00:00"/>
    <s v="Shipped"/>
    <s v="Motorcycles"/>
    <n v="69"/>
    <s v="S24_2360"/>
    <x v="87"/>
    <s v="6175558555"/>
    <s v="39323 Spinnaker Dr."/>
    <s v="Cambridge"/>
    <s v="51247"/>
    <s v="USA"/>
    <s v="Hernandez"/>
    <s v="Marta"/>
    <s v="Small"/>
    <x v="1243"/>
  </r>
  <r>
    <n v="10285"/>
    <n v="37"/>
    <n v="98.89"/>
    <n v="12"/>
    <n v="3658.93"/>
    <d v="2019-08-27T00:00:00"/>
    <s v="Shipped"/>
    <s v="Motorcycles"/>
    <n v="99"/>
    <s v="S32_1374"/>
    <x v="87"/>
    <s v="6175558555"/>
    <s v="39323 Spinnaker Dr."/>
    <s v="Cambridge"/>
    <s v="51247"/>
    <s v="USA"/>
    <s v="Hernandez"/>
    <s v="Marta"/>
    <s v="Medium"/>
    <x v="1244"/>
  </r>
  <r>
    <n v="10285"/>
    <n v="37"/>
    <n v="41.03"/>
    <n v="1"/>
    <n v="1518.11"/>
    <d v="2019-08-27T00:00:00"/>
    <s v="Shipped"/>
    <s v="Motorcycles"/>
    <n v="40"/>
    <s v="S32_2206"/>
    <x v="87"/>
    <s v="6175558555"/>
    <s v="39323 Spinnaker Dr."/>
    <s v="Cambridge"/>
    <s v="51247"/>
    <s v="USA"/>
    <s v="Hernandez"/>
    <s v="Marta"/>
    <s v="Small"/>
    <x v="1245"/>
  </r>
  <r>
    <n v="10285"/>
    <n v="26"/>
    <n v="100.01"/>
    <n v="4"/>
    <n v="2600.2600000000002"/>
    <d v="2019-08-27T00:00:00"/>
    <s v="Shipped"/>
    <s v="Motorcycles"/>
    <n v="102"/>
    <s v="S32_4485"/>
    <x v="87"/>
    <s v="6175558555"/>
    <s v="39323 Spinnaker Dr."/>
    <s v="Cambridge"/>
    <s v="51247"/>
    <s v="USA"/>
    <s v="Hernandez"/>
    <s v="Marta"/>
    <s v="Small"/>
    <x v="1246"/>
  </r>
  <r>
    <n v="10285"/>
    <n v="39"/>
    <n v="78.92"/>
    <n v="2"/>
    <n v="3077.88"/>
    <d v="2019-08-27T00:00:00"/>
    <s v="Shipped"/>
    <s v="Motorcycles"/>
    <n v="81"/>
    <s v="S50_4713"/>
    <x v="87"/>
    <s v="6175558555"/>
    <s v="39323 Spinnaker Dr."/>
    <s v="Cambridge"/>
    <s v="51247"/>
    <s v="USA"/>
    <s v="Hernandez"/>
    <s v="Marta"/>
    <s v="Medium"/>
    <x v="1247"/>
  </r>
  <r>
    <n v="10285"/>
    <n v="45"/>
    <n v="119.84"/>
    <n v="13"/>
    <n v="5392.8"/>
    <d v="2019-08-27T00:00:00"/>
    <s v="Shipped"/>
    <s v="Planes"/>
    <n v="118"/>
    <s v="S700_2834"/>
    <x v="87"/>
    <s v="6175558555"/>
    <s v="39323 Spinnaker Dr."/>
    <s v="Cambridge"/>
    <s v="51247"/>
    <s v="USA"/>
    <s v="Hernandez"/>
    <s v="Marta"/>
    <s v="Medium"/>
    <x v="1248"/>
  </r>
  <r>
    <n v="10286"/>
    <n v="38"/>
    <n v="57.2"/>
    <n v="1"/>
    <n v="2173.6"/>
    <d v="2019-08-28T00:00:00"/>
    <s v="Shipped"/>
    <s v="Motorcycles"/>
    <n v="62"/>
    <s v="S18_3782"/>
    <x v="13"/>
    <s v="(1) 42.34.2555"/>
    <s v="265, boulevard Charonne"/>
    <s v="Paris"/>
    <s v="75012"/>
    <s v="France"/>
    <s v="Bertrand"/>
    <s v="Marie"/>
    <s v="Small"/>
    <x v="1249"/>
  </r>
  <r>
    <n v="10287"/>
    <n v="21"/>
    <n v="163.44"/>
    <n v="12"/>
    <n v="3432.24"/>
    <d v="2019-08-30T00:00:00"/>
    <s v="Shipped"/>
    <s v="Classic Cars"/>
    <n v="194"/>
    <s v="S12_1099"/>
    <x v="73"/>
    <s v="0897-034555"/>
    <s v="Grenzacherweg 237"/>
    <s v="Gensve"/>
    <s v="1203"/>
    <s v="Switzerland"/>
    <s v="Holz"/>
    <s v="Michael"/>
    <s v="Medium"/>
    <x v="1056"/>
  </r>
  <r>
    <n v="10287"/>
    <n v="45"/>
    <n v="105.7"/>
    <n v="10"/>
    <n v="4756.5"/>
    <d v="2019-08-30T00:00:00"/>
    <s v="Shipped"/>
    <s v="Classic Cars"/>
    <n v="117"/>
    <s v="S12_3380"/>
    <x v="73"/>
    <s v="0897-034555"/>
    <s v="Grenzacherweg 237"/>
    <s v="Gensve"/>
    <s v="1203"/>
    <s v="Switzerland"/>
    <s v="Holz"/>
    <s v="Michael"/>
    <s v="Medium"/>
    <x v="1078"/>
  </r>
  <r>
    <n v="10287"/>
    <n v="41"/>
    <n v="69.430000000000007"/>
    <n v="13"/>
    <n v="2846.63"/>
    <d v="2019-08-30T00:00:00"/>
    <s v="Shipped"/>
    <s v="Classic Cars"/>
    <n v="79"/>
    <s v="S12_3990"/>
    <x v="73"/>
    <s v="0897-034555"/>
    <s v="Grenzacherweg 237"/>
    <s v="Gensve"/>
    <s v="1203"/>
    <s v="Switzerland"/>
    <s v="Holz"/>
    <s v="Michael"/>
    <s v="Small"/>
    <x v="1250"/>
  </r>
  <r>
    <n v="10287"/>
    <n v="23"/>
    <n v="116.31"/>
    <n v="9"/>
    <n v="2675.13"/>
    <d v="2019-08-30T00:00:00"/>
    <s v="Shipped"/>
    <s v="Classic Cars"/>
    <n v="115"/>
    <s v="S12_4675"/>
    <x v="73"/>
    <s v="0897-034555"/>
    <s v="Grenzacherweg 237"/>
    <s v="Gensve"/>
    <s v="1203"/>
    <s v="Switzerland"/>
    <s v="Holz"/>
    <s v="Michael"/>
    <s v="Small"/>
    <x v="1251"/>
  </r>
  <r>
    <n v="10287"/>
    <n v="41"/>
    <n v="158.52000000000001"/>
    <n v="4"/>
    <n v="6499.32"/>
    <d v="2019-08-30T00:00:00"/>
    <s v="Shipped"/>
    <s v="Classic Cars"/>
    <n v="141"/>
    <s v="S18_1129"/>
    <x v="73"/>
    <s v="0897-034555"/>
    <s v="Grenzacherweg 237"/>
    <s v="Gensve"/>
    <s v="1203"/>
    <s v="Switzerland"/>
    <s v="Holz"/>
    <s v="Michael"/>
    <s v="Medium"/>
    <x v="1252"/>
  </r>
  <r>
    <n v="10287"/>
    <n v="44"/>
    <n v="82.39"/>
    <n v="8"/>
    <n v="3625.16"/>
    <d v="2019-08-30T00:00:00"/>
    <s v="Shipped"/>
    <s v="Classic Cars"/>
    <n v="77"/>
    <s v="S18_1889"/>
    <x v="73"/>
    <s v="0897-034555"/>
    <s v="Grenzacherweg 237"/>
    <s v="Gensve"/>
    <s v="1203"/>
    <s v="Switzerland"/>
    <s v="Holz"/>
    <s v="Michael"/>
    <s v="Medium"/>
    <x v="1011"/>
  </r>
  <r>
    <n v="10287"/>
    <n v="24"/>
    <n v="146.52000000000001"/>
    <n v="3"/>
    <n v="3516.48"/>
    <d v="2019-08-30T00:00:00"/>
    <s v="Shipped"/>
    <s v="Classic Cars"/>
    <n v="142"/>
    <s v="S18_1984"/>
    <x v="73"/>
    <s v="0897-034555"/>
    <s v="Grenzacherweg 237"/>
    <s v="Gensve"/>
    <s v="1203"/>
    <s v="Switzerland"/>
    <s v="Holz"/>
    <s v="Michael"/>
    <s v="Medium"/>
    <x v="1253"/>
  </r>
  <r>
    <n v="10287"/>
    <n v="44"/>
    <n v="114.84"/>
    <n v="1"/>
    <n v="5052.96"/>
    <d v="2019-08-30T00:00:00"/>
    <s v="Shipped"/>
    <s v="Classic Cars"/>
    <n v="132"/>
    <s v="S18_2870"/>
    <x v="73"/>
    <s v="0897-034555"/>
    <s v="Grenzacherweg 237"/>
    <s v="Gensve"/>
    <s v="1203"/>
    <s v="Switzerland"/>
    <s v="Holz"/>
    <s v="Michael"/>
    <s v="Medium"/>
    <x v="1254"/>
  </r>
  <r>
    <n v="10287"/>
    <n v="36"/>
    <n v="162.57"/>
    <n v="5"/>
    <n v="5852.52"/>
    <d v="2019-08-30T00:00:00"/>
    <s v="Shipped"/>
    <s v="Classic Cars"/>
    <n v="169"/>
    <s v="S18_3232"/>
    <x v="73"/>
    <s v="0897-034555"/>
    <s v="Grenzacherweg 237"/>
    <s v="Gensve"/>
    <s v="1203"/>
    <s v="Switzerland"/>
    <s v="Holz"/>
    <s v="Michael"/>
    <s v="Medium"/>
    <x v="565"/>
  </r>
  <r>
    <n v="10287"/>
    <n v="43"/>
    <n v="70.760000000000005"/>
    <n v="15"/>
    <n v="3042.68"/>
    <d v="2019-08-30T00:00:00"/>
    <s v="Shipped"/>
    <s v="Classic Cars"/>
    <n v="80"/>
    <s v="S18_3278"/>
    <x v="73"/>
    <s v="0897-034555"/>
    <s v="Grenzacherweg 237"/>
    <s v="Gensve"/>
    <s v="1203"/>
    <s v="Switzerland"/>
    <s v="Holz"/>
    <s v="Michael"/>
    <s v="Medium"/>
    <x v="1255"/>
  </r>
  <r>
    <n v="10287"/>
    <n v="40"/>
    <n v="169.04"/>
    <n v="14"/>
    <n v="6761.6"/>
    <d v="2019-08-30T00:00:00"/>
    <s v="Shipped"/>
    <s v="Classic Cars"/>
    <n v="146"/>
    <s v="S18_3482"/>
    <x v="73"/>
    <s v="0897-034555"/>
    <s v="Grenzacherweg 237"/>
    <s v="Gensve"/>
    <s v="1203"/>
    <s v="Switzerland"/>
    <s v="Holz"/>
    <s v="Michael"/>
    <s v="Medium"/>
    <x v="1256"/>
  </r>
  <r>
    <n v="10287"/>
    <n v="27"/>
    <n v="159.65"/>
    <n v="2"/>
    <n v="4310.55"/>
    <d v="2019-08-30T00:00:00"/>
    <s v="Shipped"/>
    <s v="Classic Cars"/>
    <n v="141"/>
    <s v="S18_3685"/>
    <x v="73"/>
    <s v="0897-034555"/>
    <s v="Grenzacherweg 237"/>
    <s v="Gensve"/>
    <s v="1203"/>
    <s v="Switzerland"/>
    <s v="Holz"/>
    <s v="Michael"/>
    <s v="Medium"/>
    <x v="1257"/>
  </r>
  <r>
    <n v="10287"/>
    <n v="34"/>
    <n v="126.48"/>
    <n v="17"/>
    <n v="4300.32"/>
    <d v="2019-08-30T00:00:00"/>
    <s v="Shipped"/>
    <s v="Classic Cars"/>
    <n v="148"/>
    <s v="S18_4721"/>
    <x v="73"/>
    <s v="0897-034555"/>
    <s v="Grenzacherweg 237"/>
    <s v="Gensve"/>
    <s v="1203"/>
    <s v="Switzerland"/>
    <s v="Holz"/>
    <s v="Michael"/>
    <s v="Medium"/>
    <x v="227"/>
  </r>
  <r>
    <n v="10287"/>
    <n v="36"/>
    <n v="39.65"/>
    <n v="6"/>
    <n v="1427.4"/>
    <d v="2019-08-30T00:00:00"/>
    <s v="Shipped"/>
    <s v="Classic Cars"/>
    <n v="37"/>
    <s v="S24_2972"/>
    <x v="73"/>
    <s v="0897-034555"/>
    <s v="Grenzacherweg 237"/>
    <s v="Gensve"/>
    <s v="1203"/>
    <s v="Switzerland"/>
    <s v="Holz"/>
    <s v="Michael"/>
    <s v="Small"/>
    <x v="1086"/>
  </r>
  <r>
    <n v="10287"/>
    <n v="20"/>
    <n v="67.97"/>
    <n v="11"/>
    <n v="1359.4"/>
    <d v="2019-08-30T00:00:00"/>
    <s v="Shipped"/>
    <s v="Classic Cars"/>
    <n v="61"/>
    <s v="S24_3371"/>
    <x v="73"/>
    <s v="0897-034555"/>
    <s v="Grenzacherweg 237"/>
    <s v="Gensve"/>
    <s v="1203"/>
    <s v="Switzerland"/>
    <s v="Holz"/>
    <s v="Michael"/>
    <s v="Small"/>
    <x v="535"/>
  </r>
  <r>
    <n v="10287"/>
    <n v="36"/>
    <n v="119.37"/>
    <n v="7"/>
    <n v="4297.32"/>
    <d v="2019-08-30T00:00:00"/>
    <s v="Shipped"/>
    <s v="Classic Cars"/>
    <n v="140"/>
    <s v="S24_3856"/>
    <x v="73"/>
    <s v="0897-034555"/>
    <s v="Grenzacherweg 237"/>
    <s v="Gensve"/>
    <s v="1203"/>
    <s v="Switzerland"/>
    <s v="Holz"/>
    <s v="Michael"/>
    <s v="Medium"/>
    <x v="1258"/>
  </r>
  <r>
    <n v="10287"/>
    <n v="40"/>
    <n v="88.12"/>
    <n v="16"/>
    <n v="3524.8"/>
    <d v="2019-08-30T00:00:00"/>
    <s v="Shipped"/>
    <s v="Classic Cars"/>
    <n v="80"/>
    <s v="S24_4620"/>
    <x v="73"/>
    <s v="0897-034555"/>
    <s v="Grenzacherweg 237"/>
    <s v="Gensve"/>
    <s v="1203"/>
    <s v="Switzerland"/>
    <s v="Holz"/>
    <s v="Michael"/>
    <s v="Medium"/>
    <x v="1259"/>
  </r>
  <r>
    <n v="10288"/>
    <n v="20"/>
    <n v="146.84"/>
    <n v="14"/>
    <n v="2936.8"/>
    <d v="2019-09-01T00:00:00"/>
    <s v="Shipped"/>
    <s v="Classic Cars"/>
    <n v="124"/>
    <s v="S18_1589"/>
    <x v="69"/>
    <s v="+65 224 1555"/>
    <s v="Village Close - 106 Linden Road Sandown"/>
    <s v="Singapore"/>
    <s v="69045"/>
    <s v="Singapore"/>
    <s v="Victorino"/>
    <s v="Wendy"/>
    <s v="Small"/>
    <x v="428"/>
  </r>
  <r>
    <n v="10288"/>
    <n v="32"/>
    <n v="183.6"/>
    <n v="5"/>
    <n v="5875.2"/>
    <d v="2019-09-01T00:00:00"/>
    <s v="Shipped"/>
    <s v="Vintage Cars"/>
    <n v="170"/>
    <s v="S18_1749"/>
    <x v="69"/>
    <s v="+65 224 1555"/>
    <s v="Village Close - 106 Linden Road Sandown"/>
    <s v="Singapore"/>
    <s v="69045"/>
    <s v="Singapore"/>
    <s v="Victorino"/>
    <s v="Wendy"/>
    <s v="Medium"/>
    <x v="1260"/>
  </r>
  <r>
    <n v="10288"/>
    <n v="28"/>
    <n v="61.75"/>
    <n v="4"/>
    <n v="1729"/>
    <d v="2019-09-01T00:00:00"/>
    <s v="Shipped"/>
    <s v="Vintage Cars"/>
    <n v="60"/>
    <s v="S18_2248"/>
    <x v="69"/>
    <s v="+65 224 1555"/>
    <s v="Village Close - 106 Linden Road Sandown"/>
    <s v="Singapore"/>
    <s v="69045"/>
    <s v="Singapore"/>
    <s v="Victorino"/>
    <s v="Wendy"/>
    <s v="Small"/>
    <x v="868"/>
  </r>
  <r>
    <n v="10288"/>
    <n v="31"/>
    <n v="123.32"/>
    <n v="2"/>
    <n v="3822.92"/>
    <d v="2019-09-01T00:00:00"/>
    <s v="Shipped"/>
    <s v="Vintage Cars"/>
    <n v="127"/>
    <s v="S18_2325"/>
    <x v="69"/>
    <s v="+65 224 1555"/>
    <s v="Village Close - 106 Linden Road Sandown"/>
    <s v="Singapore"/>
    <s v="69045"/>
    <s v="Singapore"/>
    <s v="Victorino"/>
    <s v="Wendy"/>
    <s v="Medium"/>
    <x v="1261"/>
  </r>
  <r>
    <n v="10288"/>
    <n v="35"/>
    <n v="80.989999999999995"/>
    <n v="6"/>
    <n v="2834.65"/>
    <d v="2019-09-01T00:00:00"/>
    <s v="Shipped"/>
    <s v="Vintage Cars"/>
    <n v="92"/>
    <s v="S18_4409"/>
    <x v="69"/>
    <s v="+65 224 1555"/>
    <s v="Village Close - 106 Linden Road Sandown"/>
    <s v="Singapore"/>
    <s v="69045"/>
    <s v="Singapore"/>
    <s v="Victorino"/>
    <s v="Wendy"/>
    <s v="Small"/>
    <x v="460"/>
  </r>
  <r>
    <n v="10288"/>
    <n v="23"/>
    <n v="73.41"/>
    <n v="7"/>
    <n v="1688.43"/>
    <d v="2019-09-01T00:00:00"/>
    <s v="Shipped"/>
    <s v="Classic Cars"/>
    <n v="71"/>
    <s v="S18_4933"/>
    <x v="69"/>
    <s v="+65 224 1555"/>
    <s v="Village Close - 106 Linden Road Sandown"/>
    <s v="Singapore"/>
    <s v="69045"/>
    <s v="Singapore"/>
    <s v="Victorino"/>
    <s v="Wendy"/>
    <s v="Small"/>
    <x v="1262"/>
  </r>
  <r>
    <n v="10288"/>
    <n v="36"/>
    <n v="66.14"/>
    <n v="11"/>
    <n v="2381.04"/>
    <d v="2019-09-01T00:00:00"/>
    <s v="Shipped"/>
    <s v="Classic Cars"/>
    <n v="73"/>
    <s v="S24_1046"/>
    <x v="69"/>
    <s v="+65 224 1555"/>
    <s v="Village Close - 106 Linden Road Sandown"/>
    <s v="Singapore"/>
    <s v="69045"/>
    <s v="Singapore"/>
    <s v="Victorino"/>
    <s v="Wendy"/>
    <s v="Small"/>
    <x v="1195"/>
  </r>
  <r>
    <n v="10288"/>
    <n v="50"/>
    <n v="52.32"/>
    <n v="13"/>
    <n v="2616"/>
    <d v="2019-09-01T00:00:00"/>
    <s v="Shipped"/>
    <s v="Classic Cars"/>
    <n v="50"/>
    <s v="S24_1628"/>
    <x v="69"/>
    <s v="+65 224 1555"/>
    <s v="Village Close - 106 Linden Road Sandown"/>
    <s v="Singapore"/>
    <s v="69045"/>
    <s v="Singapore"/>
    <s v="Victorino"/>
    <s v="Wendy"/>
    <s v="Small"/>
    <x v="1263"/>
  </r>
  <r>
    <n v="10288"/>
    <n v="29"/>
    <n v="38.17"/>
    <n v="1"/>
    <n v="1106.93"/>
    <d v="2019-09-01T00:00:00"/>
    <s v="Shipped"/>
    <s v="Vintage Cars"/>
    <n v="33"/>
    <s v="S24_1937"/>
    <x v="69"/>
    <s v="+65 224 1555"/>
    <s v="Village Close - 106 Linden Road Sandown"/>
    <s v="Singapore"/>
    <s v="69045"/>
    <s v="Singapore"/>
    <s v="Victorino"/>
    <s v="Wendy"/>
    <s v="Small"/>
    <x v="592"/>
  </r>
  <r>
    <n v="10288"/>
    <n v="35"/>
    <n v="80.87"/>
    <n v="9"/>
    <n v="2830.45"/>
    <d v="2019-09-01T00:00:00"/>
    <s v="Shipped"/>
    <s v="Classic Cars"/>
    <n v="90"/>
    <s v="S24_2766"/>
    <x v="69"/>
    <s v="+65 224 1555"/>
    <s v="Village Close - 106 Linden Road Sandown"/>
    <s v="Singapore"/>
    <s v="69045"/>
    <s v="Singapore"/>
    <s v="Victorino"/>
    <s v="Wendy"/>
    <s v="Small"/>
    <x v="1264"/>
  </r>
  <r>
    <n v="10288"/>
    <n v="48"/>
    <n v="136.22999999999999"/>
    <n v="8"/>
    <n v="6539.04"/>
    <d v="2019-09-01T00:00:00"/>
    <s v="Shipped"/>
    <s v="Classic Cars"/>
    <n v="117"/>
    <s v="S24_2887"/>
    <x v="69"/>
    <s v="+65 224 1555"/>
    <s v="Village Close - 106 Linden Road Sandown"/>
    <s v="Singapore"/>
    <s v="69045"/>
    <s v="Singapore"/>
    <s v="Victorino"/>
    <s v="Wendy"/>
    <s v="Medium"/>
    <x v="1265"/>
  </r>
  <r>
    <n v="10288"/>
    <n v="34"/>
    <n v="68.489999999999995"/>
    <n v="10"/>
    <n v="2328.66"/>
    <d v="2019-09-01T00:00:00"/>
    <s v="Shipped"/>
    <s v="Classic Cars"/>
    <n v="85"/>
    <s v="S24_3191"/>
    <x v="69"/>
    <s v="+65 224 1555"/>
    <s v="Village Close - 106 Linden Road Sandown"/>
    <s v="Singapore"/>
    <s v="69045"/>
    <s v="Singapore"/>
    <s v="Victorino"/>
    <s v="Wendy"/>
    <s v="Small"/>
    <x v="396"/>
  </r>
  <r>
    <n v="10288"/>
    <n v="41"/>
    <n v="118.86"/>
    <n v="12"/>
    <n v="4873.26"/>
    <d v="2019-09-01T00:00:00"/>
    <s v="Shipped"/>
    <s v="Classic Cars"/>
    <n v="107"/>
    <s v="S24_3432"/>
    <x v="69"/>
    <s v="+65 224 1555"/>
    <s v="Village Close - 106 Linden Road Sandown"/>
    <s v="Singapore"/>
    <s v="69045"/>
    <s v="Singapore"/>
    <s v="Victorino"/>
    <s v="Wendy"/>
    <s v="Medium"/>
    <x v="876"/>
  </r>
  <r>
    <n v="10288"/>
    <n v="33"/>
    <n v="40.619999999999997"/>
    <n v="3"/>
    <n v="1340.46"/>
    <d v="2019-09-01T00:00:00"/>
    <s v="Shipped"/>
    <s v="Vintage Cars"/>
    <n v="41"/>
    <s v="S24_3969"/>
    <x v="69"/>
    <s v="+65 224 1555"/>
    <s v="Village Close - 106 Linden Road Sandown"/>
    <s v="Singapore"/>
    <s v="69045"/>
    <s v="Singapore"/>
    <s v="Victorino"/>
    <s v="Wendy"/>
    <s v="Small"/>
    <x v="108"/>
  </r>
  <r>
    <n v="10289"/>
    <n v="38"/>
    <n v="120.21"/>
    <n v="2"/>
    <n v="4567.9799999999996"/>
    <d v="2019-09-03T00:00:00"/>
    <s v="Shipped"/>
    <s v="Vintage Cars"/>
    <n v="102"/>
    <s v="S18_1342"/>
    <x v="54"/>
    <s v="+47 2267 3215"/>
    <s v="Drammen 121, PR 744 Sentrum"/>
    <s v="Bergen"/>
    <s v="N 5804"/>
    <s v="Norway"/>
    <s v="Oeztan"/>
    <s v="Veysel"/>
    <s v="Medium"/>
    <x v="1266"/>
  </r>
  <r>
    <n v="10289"/>
    <n v="24"/>
    <n v="56.07"/>
    <n v="1"/>
    <n v="1345.68"/>
    <d v="2019-09-03T00:00:00"/>
    <s v="Shipped"/>
    <s v="Vintage Cars"/>
    <n v="53"/>
    <s v="S18_1367"/>
    <x v="54"/>
    <s v="+47 2267 3215"/>
    <s v="Drammen 121, PR 744 Sentrum"/>
    <s v="Bergen"/>
    <s v="N 5804"/>
    <s v="Norway"/>
    <s v="Oeztan"/>
    <s v="Veysel"/>
    <s v="Small"/>
    <x v="1267"/>
  </r>
  <r>
    <n v="10289"/>
    <n v="43"/>
    <n v="192.38"/>
    <n v="3"/>
    <n v="8272.34"/>
    <d v="2019-09-03T00:00:00"/>
    <s v="Shipped"/>
    <s v="Vintage Cars"/>
    <n v="168"/>
    <s v="S18_2795"/>
    <x v="54"/>
    <s v="+47 2267 3215"/>
    <s v="Drammen 121, PR 744 Sentrum"/>
    <s v="Bergen"/>
    <s v="N 5804"/>
    <s v="Norway"/>
    <s v="Oeztan"/>
    <s v="Veysel"/>
    <s v="Large"/>
    <x v="870"/>
  </r>
  <r>
    <n v="10289"/>
    <n v="45"/>
    <n v="48.38"/>
    <n v="4"/>
    <n v="2177.1"/>
    <d v="2019-09-03T00:00:00"/>
    <s v="Shipped"/>
    <s v="Vintage Cars"/>
    <n v="44"/>
    <s v="S24_2022"/>
    <x v="54"/>
    <s v="+47 2267 3215"/>
    <s v="Drammen 121, PR 744 Sentrum"/>
    <s v="Bergen"/>
    <s v="N 5804"/>
    <s v="Norway"/>
    <s v="Oeztan"/>
    <s v="Veysel"/>
    <s v="Small"/>
    <x v="593"/>
  </r>
  <r>
    <n v="10290"/>
    <n v="26"/>
    <n v="96.23"/>
    <n v="2"/>
    <n v="2501.98"/>
    <d v="2019-09-07T00:00:00"/>
    <s v="Shipped"/>
    <s v="Vintage Cars"/>
    <n v="99"/>
    <s v="S18_3320"/>
    <x v="28"/>
    <s v="6175558428"/>
    <s v="16780 Pompton St."/>
    <s v="Brickhaven"/>
    <s v="58339"/>
    <s v="USA"/>
    <s v="Taylor"/>
    <s v="Leslie"/>
    <s v="Small"/>
    <x v="1268"/>
  </r>
  <r>
    <n v="10290"/>
    <n v="45"/>
    <n v="114.92"/>
    <n v="1"/>
    <n v="5171.3999999999996"/>
    <d v="2019-09-07T00:00:00"/>
    <s v="Shipped"/>
    <s v="Vintage Cars"/>
    <n v="97"/>
    <s v="S24_4258"/>
    <x v="28"/>
    <s v="6175558428"/>
    <s v="16780 Pompton St."/>
    <s v="Brickhaven"/>
    <s v="58339"/>
    <s v="USA"/>
    <s v="Taylor"/>
    <s v="Leslie"/>
    <s v="Medium"/>
    <x v="576"/>
  </r>
  <r>
    <n v="10291"/>
    <n v="37"/>
    <n v="192.87"/>
    <n v="11"/>
    <n v="7136.19"/>
    <d v="2019-09-08T00:00:00"/>
    <s v="Shipped"/>
    <s v="Classic Cars"/>
    <n v="214"/>
    <s v="S10_1949"/>
    <x v="48"/>
    <s v="0695-34 6555"/>
    <s v="?kergatan 24"/>
    <s v="Boras"/>
    <s v="S-844 67"/>
    <s v="Sweden"/>
    <s v="Larsson"/>
    <s v="Maria"/>
    <s v="Large"/>
    <x v="1269"/>
  </r>
  <r>
    <n v="10291"/>
    <n v="30"/>
    <n v="128.53"/>
    <n v="4"/>
    <n v="3855.9"/>
    <d v="2019-09-08T00:00:00"/>
    <s v="Shipped"/>
    <s v="Classic Cars"/>
    <n v="147"/>
    <s v="S10_4962"/>
    <x v="48"/>
    <s v="0695-34 6555"/>
    <s v="?kergatan 24"/>
    <s v="Boras"/>
    <s v="S-844 67"/>
    <s v="Sweden"/>
    <s v="Larsson"/>
    <s v="Maria"/>
    <s v="Medium"/>
    <x v="1270"/>
  </r>
  <r>
    <n v="10291"/>
    <n v="41"/>
    <n v="155.80000000000001"/>
    <n v="8"/>
    <n v="6387.8"/>
    <d v="2019-09-08T00:00:00"/>
    <s v="Shipped"/>
    <s v="Trucks and Buses"/>
    <n v="136"/>
    <s v="S12_1666"/>
    <x v="48"/>
    <s v="0695-34 6555"/>
    <s v="?kergatan 24"/>
    <s v="Boras"/>
    <s v="S-844 67"/>
    <s v="Sweden"/>
    <s v="Larsson"/>
    <s v="Maria"/>
    <s v="Medium"/>
    <x v="1271"/>
  </r>
  <r>
    <n v="10292"/>
    <n v="21"/>
    <n v="105.47"/>
    <n v="8"/>
    <n v="2214.87"/>
    <d v="2019-09-08T00:00:00"/>
    <s v="Shipped"/>
    <s v="Trucks and Buses"/>
    <n v="118"/>
    <s v="S12_4473"/>
    <x v="7"/>
    <s v="2125557818"/>
    <s v="897 Long Airport Avenue"/>
    <s v="NYC"/>
    <s v="10022"/>
    <s v="USA"/>
    <s v="Yu"/>
    <s v="Kwai"/>
    <s v="Small"/>
    <x v="1272"/>
  </r>
  <r>
    <n v="10291"/>
    <n v="41"/>
    <n v="114.34"/>
    <n v="10"/>
    <n v="4687.9399999999996"/>
    <d v="2019-09-08T00:00:00"/>
    <s v="Shipped"/>
    <s v="Trucks and Buses"/>
    <n v="116"/>
    <s v="S18_1097"/>
    <x v="48"/>
    <s v="0695-34 6555"/>
    <s v="?kergatan 24"/>
    <s v="Boras"/>
    <s v="S-844 67"/>
    <s v="Sweden"/>
    <s v="Larsson"/>
    <s v="Maria"/>
    <s v="Medium"/>
    <x v="1273"/>
  </r>
  <r>
    <n v="10292"/>
    <n v="26"/>
    <n v="175.19"/>
    <n v="7"/>
    <n v="4554.9399999999996"/>
    <d v="2019-09-08T00:00:00"/>
    <s v="Shipped"/>
    <s v="Classic Cars"/>
    <n v="163"/>
    <s v="S18_2238"/>
    <x v="7"/>
    <s v="2125557818"/>
    <s v="897 Long Airport Avenue"/>
    <s v="NYC"/>
    <s v="10022"/>
    <s v="USA"/>
    <s v="Yu"/>
    <s v="Kwai"/>
    <s v="Medium"/>
    <x v="1274"/>
  </r>
  <r>
    <n v="10292"/>
    <n v="41"/>
    <n v="110.46"/>
    <n v="11"/>
    <n v="4528.8599999999997"/>
    <d v="2019-09-08T00:00:00"/>
    <s v="Shipped"/>
    <s v="Trucks and Buses"/>
    <n v="122"/>
    <s v="S18_2319"/>
    <x v="7"/>
    <s v="2125557818"/>
    <s v="897 Long Airport Avenue"/>
    <s v="NYC"/>
    <s v="10022"/>
    <s v="USA"/>
    <s v="Yu"/>
    <s v="Kwai"/>
    <s v="Medium"/>
    <x v="548"/>
  </r>
  <r>
    <n v="10291"/>
    <n v="26"/>
    <n v="57.73"/>
    <n v="2"/>
    <n v="1500.98"/>
    <d v="2019-09-08T00:00:00"/>
    <s v="Shipped"/>
    <s v="Trucks and Buses"/>
    <n v="60"/>
    <s v="S18_2432"/>
    <x v="48"/>
    <s v="0695-34 6555"/>
    <s v="?kergatan 24"/>
    <s v="Boras"/>
    <s v="S-844 67"/>
    <s v="Sweden"/>
    <s v="Larsson"/>
    <s v="Maria"/>
    <s v="Small"/>
    <x v="560"/>
  </r>
  <r>
    <n v="10291"/>
    <n v="47"/>
    <n v="121.57"/>
    <n v="12"/>
    <n v="5713.79"/>
    <d v="2019-09-08T00:00:00"/>
    <s v="Shipped"/>
    <s v="Vintage Cars"/>
    <n v="101"/>
    <s v="S18_2949"/>
    <x v="48"/>
    <s v="0695-34 6555"/>
    <s v="?kergatan 24"/>
    <s v="Boras"/>
    <s v="S-844 67"/>
    <s v="Sweden"/>
    <s v="Larsson"/>
    <s v="Maria"/>
    <s v="Medium"/>
    <x v="563"/>
  </r>
  <r>
    <n v="10291"/>
    <n v="37"/>
    <n v="50.59"/>
    <n v="14"/>
    <n v="1871.83"/>
    <d v="2019-09-08T00:00:00"/>
    <s v="Shipped"/>
    <s v="Vintage Cars"/>
    <n v="62"/>
    <s v="S18_2957"/>
    <x v="48"/>
    <s v="0695-34 6555"/>
    <s v="?kergatan 24"/>
    <s v="Boras"/>
    <s v="S-844 67"/>
    <s v="Sweden"/>
    <s v="Larsson"/>
    <s v="Maria"/>
    <s v="Small"/>
    <x v="1275"/>
  </r>
  <r>
    <n v="10291"/>
    <n v="23"/>
    <n v="124.62"/>
    <n v="13"/>
    <n v="2866.26"/>
    <d v="2019-09-08T00:00:00"/>
    <s v="Shipped"/>
    <s v="Vintage Cars"/>
    <n v="104"/>
    <s v="S18_3136"/>
    <x v="48"/>
    <s v="0695-34 6555"/>
    <s v="?kergatan 24"/>
    <s v="Boras"/>
    <s v="S-844 67"/>
    <s v="Sweden"/>
    <s v="Larsson"/>
    <s v="Maria"/>
    <s v="Small"/>
    <x v="588"/>
  </r>
  <r>
    <n v="10292"/>
    <n v="21"/>
    <n v="135.47"/>
    <n v="12"/>
    <n v="2844.87"/>
    <d v="2019-09-08T00:00:00"/>
    <s v="Shipped"/>
    <s v="Classic Cars"/>
    <n v="169"/>
    <s v="S18_3232"/>
    <x v="7"/>
    <s v="2125557818"/>
    <s v="897 Long Airport Avenue"/>
    <s v="NYC"/>
    <s v="10022"/>
    <s v="USA"/>
    <s v="Yu"/>
    <s v="Kwai"/>
    <s v="Small"/>
    <x v="1276"/>
  </r>
  <r>
    <n v="10292"/>
    <n v="44"/>
    <n v="162.29"/>
    <n v="2"/>
    <n v="7140.76"/>
    <d v="2019-09-08T00:00:00"/>
    <s v="Shipped"/>
    <s v="Classic Cars"/>
    <n v="143"/>
    <s v="S18_4027"/>
    <x v="7"/>
    <s v="2125557818"/>
    <s v="897 Long Airport Avenue"/>
    <s v="NYC"/>
    <s v="10022"/>
    <s v="USA"/>
    <s v="Yu"/>
    <s v="Kwai"/>
    <s v="Large"/>
    <x v="1277"/>
  </r>
  <r>
    <n v="10291"/>
    <n v="48"/>
    <n v="110.18"/>
    <n v="5"/>
    <n v="5288.64"/>
    <d v="2019-09-08T00:00:00"/>
    <s v="Shipped"/>
    <s v="Trucks and Buses"/>
    <n v="121"/>
    <s v="S18_4600"/>
    <x v="48"/>
    <s v="0695-34 6555"/>
    <s v="?kergatan 24"/>
    <s v="Boras"/>
    <s v="S-844 67"/>
    <s v="Sweden"/>
    <s v="Larsson"/>
    <s v="Maria"/>
    <s v="Medium"/>
    <x v="1278"/>
  </r>
  <r>
    <n v="10291"/>
    <n v="29"/>
    <n v="51.82"/>
    <n v="9"/>
    <n v="1502.78"/>
    <d v="2019-09-08T00:00:00"/>
    <s v="Shipped"/>
    <s v="Vintage Cars"/>
    <n v="50"/>
    <s v="S18_4668"/>
    <x v="48"/>
    <s v="0695-34 6555"/>
    <s v="?kergatan 24"/>
    <s v="Boras"/>
    <s v="S-844 67"/>
    <s v="Sweden"/>
    <s v="Larsson"/>
    <s v="Maria"/>
    <s v="Small"/>
    <x v="989"/>
  </r>
  <r>
    <n v="10292"/>
    <n v="40"/>
    <n v="53.75"/>
    <n v="5"/>
    <n v="2150"/>
    <d v="2019-09-08T00:00:00"/>
    <s v="Shipped"/>
    <s v="Classic Cars"/>
    <n v="57"/>
    <s v="S24_1444"/>
    <x v="7"/>
    <s v="2125557818"/>
    <s v="897 Long Airport Avenue"/>
    <s v="NYC"/>
    <s v="10022"/>
    <s v="USA"/>
    <s v="Yu"/>
    <s v="Kwai"/>
    <s v="Small"/>
    <x v="1279"/>
  </r>
  <r>
    <n v="10291"/>
    <n v="48"/>
    <n v="112.46"/>
    <n v="1"/>
    <n v="5398.08"/>
    <d v="2019-09-08T00:00:00"/>
    <s v="Shipped"/>
    <s v="Trucks and Buses"/>
    <n v="127"/>
    <s v="S24_2300"/>
    <x v="48"/>
    <s v="0695-34 6555"/>
    <s v="?kergatan 24"/>
    <s v="Boras"/>
    <s v="S-844 67"/>
    <s v="Sweden"/>
    <s v="Larsson"/>
    <s v="Maria"/>
    <s v="Medium"/>
    <x v="1280"/>
  </r>
  <r>
    <n v="10292"/>
    <n v="39"/>
    <n v="30.06"/>
    <n v="9"/>
    <n v="1172.3399999999999"/>
    <d v="2019-09-08T00:00:00"/>
    <s v="Shipped"/>
    <s v="Classic Cars"/>
    <n v="35"/>
    <s v="S24_2840"/>
    <x v="7"/>
    <s v="2125557818"/>
    <s v="897 Long Airport Avenue"/>
    <s v="NYC"/>
    <s v="10022"/>
    <s v="USA"/>
    <s v="Yu"/>
    <s v="Kwai"/>
    <s v="Small"/>
    <x v="1281"/>
  </r>
  <r>
    <n v="10292"/>
    <n v="27"/>
    <n v="141.94"/>
    <n v="4"/>
    <n v="3832.38"/>
    <d v="2019-09-08T00:00:00"/>
    <s v="Shipped"/>
    <s v="Classic Cars"/>
    <n v="118"/>
    <s v="S24_4048"/>
    <x v="7"/>
    <s v="2125557818"/>
    <s v="897 Long Airport Avenue"/>
    <s v="NYC"/>
    <s v="10022"/>
    <s v="USA"/>
    <s v="Yu"/>
    <s v="Kwai"/>
    <s v="Medium"/>
    <x v="1282"/>
  </r>
  <r>
    <n v="10291"/>
    <n v="26"/>
    <n v="83.79"/>
    <n v="3"/>
    <n v="2178.54"/>
    <d v="2019-09-08T00:00:00"/>
    <s v="Shipped"/>
    <s v="Trucks and Buses"/>
    <n v="96"/>
    <s v="S32_1268"/>
    <x v="48"/>
    <s v="0695-34 6555"/>
    <s v="?kergatan 24"/>
    <s v="Boras"/>
    <s v="S-844 67"/>
    <s v="Sweden"/>
    <s v="Larsson"/>
    <s v="Maria"/>
    <s v="Small"/>
    <x v="6"/>
  </r>
  <r>
    <n v="10292"/>
    <n v="50"/>
    <n v="46.53"/>
    <n v="10"/>
    <n v="2326.5"/>
    <d v="2019-09-08T00:00:00"/>
    <s v="Shipped"/>
    <s v="Trucks and Buses"/>
    <n v="54"/>
    <s v="S32_2509"/>
    <x v="7"/>
    <s v="2125557818"/>
    <s v="897 Long Airport Avenue"/>
    <s v="NYC"/>
    <s v="10022"/>
    <s v="USA"/>
    <s v="Yu"/>
    <s v="Kwai"/>
    <s v="Small"/>
    <x v="294"/>
  </r>
  <r>
    <n v="10292"/>
    <n v="31"/>
    <n v="67.73"/>
    <n v="3"/>
    <n v="2099.63"/>
    <d v="2019-09-08T00:00:00"/>
    <s v="Shipped"/>
    <s v="Trains"/>
    <n v="62"/>
    <s v="S32_3207"/>
    <x v="7"/>
    <s v="2125557818"/>
    <s v="897 Long Airport Avenue"/>
    <s v="NYC"/>
    <s v="10022"/>
    <s v="USA"/>
    <s v="Yu"/>
    <s v="Kwai"/>
    <s v="Small"/>
    <x v="1283"/>
  </r>
  <r>
    <n v="10291"/>
    <n v="32"/>
    <n v="71.75"/>
    <n v="7"/>
    <n v="2296"/>
    <d v="2019-09-08T00:00:00"/>
    <s v="Shipped"/>
    <s v="Trucks and Buses"/>
    <n v="64"/>
    <s v="S32_3522"/>
    <x v="48"/>
    <s v="0695-34 6555"/>
    <s v="?kergatan 24"/>
    <s v="Boras"/>
    <s v="S-844 67"/>
    <s v="Sweden"/>
    <s v="Larsson"/>
    <s v="Maria"/>
    <s v="Small"/>
    <x v="197"/>
  </r>
  <r>
    <n v="10292"/>
    <n v="41"/>
    <n v="121.54"/>
    <n v="6"/>
    <n v="4983.1400000000003"/>
    <d v="2019-09-08T00:00:00"/>
    <s v="Shipped"/>
    <s v="Trucks and Buses"/>
    <n v="115"/>
    <s v="S50_1392"/>
    <x v="7"/>
    <s v="2125557818"/>
    <s v="897 Long Airport Avenue"/>
    <s v="NYC"/>
    <s v="10022"/>
    <s v="USA"/>
    <s v="Yu"/>
    <s v="Kwai"/>
    <s v="Medium"/>
    <x v="1284"/>
  </r>
  <r>
    <n v="10292"/>
    <n v="35"/>
    <n v="55.07"/>
    <n v="1"/>
    <n v="1927.45"/>
    <d v="2019-09-08T00:00:00"/>
    <s v="Shipped"/>
    <s v="Trains"/>
    <n v="58"/>
    <s v="S50_1514"/>
    <x v="7"/>
    <s v="2125557818"/>
    <s v="897 Long Airport Avenue"/>
    <s v="NYC"/>
    <s v="10022"/>
    <s v="USA"/>
    <s v="Yu"/>
    <s v="Kwai"/>
    <s v="Small"/>
    <x v="537"/>
  </r>
  <r>
    <n v="10291"/>
    <n v="28"/>
    <n v="116.32"/>
    <n v="6"/>
    <n v="3256.96"/>
    <d v="2019-09-08T00:00:00"/>
    <s v="Shipped"/>
    <s v="Classic Cars"/>
    <n v="101"/>
    <s v="S700_2824"/>
    <x v="48"/>
    <s v="0695-34 6555"/>
    <s v="?kergatan 24"/>
    <s v="Boras"/>
    <s v="S-844 67"/>
    <s v="Sweden"/>
    <s v="Larsson"/>
    <s v="Maria"/>
    <s v="Medium"/>
    <x v="714"/>
  </r>
  <r>
    <n v="10293"/>
    <n v="46"/>
    <n v="182.86"/>
    <n v="8"/>
    <n v="8411.56"/>
    <d v="2019-09-09T00:00:00"/>
    <s v="Shipped"/>
    <s v="Classic Cars"/>
    <n v="207"/>
    <s v="S12_1108"/>
    <x v="86"/>
    <s v="011-4988555"/>
    <s v="Via Monte Bianco 34"/>
    <s v="Torino"/>
    <s v="10100"/>
    <s v="Italy"/>
    <s v="Accorti"/>
    <s v="Paolo"/>
    <s v="Large"/>
    <x v="1131"/>
  </r>
  <r>
    <n v="10293"/>
    <n v="24"/>
    <n v="176.76"/>
    <n v="9"/>
    <n v="4242.24"/>
    <d v="2019-09-09T00:00:00"/>
    <s v="Shipped"/>
    <s v="Classic Cars"/>
    <n v="151"/>
    <s v="S12_3148"/>
    <x v="86"/>
    <s v="011-4988555"/>
    <s v="Via Monte Bianco 34"/>
    <s v="Torino"/>
    <s v="10100"/>
    <s v="Italy"/>
    <s v="Accorti"/>
    <s v="Paolo"/>
    <s v="Medium"/>
    <x v="1285"/>
  </r>
  <r>
    <n v="10293"/>
    <n v="45"/>
    <n v="183.4"/>
    <n v="7"/>
    <n v="8253"/>
    <d v="2019-09-09T00:00:00"/>
    <s v="Shipped"/>
    <s v="Classic Cars"/>
    <n v="173"/>
    <s v="S12_3891"/>
    <x v="86"/>
    <s v="011-4988555"/>
    <s v="Via Monte Bianco 34"/>
    <s v="Torino"/>
    <s v="10100"/>
    <s v="Italy"/>
    <s v="Accorti"/>
    <s v="Paolo"/>
    <s v="Large"/>
    <x v="1138"/>
  </r>
  <r>
    <n v="10293"/>
    <n v="24"/>
    <n v="117.47"/>
    <n v="4"/>
    <n v="2819.28"/>
    <d v="2019-09-09T00:00:00"/>
    <s v="Shipped"/>
    <s v="Vintage Cars"/>
    <n v="136"/>
    <s v="S18_3140"/>
    <x v="86"/>
    <s v="011-4988555"/>
    <s v="Via Monte Bianco 34"/>
    <s v="Torino"/>
    <s v="10100"/>
    <s v="Italy"/>
    <s v="Accorti"/>
    <s v="Paolo"/>
    <s v="Small"/>
    <x v="1286"/>
  </r>
  <r>
    <n v="10293"/>
    <n v="22"/>
    <n v="109.92"/>
    <n v="6"/>
    <n v="2418.2399999999998"/>
    <d v="2019-09-09T00:00:00"/>
    <s v="Shipped"/>
    <s v="Trains"/>
    <n v="100"/>
    <s v="S18_3259"/>
    <x v="86"/>
    <s v="011-4988555"/>
    <s v="Via Monte Bianco 34"/>
    <s v="Torino"/>
    <s v="10100"/>
    <s v="Italy"/>
    <s v="Accorti"/>
    <s v="Paolo"/>
    <s v="Small"/>
    <x v="1287"/>
  </r>
  <r>
    <n v="10293"/>
    <n v="49"/>
    <n v="100.94"/>
    <n v="3"/>
    <n v="4946.0600000000004"/>
    <d v="2019-09-09T00:00:00"/>
    <s v="Shipped"/>
    <s v="Vintage Cars"/>
    <n v="87"/>
    <s v="S18_4522"/>
    <x v="86"/>
    <s v="011-4988555"/>
    <s v="Via Monte Bianco 34"/>
    <s v="Torino"/>
    <s v="10100"/>
    <s v="Italy"/>
    <s v="Accorti"/>
    <s v="Paolo"/>
    <s v="Medium"/>
    <x v="936"/>
  </r>
  <r>
    <n v="10293"/>
    <n v="21"/>
    <n v="140.09"/>
    <n v="2"/>
    <n v="2941.89"/>
    <d v="2019-09-09T00:00:00"/>
    <s v="Shipped"/>
    <s v="Ships"/>
    <n v="122"/>
    <s v="S24_2011"/>
    <x v="86"/>
    <s v="011-4988555"/>
    <s v="Via Monte Bianco 34"/>
    <s v="Torino"/>
    <s v="10100"/>
    <s v="Italy"/>
    <s v="Accorti"/>
    <s v="Paolo"/>
    <s v="Small"/>
    <x v="1288"/>
  </r>
  <r>
    <n v="10293"/>
    <n v="29"/>
    <n v="71.89"/>
    <n v="5"/>
    <n v="2084.81"/>
    <d v="2019-09-09T00:00:00"/>
    <s v="Shipped"/>
    <s v="Ships"/>
    <n v="86"/>
    <s v="S700_1938"/>
    <x v="86"/>
    <s v="011-4988555"/>
    <s v="Via Monte Bianco 34"/>
    <s v="Torino"/>
    <s v="10100"/>
    <s v="Italy"/>
    <s v="Accorti"/>
    <s v="Paolo"/>
    <s v="Small"/>
    <x v="1289"/>
  </r>
  <r>
    <n v="10293"/>
    <n v="32"/>
    <n v="60.06"/>
    <n v="1"/>
    <n v="1921.92"/>
    <d v="2019-09-09T00:00:00"/>
    <s v="Shipped"/>
    <s v="Ships"/>
    <n v="54"/>
    <s v="S72_3212"/>
    <x v="86"/>
    <s v="011-4988555"/>
    <s v="Via Monte Bianco 34"/>
    <s v="Torino"/>
    <s v="10100"/>
    <s v="Italy"/>
    <s v="Accorti"/>
    <s v="Paolo"/>
    <s v="Small"/>
    <x v="1290"/>
  </r>
  <r>
    <n v="10295"/>
    <n v="24"/>
    <n v="142.80000000000001"/>
    <n v="1"/>
    <n v="3427.2"/>
    <d v="2019-09-10T00:00:00"/>
    <s v="Shipped"/>
    <s v="Classic Cars"/>
    <n v="136"/>
    <s v="S10_4757"/>
    <x v="82"/>
    <s v="6175559555"/>
    <s v="8616 Spinnaker Dr."/>
    <s v="Boston"/>
    <s v="51003"/>
    <s v="USA"/>
    <s v="Yoshido"/>
    <s v="Juri"/>
    <s v="Medium"/>
    <x v="1291"/>
  </r>
  <r>
    <n v="10295"/>
    <n v="46"/>
    <n v="84.97"/>
    <n v="3"/>
    <n v="3908.62"/>
    <d v="2019-09-10T00:00:00"/>
    <s v="Shipped"/>
    <s v="Vintage Cars"/>
    <n v="88"/>
    <s v="S24_3151"/>
    <x v="82"/>
    <s v="6175559555"/>
    <s v="8616 Spinnaker Dr."/>
    <s v="Boston"/>
    <s v="51003"/>
    <s v="USA"/>
    <s v="Yoshido"/>
    <s v="Juri"/>
    <s v="Medium"/>
    <x v="1095"/>
  </r>
  <r>
    <n v="10295"/>
    <n v="26"/>
    <n v="75.34"/>
    <n v="4"/>
    <n v="1958.84"/>
    <d v="2019-09-10T00:00:00"/>
    <s v="Shipped"/>
    <s v="Ships"/>
    <n v="66"/>
    <s v="S700_1138"/>
    <x v="82"/>
    <s v="6175559555"/>
    <s v="8616 Spinnaker Dr."/>
    <s v="Boston"/>
    <s v="51003"/>
    <s v="USA"/>
    <s v="Yoshido"/>
    <s v="Juri"/>
    <s v="Small"/>
    <x v="898"/>
  </r>
  <r>
    <n v="10295"/>
    <n v="44"/>
    <n v="58.55"/>
    <n v="2"/>
    <n v="2576.1999999999998"/>
    <d v="2019-09-10T00:00:00"/>
    <s v="Shipped"/>
    <s v="Ships"/>
    <n v="72"/>
    <s v="S700_2610"/>
    <x v="82"/>
    <s v="6175559555"/>
    <s v="8616 Spinnaker Dr."/>
    <s v="Boston"/>
    <s v="51003"/>
    <s v="USA"/>
    <s v="Yoshido"/>
    <s v="Juri"/>
    <s v="Small"/>
    <x v="1292"/>
  </r>
  <r>
    <n v="10295"/>
    <n v="34"/>
    <n v="102.17"/>
    <n v="5"/>
    <n v="3473.78"/>
    <d v="2019-09-10T00:00:00"/>
    <s v="Shipped"/>
    <s v="Ships"/>
    <n v="100"/>
    <s v="S700_3505"/>
    <x v="82"/>
    <s v="6175559555"/>
    <s v="8616 Spinnaker Dr."/>
    <s v="Boston"/>
    <s v="51003"/>
    <s v="USA"/>
    <s v="Yoshido"/>
    <s v="Juri"/>
    <s v="Medium"/>
    <x v="1293"/>
  </r>
  <r>
    <n v="10294"/>
    <n v="45"/>
    <n v="104.28"/>
    <n v="1"/>
    <n v="4692.6000000000004"/>
    <d v="2019-09-10T00:00:00"/>
    <s v="Shipped"/>
    <s v="Ships"/>
    <n v="99"/>
    <s v="S700_3962"/>
    <x v="85"/>
    <s v="6175557555"/>
    <s v="7635 Spinnaker Dr."/>
    <s v="Brickhaven"/>
    <s v="58339"/>
    <s v="USA"/>
    <s v="Barajas"/>
    <s v="Miguel"/>
    <s v="Medium"/>
    <x v="850"/>
  </r>
  <r>
    <n v="10296"/>
    <n v="36"/>
    <n v="157.69"/>
    <n v="7"/>
    <n v="5676.84"/>
    <d v="2019-09-15T00:00:00"/>
    <s v="Shipped"/>
    <s v="Planes"/>
    <n v="157"/>
    <s v="S18_1662"/>
    <x v="88"/>
    <s v="+49 89 61 08 9555"/>
    <s v="Hansastr. 15"/>
    <s v="Munich"/>
    <s v="80686"/>
    <s v="Germany"/>
    <s v="Donnermeyer"/>
    <s v="Michael"/>
    <s v="Medium"/>
    <x v="1294"/>
  </r>
  <r>
    <n v="10296"/>
    <n v="21"/>
    <n v="96.34"/>
    <n v="13"/>
    <n v="2023.14"/>
    <d v="2019-09-15T00:00:00"/>
    <s v="Shipped"/>
    <s v="Ships"/>
    <n v="86"/>
    <s v="S18_3029"/>
    <x v="88"/>
    <s v="+49 89 61 08 9555"/>
    <s v="Hansastr. 15"/>
    <s v="Munich"/>
    <s v="80686"/>
    <s v="Germany"/>
    <s v="Donnermeyer"/>
    <s v="Michael"/>
    <s v="Small"/>
    <x v="645"/>
  </r>
  <r>
    <n v="10296"/>
    <n v="22"/>
    <n v="84.7"/>
    <n v="12"/>
    <n v="1863.4"/>
    <d v="2019-09-15T00:00:00"/>
    <s v="Shipped"/>
    <s v="Vintage Cars"/>
    <n v="105"/>
    <s v="S18_3856"/>
    <x v="88"/>
    <s v="+49 89 61 08 9555"/>
    <s v="Hansastr. 15"/>
    <s v="Munich"/>
    <s v="80686"/>
    <s v="Germany"/>
    <s v="Donnermeyer"/>
    <s v="Michael"/>
    <s v="Small"/>
    <x v="485"/>
  </r>
  <r>
    <n v="10296"/>
    <n v="21"/>
    <n v="71.25"/>
    <n v="8"/>
    <n v="1496.25"/>
    <d v="2019-09-15T00:00:00"/>
    <s v="Shipped"/>
    <s v="Planes"/>
    <n v="68"/>
    <s v="S24_2841"/>
    <x v="88"/>
    <s v="+49 89 61 08 9555"/>
    <s v="Hansastr. 15"/>
    <s v="Munich"/>
    <s v="80686"/>
    <s v="Germany"/>
    <s v="Donnermeyer"/>
    <s v="Michael"/>
    <s v="Small"/>
    <x v="462"/>
  </r>
  <r>
    <n v="10296"/>
    <n v="31"/>
    <n v="53.92"/>
    <n v="9"/>
    <n v="1671.52"/>
    <d v="2019-09-15T00:00:00"/>
    <s v="Shipped"/>
    <s v="Vintage Cars"/>
    <n v="65"/>
    <s v="S24_3420"/>
    <x v="88"/>
    <s v="+49 89 61 08 9555"/>
    <s v="Hansastr. 15"/>
    <s v="Munich"/>
    <s v="80686"/>
    <s v="Germany"/>
    <s v="Donnermeyer"/>
    <s v="Michael"/>
    <s v="Small"/>
    <x v="1295"/>
  </r>
  <r>
    <n v="10296"/>
    <n v="22"/>
    <n v="77.150000000000006"/>
    <n v="14"/>
    <n v="1697.3"/>
    <d v="2019-09-15T00:00:00"/>
    <s v="Shipped"/>
    <s v="Vintage Cars"/>
    <n v="83"/>
    <s v="S24_3816"/>
    <x v="88"/>
    <s v="+49 89 61 08 9555"/>
    <s v="Hansastr. 15"/>
    <s v="Munich"/>
    <s v="80686"/>
    <s v="Germany"/>
    <s v="Donnermeyer"/>
    <s v="Michael"/>
    <s v="Small"/>
    <x v="1296"/>
  </r>
  <r>
    <n v="10296"/>
    <n v="32"/>
    <n v="71.650000000000006"/>
    <n v="6"/>
    <n v="2292.8000000000002"/>
    <d v="2019-09-15T00:00:00"/>
    <s v="Shipped"/>
    <s v="Planes"/>
    <n v="68"/>
    <s v="S24_3949"/>
    <x v="88"/>
    <s v="+49 89 61 08 9555"/>
    <s v="Hansastr. 15"/>
    <s v="Munich"/>
    <s v="80686"/>
    <s v="Germany"/>
    <s v="Donnermeyer"/>
    <s v="Michael"/>
    <s v="Small"/>
    <x v="419"/>
  </r>
  <r>
    <n v="10296"/>
    <n v="26"/>
    <n v="48.44"/>
    <n v="1"/>
    <n v="1259.44"/>
    <d v="2019-09-15T00:00:00"/>
    <s v="Shipped"/>
    <s v="Vintage Cars"/>
    <n v="43"/>
    <s v="S50_1341"/>
    <x v="88"/>
    <s v="+49 89 61 08 9555"/>
    <s v="Hansastr. 15"/>
    <s v="Munich"/>
    <s v="80686"/>
    <s v="Germany"/>
    <s v="Donnermeyer"/>
    <s v="Michael"/>
    <s v="Small"/>
    <x v="1297"/>
  </r>
  <r>
    <n v="10296"/>
    <n v="42"/>
    <n v="102.3"/>
    <n v="2"/>
    <n v="4296.6000000000004"/>
    <d v="2019-09-15T00:00:00"/>
    <s v="Shipped"/>
    <s v="Planes"/>
    <n v="91"/>
    <s v="S700_1691"/>
    <x v="88"/>
    <s v="+49 89 61 08 9555"/>
    <s v="Hansastr. 15"/>
    <s v="Munich"/>
    <s v="80686"/>
    <s v="Germany"/>
    <s v="Donnermeyer"/>
    <s v="Michael"/>
    <s v="Medium"/>
    <x v="1298"/>
  </r>
  <r>
    <n v="10296"/>
    <n v="34"/>
    <n v="102.29"/>
    <n v="11"/>
    <n v="3477.86"/>
    <d v="2019-09-15T00:00:00"/>
    <s v="Shipped"/>
    <s v="Ships"/>
    <n v="90"/>
    <s v="S700_2047"/>
    <x v="88"/>
    <s v="+49 89 61 08 9555"/>
    <s v="Hansastr. 15"/>
    <s v="Munich"/>
    <s v="80686"/>
    <s v="Germany"/>
    <s v="Donnermeyer"/>
    <s v="Michael"/>
    <s v="Medium"/>
    <x v="1299"/>
  </r>
  <r>
    <n v="10296"/>
    <n v="24"/>
    <n v="101.71"/>
    <n v="4"/>
    <n v="2441.04"/>
    <d v="2019-09-15T00:00:00"/>
    <s v="Shipped"/>
    <s v="Planes"/>
    <n v="99"/>
    <s v="S700_2466"/>
    <x v="88"/>
    <s v="+49 89 61 08 9555"/>
    <s v="Hansastr. 15"/>
    <s v="Munich"/>
    <s v="80686"/>
    <s v="Germany"/>
    <s v="Donnermeyer"/>
    <s v="Michael"/>
    <s v="Small"/>
    <x v="966"/>
  </r>
  <r>
    <n v="10296"/>
    <n v="22"/>
    <n v="80.8"/>
    <n v="3"/>
    <n v="1777.6"/>
    <d v="2019-09-15T00:00:00"/>
    <s v="Shipped"/>
    <s v="Planes"/>
    <n v="80"/>
    <s v="S700_3167"/>
    <x v="88"/>
    <s v="+49 89 61 08 9555"/>
    <s v="Hansastr. 15"/>
    <s v="Munich"/>
    <s v="80686"/>
    <s v="Germany"/>
    <s v="Donnermeyer"/>
    <s v="Michael"/>
    <s v="Small"/>
    <x v="1300"/>
  </r>
  <r>
    <n v="10296"/>
    <n v="47"/>
    <n v="86.62"/>
    <n v="5"/>
    <n v="4071.14"/>
    <d v="2019-09-15T00:00:00"/>
    <s v="Shipped"/>
    <s v="Planes"/>
    <n v="74"/>
    <s v="S700_4002"/>
    <x v="88"/>
    <s v="+49 89 61 08 9555"/>
    <s v="Hansastr. 15"/>
    <s v="Munich"/>
    <s v="80686"/>
    <s v="Germany"/>
    <s v="Donnermeyer"/>
    <s v="Michael"/>
    <s v="Medium"/>
    <x v="234"/>
  </r>
  <r>
    <n v="10296"/>
    <n v="21"/>
    <n v="45.19"/>
    <n v="10"/>
    <n v="948.99"/>
    <d v="2019-09-15T00:00:00"/>
    <s v="Shipped"/>
    <s v="Planes"/>
    <n v="49"/>
    <s v="S72_1253"/>
    <x v="88"/>
    <s v="+49 89 61 08 9555"/>
    <s v="Hansastr. 15"/>
    <s v="Munich"/>
    <s v="80686"/>
    <s v="Germany"/>
    <s v="Donnermeyer"/>
    <s v="Michael"/>
    <s v="Small"/>
    <x v="1301"/>
  </r>
  <r>
    <n v="10297"/>
    <n v="25"/>
    <n v="82.79"/>
    <n v="4"/>
    <n v="2069.75"/>
    <d v="2019-09-16T00:00:00"/>
    <s v="Shipped"/>
    <s v="Planes"/>
    <n v="84"/>
    <s v="S18_2581"/>
    <x v="70"/>
    <s v="+353 1862 1555"/>
    <s v="25 Maiden Lane"/>
    <s v="Dublin"/>
    <s v="2"/>
    <s v="Ireland"/>
    <s v="Cassidy"/>
    <s v="Dean"/>
    <s v="Small"/>
    <x v="1302"/>
  </r>
  <r>
    <n v="10297"/>
    <n v="32"/>
    <n v="126.93"/>
    <n v="6"/>
    <n v="4061.76"/>
    <d v="2019-09-16T00:00:00"/>
    <s v="Shipped"/>
    <s v="Planes"/>
    <n v="109"/>
    <s v="S24_1785"/>
    <x v="70"/>
    <s v="+353 1862 1555"/>
    <s v="25 Maiden Lane"/>
    <s v="Dublin"/>
    <s v="2"/>
    <s v="Ireland"/>
    <s v="Cassidy"/>
    <s v="Dean"/>
    <s v="Medium"/>
    <x v="1303"/>
  </r>
  <r>
    <n v="10297"/>
    <n v="32"/>
    <n v="65.510000000000005"/>
    <n v="1"/>
    <n v="2096.3200000000002"/>
    <d v="2019-09-16T00:00:00"/>
    <s v="Shipped"/>
    <s v="Motorcycles"/>
    <n v="76"/>
    <s v="S24_2000"/>
    <x v="70"/>
    <s v="+353 1862 1555"/>
    <s v="25 Maiden Lane"/>
    <s v="Dublin"/>
    <s v="2"/>
    <s v="Ireland"/>
    <s v="Cassidy"/>
    <s v="Dean"/>
    <s v="Small"/>
    <x v="377"/>
  </r>
  <r>
    <n v="10297"/>
    <n v="23"/>
    <n v="72.45"/>
    <n v="5"/>
    <n v="1666.35"/>
    <d v="2019-09-16T00:00:00"/>
    <s v="Shipped"/>
    <s v="Planes"/>
    <n v="72"/>
    <s v="S24_4278"/>
    <x v="70"/>
    <s v="+353 1862 1555"/>
    <s v="25 Maiden Lane"/>
    <s v="Dublin"/>
    <s v="2"/>
    <s v="Ireland"/>
    <s v="Cassidy"/>
    <s v="Dean"/>
    <s v="Small"/>
    <x v="1304"/>
  </r>
  <r>
    <n v="10297"/>
    <n v="26"/>
    <n v="109.88"/>
    <n v="2"/>
    <n v="2856.88"/>
    <d v="2019-09-16T00:00:00"/>
    <s v="Shipped"/>
    <s v="Motorcycles"/>
    <n v="99"/>
    <s v="S32_1374"/>
    <x v="70"/>
    <s v="+353 1862 1555"/>
    <s v="25 Maiden Lane"/>
    <s v="Dublin"/>
    <s v="2"/>
    <s v="Ireland"/>
    <s v="Cassidy"/>
    <s v="Dean"/>
    <s v="Small"/>
    <x v="45"/>
  </r>
  <r>
    <n v="10297"/>
    <n v="28"/>
    <n v="79.8"/>
    <n v="7"/>
    <n v="2234.4"/>
    <d v="2019-09-16T00:00:00"/>
    <s v="Shipped"/>
    <s v="Vintage Cars"/>
    <n v="68"/>
    <s v="S32_4289"/>
    <x v="70"/>
    <s v="+353 1862 1555"/>
    <s v="25 Maiden Lane"/>
    <s v="Dublin"/>
    <s v="2"/>
    <s v="Ireland"/>
    <s v="Cassidy"/>
    <s v="Dean"/>
    <s v="Small"/>
    <x v="923"/>
  </r>
  <r>
    <n v="10297"/>
    <n v="35"/>
    <n v="113.9"/>
    <n v="3"/>
    <n v="3986.5"/>
    <d v="2019-09-16T00:00:00"/>
    <s v="Shipped"/>
    <s v="Planes"/>
    <n v="118"/>
    <s v="S700_2834"/>
    <x v="70"/>
    <s v="+353 1862 1555"/>
    <s v="25 Maiden Lane"/>
    <s v="Dublin"/>
    <s v="2"/>
    <s v="Ireland"/>
    <s v="Cassidy"/>
    <s v="Dean"/>
    <s v="Medium"/>
    <x v="1305"/>
  </r>
  <r>
    <n v="10298"/>
    <n v="39"/>
    <n v="96.34"/>
    <n v="1"/>
    <n v="3757.26"/>
    <d v="2019-09-27T00:00:00"/>
    <s v="Shipped"/>
    <s v="Motorcycles"/>
    <n v="118"/>
    <s v="S10_2016"/>
    <x v="22"/>
    <s v="40.32.2555"/>
    <s v="54, rue Royale"/>
    <s v="Nantes"/>
    <s v="44000"/>
    <s v="France"/>
    <s v="Schmitt"/>
    <s v="Carine"/>
    <s v="Medium"/>
    <x v="1306"/>
  </r>
  <r>
    <n v="10298"/>
    <n v="32"/>
    <n v="48.46"/>
    <n v="2"/>
    <n v="1550.72"/>
    <d v="2019-09-27T00:00:00"/>
    <s v="Shipped"/>
    <s v="Motorcycles"/>
    <n v="60"/>
    <s v="S18_2625"/>
    <x v="22"/>
    <s v="40.32.2555"/>
    <s v="54, rue Royale"/>
    <s v="Nantes"/>
    <s v="44000"/>
    <s v="France"/>
    <s v="Schmitt"/>
    <s v="Carine"/>
    <s v="Small"/>
    <x v="1307"/>
  </r>
  <r>
    <n v="10299"/>
    <n v="23"/>
    <n v="112.93"/>
    <n v="9"/>
    <n v="2597.39"/>
    <d v="2019-09-30T00:00:00"/>
    <s v="Shipped"/>
    <s v="Motorcycles"/>
    <n v="95"/>
    <s v="S10_1678"/>
    <x v="43"/>
    <s v="90-224 8555"/>
    <s v="Keskuskatu 45"/>
    <s v="Helsinki"/>
    <s v="21240"/>
    <s v="Finland"/>
    <s v="Karttunen"/>
    <s v="Matti"/>
    <s v="Small"/>
    <x v="1308"/>
  </r>
  <r>
    <n v="10299"/>
    <n v="29"/>
    <n v="230.46"/>
    <n v="11"/>
    <n v="6683.34"/>
    <d v="2019-09-30T00:00:00"/>
    <s v="Shipped"/>
    <s v="Motorcycles"/>
    <n v="193"/>
    <s v="S10_4698"/>
    <x v="43"/>
    <s v="90-224 8555"/>
    <s v="Keskuskatu 45"/>
    <s v="Helsinki"/>
    <s v="21240"/>
    <s v="Finland"/>
    <s v="Karttunen"/>
    <s v="Matti"/>
    <s v="Medium"/>
    <x v="1309"/>
  </r>
  <r>
    <n v="10299"/>
    <n v="24"/>
    <n v="173.21"/>
    <n v="8"/>
    <n v="4157.04"/>
    <d v="2019-09-30T00:00:00"/>
    <s v="Shipped"/>
    <s v="Motorcycles"/>
    <n v="150"/>
    <s v="S12_2823"/>
    <x v="43"/>
    <s v="90-224 8555"/>
    <s v="Keskuskatu 45"/>
    <s v="Helsinki"/>
    <s v="21240"/>
    <s v="Finland"/>
    <s v="Karttunen"/>
    <s v="Matti"/>
    <s v="Medium"/>
    <x v="1310"/>
  </r>
  <r>
    <n v="10299"/>
    <n v="39"/>
    <n v="55.95"/>
    <n v="3"/>
    <n v="2182.0500000000002"/>
    <d v="2019-09-30T00:00:00"/>
    <s v="Shipped"/>
    <s v="Motorcycles"/>
    <n v="62"/>
    <s v="S18_3782"/>
    <x v="43"/>
    <s v="90-224 8555"/>
    <s v="Keskuskatu 45"/>
    <s v="Helsinki"/>
    <s v="21240"/>
    <s v="Finland"/>
    <s v="Karttunen"/>
    <s v="Matti"/>
    <s v="Small"/>
    <x v="1311"/>
  </r>
  <r>
    <n v="10299"/>
    <n v="49"/>
    <n v="162.19"/>
    <n v="2"/>
    <n v="7947.31"/>
    <d v="2019-09-30T00:00:00"/>
    <s v="Shipped"/>
    <s v="Classic Cars"/>
    <n v="148"/>
    <s v="S18_4721"/>
    <x v="43"/>
    <s v="90-224 8555"/>
    <s v="Keskuskatu 45"/>
    <s v="Helsinki"/>
    <s v="21240"/>
    <s v="Finland"/>
    <s v="Karttunen"/>
    <s v="Matti"/>
    <s v="Large"/>
    <x v="1312"/>
  </r>
  <r>
    <n v="10299"/>
    <n v="47"/>
    <n v="116.08"/>
    <n v="10"/>
    <n v="5455.76"/>
    <d v="2019-09-30T00:00:00"/>
    <s v="Shipped"/>
    <s v="Motorcycles"/>
    <n v="112"/>
    <s v="S24_1578"/>
    <x v="43"/>
    <s v="90-224 8555"/>
    <s v="Keskuskatu 45"/>
    <s v="Helsinki"/>
    <s v="21240"/>
    <s v="Finland"/>
    <s v="Karttunen"/>
    <s v="Matti"/>
    <s v="Medium"/>
    <x v="551"/>
  </r>
  <r>
    <n v="10299"/>
    <n v="33"/>
    <n v="66.489999999999995"/>
    <n v="6"/>
    <n v="2194.17"/>
    <d v="2019-09-30T00:00:00"/>
    <s v="Shipped"/>
    <s v="Motorcycles"/>
    <n v="69"/>
    <s v="S24_2360"/>
    <x v="43"/>
    <s v="90-224 8555"/>
    <s v="Keskuskatu 45"/>
    <s v="Helsinki"/>
    <s v="21240"/>
    <s v="Finland"/>
    <s v="Karttunen"/>
    <s v="Matti"/>
    <s v="Small"/>
    <x v="1313"/>
  </r>
  <r>
    <n v="10299"/>
    <n v="32"/>
    <n v="80.84"/>
    <n v="1"/>
    <n v="2586.88"/>
    <d v="2019-09-30T00:00:00"/>
    <s v="Shipped"/>
    <s v="Classic Cars"/>
    <n v="80"/>
    <s v="S24_4620"/>
    <x v="43"/>
    <s v="90-224 8555"/>
    <s v="Keskuskatu 45"/>
    <s v="Helsinki"/>
    <s v="21240"/>
    <s v="Finland"/>
    <s v="Karttunen"/>
    <s v="Matti"/>
    <s v="Small"/>
    <x v="145"/>
  </r>
  <r>
    <n v="10299"/>
    <n v="24"/>
    <n v="42.24"/>
    <n v="4"/>
    <n v="1013.76"/>
    <d v="2019-09-30T00:00:00"/>
    <s v="Shipped"/>
    <s v="Motorcycles"/>
    <n v="40"/>
    <s v="S32_2206"/>
    <x v="43"/>
    <s v="90-224 8555"/>
    <s v="Keskuskatu 45"/>
    <s v="Helsinki"/>
    <s v="21240"/>
    <s v="Finland"/>
    <s v="Karttunen"/>
    <s v="Matti"/>
    <s v="Small"/>
    <x v="1314"/>
  </r>
  <r>
    <n v="10299"/>
    <n v="38"/>
    <n v="115.32"/>
    <n v="7"/>
    <n v="4382.16"/>
    <d v="2019-09-30T00:00:00"/>
    <s v="Shipped"/>
    <s v="Motorcycles"/>
    <n v="102"/>
    <s v="S32_4485"/>
    <x v="43"/>
    <s v="90-224 8555"/>
    <s v="Keskuskatu 45"/>
    <s v="Helsinki"/>
    <s v="21240"/>
    <s v="Finland"/>
    <s v="Karttunen"/>
    <s v="Matti"/>
    <s v="Medium"/>
    <x v="1315"/>
  </r>
  <r>
    <n v="10299"/>
    <n v="44"/>
    <n v="80.55"/>
    <n v="5"/>
    <n v="3544.2"/>
    <d v="2019-09-30T00:00:00"/>
    <s v="Shipped"/>
    <s v="Motorcycles"/>
    <n v="81"/>
    <s v="S50_4713"/>
    <x v="43"/>
    <s v="90-224 8555"/>
    <s v="Keskuskatu 45"/>
    <s v="Helsinki"/>
    <s v="21240"/>
    <s v="Finland"/>
    <s v="Karttunen"/>
    <s v="Matti"/>
    <s v="Medium"/>
    <x v="736"/>
  </r>
  <r>
    <n v="10303"/>
    <n v="46"/>
    <n v="49.04"/>
    <n v="2"/>
    <n v="2255.84"/>
    <d v="2019-10-06T00:00:00"/>
    <s v="Shipped"/>
    <s v="Vintage Cars"/>
    <n v="60"/>
    <s v="S18_2248"/>
    <x v="57"/>
    <s v="(95) 555 82 82"/>
    <s v="C/ Romero, 33"/>
    <s v="Sevilla"/>
    <s v="41101"/>
    <s v="Spain"/>
    <s v="Roel"/>
    <s v="Jose Pedro"/>
    <s v="Small"/>
    <x v="547"/>
  </r>
  <r>
    <n v="10303"/>
    <n v="24"/>
    <n v="40.21"/>
    <n v="1"/>
    <n v="965.04"/>
    <d v="2019-10-06T00:00:00"/>
    <s v="Shipped"/>
    <s v="Vintage Cars"/>
    <n v="41"/>
    <s v="S24_3969"/>
    <x v="57"/>
    <s v="(95) 555 82 82"/>
    <s v="C/ Romero, 33"/>
    <s v="Sevilla"/>
    <s v="41101"/>
    <s v="Spain"/>
    <s v="Roel"/>
    <s v="Jose Pedro"/>
    <s v="Small"/>
    <x v="1316"/>
  </r>
  <r>
    <n v="10304"/>
    <n v="47"/>
    <n v="216.44"/>
    <n v="6"/>
    <n v="10172.700000000001"/>
    <d v="2019-10-11T00:00:00"/>
    <s v="Shipped"/>
    <s v="Classic Cars"/>
    <n v="214"/>
    <s v="S10_1949"/>
    <x v="68"/>
    <s v="30.59.8555"/>
    <s v="67, avenue de l'Europe"/>
    <s v="Versailles"/>
    <s v="78000"/>
    <s v="France"/>
    <s v="Tonini"/>
    <s v="Daniel"/>
    <s v="Large"/>
    <x v="1317"/>
  </r>
  <r>
    <n v="10304"/>
    <n v="39"/>
    <n v="164"/>
    <n v="3"/>
    <n v="6396"/>
    <d v="2019-10-11T00:00:00"/>
    <s v="Shipped"/>
    <s v="Trucks and Buses"/>
    <n v="136"/>
    <s v="S12_1666"/>
    <x v="68"/>
    <s v="30.59.8555"/>
    <s v="67, avenue de l'Europe"/>
    <s v="Versailles"/>
    <s v="78000"/>
    <s v="France"/>
    <s v="Tonini"/>
    <s v="Daniel"/>
    <s v="Medium"/>
    <x v="1318"/>
  </r>
  <r>
    <n v="10304"/>
    <n v="46"/>
    <n v="98"/>
    <n v="5"/>
    <n v="4508"/>
    <d v="2019-10-11T00:00:00"/>
    <s v="Shipped"/>
    <s v="Trucks and Buses"/>
    <n v="116"/>
    <s v="S18_1097"/>
    <x v="68"/>
    <s v="30.59.8555"/>
    <s v="67, avenue de l'Europe"/>
    <s v="Versailles"/>
    <s v="78000"/>
    <s v="France"/>
    <s v="Tonini"/>
    <s v="Daniel"/>
    <s v="Medium"/>
    <x v="1065"/>
  </r>
  <r>
    <n v="10304"/>
    <n v="37"/>
    <n v="95.55"/>
    <n v="13"/>
    <n v="3535.35"/>
    <d v="2019-10-11T00:00:00"/>
    <s v="Shipped"/>
    <s v="Vintage Cars"/>
    <n v="102"/>
    <s v="S18_1342"/>
    <x v="68"/>
    <s v="30.59.8555"/>
    <s v="67, avenue de l'Europe"/>
    <s v="Versailles"/>
    <s v="78000"/>
    <s v="France"/>
    <s v="Tonini"/>
    <s v="Daniel"/>
    <s v="Medium"/>
    <x v="583"/>
  </r>
  <r>
    <n v="10304"/>
    <n v="37"/>
    <n v="48.52"/>
    <n v="12"/>
    <n v="1795.24"/>
    <d v="2019-10-11T00:00:00"/>
    <s v="Shipped"/>
    <s v="Vintage Cars"/>
    <n v="53"/>
    <s v="S18_1367"/>
    <x v="68"/>
    <s v="30.59.8555"/>
    <s v="67, avenue de l'Europe"/>
    <s v="Versailles"/>
    <s v="78000"/>
    <s v="France"/>
    <s v="Tonini"/>
    <s v="Daniel"/>
    <s v="Small"/>
    <x v="1319"/>
  </r>
  <r>
    <n v="10304"/>
    <n v="24"/>
    <n v="101.7"/>
    <n v="17"/>
    <n v="2440.8000000000002"/>
    <d v="2019-10-11T00:00:00"/>
    <s v="Shipped"/>
    <s v="Vintage Cars"/>
    <n v="127"/>
    <s v="S18_2325"/>
    <x v="68"/>
    <s v="30.59.8555"/>
    <s v="67, avenue de l'Europe"/>
    <s v="Versailles"/>
    <s v="78000"/>
    <s v="France"/>
    <s v="Tonini"/>
    <s v="Daniel"/>
    <s v="Small"/>
    <x v="443"/>
  </r>
  <r>
    <n v="10304"/>
    <n v="20"/>
    <n v="178.88"/>
    <n v="14"/>
    <n v="3577.6"/>
    <d v="2019-10-11T00:00:00"/>
    <s v="Shipped"/>
    <s v="Vintage Cars"/>
    <n v="168"/>
    <s v="S18_2795"/>
    <x v="68"/>
    <s v="30.59.8555"/>
    <s v="67, avenue de l'Europe"/>
    <s v="Versailles"/>
    <s v="78000"/>
    <s v="France"/>
    <s v="Tonini"/>
    <s v="Daniel"/>
    <s v="Medium"/>
    <x v="1229"/>
  </r>
  <r>
    <n v="10304"/>
    <n v="46"/>
    <n v="100.3"/>
    <n v="7"/>
    <n v="4613.8"/>
    <d v="2019-10-11T00:00:00"/>
    <s v="Shipped"/>
    <s v="Vintage Cars"/>
    <n v="101"/>
    <s v="S18_2949"/>
    <x v="68"/>
    <s v="30.59.8555"/>
    <s v="67, avenue de l'Europe"/>
    <s v="Versailles"/>
    <s v="78000"/>
    <s v="France"/>
    <s v="Tonini"/>
    <s v="Daniel"/>
    <s v="Medium"/>
    <x v="477"/>
  </r>
  <r>
    <n v="10304"/>
    <n v="24"/>
    <n v="64.959999999999994"/>
    <n v="9"/>
    <n v="1559.04"/>
    <d v="2019-10-11T00:00:00"/>
    <s v="Shipped"/>
    <s v="Vintage Cars"/>
    <n v="62"/>
    <s v="S18_2957"/>
    <x v="68"/>
    <s v="30.59.8555"/>
    <s v="67, avenue de l'Europe"/>
    <s v="Versailles"/>
    <s v="78000"/>
    <s v="France"/>
    <s v="Tonini"/>
    <s v="Daniel"/>
    <s v="Small"/>
    <x v="450"/>
  </r>
  <r>
    <n v="10304"/>
    <n v="26"/>
    <n v="85.87"/>
    <n v="8"/>
    <n v="2232.62"/>
    <d v="2019-10-11T00:00:00"/>
    <s v="Shipped"/>
    <s v="Vintage Cars"/>
    <n v="104"/>
    <s v="S18_3136"/>
    <x v="68"/>
    <s v="30.59.8555"/>
    <s v="67, avenue de l'Europe"/>
    <s v="Versailles"/>
    <s v="78000"/>
    <s v="France"/>
    <s v="Tonini"/>
    <s v="Daniel"/>
    <s v="Small"/>
    <x v="1070"/>
  </r>
  <r>
    <n v="10304"/>
    <n v="38"/>
    <n v="104.17"/>
    <n v="11"/>
    <n v="3958.46"/>
    <d v="2019-10-11T00:00:00"/>
    <s v="Shipped"/>
    <s v="Vintage Cars"/>
    <n v="99"/>
    <s v="S18_3320"/>
    <x v="68"/>
    <s v="30.59.8555"/>
    <s v="67, avenue de l'Europe"/>
    <s v="Versailles"/>
    <s v="78000"/>
    <s v="France"/>
    <s v="Tonini"/>
    <s v="Daniel"/>
    <s v="Medium"/>
    <x v="1320"/>
  </r>
  <r>
    <n v="10304"/>
    <n v="34"/>
    <n v="49.3"/>
    <n v="4"/>
    <n v="1676.2"/>
    <d v="2019-10-11T00:00:00"/>
    <s v="Shipped"/>
    <s v="Vintage Cars"/>
    <n v="50"/>
    <s v="S18_4668"/>
    <x v="68"/>
    <s v="30.59.8555"/>
    <s v="67, avenue de l'Europe"/>
    <s v="Versailles"/>
    <s v="78000"/>
    <s v="France"/>
    <s v="Tonini"/>
    <s v="Daniel"/>
    <s v="Small"/>
    <x v="1321"/>
  </r>
  <r>
    <n v="10304"/>
    <n v="23"/>
    <n v="30.2"/>
    <n v="16"/>
    <n v="694.6"/>
    <d v="2019-10-11T00:00:00"/>
    <s v="Shipped"/>
    <s v="Vintage Cars"/>
    <n v="33"/>
    <s v="S24_1937"/>
    <x v="68"/>
    <s v="30.59.8555"/>
    <s v="67, avenue de l'Europe"/>
    <s v="Versailles"/>
    <s v="78000"/>
    <s v="France"/>
    <s v="Tonini"/>
    <s v="Daniel"/>
    <s v="Small"/>
    <x v="385"/>
  </r>
  <r>
    <n v="10304"/>
    <n v="44"/>
    <n v="39.42"/>
    <n v="15"/>
    <n v="1734.48"/>
    <d v="2019-10-11T00:00:00"/>
    <s v="Shipped"/>
    <s v="Vintage Cars"/>
    <n v="44"/>
    <s v="S24_2022"/>
    <x v="68"/>
    <s v="30.59.8555"/>
    <s v="67, avenue de l'Europe"/>
    <s v="Versailles"/>
    <s v="78000"/>
    <s v="France"/>
    <s v="Tonini"/>
    <s v="Daniel"/>
    <s v="Small"/>
    <x v="946"/>
  </r>
  <r>
    <n v="10304"/>
    <n v="33"/>
    <n v="101.29"/>
    <n v="10"/>
    <n v="3342.57"/>
    <d v="2019-10-11T00:00:00"/>
    <s v="Shipped"/>
    <s v="Vintage Cars"/>
    <n v="97"/>
    <s v="S24_4258"/>
    <x v="68"/>
    <s v="30.59.8555"/>
    <s v="67, avenue de l'Europe"/>
    <s v="Versailles"/>
    <s v="78000"/>
    <s v="France"/>
    <s v="Tonini"/>
    <s v="Daniel"/>
    <s v="Medium"/>
    <x v="1322"/>
  </r>
  <r>
    <n v="10304"/>
    <n v="36"/>
    <n v="73.040000000000006"/>
    <n v="2"/>
    <n v="2629.44"/>
    <d v="2019-10-11T00:00:00"/>
    <s v="Shipped"/>
    <s v="Trucks and Buses"/>
    <n v="64"/>
    <s v="S32_3522"/>
    <x v="68"/>
    <s v="30.59.8555"/>
    <s v="67, avenue de l'Europe"/>
    <s v="Versailles"/>
    <s v="78000"/>
    <s v="France"/>
    <s v="Tonini"/>
    <s v="Daniel"/>
    <s v="Small"/>
    <x v="1323"/>
  </r>
  <r>
    <n v="10304"/>
    <n v="40"/>
    <n v="105.2"/>
    <n v="1"/>
    <n v="4208"/>
    <d v="2019-10-11T00:00:00"/>
    <s v="Shipped"/>
    <s v="Classic Cars"/>
    <n v="101"/>
    <s v="S700_2824"/>
    <x v="68"/>
    <s v="30.59.8555"/>
    <s v="67, avenue de l'Europe"/>
    <s v="Versailles"/>
    <s v="78000"/>
    <s v="France"/>
    <s v="Tonini"/>
    <s v="Daniel"/>
    <s v="Medium"/>
    <x v="1324"/>
  </r>
  <r>
    <n v="10305"/>
    <n v="38"/>
    <n v="175.81"/>
    <n v="13"/>
    <n v="6680.78"/>
    <d v="2019-10-13T00:00:00"/>
    <s v="Shipped"/>
    <s v="Classic Cars"/>
    <n v="147"/>
    <s v="S10_4962"/>
    <x v="87"/>
    <s v="6175558555"/>
    <s v="39323 Spinnaker Dr."/>
    <s v="Cambridge"/>
    <s v="51247"/>
    <s v="USA"/>
    <s v="Hernandez"/>
    <s v="Marta"/>
    <s v="Medium"/>
    <x v="1325"/>
  </r>
  <r>
    <n v="10305"/>
    <n v="38"/>
    <n v="125.61"/>
    <n v="5"/>
    <n v="4773.18"/>
    <d v="2019-10-13T00:00:00"/>
    <s v="Shipped"/>
    <s v="Trucks and Buses"/>
    <n v="118"/>
    <s v="S12_4473"/>
    <x v="87"/>
    <s v="6175558555"/>
    <s v="39323 Spinnaker Dr."/>
    <s v="Cambridge"/>
    <s v="51247"/>
    <s v="USA"/>
    <s v="Hernandez"/>
    <s v="Marta"/>
    <s v="Medium"/>
    <x v="1326"/>
  </r>
  <r>
    <n v="10305"/>
    <n v="27"/>
    <n v="145.72"/>
    <n v="4"/>
    <n v="3934.44"/>
    <d v="2019-10-13T00:00:00"/>
    <s v="Shipped"/>
    <s v="Classic Cars"/>
    <n v="163"/>
    <s v="S18_2238"/>
    <x v="87"/>
    <s v="6175558555"/>
    <s v="39323 Spinnaker Dr."/>
    <s v="Cambridge"/>
    <s v="51247"/>
    <s v="USA"/>
    <s v="Hernandez"/>
    <s v="Marta"/>
    <s v="Medium"/>
    <x v="1327"/>
  </r>
  <r>
    <n v="10305"/>
    <n v="36"/>
    <n v="133.78"/>
    <n v="8"/>
    <n v="4816.08"/>
    <d v="2019-10-13T00:00:00"/>
    <s v="Shipped"/>
    <s v="Trucks and Buses"/>
    <n v="122"/>
    <s v="S18_2319"/>
    <x v="87"/>
    <s v="6175558555"/>
    <s v="39323 Spinnaker Dr."/>
    <s v="Cambridge"/>
    <s v="51247"/>
    <s v="USA"/>
    <s v="Hernandez"/>
    <s v="Marta"/>
    <s v="Medium"/>
    <x v="683"/>
  </r>
  <r>
    <n v="10305"/>
    <n v="41"/>
    <n v="53.48"/>
    <n v="11"/>
    <n v="2192.6799999999998"/>
    <d v="2019-10-13T00:00:00"/>
    <s v="Shipped"/>
    <s v="Trucks and Buses"/>
    <n v="60"/>
    <s v="S18_2432"/>
    <x v="87"/>
    <s v="6175558555"/>
    <s v="39323 Spinnaker Dr."/>
    <s v="Cambridge"/>
    <s v="51247"/>
    <s v="USA"/>
    <s v="Hernandez"/>
    <s v="Marta"/>
    <s v="Small"/>
    <x v="416"/>
  </r>
  <r>
    <n v="10305"/>
    <n v="37"/>
    <n v="201.51"/>
    <n v="9"/>
    <n v="7455.87"/>
    <d v="2019-10-13T00:00:00"/>
    <s v="Shipped"/>
    <s v="Classic Cars"/>
    <n v="169"/>
    <s v="S18_3232"/>
    <x v="87"/>
    <s v="6175558555"/>
    <s v="39323 Spinnaker Dr."/>
    <s v="Cambridge"/>
    <s v="51247"/>
    <s v="USA"/>
    <s v="Hernandez"/>
    <s v="Marta"/>
    <s v="Large"/>
    <x v="1328"/>
  </r>
  <r>
    <n v="10305"/>
    <n v="22"/>
    <n v="99.29"/>
    <n v="14"/>
    <n v="2184.38"/>
    <d v="2019-10-13T00:00:00"/>
    <s v="Shipped"/>
    <s v="Trucks and Buses"/>
    <n v="121"/>
    <s v="S18_4600"/>
    <x v="87"/>
    <s v="6175558555"/>
    <s v="39323 Spinnaker Dr."/>
    <s v="Cambridge"/>
    <s v="51247"/>
    <s v="USA"/>
    <s v="Hernandez"/>
    <s v="Marta"/>
    <s v="Small"/>
    <x v="167"/>
  </r>
  <r>
    <n v="10305"/>
    <n v="45"/>
    <n v="61.85"/>
    <n v="2"/>
    <n v="2783.25"/>
    <d v="2019-10-13T00:00:00"/>
    <s v="Shipped"/>
    <s v="Classic Cars"/>
    <n v="57"/>
    <s v="S24_1444"/>
    <x v="87"/>
    <s v="6175558555"/>
    <s v="39323 Spinnaker Dr."/>
    <s v="Cambridge"/>
    <s v="51247"/>
    <s v="USA"/>
    <s v="Hernandez"/>
    <s v="Marta"/>
    <s v="Small"/>
    <x v="96"/>
  </r>
  <r>
    <n v="10305"/>
    <n v="24"/>
    <n v="132.9"/>
    <n v="10"/>
    <n v="3189.6"/>
    <d v="2019-10-13T00:00:00"/>
    <s v="Shipped"/>
    <s v="Trucks and Buses"/>
    <n v="127"/>
    <s v="S24_2300"/>
    <x v="87"/>
    <s v="6175558555"/>
    <s v="39323 Spinnaker Dr."/>
    <s v="Cambridge"/>
    <s v="51247"/>
    <s v="USA"/>
    <s v="Hernandez"/>
    <s v="Marta"/>
    <s v="Medium"/>
    <x v="1329"/>
  </r>
  <r>
    <n v="10305"/>
    <n v="48"/>
    <n v="31.47"/>
    <n v="6"/>
    <n v="1510.56"/>
    <d v="2019-10-13T00:00:00"/>
    <s v="Shipped"/>
    <s v="Classic Cars"/>
    <n v="35"/>
    <s v="S24_2840"/>
    <x v="87"/>
    <s v="6175558555"/>
    <s v="39323 Spinnaker Dr."/>
    <s v="Cambridge"/>
    <s v="51247"/>
    <s v="USA"/>
    <s v="Hernandez"/>
    <s v="Marta"/>
    <s v="Small"/>
    <x v="1330"/>
  </r>
  <r>
    <n v="10305"/>
    <n v="36"/>
    <n v="128.93"/>
    <n v="1"/>
    <n v="4641.4799999999996"/>
    <d v="2019-10-13T00:00:00"/>
    <s v="Shipped"/>
    <s v="Classic Cars"/>
    <n v="118"/>
    <s v="S24_4048"/>
    <x v="87"/>
    <s v="6175558555"/>
    <s v="39323 Spinnaker Dr."/>
    <s v="Cambridge"/>
    <s v="51247"/>
    <s v="USA"/>
    <s v="Hernandez"/>
    <s v="Marta"/>
    <s v="Medium"/>
    <x v="170"/>
  </r>
  <r>
    <n v="10305"/>
    <n v="28"/>
    <n v="112.68"/>
    <n v="12"/>
    <n v="3155.04"/>
    <d v="2019-10-13T00:00:00"/>
    <s v="Shipped"/>
    <s v="Trucks and Buses"/>
    <n v="96"/>
    <s v="S32_1268"/>
    <x v="87"/>
    <s v="6175558555"/>
    <s v="39323 Spinnaker Dr."/>
    <s v="Cambridge"/>
    <s v="51247"/>
    <s v="USA"/>
    <s v="Hernandez"/>
    <s v="Marta"/>
    <s v="Medium"/>
    <x v="1232"/>
  </r>
  <r>
    <n v="10305"/>
    <n v="40"/>
    <n v="57.9"/>
    <n v="7"/>
    <n v="2316"/>
    <d v="2019-10-13T00:00:00"/>
    <s v="Shipped"/>
    <s v="Trucks and Buses"/>
    <n v="54"/>
    <s v="S32_2509"/>
    <x v="87"/>
    <s v="6175558555"/>
    <s v="39323 Spinnaker Dr."/>
    <s v="Cambridge"/>
    <s v="51247"/>
    <s v="USA"/>
    <s v="Hernandez"/>
    <s v="Marta"/>
    <s v="Small"/>
    <x v="1331"/>
  </r>
  <r>
    <n v="10305"/>
    <n v="42"/>
    <n v="109.96"/>
    <n v="3"/>
    <n v="4618.32"/>
    <d v="2019-10-13T00:00:00"/>
    <s v="Shipped"/>
    <s v="Trucks and Buses"/>
    <n v="115"/>
    <s v="S50_1392"/>
    <x v="87"/>
    <s v="6175558555"/>
    <s v="39323 Spinnaker Dr."/>
    <s v="Cambridge"/>
    <s v="51247"/>
    <s v="USA"/>
    <s v="Hernandez"/>
    <s v="Marta"/>
    <s v="Medium"/>
    <x v="1332"/>
  </r>
  <r>
    <n v="10307"/>
    <n v="22"/>
    <n v="122.4"/>
    <n v="9"/>
    <n v="2692.8"/>
    <d v="2019-10-14T00:00:00"/>
    <s v="Shipped"/>
    <s v="Classic Cars"/>
    <n v="136"/>
    <s v="S10_4757"/>
    <x v="55"/>
    <s v="2155554695"/>
    <s v="782 First Street"/>
    <s v="Philadelphia"/>
    <s v="71270"/>
    <s v="USA"/>
    <s v="Cervantes"/>
    <s v="Francisca"/>
    <s v="Small"/>
    <x v="1333"/>
  </r>
  <r>
    <n v="10306"/>
    <n v="31"/>
    <n v="211.96"/>
    <n v="13"/>
    <n v="6570.76"/>
    <d v="2019-10-14T00:00:00"/>
    <s v="Shipped"/>
    <s v="Classic Cars"/>
    <n v="207"/>
    <s v="S12_1108"/>
    <x v="10"/>
    <s v="(171) 555-1555"/>
    <s v="Fauntleroy Circus"/>
    <s v="Manchester"/>
    <s v="EC2 5NT"/>
    <s v="UK"/>
    <s v="Ashworth"/>
    <s v="Victoria"/>
    <s v="Medium"/>
    <x v="1334"/>
  </r>
  <r>
    <n v="10306"/>
    <n v="34"/>
    <n v="146.55000000000001"/>
    <n v="14"/>
    <n v="4982.7"/>
    <d v="2019-10-14T00:00:00"/>
    <s v="Shipped"/>
    <s v="Classic Cars"/>
    <n v="151"/>
    <s v="S12_3148"/>
    <x v="10"/>
    <s v="(171) 555-1555"/>
    <s v="Fauntleroy Circus"/>
    <s v="Manchester"/>
    <s v="EC2 5NT"/>
    <s v="UK"/>
    <s v="Ashworth"/>
    <s v="Victoria"/>
    <s v="Medium"/>
    <x v="1335"/>
  </r>
  <r>
    <n v="10306"/>
    <n v="20"/>
    <n v="181.67"/>
    <n v="12"/>
    <n v="3633.4"/>
    <d v="2019-10-14T00:00:00"/>
    <s v="Shipped"/>
    <s v="Classic Cars"/>
    <n v="173"/>
    <s v="S12_3891"/>
    <x v="10"/>
    <s v="(171) 555-1555"/>
    <s v="Fauntleroy Circus"/>
    <s v="Manchester"/>
    <s v="EC2 5NT"/>
    <s v="UK"/>
    <s v="Ashworth"/>
    <s v="Victoria"/>
    <s v="Medium"/>
    <x v="1336"/>
  </r>
  <r>
    <n v="10307"/>
    <n v="39"/>
    <n v="189.23"/>
    <n v="1"/>
    <n v="7379.97"/>
    <d v="2019-10-14T00:00:00"/>
    <s v="Shipped"/>
    <s v="Planes"/>
    <n v="157"/>
    <s v="S18_1662"/>
    <x v="55"/>
    <s v="2155554695"/>
    <s v="782 First Street"/>
    <s v="Philadelphia"/>
    <s v="71270"/>
    <s v="USA"/>
    <s v="Cervantes"/>
    <s v="Francisca"/>
    <s v="Large"/>
    <x v="670"/>
  </r>
  <r>
    <n v="10307"/>
    <n v="31"/>
    <n v="83.44"/>
    <n v="7"/>
    <n v="2586.64"/>
    <d v="2019-10-14T00:00:00"/>
    <s v="Shipped"/>
    <s v="Ships"/>
    <n v="86"/>
    <s v="S18_3029"/>
    <x v="55"/>
    <s v="2155554695"/>
    <s v="782 First Street"/>
    <s v="Philadelphia"/>
    <s v="71270"/>
    <s v="USA"/>
    <s v="Cervantes"/>
    <s v="Francisca"/>
    <s v="Small"/>
    <x v="1337"/>
  </r>
  <r>
    <n v="10306"/>
    <n v="32"/>
    <n v="117.47"/>
    <n v="9"/>
    <n v="3759.04"/>
    <d v="2019-10-14T00:00:00"/>
    <s v="Shipped"/>
    <s v="Vintage Cars"/>
    <n v="136"/>
    <s v="S18_3140"/>
    <x v="10"/>
    <s v="(171) 555-1555"/>
    <s v="Fauntleroy Circus"/>
    <s v="Manchester"/>
    <s v="EC2 5NT"/>
    <s v="UK"/>
    <s v="Ashworth"/>
    <s v="Victoria"/>
    <s v="Medium"/>
    <x v="445"/>
  </r>
  <r>
    <n v="10306"/>
    <n v="40"/>
    <n v="91.76"/>
    <n v="11"/>
    <n v="3670.4"/>
    <d v="2019-10-14T00:00:00"/>
    <s v="Shipped"/>
    <s v="Trains"/>
    <n v="100"/>
    <s v="S18_3259"/>
    <x v="10"/>
    <s v="(171) 555-1555"/>
    <s v="Fauntleroy Circus"/>
    <s v="Manchester"/>
    <s v="EC2 5NT"/>
    <s v="UK"/>
    <s v="Ashworth"/>
    <s v="Victoria"/>
    <s v="Medium"/>
    <x v="1338"/>
  </r>
  <r>
    <n v="10307"/>
    <n v="48"/>
    <n v="86.81"/>
    <n v="6"/>
    <n v="4166.88"/>
    <d v="2019-10-14T00:00:00"/>
    <s v="Shipped"/>
    <s v="Vintage Cars"/>
    <n v="105"/>
    <s v="S18_3856"/>
    <x v="55"/>
    <s v="2155554695"/>
    <s v="782 First Street"/>
    <s v="Philadelphia"/>
    <s v="71270"/>
    <s v="USA"/>
    <s v="Cervantes"/>
    <s v="Francisca"/>
    <s v="Medium"/>
    <x v="1339"/>
  </r>
  <r>
    <n v="10306"/>
    <n v="23"/>
    <n v="156.55000000000001"/>
    <n v="16"/>
    <n v="3600.65"/>
    <d v="2019-10-14T00:00:00"/>
    <s v="Shipped"/>
    <s v="Classic Cars"/>
    <n v="143"/>
    <s v="S18_4027"/>
    <x v="10"/>
    <s v="(171) 555-1555"/>
    <s v="Fauntleroy Circus"/>
    <s v="Manchester"/>
    <s v="EC2 5NT"/>
    <s v="UK"/>
    <s v="Ashworth"/>
    <s v="Victoria"/>
    <s v="Medium"/>
    <x v="958"/>
  </r>
  <r>
    <n v="10306"/>
    <n v="39"/>
    <n v="90.4"/>
    <n v="8"/>
    <n v="3525.6"/>
    <d v="2019-10-14T00:00:00"/>
    <s v="Shipped"/>
    <s v="Vintage Cars"/>
    <n v="87"/>
    <s v="S18_4522"/>
    <x v="10"/>
    <s v="(171) 555-1555"/>
    <s v="Fauntleroy Circus"/>
    <s v="Manchester"/>
    <s v="EC2 5NT"/>
    <s v="UK"/>
    <s v="Ashworth"/>
    <s v="Victoria"/>
    <s v="Medium"/>
    <x v="1340"/>
  </r>
  <r>
    <n v="10306"/>
    <n v="29"/>
    <n v="110.6"/>
    <n v="7"/>
    <n v="3207.4"/>
    <d v="2019-10-14T00:00:00"/>
    <s v="Shipped"/>
    <s v="Ships"/>
    <n v="122"/>
    <s v="S24_2011"/>
    <x v="10"/>
    <s v="(171) 555-1555"/>
    <s v="Fauntleroy Circus"/>
    <s v="Manchester"/>
    <s v="EC2 5NT"/>
    <s v="UK"/>
    <s v="Ashworth"/>
    <s v="Victoria"/>
    <s v="Medium"/>
    <x v="746"/>
  </r>
  <r>
    <n v="10307"/>
    <n v="25"/>
    <n v="75.36"/>
    <n v="2"/>
    <n v="1884"/>
    <d v="2019-10-14T00:00:00"/>
    <s v="Shipped"/>
    <s v="Planes"/>
    <n v="68"/>
    <s v="S24_2841"/>
    <x v="55"/>
    <s v="2155554695"/>
    <s v="782 First Street"/>
    <s v="Philadelphia"/>
    <s v="71270"/>
    <s v="USA"/>
    <s v="Cervantes"/>
    <s v="Francisca"/>
    <s v="Small"/>
    <x v="1341"/>
  </r>
  <r>
    <n v="10306"/>
    <n v="31"/>
    <n v="84.08"/>
    <n v="2"/>
    <n v="2606.48"/>
    <d v="2019-10-14T00:00:00"/>
    <s v="Shipped"/>
    <s v="Vintage Cars"/>
    <n v="88"/>
    <s v="S24_3151"/>
    <x v="10"/>
    <s v="(171) 555-1555"/>
    <s v="Fauntleroy Circus"/>
    <s v="Manchester"/>
    <s v="EC2 5NT"/>
    <s v="UK"/>
    <s v="Ashworth"/>
    <s v="Victoria"/>
    <s v="Small"/>
    <x v="1342"/>
  </r>
  <r>
    <n v="10307"/>
    <n v="22"/>
    <n v="71.67"/>
    <n v="3"/>
    <n v="1576.74"/>
    <d v="2019-10-14T00:00:00"/>
    <s v="Shipped"/>
    <s v="Vintage Cars"/>
    <n v="65"/>
    <s v="S24_3420"/>
    <x v="55"/>
    <s v="2155554695"/>
    <s v="782 First Street"/>
    <s v="Philadelphia"/>
    <s v="71270"/>
    <s v="USA"/>
    <s v="Cervantes"/>
    <s v="Francisca"/>
    <s v="Small"/>
    <x v="711"/>
  </r>
  <r>
    <n v="10307"/>
    <n v="22"/>
    <n v="91.41"/>
    <n v="8"/>
    <n v="2011.02"/>
    <d v="2019-10-14T00:00:00"/>
    <s v="Shipped"/>
    <s v="Vintage Cars"/>
    <n v="83"/>
    <s v="S24_3816"/>
    <x v="55"/>
    <s v="2155554695"/>
    <s v="782 First Street"/>
    <s v="Philadelphia"/>
    <s v="71270"/>
    <s v="USA"/>
    <s v="Cervantes"/>
    <s v="Francisca"/>
    <s v="Small"/>
    <x v="518"/>
  </r>
  <r>
    <n v="10306"/>
    <n v="46"/>
    <n v="50.33"/>
    <n v="17"/>
    <n v="2315.1799999999998"/>
    <d v="2019-10-14T00:00:00"/>
    <s v="Shipped"/>
    <s v="Trains"/>
    <n v="62"/>
    <s v="S32_3207"/>
    <x v="10"/>
    <s v="(171) 555-1555"/>
    <s v="Fauntleroy Circus"/>
    <s v="Manchester"/>
    <s v="EC2 5NT"/>
    <s v="UK"/>
    <s v="Ashworth"/>
    <s v="Victoria"/>
    <s v="Small"/>
    <x v="1343"/>
  </r>
  <r>
    <n v="10306"/>
    <n v="34"/>
    <n v="60.34"/>
    <n v="15"/>
    <n v="2051.56"/>
    <d v="2019-10-14T00:00:00"/>
    <s v="Shipped"/>
    <s v="Trains"/>
    <n v="58"/>
    <s v="S50_1514"/>
    <x v="10"/>
    <s v="(171) 555-1555"/>
    <s v="Fauntleroy Circus"/>
    <s v="Manchester"/>
    <s v="EC2 5NT"/>
    <s v="UK"/>
    <s v="Ashworth"/>
    <s v="Victoria"/>
    <s v="Small"/>
    <x v="1344"/>
  </r>
  <r>
    <n v="10306"/>
    <n v="50"/>
    <n v="54"/>
    <n v="3"/>
    <n v="2700"/>
    <d v="2019-10-14T00:00:00"/>
    <s v="Shipped"/>
    <s v="Ships"/>
    <n v="66"/>
    <s v="S700_1138"/>
    <x v="10"/>
    <s v="(171) 555-1555"/>
    <s v="Fauntleroy Circus"/>
    <s v="Manchester"/>
    <s v="EC2 5NT"/>
    <s v="UK"/>
    <s v="Ashworth"/>
    <s v="Victoria"/>
    <s v="Small"/>
    <x v="1345"/>
  </r>
  <r>
    <n v="10306"/>
    <n v="38"/>
    <n v="91.81"/>
    <n v="10"/>
    <n v="3488.78"/>
    <d v="2019-10-14T00:00:00"/>
    <s v="Shipped"/>
    <s v="Ships"/>
    <n v="86"/>
    <s v="S700_1938"/>
    <x v="10"/>
    <s v="(171) 555-1555"/>
    <s v="Fauntleroy Circus"/>
    <s v="Manchester"/>
    <s v="EC2 5NT"/>
    <s v="UK"/>
    <s v="Ashworth"/>
    <s v="Victoria"/>
    <s v="Medium"/>
    <x v="1346"/>
  </r>
  <r>
    <n v="10307"/>
    <n v="34"/>
    <n v="97.76"/>
    <n v="5"/>
    <n v="3323.84"/>
    <d v="2019-10-14T00:00:00"/>
    <s v="Shipped"/>
    <s v="Ships"/>
    <n v="90"/>
    <s v="S700_2047"/>
    <x v="55"/>
    <s v="2155554695"/>
    <s v="782 First Street"/>
    <s v="Philadelphia"/>
    <s v="71270"/>
    <s v="USA"/>
    <s v="Cervantes"/>
    <s v="Francisca"/>
    <s v="Medium"/>
    <x v="1347"/>
  </r>
  <r>
    <n v="10306"/>
    <n v="43"/>
    <n v="75.17"/>
    <n v="1"/>
    <n v="3232.31"/>
    <d v="2019-10-14T00:00:00"/>
    <s v="Shipped"/>
    <s v="Ships"/>
    <n v="72"/>
    <s v="S700_2610"/>
    <x v="10"/>
    <s v="(171) 555-1555"/>
    <s v="Fauntleroy Circus"/>
    <s v="Manchester"/>
    <s v="EC2 5NT"/>
    <s v="UK"/>
    <s v="Ashworth"/>
    <s v="Victoria"/>
    <s v="Medium"/>
    <x v="966"/>
  </r>
  <r>
    <n v="10306"/>
    <n v="32"/>
    <n v="90.15"/>
    <n v="4"/>
    <n v="2884.8"/>
    <d v="2019-10-14T00:00:00"/>
    <s v="Shipped"/>
    <s v="Ships"/>
    <n v="100"/>
    <s v="S700_3505"/>
    <x v="10"/>
    <s v="(171) 555-1555"/>
    <s v="Fauntleroy Circus"/>
    <s v="Manchester"/>
    <s v="EC2 5NT"/>
    <s v="UK"/>
    <s v="Ashworth"/>
    <s v="Victoria"/>
    <s v="Small"/>
    <x v="1300"/>
  </r>
  <r>
    <n v="10306"/>
    <n v="30"/>
    <n v="117.19"/>
    <n v="5"/>
    <n v="3515.7"/>
    <d v="2019-10-14T00:00:00"/>
    <s v="Shipped"/>
    <s v="Ships"/>
    <n v="99"/>
    <s v="S700_3962"/>
    <x v="10"/>
    <s v="(171) 555-1555"/>
    <s v="Fauntleroy Circus"/>
    <s v="Manchester"/>
    <s v="EC2 5NT"/>
    <s v="UK"/>
    <s v="Ashworth"/>
    <s v="Victoria"/>
    <s v="Medium"/>
    <x v="1348"/>
  </r>
  <r>
    <n v="10307"/>
    <n v="34"/>
    <n v="53.63"/>
    <n v="4"/>
    <n v="1823.42"/>
    <d v="2019-10-14T00:00:00"/>
    <s v="Shipped"/>
    <s v="Planes"/>
    <n v="49"/>
    <s v="S72_1253"/>
    <x v="55"/>
    <s v="2155554695"/>
    <s v="782 First Street"/>
    <s v="Philadelphia"/>
    <s v="71270"/>
    <s v="USA"/>
    <s v="Cervantes"/>
    <s v="Francisca"/>
    <s v="Small"/>
    <x v="1349"/>
  </r>
  <r>
    <n v="10306"/>
    <n v="35"/>
    <n v="59.51"/>
    <n v="6"/>
    <n v="2082.85"/>
    <d v="2019-10-14T00:00:00"/>
    <s v="Shipped"/>
    <s v="Ships"/>
    <n v="54"/>
    <s v="S72_3212"/>
    <x v="10"/>
    <s v="(171) 555-1555"/>
    <s v="Fauntleroy Circus"/>
    <s v="Manchester"/>
    <s v="EC2 5NT"/>
    <s v="UK"/>
    <s v="Ashworth"/>
    <s v="Victoria"/>
    <s v="Small"/>
    <x v="1301"/>
  </r>
  <r>
    <n v="10309"/>
    <n v="41"/>
    <n v="107.18"/>
    <n v="5"/>
    <n v="4394.38"/>
    <d v="2019-10-15T00:00:00"/>
    <s v="Shipped"/>
    <s v="Motorcycles"/>
    <n v="95"/>
    <s v="S10_1678"/>
    <x v="3"/>
    <s v="07-98 9555"/>
    <s v="Erling Skakkes gate 78"/>
    <s v="Stavern"/>
    <s v="4110"/>
    <s v="Norway"/>
    <s v="Bergulfsen"/>
    <s v="Jonas"/>
    <s v="Medium"/>
    <x v="1350"/>
  </r>
  <r>
    <n v="10308"/>
    <n v="34"/>
    <n v="118.94"/>
    <n v="2"/>
    <n v="4043.96"/>
    <d v="2019-10-15T00:00:00"/>
    <s v="Shipped"/>
    <s v="Motorcycles"/>
    <n v="118"/>
    <s v="S10_2016"/>
    <x v="61"/>
    <s v="9145554562"/>
    <s v="3758 North Pendale Street"/>
    <s v="White Plains"/>
    <s v="24067"/>
    <s v="USA"/>
    <s v="Frick"/>
    <s v="Steve"/>
    <s v="Medium"/>
    <x v="1351"/>
  </r>
  <r>
    <n v="10308"/>
    <n v="20"/>
    <n v="228.52"/>
    <n v="1"/>
    <n v="4570.3999999999996"/>
    <d v="2019-10-15T00:00:00"/>
    <s v="Shipped"/>
    <s v="Motorcycles"/>
    <n v="193"/>
    <s v="S10_4698"/>
    <x v="61"/>
    <s v="9145554562"/>
    <s v="3758 North Pendale Street"/>
    <s v="White Plains"/>
    <s v="24067"/>
    <s v="USA"/>
    <s v="Frick"/>
    <s v="Steve"/>
    <s v="Medium"/>
    <x v="1352"/>
  </r>
  <r>
    <n v="10309"/>
    <n v="26"/>
    <n v="179.24"/>
    <n v="4"/>
    <n v="4660.24"/>
    <d v="2019-10-15T00:00:00"/>
    <s v="Shipped"/>
    <s v="Motorcycles"/>
    <n v="150"/>
    <s v="S12_2823"/>
    <x v="3"/>
    <s v="07-98 9555"/>
    <s v="Erling Skakkes gate 78"/>
    <s v="Stavern"/>
    <s v="4110"/>
    <s v="Norway"/>
    <s v="Bergulfsen"/>
    <s v="Jonas"/>
    <s v="Medium"/>
    <x v="1353"/>
  </r>
  <r>
    <n v="10308"/>
    <n v="27"/>
    <n v="82.79"/>
    <n v="7"/>
    <n v="2235.33"/>
    <d v="2019-10-15T00:00:00"/>
    <s v="Shipped"/>
    <s v="Planes"/>
    <n v="84"/>
    <s v="S18_2581"/>
    <x v="61"/>
    <s v="9145554562"/>
    <s v="3758 North Pendale Street"/>
    <s v="White Plains"/>
    <s v="24067"/>
    <s v="USA"/>
    <s v="Frick"/>
    <s v="Steve"/>
    <s v="Small"/>
    <x v="719"/>
  </r>
  <r>
    <n v="10308"/>
    <n v="34"/>
    <n v="52.09"/>
    <n v="3"/>
    <n v="1771.06"/>
    <d v="2019-10-15T00:00:00"/>
    <s v="Shipped"/>
    <s v="Motorcycles"/>
    <n v="60"/>
    <s v="S18_2625"/>
    <x v="61"/>
    <s v="9145554562"/>
    <s v="3758 North Pendale Street"/>
    <s v="White Plains"/>
    <s v="24067"/>
    <s v="USA"/>
    <s v="Frick"/>
    <s v="Steve"/>
    <s v="Small"/>
    <x v="737"/>
  </r>
  <r>
    <n v="10309"/>
    <n v="21"/>
    <n v="126.22"/>
    <n v="6"/>
    <n v="2650.62"/>
    <d v="2019-10-15T00:00:00"/>
    <s v="Shipped"/>
    <s v="Motorcycles"/>
    <n v="112"/>
    <s v="S24_1578"/>
    <x v="3"/>
    <s v="07-98 9555"/>
    <s v="Erling Skakkes gate 78"/>
    <s v="Stavern"/>
    <s v="4110"/>
    <s v="Norway"/>
    <s v="Bergulfsen"/>
    <s v="Jonas"/>
    <s v="Small"/>
    <x v="724"/>
  </r>
  <r>
    <n v="10308"/>
    <n v="31"/>
    <n v="112.7"/>
    <n v="9"/>
    <n v="3493.7"/>
    <d v="2019-10-15T00:00:00"/>
    <s v="Shipped"/>
    <s v="Planes"/>
    <n v="109"/>
    <s v="S24_1785"/>
    <x v="61"/>
    <s v="9145554562"/>
    <s v="3758 North Pendale Street"/>
    <s v="White Plains"/>
    <s v="24067"/>
    <s v="USA"/>
    <s v="Frick"/>
    <s v="Steve"/>
    <s v="Medium"/>
    <x v="1354"/>
  </r>
  <r>
    <n v="10308"/>
    <n v="47"/>
    <n v="63.22"/>
    <n v="4"/>
    <n v="2971.34"/>
    <d v="2019-10-15T00:00:00"/>
    <s v="Shipped"/>
    <s v="Motorcycles"/>
    <n v="76"/>
    <s v="S24_2000"/>
    <x v="61"/>
    <s v="9145554562"/>
    <s v="3758 North Pendale Street"/>
    <s v="White Plains"/>
    <s v="24067"/>
    <s v="USA"/>
    <s v="Frick"/>
    <s v="Steve"/>
    <s v="Small"/>
    <x v="1355"/>
  </r>
  <r>
    <n v="10309"/>
    <n v="24"/>
    <n v="56.1"/>
    <n v="2"/>
    <n v="1346.4"/>
    <d v="2019-10-15T00:00:00"/>
    <s v="Shipped"/>
    <s v="Motorcycles"/>
    <n v="69"/>
    <s v="S24_2360"/>
    <x v="3"/>
    <s v="07-98 9555"/>
    <s v="Erling Skakkes gate 78"/>
    <s v="Stavern"/>
    <s v="4110"/>
    <s v="Norway"/>
    <s v="Bergulfsen"/>
    <s v="Jonas"/>
    <s v="Small"/>
    <x v="433"/>
  </r>
  <r>
    <n v="10308"/>
    <n v="43"/>
    <n v="76.430000000000007"/>
    <n v="16"/>
    <n v="3286.49"/>
    <d v="2019-10-15T00:00:00"/>
    <s v="Shipped"/>
    <s v="Planes"/>
    <n v="68"/>
    <s v="S24_3949"/>
    <x v="61"/>
    <s v="9145554562"/>
    <s v="3758 North Pendale Street"/>
    <s v="White Plains"/>
    <s v="24067"/>
    <s v="USA"/>
    <s v="Frick"/>
    <s v="Steve"/>
    <s v="Medium"/>
    <x v="1356"/>
  </r>
  <r>
    <n v="10308"/>
    <n v="44"/>
    <n v="83.32"/>
    <n v="8"/>
    <n v="3666.08"/>
    <d v="2019-10-15T00:00:00"/>
    <s v="Shipped"/>
    <s v="Planes"/>
    <n v="72"/>
    <s v="S24_4278"/>
    <x v="61"/>
    <s v="9145554562"/>
    <s v="3758 North Pendale Street"/>
    <s v="White Plains"/>
    <s v="24067"/>
    <s v="USA"/>
    <s v="Frick"/>
    <s v="Steve"/>
    <s v="Medium"/>
    <x v="1357"/>
  </r>
  <r>
    <n v="10308"/>
    <n v="24"/>
    <n v="79.91"/>
    <n v="5"/>
    <n v="1917.84"/>
    <d v="2019-10-15T00:00:00"/>
    <s v="Shipped"/>
    <s v="Motorcycles"/>
    <n v="99"/>
    <s v="S32_1374"/>
    <x v="61"/>
    <s v="9145554562"/>
    <s v="3758 North Pendale Street"/>
    <s v="White Plains"/>
    <s v="24067"/>
    <s v="USA"/>
    <s v="Frick"/>
    <s v="Steve"/>
    <s v="Small"/>
    <x v="1358"/>
  </r>
  <r>
    <n v="10308"/>
    <n v="46"/>
    <n v="66.040000000000006"/>
    <n v="10"/>
    <n v="3037.84"/>
    <d v="2019-10-15T00:00:00"/>
    <s v="Shipped"/>
    <s v="Vintage Cars"/>
    <n v="68"/>
    <s v="S32_4289"/>
    <x v="61"/>
    <s v="9145554562"/>
    <s v="3758 North Pendale Street"/>
    <s v="White Plains"/>
    <s v="24067"/>
    <s v="USA"/>
    <s v="Frick"/>
    <s v="Steve"/>
    <s v="Medium"/>
    <x v="1359"/>
  </r>
  <r>
    <n v="10309"/>
    <n v="50"/>
    <n v="84.7"/>
    <n v="3"/>
    <n v="4235"/>
    <d v="2019-10-15T00:00:00"/>
    <s v="Shipped"/>
    <s v="Motorcycles"/>
    <n v="102"/>
    <s v="S32_4485"/>
    <x v="3"/>
    <s v="07-98 9555"/>
    <s v="Erling Skakkes gate 78"/>
    <s v="Stavern"/>
    <s v="4110"/>
    <s v="Norway"/>
    <s v="Bergulfsen"/>
    <s v="Jonas"/>
    <s v="Medium"/>
    <x v="1360"/>
  </r>
  <r>
    <n v="10308"/>
    <n v="47"/>
    <n v="43.64"/>
    <n v="11"/>
    <n v="2051.08"/>
    <d v="2019-10-15T00:00:00"/>
    <s v="Shipped"/>
    <s v="Vintage Cars"/>
    <n v="43"/>
    <s v="S50_1341"/>
    <x v="61"/>
    <s v="9145554562"/>
    <s v="3758 North Pendale Street"/>
    <s v="White Plains"/>
    <s v="24067"/>
    <s v="USA"/>
    <s v="Frick"/>
    <s v="Steve"/>
    <s v="Small"/>
    <x v="156"/>
  </r>
  <r>
    <n v="10309"/>
    <n v="28"/>
    <n v="88.68"/>
    <n v="1"/>
    <n v="2483.04"/>
    <d v="2019-10-15T00:00:00"/>
    <s v="Shipped"/>
    <s v="Motorcycles"/>
    <n v="81"/>
    <s v="S50_4713"/>
    <x v="3"/>
    <s v="07-98 9555"/>
    <s v="Erling Skakkes gate 78"/>
    <s v="Stavern"/>
    <s v="4110"/>
    <s v="Norway"/>
    <s v="Bergulfsen"/>
    <s v="Jonas"/>
    <s v="Small"/>
    <x v="1361"/>
  </r>
  <r>
    <n v="10308"/>
    <n v="21"/>
    <n v="105.95"/>
    <n v="12"/>
    <n v="2224.9499999999998"/>
    <d v="2019-10-15T00:00:00"/>
    <s v="Shipped"/>
    <s v="Planes"/>
    <n v="91"/>
    <s v="S700_1691"/>
    <x v="61"/>
    <s v="9145554562"/>
    <s v="3758 North Pendale Street"/>
    <s v="White Plains"/>
    <s v="24067"/>
    <s v="USA"/>
    <s v="Frick"/>
    <s v="Steve"/>
    <s v="Small"/>
    <x v="1362"/>
  </r>
  <r>
    <n v="10308"/>
    <n v="35"/>
    <n v="88.75"/>
    <n v="14"/>
    <n v="3106.25"/>
    <d v="2019-10-15T00:00:00"/>
    <s v="Shipped"/>
    <s v="Planes"/>
    <n v="99"/>
    <s v="S700_2466"/>
    <x v="61"/>
    <s v="9145554562"/>
    <s v="3758 North Pendale Street"/>
    <s v="White Plains"/>
    <s v="24067"/>
    <s v="USA"/>
    <s v="Frick"/>
    <s v="Steve"/>
    <s v="Medium"/>
    <x v="1363"/>
  </r>
  <r>
    <n v="10308"/>
    <n v="31"/>
    <n v="129.33000000000001"/>
    <n v="6"/>
    <n v="4009.23"/>
    <d v="2019-10-15T00:00:00"/>
    <s v="Shipped"/>
    <s v="Planes"/>
    <n v="118"/>
    <s v="S700_2834"/>
    <x v="61"/>
    <s v="9145554562"/>
    <s v="3758 North Pendale Street"/>
    <s v="White Plains"/>
    <s v="24067"/>
    <s v="USA"/>
    <s v="Frick"/>
    <s v="Steve"/>
    <s v="Medium"/>
    <x v="200"/>
  </r>
  <r>
    <n v="10308"/>
    <n v="21"/>
    <n v="87.2"/>
    <n v="13"/>
    <n v="1831.2"/>
    <d v="2019-10-15T00:00:00"/>
    <s v="Shipped"/>
    <s v="Planes"/>
    <n v="80"/>
    <s v="S700_3167"/>
    <x v="61"/>
    <s v="9145554562"/>
    <s v="3758 North Pendale Street"/>
    <s v="White Plains"/>
    <s v="24067"/>
    <s v="USA"/>
    <s v="Frick"/>
    <s v="Steve"/>
    <s v="Small"/>
    <x v="559"/>
  </r>
  <r>
    <n v="10308"/>
    <n v="39"/>
    <n v="68.11"/>
    <n v="15"/>
    <n v="2656.29"/>
    <d v="2019-10-15T00:00:00"/>
    <s v="Shipped"/>
    <s v="Planes"/>
    <n v="74"/>
    <s v="S700_4002"/>
    <x v="61"/>
    <s v="9145554562"/>
    <s v="3758 North Pendale Street"/>
    <s v="White Plains"/>
    <s v="24067"/>
    <s v="USA"/>
    <s v="Frick"/>
    <s v="Steve"/>
    <s v="Small"/>
    <x v="1364"/>
  </r>
  <r>
    <n v="10310"/>
    <n v="33"/>
    <n v="210.14"/>
    <n v="10"/>
    <n v="6934.62"/>
    <d v="2019-10-16T00:00:00"/>
    <s v="Shipped"/>
    <s v="Classic Cars"/>
    <n v="194"/>
    <s v="S12_1099"/>
    <x v="58"/>
    <s v="0221-5554327"/>
    <s v="Mehrheimerstr. 369"/>
    <s v="Koln"/>
    <s v="50739"/>
    <s v="Germany"/>
    <s v="Pfalzheim"/>
    <s v="Henriette"/>
    <s v="Medium"/>
    <x v="1365"/>
  </r>
  <r>
    <n v="10310"/>
    <n v="24"/>
    <n v="129.18"/>
    <n v="8"/>
    <n v="3100.32"/>
    <d v="2019-10-16T00:00:00"/>
    <s v="Shipped"/>
    <s v="Classic Cars"/>
    <n v="117"/>
    <s v="S12_3380"/>
    <x v="58"/>
    <s v="0221-5554327"/>
    <s v="Mehrheimerstr. 369"/>
    <s v="Koln"/>
    <s v="50739"/>
    <s v="Germany"/>
    <s v="Pfalzheim"/>
    <s v="Henriette"/>
    <s v="Medium"/>
    <x v="1366"/>
  </r>
  <r>
    <n v="10310"/>
    <n v="49"/>
    <n v="81.400000000000006"/>
    <n v="11"/>
    <n v="3988.6"/>
    <d v="2019-10-16T00:00:00"/>
    <s v="Shipped"/>
    <s v="Classic Cars"/>
    <n v="79"/>
    <s v="S12_3990"/>
    <x v="58"/>
    <s v="0221-5554327"/>
    <s v="Mehrheimerstr. 369"/>
    <s v="Koln"/>
    <s v="50739"/>
    <s v="Germany"/>
    <s v="Pfalzheim"/>
    <s v="Henriette"/>
    <s v="Medium"/>
    <x v="1367"/>
  </r>
  <r>
    <n v="10310"/>
    <n v="25"/>
    <n v="100.19"/>
    <n v="7"/>
    <n v="2504.75"/>
    <d v="2019-10-16T00:00:00"/>
    <s v="Shipped"/>
    <s v="Classic Cars"/>
    <n v="115"/>
    <s v="S12_4675"/>
    <x v="58"/>
    <s v="0221-5554327"/>
    <s v="Mehrheimerstr. 369"/>
    <s v="Koln"/>
    <s v="50739"/>
    <s v="Germany"/>
    <s v="Pfalzheim"/>
    <s v="Henriette"/>
    <s v="Small"/>
    <x v="1368"/>
  </r>
  <r>
    <n v="10310"/>
    <n v="37"/>
    <n v="168.43"/>
    <n v="2"/>
    <n v="6231.91"/>
    <d v="2019-10-16T00:00:00"/>
    <s v="Shipped"/>
    <s v="Classic Cars"/>
    <n v="141"/>
    <s v="S18_1129"/>
    <x v="58"/>
    <s v="0221-5554327"/>
    <s v="Mehrheimerstr. 369"/>
    <s v="Koln"/>
    <s v="50739"/>
    <s v="Germany"/>
    <s v="Pfalzheim"/>
    <s v="Henriette"/>
    <s v="Medium"/>
    <x v="1369"/>
  </r>
  <r>
    <n v="10311"/>
    <n v="29"/>
    <n v="100.8"/>
    <n v="9"/>
    <n v="2923.2"/>
    <d v="2019-10-16T00:00:00"/>
    <s v="Shipped"/>
    <s v="Classic Cars"/>
    <n v="124"/>
    <s v="S18_1589"/>
    <x v="4"/>
    <s v="(91) 555 94 44"/>
    <s v="C/ Moralzarzal, 86"/>
    <s v="Madrid"/>
    <s v="28034"/>
    <s v="Spain"/>
    <s v="Freyre"/>
    <s v="Diego"/>
    <s v="Small"/>
    <x v="1370"/>
  </r>
  <r>
    <n v="10310"/>
    <n v="20"/>
    <n v="91.63"/>
    <n v="6"/>
    <n v="1832.6"/>
    <d v="2019-10-16T00:00:00"/>
    <s v="Shipped"/>
    <s v="Classic Cars"/>
    <n v="77"/>
    <s v="S18_1889"/>
    <x v="58"/>
    <s v="0221-5554327"/>
    <s v="Mehrheimerstr. 369"/>
    <s v="Koln"/>
    <s v="50739"/>
    <s v="Germany"/>
    <s v="Pfalzheim"/>
    <s v="Henriette"/>
    <s v="Small"/>
    <x v="1371"/>
  </r>
  <r>
    <n v="10310"/>
    <n v="24"/>
    <n v="143.66999999999999"/>
    <n v="1"/>
    <n v="3448.08"/>
    <d v="2019-10-16T00:00:00"/>
    <s v="Shipped"/>
    <s v="Classic Cars"/>
    <n v="142"/>
    <s v="S18_1984"/>
    <x v="58"/>
    <s v="0221-5554327"/>
    <s v="Mehrheimerstr. 369"/>
    <s v="Koln"/>
    <s v="50739"/>
    <s v="Germany"/>
    <s v="Pfalzheim"/>
    <s v="Henriette"/>
    <s v="Medium"/>
    <x v="1372"/>
  </r>
  <r>
    <n v="10311"/>
    <n v="43"/>
    <n v="122.76"/>
    <n v="10"/>
    <n v="5278.68"/>
    <d v="2019-10-16T00:00:00"/>
    <s v="Shipped"/>
    <s v="Classic Cars"/>
    <n v="132"/>
    <s v="S18_2870"/>
    <x v="4"/>
    <s v="(91) 555 94 44"/>
    <s v="C/ Moralzarzal, 86"/>
    <s v="Madrid"/>
    <s v="28034"/>
    <s v="Spain"/>
    <s v="Freyre"/>
    <s v="Diego"/>
    <s v="Medium"/>
    <x v="1373"/>
  </r>
  <r>
    <n v="10310"/>
    <n v="48"/>
    <n v="186.27"/>
    <n v="3"/>
    <n v="8940.9599999999991"/>
    <d v="2019-10-16T00:00:00"/>
    <s v="Shipped"/>
    <s v="Classic Cars"/>
    <n v="169"/>
    <s v="S18_3232"/>
    <x v="58"/>
    <s v="0221-5554327"/>
    <s v="Mehrheimerstr. 369"/>
    <s v="Koln"/>
    <s v="50739"/>
    <s v="Germany"/>
    <s v="Pfalzheim"/>
    <s v="Henriette"/>
    <s v="Large"/>
    <x v="1374"/>
  </r>
  <r>
    <n v="10310"/>
    <n v="27"/>
    <n v="80.41"/>
    <n v="13"/>
    <n v="2171.0700000000002"/>
    <d v="2019-10-16T00:00:00"/>
    <s v="Shipped"/>
    <s v="Classic Cars"/>
    <n v="80"/>
    <s v="S18_3278"/>
    <x v="58"/>
    <s v="0221-5554327"/>
    <s v="Mehrheimerstr. 369"/>
    <s v="Koln"/>
    <s v="50739"/>
    <s v="Germany"/>
    <s v="Pfalzheim"/>
    <s v="Henriette"/>
    <s v="Small"/>
    <x v="938"/>
  </r>
  <r>
    <n v="10310"/>
    <n v="49"/>
    <n v="127.88"/>
    <n v="12"/>
    <n v="6266.12"/>
    <d v="2019-10-16T00:00:00"/>
    <s v="Shipped"/>
    <s v="Classic Cars"/>
    <n v="146"/>
    <s v="S18_3482"/>
    <x v="58"/>
    <s v="0221-5554327"/>
    <s v="Mehrheimerstr. 369"/>
    <s v="Koln"/>
    <s v="50739"/>
    <s v="Germany"/>
    <s v="Pfalzheim"/>
    <s v="Henriette"/>
    <s v="Medium"/>
    <x v="709"/>
  </r>
  <r>
    <n v="10311"/>
    <n v="32"/>
    <n v="113.02"/>
    <n v="11"/>
    <n v="3616.64"/>
    <d v="2019-10-16T00:00:00"/>
    <s v="Shipped"/>
    <s v="Classic Cars"/>
    <n v="141"/>
    <s v="S18_3685"/>
    <x v="4"/>
    <s v="(91) 555 94 44"/>
    <s v="C/ Moralzarzal, 86"/>
    <s v="Madrid"/>
    <s v="28034"/>
    <s v="Spain"/>
    <s v="Freyre"/>
    <s v="Diego"/>
    <s v="Medium"/>
    <x v="1180"/>
  </r>
  <r>
    <n v="10310"/>
    <n v="42"/>
    <n v="67.14"/>
    <n v="16"/>
    <n v="2819.88"/>
    <d v="2019-10-16T00:00:00"/>
    <s v="Shipped"/>
    <s v="Motorcycles"/>
    <n v="62"/>
    <s v="S18_3782"/>
    <x v="58"/>
    <s v="0221-5554327"/>
    <s v="Mehrheimerstr. 369"/>
    <s v="Koln"/>
    <s v="50739"/>
    <s v="Germany"/>
    <s v="Pfalzheim"/>
    <s v="Henriette"/>
    <s v="Small"/>
    <x v="722"/>
  </r>
  <r>
    <n v="10311"/>
    <n v="41"/>
    <n v="81.91"/>
    <n v="1"/>
    <n v="3358.31"/>
    <d v="2019-10-16T00:00:00"/>
    <s v="Shipped"/>
    <s v="Vintage Cars"/>
    <n v="92"/>
    <s v="S18_4409"/>
    <x v="4"/>
    <s v="(91) 555 94 44"/>
    <s v="C/ Moralzarzal, 86"/>
    <s v="Madrid"/>
    <s v="28034"/>
    <s v="Spain"/>
    <s v="Freyre"/>
    <s v="Diego"/>
    <s v="Medium"/>
    <x v="1375"/>
  </r>
  <r>
    <n v="10310"/>
    <n v="40"/>
    <n v="133.91999999999999"/>
    <n v="15"/>
    <n v="5356.8"/>
    <d v="2019-10-16T00:00:00"/>
    <s v="Shipped"/>
    <s v="Classic Cars"/>
    <n v="148"/>
    <s v="S18_4721"/>
    <x v="58"/>
    <s v="0221-5554327"/>
    <s v="Mehrheimerstr. 369"/>
    <s v="Koln"/>
    <s v="50739"/>
    <s v="Germany"/>
    <s v="Pfalzheim"/>
    <s v="Henriette"/>
    <s v="Medium"/>
    <x v="431"/>
  </r>
  <r>
    <n v="10311"/>
    <n v="25"/>
    <n v="66.989999999999995"/>
    <n v="2"/>
    <n v="1674.75"/>
    <d v="2019-10-16T00:00:00"/>
    <s v="Shipped"/>
    <s v="Classic Cars"/>
    <n v="71"/>
    <s v="S18_4933"/>
    <x v="4"/>
    <s v="(91) 555 94 44"/>
    <s v="C/ Moralzarzal, 86"/>
    <s v="Madrid"/>
    <s v="28034"/>
    <s v="Spain"/>
    <s v="Freyre"/>
    <s v="Diego"/>
    <s v="Small"/>
    <x v="1376"/>
  </r>
  <r>
    <n v="10311"/>
    <n v="26"/>
    <n v="87.45"/>
    <n v="6"/>
    <n v="2273.6999999999998"/>
    <d v="2019-10-16T00:00:00"/>
    <s v="Shipped"/>
    <s v="Classic Cars"/>
    <n v="73"/>
    <s v="S24_1046"/>
    <x v="4"/>
    <s v="(91) 555 94 44"/>
    <s v="C/ Moralzarzal, 86"/>
    <s v="Madrid"/>
    <s v="28034"/>
    <s v="Spain"/>
    <s v="Freyre"/>
    <s v="Diego"/>
    <s v="Small"/>
    <x v="227"/>
  </r>
  <r>
    <n v="10311"/>
    <n v="45"/>
    <n v="49.3"/>
    <n v="8"/>
    <n v="2218.5"/>
    <d v="2019-10-16T00:00:00"/>
    <s v="Shipped"/>
    <s v="Classic Cars"/>
    <n v="50"/>
    <s v="S24_1628"/>
    <x v="4"/>
    <s v="(91) 555 94 44"/>
    <s v="C/ Moralzarzal, 86"/>
    <s v="Madrid"/>
    <s v="28034"/>
    <s v="Spain"/>
    <s v="Freyre"/>
    <s v="Diego"/>
    <s v="Small"/>
    <x v="1377"/>
  </r>
  <r>
    <n v="10311"/>
    <n v="28"/>
    <n v="93.6"/>
    <n v="4"/>
    <n v="2620.8000000000002"/>
    <d v="2019-10-16T00:00:00"/>
    <s v="Shipped"/>
    <s v="Classic Cars"/>
    <n v="90"/>
    <s v="S24_2766"/>
    <x v="4"/>
    <s v="(91) 555 94 44"/>
    <s v="C/ Moralzarzal, 86"/>
    <s v="Madrid"/>
    <s v="28034"/>
    <s v="Spain"/>
    <s v="Freyre"/>
    <s v="Diego"/>
    <s v="Small"/>
    <x v="1378"/>
  </r>
  <r>
    <n v="10311"/>
    <n v="43"/>
    <n v="106.87"/>
    <n v="3"/>
    <n v="4595.41"/>
    <d v="2019-10-16T00:00:00"/>
    <s v="Shipped"/>
    <s v="Classic Cars"/>
    <n v="117"/>
    <s v="S24_2887"/>
    <x v="4"/>
    <s v="(91) 555 94 44"/>
    <s v="C/ Moralzarzal, 86"/>
    <s v="Madrid"/>
    <s v="28034"/>
    <s v="Spain"/>
    <s v="Freyre"/>
    <s v="Diego"/>
    <s v="Medium"/>
    <x v="1379"/>
  </r>
  <r>
    <n v="10310"/>
    <n v="33"/>
    <n v="41.91"/>
    <n v="4"/>
    <n v="1383.03"/>
    <d v="2019-10-16T00:00:00"/>
    <s v="Shipped"/>
    <s v="Classic Cars"/>
    <n v="37"/>
    <s v="S24_2972"/>
    <x v="58"/>
    <s v="0221-5554327"/>
    <s v="Mehrheimerstr. 369"/>
    <s v="Koln"/>
    <s v="50739"/>
    <s v="Germany"/>
    <s v="Pfalzheim"/>
    <s v="Henriette"/>
    <s v="Small"/>
    <x v="1380"/>
  </r>
  <r>
    <n v="10311"/>
    <n v="25"/>
    <n v="83.04"/>
    <n v="5"/>
    <n v="2076"/>
    <d v="2019-10-16T00:00:00"/>
    <s v="Shipped"/>
    <s v="Classic Cars"/>
    <n v="85"/>
    <s v="S24_3191"/>
    <x v="4"/>
    <s v="(91) 555 94 44"/>
    <s v="C/ Moralzarzal, 86"/>
    <s v="Madrid"/>
    <s v="28034"/>
    <s v="Spain"/>
    <s v="Freyre"/>
    <s v="Diego"/>
    <s v="Small"/>
    <x v="1381"/>
  </r>
  <r>
    <n v="10310"/>
    <n v="38"/>
    <n v="56.94"/>
    <n v="9"/>
    <n v="2163.7199999999998"/>
    <d v="2019-10-16T00:00:00"/>
    <s v="Shipped"/>
    <s v="Classic Cars"/>
    <n v="61"/>
    <s v="S24_3371"/>
    <x v="58"/>
    <s v="0221-5554327"/>
    <s v="Mehrheimerstr. 369"/>
    <s v="Koln"/>
    <s v="50739"/>
    <s v="Germany"/>
    <s v="Pfalzheim"/>
    <s v="Henriette"/>
    <s v="Small"/>
    <x v="1126"/>
  </r>
  <r>
    <n v="10311"/>
    <n v="46"/>
    <n v="92.09"/>
    <n v="7"/>
    <n v="4236.1400000000003"/>
    <d v="2019-10-16T00:00:00"/>
    <s v="Shipped"/>
    <s v="Classic Cars"/>
    <n v="107"/>
    <s v="S24_3432"/>
    <x v="4"/>
    <s v="(91) 555 94 44"/>
    <s v="C/ Moralzarzal, 86"/>
    <s v="Madrid"/>
    <s v="28034"/>
    <s v="Spain"/>
    <s v="Freyre"/>
    <s v="Diego"/>
    <s v="Medium"/>
    <x v="1382"/>
  </r>
  <r>
    <n v="10310"/>
    <n v="45"/>
    <n v="122.17"/>
    <n v="5"/>
    <n v="5497.65"/>
    <d v="2019-10-16T00:00:00"/>
    <s v="Shipped"/>
    <s v="Classic Cars"/>
    <n v="140"/>
    <s v="S24_3856"/>
    <x v="58"/>
    <s v="0221-5554327"/>
    <s v="Mehrheimerstr. 369"/>
    <s v="Koln"/>
    <s v="50739"/>
    <s v="Germany"/>
    <s v="Pfalzheim"/>
    <s v="Henriette"/>
    <s v="Medium"/>
    <x v="434"/>
  </r>
  <r>
    <n v="10310"/>
    <n v="49"/>
    <n v="97.01"/>
    <n v="14"/>
    <n v="4753.49"/>
    <d v="2019-10-16T00:00:00"/>
    <s v="Shipped"/>
    <s v="Classic Cars"/>
    <n v="80"/>
    <s v="S24_4620"/>
    <x v="58"/>
    <s v="0221-5554327"/>
    <s v="Mehrheimerstr. 369"/>
    <s v="Koln"/>
    <s v="50739"/>
    <s v="Germany"/>
    <s v="Pfalzheim"/>
    <s v="Henriette"/>
    <s v="Medium"/>
    <x v="58"/>
  </r>
  <r>
    <n v="10310"/>
    <n v="36"/>
    <n v="43.05"/>
    <n v="17"/>
    <n v="1549.8"/>
    <d v="2019-10-16T00:00:00"/>
    <s v="Shipped"/>
    <s v="Motorcycles"/>
    <n v="40"/>
    <s v="S32_2206"/>
    <x v="58"/>
    <s v="0221-5554327"/>
    <s v="Mehrheimerstr. 369"/>
    <s v="Koln"/>
    <s v="50739"/>
    <s v="Germany"/>
    <s v="Pfalzheim"/>
    <s v="Henriette"/>
    <s v="Small"/>
    <x v="733"/>
  </r>
  <r>
    <n v="10312"/>
    <n v="48"/>
    <n v="242.16"/>
    <n v="3"/>
    <n v="11623.7"/>
    <d v="2019-10-21T00:00:00"/>
    <s v="Shipped"/>
    <s v="Classic Cars"/>
    <n v="214"/>
    <s v="S10_1949"/>
    <x v="12"/>
    <s v="4155551450"/>
    <s v="5677 Strong St."/>
    <s v="San Rafael"/>
    <s v="97562"/>
    <s v="USA"/>
    <s v="Nelson"/>
    <s v="Valarie"/>
    <s v="Large"/>
    <x v="1383"/>
  </r>
  <r>
    <n v="10312"/>
    <n v="32"/>
    <n v="130.66999999999999"/>
    <n v="2"/>
    <n v="4181.4399999999996"/>
    <d v="2019-10-21T00:00:00"/>
    <s v="Shipped"/>
    <s v="Trucks and Buses"/>
    <n v="116"/>
    <s v="S18_1097"/>
    <x v="12"/>
    <s v="4155551450"/>
    <s v="5677 Strong St."/>
    <s v="San Rafael"/>
    <s v="97562"/>
    <s v="USA"/>
    <s v="Nelson"/>
    <s v="Valarie"/>
    <s v="Medium"/>
    <x v="1384"/>
  </r>
  <r>
    <n v="10312"/>
    <n v="43"/>
    <n v="89.38"/>
    <n v="10"/>
    <n v="3843.34"/>
    <d v="2019-10-21T00:00:00"/>
    <s v="Shipped"/>
    <s v="Vintage Cars"/>
    <n v="102"/>
    <s v="S18_1342"/>
    <x v="12"/>
    <s v="4155551450"/>
    <s v="5677 Strong St."/>
    <s v="San Rafael"/>
    <s v="97562"/>
    <s v="USA"/>
    <s v="Nelson"/>
    <s v="Valarie"/>
    <s v="Medium"/>
    <x v="1385"/>
  </r>
  <r>
    <n v="10312"/>
    <n v="25"/>
    <n v="44.21"/>
    <n v="9"/>
    <n v="1105.25"/>
    <d v="2019-10-21T00:00:00"/>
    <s v="Shipped"/>
    <s v="Vintage Cars"/>
    <n v="53"/>
    <s v="S18_1367"/>
    <x v="12"/>
    <s v="4155551450"/>
    <s v="5677 Strong St."/>
    <s v="San Rafael"/>
    <s v="97562"/>
    <s v="USA"/>
    <s v="Nelson"/>
    <s v="Valarie"/>
    <s v="Small"/>
    <x v="487"/>
  </r>
  <r>
    <n v="10312"/>
    <n v="48"/>
    <n v="168.3"/>
    <n v="17"/>
    <n v="8078.4"/>
    <d v="2019-10-21T00:00:00"/>
    <s v="Shipped"/>
    <s v="Vintage Cars"/>
    <n v="170"/>
    <s v="S18_1749"/>
    <x v="12"/>
    <s v="4155551450"/>
    <s v="5677 Strong St."/>
    <s v="San Rafael"/>
    <s v="97562"/>
    <s v="USA"/>
    <s v="Nelson"/>
    <s v="Valarie"/>
    <s v="Large"/>
    <x v="428"/>
  </r>
  <r>
    <n v="10312"/>
    <n v="30"/>
    <n v="61.15"/>
    <n v="16"/>
    <n v="1834.5"/>
    <d v="2019-10-21T00:00:00"/>
    <s v="Shipped"/>
    <s v="Vintage Cars"/>
    <n v="60"/>
    <s v="S18_2248"/>
    <x v="12"/>
    <s v="4155551450"/>
    <s v="5677 Strong St."/>
    <s v="San Rafael"/>
    <s v="97562"/>
    <s v="USA"/>
    <s v="Nelson"/>
    <s v="Valarie"/>
    <s v="Small"/>
    <x v="717"/>
  </r>
  <r>
    <n v="10312"/>
    <n v="31"/>
    <n v="152.56"/>
    <n v="14"/>
    <n v="4729.3599999999997"/>
    <d v="2019-10-21T00:00:00"/>
    <s v="Shipped"/>
    <s v="Vintage Cars"/>
    <n v="127"/>
    <s v="S18_2325"/>
    <x v="12"/>
    <s v="4155551450"/>
    <s v="5677 Strong St."/>
    <s v="San Rafael"/>
    <s v="97562"/>
    <s v="USA"/>
    <s v="Nelson"/>
    <s v="Valarie"/>
    <s v="Medium"/>
    <x v="222"/>
  </r>
  <r>
    <n v="10312"/>
    <n v="25"/>
    <n v="155.25"/>
    <n v="11"/>
    <n v="3881.25"/>
    <d v="2019-10-21T00:00:00"/>
    <s v="Shipped"/>
    <s v="Vintage Cars"/>
    <n v="168"/>
    <s v="S18_2795"/>
    <x v="12"/>
    <s v="4155551450"/>
    <s v="5677 Strong St."/>
    <s v="San Rafael"/>
    <s v="97562"/>
    <s v="USA"/>
    <s v="Nelson"/>
    <s v="Valarie"/>
    <s v="Medium"/>
    <x v="1082"/>
  </r>
  <r>
    <n v="10312"/>
    <n v="37"/>
    <n v="100.3"/>
    <n v="4"/>
    <n v="3711.1"/>
    <d v="2019-10-21T00:00:00"/>
    <s v="Shipped"/>
    <s v="Vintage Cars"/>
    <n v="101"/>
    <s v="S18_2949"/>
    <x v="12"/>
    <s v="4155551450"/>
    <s v="5677 Strong St."/>
    <s v="San Rafael"/>
    <s v="97562"/>
    <s v="USA"/>
    <s v="Nelson"/>
    <s v="Valarie"/>
    <s v="Medium"/>
    <x v="1386"/>
  </r>
  <r>
    <n v="10312"/>
    <n v="35"/>
    <n v="53.72"/>
    <n v="6"/>
    <n v="1880.2"/>
    <d v="2019-10-21T00:00:00"/>
    <s v="Shipped"/>
    <s v="Vintage Cars"/>
    <n v="62"/>
    <s v="S18_2957"/>
    <x v="12"/>
    <s v="4155551450"/>
    <s v="5677 Strong St."/>
    <s v="San Rafael"/>
    <s v="97562"/>
    <s v="USA"/>
    <s v="Nelson"/>
    <s v="Valarie"/>
    <s v="Small"/>
    <x v="1254"/>
  </r>
  <r>
    <n v="10312"/>
    <n v="38"/>
    <n v="117.29"/>
    <n v="5"/>
    <n v="4457.0200000000004"/>
    <d v="2019-10-21T00:00:00"/>
    <s v="Shipped"/>
    <s v="Vintage Cars"/>
    <n v="104"/>
    <s v="S18_3136"/>
    <x v="12"/>
    <s v="4155551450"/>
    <s v="5677 Strong St."/>
    <s v="San Rafael"/>
    <s v="97562"/>
    <s v="USA"/>
    <s v="Nelson"/>
    <s v="Valarie"/>
    <s v="Medium"/>
    <x v="1058"/>
  </r>
  <r>
    <n v="10312"/>
    <n v="33"/>
    <n v="107.15"/>
    <n v="8"/>
    <n v="3535.95"/>
    <d v="2019-10-21T00:00:00"/>
    <s v="Shipped"/>
    <s v="Vintage Cars"/>
    <n v="99"/>
    <s v="S18_3320"/>
    <x v="12"/>
    <s v="4155551450"/>
    <s v="5677 Strong St."/>
    <s v="San Rafael"/>
    <s v="97562"/>
    <s v="USA"/>
    <s v="Nelson"/>
    <s v="Valarie"/>
    <s v="Medium"/>
    <x v="1387"/>
  </r>
  <r>
    <n v="10312"/>
    <n v="39"/>
    <n v="56.85"/>
    <n v="1"/>
    <n v="2217.15"/>
    <d v="2019-10-21T00:00:00"/>
    <s v="Shipped"/>
    <s v="Vintage Cars"/>
    <n v="50"/>
    <s v="S18_4668"/>
    <x v="12"/>
    <s v="4155551450"/>
    <s v="5677 Strong St."/>
    <s v="San Rafael"/>
    <s v="97562"/>
    <s v="USA"/>
    <s v="Nelson"/>
    <s v="Valarie"/>
    <s v="Small"/>
    <x v="797"/>
  </r>
  <r>
    <n v="10312"/>
    <n v="39"/>
    <n v="29.54"/>
    <n v="13"/>
    <n v="1152.06"/>
    <d v="2019-10-21T00:00:00"/>
    <s v="Shipped"/>
    <s v="Vintage Cars"/>
    <n v="33"/>
    <s v="S24_1937"/>
    <x v="12"/>
    <s v="4155551450"/>
    <s v="5677 Strong St."/>
    <s v="San Rafael"/>
    <s v="97562"/>
    <s v="USA"/>
    <s v="Nelson"/>
    <s v="Valarie"/>
    <s v="Small"/>
    <x v="1388"/>
  </r>
  <r>
    <n v="10312"/>
    <n v="23"/>
    <n v="37.630000000000003"/>
    <n v="12"/>
    <n v="865.49"/>
    <d v="2019-10-21T00:00:00"/>
    <s v="Shipped"/>
    <s v="Vintage Cars"/>
    <n v="44"/>
    <s v="S24_2022"/>
    <x v="12"/>
    <s v="4155551450"/>
    <s v="5677 Strong St."/>
    <s v="San Rafael"/>
    <s v="97562"/>
    <s v="USA"/>
    <s v="Nelson"/>
    <s v="Valarie"/>
    <s v="Small"/>
    <x v="1389"/>
  </r>
  <r>
    <n v="10312"/>
    <n v="31"/>
    <n v="35.29"/>
    <n v="15"/>
    <n v="1093.99"/>
    <d v="2019-10-21T00:00:00"/>
    <s v="Shipped"/>
    <s v="Vintage Cars"/>
    <n v="41"/>
    <s v="S24_3969"/>
    <x v="12"/>
    <s v="4155551450"/>
    <s v="5677 Strong St."/>
    <s v="San Rafael"/>
    <s v="97562"/>
    <s v="USA"/>
    <s v="Nelson"/>
    <s v="Valarie"/>
    <s v="Small"/>
    <x v="1390"/>
  </r>
  <r>
    <n v="10312"/>
    <n v="44"/>
    <n v="111.02"/>
    <n v="7"/>
    <n v="4884.88"/>
    <d v="2019-10-21T00:00:00"/>
    <s v="Shipped"/>
    <s v="Vintage Cars"/>
    <n v="97"/>
    <s v="S24_4258"/>
    <x v="12"/>
    <s v="4155551450"/>
    <s v="5677 Strong St."/>
    <s v="San Rafael"/>
    <s v="97562"/>
    <s v="USA"/>
    <s v="Nelson"/>
    <s v="Valarie"/>
    <s v="Medium"/>
    <x v="1391"/>
  </r>
  <r>
    <n v="10313"/>
    <n v="40"/>
    <n v="166.95"/>
    <n v="7"/>
    <n v="6678"/>
    <d v="2019-10-22T00:00:00"/>
    <s v="Shipped"/>
    <s v="Classic Cars"/>
    <n v="147"/>
    <s v="S10_4962"/>
    <x v="64"/>
    <s v="(604) 555-3392"/>
    <s v="1900 Oak St."/>
    <s v="Vancouver"/>
    <s v="V3F 2K1"/>
    <s v="Canada"/>
    <s v="Tannamuri"/>
    <s v="Yoshi"/>
    <s v="Medium"/>
    <x v="1392"/>
  </r>
  <r>
    <n v="10314"/>
    <n v="38"/>
    <n v="209.88"/>
    <n v="5"/>
    <n v="7975.44"/>
    <d v="2019-10-22T00:00:00"/>
    <s v="Shipped"/>
    <s v="Classic Cars"/>
    <n v="207"/>
    <s v="S12_1108"/>
    <x v="45"/>
    <s v="86 21 3555"/>
    <s v="Smagsloget 45"/>
    <s v="Aaarhus"/>
    <s v="8200"/>
    <s v="Denmark"/>
    <s v="Ibsen"/>
    <s v="Palle"/>
    <s v="Large"/>
    <x v="1393"/>
  </r>
  <r>
    <n v="10313"/>
    <n v="21"/>
    <n v="127.1"/>
    <n v="11"/>
    <n v="2669.1"/>
    <d v="2019-10-22T00:00:00"/>
    <s v="Shipped"/>
    <s v="Trucks and Buses"/>
    <n v="136"/>
    <s v="S12_1666"/>
    <x v="64"/>
    <s v="(604) 555-3392"/>
    <s v="1900 Oak St."/>
    <s v="Vancouver"/>
    <s v="V3F 2K1"/>
    <s v="Canada"/>
    <s v="Tannamuri"/>
    <s v="Yoshi"/>
    <s v="Small"/>
    <x v="1394"/>
  </r>
  <r>
    <n v="10314"/>
    <n v="46"/>
    <n v="138.99"/>
    <n v="6"/>
    <n v="6393.54"/>
    <d v="2019-10-22T00:00:00"/>
    <s v="Shipped"/>
    <s v="Classic Cars"/>
    <n v="151"/>
    <s v="S12_3148"/>
    <x v="45"/>
    <s v="86 21 3555"/>
    <s v="Smagsloget 45"/>
    <s v="Aaarhus"/>
    <s v="8200"/>
    <s v="Denmark"/>
    <s v="Ibsen"/>
    <s v="Palle"/>
    <s v="Medium"/>
    <x v="1395"/>
  </r>
  <r>
    <n v="10314"/>
    <n v="36"/>
    <n v="192.05"/>
    <n v="4"/>
    <n v="6913.8"/>
    <d v="2019-10-22T00:00:00"/>
    <s v="Shipped"/>
    <s v="Classic Cars"/>
    <n v="173"/>
    <s v="S12_3891"/>
    <x v="45"/>
    <s v="86 21 3555"/>
    <s v="Smagsloget 45"/>
    <s v="Aaarhus"/>
    <s v="8200"/>
    <s v="Denmark"/>
    <s v="Ibsen"/>
    <s v="Palle"/>
    <s v="Medium"/>
    <x v="1396"/>
  </r>
  <r>
    <n v="10314"/>
    <n v="45"/>
    <n v="137.46"/>
    <n v="14"/>
    <n v="6185.7"/>
    <d v="2019-10-22T00:00:00"/>
    <s v="Shipped"/>
    <s v="Trucks and Buses"/>
    <n v="118"/>
    <s v="S12_4473"/>
    <x v="45"/>
    <s v="86 21 3555"/>
    <s v="Smagsloget 45"/>
    <s v="Aaarhus"/>
    <s v="8200"/>
    <s v="Denmark"/>
    <s v="Ibsen"/>
    <s v="Palle"/>
    <s v="Medium"/>
    <x v="1397"/>
  </r>
  <r>
    <n v="10314"/>
    <n v="42"/>
    <n v="137.53"/>
    <n v="13"/>
    <n v="5776.26"/>
    <d v="2019-10-22T00:00:00"/>
    <s v="Shipped"/>
    <s v="Classic Cars"/>
    <n v="163"/>
    <s v="S18_2238"/>
    <x v="45"/>
    <s v="86 21 3555"/>
    <s v="Smagsloget 45"/>
    <s v="Aaarhus"/>
    <s v="8200"/>
    <s v="Denmark"/>
    <s v="Ibsen"/>
    <s v="Palle"/>
    <s v="Medium"/>
    <x v="429"/>
  </r>
  <r>
    <n v="10313"/>
    <n v="29"/>
    <n v="117.82"/>
    <n v="2"/>
    <n v="3416.78"/>
    <d v="2019-10-22T00:00:00"/>
    <s v="Shipped"/>
    <s v="Trucks and Buses"/>
    <n v="122"/>
    <s v="S18_2319"/>
    <x v="64"/>
    <s v="(604) 555-3392"/>
    <s v="1900 Oak St."/>
    <s v="Vancouver"/>
    <s v="V3F 2K1"/>
    <s v="Canada"/>
    <s v="Tannamuri"/>
    <s v="Yoshi"/>
    <s v="Medium"/>
    <x v="380"/>
  </r>
  <r>
    <n v="10313"/>
    <n v="34"/>
    <n v="52.87"/>
    <n v="5"/>
    <n v="1797.58"/>
    <d v="2019-10-22T00:00:00"/>
    <s v="Shipped"/>
    <s v="Trucks and Buses"/>
    <n v="60"/>
    <s v="S18_2432"/>
    <x v="64"/>
    <s v="(604) 555-3392"/>
    <s v="1900 Oak St."/>
    <s v="Vancouver"/>
    <s v="V3F 2K1"/>
    <s v="Canada"/>
    <s v="Tannamuri"/>
    <s v="Yoshi"/>
    <s v="Small"/>
    <x v="1398"/>
  </r>
  <r>
    <n v="10314"/>
    <n v="20"/>
    <n v="136.59"/>
    <n v="1"/>
    <n v="2731.8"/>
    <d v="2019-10-22T00:00:00"/>
    <s v="Shipped"/>
    <s v="Vintage Cars"/>
    <n v="136"/>
    <s v="S18_3140"/>
    <x v="45"/>
    <s v="86 21 3555"/>
    <s v="Smagsloget 45"/>
    <s v="Aaarhus"/>
    <s v="8200"/>
    <s v="Denmark"/>
    <s v="Ibsen"/>
    <s v="Palle"/>
    <s v="Small"/>
    <x v="753"/>
  </r>
  <r>
    <n v="10313"/>
    <n v="25"/>
    <n v="182.89"/>
    <n v="3"/>
    <n v="4572.25"/>
    <d v="2019-10-22T00:00:00"/>
    <s v="Shipped"/>
    <s v="Classic Cars"/>
    <n v="169"/>
    <s v="S18_3232"/>
    <x v="64"/>
    <s v="(604) 555-3392"/>
    <s v="1900 Oak St."/>
    <s v="Vancouver"/>
    <s v="V3F 2K1"/>
    <s v="Canada"/>
    <s v="Tannamuri"/>
    <s v="Yoshi"/>
    <s v="Medium"/>
    <x v="1399"/>
  </r>
  <r>
    <n v="10314"/>
    <n v="23"/>
    <n v="107.9"/>
    <n v="3"/>
    <n v="2481.6999999999998"/>
    <d v="2019-10-22T00:00:00"/>
    <s v="Shipped"/>
    <s v="Trains"/>
    <n v="100"/>
    <s v="S18_3259"/>
    <x v="45"/>
    <s v="86 21 3555"/>
    <s v="Smagsloget 45"/>
    <s v="Aaarhus"/>
    <s v="8200"/>
    <s v="Denmark"/>
    <s v="Ibsen"/>
    <s v="Palle"/>
    <s v="Small"/>
    <x v="741"/>
  </r>
  <r>
    <n v="10314"/>
    <n v="29"/>
    <n v="145.06"/>
    <n v="8"/>
    <n v="4206.74"/>
    <d v="2019-10-22T00:00:00"/>
    <s v="Shipped"/>
    <s v="Classic Cars"/>
    <n v="143"/>
    <s v="S18_4027"/>
    <x v="45"/>
    <s v="86 21 3555"/>
    <s v="Smagsloget 45"/>
    <s v="Aaarhus"/>
    <s v="8200"/>
    <s v="Denmark"/>
    <s v="Ibsen"/>
    <s v="Palle"/>
    <s v="Medium"/>
    <x v="1192"/>
  </r>
  <r>
    <n v="10313"/>
    <n v="28"/>
    <n v="102.92"/>
    <n v="8"/>
    <n v="2881.76"/>
    <d v="2019-10-22T00:00:00"/>
    <s v="Shipped"/>
    <s v="Trucks and Buses"/>
    <n v="121"/>
    <s v="S18_4600"/>
    <x v="64"/>
    <s v="(604) 555-3392"/>
    <s v="1900 Oak St."/>
    <s v="Vancouver"/>
    <s v="V3F 2K1"/>
    <s v="Canada"/>
    <s v="Tannamuri"/>
    <s v="Yoshi"/>
    <s v="Small"/>
    <x v="1400"/>
  </r>
  <r>
    <n v="10314"/>
    <n v="44"/>
    <n v="53.18"/>
    <n v="11"/>
    <n v="2339.92"/>
    <d v="2019-10-22T00:00:00"/>
    <s v="Shipped"/>
    <s v="Classic Cars"/>
    <n v="57"/>
    <s v="S24_1444"/>
    <x v="45"/>
    <s v="86 21 3555"/>
    <s v="Smagsloget 45"/>
    <s v="Aaarhus"/>
    <s v="8200"/>
    <s v="Denmark"/>
    <s v="Ibsen"/>
    <s v="Palle"/>
    <s v="Small"/>
    <x v="1401"/>
  </r>
  <r>
    <n v="10313"/>
    <n v="42"/>
    <n v="132.9"/>
    <n v="4"/>
    <n v="5581.8"/>
    <d v="2019-10-22T00:00:00"/>
    <s v="Shipped"/>
    <s v="Trucks and Buses"/>
    <n v="127"/>
    <s v="S24_2300"/>
    <x v="64"/>
    <s v="(604) 555-3392"/>
    <s v="1900 Oak St."/>
    <s v="Vancouver"/>
    <s v="V3F 2K1"/>
    <s v="Canada"/>
    <s v="Tannamuri"/>
    <s v="Yoshi"/>
    <s v="Medium"/>
    <x v="1402"/>
  </r>
  <r>
    <n v="10314"/>
    <n v="39"/>
    <n v="37.130000000000003"/>
    <n v="15"/>
    <n v="1448.07"/>
    <d v="2019-10-22T00:00:00"/>
    <s v="Shipped"/>
    <s v="Classic Cars"/>
    <n v="35"/>
    <s v="S24_2840"/>
    <x v="45"/>
    <s v="86 21 3555"/>
    <s v="Smagsloget 45"/>
    <s v="Aaarhus"/>
    <s v="8200"/>
    <s v="Denmark"/>
    <s v="Ibsen"/>
    <s v="Palle"/>
    <s v="Small"/>
    <x v="1403"/>
  </r>
  <r>
    <n v="10314"/>
    <n v="38"/>
    <n v="105.27"/>
    <n v="10"/>
    <n v="4000.26"/>
    <d v="2019-10-22T00:00:00"/>
    <s v="Shipped"/>
    <s v="Classic Cars"/>
    <n v="118"/>
    <s v="S24_4048"/>
    <x v="45"/>
    <s v="86 21 3555"/>
    <s v="Smagsloget 45"/>
    <s v="Aaarhus"/>
    <s v="8200"/>
    <s v="Denmark"/>
    <s v="Ibsen"/>
    <s v="Palle"/>
    <s v="Medium"/>
    <x v="760"/>
  </r>
  <r>
    <n v="10313"/>
    <n v="27"/>
    <n v="87.64"/>
    <n v="6"/>
    <n v="2366.2800000000002"/>
    <d v="2019-10-22T00:00:00"/>
    <s v="Shipped"/>
    <s v="Trucks and Buses"/>
    <n v="96"/>
    <s v="S32_1268"/>
    <x v="64"/>
    <s v="(604) 555-3392"/>
    <s v="1900 Oak St."/>
    <s v="Vancouver"/>
    <s v="V3F 2K1"/>
    <s v="Canada"/>
    <s v="Tannamuri"/>
    <s v="Yoshi"/>
    <s v="Small"/>
    <x v="863"/>
  </r>
  <r>
    <n v="10313"/>
    <n v="38"/>
    <n v="45.45"/>
    <n v="1"/>
    <n v="1727.1"/>
    <d v="2019-10-22T00:00:00"/>
    <s v="Shipped"/>
    <s v="Trucks and Buses"/>
    <n v="54"/>
    <s v="S32_2509"/>
    <x v="64"/>
    <s v="(604) 555-3392"/>
    <s v="1900 Oak St."/>
    <s v="Vancouver"/>
    <s v="V3F 2K1"/>
    <s v="Canada"/>
    <s v="Tannamuri"/>
    <s v="Yoshi"/>
    <s v="Small"/>
    <x v="1404"/>
  </r>
  <r>
    <n v="10314"/>
    <n v="35"/>
    <n v="66.489999999999995"/>
    <n v="9"/>
    <n v="2327.15"/>
    <d v="2019-10-22T00:00:00"/>
    <s v="Shipped"/>
    <s v="Trains"/>
    <n v="62"/>
    <s v="S32_3207"/>
    <x v="45"/>
    <s v="86 21 3555"/>
    <s v="Smagsloget 45"/>
    <s v="Aaarhus"/>
    <s v="8200"/>
    <s v="Denmark"/>
    <s v="Ibsen"/>
    <s v="Palle"/>
    <s v="Small"/>
    <x v="1245"/>
  </r>
  <r>
    <n v="10313"/>
    <n v="34"/>
    <n v="56.24"/>
    <n v="10"/>
    <n v="1912.16"/>
    <d v="2019-10-22T00:00:00"/>
    <s v="Shipped"/>
    <s v="Trucks and Buses"/>
    <n v="64"/>
    <s v="S32_3522"/>
    <x v="64"/>
    <s v="(604) 555-3392"/>
    <s v="1900 Oak St."/>
    <s v="Vancouver"/>
    <s v="V3F 2K1"/>
    <s v="Canada"/>
    <s v="Tannamuri"/>
    <s v="Yoshi"/>
    <s v="Small"/>
    <x v="1405"/>
  </r>
  <r>
    <n v="10314"/>
    <n v="28"/>
    <n v="121.54"/>
    <n v="12"/>
    <n v="3403.12"/>
    <d v="2019-10-22T00:00:00"/>
    <s v="Shipped"/>
    <s v="Trucks and Buses"/>
    <n v="115"/>
    <s v="S50_1392"/>
    <x v="45"/>
    <s v="86 21 3555"/>
    <s v="Smagsloget 45"/>
    <s v="Aaarhus"/>
    <s v="8200"/>
    <s v="Denmark"/>
    <s v="Ibsen"/>
    <s v="Palle"/>
    <s v="Medium"/>
    <x v="99"/>
  </r>
  <r>
    <n v="10314"/>
    <n v="38"/>
    <n v="61.51"/>
    <n v="7"/>
    <n v="2337.38"/>
    <d v="2019-10-22T00:00:00"/>
    <s v="Shipped"/>
    <s v="Trains"/>
    <n v="58"/>
    <s v="S50_1514"/>
    <x v="45"/>
    <s v="86 21 3555"/>
    <s v="Smagsloget 45"/>
    <s v="Aaarhus"/>
    <s v="8200"/>
    <s v="Denmark"/>
    <s v="Ibsen"/>
    <s v="Palle"/>
    <s v="Small"/>
    <x v="1406"/>
  </r>
  <r>
    <n v="10314"/>
    <n v="23"/>
    <n v="76.22"/>
    <n v="2"/>
    <n v="1753.06"/>
    <d v="2019-10-22T00:00:00"/>
    <s v="Shipped"/>
    <s v="Ships"/>
    <n v="86"/>
    <s v="S700_1938"/>
    <x v="45"/>
    <s v="86 21 3555"/>
    <s v="Smagsloget 45"/>
    <s v="Aaarhus"/>
    <s v="8200"/>
    <s v="Denmark"/>
    <s v="Ibsen"/>
    <s v="Palle"/>
    <s v="Small"/>
    <x v="1186"/>
  </r>
  <r>
    <n v="10313"/>
    <n v="30"/>
    <n v="99.13"/>
    <n v="9"/>
    <n v="2973.9"/>
    <d v="2019-10-22T00:00:00"/>
    <s v="Shipped"/>
    <s v="Classic Cars"/>
    <n v="101"/>
    <s v="S700_2824"/>
    <x v="64"/>
    <s v="(604) 555-3392"/>
    <s v="1900 Oak St."/>
    <s v="Vancouver"/>
    <s v="V3F 2K1"/>
    <s v="Canada"/>
    <s v="Tannamuri"/>
    <s v="Yoshi"/>
    <s v="Small"/>
    <x v="1407"/>
  </r>
  <r>
    <n v="10315"/>
    <n v="36"/>
    <n v="100.06"/>
    <n v="7"/>
    <n v="3602.16"/>
    <d v="2019-10-29T00:00:00"/>
    <s v="Shipped"/>
    <s v="Vintage Cars"/>
    <n v="87"/>
    <s v="S18_4522"/>
    <x v="84"/>
    <s v="40.67.8555"/>
    <s v="67, rue des Cinquante Otages"/>
    <s v="Nantes"/>
    <s v="44000"/>
    <s v="France"/>
    <s v="Labrune"/>
    <s v="Janine"/>
    <s v="Medium"/>
    <x v="616"/>
  </r>
  <r>
    <n v="10315"/>
    <n v="35"/>
    <n v="120.43"/>
    <n v="6"/>
    <n v="4215.05"/>
    <d v="2019-10-29T00:00:00"/>
    <s v="Shipped"/>
    <s v="Ships"/>
    <n v="122"/>
    <s v="S24_2011"/>
    <x v="84"/>
    <s v="40.67.8555"/>
    <s v="67, rue des Cinquante Otages"/>
    <s v="Nantes"/>
    <s v="44000"/>
    <s v="France"/>
    <s v="Labrune"/>
    <s v="Janine"/>
    <s v="Medium"/>
    <x v="1408"/>
  </r>
  <r>
    <n v="10315"/>
    <n v="24"/>
    <n v="86.74"/>
    <n v="1"/>
    <n v="2081.7600000000002"/>
    <d v="2019-10-29T00:00:00"/>
    <s v="Shipped"/>
    <s v="Vintage Cars"/>
    <n v="88"/>
    <s v="S24_3151"/>
    <x v="84"/>
    <s v="40.67.8555"/>
    <s v="67, rue des Cinquante Otages"/>
    <s v="Nantes"/>
    <s v="44000"/>
    <s v="France"/>
    <s v="Labrune"/>
    <s v="Janine"/>
    <s v="Small"/>
    <x v="1063"/>
  </r>
  <r>
    <n v="10315"/>
    <n v="41"/>
    <n v="62"/>
    <n v="2"/>
    <n v="2542"/>
    <d v="2019-10-29T00:00:00"/>
    <s v="Shipped"/>
    <s v="Ships"/>
    <n v="66"/>
    <s v="S700_1138"/>
    <x v="84"/>
    <s v="40.67.8555"/>
    <s v="67, rue des Cinquante Otages"/>
    <s v="Nantes"/>
    <s v="44000"/>
    <s v="France"/>
    <s v="Labrune"/>
    <s v="Janine"/>
    <s v="Small"/>
    <x v="1409"/>
  </r>
  <r>
    <n v="10315"/>
    <n v="31"/>
    <n v="86.15"/>
    <n v="3"/>
    <n v="2670.65"/>
    <d v="2019-10-29T00:00:00"/>
    <s v="Shipped"/>
    <s v="Ships"/>
    <n v="100"/>
    <s v="S700_3505"/>
    <x v="84"/>
    <s v="40.67.8555"/>
    <s v="67, rue des Cinquante Otages"/>
    <s v="Nantes"/>
    <s v="44000"/>
    <s v="France"/>
    <s v="Labrune"/>
    <s v="Janine"/>
    <s v="Small"/>
    <x v="1410"/>
  </r>
  <r>
    <n v="10315"/>
    <n v="37"/>
    <n v="91.37"/>
    <n v="4"/>
    <n v="3380.69"/>
    <d v="2019-10-29T00:00:00"/>
    <s v="Shipped"/>
    <s v="Ships"/>
    <n v="99"/>
    <s v="S700_3962"/>
    <x v="84"/>
    <s v="40.67.8555"/>
    <s v="67, rue des Cinquante Otages"/>
    <s v="Nantes"/>
    <s v="44000"/>
    <s v="France"/>
    <s v="Labrune"/>
    <s v="Janine"/>
    <s v="Medium"/>
    <x v="1092"/>
  </r>
  <r>
    <n v="10315"/>
    <n v="40"/>
    <n v="55.69"/>
    <n v="5"/>
    <n v="2227.6"/>
    <d v="2019-10-29T00:00:00"/>
    <s v="Shipped"/>
    <s v="Ships"/>
    <n v="54"/>
    <s v="S72_3212"/>
    <x v="84"/>
    <s v="40.67.8555"/>
    <s v="67, rue des Cinquante Otages"/>
    <s v="Nantes"/>
    <s v="44000"/>
    <s v="France"/>
    <s v="Labrune"/>
    <s v="Janine"/>
    <s v="Small"/>
    <x v="1411"/>
  </r>
  <r>
    <n v="10316"/>
    <n v="33"/>
    <n v="125.12"/>
    <n v="17"/>
    <n v="4128.96"/>
    <d v="2019-11-01T00:00:00"/>
    <s v="Shipped"/>
    <s v="Classic Cars"/>
    <n v="136"/>
    <s v="S10_4757"/>
    <x v="75"/>
    <s v="(198) 555-8888"/>
    <s v="Garden House Crowther Way"/>
    <s v="Cowes"/>
    <s v="PO31 7PJ"/>
    <s v="UK"/>
    <s v="Bennett"/>
    <s v="Helen"/>
    <s v="Medium"/>
    <x v="1412"/>
  </r>
  <r>
    <n v="10348"/>
    <n v="48"/>
    <n v="52.36"/>
    <n v="8"/>
    <n v="2513.2800000000002"/>
    <d v="2019-11-01T00:00:00"/>
    <s v="Shipped"/>
    <s v="Classic Cars"/>
    <n v="207"/>
    <s v="S12_1108"/>
    <x v="24"/>
    <s v="(91) 555 22 82"/>
    <s v="C/ Araquil, 67"/>
    <s v="Madrid"/>
    <s v="28023"/>
    <s v="Spain"/>
    <s v="Sommer"/>
    <s v="Mart¡n"/>
    <s v="Small"/>
    <x v="1413"/>
  </r>
  <r>
    <n v="10348"/>
    <n v="47"/>
    <n v="102.16"/>
    <n v="4"/>
    <n v="4801.5200000000004"/>
    <d v="2019-11-01T00:00:00"/>
    <s v="Shipped"/>
    <s v="Classic Cars"/>
    <n v="151"/>
    <s v="S12_3148"/>
    <x v="24"/>
    <s v="(91) 555 22 82"/>
    <s v="C/ Araquil, 67"/>
    <s v="Madrid"/>
    <s v="28023"/>
    <s v="Spain"/>
    <s v="Sommer"/>
    <s v="Mart¡n"/>
    <s v="Medium"/>
    <x v="1271"/>
  </r>
  <r>
    <n v="10316"/>
    <n v="27"/>
    <n v="137.19"/>
    <n v="9"/>
    <n v="3704.13"/>
    <d v="2019-11-01T00:00:00"/>
    <s v="Shipped"/>
    <s v="Planes"/>
    <n v="157"/>
    <s v="S18_1662"/>
    <x v="75"/>
    <s v="(198) 555-8888"/>
    <s v="Garden House Crowther Way"/>
    <s v="Cowes"/>
    <s v="PO31 7PJ"/>
    <s v="UK"/>
    <s v="Bennett"/>
    <s v="Helen"/>
    <s v="Medium"/>
    <x v="1414"/>
  </r>
  <r>
    <n v="10316"/>
    <n v="21"/>
    <n v="94.62"/>
    <n v="15"/>
    <n v="1987.02"/>
    <d v="2019-11-01T00:00:00"/>
    <s v="Shipped"/>
    <s v="Ships"/>
    <n v="86"/>
    <s v="S18_3029"/>
    <x v="75"/>
    <s v="(198) 555-8888"/>
    <s v="Garden House Crowther Way"/>
    <s v="Cowes"/>
    <s v="PO31 7PJ"/>
    <s v="UK"/>
    <s v="Bennett"/>
    <s v="Helen"/>
    <s v="Small"/>
    <x v="1415"/>
  </r>
  <r>
    <n v="10316"/>
    <n v="47"/>
    <n v="86.81"/>
    <n v="14"/>
    <n v="4080.07"/>
    <d v="2019-11-01T00:00:00"/>
    <s v="Shipped"/>
    <s v="Vintage Cars"/>
    <n v="105"/>
    <s v="S18_3856"/>
    <x v="75"/>
    <s v="(198) 555-8888"/>
    <s v="Garden House Crowther Way"/>
    <s v="Cowes"/>
    <s v="PO31 7PJ"/>
    <s v="UK"/>
    <s v="Bennett"/>
    <s v="Helen"/>
    <s v="Medium"/>
    <x v="970"/>
  </r>
  <r>
    <n v="10348"/>
    <n v="29"/>
    <n v="245.2"/>
    <n v="6"/>
    <n v="7110.8"/>
    <d v="2019-11-01T00:00:00"/>
    <s v="Shipped"/>
    <s v="Vintage Cars"/>
    <n v="50"/>
    <s v="S18_4668"/>
    <x v="24"/>
    <s v="(91) 555 22 82"/>
    <s v="C/ Araquil, 67"/>
    <s v="Madrid"/>
    <s v="28023"/>
    <s v="Spain"/>
    <s v="Sommer"/>
    <s v="Mart¡n"/>
    <s v="Large"/>
    <x v="1062"/>
  </r>
  <r>
    <n v="10316"/>
    <n v="25"/>
    <n v="114.89"/>
    <n v="1"/>
    <n v="2872.25"/>
    <d v="2019-11-01T00:00:00"/>
    <s v="Shipped"/>
    <s v="Planes"/>
    <n v="109"/>
    <s v="S24_1785"/>
    <x v="75"/>
    <s v="(198) 555-8888"/>
    <s v="Garden House Crowther Way"/>
    <s v="Cowes"/>
    <s v="PO31 7PJ"/>
    <s v="UK"/>
    <s v="Bennett"/>
    <s v="Helen"/>
    <s v="Small"/>
    <x v="972"/>
  </r>
  <r>
    <n v="10348"/>
    <n v="37"/>
    <n v="161.66"/>
    <n v="1"/>
    <n v="5981.42"/>
    <d v="2019-11-01T00:00:00"/>
    <s v="Shipped"/>
    <s v="Trucks and Buses"/>
    <n v="127"/>
    <s v="S24_2300"/>
    <x v="24"/>
    <s v="(91) 555 22 82"/>
    <s v="C/ Araquil, 67"/>
    <s v="Madrid"/>
    <s v="28023"/>
    <s v="Spain"/>
    <s v="Sommer"/>
    <s v="Mart¡n"/>
    <s v="Medium"/>
    <x v="606"/>
  </r>
  <r>
    <n v="10316"/>
    <n v="34"/>
    <n v="63.71"/>
    <n v="10"/>
    <n v="2166.14"/>
    <d v="2019-11-01T00:00:00"/>
    <s v="Shipped"/>
    <s v="Planes"/>
    <n v="68"/>
    <s v="S24_2841"/>
    <x v="75"/>
    <s v="(198) 555-8888"/>
    <s v="Garden House Crowther Way"/>
    <s v="Cowes"/>
    <s v="PO31 7PJ"/>
    <s v="UK"/>
    <s v="Bennett"/>
    <s v="Helen"/>
    <s v="Small"/>
    <x v="1146"/>
  </r>
  <r>
    <n v="10316"/>
    <n v="47"/>
    <n v="76.930000000000007"/>
    <n v="11"/>
    <n v="3615.71"/>
    <d v="2019-11-01T00:00:00"/>
    <s v="Shipped"/>
    <s v="Vintage Cars"/>
    <n v="65"/>
    <s v="S24_3420"/>
    <x v="75"/>
    <s v="(198) 555-8888"/>
    <s v="Garden House Crowther Way"/>
    <s v="Cowes"/>
    <s v="PO31 7PJ"/>
    <s v="UK"/>
    <s v="Bennett"/>
    <s v="Helen"/>
    <s v="Medium"/>
    <x v="1416"/>
  </r>
  <r>
    <n v="10316"/>
    <n v="25"/>
    <n v="92.25"/>
    <n v="16"/>
    <n v="2306.25"/>
    <d v="2019-11-01T00:00:00"/>
    <s v="Shipped"/>
    <s v="Vintage Cars"/>
    <n v="83"/>
    <s v="S24_3816"/>
    <x v="75"/>
    <s v="(198) 555-8888"/>
    <s v="Garden House Crowther Way"/>
    <s v="Cowes"/>
    <s v="PO31 7PJ"/>
    <s v="UK"/>
    <s v="Bennett"/>
    <s v="Helen"/>
    <s v="Small"/>
    <x v="1069"/>
  </r>
  <r>
    <n v="10316"/>
    <n v="30"/>
    <n v="77.790000000000006"/>
    <n v="8"/>
    <n v="2333.6999999999998"/>
    <d v="2019-11-01T00:00:00"/>
    <s v="Shipped"/>
    <s v="Planes"/>
    <n v="68"/>
    <s v="S24_3949"/>
    <x v="75"/>
    <s v="(198) 555-8888"/>
    <s v="Garden House Crowther Way"/>
    <s v="Cowes"/>
    <s v="PO31 7PJ"/>
    <s v="UK"/>
    <s v="Bennett"/>
    <s v="Helen"/>
    <s v="Small"/>
    <x v="1038"/>
  </r>
  <r>
    <n v="10348"/>
    <n v="39"/>
    <n v="50.31"/>
    <n v="2"/>
    <n v="1962.09"/>
    <d v="2019-11-01T00:00:00"/>
    <s v="Shipped"/>
    <s v="Vintage Cars"/>
    <n v="97"/>
    <s v="S24_4258"/>
    <x v="24"/>
    <s v="(91) 555 22 82"/>
    <s v="C/ Araquil, 67"/>
    <s v="Madrid"/>
    <s v="28023"/>
    <s v="Spain"/>
    <s v="Sommer"/>
    <s v="Mart¡n"/>
    <s v="Small"/>
    <x v="1417"/>
  </r>
  <r>
    <n v="10348"/>
    <n v="42"/>
    <n v="152.07"/>
    <n v="3"/>
    <n v="6386.94"/>
    <d v="2019-11-01T00:00:00"/>
    <s v="Shipped"/>
    <s v="Trucks and Buses"/>
    <n v="96"/>
    <s v="S32_1268"/>
    <x v="24"/>
    <s v="(91) 555 22 82"/>
    <s v="C/ Araquil, 67"/>
    <s v="Madrid"/>
    <s v="28023"/>
    <s v="Spain"/>
    <s v="Sommer"/>
    <s v="Mart¡n"/>
    <s v="Medium"/>
    <x v="577"/>
  </r>
  <r>
    <n v="10348"/>
    <n v="31"/>
    <n v="101.29"/>
    <n v="5"/>
    <n v="3139.99"/>
    <d v="2019-11-01T00:00:00"/>
    <s v="Shipped"/>
    <s v="Trucks and Buses"/>
    <n v="64"/>
    <s v="S32_3522"/>
    <x v="24"/>
    <s v="(91) 555 22 82"/>
    <s v="C/ Araquil, 67"/>
    <s v="Madrid"/>
    <s v="28023"/>
    <s v="Spain"/>
    <s v="Sommer"/>
    <s v="Mart¡n"/>
    <s v="Medium"/>
    <x v="1418"/>
  </r>
  <r>
    <n v="10316"/>
    <n v="24"/>
    <n v="59.16"/>
    <n v="2"/>
    <n v="1419.84"/>
    <d v="2019-11-01T00:00:00"/>
    <s v="Shipped"/>
    <s v="Vintage Cars"/>
    <n v="68"/>
    <s v="S32_4289"/>
    <x v="75"/>
    <s v="(198) 555-8888"/>
    <s v="Garden House Crowther Way"/>
    <s v="Cowes"/>
    <s v="PO31 7PJ"/>
    <s v="UK"/>
    <s v="Bennett"/>
    <s v="Helen"/>
    <s v="Small"/>
    <x v="882"/>
  </r>
  <r>
    <n v="10316"/>
    <n v="34"/>
    <n v="47.57"/>
    <n v="3"/>
    <n v="1617.38"/>
    <d v="2019-11-01T00:00:00"/>
    <s v="Shipped"/>
    <s v="Vintage Cars"/>
    <n v="43"/>
    <s v="S50_1341"/>
    <x v="75"/>
    <s v="(198) 555-8888"/>
    <s v="Garden House Crowther Way"/>
    <s v="Cowes"/>
    <s v="PO31 7PJ"/>
    <s v="UK"/>
    <s v="Bennett"/>
    <s v="Helen"/>
    <s v="Small"/>
    <x v="295"/>
  </r>
  <r>
    <n v="10316"/>
    <n v="34"/>
    <n v="82.21"/>
    <n v="4"/>
    <n v="2795.14"/>
    <d v="2019-11-01T00:00:00"/>
    <s v="Shipped"/>
    <s v="Planes"/>
    <n v="91"/>
    <s v="S700_1691"/>
    <x v="75"/>
    <s v="(198) 555-8888"/>
    <s v="Garden House Crowther Way"/>
    <s v="Cowes"/>
    <s v="PO31 7PJ"/>
    <s v="UK"/>
    <s v="Bennett"/>
    <s v="Helen"/>
    <s v="Small"/>
    <x v="762"/>
  </r>
  <r>
    <n v="10316"/>
    <n v="45"/>
    <n v="93.24"/>
    <n v="13"/>
    <n v="4195.8"/>
    <d v="2019-11-01T00:00:00"/>
    <s v="Shipped"/>
    <s v="Ships"/>
    <n v="90"/>
    <s v="S700_2047"/>
    <x v="75"/>
    <s v="(198) 555-8888"/>
    <s v="Garden House Crowther Way"/>
    <s v="Cowes"/>
    <s v="PO31 7PJ"/>
    <s v="UK"/>
    <s v="Bennett"/>
    <s v="Helen"/>
    <s v="Medium"/>
    <x v="1419"/>
  </r>
  <r>
    <n v="10316"/>
    <n v="23"/>
    <n v="117.67"/>
    <n v="6"/>
    <n v="2706.41"/>
    <d v="2019-11-01T00:00:00"/>
    <s v="Shipped"/>
    <s v="Planes"/>
    <n v="99"/>
    <s v="S700_2466"/>
    <x v="75"/>
    <s v="(198) 555-8888"/>
    <s v="Garden House Crowther Way"/>
    <s v="Cowes"/>
    <s v="PO31 7PJ"/>
    <s v="UK"/>
    <s v="Bennett"/>
    <s v="Helen"/>
    <s v="Small"/>
    <x v="1420"/>
  </r>
  <r>
    <n v="10316"/>
    <n v="48"/>
    <n v="74.45"/>
    <n v="18"/>
    <n v="3573.6"/>
    <d v="2019-11-01T00:00:00"/>
    <s v="Shipped"/>
    <s v="Ships"/>
    <n v="72"/>
    <s v="S700_2610"/>
    <x v="75"/>
    <s v="(198) 555-8888"/>
    <s v="Garden House Crowther Way"/>
    <s v="Cowes"/>
    <s v="PO31 7PJ"/>
    <s v="UK"/>
    <s v="Bennett"/>
    <s v="Helen"/>
    <s v="Medium"/>
    <x v="1421"/>
  </r>
  <r>
    <n v="10348"/>
    <n v="32"/>
    <n v="82.83"/>
    <n v="7"/>
    <n v="2650.56"/>
    <d v="2019-11-01T00:00:00"/>
    <s v="Shipped"/>
    <s v="Classic Cars"/>
    <n v="101"/>
    <s v="S700_2824"/>
    <x v="24"/>
    <s v="(91) 555 22 82"/>
    <s v="C/ Araquil, 67"/>
    <s v="Madrid"/>
    <s v="28023"/>
    <s v="Spain"/>
    <s v="Sommer"/>
    <s v="Mart¡n"/>
    <s v="Small"/>
    <x v="511"/>
  </r>
  <r>
    <n v="10316"/>
    <n v="48"/>
    <n v="75.2"/>
    <n v="5"/>
    <n v="3609.6"/>
    <d v="2019-11-01T00:00:00"/>
    <s v="Shipped"/>
    <s v="Planes"/>
    <n v="80"/>
    <s v="S700_3167"/>
    <x v="75"/>
    <s v="(198) 555-8888"/>
    <s v="Garden House Crowther Way"/>
    <s v="Cowes"/>
    <s v="PO31 7PJ"/>
    <s v="UK"/>
    <s v="Bennett"/>
    <s v="Helen"/>
    <s v="Medium"/>
    <x v="900"/>
  </r>
  <r>
    <n v="10316"/>
    <n v="44"/>
    <n v="62.19"/>
    <n v="7"/>
    <n v="2736.36"/>
    <d v="2019-11-01T00:00:00"/>
    <s v="Shipped"/>
    <s v="Planes"/>
    <n v="74"/>
    <s v="S700_4002"/>
    <x v="75"/>
    <s v="(198) 555-8888"/>
    <s v="Garden House Crowther Way"/>
    <s v="Cowes"/>
    <s v="PO31 7PJ"/>
    <s v="UK"/>
    <s v="Bennett"/>
    <s v="Helen"/>
    <s v="Small"/>
    <x v="1422"/>
  </r>
  <r>
    <n v="10316"/>
    <n v="34"/>
    <n v="43.7"/>
    <n v="12"/>
    <n v="1485.8"/>
    <d v="2019-11-01T00:00:00"/>
    <s v="Shipped"/>
    <s v="Planes"/>
    <n v="49"/>
    <s v="S72_1253"/>
    <x v="75"/>
    <s v="(198) 555-8888"/>
    <s v="Garden House Crowther Way"/>
    <s v="Cowes"/>
    <s v="PO31 7PJ"/>
    <s v="UK"/>
    <s v="Bennett"/>
    <s v="Helen"/>
    <s v="Small"/>
    <x v="1423"/>
  </r>
  <r>
    <n v="10318"/>
    <n v="46"/>
    <n v="94.74"/>
    <n v="1"/>
    <n v="4358.04"/>
    <d v="2019-11-02T00:00:00"/>
    <s v="Shipped"/>
    <s v="Motorcycles"/>
    <n v="95"/>
    <s v="S10_1678"/>
    <x v="83"/>
    <s v="2155551555"/>
    <s v="7586 Pompton St."/>
    <s v="Allentown"/>
    <s v="70267"/>
    <s v="USA"/>
    <s v="Yu"/>
    <s v="Kyung"/>
    <s v="Medium"/>
    <x v="1424"/>
  </r>
  <r>
    <n v="10318"/>
    <n v="45"/>
    <n v="123.7"/>
    <n v="4"/>
    <n v="5566.5"/>
    <d v="2019-11-02T00:00:00"/>
    <s v="Shipped"/>
    <s v="Motorcycles"/>
    <n v="118"/>
    <s v="S10_2016"/>
    <x v="83"/>
    <s v="2155551555"/>
    <s v="7586 Pompton St."/>
    <s v="Allentown"/>
    <s v="70267"/>
    <s v="USA"/>
    <s v="Yu"/>
    <s v="Kyung"/>
    <s v="Medium"/>
    <x v="1425"/>
  </r>
  <r>
    <n v="10318"/>
    <n v="37"/>
    <n v="207.22"/>
    <n v="3"/>
    <n v="7667.14"/>
    <d v="2019-11-02T00:00:00"/>
    <s v="Shipped"/>
    <s v="Motorcycles"/>
    <n v="193"/>
    <s v="S10_4698"/>
    <x v="83"/>
    <s v="2155551555"/>
    <s v="7586 Pompton St."/>
    <s v="Allentown"/>
    <s v="70267"/>
    <s v="USA"/>
    <s v="Yu"/>
    <s v="Kyung"/>
    <s v="Large"/>
    <x v="1426"/>
  </r>
  <r>
    <n v="10318"/>
    <n v="31"/>
    <n v="100.53"/>
    <n v="9"/>
    <n v="3116.43"/>
    <d v="2019-11-02T00:00:00"/>
    <s v="Shipped"/>
    <s v="Planes"/>
    <n v="84"/>
    <s v="S18_2581"/>
    <x v="83"/>
    <s v="2155551555"/>
    <s v="7586 Pompton St."/>
    <s v="Allentown"/>
    <s v="70267"/>
    <s v="USA"/>
    <s v="Yu"/>
    <s v="Kyung"/>
    <s v="Medium"/>
    <x v="1067"/>
  </r>
  <r>
    <n v="10318"/>
    <n v="42"/>
    <n v="52.7"/>
    <n v="5"/>
    <n v="2213.4"/>
    <d v="2019-11-02T00:00:00"/>
    <s v="Shipped"/>
    <s v="Motorcycles"/>
    <n v="60"/>
    <s v="S18_2625"/>
    <x v="83"/>
    <s v="2155551555"/>
    <s v="7586 Pompton St."/>
    <s v="Allentown"/>
    <s v="70267"/>
    <s v="USA"/>
    <s v="Yu"/>
    <s v="Kyung"/>
    <s v="Small"/>
    <x v="1427"/>
  </r>
  <r>
    <n v="10318"/>
    <n v="48"/>
    <n v="134.11000000000001"/>
    <n v="2"/>
    <n v="6437.28"/>
    <d v="2019-11-02T00:00:00"/>
    <s v="Shipped"/>
    <s v="Motorcycles"/>
    <n v="112"/>
    <s v="S24_1578"/>
    <x v="83"/>
    <s v="2155551555"/>
    <s v="7586 Pompton St."/>
    <s v="Allentown"/>
    <s v="70267"/>
    <s v="USA"/>
    <s v="Yu"/>
    <s v="Kyung"/>
    <s v="Medium"/>
    <x v="1037"/>
  </r>
  <r>
    <n v="10318"/>
    <n v="26"/>
    <n v="86.83"/>
    <n v="6"/>
    <n v="2257.58"/>
    <d v="2019-11-02T00:00:00"/>
    <s v="Shipped"/>
    <s v="Motorcycles"/>
    <n v="76"/>
    <s v="S24_2000"/>
    <x v="83"/>
    <s v="2155551555"/>
    <s v="7586 Pompton St."/>
    <s v="Allentown"/>
    <s v="70267"/>
    <s v="USA"/>
    <s v="Yu"/>
    <s v="Kyung"/>
    <s v="Small"/>
    <x v="1428"/>
  </r>
  <r>
    <n v="10317"/>
    <n v="35"/>
    <n v="83.32"/>
    <n v="1"/>
    <n v="2916.2"/>
    <d v="2019-11-02T00:00:00"/>
    <s v="Shipped"/>
    <s v="Planes"/>
    <n v="72"/>
    <s v="S24_4278"/>
    <x v="32"/>
    <s v="6505556809"/>
    <s v="9408 Furth Circle"/>
    <s v="Burlingame"/>
    <s v="94217"/>
    <s v="USA"/>
    <s v="Hirano"/>
    <s v="Juri"/>
    <s v="Small"/>
    <x v="1322"/>
  </r>
  <r>
    <n v="10318"/>
    <n v="47"/>
    <n v="112.88"/>
    <n v="7"/>
    <n v="5305.36"/>
    <d v="2019-11-02T00:00:00"/>
    <s v="Shipped"/>
    <s v="Motorcycles"/>
    <n v="99"/>
    <s v="S32_1374"/>
    <x v="83"/>
    <s v="2155551555"/>
    <s v="7586 Pompton St."/>
    <s v="Allentown"/>
    <s v="70267"/>
    <s v="USA"/>
    <s v="Yu"/>
    <s v="Kyung"/>
    <s v="Medium"/>
    <x v="327"/>
  </r>
  <r>
    <n v="10318"/>
    <n v="50"/>
    <n v="142.38"/>
    <n v="8"/>
    <n v="7119"/>
    <d v="2019-11-02T00:00:00"/>
    <s v="Shipped"/>
    <s v="Planes"/>
    <n v="118"/>
    <s v="S700_2834"/>
    <x v="83"/>
    <s v="2155551555"/>
    <s v="7586 Pompton St."/>
    <s v="Allentown"/>
    <s v="70267"/>
    <s v="USA"/>
    <s v="Yu"/>
    <s v="Kyung"/>
    <s v="Large"/>
    <x v="849"/>
  </r>
  <r>
    <n v="10320"/>
    <n v="31"/>
    <n v="221.81"/>
    <n v="3"/>
    <n v="6876.11"/>
    <d v="2019-11-03T00:00:00"/>
    <s v="Shipped"/>
    <s v="Classic Cars"/>
    <n v="194"/>
    <s v="S12_1099"/>
    <x v="11"/>
    <s v="0921-12 3555"/>
    <s v="Berguvsvgen  8"/>
    <s v="Lule"/>
    <s v="S-958 22"/>
    <s v="Sweden"/>
    <s v="Berglund"/>
    <s v="Christina"/>
    <s v="Medium"/>
    <x v="1429"/>
  </r>
  <r>
    <n v="10319"/>
    <n v="30"/>
    <n v="137.06"/>
    <n v="9"/>
    <n v="4111.8"/>
    <d v="2019-11-03T00:00:00"/>
    <s v="Shipped"/>
    <s v="Motorcycles"/>
    <n v="150"/>
    <s v="S12_2823"/>
    <x v="79"/>
    <s v="2125551957"/>
    <s v="5290 North Pendale Street"/>
    <s v="NYC"/>
    <s v="10022"/>
    <s v="USA"/>
    <s v="Kuo"/>
    <s v="Kee"/>
    <s v="Medium"/>
    <x v="1430"/>
  </r>
  <r>
    <n v="10320"/>
    <n v="35"/>
    <n v="138.58000000000001"/>
    <n v="1"/>
    <n v="4850.3"/>
    <d v="2019-11-03T00:00:00"/>
    <s v="Shipped"/>
    <s v="Classic Cars"/>
    <n v="117"/>
    <s v="S12_3380"/>
    <x v="11"/>
    <s v="0921-12 3555"/>
    <s v="Berguvsvgen  8"/>
    <s v="Lule"/>
    <s v="S-958 22"/>
    <s v="Sweden"/>
    <s v="Berglund"/>
    <s v="Christina"/>
    <s v="Medium"/>
    <x v="1431"/>
  </r>
  <r>
    <n v="10320"/>
    <n v="38"/>
    <n v="73.42"/>
    <n v="4"/>
    <n v="2789.96"/>
    <d v="2019-11-03T00:00:00"/>
    <s v="Shipped"/>
    <s v="Classic Cars"/>
    <n v="79"/>
    <s v="S12_3990"/>
    <x v="11"/>
    <s v="0921-12 3555"/>
    <s v="Berguvsvgen  8"/>
    <s v="Lule"/>
    <s v="S-958 22"/>
    <s v="Sweden"/>
    <s v="Berglund"/>
    <s v="Christina"/>
    <s v="Small"/>
    <x v="1432"/>
  </r>
  <r>
    <n v="10319"/>
    <n v="46"/>
    <n v="73.98"/>
    <n v="1"/>
    <n v="3403.08"/>
    <d v="2019-11-03T00:00:00"/>
    <s v="Shipped"/>
    <s v="Classic Cars"/>
    <n v="80"/>
    <s v="S18_3278"/>
    <x v="79"/>
    <s v="2125551957"/>
    <s v="5290 North Pendale Street"/>
    <s v="NYC"/>
    <s v="10022"/>
    <s v="USA"/>
    <s v="Kuo"/>
    <s v="Kee"/>
    <s v="Medium"/>
    <x v="1151"/>
  </r>
  <r>
    <n v="10320"/>
    <n v="25"/>
    <n v="139.63999999999999"/>
    <n v="5"/>
    <n v="3491"/>
    <d v="2019-11-03T00:00:00"/>
    <s v="Shipped"/>
    <s v="Classic Cars"/>
    <n v="146"/>
    <s v="S18_3482"/>
    <x v="11"/>
    <s v="0921-12 3555"/>
    <s v="Berguvsvgen  8"/>
    <s v="Lule"/>
    <s v="S-958 22"/>
    <s v="Sweden"/>
    <s v="Berglund"/>
    <s v="Christina"/>
    <s v="Medium"/>
    <x v="1218"/>
  </r>
  <r>
    <n v="10319"/>
    <n v="44"/>
    <n v="59.06"/>
    <n v="4"/>
    <n v="2598.64"/>
    <d v="2019-11-03T00:00:00"/>
    <s v="Shipped"/>
    <s v="Motorcycles"/>
    <n v="62"/>
    <s v="S18_3782"/>
    <x v="79"/>
    <s v="2125551957"/>
    <s v="5290 North Pendale Street"/>
    <s v="NYC"/>
    <s v="10022"/>
    <s v="USA"/>
    <s v="Kuo"/>
    <s v="Kee"/>
    <s v="Small"/>
    <x v="1433"/>
  </r>
  <r>
    <n v="10319"/>
    <n v="45"/>
    <n v="175.58"/>
    <n v="3"/>
    <n v="7901.1"/>
    <d v="2019-11-03T00:00:00"/>
    <s v="Shipped"/>
    <s v="Classic Cars"/>
    <n v="148"/>
    <s v="S18_4721"/>
    <x v="79"/>
    <s v="2125551957"/>
    <s v="5290 North Pendale Street"/>
    <s v="NYC"/>
    <s v="10022"/>
    <s v="USA"/>
    <s v="Kuo"/>
    <s v="Kee"/>
    <s v="Large"/>
    <x v="412"/>
  </r>
  <r>
    <n v="10319"/>
    <n v="31"/>
    <n v="81.73"/>
    <n v="7"/>
    <n v="2533.63"/>
    <d v="2019-11-03T00:00:00"/>
    <s v="Shipped"/>
    <s v="Motorcycles"/>
    <n v="69"/>
    <s v="S24_2360"/>
    <x v="79"/>
    <s v="2125551957"/>
    <s v="5290 North Pendale Street"/>
    <s v="NYC"/>
    <s v="10022"/>
    <s v="USA"/>
    <s v="Kuo"/>
    <s v="Kee"/>
    <s v="Small"/>
    <x v="1434"/>
  </r>
  <r>
    <n v="10320"/>
    <n v="26"/>
    <n v="61.23"/>
    <n v="2"/>
    <n v="1591.98"/>
    <d v="2019-11-03T00:00:00"/>
    <s v="Shipped"/>
    <s v="Classic Cars"/>
    <n v="61"/>
    <s v="S24_3371"/>
    <x v="11"/>
    <s v="0921-12 3555"/>
    <s v="Berguvsvgen  8"/>
    <s v="Lule"/>
    <s v="S-958 22"/>
    <s v="Sweden"/>
    <s v="Berglund"/>
    <s v="Christina"/>
    <s v="Small"/>
    <x v="1435"/>
  </r>
  <r>
    <n v="10319"/>
    <n v="43"/>
    <n v="85.69"/>
    <n v="2"/>
    <n v="3684.67"/>
    <d v="2019-11-03T00:00:00"/>
    <s v="Shipped"/>
    <s v="Classic Cars"/>
    <n v="80"/>
    <s v="S24_4620"/>
    <x v="79"/>
    <s v="2125551957"/>
    <s v="5290 North Pendale Street"/>
    <s v="NYC"/>
    <s v="10022"/>
    <s v="USA"/>
    <s v="Kuo"/>
    <s v="Kee"/>
    <s v="Medium"/>
    <x v="420"/>
  </r>
  <r>
    <n v="10319"/>
    <n v="29"/>
    <n v="38.22"/>
    <n v="5"/>
    <n v="1108.3800000000001"/>
    <d v="2019-11-03T00:00:00"/>
    <s v="Shipped"/>
    <s v="Motorcycles"/>
    <n v="40"/>
    <s v="S32_2206"/>
    <x v="79"/>
    <s v="2125551957"/>
    <s v="5290 North Pendale Street"/>
    <s v="NYC"/>
    <s v="10022"/>
    <s v="USA"/>
    <s v="Kuo"/>
    <s v="Kee"/>
    <s v="Small"/>
    <x v="1436"/>
  </r>
  <r>
    <n v="10319"/>
    <n v="22"/>
    <n v="119.4"/>
    <n v="8"/>
    <n v="2626.8"/>
    <d v="2019-11-03T00:00:00"/>
    <s v="Shipped"/>
    <s v="Motorcycles"/>
    <n v="102"/>
    <s v="S32_4485"/>
    <x v="79"/>
    <s v="2125551957"/>
    <s v="5290 North Pendale Street"/>
    <s v="NYC"/>
    <s v="10022"/>
    <s v="USA"/>
    <s v="Kuo"/>
    <s v="Kee"/>
    <s v="Small"/>
    <x v="1024"/>
  </r>
  <r>
    <n v="10319"/>
    <n v="45"/>
    <n v="77.290000000000006"/>
    <n v="6"/>
    <n v="3478.05"/>
    <d v="2019-11-03T00:00:00"/>
    <s v="Shipped"/>
    <s v="Motorcycles"/>
    <n v="81"/>
    <s v="S50_4713"/>
    <x v="79"/>
    <s v="2125551957"/>
    <s v="5290 North Pendale Street"/>
    <s v="NYC"/>
    <s v="10022"/>
    <s v="USA"/>
    <s v="Kuo"/>
    <s v="Kee"/>
    <s v="Medium"/>
    <x v="1437"/>
  </r>
  <r>
    <n v="10322"/>
    <n v="40"/>
    <n v="150.01"/>
    <n v="1"/>
    <n v="6000.4"/>
    <d v="2019-11-04T00:00:00"/>
    <s v="Shipped"/>
    <s v="Classic Cars"/>
    <n v="214"/>
    <s v="S10_1949"/>
    <x v="0"/>
    <s v="6035558647"/>
    <s v="2304 Long Airport Avenue"/>
    <s v="Nashua"/>
    <s v="62005"/>
    <s v="USA"/>
    <s v="Young"/>
    <s v="Valarie"/>
    <s v="Medium"/>
    <x v="1438"/>
  </r>
  <r>
    <n v="10322"/>
    <n v="46"/>
    <n v="61.99"/>
    <n v="8"/>
    <n v="2851.54"/>
    <d v="2019-11-04T00:00:00"/>
    <s v="Shipped"/>
    <s v="Classic Cars"/>
    <n v="147"/>
    <s v="S10_4962"/>
    <x v="0"/>
    <s v="6035558647"/>
    <s v="2304 Long Airport Avenue"/>
    <s v="Nashua"/>
    <s v="62005"/>
    <s v="USA"/>
    <s v="Young"/>
    <s v="Valarie"/>
    <s v="Small"/>
    <x v="1439"/>
  </r>
  <r>
    <n v="10322"/>
    <n v="27"/>
    <n v="177.19"/>
    <n v="9"/>
    <n v="4784.13"/>
    <d v="2019-11-04T00:00:00"/>
    <s v="Shipped"/>
    <s v="Trucks and Buses"/>
    <n v="136"/>
    <s v="S12_1666"/>
    <x v="0"/>
    <s v="6035558647"/>
    <s v="2304 Long Airport Avenue"/>
    <s v="Nashua"/>
    <s v="62005"/>
    <s v="USA"/>
    <s v="Young"/>
    <s v="Valarie"/>
    <s v="Medium"/>
    <x v="1440"/>
  </r>
  <r>
    <n v="10321"/>
    <n v="24"/>
    <n v="124.37"/>
    <n v="15"/>
    <n v="2984.88"/>
    <d v="2019-11-04T00:00:00"/>
    <s v="Shipped"/>
    <s v="Classic Cars"/>
    <n v="115"/>
    <s v="S12_4675"/>
    <x v="47"/>
    <s v="5085552555"/>
    <s v="1785 First Street"/>
    <s v="New Bedford"/>
    <s v="50553"/>
    <s v="USA"/>
    <s v="Benitez"/>
    <s v="Violeta"/>
    <s v="Small"/>
    <x v="582"/>
  </r>
  <r>
    <n v="10322"/>
    <n v="22"/>
    <n v="102.32"/>
    <n v="10"/>
    <n v="2251.04"/>
    <d v="2019-11-04T00:00:00"/>
    <s v="Shipped"/>
    <s v="Trucks and Buses"/>
    <n v="116"/>
    <s v="S18_1097"/>
    <x v="0"/>
    <s v="6035558647"/>
    <s v="2304 Long Airport Avenue"/>
    <s v="Nashua"/>
    <s v="62005"/>
    <s v="USA"/>
    <s v="Young"/>
    <s v="Valarie"/>
    <s v="Small"/>
    <x v="1441"/>
  </r>
  <r>
    <n v="10321"/>
    <n v="41"/>
    <n v="141.54"/>
    <n v="10"/>
    <n v="5803.14"/>
    <d v="2019-11-04T00:00:00"/>
    <s v="Shipped"/>
    <s v="Classic Cars"/>
    <n v="141"/>
    <s v="S18_1129"/>
    <x v="47"/>
    <s v="5085552555"/>
    <s v="1785 First Street"/>
    <s v="New Bedford"/>
    <s v="50553"/>
    <s v="USA"/>
    <s v="Benitez"/>
    <s v="Violeta"/>
    <s v="Medium"/>
    <x v="1026"/>
  </r>
  <r>
    <n v="10322"/>
    <n v="43"/>
    <n v="86.3"/>
    <n v="14"/>
    <n v="3710.9"/>
    <d v="2019-11-04T00:00:00"/>
    <s v="Shipped"/>
    <s v="Vintage Cars"/>
    <n v="102"/>
    <s v="S18_1342"/>
    <x v="0"/>
    <s v="6035558647"/>
    <s v="2304 Long Airport Avenue"/>
    <s v="Nashua"/>
    <s v="62005"/>
    <s v="USA"/>
    <s v="Young"/>
    <s v="Valarie"/>
    <s v="Medium"/>
    <x v="1140"/>
  </r>
  <r>
    <n v="10322"/>
    <n v="41"/>
    <n v="57.68"/>
    <n v="5"/>
    <n v="2364.88"/>
    <d v="2019-11-04T00:00:00"/>
    <s v="Shipped"/>
    <s v="Vintage Cars"/>
    <n v="53"/>
    <s v="S18_1367"/>
    <x v="0"/>
    <s v="6035558647"/>
    <s v="2304 Long Airport Avenue"/>
    <s v="Nashua"/>
    <s v="62005"/>
    <s v="USA"/>
    <s v="Young"/>
    <s v="Valarie"/>
    <s v="Small"/>
    <x v="788"/>
  </r>
  <r>
    <n v="10321"/>
    <n v="44"/>
    <n v="102.04"/>
    <n v="6"/>
    <n v="4489.76"/>
    <d v="2019-11-04T00:00:00"/>
    <s v="Shipped"/>
    <s v="Classic Cars"/>
    <n v="124"/>
    <s v="S18_1589"/>
    <x v="47"/>
    <s v="5085552555"/>
    <s v="1785 First Street"/>
    <s v="New Bedford"/>
    <s v="50553"/>
    <s v="USA"/>
    <s v="Benitez"/>
    <s v="Violeta"/>
    <s v="Medium"/>
    <x v="544"/>
  </r>
  <r>
    <n v="10321"/>
    <n v="37"/>
    <n v="78.540000000000006"/>
    <n v="14"/>
    <n v="2905.98"/>
    <d v="2019-11-04T00:00:00"/>
    <s v="Shipped"/>
    <s v="Classic Cars"/>
    <n v="77"/>
    <s v="S18_1889"/>
    <x v="47"/>
    <s v="5085552555"/>
    <s v="1785 First Street"/>
    <s v="New Bedford"/>
    <s v="50553"/>
    <s v="USA"/>
    <s v="Benitez"/>
    <s v="Violeta"/>
    <s v="Small"/>
    <x v="1442"/>
  </r>
  <r>
    <n v="10321"/>
    <n v="25"/>
    <n v="149.36000000000001"/>
    <n v="9"/>
    <n v="3734"/>
    <d v="2019-11-04T00:00:00"/>
    <s v="Shipped"/>
    <s v="Classic Cars"/>
    <n v="142"/>
    <s v="S18_1984"/>
    <x v="47"/>
    <s v="5085552555"/>
    <s v="1785 First Street"/>
    <s v="New Bedford"/>
    <s v="50553"/>
    <s v="USA"/>
    <s v="Benitez"/>
    <s v="Violeta"/>
    <s v="Medium"/>
    <x v="1443"/>
  </r>
  <r>
    <n v="10322"/>
    <n v="50"/>
    <n v="250.73"/>
    <n v="6"/>
    <n v="12536.5"/>
    <d v="2019-11-04T00:00:00"/>
    <s v="Shipped"/>
    <s v="Vintage Cars"/>
    <n v="127"/>
    <s v="S18_2325"/>
    <x v="0"/>
    <s v="6035558647"/>
    <s v="2304 Long Airport Avenue"/>
    <s v="Nashua"/>
    <s v="62005"/>
    <s v="USA"/>
    <s v="Young"/>
    <s v="Valarie"/>
    <s v="Large"/>
    <x v="1048"/>
  </r>
  <r>
    <n v="10322"/>
    <n v="35"/>
    <n v="61.21"/>
    <n v="11"/>
    <n v="2142.35"/>
    <d v="2019-11-04T00:00:00"/>
    <s v="Shipped"/>
    <s v="Trucks and Buses"/>
    <n v="60"/>
    <s v="S18_2432"/>
    <x v="0"/>
    <s v="6035558647"/>
    <s v="2304 Long Airport Avenue"/>
    <s v="Nashua"/>
    <s v="62005"/>
    <s v="USA"/>
    <s v="Young"/>
    <s v="Valarie"/>
    <s v="Small"/>
    <x v="138"/>
  </r>
  <r>
    <n v="10322"/>
    <n v="36"/>
    <n v="161.04"/>
    <n v="2"/>
    <n v="5797.44"/>
    <d v="2019-11-04T00:00:00"/>
    <s v="Shipped"/>
    <s v="Vintage Cars"/>
    <n v="168"/>
    <s v="S18_2795"/>
    <x v="0"/>
    <s v="6035558647"/>
    <s v="2304 Long Airport Avenue"/>
    <s v="Nashua"/>
    <s v="62005"/>
    <s v="USA"/>
    <s v="Young"/>
    <s v="Valarie"/>
    <s v="Medium"/>
    <x v="476"/>
  </r>
  <r>
    <n v="10321"/>
    <n v="27"/>
    <n v="105.6"/>
    <n v="7"/>
    <n v="2851.2"/>
    <d v="2019-11-04T00:00:00"/>
    <s v="Shipped"/>
    <s v="Classic Cars"/>
    <n v="132"/>
    <s v="S18_2870"/>
    <x v="47"/>
    <s v="5085552555"/>
    <s v="1785 First Street"/>
    <s v="New Bedford"/>
    <s v="50553"/>
    <s v="USA"/>
    <s v="Benitez"/>
    <s v="Violeta"/>
    <s v="Small"/>
    <x v="641"/>
  </r>
  <r>
    <n v="10322"/>
    <n v="33"/>
    <n v="106.81"/>
    <n v="12"/>
    <n v="3524.73"/>
    <d v="2019-11-04T00:00:00"/>
    <s v="Shipped"/>
    <s v="Vintage Cars"/>
    <n v="101"/>
    <s v="S18_2949"/>
    <x v="0"/>
    <s v="6035558647"/>
    <s v="2304 Long Airport Avenue"/>
    <s v="Nashua"/>
    <s v="62005"/>
    <s v="USA"/>
    <s v="Young"/>
    <s v="Valarie"/>
    <s v="Medium"/>
    <x v="1444"/>
  </r>
  <r>
    <n v="10322"/>
    <n v="41"/>
    <n v="29.87"/>
    <n v="13"/>
    <n v="1224.67"/>
    <d v="2019-11-04T00:00:00"/>
    <s v="Shipped"/>
    <s v="Vintage Cars"/>
    <n v="62"/>
    <s v="S18_2957"/>
    <x v="0"/>
    <s v="6035558647"/>
    <s v="2304 Long Airport Avenue"/>
    <s v="Nashua"/>
    <s v="62005"/>
    <s v="USA"/>
    <s v="Young"/>
    <s v="Valarie"/>
    <s v="Small"/>
    <x v="1445"/>
  </r>
  <r>
    <n v="10322"/>
    <n v="48"/>
    <n v="47.04"/>
    <n v="7"/>
    <n v="2257.92"/>
    <d v="2019-11-04T00:00:00"/>
    <s v="Shipped"/>
    <s v="Vintage Cars"/>
    <n v="104"/>
    <s v="S18_3136"/>
    <x v="0"/>
    <s v="6035558647"/>
    <s v="2304 Long Airport Avenue"/>
    <s v="Nashua"/>
    <s v="62005"/>
    <s v="USA"/>
    <s v="Young"/>
    <s v="Valarie"/>
    <s v="Small"/>
    <x v="1446"/>
  </r>
  <r>
    <n v="10321"/>
    <n v="33"/>
    <n v="172.73"/>
    <n v="11"/>
    <n v="5700.09"/>
    <d v="2019-11-04T00:00:00"/>
    <s v="Shipped"/>
    <s v="Classic Cars"/>
    <n v="169"/>
    <s v="S18_3232"/>
    <x v="47"/>
    <s v="5085552555"/>
    <s v="1785 First Street"/>
    <s v="New Bedford"/>
    <s v="50553"/>
    <s v="USA"/>
    <s v="Benitez"/>
    <s v="Violeta"/>
    <s v="Medium"/>
    <x v="1447"/>
  </r>
  <r>
    <n v="10321"/>
    <n v="28"/>
    <n v="151.16999999999999"/>
    <n v="8"/>
    <n v="4232.76"/>
    <d v="2019-11-04T00:00:00"/>
    <s v="Shipped"/>
    <s v="Classic Cars"/>
    <n v="141"/>
    <s v="S18_3685"/>
    <x v="47"/>
    <s v="5085552555"/>
    <s v="1785 First Street"/>
    <s v="New Bedford"/>
    <s v="50553"/>
    <s v="USA"/>
    <s v="Benitez"/>
    <s v="Violeta"/>
    <s v="Medium"/>
    <x v="1448"/>
  </r>
  <r>
    <n v="10321"/>
    <n v="30"/>
    <n v="70.55"/>
    <n v="3"/>
    <n v="2116.5"/>
    <d v="2019-11-04T00:00:00"/>
    <s v="Shipped"/>
    <s v="Classic Cars"/>
    <n v="73"/>
    <s v="S24_1046"/>
    <x v="47"/>
    <s v="5085552555"/>
    <s v="1785 First Street"/>
    <s v="New Bedford"/>
    <s v="50553"/>
    <s v="USA"/>
    <s v="Benitez"/>
    <s v="Violeta"/>
    <s v="Small"/>
    <x v="939"/>
  </r>
  <r>
    <n v="10321"/>
    <n v="48"/>
    <n v="42.26"/>
    <n v="5"/>
    <n v="2028.48"/>
    <d v="2019-11-04T00:00:00"/>
    <s v="Shipped"/>
    <s v="Classic Cars"/>
    <n v="50"/>
    <s v="S24_1628"/>
    <x v="47"/>
    <s v="5085552555"/>
    <s v="1785 First Street"/>
    <s v="New Bedford"/>
    <s v="50553"/>
    <s v="USA"/>
    <s v="Benitez"/>
    <s v="Violeta"/>
    <s v="Small"/>
    <x v="1449"/>
  </r>
  <r>
    <n v="10322"/>
    <n v="20"/>
    <n v="131.19999999999999"/>
    <n v="3"/>
    <n v="2624"/>
    <d v="2019-11-04T00:00:00"/>
    <s v="Shipped"/>
    <s v="Vintage Cars"/>
    <n v="33"/>
    <s v="S24_1937"/>
    <x v="0"/>
    <s v="6035558647"/>
    <s v="2304 Long Airport Avenue"/>
    <s v="Nashua"/>
    <s v="62005"/>
    <s v="USA"/>
    <s v="Young"/>
    <s v="Valarie"/>
    <s v="Small"/>
    <x v="1450"/>
  </r>
  <r>
    <n v="10322"/>
    <n v="30"/>
    <n v="116.67"/>
    <n v="4"/>
    <n v="3500.1"/>
    <d v="2019-11-04T00:00:00"/>
    <s v="Shipped"/>
    <s v="Vintage Cars"/>
    <n v="44"/>
    <s v="S24_2022"/>
    <x v="0"/>
    <s v="6035558647"/>
    <s v="2304 Long Airport Avenue"/>
    <s v="Nashua"/>
    <s v="62005"/>
    <s v="USA"/>
    <s v="Young"/>
    <s v="Valarie"/>
    <s v="Medium"/>
    <x v="506"/>
  </r>
  <r>
    <n v="10321"/>
    <n v="30"/>
    <n v="72.7"/>
    <n v="1"/>
    <n v="2181"/>
    <d v="2019-11-04T00:00:00"/>
    <s v="Shipped"/>
    <s v="Classic Cars"/>
    <n v="90"/>
    <s v="S24_2766"/>
    <x v="47"/>
    <s v="5085552555"/>
    <s v="1785 First Street"/>
    <s v="New Bedford"/>
    <s v="50553"/>
    <s v="USA"/>
    <s v="Benitez"/>
    <s v="Violeta"/>
    <s v="Small"/>
    <x v="1109"/>
  </r>
  <r>
    <n v="10321"/>
    <n v="37"/>
    <n v="33.229999999999997"/>
    <n v="12"/>
    <n v="1229.51"/>
    <d v="2019-11-04T00:00:00"/>
    <s v="Shipped"/>
    <s v="Classic Cars"/>
    <n v="37"/>
    <s v="S24_2972"/>
    <x v="47"/>
    <s v="5085552555"/>
    <s v="1785 First Street"/>
    <s v="New Bedford"/>
    <s v="50553"/>
    <s v="USA"/>
    <s v="Benitez"/>
    <s v="Violeta"/>
    <s v="Small"/>
    <x v="462"/>
  </r>
  <r>
    <n v="10321"/>
    <n v="39"/>
    <n v="84.75"/>
    <n v="2"/>
    <n v="3305.25"/>
    <d v="2019-11-04T00:00:00"/>
    <s v="Shipped"/>
    <s v="Classic Cars"/>
    <n v="85"/>
    <s v="S24_3191"/>
    <x v="47"/>
    <s v="5085552555"/>
    <s v="1785 First Street"/>
    <s v="New Bedford"/>
    <s v="50553"/>
    <s v="USA"/>
    <s v="Benitez"/>
    <s v="Violeta"/>
    <s v="Medium"/>
    <x v="1451"/>
  </r>
  <r>
    <n v="10321"/>
    <n v="21"/>
    <n v="89.95"/>
    <n v="4"/>
    <n v="1888.95"/>
    <d v="2019-11-04T00:00:00"/>
    <s v="Shipped"/>
    <s v="Classic Cars"/>
    <n v="107"/>
    <s v="S24_3432"/>
    <x v="47"/>
    <s v="5085552555"/>
    <s v="1785 First Street"/>
    <s v="New Bedford"/>
    <s v="50553"/>
    <s v="USA"/>
    <s v="Benitez"/>
    <s v="Violeta"/>
    <s v="Small"/>
    <x v="630"/>
  </r>
  <r>
    <n v="10321"/>
    <n v="26"/>
    <n v="155.88"/>
    <n v="13"/>
    <n v="4052.88"/>
    <d v="2019-11-04T00:00:00"/>
    <s v="Shipped"/>
    <s v="Classic Cars"/>
    <n v="140"/>
    <s v="S24_3856"/>
    <x v="47"/>
    <s v="5085552555"/>
    <s v="1785 First Street"/>
    <s v="New Bedford"/>
    <s v="50553"/>
    <s v="USA"/>
    <s v="Benitez"/>
    <s v="Violeta"/>
    <s v="Medium"/>
    <x v="305"/>
  </r>
  <r>
    <n v="10325"/>
    <n v="47"/>
    <n v="64.930000000000007"/>
    <n v="6"/>
    <n v="3051.71"/>
    <d v="2019-11-05T00:00:00"/>
    <s v="Shipped"/>
    <s v="Classic Cars"/>
    <n v="136"/>
    <s v="S10_4757"/>
    <x v="3"/>
    <s v="07-98 9555"/>
    <s v="Erling Skakkes gate 78"/>
    <s v="Stavern"/>
    <s v="4110"/>
    <s v="Norway"/>
    <s v="Bergulfsen"/>
    <s v="Jonas"/>
    <s v="Medium"/>
    <x v="1452"/>
  </r>
  <r>
    <n v="10325"/>
    <n v="42"/>
    <n v="64"/>
    <n v="8"/>
    <n v="2688"/>
    <d v="2019-11-05T00:00:00"/>
    <s v="Shipped"/>
    <s v="Classic Cars"/>
    <n v="207"/>
    <s v="S12_1108"/>
    <x v="3"/>
    <s v="07-98 9555"/>
    <s v="Erling Skakkes gate 78"/>
    <s v="Stavern"/>
    <s v="4110"/>
    <s v="Norway"/>
    <s v="Bergulfsen"/>
    <s v="Jonas"/>
    <s v="Small"/>
    <x v="1453"/>
  </r>
  <r>
    <n v="10324"/>
    <n v="27"/>
    <n v="54.33"/>
    <n v="1"/>
    <n v="1466.91"/>
    <d v="2019-11-05T00:00:00"/>
    <s v="Shipped"/>
    <s v="Classic Cars"/>
    <n v="151"/>
    <s v="S12_3148"/>
    <x v="2"/>
    <s v="2125551500"/>
    <s v="2678 Kingston Rd."/>
    <s v="NYC"/>
    <s v="10022"/>
    <s v="USA"/>
    <s v="Frick"/>
    <s v="Michael"/>
    <s v="Small"/>
    <x v="1454"/>
  </r>
  <r>
    <n v="10325"/>
    <n v="24"/>
    <n v="107.65"/>
    <n v="1"/>
    <n v="2583.6"/>
    <d v="2019-11-05T00:00:00"/>
    <s v="Shipped"/>
    <s v="Classic Cars"/>
    <n v="173"/>
    <s v="S12_3891"/>
    <x v="3"/>
    <s v="07-98 9555"/>
    <s v="Erling Skakkes gate 78"/>
    <s v="Stavern"/>
    <s v="4110"/>
    <s v="Norway"/>
    <s v="Bergulfsen"/>
    <s v="Jonas"/>
    <s v="Small"/>
    <x v="1455"/>
  </r>
  <r>
    <n v="10324"/>
    <n v="26"/>
    <n v="58.38"/>
    <n v="7"/>
    <n v="1517.88"/>
    <d v="2019-11-05T00:00:00"/>
    <s v="Shipped"/>
    <s v="Trucks and Buses"/>
    <n v="118"/>
    <s v="S12_4473"/>
    <x v="2"/>
    <s v="2125551500"/>
    <s v="2678 Kingston Rd."/>
    <s v="NYC"/>
    <s v="10022"/>
    <s v="USA"/>
    <s v="Frick"/>
    <s v="Michael"/>
    <s v="Small"/>
    <x v="811"/>
  </r>
  <r>
    <n v="10324"/>
    <n v="47"/>
    <n v="153.35"/>
    <n v="8"/>
    <n v="7207.45"/>
    <d v="2019-11-05T00:00:00"/>
    <s v="Shipped"/>
    <s v="Classic Cars"/>
    <n v="163"/>
    <s v="S18_2238"/>
    <x v="2"/>
    <s v="2125551500"/>
    <s v="2678 Kingston Rd."/>
    <s v="NYC"/>
    <s v="10022"/>
    <s v="USA"/>
    <s v="Frick"/>
    <s v="Michael"/>
    <s v="Large"/>
    <x v="1003"/>
  </r>
  <r>
    <n v="10324"/>
    <n v="33"/>
    <n v="37.479999999999997"/>
    <n v="10"/>
    <n v="1236.8399999999999"/>
    <d v="2019-11-05T00:00:00"/>
    <s v="Shipped"/>
    <s v="Trucks and Buses"/>
    <n v="122"/>
    <s v="S18_2319"/>
    <x v="2"/>
    <s v="2125551500"/>
    <s v="2678 Kingston Rd."/>
    <s v="NYC"/>
    <s v="10022"/>
    <s v="USA"/>
    <s v="Frick"/>
    <s v="Michael"/>
    <s v="Small"/>
    <x v="884"/>
  </r>
  <r>
    <n v="10325"/>
    <n v="24"/>
    <n v="69.12"/>
    <n v="9"/>
    <n v="1658.88"/>
    <d v="2019-11-05T00:00:00"/>
    <s v="Shipped"/>
    <s v="Vintage Cars"/>
    <n v="136"/>
    <s v="S18_3140"/>
    <x v="3"/>
    <s v="07-98 9555"/>
    <s v="Erling Skakkes gate 78"/>
    <s v="Stavern"/>
    <s v="4110"/>
    <s v="Norway"/>
    <s v="Bergulfsen"/>
    <s v="Jonas"/>
    <s v="Small"/>
    <x v="820"/>
  </r>
  <r>
    <n v="10324"/>
    <n v="27"/>
    <n v="116.87"/>
    <n v="12"/>
    <n v="3155.49"/>
    <d v="2019-11-05T00:00:00"/>
    <s v="Shipped"/>
    <s v="Classic Cars"/>
    <n v="169"/>
    <s v="S18_3232"/>
    <x v="2"/>
    <s v="2125551500"/>
    <s v="2678 Kingston Rd."/>
    <s v="NYC"/>
    <s v="10022"/>
    <s v="USA"/>
    <s v="Frick"/>
    <s v="Michael"/>
    <s v="Medium"/>
    <x v="1447"/>
  </r>
  <r>
    <n v="10323"/>
    <n v="33"/>
    <n v="91.27"/>
    <n v="2"/>
    <n v="3011.91"/>
    <d v="2019-11-05T00:00:00"/>
    <s v="Shipped"/>
    <s v="Vintage Cars"/>
    <n v="99"/>
    <s v="S18_3320"/>
    <x v="1"/>
    <s v="+49 69 66 90 2555"/>
    <s v="Lyonerstr. 34"/>
    <s v="Frankfurt"/>
    <s v="60528"/>
    <s v="Germany"/>
    <s v="Keitel"/>
    <s v="Roland"/>
    <s v="Medium"/>
    <x v="1456"/>
  </r>
  <r>
    <n v="10324"/>
    <n v="49"/>
    <n v="109.79"/>
    <n v="13"/>
    <n v="5379.71"/>
    <d v="2019-11-05T00:00:00"/>
    <s v="Shipped"/>
    <s v="Classic Cars"/>
    <n v="143"/>
    <s v="S18_4027"/>
    <x v="2"/>
    <s v="2125551500"/>
    <s v="2678 Kingston Rd."/>
    <s v="NYC"/>
    <s v="10022"/>
    <s v="USA"/>
    <s v="Frick"/>
    <s v="Michael"/>
    <s v="Medium"/>
    <x v="672"/>
  </r>
  <r>
    <n v="10323"/>
    <n v="47"/>
    <n v="131.97999999999999"/>
    <n v="1"/>
    <n v="6203.06"/>
    <d v="2019-11-05T00:00:00"/>
    <s v="Shipped"/>
    <s v="Trucks and Buses"/>
    <n v="121"/>
    <s v="S18_4600"/>
    <x v="1"/>
    <s v="+49 69 66 90 2555"/>
    <s v="Lyonerstr. 34"/>
    <s v="Frankfurt"/>
    <s v="60528"/>
    <s v="Germany"/>
    <s v="Keitel"/>
    <s v="Roland"/>
    <s v="Medium"/>
    <x v="674"/>
  </r>
  <r>
    <n v="10324"/>
    <n v="38"/>
    <n v="179.79"/>
    <n v="6"/>
    <n v="6832.02"/>
    <d v="2019-11-05T00:00:00"/>
    <s v="Shipped"/>
    <s v="Vintage Cars"/>
    <n v="50"/>
    <s v="S18_4668"/>
    <x v="2"/>
    <s v="2125551500"/>
    <s v="2678 Kingston Rd."/>
    <s v="NYC"/>
    <s v="10022"/>
    <s v="USA"/>
    <s v="Frick"/>
    <s v="Michael"/>
    <s v="Medium"/>
    <x v="1457"/>
  </r>
  <r>
    <n v="10324"/>
    <n v="25"/>
    <n v="69.16"/>
    <n v="14"/>
    <n v="1729"/>
    <d v="2019-11-05T00:00:00"/>
    <s v="Shipped"/>
    <s v="Classic Cars"/>
    <n v="57"/>
    <s v="S24_1444"/>
    <x v="2"/>
    <s v="2125551500"/>
    <s v="2678 Kingston Rd."/>
    <s v="NYC"/>
    <s v="10022"/>
    <s v="USA"/>
    <s v="Frick"/>
    <s v="Michael"/>
    <s v="Small"/>
    <x v="265"/>
  </r>
  <r>
    <n v="10324"/>
    <n v="31"/>
    <n v="123.24"/>
    <n v="2"/>
    <n v="3820.44"/>
    <d v="2019-11-05T00:00:00"/>
    <s v="Shipped"/>
    <s v="Trucks and Buses"/>
    <n v="127"/>
    <s v="S24_2300"/>
    <x v="2"/>
    <s v="2125551500"/>
    <s v="2678 Kingston Rd."/>
    <s v="NYC"/>
    <s v="10022"/>
    <s v="USA"/>
    <s v="Frick"/>
    <s v="Michael"/>
    <s v="Medium"/>
    <x v="424"/>
  </r>
  <r>
    <n v="10324"/>
    <n v="30"/>
    <n v="111.27"/>
    <n v="9"/>
    <n v="3338.1"/>
    <d v="2019-11-05T00:00:00"/>
    <s v="Shipped"/>
    <s v="Classic Cars"/>
    <n v="35"/>
    <s v="S24_2840"/>
    <x v="2"/>
    <s v="2125551500"/>
    <s v="2678 Kingston Rd."/>
    <s v="NYC"/>
    <s v="10022"/>
    <s v="USA"/>
    <s v="Frick"/>
    <s v="Michael"/>
    <s v="Medium"/>
    <x v="266"/>
  </r>
  <r>
    <n v="10325"/>
    <n v="44"/>
    <n v="121.04"/>
    <n v="5"/>
    <n v="5325.76"/>
    <d v="2019-11-05T00:00:00"/>
    <s v="Shipped"/>
    <s v="Classic Cars"/>
    <n v="118"/>
    <s v="S24_4048"/>
    <x v="3"/>
    <s v="07-98 9555"/>
    <s v="Erling Skakkes gate 78"/>
    <s v="Stavern"/>
    <s v="4110"/>
    <s v="Norway"/>
    <s v="Bergulfsen"/>
    <s v="Jonas"/>
    <s v="Medium"/>
    <x v="419"/>
  </r>
  <r>
    <n v="10324"/>
    <n v="33"/>
    <n v="189.93"/>
    <n v="3"/>
    <n v="6267.69"/>
    <d v="2019-11-05T00:00:00"/>
    <s v="Shipped"/>
    <s v="Vintage Cars"/>
    <n v="97"/>
    <s v="S24_4258"/>
    <x v="2"/>
    <s v="2125551500"/>
    <s v="2678 Kingston Rd."/>
    <s v="NYC"/>
    <s v="10022"/>
    <s v="USA"/>
    <s v="Frick"/>
    <s v="Michael"/>
    <s v="Medium"/>
    <x v="1458"/>
  </r>
  <r>
    <n v="10324"/>
    <n v="20"/>
    <n v="98.18"/>
    <n v="11"/>
    <n v="1963.6"/>
    <d v="2019-11-05T00:00:00"/>
    <s v="Shipped"/>
    <s v="Trucks and Buses"/>
    <n v="96"/>
    <s v="S32_1268"/>
    <x v="2"/>
    <s v="2125551500"/>
    <s v="2678 Kingston Rd."/>
    <s v="NYC"/>
    <s v="10022"/>
    <s v="USA"/>
    <s v="Frick"/>
    <s v="Michael"/>
    <s v="Small"/>
    <x v="662"/>
  </r>
  <r>
    <n v="10325"/>
    <n v="38"/>
    <n v="232.74"/>
    <n v="3"/>
    <n v="8844.1200000000008"/>
    <d v="2019-11-05T00:00:00"/>
    <s v="Shipped"/>
    <s v="Trucks and Buses"/>
    <n v="54"/>
    <s v="S32_2509"/>
    <x v="3"/>
    <s v="07-98 9555"/>
    <s v="Erling Skakkes gate 78"/>
    <s v="Stavern"/>
    <s v="4110"/>
    <s v="Norway"/>
    <s v="Bergulfsen"/>
    <s v="Jonas"/>
    <s v="Large"/>
    <x v="483"/>
  </r>
  <r>
    <n v="10325"/>
    <n v="28"/>
    <n v="192.05"/>
    <n v="2"/>
    <n v="5377.4"/>
    <d v="2019-11-05T00:00:00"/>
    <s v="Shipped"/>
    <s v="Trains"/>
    <n v="62"/>
    <s v="S32_3207"/>
    <x v="3"/>
    <s v="07-98 9555"/>
    <s v="Erling Skakkes gate 78"/>
    <s v="Stavern"/>
    <s v="4110"/>
    <s v="Norway"/>
    <s v="Bergulfsen"/>
    <s v="Jonas"/>
    <s v="Medium"/>
    <x v="1459"/>
  </r>
  <r>
    <n v="10324"/>
    <n v="48"/>
    <n v="171.03"/>
    <n v="4"/>
    <n v="8209.44"/>
    <d v="2019-11-05T00:00:00"/>
    <s v="Shipped"/>
    <s v="Trucks and Buses"/>
    <n v="64"/>
    <s v="S32_3522"/>
    <x v="2"/>
    <s v="2125551500"/>
    <s v="2678 Kingston Rd."/>
    <s v="NYC"/>
    <s v="10022"/>
    <s v="USA"/>
    <s v="Frick"/>
    <s v="Michael"/>
    <s v="Large"/>
    <x v="7"/>
  </r>
  <r>
    <n v="10325"/>
    <n v="38"/>
    <n v="136.59"/>
    <n v="4"/>
    <n v="5190.42"/>
    <d v="2019-11-05T00:00:00"/>
    <s v="Shipped"/>
    <s v="Trucks and Buses"/>
    <n v="115"/>
    <s v="S50_1392"/>
    <x v="3"/>
    <s v="07-98 9555"/>
    <s v="Erling Skakkes gate 78"/>
    <s v="Stavern"/>
    <s v="4110"/>
    <s v="Norway"/>
    <s v="Bergulfsen"/>
    <s v="Jonas"/>
    <s v="Medium"/>
    <x v="1460"/>
  </r>
  <r>
    <n v="10325"/>
    <n v="44"/>
    <n v="134.84"/>
    <n v="7"/>
    <n v="5932.96"/>
    <d v="2019-11-05T00:00:00"/>
    <s v="Shipped"/>
    <s v="Trains"/>
    <n v="58"/>
    <s v="S50_1514"/>
    <x v="3"/>
    <s v="07-98 9555"/>
    <s v="Erling Skakkes gate 78"/>
    <s v="Stavern"/>
    <s v="4110"/>
    <s v="Norway"/>
    <s v="Bergulfsen"/>
    <s v="Jonas"/>
    <s v="Medium"/>
    <x v="1461"/>
  </r>
  <r>
    <n v="10324"/>
    <n v="34"/>
    <n v="124.95"/>
    <n v="5"/>
    <n v="4248.3"/>
    <d v="2019-11-05T00:00:00"/>
    <s v="Shipped"/>
    <s v="Classic Cars"/>
    <n v="101"/>
    <s v="S700_2824"/>
    <x v="2"/>
    <s v="2125551500"/>
    <s v="2678 Kingston Rd."/>
    <s v="NYC"/>
    <s v="10022"/>
    <s v="USA"/>
    <s v="Frick"/>
    <s v="Michael"/>
    <s v="Medium"/>
    <x v="61"/>
  </r>
  <r>
    <n v="10326"/>
    <n v="32"/>
    <n v="118.99"/>
    <n v="6"/>
    <n v="3807.68"/>
    <d v="2019-11-09T00:00:00"/>
    <s v="Shipped"/>
    <s v="Trains"/>
    <n v="100"/>
    <s v="S18_3259"/>
    <x v="11"/>
    <s v="0921-12 3555"/>
    <s v="Berguvsvgen  8"/>
    <s v="Lule"/>
    <s v="S-958 22"/>
    <s v="Sweden"/>
    <s v="Berglund"/>
    <s v="Christina"/>
    <s v="Medium"/>
    <x v="1462"/>
  </r>
  <r>
    <n v="10326"/>
    <n v="50"/>
    <n v="86.01"/>
    <n v="5"/>
    <n v="4300.5"/>
    <d v="2019-11-09T00:00:00"/>
    <s v="Shipped"/>
    <s v="Vintage Cars"/>
    <n v="87"/>
    <s v="S18_4522"/>
    <x v="11"/>
    <s v="0921-12 3555"/>
    <s v="Berguvsvgen  8"/>
    <s v="Lule"/>
    <s v="S-958 22"/>
    <s v="Sweden"/>
    <s v="Berglund"/>
    <s v="Christina"/>
    <s v="Medium"/>
    <x v="1463"/>
  </r>
  <r>
    <n v="10326"/>
    <n v="41"/>
    <n v="105.69"/>
    <n v="4"/>
    <n v="4333.29"/>
    <d v="2019-11-09T00:00:00"/>
    <s v="Shipped"/>
    <s v="Ships"/>
    <n v="122"/>
    <s v="S24_2011"/>
    <x v="11"/>
    <s v="0921-12 3555"/>
    <s v="Berguvsvgen  8"/>
    <s v="Lule"/>
    <s v="S-958 22"/>
    <s v="Sweden"/>
    <s v="Berglund"/>
    <s v="Christina"/>
    <s v="Medium"/>
    <x v="312"/>
  </r>
  <r>
    <n v="10326"/>
    <n v="41"/>
    <n v="85.85"/>
    <n v="3"/>
    <n v="3519.85"/>
    <d v="2019-11-09T00:00:00"/>
    <s v="Shipped"/>
    <s v="Vintage Cars"/>
    <n v="88"/>
    <s v="S24_3151"/>
    <x v="11"/>
    <s v="0921-12 3555"/>
    <s v="Berguvsvgen  8"/>
    <s v="Lule"/>
    <s v="S-958 22"/>
    <s v="Sweden"/>
    <s v="Berglund"/>
    <s v="Christina"/>
    <s v="Medium"/>
    <x v="453"/>
  </r>
  <r>
    <n v="10326"/>
    <n v="20"/>
    <n v="92.25"/>
    <n v="2"/>
    <n v="1845"/>
    <d v="2019-11-09T00:00:00"/>
    <s v="Shipped"/>
    <s v="Vintage Cars"/>
    <n v="83"/>
    <s v="S24_3816"/>
    <x v="11"/>
    <s v="0921-12 3555"/>
    <s v="Berguvsvgen  8"/>
    <s v="Lule"/>
    <s v="S-958 22"/>
    <s v="Sweden"/>
    <s v="Berglund"/>
    <s v="Christina"/>
    <s v="Small"/>
    <x v="1464"/>
  </r>
  <r>
    <n v="10326"/>
    <n v="39"/>
    <n v="60"/>
    <n v="1"/>
    <n v="2340"/>
    <d v="2019-11-09T00:00:00"/>
    <s v="Shipped"/>
    <s v="Ships"/>
    <n v="66"/>
    <s v="S700_1138"/>
    <x v="11"/>
    <s v="0921-12 3555"/>
    <s v="Berguvsvgen  8"/>
    <s v="Lule"/>
    <s v="S-958 22"/>
    <s v="Sweden"/>
    <s v="Berglund"/>
    <s v="Christina"/>
    <s v="Small"/>
    <x v="296"/>
  </r>
  <r>
    <n v="10327"/>
    <n v="25"/>
    <n v="112.19"/>
    <n v="6"/>
    <n v="2804.75"/>
    <d v="2019-11-10T00:00:00"/>
    <s v="Resolved"/>
    <s v="Planes"/>
    <n v="157"/>
    <s v="S18_1662"/>
    <x v="5"/>
    <s v="31 12 3555"/>
    <s v="Vinb'ltet 34"/>
    <s v="Kobenhavn"/>
    <s v="1734"/>
    <s v="Denmark"/>
    <s v="Petersen"/>
    <s v="Jytte"/>
    <s v="Small"/>
    <x v="408"/>
  </r>
  <r>
    <n v="10327"/>
    <n v="45"/>
    <n v="106.26"/>
    <n v="8"/>
    <n v="4781.7"/>
    <d v="2019-11-10T00:00:00"/>
    <s v="Resolved"/>
    <s v="Planes"/>
    <n v="84"/>
    <s v="S18_2581"/>
    <x v="5"/>
    <s v="31 12 3555"/>
    <s v="Vinb'ltet 34"/>
    <s v="Kobenhavn"/>
    <s v="1734"/>
    <s v="Denmark"/>
    <s v="Petersen"/>
    <s v="Jytte"/>
    <s v="Medium"/>
    <x v="1465"/>
  </r>
  <r>
    <n v="10327"/>
    <n v="25"/>
    <n v="45.86"/>
    <n v="5"/>
    <n v="1146.5"/>
    <d v="2019-11-10T00:00:00"/>
    <s v="Resolved"/>
    <s v="Ships"/>
    <n v="86"/>
    <s v="S18_3029"/>
    <x v="5"/>
    <s v="31 12 3555"/>
    <s v="Vinb'ltet 34"/>
    <s v="Kobenhavn"/>
    <s v="1734"/>
    <s v="Denmark"/>
    <s v="Petersen"/>
    <s v="Jytte"/>
    <s v="Small"/>
    <x v="515"/>
  </r>
  <r>
    <n v="10327"/>
    <n v="20"/>
    <n v="173.46"/>
    <n v="7"/>
    <n v="3469.2"/>
    <d v="2019-11-10T00:00:00"/>
    <s v="Resolved"/>
    <s v="Ships"/>
    <n v="86"/>
    <s v="S700_1938"/>
    <x v="5"/>
    <s v="31 12 3555"/>
    <s v="Vinb'ltet 34"/>
    <s v="Kobenhavn"/>
    <s v="1734"/>
    <s v="Denmark"/>
    <s v="Petersen"/>
    <s v="Jytte"/>
    <s v="Medium"/>
    <x v="1466"/>
  </r>
  <r>
    <n v="10327"/>
    <n v="21"/>
    <n v="96.31"/>
    <n v="1"/>
    <n v="2022.51"/>
    <d v="2019-11-10T00:00:00"/>
    <s v="Resolved"/>
    <s v="Ships"/>
    <n v="72"/>
    <s v="S700_2610"/>
    <x v="5"/>
    <s v="31 12 3555"/>
    <s v="Vinb'ltet 34"/>
    <s v="Kobenhavn"/>
    <s v="1734"/>
    <s v="Denmark"/>
    <s v="Petersen"/>
    <s v="Jytte"/>
    <s v="Small"/>
    <x v="1172"/>
  </r>
  <r>
    <n v="10327"/>
    <n v="43"/>
    <n v="80"/>
    <n v="2"/>
    <n v="3440"/>
    <d v="2019-11-10T00:00:00"/>
    <s v="Resolved"/>
    <s v="Ships"/>
    <n v="100"/>
    <s v="S700_3505"/>
    <x v="5"/>
    <s v="31 12 3555"/>
    <s v="Vinb'ltet 34"/>
    <s v="Kobenhavn"/>
    <s v="1734"/>
    <s v="Denmark"/>
    <s v="Petersen"/>
    <s v="Jytte"/>
    <s v="Medium"/>
    <x v="1041"/>
  </r>
  <r>
    <n v="10327"/>
    <n v="37"/>
    <n v="86.61"/>
    <n v="3"/>
    <n v="3204.57"/>
    <d v="2019-11-10T00:00:00"/>
    <s v="Resolved"/>
    <s v="Ships"/>
    <n v="99"/>
    <s v="S700_3962"/>
    <x v="5"/>
    <s v="31 12 3555"/>
    <s v="Vinb'ltet 34"/>
    <s v="Kobenhavn"/>
    <s v="1734"/>
    <s v="Denmark"/>
    <s v="Petersen"/>
    <s v="Jytte"/>
    <s v="Medium"/>
    <x v="62"/>
  </r>
  <r>
    <n v="10327"/>
    <n v="37"/>
    <n v="86.74"/>
    <n v="4"/>
    <n v="3209.38"/>
    <d v="2019-11-10T00:00:00"/>
    <s v="Resolved"/>
    <s v="Ships"/>
    <n v="54"/>
    <s v="S72_3212"/>
    <x v="5"/>
    <s v="31 12 3555"/>
    <s v="Vinb'ltet 34"/>
    <s v="Kobenhavn"/>
    <s v="1734"/>
    <s v="Denmark"/>
    <s v="Petersen"/>
    <s v="Jytte"/>
    <s v="Medium"/>
    <x v="354"/>
  </r>
  <r>
    <n v="10328"/>
    <n v="34"/>
    <n v="112.22"/>
    <n v="6"/>
    <n v="3815.48"/>
    <d v="2019-11-12T00:00:00"/>
    <s v="Shipped"/>
    <s v="Vintage Cars"/>
    <n v="105"/>
    <s v="S18_3856"/>
    <x v="6"/>
    <s v="035-640555"/>
    <s v="Via Ludovico il Moro 22"/>
    <s v="Bergamo"/>
    <s v="24100"/>
    <s v="Italy"/>
    <s v="Rovelli"/>
    <s v="Giovanni"/>
    <s v="Medium"/>
    <x v="1028"/>
  </r>
  <r>
    <n v="10328"/>
    <n v="47"/>
    <n v="87.54"/>
    <n v="14"/>
    <n v="4114.38"/>
    <d v="2019-11-12T00:00:00"/>
    <s v="Shipped"/>
    <s v="Planes"/>
    <n v="109"/>
    <s v="S24_1785"/>
    <x v="6"/>
    <s v="035-640555"/>
    <s v="Via Ludovico il Moro 22"/>
    <s v="Bergamo"/>
    <s v="24100"/>
    <s v="Italy"/>
    <s v="Rovelli"/>
    <s v="Giovanni"/>
    <s v="Medium"/>
    <x v="1467"/>
  </r>
  <r>
    <n v="10328"/>
    <n v="48"/>
    <n v="58.92"/>
    <n v="1"/>
    <n v="2828.16"/>
    <d v="2019-11-12T00:00:00"/>
    <s v="Shipped"/>
    <s v="Planes"/>
    <n v="68"/>
    <s v="S24_2841"/>
    <x v="6"/>
    <s v="035-640555"/>
    <s v="Via Ludovico il Moro 22"/>
    <s v="Bergamo"/>
    <s v="24100"/>
    <s v="Italy"/>
    <s v="Rovelli"/>
    <s v="Giovanni"/>
    <s v="Small"/>
    <x v="1468"/>
  </r>
  <r>
    <n v="10328"/>
    <n v="20"/>
    <n v="72.98"/>
    <n v="2"/>
    <n v="1459.6"/>
    <d v="2019-11-12T00:00:00"/>
    <s v="Shipped"/>
    <s v="Vintage Cars"/>
    <n v="65"/>
    <s v="S24_3420"/>
    <x v="6"/>
    <s v="035-640555"/>
    <s v="Via Ludovico il Moro 22"/>
    <s v="Bergamo"/>
    <s v="24100"/>
    <s v="Italy"/>
    <s v="Rovelli"/>
    <s v="Giovanni"/>
    <s v="Small"/>
    <x v="1469"/>
  </r>
  <r>
    <n v="10328"/>
    <n v="35"/>
    <n v="76.430000000000007"/>
    <n v="3"/>
    <n v="2675.05"/>
    <d v="2019-11-12T00:00:00"/>
    <s v="Shipped"/>
    <s v="Planes"/>
    <n v="68"/>
    <s v="S24_3949"/>
    <x v="6"/>
    <s v="035-640555"/>
    <s v="Via Ludovico il Moro 22"/>
    <s v="Bergamo"/>
    <s v="24100"/>
    <s v="Italy"/>
    <s v="Rovelli"/>
    <s v="Giovanni"/>
    <s v="Small"/>
    <x v="1470"/>
  </r>
  <r>
    <n v="10328"/>
    <n v="43"/>
    <n v="60.86"/>
    <n v="4"/>
    <n v="2616.98"/>
    <d v="2019-11-12T00:00:00"/>
    <s v="Shipped"/>
    <s v="Planes"/>
    <n v="72"/>
    <s v="S24_4278"/>
    <x v="6"/>
    <s v="035-640555"/>
    <s v="Via Ludovico il Moro 22"/>
    <s v="Bergamo"/>
    <s v="24100"/>
    <s v="Italy"/>
    <s v="Rovelli"/>
    <s v="Giovanni"/>
    <s v="Small"/>
    <x v="1391"/>
  </r>
  <r>
    <n v="10328"/>
    <n v="24"/>
    <n v="81.17"/>
    <n v="5"/>
    <n v="1948.08"/>
    <d v="2019-11-12T00:00:00"/>
    <s v="Shipped"/>
    <s v="Vintage Cars"/>
    <n v="68"/>
    <s v="S32_4289"/>
    <x v="6"/>
    <s v="035-640555"/>
    <s v="Via Ludovico il Moro 22"/>
    <s v="Bergamo"/>
    <s v="24100"/>
    <s v="Italy"/>
    <s v="Rovelli"/>
    <s v="Giovanni"/>
    <s v="Small"/>
    <x v="1471"/>
  </r>
  <r>
    <n v="10328"/>
    <n v="34"/>
    <n v="51.93"/>
    <n v="7"/>
    <n v="1765.62"/>
    <d v="2019-11-12T00:00:00"/>
    <s v="Shipped"/>
    <s v="Vintage Cars"/>
    <n v="43"/>
    <s v="S50_1341"/>
    <x v="6"/>
    <s v="035-640555"/>
    <s v="Via Ludovico il Moro 22"/>
    <s v="Bergamo"/>
    <s v="24100"/>
    <s v="Italy"/>
    <s v="Rovelli"/>
    <s v="Giovanni"/>
    <s v="Small"/>
    <x v="1472"/>
  </r>
  <r>
    <n v="10328"/>
    <n v="27"/>
    <n v="102.3"/>
    <n v="8"/>
    <n v="2762.1"/>
    <d v="2019-11-12T00:00:00"/>
    <s v="Shipped"/>
    <s v="Planes"/>
    <n v="91"/>
    <s v="S700_1691"/>
    <x v="6"/>
    <s v="035-640555"/>
    <s v="Via Ludovico il Moro 22"/>
    <s v="Bergamo"/>
    <s v="24100"/>
    <s v="Italy"/>
    <s v="Rovelli"/>
    <s v="Giovanni"/>
    <s v="Small"/>
    <x v="1473"/>
  </r>
  <r>
    <n v="10328"/>
    <n v="41"/>
    <n v="101.38"/>
    <n v="9"/>
    <n v="4156.58"/>
    <d v="2019-11-12T00:00:00"/>
    <s v="Shipped"/>
    <s v="Ships"/>
    <n v="90"/>
    <s v="S700_2047"/>
    <x v="6"/>
    <s v="035-640555"/>
    <s v="Via Ludovico il Moro 22"/>
    <s v="Bergamo"/>
    <s v="24100"/>
    <s v="Italy"/>
    <s v="Rovelli"/>
    <s v="Giovanni"/>
    <s v="Medium"/>
    <x v="371"/>
  </r>
  <r>
    <n v="10328"/>
    <n v="37"/>
    <n v="108.69"/>
    <n v="10"/>
    <n v="4021.53"/>
    <d v="2019-11-12T00:00:00"/>
    <s v="Shipped"/>
    <s v="Planes"/>
    <n v="99"/>
    <s v="S700_2466"/>
    <x v="6"/>
    <s v="035-640555"/>
    <s v="Via Ludovico il Moro 22"/>
    <s v="Bergamo"/>
    <s v="24100"/>
    <s v="Italy"/>
    <s v="Rovelli"/>
    <s v="Giovanni"/>
    <s v="Medium"/>
    <x v="1347"/>
  </r>
  <r>
    <n v="10328"/>
    <n v="33"/>
    <n v="123.4"/>
    <n v="11"/>
    <n v="4072.2"/>
    <d v="2019-11-12T00:00:00"/>
    <s v="Shipped"/>
    <s v="Planes"/>
    <n v="118"/>
    <s v="S700_2834"/>
    <x v="6"/>
    <s v="035-640555"/>
    <s v="Via Ludovico il Moro 22"/>
    <s v="Bergamo"/>
    <s v="24100"/>
    <s v="Italy"/>
    <s v="Rovelli"/>
    <s v="Giovanni"/>
    <s v="Medium"/>
    <x v="1474"/>
  </r>
  <r>
    <n v="10328"/>
    <n v="33"/>
    <n v="64"/>
    <n v="13"/>
    <n v="2112"/>
    <d v="2019-11-12T00:00:00"/>
    <s v="Shipped"/>
    <s v="Planes"/>
    <n v="80"/>
    <s v="S700_3167"/>
    <x v="6"/>
    <s v="035-640555"/>
    <s v="Via Ludovico il Moro 22"/>
    <s v="Bergamo"/>
    <s v="24100"/>
    <s v="Italy"/>
    <s v="Rovelli"/>
    <s v="Giovanni"/>
    <s v="Small"/>
    <x v="1475"/>
  </r>
  <r>
    <n v="10328"/>
    <n v="39"/>
    <n v="85.87"/>
    <n v="12"/>
    <n v="3348.93"/>
    <d v="2019-11-12T00:00:00"/>
    <s v="Shipped"/>
    <s v="Planes"/>
    <n v="74"/>
    <s v="S700_4002"/>
    <x v="6"/>
    <s v="035-640555"/>
    <s v="Via Ludovico il Moro 22"/>
    <s v="Bergamo"/>
    <s v="24100"/>
    <s v="Italy"/>
    <s v="Rovelli"/>
    <s v="Giovanni"/>
    <s v="Medium"/>
    <x v="1234"/>
  </r>
  <r>
    <n v="10329"/>
    <n v="42"/>
    <n v="104.67"/>
    <n v="1"/>
    <n v="4396.1400000000003"/>
    <d v="2019-11-15T00:00:00"/>
    <s v="Shipped"/>
    <s v="Motorcycles"/>
    <n v="95"/>
    <s v="S10_1678"/>
    <x v="7"/>
    <s v="2125557818"/>
    <s v="897 Long Airport Avenue"/>
    <s v="NYC"/>
    <s v="10022"/>
    <s v="USA"/>
    <s v="Yu"/>
    <s v="Kwai"/>
    <s v="Medium"/>
    <x v="1476"/>
  </r>
  <r>
    <n v="10329"/>
    <n v="20"/>
    <n v="158.80000000000001"/>
    <n v="2"/>
    <n v="3176"/>
    <d v="2019-11-15T00:00:00"/>
    <s v="Shipped"/>
    <s v="Motorcycles"/>
    <n v="118"/>
    <s v="S10_2016"/>
    <x v="7"/>
    <s v="2125557818"/>
    <s v="897 Long Airport Avenue"/>
    <s v="NYC"/>
    <s v="10022"/>
    <s v="USA"/>
    <s v="Yu"/>
    <s v="Kwai"/>
    <s v="Medium"/>
    <x v="1383"/>
  </r>
  <r>
    <n v="10329"/>
    <n v="26"/>
    <n v="225.7"/>
    <n v="3"/>
    <n v="5868.2"/>
    <d v="2019-11-15T00:00:00"/>
    <s v="Shipped"/>
    <s v="Motorcycles"/>
    <n v="193"/>
    <s v="S10_4698"/>
    <x v="7"/>
    <s v="2125557818"/>
    <s v="897 Long Airport Avenue"/>
    <s v="NYC"/>
    <s v="10022"/>
    <s v="USA"/>
    <s v="Yu"/>
    <s v="Kwai"/>
    <s v="Medium"/>
    <x v="1477"/>
  </r>
  <r>
    <n v="10329"/>
    <n v="41"/>
    <n v="71.47"/>
    <n v="5"/>
    <n v="2930.27"/>
    <d v="2019-11-15T00:00:00"/>
    <s v="Shipped"/>
    <s v="Classic Cars"/>
    <n v="194"/>
    <s v="S12_1099"/>
    <x v="7"/>
    <s v="2125557818"/>
    <s v="897 Long Airport Avenue"/>
    <s v="NYC"/>
    <s v="10022"/>
    <s v="USA"/>
    <s v="Yu"/>
    <s v="Kwai"/>
    <s v="Small"/>
    <x v="1478"/>
  </r>
  <r>
    <n v="10329"/>
    <n v="24"/>
    <n v="147.61000000000001"/>
    <n v="6"/>
    <n v="3542.64"/>
    <d v="2019-11-15T00:00:00"/>
    <s v="Shipped"/>
    <s v="Motorcycles"/>
    <n v="150"/>
    <s v="S12_2823"/>
    <x v="7"/>
    <s v="2125557818"/>
    <s v="897 Long Airport Avenue"/>
    <s v="NYC"/>
    <s v="10022"/>
    <s v="USA"/>
    <s v="Yu"/>
    <s v="Kwai"/>
    <s v="Medium"/>
    <x v="1479"/>
  </r>
  <r>
    <n v="10329"/>
    <n v="46"/>
    <n v="83.63"/>
    <n v="13"/>
    <n v="3846.98"/>
    <d v="2019-11-15T00:00:00"/>
    <s v="Shipped"/>
    <s v="Classic Cars"/>
    <n v="117"/>
    <s v="S12_3380"/>
    <x v="7"/>
    <s v="2125557818"/>
    <s v="897 Long Airport Avenue"/>
    <s v="NYC"/>
    <s v="10022"/>
    <s v="USA"/>
    <s v="Yu"/>
    <s v="Kwai"/>
    <s v="Medium"/>
    <x v="1480"/>
  </r>
  <r>
    <n v="10329"/>
    <n v="33"/>
    <n v="109.32"/>
    <n v="14"/>
    <n v="3607.56"/>
    <d v="2019-11-15T00:00:00"/>
    <s v="Shipped"/>
    <s v="Classic Cars"/>
    <n v="79"/>
    <s v="S12_3990"/>
    <x v="7"/>
    <s v="2125557818"/>
    <s v="897 Long Airport Avenue"/>
    <s v="NYC"/>
    <s v="10022"/>
    <s v="USA"/>
    <s v="Yu"/>
    <s v="Kwai"/>
    <s v="Medium"/>
    <x v="1177"/>
  </r>
  <r>
    <n v="10329"/>
    <n v="39"/>
    <n v="64.739999999999995"/>
    <n v="15"/>
    <n v="2524.86"/>
    <d v="2019-11-15T00:00:00"/>
    <s v="Shipped"/>
    <s v="Classic Cars"/>
    <n v="115"/>
    <s v="S12_4675"/>
    <x v="7"/>
    <s v="2125557818"/>
    <s v="897 Long Airport Avenue"/>
    <s v="NYC"/>
    <s v="10022"/>
    <s v="USA"/>
    <s v="Yu"/>
    <s v="Kwai"/>
    <s v="Small"/>
    <x v="1481"/>
  </r>
  <r>
    <n v="10329"/>
    <n v="29"/>
    <n v="101.89"/>
    <n v="9"/>
    <n v="2954.81"/>
    <d v="2019-11-15T00:00:00"/>
    <s v="Shipped"/>
    <s v="Classic Cars"/>
    <n v="77"/>
    <s v="S18_1889"/>
    <x v="7"/>
    <s v="2125557818"/>
    <s v="897 Long Airport Avenue"/>
    <s v="NYC"/>
    <s v="10022"/>
    <s v="USA"/>
    <s v="Yu"/>
    <s v="Kwai"/>
    <s v="Small"/>
    <x v="428"/>
  </r>
  <r>
    <n v="10329"/>
    <n v="38"/>
    <n v="138.58000000000001"/>
    <n v="12"/>
    <n v="5266.04"/>
    <d v="2019-11-15T00:00:00"/>
    <s v="Shipped"/>
    <s v="Motorcycles"/>
    <n v="60"/>
    <s v="S18_2625"/>
    <x v="7"/>
    <s v="2125557818"/>
    <s v="897 Long Airport Avenue"/>
    <s v="NYC"/>
    <s v="10022"/>
    <s v="USA"/>
    <s v="Yu"/>
    <s v="Kwai"/>
    <s v="Medium"/>
    <x v="1482"/>
  </r>
  <r>
    <n v="10329"/>
    <n v="38"/>
    <n v="59.1"/>
    <n v="10"/>
    <n v="2245.8000000000002"/>
    <d v="2019-11-15T00:00:00"/>
    <s v="Shipped"/>
    <s v="Classic Cars"/>
    <n v="80"/>
    <s v="S18_3278"/>
    <x v="7"/>
    <s v="2125557818"/>
    <s v="897 Long Airport Avenue"/>
    <s v="NYC"/>
    <s v="10022"/>
    <s v="USA"/>
    <s v="Yu"/>
    <s v="Kwai"/>
    <s v="Small"/>
    <x v="1483"/>
  </r>
  <r>
    <n v="10329"/>
    <n v="30"/>
    <n v="87.78"/>
    <n v="7"/>
    <n v="2633.4"/>
    <d v="2019-11-15T00:00:00"/>
    <s v="Shipped"/>
    <s v="Motorcycles"/>
    <n v="112"/>
    <s v="S24_1578"/>
    <x v="7"/>
    <s v="2125557818"/>
    <s v="897 Long Airport Avenue"/>
    <s v="NYC"/>
    <s v="10022"/>
    <s v="USA"/>
    <s v="Yu"/>
    <s v="Kwai"/>
    <s v="Small"/>
    <x v="1085"/>
  </r>
  <r>
    <n v="10329"/>
    <n v="37"/>
    <n v="94.43"/>
    <n v="4"/>
    <n v="3493.91"/>
    <d v="2019-11-15T00:00:00"/>
    <s v="Shipped"/>
    <s v="Motorcycles"/>
    <n v="76"/>
    <s v="S24_2000"/>
    <x v="7"/>
    <s v="2125557818"/>
    <s v="897 Long Airport Avenue"/>
    <s v="NYC"/>
    <s v="10022"/>
    <s v="USA"/>
    <s v="Yu"/>
    <s v="Kwai"/>
    <s v="Medium"/>
    <x v="1263"/>
  </r>
  <r>
    <n v="10329"/>
    <n v="45"/>
    <n v="63.91"/>
    <n v="11"/>
    <n v="2875.95"/>
    <d v="2019-11-15T00:00:00"/>
    <s v="Shipped"/>
    <s v="Motorcycles"/>
    <n v="99"/>
    <s v="S32_1374"/>
    <x v="7"/>
    <s v="2125557818"/>
    <s v="897 Long Airport Avenue"/>
    <s v="NYC"/>
    <s v="10022"/>
    <s v="USA"/>
    <s v="Yu"/>
    <s v="Kwai"/>
    <s v="Small"/>
    <x v="1484"/>
  </r>
  <r>
    <n v="10329"/>
    <n v="44"/>
    <n v="86.13"/>
    <n v="8"/>
    <n v="3789.72"/>
    <d v="2019-11-15T00:00:00"/>
    <s v="Shipped"/>
    <s v="Planes"/>
    <n v="49"/>
    <s v="S72_1253"/>
    <x v="7"/>
    <s v="2125557818"/>
    <s v="897 Long Airport Avenue"/>
    <s v="NYC"/>
    <s v="10022"/>
    <s v="USA"/>
    <s v="Yu"/>
    <s v="Kwai"/>
    <s v="Medium"/>
    <x v="248"/>
  </r>
  <r>
    <n v="10330"/>
    <n v="37"/>
    <n v="119.06"/>
    <n v="3"/>
    <n v="4405.22"/>
    <d v="2019-11-16T00:00:00"/>
    <s v="Shipped"/>
    <s v="Classic Cars"/>
    <n v="146"/>
    <s v="S18_3482"/>
    <x v="8"/>
    <s v="+63 2 555 3587"/>
    <s v="15 McCallum Street - NatWest Center #13-03"/>
    <s v="Makati City"/>
    <s v="1227 MM"/>
    <s v="Philippines"/>
    <s v="Cruz"/>
    <s v="Arnold"/>
    <s v="Medium"/>
    <x v="1387"/>
  </r>
  <r>
    <n v="10330"/>
    <n v="29"/>
    <n v="69.63"/>
    <n v="2"/>
    <n v="2019.27"/>
    <d v="2019-11-16T00:00:00"/>
    <s v="Shipped"/>
    <s v="Motorcycles"/>
    <n v="62"/>
    <s v="S18_3782"/>
    <x v="8"/>
    <s v="+63 2 555 3587"/>
    <s v="15 McCallum Street - NatWest Center #13-03"/>
    <s v="Makati City"/>
    <s v="1227 MM"/>
    <s v="Philippines"/>
    <s v="Cruz"/>
    <s v="Arnold"/>
    <s v="Small"/>
    <x v="101"/>
  </r>
  <r>
    <n v="10330"/>
    <n v="50"/>
    <n v="122.02"/>
    <n v="4"/>
    <n v="6101"/>
    <d v="2019-11-16T00:00:00"/>
    <s v="Shipped"/>
    <s v="Classic Cars"/>
    <n v="148"/>
    <s v="S18_4721"/>
    <x v="8"/>
    <s v="+63 2 555 3587"/>
    <s v="15 McCallum Street - NatWest Center #13-03"/>
    <s v="Makati City"/>
    <s v="1227 MM"/>
    <s v="Philippines"/>
    <s v="Cruz"/>
    <s v="Arnold"/>
    <s v="Medium"/>
    <x v="1485"/>
  </r>
  <r>
    <n v="10330"/>
    <n v="42"/>
    <n v="81.03"/>
    <n v="1"/>
    <n v="3403.26"/>
    <d v="2019-11-16T00:00:00"/>
    <s v="Shipped"/>
    <s v="Motorcycles"/>
    <n v="69"/>
    <s v="S24_2360"/>
    <x v="8"/>
    <s v="+63 2 555 3587"/>
    <s v="15 McCallum Street - NatWest Center #13-03"/>
    <s v="Makati City"/>
    <s v="1227 MM"/>
    <s v="Philippines"/>
    <s v="Cruz"/>
    <s v="Arnold"/>
    <s v="Medium"/>
    <x v="1486"/>
  </r>
  <r>
    <n v="10331"/>
    <n v="46"/>
    <n v="139.87"/>
    <n v="6"/>
    <n v="6434.02"/>
    <d v="2019-11-17T00:00:00"/>
    <s v="Shipped"/>
    <s v="Classic Cars"/>
    <n v="141"/>
    <s v="S18_1129"/>
    <x v="9"/>
    <s v="2155559857"/>
    <s v="11328 Douglas Av."/>
    <s v="Philadelphia"/>
    <s v="71270"/>
    <s v="USA"/>
    <s v="Hernandez"/>
    <s v="Rosa"/>
    <s v="Medium"/>
    <x v="1384"/>
  </r>
  <r>
    <n v="10332"/>
    <n v="46"/>
    <n v="95.13"/>
    <n v="15"/>
    <n v="4375.9799999999996"/>
    <d v="2019-11-17T00:00:00"/>
    <s v="Shipped"/>
    <s v="Vintage Cars"/>
    <n v="102"/>
    <s v="S18_1342"/>
    <x v="10"/>
    <s v="(171) 555-1555"/>
    <s v="Fauntleroy Circus"/>
    <s v="Manchester"/>
    <s v="EC2 5NT"/>
    <s v="UK"/>
    <s v="Ashworth"/>
    <s v="Victoria"/>
    <s v="Medium"/>
    <x v="1115"/>
  </r>
  <r>
    <n v="10332"/>
    <n v="27"/>
    <n v="89.89"/>
    <n v="16"/>
    <n v="2427.0300000000002"/>
    <d v="2019-11-17T00:00:00"/>
    <s v="Shipped"/>
    <s v="Vintage Cars"/>
    <n v="53"/>
    <s v="S18_1367"/>
    <x v="10"/>
    <s v="(171) 555-1555"/>
    <s v="Fauntleroy Circus"/>
    <s v="Manchester"/>
    <s v="EC2 5NT"/>
    <s v="UK"/>
    <s v="Ashworth"/>
    <s v="Victoria"/>
    <s v="Small"/>
    <x v="1487"/>
  </r>
  <r>
    <n v="10331"/>
    <n v="44"/>
    <n v="110.21"/>
    <n v="14"/>
    <n v="4849.24"/>
    <d v="2019-11-17T00:00:00"/>
    <s v="Shipped"/>
    <s v="Classic Cars"/>
    <n v="124"/>
    <s v="S18_1589"/>
    <x v="9"/>
    <s v="2155559857"/>
    <s v="11328 Douglas Av."/>
    <s v="Philadelphia"/>
    <s v="71270"/>
    <s v="USA"/>
    <s v="Hernandez"/>
    <s v="Rosa"/>
    <s v="Medium"/>
    <x v="487"/>
  </r>
  <r>
    <n v="10331"/>
    <n v="44"/>
    <n v="74.040000000000006"/>
    <n v="7"/>
    <n v="3257.76"/>
    <d v="2019-11-17T00:00:00"/>
    <s v="Shipped"/>
    <s v="Vintage Cars"/>
    <n v="170"/>
    <s v="S18_1749"/>
    <x v="9"/>
    <s v="2155559857"/>
    <s v="11328 Douglas Av."/>
    <s v="Philadelphia"/>
    <s v="71270"/>
    <s v="USA"/>
    <s v="Hernandez"/>
    <s v="Rosa"/>
    <s v="Medium"/>
    <x v="1488"/>
  </r>
  <r>
    <n v="10331"/>
    <n v="30"/>
    <n v="32.47"/>
    <n v="8"/>
    <n v="974.1"/>
    <d v="2019-11-17T00:00:00"/>
    <s v="Shipped"/>
    <s v="Classic Cars"/>
    <n v="142"/>
    <s v="S18_1984"/>
    <x v="9"/>
    <s v="2155559857"/>
    <s v="11328 Douglas Av."/>
    <s v="Philadelphia"/>
    <s v="71270"/>
    <s v="USA"/>
    <s v="Hernandez"/>
    <s v="Rosa"/>
    <s v="Small"/>
    <x v="1489"/>
  </r>
  <r>
    <n v="10332"/>
    <n v="38"/>
    <n v="84.25"/>
    <n v="9"/>
    <n v="3201.5"/>
    <d v="2019-11-17T00:00:00"/>
    <s v="Shipped"/>
    <s v="Vintage Cars"/>
    <n v="60"/>
    <s v="S18_2248"/>
    <x v="10"/>
    <s v="(171) 555-1555"/>
    <s v="Fauntleroy Circus"/>
    <s v="Manchester"/>
    <s v="EC2 5NT"/>
    <s v="UK"/>
    <s v="Ashworth"/>
    <s v="Victoria"/>
    <s v="Medium"/>
    <x v="151"/>
  </r>
  <r>
    <n v="10332"/>
    <n v="35"/>
    <n v="64.69"/>
    <n v="8"/>
    <n v="2264.15"/>
    <d v="2019-11-17T00:00:00"/>
    <s v="Shipped"/>
    <s v="Vintage Cars"/>
    <n v="127"/>
    <s v="S18_2325"/>
    <x v="10"/>
    <s v="(171) 555-1555"/>
    <s v="Fauntleroy Circus"/>
    <s v="Manchester"/>
    <s v="EC2 5NT"/>
    <s v="UK"/>
    <s v="Ashworth"/>
    <s v="Victoria"/>
    <s v="Small"/>
    <x v="1189"/>
  </r>
  <r>
    <n v="10332"/>
    <n v="24"/>
    <n v="52.67"/>
    <n v="1"/>
    <n v="1264.08"/>
    <d v="2019-11-17T00:00:00"/>
    <s v="Shipped"/>
    <s v="Vintage Cars"/>
    <n v="168"/>
    <s v="S18_2795"/>
    <x v="10"/>
    <s v="(171) 555-1555"/>
    <s v="Fauntleroy Circus"/>
    <s v="Manchester"/>
    <s v="EC2 5NT"/>
    <s v="UK"/>
    <s v="Ashworth"/>
    <s v="Victoria"/>
    <s v="Small"/>
    <x v="869"/>
  </r>
  <r>
    <n v="10331"/>
    <n v="26"/>
    <n v="64.900000000000006"/>
    <n v="10"/>
    <n v="1687.4"/>
    <d v="2019-11-17T00:00:00"/>
    <s v="Shipped"/>
    <s v="Classic Cars"/>
    <n v="132"/>
    <s v="S18_2870"/>
    <x v="9"/>
    <s v="2155559857"/>
    <s v="11328 Douglas Av."/>
    <s v="Philadelphia"/>
    <s v="71270"/>
    <s v="USA"/>
    <s v="Hernandez"/>
    <s v="Rosa"/>
    <s v="Small"/>
    <x v="1490"/>
  </r>
  <r>
    <n v="10332"/>
    <n v="26"/>
    <n v="114.58"/>
    <n v="17"/>
    <n v="2979.08"/>
    <d v="2019-11-17T00:00:00"/>
    <s v="Shipped"/>
    <s v="Vintage Cars"/>
    <n v="62"/>
    <s v="S18_2957"/>
    <x v="10"/>
    <s v="(171) 555-1555"/>
    <s v="Fauntleroy Circus"/>
    <s v="Manchester"/>
    <s v="EC2 5NT"/>
    <s v="UK"/>
    <s v="Ashworth"/>
    <s v="Victoria"/>
    <s v="Small"/>
    <x v="1083"/>
  </r>
  <r>
    <n v="10332"/>
    <n v="40"/>
    <n v="39.799999999999997"/>
    <n v="18"/>
    <n v="1592"/>
    <d v="2019-11-17T00:00:00"/>
    <s v="Shipped"/>
    <s v="Vintage Cars"/>
    <n v="104"/>
    <s v="S18_3136"/>
    <x v="10"/>
    <s v="(171) 555-1555"/>
    <s v="Fauntleroy Circus"/>
    <s v="Manchester"/>
    <s v="EC2 5NT"/>
    <s v="UK"/>
    <s v="Ashworth"/>
    <s v="Victoria"/>
    <s v="Small"/>
    <x v="223"/>
  </r>
  <r>
    <n v="10331"/>
    <n v="27"/>
    <n v="154.47"/>
    <n v="11"/>
    <n v="4170.6899999999996"/>
    <d v="2019-11-17T00:00:00"/>
    <s v="Shipped"/>
    <s v="Classic Cars"/>
    <n v="169"/>
    <s v="S18_3232"/>
    <x v="9"/>
    <s v="2155559857"/>
    <s v="11328 Douglas Av."/>
    <s v="Philadelphia"/>
    <s v="71270"/>
    <s v="USA"/>
    <s v="Hernandez"/>
    <s v="Rosa"/>
    <s v="Medium"/>
    <x v="794"/>
  </r>
  <r>
    <n v="10331"/>
    <n v="26"/>
    <n v="67.91"/>
    <n v="12"/>
    <n v="1765.66"/>
    <d v="2019-11-17T00:00:00"/>
    <s v="Shipped"/>
    <s v="Classic Cars"/>
    <n v="141"/>
    <s v="S18_3685"/>
    <x v="9"/>
    <s v="2155559857"/>
    <s v="11328 Douglas Av."/>
    <s v="Philadelphia"/>
    <s v="71270"/>
    <s v="USA"/>
    <s v="Hernandez"/>
    <s v="Rosa"/>
    <s v="Small"/>
    <x v="1491"/>
  </r>
  <r>
    <n v="10332"/>
    <n v="50"/>
    <n v="146.19999999999999"/>
    <n v="2"/>
    <n v="7310"/>
    <d v="2019-11-17T00:00:00"/>
    <s v="Shipped"/>
    <s v="Vintage Cars"/>
    <n v="92"/>
    <s v="S18_4409"/>
    <x v="10"/>
    <s v="(171) 555-1555"/>
    <s v="Fauntleroy Circus"/>
    <s v="Manchester"/>
    <s v="EC2 5NT"/>
    <s v="UK"/>
    <s v="Ashworth"/>
    <s v="Victoria"/>
    <s v="Large"/>
    <x v="1060"/>
  </r>
  <r>
    <n v="10332"/>
    <n v="21"/>
    <n v="165.38"/>
    <n v="3"/>
    <n v="3472.98"/>
    <d v="2019-11-17T00:00:00"/>
    <s v="Shipped"/>
    <s v="Classic Cars"/>
    <n v="71"/>
    <s v="S18_4933"/>
    <x v="10"/>
    <s v="(171) 555-1555"/>
    <s v="Fauntleroy Circus"/>
    <s v="Manchester"/>
    <s v="EC2 5NT"/>
    <s v="UK"/>
    <s v="Ashworth"/>
    <s v="Victoria"/>
    <s v="Medium"/>
    <x v="1492"/>
  </r>
  <r>
    <n v="10332"/>
    <n v="23"/>
    <n v="56.84"/>
    <n v="4"/>
    <n v="1307.32"/>
    <d v="2019-11-17T00:00:00"/>
    <s v="Shipped"/>
    <s v="Classic Cars"/>
    <n v="73"/>
    <s v="S24_1046"/>
    <x v="10"/>
    <s v="(171) 555-1555"/>
    <s v="Fauntleroy Circus"/>
    <s v="Manchester"/>
    <s v="EC2 5NT"/>
    <s v="UK"/>
    <s v="Ashworth"/>
    <s v="Victoria"/>
    <s v="Small"/>
    <x v="1312"/>
  </r>
  <r>
    <n v="10332"/>
    <n v="20"/>
    <n v="87.96"/>
    <n v="5"/>
    <n v="1759.2"/>
    <d v="2019-11-17T00:00:00"/>
    <s v="Shipped"/>
    <s v="Classic Cars"/>
    <n v="50"/>
    <s v="S24_1628"/>
    <x v="10"/>
    <s v="(171) 555-1555"/>
    <s v="Fauntleroy Circus"/>
    <s v="Manchester"/>
    <s v="EC2 5NT"/>
    <s v="UK"/>
    <s v="Ashworth"/>
    <s v="Victoria"/>
    <s v="Small"/>
    <x v="860"/>
  </r>
  <r>
    <n v="10332"/>
    <n v="45"/>
    <n v="81.91"/>
    <n v="6"/>
    <n v="3685.95"/>
    <d v="2019-11-17T00:00:00"/>
    <s v="Shipped"/>
    <s v="Vintage Cars"/>
    <n v="33"/>
    <s v="S24_1937"/>
    <x v="10"/>
    <s v="(171) 555-1555"/>
    <s v="Fauntleroy Circus"/>
    <s v="Manchester"/>
    <s v="EC2 5NT"/>
    <s v="UK"/>
    <s v="Ashworth"/>
    <s v="Victoria"/>
    <s v="Medium"/>
    <x v="1023"/>
  </r>
  <r>
    <n v="10332"/>
    <n v="26"/>
    <n v="85.52"/>
    <n v="10"/>
    <n v="2223.52"/>
    <d v="2019-11-17T00:00:00"/>
    <s v="Shipped"/>
    <s v="Vintage Cars"/>
    <n v="44"/>
    <s v="S24_2022"/>
    <x v="10"/>
    <s v="(171) 555-1555"/>
    <s v="Fauntleroy Circus"/>
    <s v="Manchester"/>
    <s v="EC2 5NT"/>
    <s v="UK"/>
    <s v="Ashworth"/>
    <s v="Victoria"/>
    <s v="Small"/>
    <x v="1493"/>
  </r>
  <r>
    <n v="10332"/>
    <n v="39"/>
    <n v="86.72"/>
    <n v="7"/>
    <n v="3382.08"/>
    <d v="2019-11-17T00:00:00"/>
    <s v="Shipped"/>
    <s v="Classic Cars"/>
    <n v="90"/>
    <s v="S24_2766"/>
    <x v="10"/>
    <s v="(171) 555-1555"/>
    <s v="Fauntleroy Circus"/>
    <s v="Manchester"/>
    <s v="EC2 5NT"/>
    <s v="UK"/>
    <s v="Ashworth"/>
    <s v="Victoria"/>
    <s v="Medium"/>
    <x v="1494"/>
  </r>
  <r>
    <n v="10332"/>
    <n v="44"/>
    <n v="42.26"/>
    <n v="11"/>
    <n v="1859.44"/>
    <d v="2019-11-17T00:00:00"/>
    <s v="Shipped"/>
    <s v="Classic Cars"/>
    <n v="117"/>
    <s v="S24_2887"/>
    <x v="10"/>
    <s v="(171) 555-1555"/>
    <s v="Fauntleroy Circus"/>
    <s v="Manchester"/>
    <s v="EC2 5NT"/>
    <s v="UK"/>
    <s v="Ashworth"/>
    <s v="Victoria"/>
    <s v="Small"/>
    <x v="243"/>
  </r>
  <r>
    <n v="10331"/>
    <n v="27"/>
    <n v="42.24"/>
    <n v="13"/>
    <n v="1140.48"/>
    <d v="2019-11-17T00:00:00"/>
    <s v="Shipped"/>
    <s v="Classic Cars"/>
    <n v="37"/>
    <s v="S24_2972"/>
    <x v="9"/>
    <s v="2155559857"/>
    <s v="11328 Douglas Av."/>
    <s v="Philadelphia"/>
    <s v="71270"/>
    <s v="USA"/>
    <s v="Hernandez"/>
    <s v="Rosa"/>
    <s v="Small"/>
    <x v="1495"/>
  </r>
  <r>
    <n v="10332"/>
    <n v="45"/>
    <n v="34.19"/>
    <n v="12"/>
    <n v="1538.55"/>
    <d v="2019-11-17T00:00:00"/>
    <s v="Shipped"/>
    <s v="Classic Cars"/>
    <n v="85"/>
    <s v="S24_3191"/>
    <x v="10"/>
    <s v="(171) 555-1555"/>
    <s v="Fauntleroy Circus"/>
    <s v="Manchester"/>
    <s v="EC2 5NT"/>
    <s v="UK"/>
    <s v="Ashworth"/>
    <s v="Victoria"/>
    <s v="Small"/>
    <x v="1265"/>
  </r>
  <r>
    <n v="10331"/>
    <n v="25"/>
    <n v="123.14"/>
    <n v="9"/>
    <n v="3078.5"/>
    <d v="2019-11-17T00:00:00"/>
    <s v="Shipped"/>
    <s v="Classic Cars"/>
    <n v="61"/>
    <s v="S24_3371"/>
    <x v="9"/>
    <s v="2155559857"/>
    <s v="11328 Douglas Av."/>
    <s v="Philadelphia"/>
    <s v="71270"/>
    <s v="USA"/>
    <s v="Hernandez"/>
    <s v="Rosa"/>
    <s v="Medium"/>
    <x v="1496"/>
  </r>
  <r>
    <n v="10332"/>
    <n v="31"/>
    <n v="37.18"/>
    <n v="13"/>
    <n v="1152.58"/>
    <d v="2019-11-17T00:00:00"/>
    <s v="Shipped"/>
    <s v="Classic Cars"/>
    <n v="107"/>
    <s v="S24_3432"/>
    <x v="10"/>
    <s v="(171) 555-1555"/>
    <s v="Fauntleroy Circus"/>
    <s v="Manchester"/>
    <s v="EC2 5NT"/>
    <s v="UK"/>
    <s v="Ashworth"/>
    <s v="Victoria"/>
    <s v="Small"/>
    <x v="1497"/>
  </r>
  <r>
    <n v="10331"/>
    <n v="21"/>
    <n v="149.33000000000001"/>
    <n v="1"/>
    <n v="3135.93"/>
    <d v="2019-11-17T00:00:00"/>
    <s v="Shipped"/>
    <s v="Classic Cars"/>
    <n v="140"/>
    <s v="S24_3856"/>
    <x v="9"/>
    <s v="2155559857"/>
    <s v="11328 Douglas Av."/>
    <s v="Philadelphia"/>
    <s v="71270"/>
    <s v="USA"/>
    <s v="Hernandez"/>
    <s v="Rosa"/>
    <s v="Medium"/>
    <x v="862"/>
  </r>
  <r>
    <n v="10332"/>
    <n v="41"/>
    <n v="77.239999999999995"/>
    <n v="14"/>
    <n v="3166.84"/>
    <d v="2019-11-17T00:00:00"/>
    <s v="Shipped"/>
    <s v="Vintage Cars"/>
    <n v="41"/>
    <s v="S24_3969"/>
    <x v="10"/>
    <s v="(171) 555-1555"/>
    <s v="Fauntleroy Circus"/>
    <s v="Manchester"/>
    <s v="EC2 5NT"/>
    <s v="UK"/>
    <s v="Ashworth"/>
    <s v="Victoria"/>
    <s v="Medium"/>
    <x v="1498"/>
  </r>
  <r>
    <n v="10331"/>
    <n v="41"/>
    <n v="139.4"/>
    <n v="2"/>
    <n v="5715.4"/>
    <d v="2019-11-17T00:00:00"/>
    <s v="Shipped"/>
    <s v="Classic Cars"/>
    <n v="80"/>
    <s v="S24_4620"/>
    <x v="9"/>
    <s v="2155559857"/>
    <s v="11328 Douglas Av."/>
    <s v="Philadelphia"/>
    <s v="71270"/>
    <s v="USA"/>
    <s v="Hernandez"/>
    <s v="Rosa"/>
    <s v="Medium"/>
    <x v="1499"/>
  </r>
  <r>
    <n v="10331"/>
    <n v="28"/>
    <n v="146.52000000000001"/>
    <n v="3"/>
    <n v="4102.5600000000004"/>
    <d v="2019-11-17T00:00:00"/>
    <s v="Shipped"/>
    <s v="Motorcycles"/>
    <n v="40"/>
    <s v="S32_2206"/>
    <x v="9"/>
    <s v="2155559857"/>
    <s v="11328 Douglas Av."/>
    <s v="Philadelphia"/>
    <s v="71270"/>
    <s v="USA"/>
    <s v="Hernandez"/>
    <s v="Rosa"/>
    <s v="Medium"/>
    <x v="398"/>
  </r>
  <r>
    <n v="10331"/>
    <n v="32"/>
    <n v="157.08000000000001"/>
    <n v="4"/>
    <n v="5026.5600000000004"/>
    <d v="2019-11-17T00:00:00"/>
    <s v="Shipped"/>
    <s v="Motorcycles"/>
    <n v="102"/>
    <s v="S32_4485"/>
    <x v="9"/>
    <s v="2155559857"/>
    <s v="11328 Douglas Av."/>
    <s v="Philadelphia"/>
    <s v="71270"/>
    <s v="USA"/>
    <s v="Hernandez"/>
    <s v="Rosa"/>
    <s v="Medium"/>
    <x v="1500"/>
  </r>
  <r>
    <n v="10331"/>
    <n v="20"/>
    <n v="182.89"/>
    <n v="5"/>
    <n v="3657.8"/>
    <d v="2019-11-17T00:00:00"/>
    <s v="Shipped"/>
    <s v="Motorcycles"/>
    <n v="81"/>
    <s v="S50_4713"/>
    <x v="9"/>
    <s v="2155559857"/>
    <s v="11328 Douglas Av."/>
    <s v="Philadelphia"/>
    <s v="71270"/>
    <s v="USA"/>
    <s v="Hernandez"/>
    <s v="Rosa"/>
    <s v="Medium"/>
    <x v="1406"/>
  </r>
  <r>
    <n v="10334"/>
    <n v="26"/>
    <n v="122.62"/>
    <n v="2"/>
    <n v="3188.12"/>
    <d v="2019-11-19T00:00:00"/>
    <s v="On Hold"/>
    <s v="Classic Cars"/>
    <n v="147"/>
    <s v="S10_4962"/>
    <x v="11"/>
    <s v="0921-12 3555"/>
    <s v="Berguvsvgen  8"/>
    <s v="Lule"/>
    <s v="S-958 22"/>
    <s v="Sweden"/>
    <s v="Berglund"/>
    <s v="Christina"/>
    <s v="Medium"/>
    <x v="1501"/>
  </r>
  <r>
    <n v="10334"/>
    <n v="46"/>
    <n v="126.41"/>
    <n v="6"/>
    <n v="5814.86"/>
    <d v="2019-11-19T00:00:00"/>
    <s v="On Hold"/>
    <s v="Trucks and Buses"/>
    <n v="122"/>
    <s v="S18_2319"/>
    <x v="11"/>
    <s v="0921-12 3555"/>
    <s v="Berguvsvgen  8"/>
    <s v="Lule"/>
    <s v="S-958 22"/>
    <s v="Sweden"/>
    <s v="Berglund"/>
    <s v="Christina"/>
    <s v="Medium"/>
    <x v="1012"/>
  </r>
  <r>
    <n v="10334"/>
    <n v="34"/>
    <n v="61.38"/>
    <n v="1"/>
    <n v="2086.92"/>
    <d v="2019-11-19T00:00:00"/>
    <s v="On Hold"/>
    <s v="Trucks and Buses"/>
    <n v="60"/>
    <s v="S18_2432"/>
    <x v="11"/>
    <s v="0921-12 3555"/>
    <s v="Berguvsvgen  8"/>
    <s v="Lule"/>
    <s v="S-958 22"/>
    <s v="Sweden"/>
    <s v="Berglund"/>
    <s v="Christina"/>
    <s v="Small"/>
    <x v="868"/>
  </r>
  <r>
    <n v="10334"/>
    <n v="20"/>
    <n v="143.94"/>
    <n v="3"/>
    <n v="2878.8"/>
    <d v="2019-11-19T00:00:00"/>
    <s v="On Hold"/>
    <s v="Classic Cars"/>
    <n v="169"/>
    <s v="S18_3232"/>
    <x v="11"/>
    <s v="0921-12 3555"/>
    <s v="Berguvsvgen  8"/>
    <s v="Lule"/>
    <s v="S-958 22"/>
    <s v="Sweden"/>
    <s v="Berglund"/>
    <s v="Christina"/>
    <s v="Small"/>
    <x v="1502"/>
  </r>
  <r>
    <n v="10334"/>
    <n v="49"/>
    <n v="138.03"/>
    <n v="4"/>
    <n v="6763.47"/>
    <d v="2019-11-19T00:00:00"/>
    <s v="On Hold"/>
    <s v="Trucks and Buses"/>
    <n v="121"/>
    <s v="S18_4600"/>
    <x v="11"/>
    <s v="0921-12 3555"/>
    <s v="Berguvsvgen  8"/>
    <s v="Lule"/>
    <s v="S-958 22"/>
    <s v="Sweden"/>
    <s v="Berglund"/>
    <s v="Christina"/>
    <s v="Medium"/>
    <x v="1016"/>
  </r>
  <r>
    <n v="10334"/>
    <n v="42"/>
    <n v="131.62"/>
    <n v="5"/>
    <n v="5528.04"/>
    <d v="2019-11-19T00:00:00"/>
    <s v="On Hold"/>
    <s v="Trucks and Buses"/>
    <n v="127"/>
    <s v="S24_2300"/>
    <x v="11"/>
    <s v="0921-12 3555"/>
    <s v="Berguvsvgen  8"/>
    <s v="Lule"/>
    <s v="S-958 22"/>
    <s v="Sweden"/>
    <s v="Berglund"/>
    <s v="Christina"/>
    <s v="Medium"/>
    <x v="1389"/>
  </r>
  <r>
    <n v="10335"/>
    <n v="33"/>
    <n v="37.130000000000003"/>
    <n v="2"/>
    <n v="1225.29"/>
    <d v="2019-11-19T00:00:00"/>
    <s v="Shipped"/>
    <s v="Classic Cars"/>
    <n v="35"/>
    <s v="S24_2840"/>
    <x v="12"/>
    <s v="4155551450"/>
    <s v="5677 Strong St."/>
    <s v="San Rafael"/>
    <s v="97562"/>
    <s v="USA"/>
    <s v="Nelson"/>
    <s v="Valarie"/>
    <s v="Small"/>
    <x v="1503"/>
  </r>
  <r>
    <n v="10335"/>
    <n v="44"/>
    <n v="107.87"/>
    <n v="1"/>
    <n v="4746.28"/>
    <d v="2019-11-19T00:00:00"/>
    <s v="Shipped"/>
    <s v="Trucks and Buses"/>
    <n v="96"/>
    <s v="S32_1268"/>
    <x v="12"/>
    <s v="4155551450"/>
    <s v="5677 Strong St."/>
    <s v="San Rafael"/>
    <s v="97562"/>
    <s v="USA"/>
    <s v="Nelson"/>
    <s v="Valarie"/>
    <s v="Medium"/>
    <x v="1504"/>
  </r>
  <r>
    <n v="10335"/>
    <n v="40"/>
    <n v="60.6"/>
    <n v="3"/>
    <n v="2424"/>
    <d v="2019-11-19T00:00:00"/>
    <s v="Shipped"/>
    <s v="Trucks and Buses"/>
    <n v="54"/>
    <s v="S32_2509"/>
    <x v="12"/>
    <s v="4155551450"/>
    <s v="5677 Strong St."/>
    <s v="San Rafael"/>
    <s v="97562"/>
    <s v="USA"/>
    <s v="Nelson"/>
    <s v="Valarie"/>
    <s v="Small"/>
    <x v="110"/>
  </r>
  <r>
    <n v="10336"/>
    <n v="33"/>
    <n v="57.22"/>
    <n v="10"/>
    <n v="1888.26"/>
    <d v="2019-11-20T00:00:00"/>
    <s v="Shipped"/>
    <s v="Classic Cars"/>
    <n v="207"/>
    <s v="S12_1108"/>
    <x v="13"/>
    <s v="(1) 42.34.2555"/>
    <s v="265, boulevard Charonne"/>
    <s v="Paris"/>
    <s v="75012"/>
    <s v="France"/>
    <s v="Bertrand"/>
    <s v="Marie"/>
    <s v="Small"/>
    <x v="1505"/>
  </r>
  <r>
    <n v="10336"/>
    <n v="33"/>
    <n v="123.01"/>
    <n v="11"/>
    <n v="4059.33"/>
    <d v="2019-11-20T00:00:00"/>
    <s v="Shipped"/>
    <s v="Classic Cars"/>
    <n v="151"/>
    <s v="S12_3148"/>
    <x v="13"/>
    <s v="(1) 42.34.2555"/>
    <s v="265, boulevard Charonne"/>
    <s v="Paris"/>
    <s v="75012"/>
    <s v="France"/>
    <s v="Bertrand"/>
    <s v="Marie"/>
    <s v="Medium"/>
    <x v="1506"/>
  </r>
  <r>
    <n v="10336"/>
    <n v="49"/>
    <n v="63.38"/>
    <n v="1"/>
    <n v="3105.62"/>
    <d v="2019-11-20T00:00:00"/>
    <s v="Shipped"/>
    <s v="Classic Cars"/>
    <n v="173"/>
    <s v="S12_3891"/>
    <x v="13"/>
    <s v="(1) 42.34.2555"/>
    <s v="265, boulevard Charonne"/>
    <s v="Paris"/>
    <s v="75012"/>
    <s v="France"/>
    <s v="Bertrand"/>
    <s v="Marie"/>
    <s v="Medium"/>
    <x v="1507"/>
  </r>
  <r>
    <n v="10336"/>
    <n v="38"/>
    <n v="167.7"/>
    <n v="3"/>
    <n v="6372.6"/>
    <d v="2019-11-20T00:00:00"/>
    <s v="Shipped"/>
    <s v="Trucks and Buses"/>
    <n v="118"/>
    <s v="S12_4473"/>
    <x v="13"/>
    <s v="(1) 42.34.2555"/>
    <s v="265, boulevard Charonne"/>
    <s v="Paris"/>
    <s v="75012"/>
    <s v="France"/>
    <s v="Bertrand"/>
    <s v="Marie"/>
    <s v="Medium"/>
    <x v="840"/>
  </r>
  <r>
    <n v="10336"/>
    <n v="49"/>
    <n v="152.26"/>
    <n v="6"/>
    <n v="7460.74"/>
    <d v="2019-11-20T00:00:00"/>
    <s v="Shipped"/>
    <s v="Classic Cars"/>
    <n v="163"/>
    <s v="S18_2238"/>
    <x v="13"/>
    <s v="(1) 42.34.2555"/>
    <s v="265, boulevard Charonne"/>
    <s v="Paris"/>
    <s v="75012"/>
    <s v="France"/>
    <s v="Bertrand"/>
    <s v="Marie"/>
    <s v="Large"/>
    <x v="166"/>
  </r>
  <r>
    <n v="10336"/>
    <n v="48"/>
    <n v="120.38"/>
    <n v="12"/>
    <n v="5778.24"/>
    <d v="2019-11-20T00:00:00"/>
    <s v="Shipped"/>
    <s v="Vintage Cars"/>
    <n v="136"/>
    <s v="S18_3140"/>
    <x v="13"/>
    <s v="(1) 42.34.2555"/>
    <s v="265, boulevard Charonne"/>
    <s v="Paris"/>
    <s v="75012"/>
    <s v="France"/>
    <s v="Bertrand"/>
    <s v="Marie"/>
    <s v="Medium"/>
    <x v="1508"/>
  </r>
  <r>
    <n v="10336"/>
    <n v="21"/>
    <n v="106.21"/>
    <n v="7"/>
    <n v="2230.41"/>
    <d v="2019-11-20T00:00:00"/>
    <s v="Shipped"/>
    <s v="Trains"/>
    <n v="100"/>
    <s v="S18_3259"/>
    <x v="13"/>
    <s v="(1) 42.34.2555"/>
    <s v="265, boulevard Charonne"/>
    <s v="Paris"/>
    <s v="75012"/>
    <s v="France"/>
    <s v="Bertrand"/>
    <s v="Marie"/>
    <s v="Small"/>
    <x v="1328"/>
  </r>
  <r>
    <n v="10336"/>
    <n v="45"/>
    <n v="132.72"/>
    <n v="4"/>
    <n v="5972.4"/>
    <d v="2019-11-20T00:00:00"/>
    <s v="Shipped"/>
    <s v="Classic Cars"/>
    <n v="57"/>
    <s v="S24_1444"/>
    <x v="13"/>
    <s v="(1) 42.34.2555"/>
    <s v="265, boulevard Charonne"/>
    <s v="Paris"/>
    <s v="75012"/>
    <s v="France"/>
    <s v="Bertrand"/>
    <s v="Marie"/>
    <s v="Medium"/>
    <x v="74"/>
  </r>
  <r>
    <n v="10336"/>
    <n v="31"/>
    <n v="148.99"/>
    <n v="5"/>
    <n v="4618.6899999999996"/>
    <d v="2019-11-20T00:00:00"/>
    <s v="Shipped"/>
    <s v="Classic Cars"/>
    <n v="118"/>
    <s v="S24_4048"/>
    <x v="13"/>
    <s v="(1) 42.34.2555"/>
    <s v="265, boulevard Charonne"/>
    <s v="Paris"/>
    <s v="75012"/>
    <s v="France"/>
    <s v="Bertrand"/>
    <s v="Marie"/>
    <s v="Medium"/>
    <x v="1509"/>
  </r>
  <r>
    <n v="10336"/>
    <n v="31"/>
    <n v="84.71"/>
    <n v="9"/>
    <n v="2626.01"/>
    <d v="2019-11-20T00:00:00"/>
    <s v="Shipped"/>
    <s v="Trains"/>
    <n v="62"/>
    <s v="S32_3207"/>
    <x v="13"/>
    <s v="(1) 42.34.2555"/>
    <s v="265, boulevard Charonne"/>
    <s v="Paris"/>
    <s v="75012"/>
    <s v="France"/>
    <s v="Bertrand"/>
    <s v="Marie"/>
    <s v="Small"/>
    <x v="1404"/>
  </r>
  <r>
    <n v="10336"/>
    <n v="23"/>
    <n v="136.59"/>
    <n v="8"/>
    <n v="3141.57"/>
    <d v="2019-11-20T00:00:00"/>
    <s v="Shipped"/>
    <s v="Trucks and Buses"/>
    <n v="115"/>
    <s v="S50_1392"/>
    <x v="13"/>
    <s v="(1) 42.34.2555"/>
    <s v="265, boulevard Charonne"/>
    <s v="Paris"/>
    <s v="75012"/>
    <s v="France"/>
    <s v="Bertrand"/>
    <s v="Marie"/>
    <s v="Medium"/>
    <x v="1510"/>
  </r>
  <r>
    <n v="10336"/>
    <n v="46"/>
    <n v="207.8"/>
    <n v="2"/>
    <n v="9558.7999999999993"/>
    <d v="2019-11-20T00:00:00"/>
    <s v="Shipped"/>
    <s v="Classic Cars"/>
    <n v="101"/>
    <s v="S700_2824"/>
    <x v="13"/>
    <s v="(1) 42.34.2555"/>
    <s v="265, boulevard Charonne"/>
    <s v="Paris"/>
    <s v="75012"/>
    <s v="France"/>
    <s v="Bertrand"/>
    <s v="Marie"/>
    <s v="Large"/>
    <x v="372"/>
  </r>
  <r>
    <n v="10337"/>
    <n v="25"/>
    <n v="48.05"/>
    <n v="8"/>
    <n v="1201.25"/>
    <d v="2019-11-21T00:00:00"/>
    <s v="Shipped"/>
    <s v="Classic Cars"/>
    <n v="136"/>
    <s v="S10_4757"/>
    <x v="14"/>
    <s v="2125558493"/>
    <s v="5905 Pompton St."/>
    <s v="NYC"/>
    <s v="10022"/>
    <s v="USA"/>
    <s v="Hernandez"/>
    <s v="Maria"/>
    <s v="Small"/>
    <x v="1511"/>
  </r>
  <r>
    <n v="10337"/>
    <n v="36"/>
    <n v="157.76"/>
    <n v="3"/>
    <n v="5679.36"/>
    <d v="2019-11-21T00:00:00"/>
    <s v="Shipped"/>
    <s v="Classic Cars"/>
    <n v="143"/>
    <s v="S18_4027"/>
    <x v="14"/>
    <s v="2125558493"/>
    <s v="5905 Pompton St."/>
    <s v="NYC"/>
    <s v="10022"/>
    <s v="USA"/>
    <s v="Hernandez"/>
    <s v="Maria"/>
    <s v="Medium"/>
    <x v="1512"/>
  </r>
  <r>
    <n v="10337"/>
    <n v="29"/>
    <n v="155.11000000000001"/>
    <n v="2"/>
    <n v="4498.1899999999996"/>
    <d v="2019-11-21T00:00:00"/>
    <s v="Shipped"/>
    <s v="Vintage Cars"/>
    <n v="87"/>
    <s v="S18_4522"/>
    <x v="14"/>
    <s v="2125558493"/>
    <s v="5905 Pompton St."/>
    <s v="NYC"/>
    <s v="10022"/>
    <s v="USA"/>
    <s v="Hernandez"/>
    <s v="Maria"/>
    <s v="Medium"/>
    <x v="1513"/>
  </r>
  <r>
    <n v="10337"/>
    <n v="29"/>
    <n v="71.97"/>
    <n v="4"/>
    <n v="2087.13"/>
    <d v="2019-11-21T00:00:00"/>
    <s v="Shipped"/>
    <s v="Ships"/>
    <n v="122"/>
    <s v="S24_2011"/>
    <x v="14"/>
    <s v="2125558493"/>
    <s v="5905 Pompton St."/>
    <s v="NYC"/>
    <s v="10022"/>
    <s v="USA"/>
    <s v="Hernandez"/>
    <s v="Maria"/>
    <s v="Small"/>
    <x v="1514"/>
  </r>
  <r>
    <n v="10337"/>
    <n v="21"/>
    <n v="109.37"/>
    <n v="6"/>
    <n v="2296.77"/>
    <d v="2019-11-21T00:00:00"/>
    <s v="Shipped"/>
    <s v="Trains"/>
    <n v="58"/>
    <s v="S50_1514"/>
    <x v="14"/>
    <s v="2125558493"/>
    <s v="5905 Pompton St."/>
    <s v="NYC"/>
    <s v="10022"/>
    <s v="USA"/>
    <s v="Hernandez"/>
    <s v="Maria"/>
    <s v="Small"/>
    <x v="1515"/>
  </r>
  <r>
    <n v="10337"/>
    <n v="36"/>
    <n v="70.3"/>
    <n v="9"/>
    <n v="2530.8000000000002"/>
    <d v="2019-11-21T00:00:00"/>
    <s v="Shipped"/>
    <s v="Ships"/>
    <n v="86"/>
    <s v="S700_1938"/>
    <x v="14"/>
    <s v="2125558493"/>
    <s v="5905 Pompton St."/>
    <s v="NYC"/>
    <s v="10022"/>
    <s v="USA"/>
    <s v="Hernandez"/>
    <s v="Maria"/>
    <s v="Small"/>
    <x v="1516"/>
  </r>
  <r>
    <n v="10337"/>
    <n v="31"/>
    <n v="89.38"/>
    <n v="1"/>
    <n v="2770.78"/>
    <d v="2019-11-21T00:00:00"/>
    <s v="Shipped"/>
    <s v="Ships"/>
    <n v="100"/>
    <s v="S700_3505"/>
    <x v="14"/>
    <s v="2125558493"/>
    <s v="5905 Pompton St."/>
    <s v="NYC"/>
    <s v="10022"/>
    <s v="USA"/>
    <s v="Hernandez"/>
    <s v="Maria"/>
    <s v="Small"/>
    <x v="634"/>
  </r>
  <r>
    <n v="10337"/>
    <n v="36"/>
    <n v="71.89"/>
    <n v="7"/>
    <n v="2588.04"/>
    <d v="2019-11-21T00:00:00"/>
    <s v="Shipped"/>
    <s v="Ships"/>
    <n v="99"/>
    <s v="S700_3962"/>
    <x v="14"/>
    <s v="2125558493"/>
    <s v="5905 Pompton St."/>
    <s v="NYC"/>
    <s v="10022"/>
    <s v="USA"/>
    <s v="Hernandez"/>
    <s v="Maria"/>
    <s v="Small"/>
    <x v="828"/>
  </r>
  <r>
    <n v="10337"/>
    <n v="42"/>
    <n v="97.16"/>
    <n v="5"/>
    <n v="4080.72"/>
    <d v="2019-11-21T00:00:00"/>
    <s v="Shipped"/>
    <s v="Ships"/>
    <n v="54"/>
    <s v="S72_3212"/>
    <x v="14"/>
    <s v="2125558493"/>
    <s v="5905 Pompton St."/>
    <s v="NYC"/>
    <s v="10022"/>
    <s v="USA"/>
    <s v="Hernandez"/>
    <s v="Maria"/>
    <s v="Medium"/>
    <x v="1517"/>
  </r>
  <r>
    <n v="10338"/>
    <n v="41"/>
    <n v="137.19"/>
    <n v="1"/>
    <n v="5624.79"/>
    <d v="2019-11-22T00:00:00"/>
    <s v="Shipped"/>
    <s v="Planes"/>
    <n v="157"/>
    <s v="S18_1662"/>
    <x v="15"/>
    <s v="(071) 23 67 2555"/>
    <s v="Boulevard Tirou, 255"/>
    <s v="Charleroi"/>
    <s v="B-6000"/>
    <s v="Belgium"/>
    <s v="Cartrain"/>
    <s v="Pascale"/>
    <s v="Medium"/>
    <x v="1518"/>
  </r>
  <r>
    <n v="10338"/>
    <n v="28"/>
    <n v="82.58"/>
    <n v="3"/>
    <n v="2312.2399999999998"/>
    <d v="2019-11-22T00:00:00"/>
    <s v="Shipped"/>
    <s v="Ships"/>
    <n v="86"/>
    <s v="S18_3029"/>
    <x v="15"/>
    <s v="(071) 23 67 2555"/>
    <s v="Boulevard Tirou, 255"/>
    <s v="Charleroi"/>
    <s v="B-6000"/>
    <s v="Belgium"/>
    <s v="Cartrain"/>
    <s v="Pascale"/>
    <s v="Small"/>
    <x v="1519"/>
  </r>
  <r>
    <n v="10338"/>
    <n v="45"/>
    <n v="122.81"/>
    <n v="2"/>
    <n v="5526.45"/>
    <d v="2019-11-22T00:00:00"/>
    <s v="Shipped"/>
    <s v="Vintage Cars"/>
    <n v="105"/>
    <s v="S18_3856"/>
    <x v="15"/>
    <s v="(071) 23 67 2555"/>
    <s v="Boulevard Tirou, 255"/>
    <s v="Charleroi"/>
    <s v="B-6000"/>
    <s v="Belgium"/>
    <s v="Cartrain"/>
    <s v="Pascale"/>
    <s v="Medium"/>
    <x v="1520"/>
  </r>
  <r>
    <n v="10339"/>
    <n v="40"/>
    <n v="68.92"/>
    <n v="4"/>
    <n v="2756.8"/>
    <d v="2019-11-23T00:00:00"/>
    <s v="Shipped"/>
    <s v="Motorcycles"/>
    <n v="118"/>
    <s v="S10_2016"/>
    <x v="81"/>
    <s v="+81 3 3584 0555"/>
    <s v="2-2-8 Roppongi"/>
    <s v="Minato-ku"/>
    <s v="106-0032"/>
    <s v="Japan"/>
    <s v="Shimamura"/>
    <s v="Akiko"/>
    <s v="Small"/>
    <x v="1308"/>
  </r>
  <r>
    <n v="10339"/>
    <n v="39"/>
    <n v="76.67"/>
    <n v="3"/>
    <n v="2990.13"/>
    <d v="2019-11-23T00:00:00"/>
    <s v="Shipped"/>
    <s v="Motorcycles"/>
    <n v="193"/>
    <s v="S10_4698"/>
    <x v="81"/>
    <s v="+81 3 3584 0555"/>
    <s v="2-2-8 Roppongi"/>
    <s v="Minato-ku"/>
    <s v="106-0032"/>
    <s v="Japan"/>
    <s v="Shimamura"/>
    <s v="Akiko"/>
    <s v="Small"/>
    <x v="1521"/>
  </r>
  <r>
    <n v="10339"/>
    <n v="27"/>
    <n v="104.1"/>
    <n v="2"/>
    <n v="2810.7"/>
    <d v="2019-11-23T00:00:00"/>
    <s v="Shipped"/>
    <s v="Planes"/>
    <n v="84"/>
    <s v="S18_2581"/>
    <x v="81"/>
    <s v="+81 3 3584 0555"/>
    <s v="2-2-8 Roppongi"/>
    <s v="Minato-ku"/>
    <s v="106-0032"/>
    <s v="Japan"/>
    <s v="Shimamura"/>
    <s v="Akiko"/>
    <s v="Small"/>
    <x v="1522"/>
  </r>
  <r>
    <n v="10339"/>
    <n v="30"/>
    <n v="62.16"/>
    <n v="1"/>
    <n v="1864.8"/>
    <d v="2019-11-23T00:00:00"/>
    <s v="Shipped"/>
    <s v="Motorcycles"/>
    <n v="60"/>
    <s v="S18_2625"/>
    <x v="81"/>
    <s v="+81 3 3584 0555"/>
    <s v="2-2-8 Roppongi"/>
    <s v="Minato-ku"/>
    <s v="106-0032"/>
    <s v="Japan"/>
    <s v="Shimamura"/>
    <s v="Akiko"/>
    <s v="Small"/>
    <x v="791"/>
  </r>
  <r>
    <n v="10339"/>
    <n v="27"/>
    <n v="84.39"/>
    <n v="10"/>
    <n v="2278.5300000000002"/>
    <d v="2019-11-23T00:00:00"/>
    <s v="Shipped"/>
    <s v="Motorcycles"/>
    <n v="112"/>
    <s v="S24_1578"/>
    <x v="81"/>
    <s v="+81 3 3584 0555"/>
    <s v="2-2-8 Roppongi"/>
    <s v="Minato-ku"/>
    <s v="106-0032"/>
    <s v="Japan"/>
    <s v="Shimamura"/>
    <s v="Akiko"/>
    <s v="Small"/>
    <x v="1523"/>
  </r>
  <r>
    <n v="10339"/>
    <n v="21"/>
    <n v="50.65"/>
    <n v="7"/>
    <n v="1063.6500000000001"/>
    <d v="2019-11-23T00:00:00"/>
    <s v="Shipped"/>
    <s v="Planes"/>
    <n v="109"/>
    <s v="S24_1785"/>
    <x v="81"/>
    <s v="+81 3 3584 0555"/>
    <s v="2-2-8 Roppongi"/>
    <s v="Minato-ku"/>
    <s v="106-0032"/>
    <s v="Japan"/>
    <s v="Shimamura"/>
    <s v="Akiko"/>
    <s v="Small"/>
    <x v="1279"/>
  </r>
  <r>
    <n v="10339"/>
    <n v="55"/>
    <n v="112.99"/>
    <n v="12"/>
    <n v="6214.45"/>
    <d v="2019-11-23T00:00:00"/>
    <s v="Shipped"/>
    <s v="Planes"/>
    <n v="68"/>
    <s v="S24_2841"/>
    <x v="81"/>
    <s v="+81 3 3584 0555"/>
    <s v="2-2-8 Roppongi"/>
    <s v="Minato-ku"/>
    <s v="106-0032"/>
    <s v="Japan"/>
    <s v="Shimamura"/>
    <s v="Akiko"/>
    <s v="Medium"/>
    <x v="1524"/>
  </r>
  <r>
    <n v="10339"/>
    <n v="55"/>
    <n v="195.6"/>
    <n v="13"/>
    <n v="10758"/>
    <d v="2019-11-23T00:00:00"/>
    <s v="Shipped"/>
    <s v="Vintage Cars"/>
    <n v="88"/>
    <s v="S24_3151"/>
    <x v="81"/>
    <s v="+81 3 3584 0555"/>
    <s v="2-2-8 Roppongi"/>
    <s v="Minato-ku"/>
    <s v="106-0032"/>
    <s v="Japan"/>
    <s v="Shimamura"/>
    <s v="Akiko"/>
    <s v="Large"/>
    <x v="1525"/>
  </r>
  <r>
    <n v="10339"/>
    <n v="29"/>
    <n v="99.69"/>
    <n v="14"/>
    <n v="2891.01"/>
    <d v="2019-11-23T00:00:00"/>
    <s v="Shipped"/>
    <s v="Vintage Cars"/>
    <n v="65"/>
    <s v="S24_3420"/>
    <x v="81"/>
    <s v="+81 3 3584 0555"/>
    <s v="2-2-8 Roppongi"/>
    <s v="Minato-ku"/>
    <s v="106-0032"/>
    <s v="Japan"/>
    <s v="Shimamura"/>
    <s v="Akiko"/>
    <s v="Small"/>
    <x v="1526"/>
  </r>
  <r>
    <n v="10339"/>
    <n v="42"/>
    <n v="59.36"/>
    <n v="16"/>
    <n v="2493.12"/>
    <d v="2019-11-23T00:00:00"/>
    <s v="Shipped"/>
    <s v="Vintage Cars"/>
    <n v="83"/>
    <s v="S24_3816"/>
    <x v="81"/>
    <s v="+81 3 3584 0555"/>
    <s v="2-2-8 Roppongi"/>
    <s v="Minato-ku"/>
    <s v="106-0032"/>
    <s v="Japan"/>
    <s v="Shimamura"/>
    <s v="Akiko"/>
    <s v="Small"/>
    <x v="1527"/>
  </r>
  <r>
    <n v="10339"/>
    <n v="45"/>
    <n v="96.92"/>
    <n v="11"/>
    <n v="4361.3999999999996"/>
    <d v="2019-11-23T00:00:00"/>
    <s v="Shipped"/>
    <s v="Planes"/>
    <n v="68"/>
    <s v="S24_3949"/>
    <x v="81"/>
    <s v="+81 3 3584 0555"/>
    <s v="2-2-8 Roppongi"/>
    <s v="Minato-ku"/>
    <s v="106-0032"/>
    <s v="Japan"/>
    <s v="Shimamura"/>
    <s v="Akiko"/>
    <s v="Medium"/>
    <x v="1528"/>
  </r>
  <r>
    <n v="10339"/>
    <n v="22"/>
    <n v="128.02000000000001"/>
    <n v="5"/>
    <n v="2816.44"/>
    <d v="2019-11-23T00:00:00"/>
    <s v="Shipped"/>
    <s v="Ships"/>
    <n v="66"/>
    <s v="S700_1138"/>
    <x v="81"/>
    <s v="+81 3 3584 0555"/>
    <s v="2-2-8 Roppongi"/>
    <s v="Minato-ku"/>
    <s v="106-0032"/>
    <s v="Japan"/>
    <s v="Shimamura"/>
    <s v="Akiko"/>
    <s v="Small"/>
    <x v="1529"/>
  </r>
  <r>
    <n v="10339"/>
    <n v="55"/>
    <n v="71.25"/>
    <n v="15"/>
    <n v="3918.75"/>
    <d v="2019-11-23T00:00:00"/>
    <s v="Shipped"/>
    <s v="Ships"/>
    <n v="90"/>
    <s v="S700_2047"/>
    <x v="81"/>
    <s v="+81 3 3584 0555"/>
    <s v="2-2-8 Roppongi"/>
    <s v="Minato-ku"/>
    <s v="106-0032"/>
    <s v="Japan"/>
    <s v="Shimamura"/>
    <s v="Akiko"/>
    <s v="Medium"/>
    <x v="1530"/>
  </r>
  <r>
    <n v="10339"/>
    <n v="50"/>
    <n v="74.349999999999994"/>
    <n v="9"/>
    <n v="3717.5"/>
    <d v="2019-11-23T00:00:00"/>
    <s v="Shipped"/>
    <s v="Ships"/>
    <n v="72"/>
    <s v="S700_2610"/>
    <x v="81"/>
    <s v="+81 3 3584 0555"/>
    <s v="2-2-8 Roppongi"/>
    <s v="Minato-ku"/>
    <s v="106-0032"/>
    <s v="Japan"/>
    <s v="Shimamura"/>
    <s v="Akiko"/>
    <s v="Medium"/>
    <x v="695"/>
  </r>
  <r>
    <n v="10339"/>
    <n v="50"/>
    <n v="57.86"/>
    <n v="8"/>
    <n v="2893"/>
    <d v="2019-11-23T00:00:00"/>
    <s v="Shipped"/>
    <s v="Planes"/>
    <n v="74"/>
    <s v="S700_4002"/>
    <x v="81"/>
    <s v="+81 3 3584 0555"/>
    <s v="2-2-8 Roppongi"/>
    <s v="Minato-ku"/>
    <s v="106-0032"/>
    <s v="Japan"/>
    <s v="Shimamura"/>
    <s v="Akiko"/>
    <s v="Small"/>
    <x v="697"/>
  </r>
  <r>
    <n v="10339"/>
    <n v="27"/>
    <n v="76.31"/>
    <n v="6"/>
    <n v="2060.37"/>
    <d v="2019-11-23T00:00:00"/>
    <s v="Shipped"/>
    <s v="Planes"/>
    <n v="49"/>
    <s v="S72_1253"/>
    <x v="81"/>
    <s v="+81 3 3584 0555"/>
    <s v="2-2-8 Roppongi"/>
    <s v="Minato-ku"/>
    <s v="106-0032"/>
    <s v="Japan"/>
    <s v="Shimamura"/>
    <s v="Akiko"/>
    <s v="Small"/>
    <x v="1087"/>
  </r>
  <r>
    <n v="10341"/>
    <n v="41"/>
    <n v="188.73"/>
    <n v="9"/>
    <n v="7737.93"/>
    <d v="2019-11-24T00:00:00"/>
    <s v="Shipped"/>
    <s v="Motorcycles"/>
    <n v="95"/>
    <s v="S10_1678"/>
    <x v="18"/>
    <s v="6562-9555"/>
    <s v="Geislweg 14"/>
    <s v="Salzburg"/>
    <s v="5020"/>
    <s v="Austria"/>
    <s v="Pipps"/>
    <s v="Georg"/>
    <s v="Large"/>
    <x v="1531"/>
  </r>
  <r>
    <n v="10341"/>
    <n v="45"/>
    <n v="79.650000000000006"/>
    <n v="2"/>
    <n v="3584.25"/>
    <d v="2019-11-24T00:00:00"/>
    <s v="Shipped"/>
    <s v="Classic Cars"/>
    <n v="194"/>
    <s v="S12_1099"/>
    <x v="18"/>
    <s v="6562-9555"/>
    <s v="Geislweg 14"/>
    <s v="Salzburg"/>
    <s v="5020"/>
    <s v="Austria"/>
    <s v="Pipps"/>
    <s v="Georg"/>
    <s v="Medium"/>
    <x v="1532"/>
  </r>
  <r>
    <n v="10341"/>
    <n v="55"/>
    <n v="147.61000000000001"/>
    <n v="8"/>
    <n v="8118.55"/>
    <d v="2019-11-24T00:00:00"/>
    <s v="Shipped"/>
    <s v="Motorcycles"/>
    <n v="150"/>
    <s v="S12_2823"/>
    <x v="18"/>
    <s v="6562-9555"/>
    <s v="Geislweg 14"/>
    <s v="Salzburg"/>
    <s v="5020"/>
    <s v="Austria"/>
    <s v="Pipps"/>
    <s v="Georg"/>
    <s v="Large"/>
    <x v="1533"/>
  </r>
  <r>
    <n v="10341"/>
    <n v="44"/>
    <n v="95.93"/>
    <n v="1"/>
    <n v="4220.92"/>
    <d v="2019-11-24T00:00:00"/>
    <s v="Shipped"/>
    <s v="Classic Cars"/>
    <n v="117"/>
    <s v="S12_3380"/>
    <x v="18"/>
    <s v="6562-9555"/>
    <s v="Geislweg 14"/>
    <s v="Salzburg"/>
    <s v="5020"/>
    <s v="Austria"/>
    <s v="Pipps"/>
    <s v="Georg"/>
    <s v="Medium"/>
    <x v="950"/>
  </r>
  <r>
    <n v="10341"/>
    <n v="36"/>
    <n v="93.56"/>
    <n v="10"/>
    <n v="3368.16"/>
    <d v="2019-11-24T00:00:00"/>
    <s v="Shipped"/>
    <s v="Classic Cars"/>
    <n v="79"/>
    <s v="S12_3990"/>
    <x v="18"/>
    <s v="6562-9555"/>
    <s v="Geislweg 14"/>
    <s v="Salzburg"/>
    <s v="5020"/>
    <s v="Austria"/>
    <s v="Pipps"/>
    <s v="Georg"/>
    <s v="Medium"/>
    <x v="1534"/>
  </r>
  <r>
    <n v="10341"/>
    <n v="55"/>
    <n v="75.2"/>
    <n v="7"/>
    <n v="4136"/>
    <d v="2019-11-24T00:00:00"/>
    <s v="Shipped"/>
    <s v="Classic Cars"/>
    <n v="115"/>
    <s v="S12_4675"/>
    <x v="18"/>
    <s v="6562-9555"/>
    <s v="Geislweg 14"/>
    <s v="Salzburg"/>
    <s v="5020"/>
    <s v="Austria"/>
    <s v="Pipps"/>
    <s v="Georg"/>
    <s v="Medium"/>
    <x v="1535"/>
  </r>
  <r>
    <n v="10342"/>
    <n v="40"/>
    <n v="161.36000000000001"/>
    <n v="2"/>
    <n v="6454.4"/>
    <d v="2019-11-24T00:00:00"/>
    <s v="Shipped"/>
    <s v="Classic Cars"/>
    <n v="141"/>
    <s v="S18_1129"/>
    <x v="19"/>
    <s v="03 9520 4555"/>
    <s v="636 St Kilda Road"/>
    <s v="Melbourne"/>
    <s v="3004"/>
    <s v="Australia"/>
    <s v="Ferguson"/>
    <s v="Peter"/>
    <s v="Medium"/>
    <x v="1536"/>
  </r>
  <r>
    <n v="10343"/>
    <n v="36"/>
    <n v="162.47"/>
    <n v="4"/>
    <n v="5848.92"/>
    <d v="2019-11-24T00:00:00"/>
    <s v="Shipped"/>
    <s v="Classic Cars"/>
    <n v="124"/>
    <s v="S18_1589"/>
    <x v="20"/>
    <s v="26.47.1555"/>
    <s v="59 rue de l'Abbaye"/>
    <s v="Reims"/>
    <s v="51100"/>
    <s v="France"/>
    <s v="Henriot"/>
    <s v="Paul"/>
    <s v="Medium"/>
    <x v="1537"/>
  </r>
  <r>
    <n v="10342"/>
    <n v="55"/>
    <n v="65.45"/>
    <n v="1"/>
    <n v="3599.75"/>
    <d v="2019-11-24T00:00:00"/>
    <s v="Shipped"/>
    <s v="Classic Cars"/>
    <n v="77"/>
    <s v="S18_1889"/>
    <x v="19"/>
    <s v="03 9520 4555"/>
    <s v="636 St Kilda Road"/>
    <s v="Melbourne"/>
    <s v="3004"/>
    <s v="Australia"/>
    <s v="Ferguson"/>
    <s v="Peter"/>
    <s v="Medium"/>
    <x v="1538"/>
  </r>
  <r>
    <n v="10342"/>
    <n v="22"/>
    <n v="143.66999999999999"/>
    <n v="3"/>
    <n v="3160.74"/>
    <d v="2019-11-24T00:00:00"/>
    <s v="Shipped"/>
    <s v="Classic Cars"/>
    <n v="142"/>
    <s v="S18_1984"/>
    <x v="19"/>
    <s v="03 9520 4555"/>
    <s v="636 St Kilda Road"/>
    <s v="Melbourne"/>
    <s v="3004"/>
    <s v="Australia"/>
    <s v="Ferguson"/>
    <s v="Peter"/>
    <s v="Medium"/>
    <x v="955"/>
  </r>
  <r>
    <n v="10343"/>
    <n v="25"/>
    <n v="52.32"/>
    <n v="3"/>
    <n v="1308"/>
    <d v="2019-11-24T00:00:00"/>
    <s v="Shipped"/>
    <s v="Classic Cars"/>
    <n v="132"/>
    <s v="S18_2870"/>
    <x v="20"/>
    <s v="26.47.1555"/>
    <s v="59 rue de l'Abbaye"/>
    <s v="Reims"/>
    <s v="51100"/>
    <s v="France"/>
    <s v="Henriot"/>
    <s v="Paul"/>
    <s v="Small"/>
    <x v="561"/>
  </r>
  <r>
    <n v="10342"/>
    <n v="30"/>
    <n v="167.65"/>
    <n v="4"/>
    <n v="5029.5"/>
    <d v="2019-11-24T00:00:00"/>
    <s v="Shipped"/>
    <s v="Classic Cars"/>
    <n v="169"/>
    <s v="S18_3232"/>
    <x v="19"/>
    <s v="03 9520 4555"/>
    <s v="636 St Kilda Road"/>
    <s v="Melbourne"/>
    <s v="3004"/>
    <s v="Australia"/>
    <s v="Ferguson"/>
    <s v="Peter"/>
    <s v="Medium"/>
    <x v="27"/>
  </r>
  <r>
    <n v="10342"/>
    <n v="25"/>
    <n v="66.739999999999995"/>
    <n v="5"/>
    <n v="1668.5"/>
    <d v="2019-11-24T00:00:00"/>
    <s v="Shipped"/>
    <s v="Classic Cars"/>
    <n v="80"/>
    <s v="S18_3278"/>
    <x v="19"/>
    <s v="03 9520 4555"/>
    <s v="636 St Kilda Road"/>
    <s v="Melbourne"/>
    <s v="3004"/>
    <s v="Australia"/>
    <s v="Ferguson"/>
    <s v="Peter"/>
    <s v="Small"/>
    <x v="1539"/>
  </r>
  <r>
    <n v="10342"/>
    <n v="55"/>
    <n v="119.06"/>
    <n v="7"/>
    <n v="6548.3"/>
    <d v="2019-11-24T00:00:00"/>
    <s v="Shipped"/>
    <s v="Classic Cars"/>
    <n v="146"/>
    <s v="S18_3482"/>
    <x v="19"/>
    <s v="03 9520 4555"/>
    <s v="636 St Kilda Road"/>
    <s v="Melbourne"/>
    <s v="3004"/>
    <s v="Australia"/>
    <s v="Ferguson"/>
    <s v="Peter"/>
    <s v="Medium"/>
    <x v="1287"/>
  </r>
  <r>
    <n v="10343"/>
    <n v="44"/>
    <n v="84.88"/>
    <n v="2"/>
    <n v="3734.72"/>
    <d v="2019-11-24T00:00:00"/>
    <s v="Shipped"/>
    <s v="Classic Cars"/>
    <n v="141"/>
    <s v="S18_3685"/>
    <x v="20"/>
    <s v="26.47.1555"/>
    <s v="59 rue de l'Abbaye"/>
    <s v="Reims"/>
    <s v="51100"/>
    <s v="France"/>
    <s v="Henriot"/>
    <s v="Paul"/>
    <s v="Medium"/>
    <x v="190"/>
  </r>
  <r>
    <n v="10342"/>
    <n v="26"/>
    <n v="55.95"/>
    <n v="8"/>
    <n v="1454.7"/>
    <d v="2019-11-24T00:00:00"/>
    <s v="Shipped"/>
    <s v="Motorcycles"/>
    <n v="62"/>
    <s v="S18_3782"/>
    <x v="19"/>
    <s v="03 9520 4555"/>
    <s v="636 St Kilda Road"/>
    <s v="Melbourne"/>
    <s v="3004"/>
    <s v="Australia"/>
    <s v="Ferguson"/>
    <s v="Peter"/>
    <s v="Small"/>
    <x v="1152"/>
  </r>
  <r>
    <n v="10342"/>
    <n v="38"/>
    <n v="165.17"/>
    <n v="11"/>
    <n v="6276.46"/>
    <d v="2019-11-24T00:00:00"/>
    <s v="Shipped"/>
    <s v="Classic Cars"/>
    <n v="148"/>
    <s v="S18_4721"/>
    <x v="19"/>
    <s v="03 9520 4555"/>
    <s v="636 St Kilda Road"/>
    <s v="Melbourne"/>
    <s v="3004"/>
    <s v="Australia"/>
    <s v="Ferguson"/>
    <s v="Peter"/>
    <s v="Medium"/>
    <x v="1540"/>
  </r>
  <r>
    <n v="10343"/>
    <n v="27"/>
    <n v="36.21"/>
    <n v="6"/>
    <n v="977.67"/>
    <d v="2019-11-24T00:00:00"/>
    <s v="Shipped"/>
    <s v="Classic Cars"/>
    <n v="50"/>
    <s v="S24_1628"/>
    <x v="20"/>
    <s v="26.47.1555"/>
    <s v="59 rue de l'Abbaye"/>
    <s v="Reims"/>
    <s v="51100"/>
    <s v="France"/>
    <s v="Henriot"/>
    <s v="Paul"/>
    <s v="Small"/>
    <x v="117"/>
  </r>
  <r>
    <n v="10340"/>
    <n v="55"/>
    <n v="79.98"/>
    <n v="8"/>
    <n v="4398.8999999999996"/>
    <d v="2019-11-24T00:00:00"/>
    <s v="Shipped"/>
    <s v="Motorcycles"/>
    <n v="76"/>
    <s v="S24_2000"/>
    <x v="17"/>
    <s v="(93) 203 4555"/>
    <s v="Rambla de Catalu¤a, 23"/>
    <s v="Barcelona"/>
    <s v="8022"/>
    <s v="Spain"/>
    <s v="Saavedra"/>
    <s v="Eduardo"/>
    <s v="Medium"/>
    <x v="902"/>
  </r>
  <r>
    <n v="10341"/>
    <n v="32"/>
    <n v="103.35"/>
    <n v="6"/>
    <n v="3307.2"/>
    <d v="2019-11-24T00:00:00"/>
    <s v="Shipped"/>
    <s v="Motorcycles"/>
    <n v="69"/>
    <s v="S24_2360"/>
    <x v="18"/>
    <s v="6562-9555"/>
    <s v="Geislweg 14"/>
    <s v="Salzburg"/>
    <s v="5020"/>
    <s v="Austria"/>
    <s v="Pipps"/>
    <s v="Georg"/>
    <s v="Medium"/>
    <x v="1541"/>
  </r>
  <r>
    <n v="10342"/>
    <n v="39"/>
    <n v="40.4"/>
    <n v="9"/>
    <n v="1575.6"/>
    <d v="2019-11-24T00:00:00"/>
    <s v="Shipped"/>
    <s v="Classic Cars"/>
    <n v="37"/>
    <s v="S24_2972"/>
    <x v="19"/>
    <s v="03 9520 4555"/>
    <s v="636 St Kilda Road"/>
    <s v="Melbourne"/>
    <s v="3004"/>
    <s v="Australia"/>
    <s v="Ferguson"/>
    <s v="Peter"/>
    <s v="Small"/>
    <x v="574"/>
  </r>
  <r>
    <n v="10342"/>
    <n v="48"/>
    <n v="62.45"/>
    <n v="10"/>
    <n v="2997.6"/>
    <d v="2019-11-24T00:00:00"/>
    <s v="Shipped"/>
    <s v="Classic Cars"/>
    <n v="61"/>
    <s v="S24_3371"/>
    <x v="19"/>
    <s v="03 9520 4555"/>
    <s v="636 St Kilda Road"/>
    <s v="Melbourne"/>
    <s v="3004"/>
    <s v="Australia"/>
    <s v="Ferguson"/>
    <s v="Peter"/>
    <s v="Small"/>
    <x v="1542"/>
  </r>
  <r>
    <n v="10342"/>
    <n v="42"/>
    <n v="119.37"/>
    <n v="6"/>
    <n v="5013.54"/>
    <d v="2019-11-24T00:00:00"/>
    <s v="Shipped"/>
    <s v="Classic Cars"/>
    <n v="140"/>
    <s v="S24_3856"/>
    <x v="19"/>
    <s v="03 9520 4555"/>
    <s v="636 St Kilda Road"/>
    <s v="Melbourne"/>
    <s v="3004"/>
    <s v="Australia"/>
    <s v="Ferguson"/>
    <s v="Peter"/>
    <s v="Medium"/>
    <x v="1543"/>
  </r>
  <r>
    <n v="10340"/>
    <n v="40"/>
    <n v="84.77"/>
    <n v="1"/>
    <n v="3390.8"/>
    <d v="2019-11-24T00:00:00"/>
    <s v="Shipped"/>
    <s v="Planes"/>
    <n v="72"/>
    <s v="S24_4278"/>
    <x v="17"/>
    <s v="(93) 203 4555"/>
    <s v="Rambla de Catalu¤a, 23"/>
    <s v="Barcelona"/>
    <s v="8022"/>
    <s v="Spain"/>
    <s v="Saavedra"/>
    <s v="Eduardo"/>
    <s v="Medium"/>
    <x v="998"/>
  </r>
  <r>
    <n v="10343"/>
    <n v="30"/>
    <n v="103.29"/>
    <n v="1"/>
    <n v="3098.7"/>
    <d v="2019-11-24T00:00:00"/>
    <s v="Shipped"/>
    <s v="Classic Cars"/>
    <n v="80"/>
    <s v="S24_4620"/>
    <x v="20"/>
    <s v="26.47.1555"/>
    <s v="59 rue de l'Abbaye"/>
    <s v="Reims"/>
    <s v="51100"/>
    <s v="France"/>
    <s v="Henriot"/>
    <s v="Paul"/>
    <s v="Medium"/>
    <x v="1282"/>
  </r>
  <r>
    <n v="10340"/>
    <n v="55"/>
    <n v="117.87"/>
    <n v="2"/>
    <n v="6482.85"/>
    <d v="2019-11-24T00:00:00"/>
    <s v="Shipped"/>
    <s v="Motorcycles"/>
    <n v="99"/>
    <s v="S32_1374"/>
    <x v="17"/>
    <s v="(93) 203 4555"/>
    <s v="Rambla de Catalu¤a, 23"/>
    <s v="Barcelona"/>
    <s v="8022"/>
    <s v="Spain"/>
    <s v="Saavedra"/>
    <s v="Eduardo"/>
    <s v="Medium"/>
    <x v="577"/>
  </r>
  <r>
    <n v="10343"/>
    <n v="29"/>
    <n v="128.04"/>
    <n v="5"/>
    <n v="3713.16"/>
    <d v="2019-11-24T00:00:00"/>
    <s v="Shipped"/>
    <s v="Motorcycles"/>
    <n v="40"/>
    <s v="S32_2206"/>
    <x v="20"/>
    <s v="26.47.1555"/>
    <s v="59 rue de l'Abbaye"/>
    <s v="Reims"/>
    <s v="51100"/>
    <s v="France"/>
    <s v="Henriot"/>
    <s v="Paul"/>
    <s v="Medium"/>
    <x v="1544"/>
  </r>
  <r>
    <n v="10340"/>
    <n v="39"/>
    <n v="59.16"/>
    <n v="3"/>
    <n v="2307.2399999999998"/>
    <d v="2019-11-24T00:00:00"/>
    <s v="Shipped"/>
    <s v="Vintage Cars"/>
    <n v="68"/>
    <s v="S32_4289"/>
    <x v="17"/>
    <s v="(93) 203 4555"/>
    <s v="Rambla de Catalu¤a, 23"/>
    <s v="Barcelona"/>
    <s v="8022"/>
    <s v="Spain"/>
    <s v="Saavedra"/>
    <s v="Eduardo"/>
    <s v="Small"/>
    <x v="21"/>
  </r>
  <r>
    <n v="10341"/>
    <n v="31"/>
    <n v="71.02"/>
    <n v="4"/>
    <n v="2201.62"/>
    <d v="2019-11-24T00:00:00"/>
    <s v="Shipped"/>
    <s v="Motorcycles"/>
    <n v="102"/>
    <s v="S32_4485"/>
    <x v="18"/>
    <s v="6562-9555"/>
    <s v="Geislweg 14"/>
    <s v="Salzburg"/>
    <s v="5020"/>
    <s v="Austria"/>
    <s v="Pipps"/>
    <s v="Georg"/>
    <s v="Small"/>
    <x v="1545"/>
  </r>
  <r>
    <n v="10340"/>
    <n v="40"/>
    <n v="50.62"/>
    <n v="4"/>
    <n v="2024.8"/>
    <d v="2019-11-24T00:00:00"/>
    <s v="Shipped"/>
    <s v="Vintage Cars"/>
    <n v="43"/>
    <s v="S50_1341"/>
    <x v="17"/>
    <s v="(93) 203 4555"/>
    <s v="Rambla de Catalu¤a, 23"/>
    <s v="Barcelona"/>
    <s v="8022"/>
    <s v="Spain"/>
    <s v="Saavedra"/>
    <s v="Eduardo"/>
    <s v="Small"/>
    <x v="1546"/>
  </r>
  <r>
    <n v="10341"/>
    <n v="38"/>
    <n v="123.22"/>
    <n v="3"/>
    <n v="4682.3599999999997"/>
    <d v="2019-11-24T00:00:00"/>
    <s v="Shipped"/>
    <s v="Motorcycles"/>
    <n v="81"/>
    <s v="S50_4713"/>
    <x v="18"/>
    <s v="6562-9555"/>
    <s v="Geislweg 14"/>
    <s v="Salzburg"/>
    <s v="5020"/>
    <s v="Austria"/>
    <s v="Pipps"/>
    <s v="Georg"/>
    <s v="Medium"/>
    <x v="1547"/>
  </r>
  <r>
    <n v="10340"/>
    <n v="30"/>
    <n v="88.6"/>
    <n v="5"/>
    <n v="2658"/>
    <d v="2019-11-24T00:00:00"/>
    <s v="Shipped"/>
    <s v="Planes"/>
    <n v="91"/>
    <s v="S700_1691"/>
    <x v="17"/>
    <s v="(93) 203 4555"/>
    <s v="Rambla de Catalu¤a, 23"/>
    <s v="Barcelona"/>
    <s v="8022"/>
    <s v="Spain"/>
    <s v="Saavedra"/>
    <s v="Eduardo"/>
    <s v="Small"/>
    <x v="1409"/>
  </r>
  <r>
    <n v="10340"/>
    <n v="55"/>
    <n v="87.75"/>
    <n v="7"/>
    <n v="4826.25"/>
    <d v="2019-11-24T00:00:00"/>
    <s v="Shipped"/>
    <s v="Planes"/>
    <n v="99"/>
    <s v="S700_2466"/>
    <x v="17"/>
    <s v="(93) 203 4555"/>
    <s v="Rambla de Catalu¤a, 23"/>
    <s v="Barcelona"/>
    <s v="8022"/>
    <s v="Spain"/>
    <s v="Saavedra"/>
    <s v="Eduardo"/>
    <s v="Medium"/>
    <x v="1548"/>
  </r>
  <r>
    <n v="10340"/>
    <n v="29"/>
    <n v="141.19"/>
    <n v="6"/>
    <n v="4094.51"/>
    <d v="2019-11-24T00:00:00"/>
    <s v="Shipped"/>
    <s v="Planes"/>
    <n v="118"/>
    <s v="S700_2834"/>
    <x v="17"/>
    <s v="(93) 203 4555"/>
    <s v="Rambla de Catalu¤a, 23"/>
    <s v="Barcelona"/>
    <s v="8022"/>
    <s v="Spain"/>
    <s v="Saavedra"/>
    <s v="Eduardo"/>
    <s v="Medium"/>
    <x v="511"/>
  </r>
  <r>
    <n v="10341"/>
    <n v="34"/>
    <n v="107.18"/>
    <n v="5"/>
    <n v="3644.12"/>
    <d v="2019-11-24T00:00:00"/>
    <s v="Shipped"/>
    <s v="Planes"/>
    <n v="80"/>
    <s v="S700_3167"/>
    <x v="18"/>
    <s v="6562-9555"/>
    <s v="Geislweg 14"/>
    <s v="Salzburg"/>
    <s v="5020"/>
    <s v="Austria"/>
    <s v="Pipps"/>
    <s v="Georg"/>
    <s v="Medium"/>
    <x v="1549"/>
  </r>
  <r>
    <n v="10344"/>
    <n v="45"/>
    <n v="170"/>
    <n v="1"/>
    <n v="7650"/>
    <d v="2019-11-25T00:00:00"/>
    <s v="Shipped"/>
    <s v="Vintage Cars"/>
    <n v="170"/>
    <s v="S18_1749"/>
    <x v="21"/>
    <s v="91.24.4555"/>
    <s v="12, rue des Bouchers"/>
    <s v="Marseille"/>
    <s v="13008"/>
    <s v="France"/>
    <s v="Lebihan"/>
    <s v="Laurence"/>
    <s v="Large"/>
    <x v="180"/>
  </r>
  <r>
    <n v="10344"/>
    <n v="40"/>
    <n v="56.91"/>
    <n v="2"/>
    <n v="2276.4"/>
    <d v="2019-11-25T00:00:00"/>
    <s v="Shipped"/>
    <s v="Vintage Cars"/>
    <n v="60"/>
    <s v="S18_2248"/>
    <x v="21"/>
    <s v="91.24.4555"/>
    <s v="12, rue des Bouchers"/>
    <s v="Marseille"/>
    <s v="13008"/>
    <s v="France"/>
    <s v="Lebihan"/>
    <s v="Laurence"/>
    <s v="Small"/>
    <x v="1550"/>
  </r>
  <r>
    <n v="10344"/>
    <n v="30"/>
    <n v="130.94"/>
    <n v="3"/>
    <n v="3928.2"/>
    <d v="2019-11-25T00:00:00"/>
    <s v="Shipped"/>
    <s v="Vintage Cars"/>
    <n v="127"/>
    <s v="S18_2325"/>
    <x v="21"/>
    <s v="91.24.4555"/>
    <s v="12, rue des Bouchers"/>
    <s v="Marseille"/>
    <s v="13008"/>
    <s v="France"/>
    <s v="Lebihan"/>
    <s v="Laurence"/>
    <s v="Medium"/>
    <x v="236"/>
  </r>
  <r>
    <n v="10344"/>
    <n v="21"/>
    <n v="104.91"/>
    <n v="4"/>
    <n v="2203.11"/>
    <d v="2019-11-25T00:00:00"/>
    <s v="Shipped"/>
    <s v="Vintage Cars"/>
    <n v="92"/>
    <s v="S18_4409"/>
    <x v="21"/>
    <s v="91.24.4555"/>
    <s v="12, rue des Bouchers"/>
    <s v="Marseille"/>
    <s v="13008"/>
    <s v="France"/>
    <s v="Lebihan"/>
    <s v="Laurence"/>
    <s v="Small"/>
    <x v="814"/>
  </r>
  <r>
    <n v="10344"/>
    <n v="26"/>
    <n v="63.43"/>
    <n v="5"/>
    <n v="1649.18"/>
    <d v="2019-11-25T00:00:00"/>
    <s v="Shipped"/>
    <s v="Classic Cars"/>
    <n v="71"/>
    <s v="S18_4933"/>
    <x v="21"/>
    <s v="91.24.4555"/>
    <s v="12, rue des Bouchers"/>
    <s v="Marseille"/>
    <s v="13008"/>
    <s v="France"/>
    <s v="Lebihan"/>
    <s v="Laurence"/>
    <s v="Small"/>
    <x v="831"/>
  </r>
  <r>
    <n v="10344"/>
    <n v="29"/>
    <n v="59.53"/>
    <n v="7"/>
    <n v="1726.37"/>
    <d v="2019-11-25T00:00:00"/>
    <s v="Shipped"/>
    <s v="Classic Cars"/>
    <n v="73"/>
    <s v="S24_1046"/>
    <x v="21"/>
    <s v="91.24.4555"/>
    <s v="12, rue des Bouchers"/>
    <s v="Marseille"/>
    <s v="13008"/>
    <s v="France"/>
    <s v="Lebihan"/>
    <s v="Laurence"/>
    <s v="Small"/>
    <x v="1551"/>
  </r>
  <r>
    <n v="10344"/>
    <n v="20"/>
    <n v="35.18"/>
    <n v="6"/>
    <n v="703.6"/>
    <d v="2019-11-25T00:00:00"/>
    <s v="Shipped"/>
    <s v="Vintage Cars"/>
    <n v="33"/>
    <s v="S24_1937"/>
    <x v="21"/>
    <s v="91.24.4555"/>
    <s v="12, rue des Bouchers"/>
    <s v="Marseille"/>
    <s v="13008"/>
    <s v="France"/>
    <s v="Lebihan"/>
    <s v="Laurence"/>
    <s v="Small"/>
    <x v="654"/>
  </r>
  <r>
    <n v="10345"/>
    <n v="43"/>
    <n v="53.76"/>
    <n v="1"/>
    <n v="2311.6799999999998"/>
    <d v="2019-11-25T00:00:00"/>
    <s v="Shipped"/>
    <s v="Vintage Cars"/>
    <n v="44"/>
    <s v="S24_2022"/>
    <x v="22"/>
    <s v="40.32.2555"/>
    <s v="54, rue Royale"/>
    <s v="Nantes"/>
    <s v="44000"/>
    <s v="France"/>
    <s v="Schmitt"/>
    <s v="Carine"/>
    <s v="Small"/>
    <x v="1005"/>
  </r>
  <r>
    <n v="10347"/>
    <n v="30"/>
    <n v="131.49"/>
    <n v="1"/>
    <n v="3944.7"/>
    <d v="2019-11-29T00:00:00"/>
    <s v="Shipped"/>
    <s v="Classic Cars"/>
    <n v="214"/>
    <s v="S10_1949"/>
    <x v="19"/>
    <s v="03 9520 4555"/>
    <s v="636 St Kilda Road"/>
    <s v="Melbourne"/>
    <s v="3004"/>
    <s v="Australia"/>
    <s v="Ferguson"/>
    <s v="Peter"/>
    <s v="Medium"/>
    <x v="1552"/>
  </r>
  <r>
    <n v="10347"/>
    <n v="27"/>
    <n v="164"/>
    <n v="2"/>
    <n v="4428"/>
    <d v="2019-11-29T00:00:00"/>
    <s v="Shipped"/>
    <s v="Classic Cars"/>
    <n v="147"/>
    <s v="S10_4962"/>
    <x v="19"/>
    <s v="03 9520 4555"/>
    <s v="636 St Kilda Road"/>
    <s v="Melbourne"/>
    <s v="3004"/>
    <s v="Australia"/>
    <s v="Ferguson"/>
    <s v="Peter"/>
    <s v="Medium"/>
    <x v="1553"/>
  </r>
  <r>
    <n v="10347"/>
    <n v="29"/>
    <n v="123.67"/>
    <n v="3"/>
    <n v="3586.43"/>
    <d v="2019-11-29T00:00:00"/>
    <s v="Shipped"/>
    <s v="Trucks and Buses"/>
    <n v="136"/>
    <s v="S12_1666"/>
    <x v="19"/>
    <s v="03 9520 4555"/>
    <s v="636 St Kilda Road"/>
    <s v="Melbourne"/>
    <s v="3004"/>
    <s v="Australia"/>
    <s v="Ferguson"/>
    <s v="Peter"/>
    <s v="Medium"/>
    <x v="1554"/>
  </r>
  <r>
    <n v="10347"/>
    <n v="42"/>
    <n v="49.6"/>
    <n v="5"/>
    <n v="2083.1999999999998"/>
    <d v="2019-11-29T00:00:00"/>
    <s v="Shipped"/>
    <s v="Trucks and Buses"/>
    <n v="116"/>
    <s v="S18_1097"/>
    <x v="19"/>
    <s v="03 9520 4555"/>
    <s v="636 St Kilda Road"/>
    <s v="Melbourne"/>
    <s v="3004"/>
    <s v="Australia"/>
    <s v="Ferguson"/>
    <s v="Peter"/>
    <s v="Small"/>
    <x v="1020"/>
  </r>
  <r>
    <n v="10346"/>
    <n v="42"/>
    <n v="36.11"/>
    <n v="3"/>
    <n v="1516.62"/>
    <d v="2019-11-29T00:00:00"/>
    <s v="Shipped"/>
    <s v="Vintage Cars"/>
    <n v="102"/>
    <s v="S18_1342"/>
    <x v="23"/>
    <s v="7025551838"/>
    <s v="8489 Strong St."/>
    <s v="Las Vegas"/>
    <s v="83030"/>
    <s v="USA"/>
    <s v="King"/>
    <s v="Sue"/>
    <s v="Small"/>
    <x v="1555"/>
  </r>
  <r>
    <n v="10347"/>
    <n v="21"/>
    <n v="58.95"/>
    <n v="7"/>
    <n v="1237.95"/>
    <d v="2019-11-29T00:00:00"/>
    <s v="Shipped"/>
    <s v="Vintage Cars"/>
    <n v="53"/>
    <s v="S18_1367"/>
    <x v="19"/>
    <s v="03 9520 4555"/>
    <s v="636 St Kilda Road"/>
    <s v="Melbourne"/>
    <s v="3004"/>
    <s v="Australia"/>
    <s v="Ferguson"/>
    <s v="Peter"/>
    <s v="Small"/>
    <x v="1556"/>
  </r>
  <r>
    <n v="10347"/>
    <n v="50"/>
    <n v="136.69"/>
    <n v="8"/>
    <n v="6834.5"/>
    <d v="2019-11-29T00:00:00"/>
    <s v="Shipped"/>
    <s v="Trucks and Buses"/>
    <n v="60"/>
    <s v="S18_2432"/>
    <x v="19"/>
    <s v="03 9520 4555"/>
    <s v="636 St Kilda Road"/>
    <s v="Melbourne"/>
    <s v="3004"/>
    <s v="Australia"/>
    <s v="Ferguson"/>
    <s v="Peter"/>
    <s v="Medium"/>
    <x v="283"/>
  </r>
  <r>
    <n v="10347"/>
    <n v="21"/>
    <n v="229.3"/>
    <n v="6"/>
    <n v="4815.3"/>
    <d v="2019-11-29T00:00:00"/>
    <s v="Shipped"/>
    <s v="Vintage Cars"/>
    <n v="168"/>
    <s v="S18_2795"/>
    <x v="19"/>
    <s v="03 9520 4555"/>
    <s v="636 St Kilda Road"/>
    <s v="Melbourne"/>
    <s v="3004"/>
    <s v="Australia"/>
    <s v="Ferguson"/>
    <s v="Peter"/>
    <s v="Medium"/>
    <x v="1427"/>
  </r>
  <r>
    <n v="10347"/>
    <n v="48"/>
    <n v="100.3"/>
    <n v="9"/>
    <n v="4814.3999999999996"/>
    <d v="2019-11-29T00:00:00"/>
    <s v="Shipped"/>
    <s v="Vintage Cars"/>
    <n v="101"/>
    <s v="S18_2949"/>
    <x v="19"/>
    <s v="03 9520 4555"/>
    <s v="636 St Kilda Road"/>
    <s v="Melbourne"/>
    <s v="3004"/>
    <s v="Australia"/>
    <s v="Ferguson"/>
    <s v="Peter"/>
    <s v="Medium"/>
    <x v="879"/>
  </r>
  <r>
    <n v="10347"/>
    <n v="34"/>
    <n v="64.959999999999994"/>
    <n v="10"/>
    <n v="2208.64"/>
    <d v="2019-11-29T00:00:00"/>
    <s v="Shipped"/>
    <s v="Vintage Cars"/>
    <n v="62"/>
    <s v="S18_2957"/>
    <x v="19"/>
    <s v="03 9520 4555"/>
    <s v="636 St Kilda Road"/>
    <s v="Melbourne"/>
    <s v="3004"/>
    <s v="Australia"/>
    <s v="Ferguson"/>
    <s v="Peter"/>
    <s v="Small"/>
    <x v="140"/>
  </r>
  <r>
    <n v="10347"/>
    <n v="45"/>
    <n v="109.96"/>
    <n v="11"/>
    <n v="4948.2"/>
    <d v="2019-11-29T00:00:00"/>
    <s v="Shipped"/>
    <s v="Vintage Cars"/>
    <n v="104"/>
    <s v="S18_3136"/>
    <x v="19"/>
    <s v="03 9520 4555"/>
    <s v="636 St Kilda Road"/>
    <s v="Melbourne"/>
    <s v="3004"/>
    <s v="Australia"/>
    <s v="Ferguson"/>
    <s v="Peter"/>
    <s v="Medium"/>
    <x v="301"/>
  </r>
  <r>
    <n v="10347"/>
    <n v="26"/>
    <n v="102.19"/>
    <n v="12"/>
    <n v="2656.94"/>
    <d v="2019-11-29T00:00:00"/>
    <s v="Shipped"/>
    <s v="Vintage Cars"/>
    <n v="99"/>
    <s v="S18_3320"/>
    <x v="19"/>
    <s v="03 9520 4555"/>
    <s v="636 St Kilda Road"/>
    <s v="Melbourne"/>
    <s v="3004"/>
    <s v="Australia"/>
    <s v="Ferguson"/>
    <s v="Peter"/>
    <s v="Small"/>
    <x v="1557"/>
  </r>
  <r>
    <n v="10347"/>
    <n v="45"/>
    <n v="130.77000000000001"/>
    <n v="4"/>
    <n v="5884.65"/>
    <d v="2019-11-29T00:00:00"/>
    <s v="Shipped"/>
    <s v="Trucks and Buses"/>
    <n v="121"/>
    <s v="S18_4600"/>
    <x v="19"/>
    <s v="03 9520 4555"/>
    <s v="636 St Kilda Road"/>
    <s v="Melbourne"/>
    <s v="3004"/>
    <s v="Australia"/>
    <s v="Ferguson"/>
    <s v="Peter"/>
    <s v="Medium"/>
    <x v="410"/>
  </r>
  <r>
    <n v="10346"/>
    <n v="25"/>
    <n v="115.07"/>
    <n v="1"/>
    <n v="2876.75"/>
    <d v="2019-11-29T00:00:00"/>
    <s v="Shipped"/>
    <s v="Classic Cars"/>
    <n v="90"/>
    <s v="S24_2766"/>
    <x v="23"/>
    <s v="7025551838"/>
    <s v="8489 Strong St."/>
    <s v="Las Vegas"/>
    <s v="83030"/>
    <s v="USA"/>
    <s v="King"/>
    <s v="Sue"/>
    <s v="Small"/>
    <x v="1434"/>
  </r>
  <r>
    <n v="10346"/>
    <n v="24"/>
    <n v="87.24"/>
    <n v="5"/>
    <n v="2093.7600000000002"/>
    <d v="2019-11-29T00:00:00"/>
    <s v="Shipped"/>
    <s v="Classic Cars"/>
    <n v="117"/>
    <s v="S24_2887"/>
    <x v="23"/>
    <s v="7025551838"/>
    <s v="8489 Strong St."/>
    <s v="Las Vegas"/>
    <s v="83030"/>
    <s v="USA"/>
    <s v="King"/>
    <s v="Sue"/>
    <s v="Small"/>
    <x v="1558"/>
  </r>
  <r>
    <n v="10346"/>
    <n v="24"/>
    <n v="138.58000000000001"/>
    <n v="2"/>
    <n v="3325.92"/>
    <d v="2019-11-29T00:00:00"/>
    <s v="Shipped"/>
    <s v="Classic Cars"/>
    <n v="85"/>
    <s v="S24_3191"/>
    <x v="23"/>
    <s v="7025551838"/>
    <s v="8489 Strong St."/>
    <s v="Las Vegas"/>
    <s v="83030"/>
    <s v="USA"/>
    <s v="King"/>
    <s v="Sue"/>
    <s v="Medium"/>
    <x v="1559"/>
  </r>
  <r>
    <n v="10346"/>
    <n v="26"/>
    <n v="95.88"/>
    <n v="6"/>
    <n v="2492.88"/>
    <d v="2019-11-29T00:00:00"/>
    <s v="Shipped"/>
    <s v="Classic Cars"/>
    <n v="107"/>
    <s v="S24_3432"/>
    <x v="23"/>
    <s v="7025551838"/>
    <s v="8489 Strong St."/>
    <s v="Las Vegas"/>
    <s v="83030"/>
    <s v="USA"/>
    <s v="King"/>
    <s v="Sue"/>
    <s v="Small"/>
    <x v="1416"/>
  </r>
  <r>
    <n v="10346"/>
    <n v="22"/>
    <n v="97.44"/>
    <n v="4"/>
    <n v="2143.6799999999998"/>
    <d v="2019-11-29T00:00:00"/>
    <s v="Shipped"/>
    <s v="Vintage Cars"/>
    <n v="41"/>
    <s v="S24_3969"/>
    <x v="23"/>
    <s v="7025551838"/>
    <s v="8489 Strong St."/>
    <s v="Las Vegas"/>
    <s v="83030"/>
    <s v="USA"/>
    <s v="King"/>
    <s v="Sue"/>
    <s v="Small"/>
    <x v="1155"/>
  </r>
  <r>
    <n v="10349"/>
    <n v="26"/>
    <n v="169.56"/>
    <n v="10"/>
    <n v="4408.5600000000004"/>
    <d v="2019-12-01T00:00:00"/>
    <s v="Shipped"/>
    <s v="Classic Cars"/>
    <n v="173"/>
    <s v="S12_3891"/>
    <x v="25"/>
    <s v="2125557413"/>
    <s v="4092 Furth Circle"/>
    <s v="NYC"/>
    <s v="10022"/>
    <s v="USA"/>
    <s v="Young"/>
    <s v="Jeff"/>
    <s v="Medium"/>
    <x v="1207"/>
  </r>
  <r>
    <n v="10349"/>
    <n v="48"/>
    <n v="109.02"/>
    <n v="9"/>
    <n v="5232.96"/>
    <d v="2019-12-01T00:00:00"/>
    <s v="Shipped"/>
    <s v="Trucks and Buses"/>
    <n v="118"/>
    <s v="S12_4473"/>
    <x v="25"/>
    <s v="2125557413"/>
    <s v="4092 Furth Circle"/>
    <s v="NYC"/>
    <s v="10022"/>
    <s v="USA"/>
    <s v="Young"/>
    <s v="Jeff"/>
    <s v="Medium"/>
    <x v="1432"/>
  </r>
  <r>
    <n v="10349"/>
    <n v="38"/>
    <n v="176.83"/>
    <n v="8"/>
    <n v="6719.54"/>
    <d v="2019-12-01T00:00:00"/>
    <s v="Shipped"/>
    <s v="Classic Cars"/>
    <n v="163"/>
    <s v="S18_2238"/>
    <x v="25"/>
    <s v="2125557413"/>
    <s v="4092 Furth Circle"/>
    <s v="NYC"/>
    <s v="10022"/>
    <s v="USA"/>
    <s v="Young"/>
    <s v="Jeff"/>
    <s v="Medium"/>
    <x v="585"/>
  </r>
  <r>
    <n v="10349"/>
    <n v="38"/>
    <n v="137.46"/>
    <n v="7"/>
    <n v="5223.4799999999996"/>
    <d v="2019-12-01T00:00:00"/>
    <s v="Shipped"/>
    <s v="Trucks and Buses"/>
    <n v="122"/>
    <s v="S18_2319"/>
    <x v="25"/>
    <s v="2125557413"/>
    <s v="4092 Furth Circle"/>
    <s v="NYC"/>
    <s v="10022"/>
    <s v="USA"/>
    <s v="Young"/>
    <s v="Jeff"/>
    <s v="Medium"/>
    <x v="1560"/>
  </r>
  <r>
    <n v="10349"/>
    <n v="48"/>
    <n v="154.1"/>
    <n v="6"/>
    <n v="7396.8"/>
    <d v="2019-12-01T00:00:00"/>
    <s v="Shipped"/>
    <s v="Classic Cars"/>
    <n v="169"/>
    <s v="S18_3232"/>
    <x v="25"/>
    <s v="2125557413"/>
    <s v="4092 Furth Circle"/>
    <s v="NYC"/>
    <s v="10022"/>
    <s v="USA"/>
    <s v="Young"/>
    <s v="Jeff"/>
    <s v="Large"/>
    <x v="303"/>
  </r>
  <r>
    <n v="10349"/>
    <n v="34"/>
    <n v="129.26"/>
    <n v="5"/>
    <n v="4394.84"/>
    <d v="2019-12-01T00:00:00"/>
    <s v="Shipped"/>
    <s v="Classic Cars"/>
    <n v="143"/>
    <s v="S18_4027"/>
    <x v="25"/>
    <s v="2125557413"/>
    <s v="4092 Furth Circle"/>
    <s v="NYC"/>
    <s v="10022"/>
    <s v="USA"/>
    <s v="Young"/>
    <s v="Jeff"/>
    <s v="Medium"/>
    <x v="207"/>
  </r>
  <r>
    <n v="10349"/>
    <n v="48"/>
    <n v="47.4"/>
    <n v="4"/>
    <n v="2275.1999999999998"/>
    <d v="2019-12-01T00:00:00"/>
    <s v="Shipped"/>
    <s v="Classic Cars"/>
    <n v="57"/>
    <s v="S24_1444"/>
    <x v="25"/>
    <s v="2125557413"/>
    <s v="4092 Furth Circle"/>
    <s v="NYC"/>
    <s v="10022"/>
    <s v="USA"/>
    <s v="Young"/>
    <s v="Jeff"/>
    <s v="Small"/>
    <x v="1561"/>
  </r>
  <r>
    <n v="10349"/>
    <n v="36"/>
    <n v="37.130000000000003"/>
    <n v="3"/>
    <n v="1336.68"/>
    <d v="2019-12-01T00:00:00"/>
    <s v="Shipped"/>
    <s v="Classic Cars"/>
    <n v="35"/>
    <s v="S24_2840"/>
    <x v="25"/>
    <s v="2125557413"/>
    <s v="4092 Furth Circle"/>
    <s v="NYC"/>
    <s v="10022"/>
    <s v="USA"/>
    <s v="Young"/>
    <s v="Jeff"/>
    <s v="Small"/>
    <x v="1562"/>
  </r>
  <r>
    <n v="10349"/>
    <n v="23"/>
    <n v="138.38999999999999"/>
    <n v="2"/>
    <n v="3182.97"/>
    <d v="2019-12-01T00:00:00"/>
    <s v="Shipped"/>
    <s v="Classic Cars"/>
    <n v="118"/>
    <s v="S24_4048"/>
    <x v="25"/>
    <s v="2125557413"/>
    <s v="4092 Furth Circle"/>
    <s v="NYC"/>
    <s v="10022"/>
    <s v="USA"/>
    <s v="Young"/>
    <s v="Jeff"/>
    <s v="Medium"/>
    <x v="205"/>
  </r>
  <r>
    <n v="10349"/>
    <n v="33"/>
    <n v="46.53"/>
    <n v="1"/>
    <n v="1535.49"/>
    <d v="2019-12-01T00:00:00"/>
    <s v="Shipped"/>
    <s v="Trucks and Buses"/>
    <n v="54"/>
    <s v="S32_2509"/>
    <x v="25"/>
    <s v="2125557413"/>
    <s v="4092 Furth Circle"/>
    <s v="NYC"/>
    <s v="10022"/>
    <s v="USA"/>
    <s v="Young"/>
    <s v="Jeff"/>
    <s v="Small"/>
    <x v="663"/>
  </r>
  <r>
    <n v="10350"/>
    <n v="26"/>
    <n v="75.47"/>
    <n v="5"/>
    <n v="1962.22"/>
    <d v="2019-12-02T00:00:00"/>
    <s v="Shipped"/>
    <s v="Classic Cars"/>
    <n v="136"/>
    <s v="S10_4757"/>
    <x v="4"/>
    <s v="(91) 555 94 44"/>
    <s v="C/ Moralzarzal, 86"/>
    <s v="Madrid"/>
    <s v="28034"/>
    <s v="Spain"/>
    <s v="Freyre"/>
    <s v="Diego"/>
    <s v="Small"/>
    <x v="1563"/>
  </r>
  <r>
    <n v="10350"/>
    <n v="43"/>
    <n v="64.97"/>
    <n v="6"/>
    <n v="2793.71"/>
    <d v="2019-12-02T00:00:00"/>
    <s v="Shipped"/>
    <s v="Ships"/>
    <n v="86"/>
    <s v="S18_3029"/>
    <x v="4"/>
    <s v="(91) 555 94 44"/>
    <s v="C/ Moralzarzal, 86"/>
    <s v="Madrid"/>
    <s v="28034"/>
    <s v="Spain"/>
    <s v="Freyre"/>
    <s v="Diego"/>
    <s v="Small"/>
    <x v="477"/>
  </r>
  <r>
    <n v="10350"/>
    <n v="44"/>
    <n v="117.98"/>
    <n v="1"/>
    <n v="5191.12"/>
    <d v="2019-12-02T00:00:00"/>
    <s v="Shipped"/>
    <s v="Vintage Cars"/>
    <n v="136"/>
    <s v="S18_3140"/>
    <x v="4"/>
    <s v="(91) 555 94 44"/>
    <s v="C/ Moralzarzal, 86"/>
    <s v="Madrid"/>
    <s v="28034"/>
    <s v="Spain"/>
    <s v="Freyre"/>
    <s v="Diego"/>
    <s v="Medium"/>
    <x v="1564"/>
  </r>
  <r>
    <n v="10350"/>
    <n v="41"/>
    <n v="93.04"/>
    <n v="2"/>
    <n v="3814.64"/>
    <d v="2019-12-02T00:00:00"/>
    <s v="Shipped"/>
    <s v="Trains"/>
    <n v="100"/>
    <s v="S18_3259"/>
    <x v="4"/>
    <s v="(91) 555 94 44"/>
    <s v="C/ Moralzarzal, 86"/>
    <s v="Madrid"/>
    <s v="28034"/>
    <s v="Spain"/>
    <s v="Freyre"/>
    <s v="Diego"/>
    <s v="Medium"/>
    <x v="1150"/>
  </r>
  <r>
    <n v="10350"/>
    <n v="30"/>
    <n v="100.77"/>
    <n v="3"/>
    <n v="3023.1"/>
    <d v="2019-12-02T00:00:00"/>
    <s v="Shipped"/>
    <s v="Vintage Cars"/>
    <n v="87"/>
    <s v="S18_4522"/>
    <x v="4"/>
    <s v="(91) 555 94 44"/>
    <s v="C/ Moralzarzal, 86"/>
    <s v="Madrid"/>
    <s v="28034"/>
    <s v="Spain"/>
    <s v="Freyre"/>
    <s v="Diego"/>
    <s v="Medium"/>
    <x v="208"/>
  </r>
  <r>
    <n v="10350"/>
    <n v="34"/>
    <n v="50.33"/>
    <n v="7"/>
    <n v="1711.22"/>
    <d v="2019-12-02T00:00:00"/>
    <s v="Shipped"/>
    <s v="Ships"/>
    <n v="122"/>
    <s v="S24_2011"/>
    <x v="4"/>
    <s v="(91) 555 94 44"/>
    <s v="C/ Moralzarzal, 86"/>
    <s v="Madrid"/>
    <s v="28034"/>
    <s v="Spain"/>
    <s v="Freyre"/>
    <s v="Diego"/>
    <s v="Small"/>
    <x v="1565"/>
  </r>
  <r>
    <n v="10350"/>
    <n v="30"/>
    <n v="100.7"/>
    <n v="9"/>
    <n v="3021"/>
    <d v="2019-12-02T00:00:00"/>
    <s v="Shipped"/>
    <s v="Vintage Cars"/>
    <n v="88"/>
    <s v="S24_3151"/>
    <x v="4"/>
    <s v="(91) 555 94 44"/>
    <s v="C/ Moralzarzal, 86"/>
    <s v="Madrid"/>
    <s v="28034"/>
    <s v="Spain"/>
    <s v="Freyre"/>
    <s v="Diego"/>
    <s v="Medium"/>
    <x v="1566"/>
  </r>
  <r>
    <n v="10350"/>
    <n v="25"/>
    <n v="60.34"/>
    <n v="10"/>
    <n v="1508.5"/>
    <d v="2019-12-02T00:00:00"/>
    <s v="Shipped"/>
    <s v="Vintage Cars"/>
    <n v="83"/>
    <s v="S24_3816"/>
    <x v="4"/>
    <s v="(91) 555 94 44"/>
    <s v="C/ Moralzarzal, 86"/>
    <s v="Madrid"/>
    <s v="28034"/>
    <s v="Spain"/>
    <s v="Freyre"/>
    <s v="Diego"/>
    <s v="Small"/>
    <x v="1567"/>
  </r>
  <r>
    <n v="10350"/>
    <n v="27"/>
    <n v="163.19999999999999"/>
    <n v="14"/>
    <n v="4406.3999999999996"/>
    <d v="2019-12-02T00:00:00"/>
    <s v="Shipped"/>
    <s v="Trains"/>
    <n v="62"/>
    <s v="S32_3207"/>
    <x v="4"/>
    <s v="(91) 555 94 44"/>
    <s v="C/ Moralzarzal, 86"/>
    <s v="Madrid"/>
    <s v="28034"/>
    <s v="Spain"/>
    <s v="Freyre"/>
    <s v="Diego"/>
    <s v="Medium"/>
    <x v="1568"/>
  </r>
  <r>
    <n v="10350"/>
    <n v="31"/>
    <n v="71.400000000000006"/>
    <n v="8"/>
    <n v="2213.4"/>
    <d v="2019-12-02T00:00:00"/>
    <s v="Shipped"/>
    <s v="Trucks and Buses"/>
    <n v="115"/>
    <s v="S50_1392"/>
    <x v="4"/>
    <s v="(91) 555 94 44"/>
    <s v="C/ Moralzarzal, 86"/>
    <s v="Madrid"/>
    <s v="28034"/>
    <s v="Spain"/>
    <s v="Freyre"/>
    <s v="Diego"/>
    <s v="Small"/>
    <x v="295"/>
  </r>
  <r>
    <n v="10350"/>
    <n v="44"/>
    <n v="147.52000000000001"/>
    <n v="17"/>
    <n v="6490.88"/>
    <d v="2019-12-02T00:00:00"/>
    <s v="Shipped"/>
    <s v="Trains"/>
    <n v="58"/>
    <s v="S50_1514"/>
    <x v="4"/>
    <s v="(91) 555 94 44"/>
    <s v="C/ Moralzarzal, 86"/>
    <s v="Madrid"/>
    <s v="28034"/>
    <s v="Spain"/>
    <s v="Freyre"/>
    <s v="Diego"/>
    <s v="Medium"/>
    <x v="961"/>
  </r>
  <r>
    <n v="10350"/>
    <n v="46"/>
    <n v="76.67"/>
    <n v="11"/>
    <n v="3526.82"/>
    <d v="2019-12-02T00:00:00"/>
    <s v="Shipped"/>
    <s v="Ships"/>
    <n v="66"/>
    <s v="S700_1138"/>
    <x v="4"/>
    <s v="(91) 555 94 44"/>
    <s v="C/ Moralzarzal, 86"/>
    <s v="Madrid"/>
    <s v="28034"/>
    <s v="Spain"/>
    <s v="Freyre"/>
    <s v="Diego"/>
    <s v="Medium"/>
    <x v="1437"/>
  </r>
  <r>
    <n v="10350"/>
    <n v="28"/>
    <n v="104.44"/>
    <n v="4"/>
    <n v="2924.32"/>
    <d v="2019-12-02T00:00:00"/>
    <s v="Shipped"/>
    <s v="Ships"/>
    <n v="86"/>
    <s v="S700_1938"/>
    <x v="4"/>
    <s v="(91) 555 94 44"/>
    <s v="C/ Moralzarzal, 86"/>
    <s v="Madrid"/>
    <s v="28034"/>
    <s v="Spain"/>
    <s v="Freyre"/>
    <s v="Diego"/>
    <s v="Small"/>
    <x v="865"/>
  </r>
  <r>
    <n v="10350"/>
    <n v="29"/>
    <n v="75.349999999999994"/>
    <n v="12"/>
    <n v="2185.15"/>
    <d v="2019-12-02T00:00:00"/>
    <s v="Shipped"/>
    <s v="Ships"/>
    <n v="72"/>
    <s v="S700_2610"/>
    <x v="4"/>
    <s v="(91) 555 94 44"/>
    <s v="C/ Moralzarzal, 86"/>
    <s v="Madrid"/>
    <s v="28034"/>
    <s v="Spain"/>
    <s v="Freyre"/>
    <s v="Diego"/>
    <s v="Small"/>
    <x v="1420"/>
  </r>
  <r>
    <n v="10350"/>
    <n v="31"/>
    <n v="77.34"/>
    <n v="13"/>
    <n v="2397.54"/>
    <d v="2019-12-02T00:00:00"/>
    <s v="Shipped"/>
    <s v="Ships"/>
    <n v="100"/>
    <s v="S700_3505"/>
    <x v="4"/>
    <s v="(91) 555 94 44"/>
    <s v="C/ Moralzarzal, 86"/>
    <s v="Madrid"/>
    <s v="28034"/>
    <s v="Spain"/>
    <s v="Freyre"/>
    <s v="Diego"/>
    <s v="Small"/>
    <x v="900"/>
  </r>
  <r>
    <n v="10350"/>
    <n v="25"/>
    <n v="114.19"/>
    <n v="16"/>
    <n v="2854.75"/>
    <d v="2019-12-02T00:00:00"/>
    <s v="Shipped"/>
    <s v="Ships"/>
    <n v="99"/>
    <s v="S700_3962"/>
    <x v="4"/>
    <s v="(91) 555 94 44"/>
    <s v="C/ Moralzarzal, 86"/>
    <s v="Madrid"/>
    <s v="28034"/>
    <s v="Spain"/>
    <s v="Freyre"/>
    <s v="Diego"/>
    <s v="Small"/>
    <x v="980"/>
  </r>
  <r>
    <n v="10350"/>
    <n v="20"/>
    <n v="112.22"/>
    <n v="15"/>
    <n v="2244.4"/>
    <d v="2019-12-02T00:00:00"/>
    <s v="Shipped"/>
    <s v="Ships"/>
    <n v="54"/>
    <s v="S72_3212"/>
    <x v="4"/>
    <s v="(91) 555 94 44"/>
    <s v="C/ Moralzarzal, 86"/>
    <s v="Madrid"/>
    <s v="28034"/>
    <s v="Spain"/>
    <s v="Freyre"/>
    <s v="Diego"/>
    <s v="Small"/>
    <x v="1423"/>
  </r>
  <r>
    <n v="10351"/>
    <n v="39"/>
    <n v="99.52"/>
    <n v="1"/>
    <n v="3881.28"/>
    <d v="2019-12-03T00:00:00"/>
    <s v="Shipped"/>
    <s v="Planes"/>
    <n v="157"/>
    <s v="S18_1662"/>
    <x v="26"/>
    <s v="(171) 555-0297"/>
    <s v="35 King George"/>
    <s v="London"/>
    <s v="WX3 6FW"/>
    <s v="UK"/>
    <s v="Brown"/>
    <s v="Ann"/>
    <s v="Medium"/>
    <x v="1569"/>
  </r>
  <r>
    <n v="10351"/>
    <n v="20"/>
    <n v="168.73"/>
    <n v="2"/>
    <n v="3374.6"/>
    <d v="2019-12-03T00:00:00"/>
    <s v="Shipped"/>
    <s v="Vintage Cars"/>
    <n v="105"/>
    <s v="S18_3856"/>
    <x v="26"/>
    <s v="(171) 555-0297"/>
    <s v="35 King George"/>
    <s v="London"/>
    <s v="WX3 6FW"/>
    <s v="UK"/>
    <s v="Brown"/>
    <s v="Ann"/>
    <s v="Medium"/>
    <x v="1570"/>
  </r>
  <r>
    <n v="10351"/>
    <n v="25"/>
    <n v="74.680000000000007"/>
    <n v="5"/>
    <n v="1867"/>
    <d v="2019-12-03T00:00:00"/>
    <s v="Shipped"/>
    <s v="Planes"/>
    <n v="68"/>
    <s v="S24_2841"/>
    <x v="26"/>
    <s v="(171) 555-0297"/>
    <s v="35 King George"/>
    <s v="London"/>
    <s v="WX3 6FW"/>
    <s v="UK"/>
    <s v="Brown"/>
    <s v="Ann"/>
    <s v="Small"/>
    <x v="266"/>
  </r>
  <r>
    <n v="10351"/>
    <n v="38"/>
    <n v="68.38"/>
    <n v="4"/>
    <n v="2598.44"/>
    <d v="2019-12-03T00:00:00"/>
    <s v="Shipped"/>
    <s v="Vintage Cars"/>
    <n v="65"/>
    <s v="S24_3420"/>
    <x v="26"/>
    <s v="(171) 555-0297"/>
    <s v="35 King George"/>
    <s v="London"/>
    <s v="WX3 6FW"/>
    <s v="UK"/>
    <s v="Brown"/>
    <s v="Ann"/>
    <s v="Small"/>
    <x v="1571"/>
  </r>
  <r>
    <n v="10351"/>
    <n v="34"/>
    <n v="59.37"/>
    <n v="3"/>
    <n v="2018.58"/>
    <d v="2019-12-03T00:00:00"/>
    <s v="Shipped"/>
    <s v="Planes"/>
    <n v="68"/>
    <s v="S24_3949"/>
    <x v="26"/>
    <s v="(171) 555-0297"/>
    <s v="35 King George"/>
    <s v="London"/>
    <s v="WX3 6FW"/>
    <s v="UK"/>
    <s v="Brown"/>
    <s v="Ann"/>
    <s v="Small"/>
    <x v="305"/>
  </r>
  <r>
    <n v="10352"/>
    <n v="23"/>
    <n v="102.29"/>
    <n v="3"/>
    <n v="2352.67"/>
    <d v="2019-12-03T00:00:00"/>
    <s v="Shipped"/>
    <s v="Ships"/>
    <n v="90"/>
    <s v="S700_2047"/>
    <x v="28"/>
    <s v="6175558428"/>
    <s v="16780 Pompton St."/>
    <s v="Brickhaven"/>
    <s v="58339"/>
    <s v="USA"/>
    <s v="Taylor"/>
    <s v="Leslie"/>
    <s v="Small"/>
    <x v="1572"/>
  </r>
  <r>
    <n v="10352"/>
    <n v="49"/>
    <n v="100.72"/>
    <n v="2"/>
    <n v="4935.28"/>
    <d v="2019-12-03T00:00:00"/>
    <s v="Shipped"/>
    <s v="Planes"/>
    <n v="99"/>
    <s v="S700_2466"/>
    <x v="28"/>
    <s v="6175558428"/>
    <s v="16780 Pompton St."/>
    <s v="Brickhaven"/>
    <s v="58339"/>
    <s v="USA"/>
    <s v="Taylor"/>
    <s v="Leslie"/>
    <s v="Medium"/>
    <x v="1573"/>
  </r>
  <r>
    <n v="10352"/>
    <n v="22"/>
    <n v="75.510000000000005"/>
    <n v="1"/>
    <n v="1661.22"/>
    <d v="2019-12-03T00:00:00"/>
    <s v="Shipped"/>
    <s v="Planes"/>
    <n v="74"/>
    <s v="S700_4002"/>
    <x v="28"/>
    <s v="6175558428"/>
    <s v="16780 Pompton St."/>
    <s v="Brickhaven"/>
    <s v="58339"/>
    <s v="USA"/>
    <s v="Taylor"/>
    <s v="Leslie"/>
    <s v="Small"/>
    <x v="173"/>
  </r>
  <r>
    <n v="10352"/>
    <n v="49"/>
    <n v="52.64"/>
    <n v="4"/>
    <n v="2579.36"/>
    <d v="2019-12-03T00:00:00"/>
    <s v="Shipped"/>
    <s v="Planes"/>
    <n v="49"/>
    <s v="S72_1253"/>
    <x v="28"/>
    <s v="6175558428"/>
    <s v="16780 Pompton St."/>
    <s v="Brickhaven"/>
    <s v="58339"/>
    <s v="USA"/>
    <s v="Taylor"/>
    <s v="Leslie"/>
    <s v="Small"/>
    <x v="776"/>
  </r>
  <r>
    <n v="10353"/>
    <n v="27"/>
    <n v="130.21"/>
    <n v="1"/>
    <n v="3515.67"/>
    <d v="2019-12-04T00:00:00"/>
    <s v="Shipped"/>
    <s v="Planes"/>
    <n v="84"/>
    <s v="S18_2581"/>
    <x v="27"/>
    <s v="2035554407"/>
    <s v="2440 Pompton St."/>
    <s v="Glendale"/>
    <s v="97561"/>
    <s v="USA"/>
    <s v="Lewis"/>
    <s v="Dan"/>
    <s v="Medium"/>
    <x v="1574"/>
  </r>
  <r>
    <n v="10353"/>
    <n v="28"/>
    <n v="71.73"/>
    <n v="2"/>
    <n v="2008.44"/>
    <d v="2019-12-04T00:00:00"/>
    <s v="Shipped"/>
    <s v="Planes"/>
    <n v="109"/>
    <s v="S24_1785"/>
    <x v="27"/>
    <s v="2035554407"/>
    <s v="2440 Pompton St."/>
    <s v="Glendale"/>
    <s v="97561"/>
    <s v="USA"/>
    <s v="Lewis"/>
    <s v="Dan"/>
    <s v="Small"/>
    <x v="724"/>
  </r>
  <r>
    <n v="10353"/>
    <n v="35"/>
    <n v="89.9"/>
    <n v="3"/>
    <n v="3146.5"/>
    <d v="2019-12-04T00:00:00"/>
    <s v="Shipped"/>
    <s v="Planes"/>
    <n v="72"/>
    <s v="S24_4278"/>
    <x v="27"/>
    <s v="2035554407"/>
    <s v="2440 Pompton St."/>
    <s v="Glendale"/>
    <s v="97561"/>
    <s v="USA"/>
    <s v="Lewis"/>
    <s v="Dan"/>
    <s v="Medium"/>
    <x v="1575"/>
  </r>
  <r>
    <n v="10353"/>
    <n v="46"/>
    <n v="81.17"/>
    <n v="5"/>
    <n v="3733.82"/>
    <d v="2019-12-04T00:00:00"/>
    <s v="Shipped"/>
    <s v="Motorcycles"/>
    <n v="99"/>
    <s v="S32_1374"/>
    <x v="27"/>
    <s v="2035554407"/>
    <s v="2440 Pompton St."/>
    <s v="Glendale"/>
    <s v="97561"/>
    <s v="USA"/>
    <s v="Lewis"/>
    <s v="Dan"/>
    <s v="Medium"/>
    <x v="1576"/>
  </r>
  <r>
    <n v="10353"/>
    <n v="40"/>
    <n v="44.51"/>
    <n v="7"/>
    <n v="1780.4"/>
    <d v="2019-12-04T00:00:00"/>
    <s v="Shipped"/>
    <s v="Vintage Cars"/>
    <n v="68"/>
    <s v="S32_4289"/>
    <x v="27"/>
    <s v="2035554407"/>
    <s v="2440 Pompton St."/>
    <s v="Glendale"/>
    <s v="97561"/>
    <s v="USA"/>
    <s v="Lewis"/>
    <s v="Dan"/>
    <s v="Small"/>
    <x v="1169"/>
  </r>
  <r>
    <n v="10353"/>
    <n v="40"/>
    <n v="82.21"/>
    <n v="8"/>
    <n v="3288.4"/>
    <d v="2019-12-04T00:00:00"/>
    <s v="Shipped"/>
    <s v="Vintage Cars"/>
    <n v="43"/>
    <s v="S50_1341"/>
    <x v="27"/>
    <s v="2035554407"/>
    <s v="2440 Pompton St."/>
    <s v="Glendale"/>
    <s v="97561"/>
    <s v="USA"/>
    <s v="Lewis"/>
    <s v="Dan"/>
    <s v="Medium"/>
    <x v="1577"/>
  </r>
  <r>
    <n v="10353"/>
    <n v="39"/>
    <n v="129.33000000000001"/>
    <n v="9"/>
    <n v="5043.87"/>
    <d v="2019-12-04T00:00:00"/>
    <s v="Shipped"/>
    <s v="Planes"/>
    <n v="91"/>
    <s v="S700_1691"/>
    <x v="27"/>
    <s v="2035554407"/>
    <s v="2440 Pompton St."/>
    <s v="Glendale"/>
    <s v="97561"/>
    <s v="USA"/>
    <s v="Lewis"/>
    <s v="Dan"/>
    <s v="Medium"/>
    <x v="1578"/>
  </r>
  <r>
    <n v="10353"/>
    <n v="48"/>
    <n v="68.8"/>
    <n v="4"/>
    <n v="3302.4"/>
    <d v="2019-12-04T00:00:00"/>
    <s v="Shipped"/>
    <s v="Planes"/>
    <n v="118"/>
    <s v="S700_2834"/>
    <x v="27"/>
    <s v="2035554407"/>
    <s v="2440 Pompton St."/>
    <s v="Glendale"/>
    <s v="97561"/>
    <s v="USA"/>
    <s v="Lewis"/>
    <s v="Dan"/>
    <s v="Medium"/>
    <x v="1100"/>
  </r>
  <r>
    <n v="10353"/>
    <n v="43"/>
    <n v="81.95"/>
    <n v="6"/>
    <n v="3523.85"/>
    <d v="2019-12-04T00:00:00"/>
    <s v="Shipped"/>
    <s v="Planes"/>
    <n v="80"/>
    <s v="S700_3167"/>
    <x v="27"/>
    <s v="2035554407"/>
    <s v="2440 Pompton St."/>
    <s v="Glendale"/>
    <s v="97561"/>
    <s v="USA"/>
    <s v="Lewis"/>
    <s v="Dan"/>
    <s v="Medium"/>
    <x v="967"/>
  </r>
  <r>
    <n v="10355"/>
    <n v="23"/>
    <n v="138.16999999999999"/>
    <n v="7"/>
    <n v="3177.91"/>
    <d v="2019-12-07T00:00:00"/>
    <s v="Shipped"/>
    <s v="Classic Cars"/>
    <n v="146"/>
    <s v="S18_3482"/>
    <x v="4"/>
    <s v="(91) 555 94 44"/>
    <s v="C/ Moralzarzal, 86"/>
    <s v="Madrid"/>
    <s v="28034"/>
    <s v="Spain"/>
    <s v="Freyre"/>
    <s v="Diego"/>
    <s v="Medium"/>
    <x v="152"/>
  </r>
  <r>
    <n v="10355"/>
    <n v="31"/>
    <n v="53.47"/>
    <n v="1"/>
    <n v="1657.57"/>
    <d v="2019-12-07T00:00:00"/>
    <s v="Shipped"/>
    <s v="Motorcycles"/>
    <n v="62"/>
    <s v="S18_3782"/>
    <x v="4"/>
    <s v="(91) 555 94 44"/>
    <s v="C/ Moralzarzal, 86"/>
    <s v="Madrid"/>
    <s v="28034"/>
    <s v="Spain"/>
    <s v="Freyre"/>
    <s v="Diego"/>
    <s v="Small"/>
    <x v="709"/>
  </r>
  <r>
    <n v="10355"/>
    <n v="25"/>
    <n v="168.14"/>
    <n v="2"/>
    <n v="4203.5"/>
    <d v="2019-12-07T00:00:00"/>
    <s v="Shipped"/>
    <s v="Classic Cars"/>
    <n v="148"/>
    <s v="S18_4721"/>
    <x v="4"/>
    <s v="(91) 555 94 44"/>
    <s v="C/ Moralzarzal, 86"/>
    <s v="Madrid"/>
    <s v="28034"/>
    <s v="Spain"/>
    <s v="Freyre"/>
    <s v="Diego"/>
    <s v="Medium"/>
    <x v="167"/>
  </r>
  <r>
    <n v="10355"/>
    <n v="41"/>
    <n v="70.650000000000006"/>
    <n v="3"/>
    <n v="2896.65"/>
    <d v="2019-12-07T00:00:00"/>
    <s v="Shipped"/>
    <s v="Motorcycles"/>
    <n v="69"/>
    <s v="S24_2360"/>
    <x v="4"/>
    <s v="(91) 555 94 44"/>
    <s v="C/ Moralzarzal, 86"/>
    <s v="Madrid"/>
    <s v="28034"/>
    <s v="Spain"/>
    <s v="Freyre"/>
    <s v="Diego"/>
    <s v="Small"/>
    <x v="229"/>
  </r>
  <r>
    <n v="10355"/>
    <n v="36"/>
    <n v="38.520000000000003"/>
    <n v="4"/>
    <n v="1386.72"/>
    <d v="2019-12-07T00:00:00"/>
    <s v="Shipped"/>
    <s v="Classic Cars"/>
    <n v="37"/>
    <s v="S24_2972"/>
    <x v="4"/>
    <s v="(91) 555 94 44"/>
    <s v="C/ Moralzarzal, 86"/>
    <s v="Madrid"/>
    <s v="28034"/>
    <s v="Spain"/>
    <s v="Freyre"/>
    <s v="Diego"/>
    <s v="Small"/>
    <x v="1579"/>
  </r>
  <r>
    <n v="10355"/>
    <n v="44"/>
    <n v="62.45"/>
    <n v="6"/>
    <n v="2747.8"/>
    <d v="2019-12-07T00:00:00"/>
    <s v="Shipped"/>
    <s v="Classic Cars"/>
    <n v="61"/>
    <s v="S24_3371"/>
    <x v="4"/>
    <s v="(91) 555 94 44"/>
    <s v="C/ Moralzarzal, 86"/>
    <s v="Madrid"/>
    <s v="28034"/>
    <s v="Spain"/>
    <s v="Freyre"/>
    <s v="Diego"/>
    <s v="Small"/>
    <x v="1580"/>
  </r>
  <r>
    <n v="10355"/>
    <n v="32"/>
    <n v="165.71"/>
    <n v="8"/>
    <n v="5302.72"/>
    <d v="2019-12-07T00:00:00"/>
    <s v="Shipped"/>
    <s v="Classic Cars"/>
    <n v="140"/>
    <s v="S24_3856"/>
    <x v="4"/>
    <s v="(91) 555 94 44"/>
    <s v="C/ Moralzarzal, 86"/>
    <s v="Madrid"/>
    <s v="28034"/>
    <s v="Spain"/>
    <s v="Freyre"/>
    <s v="Diego"/>
    <s v="Medium"/>
    <x v="1464"/>
  </r>
  <r>
    <n v="10355"/>
    <n v="28"/>
    <n v="95.39"/>
    <n v="9"/>
    <n v="2670.92"/>
    <d v="2019-12-07T00:00:00"/>
    <s v="Shipped"/>
    <s v="Classic Cars"/>
    <n v="80"/>
    <s v="S24_4620"/>
    <x v="4"/>
    <s v="(91) 555 94 44"/>
    <s v="C/ Moralzarzal, 86"/>
    <s v="Madrid"/>
    <s v="28034"/>
    <s v="Spain"/>
    <s v="Freyre"/>
    <s v="Diego"/>
    <s v="Small"/>
    <x v="949"/>
  </r>
  <r>
    <n v="10355"/>
    <n v="38"/>
    <n v="39.83"/>
    <n v="10"/>
    <n v="1513.54"/>
    <d v="2019-12-07T00:00:00"/>
    <s v="Shipped"/>
    <s v="Motorcycles"/>
    <n v="40"/>
    <s v="S32_2206"/>
    <x v="4"/>
    <s v="(91) 555 94 44"/>
    <s v="C/ Moralzarzal, 86"/>
    <s v="Madrid"/>
    <s v="28034"/>
    <s v="Spain"/>
    <s v="Freyre"/>
    <s v="Diego"/>
    <s v="Small"/>
    <x v="1581"/>
  </r>
  <r>
    <n v="10355"/>
    <n v="40"/>
    <n v="108.17"/>
    <n v="5"/>
    <n v="4326.8"/>
    <d v="2019-12-07T00:00:00"/>
    <s v="Shipped"/>
    <s v="Motorcycles"/>
    <n v="102"/>
    <s v="S32_4485"/>
    <x v="4"/>
    <s v="(91) 555 94 44"/>
    <s v="C/ Moralzarzal, 86"/>
    <s v="Madrid"/>
    <s v="28034"/>
    <s v="Spain"/>
    <s v="Freyre"/>
    <s v="Diego"/>
    <s v="Medium"/>
    <x v="155"/>
  </r>
  <r>
    <n v="10356"/>
    <n v="43"/>
    <n v="97.6"/>
    <n v="8"/>
    <n v="4196.8"/>
    <d v="2019-12-09T00:00:00"/>
    <s v="Shipped"/>
    <s v="Classic Cars"/>
    <n v="141"/>
    <s v="S18_1129"/>
    <x v="29"/>
    <s v="+33 1 46 62 7555"/>
    <s v="27 rue du Colonel Pierre Avia"/>
    <s v="Paris"/>
    <s v="75508"/>
    <s v="France"/>
    <s v="Da Cunha"/>
    <s v="Daniel"/>
    <s v="Medium"/>
    <x v="624"/>
  </r>
  <r>
    <n v="10356"/>
    <n v="50"/>
    <n v="50.18"/>
    <n v="9"/>
    <n v="2509"/>
    <d v="2019-12-09T00:00:00"/>
    <s v="Shipped"/>
    <s v="Vintage Cars"/>
    <n v="102"/>
    <s v="S18_1342"/>
    <x v="29"/>
    <s v="+33 1 46 62 7555"/>
    <s v="27 rue du Colonel Pierre Avia"/>
    <s v="Paris"/>
    <s v="75508"/>
    <s v="France"/>
    <s v="Da Cunha"/>
    <s v="Daniel"/>
    <s v="Small"/>
    <x v="1582"/>
  </r>
  <r>
    <n v="10356"/>
    <n v="22"/>
    <n v="72.41"/>
    <n v="6"/>
    <n v="1593.02"/>
    <d v="2019-12-09T00:00:00"/>
    <s v="Shipped"/>
    <s v="Vintage Cars"/>
    <n v="53"/>
    <s v="S18_1367"/>
    <x v="29"/>
    <s v="+33 1 46 62 7555"/>
    <s v="27 rue du Colonel Pierre Avia"/>
    <s v="Paris"/>
    <s v="75508"/>
    <s v="France"/>
    <s v="Da Cunha"/>
    <s v="Daniel"/>
    <s v="Small"/>
    <x v="818"/>
  </r>
  <r>
    <n v="10356"/>
    <n v="27"/>
    <n v="64.69"/>
    <n v="2"/>
    <n v="1746.63"/>
    <d v="2019-12-09T00:00:00"/>
    <s v="Shipped"/>
    <s v="Classic Cars"/>
    <n v="142"/>
    <s v="S18_1984"/>
    <x v="29"/>
    <s v="+33 1 46 62 7555"/>
    <s v="27 rue du Colonel Pierre Avia"/>
    <s v="Paris"/>
    <s v="75508"/>
    <s v="France"/>
    <s v="Da Cunha"/>
    <s v="Daniel"/>
    <s v="Small"/>
    <x v="488"/>
  </r>
  <r>
    <n v="10356"/>
    <n v="29"/>
    <n v="125.18"/>
    <n v="3"/>
    <n v="3630.22"/>
    <d v="2019-12-09T00:00:00"/>
    <s v="Shipped"/>
    <s v="Vintage Cars"/>
    <n v="127"/>
    <s v="S18_2325"/>
    <x v="29"/>
    <s v="+33 1 46 62 7555"/>
    <s v="27 rue du Colonel Pierre Avia"/>
    <s v="Paris"/>
    <s v="75508"/>
    <s v="France"/>
    <s v="Da Cunha"/>
    <s v="Daniel"/>
    <s v="Medium"/>
    <x v="499"/>
  </r>
  <r>
    <n v="10356"/>
    <n v="30"/>
    <n v="148.74"/>
    <n v="1"/>
    <n v="4462.2"/>
    <d v="2019-12-09T00:00:00"/>
    <s v="Shipped"/>
    <s v="Vintage Cars"/>
    <n v="168"/>
    <s v="S18_2795"/>
    <x v="29"/>
    <s v="+33 1 46 62 7555"/>
    <s v="27 rue du Colonel Pierre Avia"/>
    <s v="Paris"/>
    <s v="75508"/>
    <s v="France"/>
    <s v="Da Cunha"/>
    <s v="Daniel"/>
    <s v="Medium"/>
    <x v="1583"/>
  </r>
  <r>
    <n v="10356"/>
    <n v="48"/>
    <n v="202.5"/>
    <n v="5"/>
    <n v="9720"/>
    <d v="2019-12-09T00:00:00"/>
    <s v="Shipped"/>
    <s v="Vintage Cars"/>
    <n v="33"/>
    <s v="S24_1937"/>
    <x v="29"/>
    <s v="+33 1 46 62 7555"/>
    <s v="27 rue du Colonel Pierre Avia"/>
    <s v="Paris"/>
    <s v="75508"/>
    <s v="France"/>
    <s v="Da Cunha"/>
    <s v="Daniel"/>
    <s v="Large"/>
    <x v="1584"/>
  </r>
  <r>
    <n v="10356"/>
    <n v="26"/>
    <n v="31.86"/>
    <n v="7"/>
    <n v="828.36"/>
    <d v="2019-12-09T00:00:00"/>
    <s v="Shipped"/>
    <s v="Vintage Cars"/>
    <n v="44"/>
    <s v="S24_2022"/>
    <x v="29"/>
    <s v="+33 1 46 62 7555"/>
    <s v="27 rue du Colonel Pierre Avia"/>
    <s v="Paris"/>
    <s v="75508"/>
    <s v="France"/>
    <s v="Da Cunha"/>
    <s v="Daniel"/>
    <s v="Small"/>
    <x v="773"/>
  </r>
  <r>
    <n v="10356"/>
    <n v="26"/>
    <n v="151.44999999999999"/>
    <n v="4"/>
    <n v="3937.7"/>
    <d v="2019-12-09T00:00:00"/>
    <s v="Shipped"/>
    <s v="Motorcycles"/>
    <n v="81"/>
    <s v="S50_4713"/>
    <x v="29"/>
    <s v="+33 1 46 62 7555"/>
    <s v="27 rue du Colonel Pierre Avia"/>
    <s v="Paris"/>
    <s v="75508"/>
    <s v="France"/>
    <s v="Da Cunha"/>
    <s v="Daniel"/>
    <s v="Medium"/>
    <x v="1297"/>
  </r>
  <r>
    <n v="10357"/>
    <n v="32"/>
    <n v="177.87"/>
    <n v="10"/>
    <n v="5691.84"/>
    <d v="2019-12-10T00:00:00"/>
    <s v="Shipped"/>
    <s v="Classic Cars"/>
    <n v="214"/>
    <s v="S10_1949"/>
    <x v="12"/>
    <s v="4155551450"/>
    <s v="5677 Strong St."/>
    <s v="San Rafael"/>
    <s v="97562"/>
    <s v="USA"/>
    <s v="Nelson"/>
    <s v="Valarie"/>
    <s v="Medium"/>
    <x v="1585"/>
  </r>
  <r>
    <n v="10357"/>
    <n v="43"/>
    <n v="134.44"/>
    <n v="9"/>
    <n v="5780.92"/>
    <d v="2019-12-10T00:00:00"/>
    <s v="Shipped"/>
    <s v="Classic Cars"/>
    <n v="147"/>
    <s v="S10_4962"/>
    <x v="12"/>
    <s v="4155551450"/>
    <s v="5677 Strong St."/>
    <s v="San Rafael"/>
    <s v="97562"/>
    <s v="USA"/>
    <s v="Nelson"/>
    <s v="Valarie"/>
    <s v="Medium"/>
    <x v="1352"/>
  </r>
  <r>
    <n v="10357"/>
    <n v="49"/>
    <n v="121.64"/>
    <n v="8"/>
    <n v="5960.36"/>
    <d v="2019-12-10T00:00:00"/>
    <s v="Shipped"/>
    <s v="Trucks and Buses"/>
    <n v="136"/>
    <s v="S12_1666"/>
    <x v="12"/>
    <s v="4155551450"/>
    <s v="5677 Strong St."/>
    <s v="San Rafael"/>
    <s v="97562"/>
    <s v="USA"/>
    <s v="Nelson"/>
    <s v="Valarie"/>
    <s v="Medium"/>
    <x v="1365"/>
  </r>
  <r>
    <n v="10358"/>
    <n v="49"/>
    <n v="55.34"/>
    <n v="5"/>
    <n v="2711.66"/>
    <d v="2019-12-10T00:00:00"/>
    <s v="Shipped"/>
    <s v="Classic Cars"/>
    <n v="151"/>
    <s v="S12_3148"/>
    <x v="4"/>
    <s v="(91) 555 94 44"/>
    <s v="C/ Moralzarzal, 86"/>
    <s v="Madrid"/>
    <s v="28034"/>
    <s v="Spain"/>
    <s v="Freyre"/>
    <s v="Diego"/>
    <s v="Small"/>
    <x v="1586"/>
  </r>
  <r>
    <n v="10358"/>
    <n v="42"/>
    <n v="64.16"/>
    <n v="9"/>
    <n v="2694.72"/>
    <d v="2019-12-10T00:00:00"/>
    <s v="Shipped"/>
    <s v="Trucks and Buses"/>
    <n v="118"/>
    <s v="S12_4473"/>
    <x v="4"/>
    <s v="(91) 555 94 44"/>
    <s v="C/ Moralzarzal, 86"/>
    <s v="Madrid"/>
    <s v="28034"/>
    <s v="Spain"/>
    <s v="Freyre"/>
    <s v="Diego"/>
    <s v="Small"/>
    <x v="1587"/>
  </r>
  <r>
    <n v="10357"/>
    <n v="39"/>
    <n v="98"/>
    <n v="1"/>
    <n v="3822"/>
    <d v="2019-12-10T00:00:00"/>
    <s v="Shipped"/>
    <s v="Trucks and Buses"/>
    <n v="116"/>
    <s v="S18_1097"/>
    <x v="12"/>
    <s v="4155551450"/>
    <s v="5677 Strong St."/>
    <s v="San Rafael"/>
    <s v="97562"/>
    <s v="USA"/>
    <s v="Nelson"/>
    <s v="Valarie"/>
    <s v="Medium"/>
    <x v="1588"/>
  </r>
  <r>
    <n v="10358"/>
    <n v="20"/>
    <n v="121.4"/>
    <n v="10"/>
    <n v="2428"/>
    <d v="2019-12-10T00:00:00"/>
    <s v="Shipped"/>
    <s v="Classic Cars"/>
    <n v="163"/>
    <s v="S18_2238"/>
    <x v="4"/>
    <s v="(91) 555 94 44"/>
    <s v="C/ Moralzarzal, 86"/>
    <s v="Madrid"/>
    <s v="28034"/>
    <s v="Spain"/>
    <s v="Freyre"/>
    <s v="Diego"/>
    <s v="Small"/>
    <x v="1589"/>
  </r>
  <r>
    <n v="10358"/>
    <n v="20"/>
    <n v="36.42"/>
    <n v="11"/>
    <n v="728.4"/>
    <d v="2019-12-10T00:00:00"/>
    <s v="Shipped"/>
    <s v="Trucks and Buses"/>
    <n v="122"/>
    <s v="S18_2319"/>
    <x v="4"/>
    <s v="(91) 555 94 44"/>
    <s v="C/ Moralzarzal, 86"/>
    <s v="Madrid"/>
    <s v="28034"/>
    <s v="Spain"/>
    <s v="Freyre"/>
    <s v="Diego"/>
    <s v="Small"/>
    <x v="1590"/>
  </r>
  <r>
    <n v="10357"/>
    <n v="41"/>
    <n v="61.99"/>
    <n v="7"/>
    <n v="2541.59"/>
    <d v="2019-12-10T00:00:00"/>
    <s v="Shipped"/>
    <s v="Trucks and Buses"/>
    <n v="60"/>
    <s v="S18_2432"/>
    <x v="12"/>
    <s v="4155551450"/>
    <s v="5677 Strong St."/>
    <s v="San Rafael"/>
    <s v="97562"/>
    <s v="USA"/>
    <s v="Nelson"/>
    <s v="Valarie"/>
    <s v="Small"/>
    <x v="1591"/>
  </r>
  <r>
    <n v="10357"/>
    <n v="41"/>
    <n v="87.13"/>
    <n v="6"/>
    <n v="3572.33"/>
    <d v="2019-12-10T00:00:00"/>
    <s v="Shipped"/>
    <s v="Vintage Cars"/>
    <n v="101"/>
    <s v="S18_2949"/>
    <x v="12"/>
    <s v="4155551450"/>
    <s v="5677 Strong St."/>
    <s v="San Rafael"/>
    <s v="97562"/>
    <s v="USA"/>
    <s v="Nelson"/>
    <s v="Valarie"/>
    <s v="Medium"/>
    <x v="738"/>
  </r>
  <r>
    <n v="10357"/>
    <n v="49"/>
    <n v="70.58"/>
    <n v="5"/>
    <n v="3458.42"/>
    <d v="2019-12-10T00:00:00"/>
    <s v="Shipped"/>
    <s v="Vintage Cars"/>
    <n v="62"/>
    <s v="S18_2957"/>
    <x v="12"/>
    <s v="4155551450"/>
    <s v="5677 Strong St."/>
    <s v="San Rafael"/>
    <s v="97562"/>
    <s v="USA"/>
    <s v="Nelson"/>
    <s v="Valarie"/>
    <s v="Medium"/>
    <x v="720"/>
  </r>
  <r>
    <n v="10357"/>
    <n v="44"/>
    <n v="117.29"/>
    <n v="4"/>
    <n v="5160.76"/>
    <d v="2019-12-10T00:00:00"/>
    <s v="Shipped"/>
    <s v="Vintage Cars"/>
    <n v="104"/>
    <s v="S18_3136"/>
    <x v="12"/>
    <s v="4155551450"/>
    <s v="5677 Strong St."/>
    <s v="San Rafael"/>
    <s v="97562"/>
    <s v="USA"/>
    <s v="Nelson"/>
    <s v="Valarie"/>
    <s v="Medium"/>
    <x v="1592"/>
  </r>
  <r>
    <n v="10358"/>
    <n v="32"/>
    <n v="93.49"/>
    <n v="12"/>
    <n v="2991.68"/>
    <d v="2019-12-10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Small"/>
    <x v="753"/>
  </r>
  <r>
    <n v="10357"/>
    <n v="25"/>
    <n v="104.17"/>
    <n v="3"/>
    <n v="2604.25"/>
    <d v="2019-12-10T00:00:00"/>
    <s v="Shipped"/>
    <s v="Vintage Cars"/>
    <n v="99"/>
    <s v="S18_3320"/>
    <x v="12"/>
    <s v="4155551450"/>
    <s v="5677 Strong St."/>
    <s v="San Rafael"/>
    <s v="97562"/>
    <s v="USA"/>
    <s v="Nelson"/>
    <s v="Valarie"/>
    <s v="Small"/>
    <x v="945"/>
  </r>
  <r>
    <n v="10358"/>
    <n v="25"/>
    <n v="101.13"/>
    <n v="13"/>
    <n v="2528.25"/>
    <d v="2019-12-10T00:00:00"/>
    <s v="Shipped"/>
    <s v="Classic Cars"/>
    <n v="143"/>
    <s v="S18_4027"/>
    <x v="4"/>
    <s v="(91) 555 94 44"/>
    <s v="C/ Moralzarzal, 86"/>
    <s v="Madrid"/>
    <s v="28034"/>
    <s v="Spain"/>
    <s v="Freyre"/>
    <s v="Diego"/>
    <s v="Small"/>
    <x v="722"/>
  </r>
  <r>
    <n v="10357"/>
    <n v="28"/>
    <n v="127.13"/>
    <n v="2"/>
    <n v="3559.64"/>
    <d v="2019-12-10T00:00:00"/>
    <s v="Shipped"/>
    <s v="Trucks and Buses"/>
    <n v="121"/>
    <s v="S18_4600"/>
    <x v="12"/>
    <s v="4155551450"/>
    <s v="5677 Strong St."/>
    <s v="San Rafael"/>
    <s v="97562"/>
    <s v="USA"/>
    <s v="Nelson"/>
    <s v="Valarie"/>
    <s v="Medium"/>
    <x v="1375"/>
  </r>
  <r>
    <n v="10358"/>
    <n v="30"/>
    <n v="176.76"/>
    <n v="8"/>
    <n v="5302.8"/>
    <d v="2019-12-10T00:00:00"/>
    <s v="Shipped"/>
    <s v="Vintage Cars"/>
    <n v="50"/>
    <s v="S18_4668"/>
    <x v="4"/>
    <s v="(91) 555 94 44"/>
    <s v="C/ Moralzarzal, 86"/>
    <s v="Madrid"/>
    <s v="28034"/>
    <s v="Spain"/>
    <s v="Freyre"/>
    <s v="Diego"/>
    <s v="Medium"/>
    <x v="1340"/>
  </r>
  <r>
    <n v="10358"/>
    <n v="44"/>
    <n v="60.76"/>
    <n v="14"/>
    <n v="2673.44"/>
    <d v="2019-12-10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1593"/>
  </r>
  <r>
    <n v="10358"/>
    <n v="41"/>
    <n v="138.65"/>
    <n v="7"/>
    <n v="5684.65"/>
    <d v="2019-12-10T00:00:00"/>
    <s v="Shipped"/>
    <s v="Trucks and Buses"/>
    <n v="127"/>
    <s v="S24_2300"/>
    <x v="4"/>
    <s v="(91) 555 94 44"/>
    <s v="C/ Moralzarzal, 86"/>
    <s v="Madrid"/>
    <s v="28034"/>
    <s v="Spain"/>
    <s v="Freyre"/>
    <s v="Diego"/>
    <s v="Medium"/>
    <x v="1594"/>
  </r>
  <r>
    <n v="10358"/>
    <n v="36"/>
    <n v="82.94"/>
    <n v="4"/>
    <n v="2985.84"/>
    <d v="2019-12-10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Small"/>
    <x v="1595"/>
  </r>
  <r>
    <n v="10358"/>
    <n v="41"/>
    <n v="167"/>
    <n v="6"/>
    <n v="6847"/>
    <d v="2019-12-10T00:00:00"/>
    <s v="Shipped"/>
    <s v="Vintage Cars"/>
    <n v="97"/>
    <s v="S24_4258"/>
    <x v="4"/>
    <s v="(91) 555 94 44"/>
    <s v="C/ Moralzarzal, 86"/>
    <s v="Madrid"/>
    <s v="28034"/>
    <s v="Spain"/>
    <s v="Freyre"/>
    <s v="Diego"/>
    <s v="Medium"/>
    <x v="730"/>
  </r>
  <r>
    <n v="10358"/>
    <n v="41"/>
    <n v="108"/>
    <n v="1"/>
    <n v="4428"/>
    <d v="2019-12-10T00:00:00"/>
    <s v="Shipped"/>
    <s v="Trucks and Buses"/>
    <n v="96"/>
    <s v="S32_1268"/>
    <x v="4"/>
    <s v="(91) 555 94 44"/>
    <s v="C/ Moralzarzal, 86"/>
    <s v="Madrid"/>
    <s v="28034"/>
    <s v="Spain"/>
    <s v="Freyre"/>
    <s v="Diego"/>
    <s v="Medium"/>
    <x v="1357"/>
  </r>
  <r>
    <n v="10358"/>
    <n v="36"/>
    <n v="157.49"/>
    <n v="2"/>
    <n v="5669.64"/>
    <d v="2019-12-10T00:00:00"/>
    <s v="Shipped"/>
    <s v="Trucks and Buses"/>
    <n v="64"/>
    <s v="S32_3522"/>
    <x v="4"/>
    <s v="(91) 555 94 44"/>
    <s v="C/ Moralzarzal, 86"/>
    <s v="Madrid"/>
    <s v="28034"/>
    <s v="Spain"/>
    <s v="Freyre"/>
    <s v="Diego"/>
    <s v="Medium"/>
    <x v="1331"/>
  </r>
  <r>
    <n v="10358"/>
    <n v="27"/>
    <n v="139.31"/>
    <n v="3"/>
    <n v="3761.37"/>
    <d v="2019-12-10T00:00:00"/>
    <s v="Shipped"/>
    <s v="Classic Cars"/>
    <n v="101"/>
    <s v="S700_2824"/>
    <x v="4"/>
    <s v="(91) 555 94 44"/>
    <s v="C/ Moralzarzal, 86"/>
    <s v="Madrid"/>
    <s v="28034"/>
    <s v="Spain"/>
    <s v="Freyre"/>
    <s v="Diego"/>
    <s v="Medium"/>
    <x v="1596"/>
  </r>
  <r>
    <n v="10359"/>
    <n v="48"/>
    <n v="54.68"/>
    <n v="6"/>
    <n v="2624.64"/>
    <d v="2019-12-15T00:00:00"/>
    <s v="Shipped"/>
    <s v="Classic Cars"/>
    <n v="136"/>
    <s v="S10_4757"/>
    <x v="20"/>
    <s v="26.47.1555"/>
    <s v="59 rue de l'Abbaye"/>
    <s v="Reims"/>
    <s v="51100"/>
    <s v="France"/>
    <s v="Henriot"/>
    <s v="Paul"/>
    <s v="Small"/>
    <x v="1597"/>
  </r>
  <r>
    <n v="10359"/>
    <n v="42"/>
    <n v="113.44"/>
    <n v="8"/>
    <n v="4764.4799999999996"/>
    <d v="2019-12-15T00:00:00"/>
    <s v="Shipped"/>
    <s v="Classic Cars"/>
    <n v="207"/>
    <s v="S12_1108"/>
    <x v="20"/>
    <s v="26.47.1555"/>
    <s v="59 rue de l'Abbaye"/>
    <s v="Reims"/>
    <s v="51100"/>
    <s v="France"/>
    <s v="Henriot"/>
    <s v="Paul"/>
    <s v="Medium"/>
    <x v="1392"/>
  </r>
  <r>
    <n v="10359"/>
    <n v="49"/>
    <n v="62.09"/>
    <n v="5"/>
    <n v="3042.41"/>
    <d v="2019-12-15T00:00:00"/>
    <s v="Shipped"/>
    <s v="Classic Cars"/>
    <n v="173"/>
    <s v="S12_3891"/>
    <x v="20"/>
    <s v="26.47.1555"/>
    <s v="59 rue de l'Abbaye"/>
    <s v="Reims"/>
    <s v="51100"/>
    <s v="France"/>
    <s v="Henriot"/>
    <s v="Paul"/>
    <s v="Medium"/>
    <x v="1598"/>
  </r>
  <r>
    <n v="10359"/>
    <n v="22"/>
    <n v="118.32"/>
    <n v="7"/>
    <n v="2603.04"/>
    <d v="2019-12-15T00:00:00"/>
    <s v="Shipped"/>
    <s v="Classic Cars"/>
    <n v="118"/>
    <s v="S24_4048"/>
    <x v="20"/>
    <s v="26.47.1555"/>
    <s v="59 rue de l'Abbaye"/>
    <s v="Reims"/>
    <s v="51100"/>
    <s v="France"/>
    <s v="Henriot"/>
    <s v="Paul"/>
    <s v="Small"/>
    <x v="107"/>
  </r>
  <r>
    <n v="10359"/>
    <n v="36"/>
    <n v="176.63"/>
    <n v="3"/>
    <n v="6358.68"/>
    <d v="2019-12-15T00:00:00"/>
    <s v="Shipped"/>
    <s v="Trucks and Buses"/>
    <n v="54"/>
    <s v="S32_2509"/>
    <x v="20"/>
    <s v="26.47.1555"/>
    <s v="59 rue de l'Abbaye"/>
    <s v="Reims"/>
    <s v="51100"/>
    <s v="France"/>
    <s v="Henriot"/>
    <s v="Paul"/>
    <s v="Medium"/>
    <x v="1259"/>
  </r>
  <r>
    <n v="10359"/>
    <n v="22"/>
    <n v="195.51"/>
    <n v="1"/>
    <n v="4301.22"/>
    <d v="2019-12-15T00:00:00"/>
    <s v="Shipped"/>
    <s v="Trains"/>
    <n v="62"/>
    <s v="S32_3207"/>
    <x v="20"/>
    <s v="26.47.1555"/>
    <s v="59 rue de l'Abbaye"/>
    <s v="Reims"/>
    <s v="51100"/>
    <s v="France"/>
    <s v="Henriot"/>
    <s v="Paul"/>
    <s v="Medium"/>
    <x v="1183"/>
  </r>
  <r>
    <n v="10359"/>
    <n v="46"/>
    <n v="106.45"/>
    <n v="2"/>
    <n v="4896.7"/>
    <d v="2019-12-15T00:00:00"/>
    <s v="Shipped"/>
    <s v="Trucks and Buses"/>
    <n v="115"/>
    <s v="S50_1392"/>
    <x v="20"/>
    <s v="26.47.1555"/>
    <s v="59 rue de l'Abbaye"/>
    <s v="Reims"/>
    <s v="51100"/>
    <s v="France"/>
    <s v="Henriot"/>
    <s v="Paul"/>
    <s v="Medium"/>
    <x v="1599"/>
  </r>
  <r>
    <n v="10359"/>
    <n v="25"/>
    <n v="64.930000000000007"/>
    <n v="4"/>
    <n v="1623.25"/>
    <d v="2019-12-15T00:00:00"/>
    <s v="Shipped"/>
    <s v="Trains"/>
    <n v="58"/>
    <s v="S50_1514"/>
    <x v="20"/>
    <s v="26.47.1555"/>
    <s v="59 rue de l'Abbaye"/>
    <s v="Reims"/>
    <s v="51100"/>
    <s v="France"/>
    <s v="Henriot"/>
    <s v="Paul"/>
    <s v="Small"/>
    <x v="1600"/>
  </r>
  <r>
    <n v="10361"/>
    <n v="20"/>
    <n v="72.55"/>
    <n v="13"/>
    <n v="1451"/>
    <d v="2019-12-17T00:00:00"/>
    <s v="Shipped"/>
    <s v="Motorcycles"/>
    <n v="95"/>
    <s v="S10_1678"/>
    <x v="31"/>
    <s v="+61 2 9495 8555"/>
    <s v="Monitor Money Building, 815 Pacific Hwy"/>
    <s v="Chatswood"/>
    <s v="2067"/>
    <s v="Australia"/>
    <s v="Huxley"/>
    <s v="Adrian"/>
    <s v="Small"/>
    <x v="1601"/>
  </r>
  <r>
    <n v="10361"/>
    <n v="26"/>
    <n v="51.15"/>
    <n v="8"/>
    <n v="1329.9"/>
    <d v="2019-12-17T00:00:00"/>
    <s v="Shipped"/>
    <s v="Motorcycles"/>
    <n v="118"/>
    <s v="S10_2016"/>
    <x v="31"/>
    <s v="+61 2 9495 8555"/>
    <s v="Monitor Money Building, 815 Pacific Hwy"/>
    <s v="Chatswood"/>
    <s v="2067"/>
    <s v="Australia"/>
    <s v="Huxley"/>
    <s v="Adrian"/>
    <s v="Small"/>
    <x v="1602"/>
  </r>
  <r>
    <n v="10361"/>
    <n v="34"/>
    <n v="113.88"/>
    <n v="6"/>
    <n v="3871.92"/>
    <d v="2019-12-17T00:00:00"/>
    <s v="Shipped"/>
    <s v="Vintage Cars"/>
    <n v="65"/>
    <s v="S24_3420"/>
    <x v="31"/>
    <s v="+61 2 9495 8555"/>
    <s v="Monitor Money Building, 815 Pacific Hwy"/>
    <s v="Chatswood"/>
    <s v="2067"/>
    <s v="Australia"/>
    <s v="Huxley"/>
    <s v="Adrian"/>
    <s v="Medium"/>
    <x v="1603"/>
  </r>
  <r>
    <n v="10361"/>
    <n v="26"/>
    <n v="142.72999999999999"/>
    <n v="7"/>
    <n v="3710.98"/>
    <d v="2019-12-17T00:00:00"/>
    <s v="Shipped"/>
    <s v="Planes"/>
    <n v="68"/>
    <s v="S24_3949"/>
    <x v="31"/>
    <s v="+61 2 9495 8555"/>
    <s v="Monitor Money Building, 815 Pacific Hwy"/>
    <s v="Chatswood"/>
    <s v="2067"/>
    <s v="Australia"/>
    <s v="Huxley"/>
    <s v="Adrian"/>
    <s v="Medium"/>
    <x v="19"/>
  </r>
  <r>
    <n v="10361"/>
    <n v="25"/>
    <n v="62.46"/>
    <n v="1"/>
    <n v="1561.5"/>
    <d v="2019-12-17T00:00:00"/>
    <s v="Shipped"/>
    <s v="Planes"/>
    <n v="72"/>
    <s v="S24_4278"/>
    <x v="31"/>
    <s v="+61 2 9495 8555"/>
    <s v="Monitor Money Building, 815 Pacific Hwy"/>
    <s v="Chatswood"/>
    <s v="2067"/>
    <s v="Australia"/>
    <s v="Huxley"/>
    <s v="Adrian"/>
    <s v="Small"/>
    <x v="878"/>
  </r>
  <r>
    <n v="10361"/>
    <n v="49"/>
    <n v="72.33"/>
    <n v="2"/>
    <n v="3544.17"/>
    <d v="2019-12-17T00:00:00"/>
    <s v="Shipped"/>
    <s v="Vintage Cars"/>
    <n v="68"/>
    <s v="S32_4289"/>
    <x v="31"/>
    <s v="+61 2 9495 8555"/>
    <s v="Monitor Money Building, 815 Pacific Hwy"/>
    <s v="Chatswood"/>
    <s v="2067"/>
    <s v="Australia"/>
    <s v="Huxley"/>
    <s v="Adrian"/>
    <s v="Medium"/>
    <x v="1604"/>
  </r>
  <r>
    <n v="10361"/>
    <n v="33"/>
    <n v="82.59"/>
    <n v="3"/>
    <n v="2725.47"/>
    <d v="2019-12-17T00:00:00"/>
    <s v="Shipped"/>
    <s v="Vintage Cars"/>
    <n v="43"/>
    <s v="S50_1341"/>
    <x v="31"/>
    <s v="+61 2 9495 8555"/>
    <s v="Monitor Money Building, 815 Pacific Hwy"/>
    <s v="Chatswood"/>
    <s v="2067"/>
    <s v="Australia"/>
    <s v="Huxley"/>
    <s v="Adrian"/>
    <s v="Small"/>
    <x v="1605"/>
  </r>
  <r>
    <n v="10361"/>
    <n v="20"/>
    <n v="60.54"/>
    <n v="4"/>
    <n v="1210.8"/>
    <d v="2019-12-17T00:00:00"/>
    <s v="Shipped"/>
    <s v="Planes"/>
    <n v="91"/>
    <s v="S700_1691"/>
    <x v="31"/>
    <s v="+61 2 9495 8555"/>
    <s v="Monitor Money Building, 815 Pacific Hwy"/>
    <s v="Chatswood"/>
    <s v="2067"/>
    <s v="Australia"/>
    <s v="Huxley"/>
    <s v="Adrian"/>
    <s v="Small"/>
    <x v="1606"/>
  </r>
  <r>
    <n v="10361"/>
    <n v="24"/>
    <n v="45.39"/>
    <n v="14"/>
    <n v="1089.3599999999999"/>
    <d v="2019-12-17T00:00:00"/>
    <s v="Shipped"/>
    <s v="Ships"/>
    <n v="90"/>
    <s v="S700_2047"/>
    <x v="31"/>
    <s v="+61 2 9495 8555"/>
    <s v="Monitor Money Building, 815 Pacific Hwy"/>
    <s v="Chatswood"/>
    <s v="2067"/>
    <s v="Australia"/>
    <s v="Huxley"/>
    <s v="Adrian"/>
    <s v="Small"/>
    <x v="158"/>
  </r>
  <r>
    <n v="10361"/>
    <n v="26"/>
    <n v="105.95"/>
    <n v="9"/>
    <n v="2754.7"/>
    <d v="2019-12-17T00:00:00"/>
    <s v="Shipped"/>
    <s v="Planes"/>
    <n v="99"/>
    <s v="S700_2466"/>
    <x v="31"/>
    <s v="+61 2 9495 8555"/>
    <s v="Monitor Money Building, 815 Pacific Hwy"/>
    <s v="Chatswood"/>
    <s v="2067"/>
    <s v="Australia"/>
    <s v="Huxley"/>
    <s v="Adrian"/>
    <s v="Small"/>
    <x v="1607"/>
  </r>
  <r>
    <n v="10361"/>
    <n v="44"/>
    <n v="72.42"/>
    <n v="5"/>
    <n v="3186.48"/>
    <d v="2019-12-17T00:00:00"/>
    <s v="Shipped"/>
    <s v="Planes"/>
    <n v="118"/>
    <s v="S700_2834"/>
    <x v="31"/>
    <s v="+61 2 9495 8555"/>
    <s v="Monitor Money Building, 815 Pacific Hwy"/>
    <s v="Chatswood"/>
    <s v="2067"/>
    <s v="Australia"/>
    <s v="Huxley"/>
    <s v="Adrian"/>
    <s v="Medium"/>
    <x v="696"/>
  </r>
  <r>
    <n v="10361"/>
    <n v="44"/>
    <n v="113.68"/>
    <n v="10"/>
    <n v="5001.92"/>
    <d v="2019-12-17T00:00:00"/>
    <s v="Shipped"/>
    <s v="Planes"/>
    <n v="80"/>
    <s v="S700_3167"/>
    <x v="31"/>
    <s v="+61 2 9495 8555"/>
    <s v="Monitor Money Building, 815 Pacific Hwy"/>
    <s v="Chatswood"/>
    <s v="2067"/>
    <s v="Australia"/>
    <s v="Huxley"/>
    <s v="Adrian"/>
    <s v="Medium"/>
    <x v="373"/>
  </r>
  <r>
    <n v="10361"/>
    <n v="35"/>
    <n v="122.21"/>
    <n v="11"/>
    <n v="4277.3500000000004"/>
    <d v="2019-12-17T00:00:00"/>
    <s v="Shipped"/>
    <s v="Planes"/>
    <n v="74"/>
    <s v="S700_4002"/>
    <x v="31"/>
    <s v="+61 2 9495 8555"/>
    <s v="Monitor Money Building, 815 Pacific Hwy"/>
    <s v="Chatswood"/>
    <s v="2067"/>
    <s v="Australia"/>
    <s v="Huxley"/>
    <s v="Adrian"/>
    <s v="Medium"/>
    <x v="1608"/>
  </r>
  <r>
    <n v="10361"/>
    <n v="23"/>
    <n v="95.2"/>
    <n v="12"/>
    <n v="2189.6"/>
    <d v="2019-12-17T00:00:00"/>
    <s v="Shipped"/>
    <s v="Planes"/>
    <n v="49"/>
    <s v="S72_1253"/>
    <x v="31"/>
    <s v="+61 2 9495 8555"/>
    <s v="Monitor Money Building, 815 Pacific Hwy"/>
    <s v="Chatswood"/>
    <s v="2067"/>
    <s v="Australia"/>
    <s v="Huxley"/>
    <s v="Adrian"/>
    <s v="Small"/>
    <x v="1609"/>
  </r>
  <r>
    <n v="10362"/>
    <n v="22"/>
    <n v="166.55"/>
    <n v="4"/>
    <n v="3664.1"/>
    <d v="2020-01-05T00:00:00"/>
    <s v="Shipped"/>
    <s v="Motorcycles"/>
    <n v="193"/>
    <s v="S10_4698"/>
    <x v="32"/>
    <s v="6505556809"/>
    <s v="9408 Furth Circle"/>
    <s v="Burlingame"/>
    <s v="94217"/>
    <s v="USA"/>
    <s v="Hirano"/>
    <s v="Juri"/>
    <s v="Medium"/>
    <x v="1610"/>
  </r>
  <r>
    <n v="10362"/>
    <n v="22"/>
    <n v="176.23"/>
    <n v="1"/>
    <n v="3877.06"/>
    <d v="2020-01-05T00:00:00"/>
    <s v="Shipped"/>
    <s v="Motorcycles"/>
    <n v="150"/>
    <s v="S12_2823"/>
    <x v="32"/>
    <s v="6505556809"/>
    <s v="9408 Furth Circle"/>
    <s v="Burlingame"/>
    <s v="94217"/>
    <s v="USA"/>
    <s v="Hirano"/>
    <s v="Juri"/>
    <s v="Medium"/>
    <x v="1611"/>
  </r>
  <r>
    <n v="10362"/>
    <n v="23"/>
    <n v="49.67"/>
    <n v="3"/>
    <n v="1142.4100000000001"/>
    <d v="2020-01-05T00:00:00"/>
    <s v="Shipped"/>
    <s v="Motorcycles"/>
    <n v="60"/>
    <s v="S18_2625"/>
    <x v="32"/>
    <s v="6505556809"/>
    <s v="9408 Furth Circle"/>
    <s v="Burlingame"/>
    <s v="94217"/>
    <s v="USA"/>
    <s v="Hirano"/>
    <s v="Juri"/>
    <s v="Small"/>
    <x v="1612"/>
  </r>
  <r>
    <n v="10362"/>
    <n v="50"/>
    <n v="96.92"/>
    <n v="2"/>
    <n v="4846"/>
    <d v="2020-01-05T00:00:00"/>
    <s v="Shipped"/>
    <s v="Motorcycles"/>
    <n v="112"/>
    <s v="S24_1578"/>
    <x v="32"/>
    <s v="6505556809"/>
    <s v="9408 Furth Circle"/>
    <s v="Burlingame"/>
    <s v="94217"/>
    <s v="USA"/>
    <s v="Hirano"/>
    <s v="Juri"/>
    <s v="Medium"/>
    <x v="1613"/>
  </r>
  <r>
    <n v="10363"/>
    <n v="33"/>
    <n v="85.39"/>
    <n v="3"/>
    <n v="2817.87"/>
    <d v="2020-01-06T00:00:00"/>
    <s v="Shipped"/>
    <s v="Classic Cars"/>
    <n v="194"/>
    <s v="S12_1099"/>
    <x v="33"/>
    <s v="+358 9 8045 555"/>
    <s v="Software Engineering Center, SEC Oy"/>
    <s v="Espoo"/>
    <s v="FIN-02271"/>
    <s v="Finland"/>
    <s v="Suominen"/>
    <s v="Kalle"/>
    <s v="Small"/>
    <x v="1614"/>
  </r>
  <r>
    <n v="10363"/>
    <n v="34"/>
    <n v="96.73"/>
    <n v="4"/>
    <n v="3288.82"/>
    <d v="2020-01-06T00:00:00"/>
    <s v="Shipped"/>
    <s v="Classic Cars"/>
    <n v="117"/>
    <s v="S12_3380"/>
    <x v="33"/>
    <s v="+358 9 8045 555"/>
    <s v="Software Engineering Center, SEC Oy"/>
    <s v="Espoo"/>
    <s v="FIN-02271"/>
    <s v="Finland"/>
    <s v="Suominen"/>
    <s v="Kalle"/>
    <s v="Medium"/>
    <x v="1479"/>
  </r>
  <r>
    <n v="10363"/>
    <n v="34"/>
    <n v="81.62"/>
    <n v="5"/>
    <n v="2775.08"/>
    <d v="2020-01-06T00:00:00"/>
    <s v="Shipped"/>
    <s v="Classic Cars"/>
    <n v="79"/>
    <s v="S12_3990"/>
    <x v="33"/>
    <s v="+358 9 8045 555"/>
    <s v="Software Engineering Center, SEC Oy"/>
    <s v="Espoo"/>
    <s v="FIN-02271"/>
    <s v="Finland"/>
    <s v="Suominen"/>
    <s v="Kalle"/>
    <s v="Small"/>
    <x v="1480"/>
  </r>
  <r>
    <n v="10363"/>
    <n v="46"/>
    <n v="88.45"/>
    <n v="6"/>
    <n v="4068.7"/>
    <d v="2020-01-06T00:00:00"/>
    <s v="Shipped"/>
    <s v="Classic Cars"/>
    <n v="115"/>
    <s v="S12_4675"/>
    <x v="33"/>
    <s v="+358 9 8045 555"/>
    <s v="Software Engineering Center, SEC Oy"/>
    <s v="Espoo"/>
    <s v="FIN-02271"/>
    <s v="Finland"/>
    <s v="Suominen"/>
    <s v="Kalle"/>
    <s v="Medium"/>
    <x v="1615"/>
  </r>
  <r>
    <n v="10363"/>
    <n v="22"/>
    <n v="167.57"/>
    <n v="7"/>
    <n v="3686.54"/>
    <d v="2020-01-06T00:00:00"/>
    <s v="Shipped"/>
    <s v="Classic Cars"/>
    <n v="77"/>
    <s v="S18_1889"/>
    <x v="33"/>
    <s v="+358 9 8045 555"/>
    <s v="Software Engineering Center, SEC Oy"/>
    <s v="Espoo"/>
    <s v="FIN-02271"/>
    <s v="Finland"/>
    <s v="Suominen"/>
    <s v="Kalle"/>
    <s v="Medium"/>
    <x v="1616"/>
  </r>
  <r>
    <n v="10363"/>
    <n v="46"/>
    <n v="60.3"/>
    <n v="10"/>
    <n v="2773.8"/>
    <d v="2020-01-06T00:00:00"/>
    <s v="Shipped"/>
    <s v="Classic Cars"/>
    <n v="80"/>
    <s v="S18_3278"/>
    <x v="33"/>
    <s v="+358 9 8045 555"/>
    <s v="Software Engineering Center, SEC Oy"/>
    <s v="Espoo"/>
    <s v="FIN-02271"/>
    <s v="Finland"/>
    <s v="Suominen"/>
    <s v="Kalle"/>
    <s v="Small"/>
    <x v="1617"/>
  </r>
  <r>
    <n v="10363"/>
    <n v="24"/>
    <n v="172.61"/>
    <n v="11"/>
    <n v="4142.6400000000003"/>
    <d v="2020-01-06T00:00:00"/>
    <s v="Shipped"/>
    <s v="Classic Cars"/>
    <n v="146"/>
    <s v="S18_3482"/>
    <x v="33"/>
    <s v="+358 9 8045 555"/>
    <s v="Software Engineering Center, SEC Oy"/>
    <s v="Espoo"/>
    <s v="FIN-02271"/>
    <s v="Finland"/>
    <s v="Suominen"/>
    <s v="Kalle"/>
    <s v="Medium"/>
    <x v="741"/>
  </r>
  <r>
    <n v="10363"/>
    <n v="32"/>
    <n v="89.12"/>
    <n v="12"/>
    <n v="2851.84"/>
    <d v="2020-01-06T00:00:00"/>
    <s v="Shipped"/>
    <s v="Motorcycles"/>
    <n v="62"/>
    <s v="S18_3782"/>
    <x v="33"/>
    <s v="+358 9 8045 555"/>
    <s v="Software Engineering Center, SEC Oy"/>
    <s v="Espoo"/>
    <s v="FIN-02271"/>
    <s v="Finland"/>
    <s v="Suominen"/>
    <s v="Kalle"/>
    <s v="Small"/>
    <x v="1387"/>
  </r>
  <r>
    <n v="10363"/>
    <n v="28"/>
    <n v="58.18"/>
    <n v="13"/>
    <n v="1629.04"/>
    <d v="2020-01-06T00:00:00"/>
    <s v="Shipped"/>
    <s v="Classic Cars"/>
    <n v="148"/>
    <s v="S18_4721"/>
    <x v="33"/>
    <s v="+358 9 8045 555"/>
    <s v="Software Engineering Center, SEC Oy"/>
    <s v="Espoo"/>
    <s v="FIN-02271"/>
    <s v="Finland"/>
    <s v="Suominen"/>
    <s v="Kalle"/>
    <s v="Small"/>
    <x v="308"/>
  </r>
  <r>
    <n v="10363"/>
    <n v="21"/>
    <n v="171.22"/>
    <n v="8"/>
    <n v="3595.62"/>
    <d v="2020-01-06T00:00:00"/>
    <s v="Shipped"/>
    <s v="Motorcycles"/>
    <n v="76"/>
    <s v="S24_2000"/>
    <x v="33"/>
    <s v="+358 9 8045 555"/>
    <s v="Software Engineering Center, SEC Oy"/>
    <s v="Espoo"/>
    <s v="FIN-02271"/>
    <s v="Finland"/>
    <s v="Suominen"/>
    <s v="Kalle"/>
    <s v="Medium"/>
    <x v="1618"/>
  </r>
  <r>
    <n v="10363"/>
    <n v="43"/>
    <n v="61.23"/>
    <n v="14"/>
    <n v="2632.89"/>
    <d v="2020-01-06T00:00:00"/>
    <s v="Shipped"/>
    <s v="Motorcycles"/>
    <n v="69"/>
    <s v="S24_2360"/>
    <x v="33"/>
    <s v="+358 9 8045 555"/>
    <s v="Software Engineering Center, SEC Oy"/>
    <s v="Espoo"/>
    <s v="FIN-02271"/>
    <s v="Finland"/>
    <s v="Suominen"/>
    <s v="Kalle"/>
    <s v="Small"/>
    <x v="1619"/>
  </r>
  <r>
    <n v="10363"/>
    <n v="21"/>
    <n v="116.56"/>
    <n v="15"/>
    <n v="2447.7600000000002"/>
    <d v="2020-01-06T00:00:00"/>
    <s v="Shipped"/>
    <s v="Classic Cars"/>
    <n v="61"/>
    <s v="S24_3371"/>
    <x v="33"/>
    <s v="+358 9 8045 555"/>
    <s v="Software Engineering Center, SEC Oy"/>
    <s v="Espoo"/>
    <s v="FIN-02271"/>
    <s v="Finland"/>
    <s v="Suominen"/>
    <s v="Kalle"/>
    <s v="Small"/>
    <x v="1620"/>
  </r>
  <r>
    <n v="10363"/>
    <n v="31"/>
    <n v="94.58"/>
    <n v="1"/>
    <n v="2931.98"/>
    <d v="2020-01-06T00:00:00"/>
    <s v="Shipped"/>
    <s v="Classic Cars"/>
    <n v="140"/>
    <s v="S24_3856"/>
    <x v="33"/>
    <s v="+358 9 8045 555"/>
    <s v="Software Engineering Center, SEC Oy"/>
    <s v="Espoo"/>
    <s v="FIN-02271"/>
    <s v="Finland"/>
    <s v="Suominen"/>
    <s v="Kalle"/>
    <s v="Small"/>
    <x v="1621"/>
  </r>
  <r>
    <n v="10363"/>
    <n v="43"/>
    <n v="119.87"/>
    <n v="9"/>
    <n v="5154.41"/>
    <d v="2020-01-06T00:00:00"/>
    <s v="Shipped"/>
    <s v="Classic Cars"/>
    <n v="80"/>
    <s v="S24_4620"/>
    <x v="33"/>
    <s v="+358 9 8045 555"/>
    <s v="Software Engineering Center, SEC Oy"/>
    <s v="Espoo"/>
    <s v="FIN-02271"/>
    <s v="Finland"/>
    <s v="Suominen"/>
    <s v="Kalle"/>
    <s v="Medium"/>
    <x v="1622"/>
  </r>
  <r>
    <n v="10363"/>
    <n v="50"/>
    <n v="131.53"/>
    <n v="2"/>
    <n v="6576.5"/>
    <d v="2020-01-06T00:00:00"/>
    <s v="Shipped"/>
    <s v="Motorcycles"/>
    <n v="99"/>
    <s v="S32_1374"/>
    <x v="33"/>
    <s v="+358 9 8045 555"/>
    <s v="Software Engineering Center, SEC Oy"/>
    <s v="Espoo"/>
    <s v="FIN-02271"/>
    <s v="Finland"/>
    <s v="Suominen"/>
    <s v="Kalle"/>
    <s v="Medium"/>
    <x v="1623"/>
  </r>
  <r>
    <n v="10364"/>
    <n v="48"/>
    <n v="48.28"/>
    <n v="1"/>
    <n v="2317.44"/>
    <d v="2020-01-06T00:00:00"/>
    <s v="Shipped"/>
    <s v="Motorcycles"/>
    <n v="40"/>
    <s v="S32_2206"/>
    <x v="21"/>
    <s v="91.24.4555"/>
    <s v="12, rue des Bouchers"/>
    <s v="Marseille"/>
    <s v="13008"/>
    <s v="France"/>
    <s v="Lebihan"/>
    <s v="Laurence"/>
    <s v="Small"/>
    <x v="1624"/>
  </r>
  <r>
    <n v="10365"/>
    <n v="30"/>
    <n v="87.06"/>
    <n v="1"/>
    <n v="2611.8000000000002"/>
    <d v="2020-01-07T00:00:00"/>
    <s v="Shipped"/>
    <s v="Classic Cars"/>
    <n v="141"/>
    <s v="S18_1129"/>
    <x v="34"/>
    <s v="5085559555"/>
    <s v="4575 Hillside Dr."/>
    <s v="New Bedford"/>
    <s v="50553"/>
    <s v="USA"/>
    <s v="Tam"/>
    <s v="Wing C"/>
    <s v="Small"/>
    <x v="1625"/>
  </r>
  <r>
    <n v="10365"/>
    <n v="22"/>
    <n v="155.69"/>
    <n v="3"/>
    <n v="3425.18"/>
    <d v="2020-01-07T00:00:00"/>
    <s v="Shipped"/>
    <s v="Motorcycles"/>
    <n v="102"/>
    <s v="S32_4485"/>
    <x v="34"/>
    <s v="5085559555"/>
    <s v="4575 Hillside Dr."/>
    <s v="New Bedford"/>
    <s v="50553"/>
    <s v="USA"/>
    <s v="Tam"/>
    <s v="Wing C"/>
    <s v="Medium"/>
    <x v="1626"/>
  </r>
  <r>
    <n v="10365"/>
    <n v="44"/>
    <n v="113.28"/>
    <n v="2"/>
    <n v="4984.32"/>
    <d v="2020-01-07T00:00:00"/>
    <s v="Shipped"/>
    <s v="Motorcycles"/>
    <n v="81"/>
    <s v="S50_4713"/>
    <x v="34"/>
    <s v="5085559555"/>
    <s v="4575 Hillside Dr."/>
    <s v="New Bedford"/>
    <s v="50553"/>
    <s v="USA"/>
    <s v="Tam"/>
    <s v="Wing C"/>
    <s v="Medium"/>
    <x v="456"/>
  </r>
  <r>
    <n v="10366"/>
    <n v="34"/>
    <n v="123.76"/>
    <n v="3"/>
    <n v="4207.84"/>
    <d v="2020-01-10T00:00:00"/>
    <s v="Shipped"/>
    <s v="Classic Cars"/>
    <n v="142"/>
    <s v="S18_1984"/>
    <x v="15"/>
    <s v="(071) 23 67 2555"/>
    <s v="Boulevard Tirou, 255"/>
    <s v="Charleroi"/>
    <s v="B-6000"/>
    <s v="Belgium"/>
    <s v="Cartrain"/>
    <s v="Pascale"/>
    <s v="Medium"/>
    <x v="1267"/>
  </r>
  <r>
    <n v="10366"/>
    <n v="49"/>
    <n v="125.4"/>
    <n v="2"/>
    <n v="6144.6"/>
    <d v="2020-01-10T00:00:00"/>
    <s v="Shipped"/>
    <s v="Classic Cars"/>
    <n v="132"/>
    <s v="S18_2870"/>
    <x v="15"/>
    <s v="(071) 23 67 2555"/>
    <s v="Boulevard Tirou, 255"/>
    <s v="Charleroi"/>
    <s v="B-6000"/>
    <s v="Belgium"/>
    <s v="Cartrain"/>
    <s v="Pascale"/>
    <s v="Medium"/>
    <x v="1627"/>
  </r>
  <r>
    <n v="10366"/>
    <n v="34"/>
    <n v="184.58"/>
    <n v="1"/>
    <n v="6275.72"/>
    <d v="2020-01-10T00:00:00"/>
    <s v="Shipped"/>
    <s v="Classic Cars"/>
    <n v="169"/>
    <s v="S18_3232"/>
    <x v="15"/>
    <s v="(071) 23 67 2555"/>
    <s v="Boulevard Tirou, 255"/>
    <s v="Charleroi"/>
    <s v="B-6000"/>
    <s v="Belgium"/>
    <s v="Cartrain"/>
    <s v="Pascale"/>
    <s v="Medium"/>
    <x v="1628"/>
  </r>
  <r>
    <n v="10367"/>
    <n v="49"/>
    <n v="56.3"/>
    <n v="1"/>
    <n v="2758.7"/>
    <d v="2020-01-12T00:00:00"/>
    <s v="Resolved"/>
    <s v="Classic Cars"/>
    <n v="124"/>
    <s v="S18_1589"/>
    <x v="35"/>
    <s v="6265557265"/>
    <s v="78934 Hillside Dr."/>
    <s v="Pasadena"/>
    <s v="90003"/>
    <s v="USA"/>
    <s v="Young"/>
    <s v="Julie"/>
    <s v="Small"/>
    <x v="1629"/>
  </r>
  <r>
    <n v="10367"/>
    <n v="37"/>
    <n v="127.13"/>
    <n v="3"/>
    <n v="4703.8100000000004"/>
    <d v="2020-01-12T00:00:00"/>
    <s v="Resolved"/>
    <s v="Vintage Cars"/>
    <n v="170"/>
    <s v="S18_1749"/>
    <x v="35"/>
    <s v="6265557265"/>
    <s v="78934 Hillside Dr."/>
    <s v="Pasadena"/>
    <s v="90003"/>
    <s v="USA"/>
    <s v="Young"/>
    <s v="Julie"/>
    <s v="Medium"/>
    <x v="1630"/>
  </r>
  <r>
    <n v="10367"/>
    <n v="45"/>
    <n v="197.44"/>
    <n v="4"/>
    <n v="8884.7999999999993"/>
    <d v="2020-01-12T00:00:00"/>
    <s v="Resolved"/>
    <s v="Vintage Cars"/>
    <n v="60"/>
    <s v="S18_2248"/>
    <x v="35"/>
    <s v="6265557265"/>
    <s v="78934 Hillside Dr."/>
    <s v="Pasadena"/>
    <s v="90003"/>
    <s v="USA"/>
    <s v="Young"/>
    <s v="Julie"/>
    <s v="Large"/>
    <x v="1631"/>
  </r>
  <r>
    <n v="10367"/>
    <n v="27"/>
    <n v="155.41"/>
    <n v="5"/>
    <n v="4196.07"/>
    <d v="2020-01-12T00:00:00"/>
    <s v="Resolved"/>
    <s v="Vintage Cars"/>
    <n v="127"/>
    <s v="S18_2325"/>
    <x v="35"/>
    <s v="6265557265"/>
    <s v="78934 Hillside Dr."/>
    <s v="Pasadena"/>
    <s v="90003"/>
    <s v="USA"/>
    <s v="Young"/>
    <s v="Julie"/>
    <s v="Medium"/>
    <x v="1632"/>
  </r>
  <r>
    <n v="10367"/>
    <n v="32"/>
    <n v="94.79"/>
    <n v="7"/>
    <n v="3033.28"/>
    <d v="2020-01-12T00:00:00"/>
    <s v="Resolved"/>
    <s v="Vintage Cars"/>
    <n v="168"/>
    <s v="S18_2795"/>
    <x v="35"/>
    <s v="6265557265"/>
    <s v="78934 Hillside Dr."/>
    <s v="Pasadena"/>
    <s v="90003"/>
    <s v="USA"/>
    <s v="Young"/>
    <s v="Julie"/>
    <s v="Medium"/>
    <x v="1633"/>
  </r>
  <r>
    <n v="10367"/>
    <n v="46"/>
    <n v="104.53"/>
    <n v="6"/>
    <n v="4808.38"/>
    <d v="2020-01-12T00:00:00"/>
    <s v="Resolved"/>
    <s v="Classic Cars"/>
    <n v="141"/>
    <s v="S18_3685"/>
    <x v="35"/>
    <s v="6265557265"/>
    <s v="78934 Hillside Dr."/>
    <s v="Pasadena"/>
    <s v="90003"/>
    <s v="USA"/>
    <s v="Young"/>
    <s v="Julie"/>
    <s v="Medium"/>
    <x v="1634"/>
  </r>
  <r>
    <n v="10367"/>
    <n v="43"/>
    <n v="62.72"/>
    <n v="8"/>
    <n v="2696.96"/>
    <d v="2020-01-12T00:00:00"/>
    <s v="Resolved"/>
    <s v="Vintage Cars"/>
    <n v="92"/>
    <s v="S18_4409"/>
    <x v="35"/>
    <s v="6265557265"/>
    <s v="78934 Hillside Dr."/>
    <s v="Pasadena"/>
    <s v="90003"/>
    <s v="USA"/>
    <s v="Young"/>
    <s v="Julie"/>
    <s v="Small"/>
    <x v="796"/>
  </r>
  <r>
    <n v="10367"/>
    <n v="44"/>
    <n v="85.25"/>
    <n v="9"/>
    <n v="3751"/>
    <d v="2020-01-12T00:00:00"/>
    <s v="Resolved"/>
    <s v="Classic Cars"/>
    <n v="71"/>
    <s v="S18_4933"/>
    <x v="35"/>
    <s v="6265557265"/>
    <s v="78934 Hillside Dr."/>
    <s v="Pasadena"/>
    <s v="90003"/>
    <s v="USA"/>
    <s v="Young"/>
    <s v="Julie"/>
    <s v="Medium"/>
    <x v="569"/>
  </r>
  <r>
    <n v="10367"/>
    <n v="21"/>
    <n v="60.37"/>
    <n v="10"/>
    <n v="1267.77"/>
    <d v="2020-01-12T00:00:00"/>
    <s v="Resolved"/>
    <s v="Classic Cars"/>
    <n v="73"/>
    <s v="S24_1046"/>
    <x v="35"/>
    <s v="6265557265"/>
    <s v="78934 Hillside Dr."/>
    <s v="Pasadena"/>
    <s v="90003"/>
    <s v="USA"/>
    <s v="Young"/>
    <s v="Julie"/>
    <s v="Small"/>
    <x v="996"/>
  </r>
  <r>
    <n v="10367"/>
    <n v="38"/>
    <n v="38.5"/>
    <n v="11"/>
    <n v="1463"/>
    <d v="2020-01-12T00:00:00"/>
    <s v="Resolved"/>
    <s v="Classic Cars"/>
    <n v="50"/>
    <s v="S24_1628"/>
    <x v="35"/>
    <s v="6265557265"/>
    <s v="78934 Hillside Dr."/>
    <s v="Pasadena"/>
    <s v="90003"/>
    <s v="USA"/>
    <s v="Young"/>
    <s v="Julie"/>
    <s v="Small"/>
    <x v="1635"/>
  </r>
  <r>
    <n v="10367"/>
    <n v="23"/>
    <n v="36.29"/>
    <n v="13"/>
    <n v="834.67"/>
    <d v="2020-01-12T00:00:00"/>
    <s v="Resolved"/>
    <s v="Vintage Cars"/>
    <n v="33"/>
    <s v="S24_1937"/>
    <x v="35"/>
    <s v="6265557265"/>
    <s v="78934 Hillside Dr."/>
    <s v="Pasadena"/>
    <s v="90003"/>
    <s v="USA"/>
    <s v="Young"/>
    <s v="Julie"/>
    <s v="Small"/>
    <x v="1636"/>
  </r>
  <r>
    <n v="10367"/>
    <n v="28"/>
    <n v="30.59"/>
    <n v="12"/>
    <n v="856.52"/>
    <d v="2020-01-12T00:00:00"/>
    <s v="Resolved"/>
    <s v="Vintage Cars"/>
    <n v="44"/>
    <s v="S24_2022"/>
    <x v="35"/>
    <s v="6265557265"/>
    <s v="78934 Hillside Dr."/>
    <s v="Pasadena"/>
    <s v="90003"/>
    <s v="USA"/>
    <s v="Young"/>
    <s v="Julie"/>
    <s v="Small"/>
    <x v="1637"/>
  </r>
  <r>
    <n v="10367"/>
    <n v="36"/>
    <n v="139.4"/>
    <n v="2"/>
    <n v="5018.3999999999996"/>
    <d v="2020-01-12T00:00:00"/>
    <s v="Resolved"/>
    <s v="Classic Cars"/>
    <n v="37"/>
    <s v="S24_2972"/>
    <x v="35"/>
    <s v="6265557265"/>
    <s v="78934 Hillside Dr."/>
    <s v="Pasadena"/>
    <s v="90003"/>
    <s v="USA"/>
    <s v="Young"/>
    <s v="Julie"/>
    <s v="Medium"/>
    <x v="1524"/>
  </r>
  <r>
    <n v="10368"/>
    <n v="40"/>
    <n v="102.68"/>
    <n v="2"/>
    <n v="4107.2"/>
    <d v="2020-01-19T00:00:00"/>
    <s v="Shipped"/>
    <s v="Classic Cars"/>
    <n v="90"/>
    <s v="S24_2766"/>
    <x v="12"/>
    <s v="4155551450"/>
    <s v="5677 Strong St."/>
    <s v="San Rafael"/>
    <s v="97562"/>
    <s v="USA"/>
    <s v="Nelson"/>
    <s v="Valarie"/>
    <s v="Medium"/>
    <x v="42"/>
  </r>
  <r>
    <n v="10368"/>
    <n v="31"/>
    <n v="136.22999999999999"/>
    <n v="5"/>
    <n v="4223.13"/>
    <d v="2020-01-19T00:00:00"/>
    <s v="Shipped"/>
    <s v="Classic Cars"/>
    <n v="117"/>
    <s v="S24_2887"/>
    <x v="12"/>
    <s v="4155551450"/>
    <s v="5677 Strong St."/>
    <s v="San Rafael"/>
    <s v="97562"/>
    <s v="USA"/>
    <s v="Nelson"/>
    <s v="Valarie"/>
    <s v="Medium"/>
    <x v="204"/>
  </r>
  <r>
    <n v="10368"/>
    <n v="46"/>
    <n v="79.62"/>
    <n v="1"/>
    <n v="3662.52"/>
    <d v="2020-01-19T00:00:00"/>
    <s v="Shipped"/>
    <s v="Classic Cars"/>
    <n v="85"/>
    <s v="S24_3191"/>
    <x v="12"/>
    <s v="4155551450"/>
    <s v="5677 Strong St."/>
    <s v="San Rafael"/>
    <s v="97562"/>
    <s v="USA"/>
    <s v="Nelson"/>
    <s v="Valarie"/>
    <s v="Medium"/>
    <x v="1638"/>
  </r>
  <r>
    <n v="10368"/>
    <n v="20"/>
    <n v="99.58"/>
    <n v="4"/>
    <n v="1991.6"/>
    <d v="2020-01-19T00:00:00"/>
    <s v="Shipped"/>
    <s v="Classic Cars"/>
    <n v="107"/>
    <s v="S24_3432"/>
    <x v="12"/>
    <s v="4155551450"/>
    <s v="5677 Strong St."/>
    <s v="San Rafael"/>
    <s v="97562"/>
    <s v="USA"/>
    <s v="Nelson"/>
    <s v="Valarie"/>
    <s v="Small"/>
    <x v="1639"/>
  </r>
  <r>
    <n v="10368"/>
    <n v="46"/>
    <n v="37.340000000000003"/>
    <n v="3"/>
    <n v="1717.64"/>
    <d v="2020-01-19T00:00:00"/>
    <s v="Shipped"/>
    <s v="Vintage Cars"/>
    <n v="41"/>
    <s v="S24_3969"/>
    <x v="12"/>
    <s v="4155551450"/>
    <s v="5677 Strong St."/>
    <s v="San Rafael"/>
    <s v="97562"/>
    <s v="USA"/>
    <s v="Nelson"/>
    <s v="Valarie"/>
    <s v="Small"/>
    <x v="1069"/>
  </r>
  <r>
    <n v="10369"/>
    <n v="41"/>
    <n v="110.12"/>
    <n v="2"/>
    <n v="4514.92"/>
    <d v="2020-01-20T00:00:00"/>
    <s v="Shipped"/>
    <s v="Classic Cars"/>
    <n v="214"/>
    <s v="S10_1949"/>
    <x v="36"/>
    <s v="6175558555"/>
    <s v="7825 Douglas Av."/>
    <s v="Brickhaven"/>
    <s v="58339"/>
    <s v="USA"/>
    <s v="Nelson"/>
    <s v="Allen"/>
    <s v="Medium"/>
    <x v="1640"/>
  </r>
  <r>
    <n v="10370"/>
    <n v="35"/>
    <n v="65.63"/>
    <n v="4"/>
    <n v="2297.0500000000002"/>
    <d v="2020-01-20T00:00:00"/>
    <s v="Shipped"/>
    <s v="Classic Cars"/>
    <n v="147"/>
    <s v="S10_4962"/>
    <x v="37"/>
    <s v="02 9936 8555"/>
    <s v="201 Miller Street"/>
    <s v="North Sydney"/>
    <s v="2060"/>
    <s v="Australia"/>
    <s v="O'Hara"/>
    <s v="Anna"/>
    <s v="Small"/>
    <x v="1641"/>
  </r>
  <r>
    <n v="10370"/>
    <n v="49"/>
    <n v="172.86"/>
    <n v="8"/>
    <n v="8470.14"/>
    <d v="2020-01-20T00:00:00"/>
    <s v="Shipped"/>
    <s v="Trucks and Buses"/>
    <n v="136"/>
    <s v="S12_1666"/>
    <x v="37"/>
    <s v="02 9936 8555"/>
    <s v="201 Miller Street"/>
    <s v="North Sydney"/>
    <s v="2060"/>
    <s v="Australia"/>
    <s v="O'Hara"/>
    <s v="Anna"/>
    <s v="Large"/>
    <x v="1642"/>
  </r>
  <r>
    <n v="10370"/>
    <n v="27"/>
    <n v="144.87"/>
    <n v="1"/>
    <n v="3911.49"/>
    <d v="2020-01-20T00:00:00"/>
    <s v="Shipped"/>
    <s v="Trucks and Buses"/>
    <n v="116"/>
    <s v="S18_1097"/>
    <x v="37"/>
    <s v="02 9936 8555"/>
    <s v="201 Miller Street"/>
    <s v="North Sydney"/>
    <s v="2060"/>
    <s v="Australia"/>
    <s v="O'Hara"/>
    <s v="Anna"/>
    <s v="Medium"/>
    <x v="1643"/>
  </r>
  <r>
    <n v="10369"/>
    <n v="44"/>
    <n v="210.01"/>
    <n v="8"/>
    <n v="9240.44"/>
    <d v="2020-01-20T00:00:00"/>
    <s v="Shipped"/>
    <s v="Vintage Cars"/>
    <n v="102"/>
    <s v="S18_1342"/>
    <x v="36"/>
    <s v="6175558555"/>
    <s v="7825 Douglas Av."/>
    <s v="Brickhaven"/>
    <s v="58339"/>
    <s v="USA"/>
    <s v="Nelson"/>
    <s v="Allen"/>
    <s v="Large"/>
    <x v="1644"/>
  </r>
  <r>
    <n v="10369"/>
    <n v="32"/>
    <n v="98.63"/>
    <n v="7"/>
    <n v="3156.16"/>
    <d v="2020-01-20T00:00:00"/>
    <s v="Shipped"/>
    <s v="Vintage Cars"/>
    <n v="53"/>
    <s v="S18_1367"/>
    <x v="36"/>
    <s v="6175558555"/>
    <s v="7825 Douglas Av."/>
    <s v="Brickhaven"/>
    <s v="58339"/>
    <s v="USA"/>
    <s v="Nelson"/>
    <s v="Allen"/>
    <s v="Medium"/>
    <x v="1645"/>
  </r>
  <r>
    <n v="10370"/>
    <n v="22"/>
    <n v="179.5"/>
    <n v="5"/>
    <n v="3949"/>
    <d v="2020-01-20T00:00:00"/>
    <s v="Shipped"/>
    <s v="Trucks and Buses"/>
    <n v="122"/>
    <s v="S18_2319"/>
    <x v="37"/>
    <s v="02 9936 8555"/>
    <s v="201 Miller Street"/>
    <s v="North Sydney"/>
    <s v="2060"/>
    <s v="Australia"/>
    <s v="O'Hara"/>
    <s v="Anna"/>
    <s v="Medium"/>
    <x v="72"/>
  </r>
  <r>
    <n v="10370"/>
    <n v="22"/>
    <n v="96.86"/>
    <n v="7"/>
    <n v="2130.92"/>
    <d v="2020-01-20T00:00:00"/>
    <s v="Shipped"/>
    <s v="Trucks and Buses"/>
    <n v="60"/>
    <s v="S18_2432"/>
    <x v="37"/>
    <s v="02 9936 8555"/>
    <s v="201 Miller Street"/>
    <s v="North Sydney"/>
    <s v="2060"/>
    <s v="Australia"/>
    <s v="O'Hara"/>
    <s v="Anna"/>
    <s v="Small"/>
    <x v="789"/>
  </r>
  <r>
    <n v="10369"/>
    <n v="42"/>
    <n v="109.08"/>
    <n v="1"/>
    <n v="4581.3599999999997"/>
    <d v="2020-01-20T00:00:00"/>
    <s v="Shipped"/>
    <s v="Vintage Cars"/>
    <n v="101"/>
    <s v="S18_2949"/>
    <x v="36"/>
    <s v="6175558555"/>
    <s v="7825 Douglas Av."/>
    <s v="Brickhaven"/>
    <s v="58339"/>
    <s v="USA"/>
    <s v="Nelson"/>
    <s v="Allen"/>
    <s v="Medium"/>
    <x v="1646"/>
  </r>
  <r>
    <n v="10369"/>
    <n v="28"/>
    <n v="44.21"/>
    <n v="6"/>
    <n v="1237.8800000000001"/>
    <d v="2020-01-20T00:00:00"/>
    <s v="Shipped"/>
    <s v="Vintage Cars"/>
    <n v="62"/>
    <s v="S18_2957"/>
    <x v="36"/>
    <s v="6175558555"/>
    <s v="7825 Douglas Av."/>
    <s v="Brickhaven"/>
    <s v="58339"/>
    <s v="USA"/>
    <s v="Nelson"/>
    <s v="Allen"/>
    <s v="Small"/>
    <x v="287"/>
  </r>
  <r>
    <n v="10369"/>
    <n v="21"/>
    <n v="94.22"/>
    <n v="5"/>
    <n v="1978.62"/>
    <d v="2020-01-20T00:00:00"/>
    <s v="Shipped"/>
    <s v="Vintage Cars"/>
    <n v="104"/>
    <s v="S18_3136"/>
    <x v="36"/>
    <s v="6175558555"/>
    <s v="7825 Douglas Av."/>
    <s v="Brickhaven"/>
    <s v="58339"/>
    <s v="USA"/>
    <s v="Nelson"/>
    <s v="Allen"/>
    <s v="Small"/>
    <x v="140"/>
  </r>
  <r>
    <n v="10370"/>
    <n v="27"/>
    <n v="56.85"/>
    <n v="9"/>
    <n v="1534.95"/>
    <d v="2020-01-20T00:00:00"/>
    <s v="Shipped"/>
    <s v="Classic Cars"/>
    <n v="169"/>
    <s v="S18_3232"/>
    <x v="37"/>
    <s v="02 9936 8555"/>
    <s v="201 Miller Street"/>
    <s v="North Sydney"/>
    <s v="2060"/>
    <s v="Australia"/>
    <s v="O'Hara"/>
    <s v="Anna"/>
    <s v="Small"/>
    <x v="1647"/>
  </r>
  <r>
    <n v="10369"/>
    <n v="45"/>
    <n v="73.08"/>
    <n v="4"/>
    <n v="3288.6"/>
    <d v="2020-01-20T00:00:00"/>
    <s v="Shipped"/>
    <s v="Vintage Cars"/>
    <n v="99"/>
    <s v="S18_3320"/>
    <x v="36"/>
    <s v="6175558555"/>
    <s v="7825 Douglas Av."/>
    <s v="Brickhaven"/>
    <s v="58339"/>
    <s v="USA"/>
    <s v="Nelson"/>
    <s v="Allen"/>
    <s v="Medium"/>
    <x v="646"/>
  </r>
  <r>
    <n v="10370"/>
    <n v="29"/>
    <n v="57.53"/>
    <n v="6"/>
    <n v="1668.37"/>
    <d v="2020-01-20T00:00:00"/>
    <s v="Shipped"/>
    <s v="Trucks and Buses"/>
    <n v="121"/>
    <s v="S18_4600"/>
    <x v="37"/>
    <s v="02 9936 8555"/>
    <s v="201 Miller Street"/>
    <s v="North Sydney"/>
    <s v="2060"/>
    <s v="Australia"/>
    <s v="O'Hara"/>
    <s v="Anna"/>
    <s v="Small"/>
    <x v="366"/>
  </r>
  <r>
    <n v="10370"/>
    <n v="20"/>
    <n v="136.5"/>
    <n v="2"/>
    <n v="2730"/>
    <d v="2020-01-20T00:00:00"/>
    <s v="Shipped"/>
    <s v="Vintage Cars"/>
    <n v="50"/>
    <s v="S18_4668"/>
    <x v="37"/>
    <s v="02 9936 8555"/>
    <s v="201 Miller Street"/>
    <s v="North Sydney"/>
    <s v="2060"/>
    <s v="Australia"/>
    <s v="O'Hara"/>
    <s v="Anna"/>
    <s v="Small"/>
    <x v="1648"/>
  </r>
  <r>
    <n v="10369"/>
    <n v="40"/>
    <n v="86.92"/>
    <n v="3"/>
    <n v="3476.8"/>
    <d v="2020-01-20T00:00:00"/>
    <s v="Shipped"/>
    <s v="Vintage Cars"/>
    <n v="97"/>
    <s v="S24_4258"/>
    <x v="36"/>
    <s v="6175558555"/>
    <s v="7825 Douglas Av."/>
    <s v="Brickhaven"/>
    <s v="58339"/>
    <s v="USA"/>
    <s v="Nelson"/>
    <s v="Allen"/>
    <s v="Medium"/>
    <x v="1155"/>
  </r>
  <r>
    <n v="10370"/>
    <n v="25"/>
    <n v="126.41"/>
    <n v="3"/>
    <n v="3160.25"/>
    <d v="2020-01-20T00:00:00"/>
    <s v="Shipped"/>
    <s v="Trucks and Buses"/>
    <n v="64"/>
    <s v="S32_3522"/>
    <x v="37"/>
    <s v="02 9936 8555"/>
    <s v="201 Miller Street"/>
    <s v="North Sydney"/>
    <s v="2060"/>
    <s v="Australia"/>
    <s v="O'Hara"/>
    <s v="Anna"/>
    <s v="Medium"/>
    <x v="805"/>
  </r>
  <r>
    <n v="10371"/>
    <n v="32"/>
    <n v="111.27"/>
    <n v="6"/>
    <n v="3560.64"/>
    <d v="2020-01-23T00:00:00"/>
    <s v="Shipped"/>
    <s v="Classic Cars"/>
    <n v="207"/>
    <s v="S12_1108"/>
    <x v="12"/>
    <s v="4155551450"/>
    <s v="5677 Strong St."/>
    <s v="San Rafael"/>
    <s v="97562"/>
    <s v="USA"/>
    <s v="Nelson"/>
    <s v="Valarie"/>
    <s v="Medium"/>
    <x v="1162"/>
  </r>
  <r>
    <n v="10371"/>
    <n v="49"/>
    <n v="35.71"/>
    <n v="4"/>
    <n v="1749.79"/>
    <d v="2020-01-23T00:00:00"/>
    <s v="Shipped"/>
    <s v="Trucks and Buses"/>
    <n v="118"/>
    <s v="S12_4473"/>
    <x v="12"/>
    <s v="4155551450"/>
    <s v="5677 Strong St."/>
    <s v="San Rafael"/>
    <s v="97562"/>
    <s v="USA"/>
    <s v="Nelson"/>
    <s v="Valarie"/>
    <s v="Small"/>
    <x v="1207"/>
  </r>
  <r>
    <n v="10371"/>
    <n v="25"/>
    <n v="104.09"/>
    <n v="7"/>
    <n v="2602.25"/>
    <d v="2020-01-23T00:00:00"/>
    <s v="Shipped"/>
    <s v="Classic Cars"/>
    <n v="163"/>
    <s v="S18_2238"/>
    <x v="12"/>
    <s v="4155551450"/>
    <s v="5677 Strong St."/>
    <s v="San Rafael"/>
    <s v="97562"/>
    <s v="USA"/>
    <s v="Nelson"/>
    <s v="Valarie"/>
    <s v="Small"/>
    <x v="1649"/>
  </r>
  <r>
    <n v="10371"/>
    <n v="25"/>
    <n v="97.27"/>
    <n v="12"/>
    <n v="2431.75"/>
    <d v="2020-01-23T00:00:00"/>
    <s v="Shipped"/>
    <s v="Classic Cars"/>
    <n v="57"/>
    <s v="S24_1444"/>
    <x v="12"/>
    <s v="4155551450"/>
    <s v="5677 Strong St."/>
    <s v="San Rafael"/>
    <s v="97562"/>
    <s v="USA"/>
    <s v="Nelson"/>
    <s v="Valarie"/>
    <s v="Small"/>
    <x v="1650"/>
  </r>
  <r>
    <n v="10371"/>
    <n v="20"/>
    <n v="172.47"/>
    <n v="5"/>
    <n v="3449.4"/>
    <d v="2020-01-23T00:00:00"/>
    <s v="Shipped"/>
    <s v="Trucks and Buses"/>
    <n v="127"/>
    <s v="S24_2300"/>
    <x v="12"/>
    <s v="4155551450"/>
    <s v="5677 Strong St."/>
    <s v="San Rafael"/>
    <s v="97562"/>
    <s v="USA"/>
    <s v="Nelson"/>
    <s v="Valarie"/>
    <s v="Medium"/>
    <x v="1651"/>
  </r>
  <r>
    <n v="10371"/>
    <n v="45"/>
    <n v="123.24"/>
    <n v="8"/>
    <n v="5545.8"/>
    <d v="2020-01-23T00:00:00"/>
    <s v="Shipped"/>
    <s v="Classic Cars"/>
    <n v="35"/>
    <s v="S24_2840"/>
    <x v="12"/>
    <s v="4155551450"/>
    <s v="5677 Strong St."/>
    <s v="San Rafael"/>
    <s v="97562"/>
    <s v="USA"/>
    <s v="Nelson"/>
    <s v="Valarie"/>
    <s v="Medium"/>
    <x v="1652"/>
  </r>
  <r>
    <n v="10371"/>
    <n v="28"/>
    <n v="50.32"/>
    <n v="9"/>
    <n v="1408.96"/>
    <d v="2020-01-23T00:00:00"/>
    <s v="Shipped"/>
    <s v="Classic Cars"/>
    <n v="118"/>
    <s v="S24_4048"/>
    <x v="12"/>
    <s v="4155551450"/>
    <s v="5677 Strong St."/>
    <s v="San Rafael"/>
    <s v="97562"/>
    <s v="USA"/>
    <s v="Nelson"/>
    <s v="Valarie"/>
    <s v="Small"/>
    <x v="660"/>
  </r>
  <r>
    <n v="10371"/>
    <n v="26"/>
    <n v="155.54"/>
    <n v="1"/>
    <n v="4044.04"/>
    <d v="2020-01-23T00:00:00"/>
    <s v="Shipped"/>
    <s v="Trucks and Buses"/>
    <n v="96"/>
    <s v="S32_1268"/>
    <x v="12"/>
    <s v="4155551450"/>
    <s v="5677 Strong St."/>
    <s v="San Rafael"/>
    <s v="97562"/>
    <s v="USA"/>
    <s v="Nelson"/>
    <s v="Valarie"/>
    <s v="Medium"/>
    <x v="213"/>
  </r>
  <r>
    <n v="10371"/>
    <n v="20"/>
    <n v="66.47"/>
    <n v="2"/>
    <n v="1329.4"/>
    <d v="2020-01-23T00:00:00"/>
    <s v="Shipped"/>
    <s v="Trucks and Buses"/>
    <n v="54"/>
    <s v="S32_2509"/>
    <x v="12"/>
    <s v="4155551450"/>
    <s v="5677 Strong St."/>
    <s v="San Rafael"/>
    <s v="97562"/>
    <s v="USA"/>
    <s v="Nelson"/>
    <s v="Valarie"/>
    <s v="Small"/>
    <x v="662"/>
  </r>
  <r>
    <n v="10371"/>
    <n v="30"/>
    <n v="99.55"/>
    <n v="11"/>
    <n v="2986.5"/>
    <d v="2020-01-23T00:00:00"/>
    <s v="Shipped"/>
    <s v="Trains"/>
    <n v="62"/>
    <s v="S32_3207"/>
    <x v="12"/>
    <s v="4155551450"/>
    <s v="5677 Strong St."/>
    <s v="San Rafael"/>
    <s v="97562"/>
    <s v="USA"/>
    <s v="Nelson"/>
    <s v="Valarie"/>
    <s v="Small"/>
    <x v="1002"/>
  </r>
  <r>
    <n v="10371"/>
    <n v="48"/>
    <n v="56.55"/>
    <n v="10"/>
    <n v="2714.4"/>
    <d v="2020-01-23T00:00:00"/>
    <s v="Shipped"/>
    <s v="Trucks and Buses"/>
    <n v="115"/>
    <s v="S50_1392"/>
    <x v="12"/>
    <s v="4155551450"/>
    <s v="5677 Strong St."/>
    <s v="San Rafael"/>
    <s v="97562"/>
    <s v="USA"/>
    <s v="Nelson"/>
    <s v="Valarie"/>
    <s v="Small"/>
    <x v="882"/>
  </r>
  <r>
    <n v="10371"/>
    <n v="34"/>
    <n v="126.51"/>
    <n v="3"/>
    <n v="4301.34"/>
    <d v="2020-01-23T00:00:00"/>
    <s v="Shipped"/>
    <s v="Classic Cars"/>
    <n v="101"/>
    <s v="S700_2824"/>
    <x v="12"/>
    <s v="4155551450"/>
    <s v="5677 Strong St."/>
    <s v="San Rafael"/>
    <s v="97562"/>
    <s v="USA"/>
    <s v="Nelson"/>
    <s v="Valarie"/>
    <s v="Medium"/>
    <x v="389"/>
  </r>
  <r>
    <n v="10372"/>
    <n v="40"/>
    <n v="146.55000000000001"/>
    <n v="4"/>
    <n v="5862"/>
    <d v="2020-01-26T00:00:00"/>
    <s v="Shipped"/>
    <s v="Classic Cars"/>
    <n v="151"/>
    <s v="S12_3148"/>
    <x v="81"/>
    <s v="+81 3 3584 0555"/>
    <s v="2-2-8 Roppongi"/>
    <s v="Minato-ku"/>
    <s v="106-0032"/>
    <s v="Japan"/>
    <s v="Shimamura"/>
    <s v="Akiko"/>
    <s v="Medium"/>
    <x v="1653"/>
  </r>
  <r>
    <n v="10372"/>
    <n v="34"/>
    <n v="174.75"/>
    <n v="1"/>
    <n v="5941.5"/>
    <d v="2020-01-26T00:00:00"/>
    <s v="Shipped"/>
    <s v="Classic Cars"/>
    <n v="173"/>
    <s v="S12_3891"/>
    <x v="81"/>
    <s v="+81 3 3584 0555"/>
    <s v="2-2-8 Roppongi"/>
    <s v="Minato-ku"/>
    <s v="106-0032"/>
    <s v="Japan"/>
    <s v="Shimamura"/>
    <s v="Akiko"/>
    <s v="Medium"/>
    <x v="1654"/>
  </r>
  <r>
    <n v="10372"/>
    <n v="28"/>
    <n v="137.96"/>
    <n v="3"/>
    <n v="3862.88"/>
    <d v="2020-01-26T00:00:00"/>
    <s v="Shipped"/>
    <s v="Vintage Cars"/>
    <n v="136"/>
    <s v="S18_3140"/>
    <x v="81"/>
    <s v="+81 3 3584 0555"/>
    <s v="2-2-8 Roppongi"/>
    <s v="Minato-ku"/>
    <s v="106-0032"/>
    <s v="Japan"/>
    <s v="Shimamura"/>
    <s v="Akiko"/>
    <s v="Medium"/>
    <x v="1655"/>
  </r>
  <r>
    <n v="10372"/>
    <n v="25"/>
    <n v="84.71"/>
    <n v="5"/>
    <n v="2117.75"/>
    <d v="2020-01-26T00:00:00"/>
    <s v="Shipped"/>
    <s v="Trains"/>
    <n v="100"/>
    <s v="S18_3259"/>
    <x v="81"/>
    <s v="+81 3 3584 0555"/>
    <s v="2-2-8 Roppongi"/>
    <s v="Minato-ku"/>
    <s v="106-0032"/>
    <s v="Japan"/>
    <s v="Shimamura"/>
    <s v="Akiko"/>
    <s v="Small"/>
    <x v="645"/>
  </r>
  <r>
    <n v="10372"/>
    <n v="48"/>
    <n v="146.49"/>
    <n v="6"/>
    <n v="7031.52"/>
    <d v="2020-01-26T00:00:00"/>
    <s v="Shipped"/>
    <s v="Classic Cars"/>
    <n v="143"/>
    <s v="S18_4027"/>
    <x v="81"/>
    <s v="+81 3 3584 0555"/>
    <s v="2-2-8 Roppongi"/>
    <s v="Minato-ku"/>
    <s v="106-0032"/>
    <s v="Japan"/>
    <s v="Shimamura"/>
    <s v="Akiko"/>
    <s v="Large"/>
    <x v="1656"/>
  </r>
  <r>
    <n v="10372"/>
    <n v="41"/>
    <n v="86.89"/>
    <n v="7"/>
    <n v="3562.49"/>
    <d v="2020-01-26T00:00:00"/>
    <s v="Shipped"/>
    <s v="Vintage Cars"/>
    <n v="87"/>
    <s v="S18_4522"/>
    <x v="81"/>
    <s v="+81 3 3584 0555"/>
    <s v="2-2-8 Roppongi"/>
    <s v="Minato-ku"/>
    <s v="106-0032"/>
    <s v="Japan"/>
    <s v="Shimamura"/>
    <s v="Akiko"/>
    <s v="Medium"/>
    <x v="1657"/>
  </r>
  <r>
    <n v="10372"/>
    <n v="37"/>
    <n v="105.69"/>
    <n v="8"/>
    <n v="3910.53"/>
    <d v="2020-01-26T00:00:00"/>
    <s v="Shipped"/>
    <s v="Ships"/>
    <n v="122"/>
    <s v="S24_2011"/>
    <x v="81"/>
    <s v="+81 3 3584 0555"/>
    <s v="2-2-8 Roppongi"/>
    <s v="Minato-ku"/>
    <s v="106-0032"/>
    <s v="Japan"/>
    <s v="Shimamura"/>
    <s v="Akiko"/>
    <s v="Medium"/>
    <x v="1377"/>
  </r>
  <r>
    <n v="10372"/>
    <n v="24"/>
    <n v="58.58"/>
    <n v="9"/>
    <n v="1405.92"/>
    <d v="2020-01-26T00:00:00"/>
    <s v="Shipped"/>
    <s v="Trains"/>
    <n v="58"/>
    <s v="S50_1514"/>
    <x v="81"/>
    <s v="+81 3 3584 0555"/>
    <s v="2-2-8 Roppongi"/>
    <s v="Minato-ku"/>
    <s v="106-0032"/>
    <s v="Japan"/>
    <s v="Shimamura"/>
    <s v="Akiko"/>
    <s v="Small"/>
    <x v="1024"/>
  </r>
  <r>
    <n v="10372"/>
    <n v="44"/>
    <n v="102.2"/>
    <n v="2"/>
    <n v="4496.8"/>
    <d v="2020-01-26T00:00:00"/>
    <s v="Shipped"/>
    <s v="Ships"/>
    <n v="86"/>
    <s v="S700_1938"/>
    <x v="81"/>
    <s v="+81 3 3584 0555"/>
    <s v="2-2-8 Roppongi"/>
    <s v="Minato-ku"/>
    <s v="106-0032"/>
    <s v="Japan"/>
    <s v="Shimamura"/>
    <s v="Akiko"/>
    <s v="Medium"/>
    <x v="1098"/>
  </r>
  <r>
    <n v="10373"/>
    <n v="39"/>
    <n v="103.75"/>
    <n v="3"/>
    <n v="4046.25"/>
    <d v="2020-01-31T00:00:00"/>
    <s v="Shipped"/>
    <s v="Classic Cars"/>
    <n v="136"/>
    <s v="S10_4757"/>
    <x v="39"/>
    <s v="981-443655"/>
    <s v="Torikatu 38"/>
    <s v="Oulu"/>
    <s v="90110"/>
    <s v="Finland"/>
    <s v="Koskitalo"/>
    <s v="Pirkko"/>
    <s v="Medium"/>
    <x v="1610"/>
  </r>
  <r>
    <n v="10373"/>
    <n v="28"/>
    <n v="57.55"/>
    <n v="4"/>
    <n v="1611.4"/>
    <d v="2020-01-31T00:00:00"/>
    <s v="Shipped"/>
    <s v="Planes"/>
    <n v="157"/>
    <s v="S18_1662"/>
    <x v="39"/>
    <s v="981-443655"/>
    <s v="Torikatu 38"/>
    <s v="Oulu"/>
    <s v="90110"/>
    <s v="Finland"/>
    <s v="Koskitalo"/>
    <s v="Pirkko"/>
    <s v="Small"/>
    <x v="1658"/>
  </r>
  <r>
    <n v="10373"/>
    <n v="22"/>
    <n v="86.74"/>
    <n v="5"/>
    <n v="1908.28"/>
    <d v="2020-01-31T00:00:00"/>
    <s v="Shipped"/>
    <s v="Ships"/>
    <n v="86"/>
    <s v="S18_3029"/>
    <x v="39"/>
    <s v="981-443655"/>
    <s v="Torikatu 38"/>
    <s v="Oulu"/>
    <s v="90110"/>
    <s v="Finland"/>
    <s v="Koskitalo"/>
    <s v="Pirkko"/>
    <s v="Small"/>
    <x v="1659"/>
  </r>
  <r>
    <n v="10373"/>
    <n v="50"/>
    <n v="60.49"/>
    <n v="6"/>
    <n v="3024.5"/>
    <d v="2020-01-31T00:00:00"/>
    <s v="Shipped"/>
    <s v="Vintage Cars"/>
    <n v="105"/>
    <s v="S18_3856"/>
    <x v="39"/>
    <s v="981-443655"/>
    <s v="Torikatu 38"/>
    <s v="Oulu"/>
    <s v="90110"/>
    <s v="Finland"/>
    <s v="Koskitalo"/>
    <s v="Pirkko"/>
    <s v="Medium"/>
    <x v="1660"/>
  </r>
  <r>
    <n v="10373"/>
    <n v="38"/>
    <n v="70.44"/>
    <n v="7"/>
    <n v="2676.72"/>
    <d v="2020-01-31T00:00:00"/>
    <s v="Shipped"/>
    <s v="Planes"/>
    <n v="68"/>
    <s v="S24_2841"/>
    <x v="39"/>
    <s v="981-443655"/>
    <s v="Torikatu 38"/>
    <s v="Oulu"/>
    <s v="90110"/>
    <s v="Finland"/>
    <s v="Koskitalo"/>
    <s v="Pirkko"/>
    <s v="Small"/>
    <x v="756"/>
  </r>
  <r>
    <n v="10373"/>
    <n v="33"/>
    <n v="57.32"/>
    <n v="12"/>
    <n v="1891.56"/>
    <d v="2020-01-31T00:00:00"/>
    <s v="Shipped"/>
    <s v="Vintage Cars"/>
    <n v="88"/>
    <s v="S24_3151"/>
    <x v="39"/>
    <s v="981-443655"/>
    <s v="Torikatu 38"/>
    <s v="Oulu"/>
    <s v="90110"/>
    <s v="Finland"/>
    <s v="Koskitalo"/>
    <s v="Pirkko"/>
    <s v="Small"/>
    <x v="1243"/>
  </r>
  <r>
    <n v="10373"/>
    <n v="46"/>
    <n v="66"/>
    <n v="11"/>
    <n v="3036"/>
    <d v="2020-01-31T00:00:00"/>
    <s v="Shipped"/>
    <s v="Vintage Cars"/>
    <n v="65"/>
    <s v="S24_3420"/>
    <x v="39"/>
    <s v="981-443655"/>
    <s v="Torikatu 38"/>
    <s v="Oulu"/>
    <s v="90110"/>
    <s v="Finland"/>
    <s v="Koskitalo"/>
    <s v="Pirkko"/>
    <s v="Medium"/>
    <x v="1620"/>
  </r>
  <r>
    <n v="10373"/>
    <n v="23"/>
    <n v="104.1"/>
    <n v="10"/>
    <n v="2394.3000000000002"/>
    <d v="2020-01-31T00:00:00"/>
    <s v="Shipped"/>
    <s v="Vintage Cars"/>
    <n v="83"/>
    <s v="S24_3816"/>
    <x v="39"/>
    <s v="981-443655"/>
    <s v="Torikatu 38"/>
    <s v="Oulu"/>
    <s v="90110"/>
    <s v="Finland"/>
    <s v="Koskitalo"/>
    <s v="Pirkko"/>
    <s v="Small"/>
    <x v="1086"/>
  </r>
  <r>
    <n v="10373"/>
    <n v="39"/>
    <n v="73"/>
    <n v="13"/>
    <n v="2847"/>
    <d v="2020-01-31T00:00:00"/>
    <s v="Shipped"/>
    <s v="Planes"/>
    <n v="68"/>
    <s v="S24_3949"/>
    <x v="39"/>
    <s v="981-443655"/>
    <s v="Torikatu 38"/>
    <s v="Oulu"/>
    <s v="90110"/>
    <s v="Finland"/>
    <s v="Koskitalo"/>
    <s v="Pirkko"/>
    <s v="Small"/>
    <x v="1121"/>
  </r>
  <r>
    <n v="10373"/>
    <n v="44"/>
    <n v="105.18"/>
    <n v="14"/>
    <n v="4627.92"/>
    <d v="2020-01-31T00:00:00"/>
    <s v="Shipped"/>
    <s v="Ships"/>
    <n v="66"/>
    <s v="S700_1138"/>
    <x v="39"/>
    <s v="981-443655"/>
    <s v="Torikatu 38"/>
    <s v="Oulu"/>
    <s v="90110"/>
    <s v="Finland"/>
    <s v="Koskitalo"/>
    <s v="Pirkko"/>
    <s v="Medium"/>
    <x v="1233"/>
  </r>
  <r>
    <n v="10373"/>
    <n v="32"/>
    <n v="84.41"/>
    <n v="15"/>
    <n v="2701.12"/>
    <d v="2020-01-31T00:00:00"/>
    <s v="Shipped"/>
    <s v="Ships"/>
    <n v="90"/>
    <s v="S700_2047"/>
    <x v="39"/>
    <s v="981-443655"/>
    <s v="Torikatu 38"/>
    <s v="Oulu"/>
    <s v="90110"/>
    <s v="Finland"/>
    <s v="Koskitalo"/>
    <s v="Pirkko"/>
    <s v="Small"/>
    <x v="258"/>
  </r>
  <r>
    <n v="10373"/>
    <n v="41"/>
    <n v="70.33"/>
    <n v="16"/>
    <n v="2883.53"/>
    <d v="2020-01-31T00:00:00"/>
    <s v="Shipped"/>
    <s v="Ships"/>
    <n v="72"/>
    <s v="S700_2610"/>
    <x v="39"/>
    <s v="981-443655"/>
    <s v="Torikatu 38"/>
    <s v="Oulu"/>
    <s v="90110"/>
    <s v="Finland"/>
    <s v="Koskitalo"/>
    <s v="Pirkko"/>
    <s v="Small"/>
    <x v="1661"/>
  </r>
  <r>
    <n v="10373"/>
    <n v="34"/>
    <n v="96.34"/>
    <n v="2"/>
    <n v="3275.56"/>
    <d v="2020-01-31T00:00:00"/>
    <s v="Shipped"/>
    <s v="Ships"/>
    <n v="100"/>
    <s v="S700_3505"/>
    <x v="39"/>
    <s v="981-443655"/>
    <s v="Torikatu 38"/>
    <s v="Oulu"/>
    <s v="90110"/>
    <s v="Finland"/>
    <s v="Koskitalo"/>
    <s v="Pirkko"/>
    <s v="Medium"/>
    <x v="1662"/>
  </r>
  <r>
    <n v="10373"/>
    <n v="37"/>
    <n v="108.8"/>
    <n v="8"/>
    <n v="4025.6"/>
    <d v="2020-01-31T00:00:00"/>
    <s v="Shipped"/>
    <s v="Ships"/>
    <n v="99"/>
    <s v="S700_3962"/>
    <x v="39"/>
    <s v="981-443655"/>
    <s v="Torikatu 38"/>
    <s v="Oulu"/>
    <s v="90110"/>
    <s v="Finland"/>
    <s v="Koskitalo"/>
    <s v="Pirkko"/>
    <s v="Medium"/>
    <x v="1663"/>
  </r>
  <r>
    <n v="10373"/>
    <n v="45"/>
    <n v="55.62"/>
    <n v="17"/>
    <n v="2502.9"/>
    <d v="2020-01-31T00:00:00"/>
    <s v="Shipped"/>
    <s v="Planes"/>
    <n v="74"/>
    <s v="S700_4002"/>
    <x v="39"/>
    <s v="981-443655"/>
    <s v="Torikatu 38"/>
    <s v="Oulu"/>
    <s v="90110"/>
    <s v="Finland"/>
    <s v="Koskitalo"/>
    <s v="Pirkko"/>
    <s v="Small"/>
    <x v="1664"/>
  </r>
  <r>
    <n v="10373"/>
    <n v="25"/>
    <n v="64.97"/>
    <n v="9"/>
    <n v="1624.25"/>
    <d v="2020-01-31T00:00:00"/>
    <s v="Shipped"/>
    <s v="Planes"/>
    <n v="49"/>
    <s v="S72_1253"/>
    <x v="39"/>
    <s v="981-443655"/>
    <s v="Torikatu 38"/>
    <s v="Oulu"/>
    <s v="90110"/>
    <s v="Finland"/>
    <s v="Koskitalo"/>
    <s v="Pirkko"/>
    <s v="Small"/>
    <x v="1305"/>
  </r>
  <r>
    <n v="10373"/>
    <n v="29"/>
    <n v="137.19"/>
    <n v="1"/>
    <n v="3978.51"/>
    <d v="2020-01-31T00:00:00"/>
    <s v="Shipped"/>
    <s v="Ships"/>
    <n v="54"/>
    <s v="S72_3212"/>
    <x v="39"/>
    <s v="981-443655"/>
    <s v="Torikatu 38"/>
    <s v="Oulu"/>
    <s v="90110"/>
    <s v="Finland"/>
    <s v="Koskitalo"/>
    <s v="Pirkko"/>
    <s v="Medium"/>
    <x v="62"/>
  </r>
  <r>
    <n v="10374"/>
    <n v="39"/>
    <n v="135.59"/>
    <n v="5"/>
    <n v="5288.01"/>
    <d v="2020-02-02T00:00:00"/>
    <s v="Shipped"/>
    <s v="Motorcycles"/>
    <n v="118"/>
    <s v="S10_2016"/>
    <x v="40"/>
    <s v="61-7-3844-6555"/>
    <s v="31 Duncan St. West End"/>
    <s v="South Brisbane"/>
    <s v="4101"/>
    <s v="Australia"/>
    <s v="Calaghan"/>
    <s v="Tony"/>
    <s v="Medium"/>
    <x v="1665"/>
  </r>
  <r>
    <n v="10374"/>
    <n v="22"/>
    <n v="174.29"/>
    <n v="1"/>
    <n v="3834.38"/>
    <d v="2020-02-02T00:00:00"/>
    <s v="Shipped"/>
    <s v="Motorcycles"/>
    <n v="193"/>
    <s v="S10_4698"/>
    <x v="40"/>
    <s v="61-7-3844-6555"/>
    <s v="31 Duncan St. West End"/>
    <s v="South Brisbane"/>
    <s v="4101"/>
    <s v="Australia"/>
    <s v="Calaghan"/>
    <s v="Tony"/>
    <s v="Medium"/>
    <x v="1666"/>
  </r>
  <r>
    <n v="10374"/>
    <n v="42"/>
    <n v="69.27"/>
    <n v="2"/>
    <n v="2909.34"/>
    <d v="2020-02-02T00:00:00"/>
    <s v="Shipped"/>
    <s v="Planes"/>
    <n v="84"/>
    <s v="S18_2581"/>
    <x v="40"/>
    <s v="61-7-3844-6555"/>
    <s v="31 Duncan St. West End"/>
    <s v="South Brisbane"/>
    <s v="4101"/>
    <s v="Australia"/>
    <s v="Calaghan"/>
    <s v="Tony"/>
    <s v="Small"/>
    <x v="1667"/>
  </r>
  <r>
    <n v="10374"/>
    <n v="22"/>
    <n v="53.3"/>
    <n v="4"/>
    <n v="1172.5999999999999"/>
    <d v="2020-02-02T00:00:00"/>
    <s v="Shipped"/>
    <s v="Motorcycles"/>
    <n v="60"/>
    <s v="S18_2625"/>
    <x v="40"/>
    <s v="61-7-3844-6555"/>
    <s v="31 Duncan St. West End"/>
    <s v="South Brisbane"/>
    <s v="4101"/>
    <s v="Australia"/>
    <s v="Calaghan"/>
    <s v="Tony"/>
    <s v="Small"/>
    <x v="380"/>
  </r>
  <r>
    <n v="10374"/>
    <n v="38"/>
    <n v="110.45"/>
    <n v="6"/>
    <n v="4197.1000000000004"/>
    <d v="2020-02-02T00:00:00"/>
    <s v="Shipped"/>
    <s v="Motorcycles"/>
    <n v="112"/>
    <s v="S24_1578"/>
    <x v="40"/>
    <s v="61-7-3844-6555"/>
    <s v="31 Duncan St. West End"/>
    <s v="South Brisbane"/>
    <s v="4101"/>
    <s v="Australia"/>
    <s v="Calaghan"/>
    <s v="Tony"/>
    <s v="Medium"/>
    <x v="1492"/>
  </r>
  <r>
    <n v="10374"/>
    <n v="46"/>
    <n v="94.1"/>
    <n v="3"/>
    <n v="4328.6000000000004"/>
    <d v="2020-02-02T00:00:00"/>
    <s v="Shipped"/>
    <s v="Planes"/>
    <n v="109"/>
    <s v="S24_1785"/>
    <x v="40"/>
    <s v="61-7-3844-6555"/>
    <s v="31 Duncan St. West End"/>
    <s v="South Brisbane"/>
    <s v="4101"/>
    <s v="Australia"/>
    <s v="Calaghan"/>
    <s v="Tony"/>
    <s v="Medium"/>
    <x v="74"/>
  </r>
  <r>
    <n v="10375"/>
    <n v="21"/>
    <n v="34.909999999999997"/>
    <n v="12"/>
    <n v="733.11"/>
    <d v="2020-02-03T00:00:00"/>
    <s v="Shipped"/>
    <s v="Motorcycles"/>
    <n v="95"/>
    <s v="S10_1678"/>
    <x v="84"/>
    <s v="40.67.8555"/>
    <s v="67, rue des Cinquante Otages"/>
    <s v="Nantes"/>
    <s v="44000"/>
    <s v="France"/>
    <s v="Labrune"/>
    <s v="Janine"/>
    <s v="Small"/>
    <x v="1668"/>
  </r>
  <r>
    <n v="10375"/>
    <n v="45"/>
    <n v="76"/>
    <n v="7"/>
    <n v="3420"/>
    <d v="2020-02-03T00:00:00"/>
    <s v="Shipped"/>
    <s v="Classic Cars"/>
    <n v="194"/>
    <s v="S12_1099"/>
    <x v="84"/>
    <s v="40.67.8555"/>
    <s v="67, rue des Cinquante Otages"/>
    <s v="Nantes"/>
    <s v="44000"/>
    <s v="France"/>
    <s v="Labrune"/>
    <s v="Janine"/>
    <s v="Medium"/>
    <x v="1477"/>
  </r>
  <r>
    <n v="10375"/>
    <n v="49"/>
    <n v="78.92"/>
    <n v="13"/>
    <n v="3867.08"/>
    <d v="2020-02-03T00:00:00"/>
    <s v="Shipped"/>
    <s v="Motorcycles"/>
    <n v="150"/>
    <s v="S12_2823"/>
    <x v="84"/>
    <s v="40.67.8555"/>
    <s v="67, rue des Cinquante Otages"/>
    <s v="Nantes"/>
    <s v="44000"/>
    <s v="France"/>
    <s v="Labrune"/>
    <s v="Janine"/>
    <s v="Medium"/>
    <x v="1669"/>
  </r>
  <r>
    <n v="10375"/>
    <n v="23"/>
    <n v="106.23"/>
    <n v="9"/>
    <n v="2443.29"/>
    <d v="2020-02-03T00:00:00"/>
    <s v="Shipped"/>
    <s v="Motorcycles"/>
    <n v="76"/>
    <s v="S24_2000"/>
    <x v="84"/>
    <s v="40.67.8555"/>
    <s v="67, rue des Cinquante Otages"/>
    <s v="Nantes"/>
    <s v="44000"/>
    <s v="France"/>
    <s v="Labrune"/>
    <s v="Janine"/>
    <s v="Small"/>
    <x v="571"/>
  </r>
  <r>
    <n v="10375"/>
    <n v="20"/>
    <n v="102.3"/>
    <n v="14"/>
    <n v="2046"/>
    <d v="2020-02-03T00:00:00"/>
    <s v="Shipped"/>
    <s v="Motorcycles"/>
    <n v="69"/>
    <s v="S24_2360"/>
    <x v="84"/>
    <s v="40.67.8555"/>
    <s v="67, rue des Cinquante Otages"/>
    <s v="Nantes"/>
    <s v="44000"/>
    <s v="France"/>
    <s v="Labrune"/>
    <s v="Janine"/>
    <s v="Small"/>
    <x v="252"/>
  </r>
  <r>
    <n v="10375"/>
    <n v="43"/>
    <n v="233.48"/>
    <n v="2"/>
    <n v="10039.6"/>
    <d v="2020-02-03T00:00:00"/>
    <s v="Shipped"/>
    <s v="Planes"/>
    <n v="72"/>
    <s v="S24_4278"/>
    <x v="84"/>
    <s v="40.67.8555"/>
    <s v="67, rue des Cinquante Otages"/>
    <s v="Nantes"/>
    <s v="44000"/>
    <s v="France"/>
    <s v="Labrune"/>
    <s v="Janine"/>
    <s v="Large"/>
    <x v="1670"/>
  </r>
  <r>
    <n v="10375"/>
    <n v="37"/>
    <n v="171.71"/>
    <n v="3"/>
    <n v="6353.27"/>
    <d v="2020-02-03T00:00:00"/>
    <s v="Shipped"/>
    <s v="Motorcycles"/>
    <n v="99"/>
    <s v="S32_1374"/>
    <x v="84"/>
    <s v="40.67.8555"/>
    <s v="67, rue des Cinquante Otages"/>
    <s v="Nantes"/>
    <s v="44000"/>
    <s v="France"/>
    <s v="Labrune"/>
    <s v="Janine"/>
    <s v="Medium"/>
    <x v="75"/>
  </r>
  <r>
    <n v="10375"/>
    <n v="44"/>
    <n v="82.26"/>
    <n v="4"/>
    <n v="3619.44"/>
    <d v="2020-02-03T00:00:00"/>
    <s v="Shipped"/>
    <s v="Vintage Cars"/>
    <n v="68"/>
    <s v="S32_4289"/>
    <x v="84"/>
    <s v="40.67.8555"/>
    <s v="67, rue des Cinquante Otages"/>
    <s v="Nantes"/>
    <s v="44000"/>
    <s v="France"/>
    <s v="Labrune"/>
    <s v="Janine"/>
    <s v="Medium"/>
    <x v="1183"/>
  </r>
  <r>
    <n v="10375"/>
    <n v="41"/>
    <n v="114.68"/>
    <n v="15"/>
    <n v="4701.88"/>
    <d v="2020-02-03T00:00:00"/>
    <s v="Shipped"/>
    <s v="Motorcycles"/>
    <n v="102"/>
    <s v="S32_4485"/>
    <x v="84"/>
    <s v="40.67.8555"/>
    <s v="67, rue des Cinquante Otages"/>
    <s v="Nantes"/>
    <s v="44000"/>
    <s v="France"/>
    <s v="Labrune"/>
    <s v="Janine"/>
    <s v="Medium"/>
    <x v="1671"/>
  </r>
  <r>
    <n v="10375"/>
    <n v="49"/>
    <n v="65.8"/>
    <n v="5"/>
    <n v="3224.2"/>
    <d v="2020-02-03T00:00:00"/>
    <s v="Shipped"/>
    <s v="Vintage Cars"/>
    <n v="43"/>
    <s v="S50_1341"/>
    <x v="84"/>
    <s v="40.67.8555"/>
    <s v="67, rue des Cinquante Otages"/>
    <s v="Nantes"/>
    <s v="44000"/>
    <s v="France"/>
    <s v="Labrune"/>
    <s v="Janine"/>
    <s v="Medium"/>
    <x v="1245"/>
  </r>
  <r>
    <n v="10375"/>
    <n v="49"/>
    <n v="110.34"/>
    <n v="8"/>
    <n v="5406.66"/>
    <d v="2020-02-03T00:00:00"/>
    <s v="Shipped"/>
    <s v="Motorcycles"/>
    <n v="81"/>
    <s v="S50_4713"/>
    <x v="84"/>
    <s v="40.67.8555"/>
    <s v="67, rue des Cinquante Otages"/>
    <s v="Nantes"/>
    <s v="44000"/>
    <s v="France"/>
    <s v="Labrune"/>
    <s v="Janine"/>
    <s v="Medium"/>
    <x v="1052"/>
  </r>
  <r>
    <n v="10375"/>
    <n v="37"/>
    <n v="81.87"/>
    <n v="6"/>
    <n v="3029.19"/>
    <d v="2020-02-03T00:00:00"/>
    <s v="Shipped"/>
    <s v="Planes"/>
    <n v="91"/>
    <s v="S700_1691"/>
    <x v="84"/>
    <s v="40.67.8555"/>
    <s v="67, rue des Cinquante Otages"/>
    <s v="Nantes"/>
    <s v="44000"/>
    <s v="France"/>
    <s v="Labrune"/>
    <s v="Janine"/>
    <s v="Medium"/>
    <x v="268"/>
  </r>
  <r>
    <n v="10375"/>
    <n v="33"/>
    <n v="116.87"/>
    <n v="1"/>
    <n v="3856.71"/>
    <d v="2020-02-03T00:00:00"/>
    <s v="Shipped"/>
    <s v="Planes"/>
    <n v="99"/>
    <s v="S700_2466"/>
    <x v="84"/>
    <s v="40.67.8555"/>
    <s v="67, rue des Cinquante Otages"/>
    <s v="Nantes"/>
    <s v="44000"/>
    <s v="France"/>
    <s v="Labrune"/>
    <s v="Janine"/>
    <s v="Medium"/>
    <x v="632"/>
  </r>
  <r>
    <n v="10375"/>
    <n v="25"/>
    <n v="66.73"/>
    <n v="10"/>
    <n v="1668.25"/>
    <d v="2020-02-03T00:00:00"/>
    <s v="Shipped"/>
    <s v="Planes"/>
    <n v="118"/>
    <s v="S700_2834"/>
    <x v="84"/>
    <s v="40.67.8555"/>
    <s v="67, rue des Cinquante Otages"/>
    <s v="Nantes"/>
    <s v="44000"/>
    <s v="France"/>
    <s v="Labrune"/>
    <s v="Janine"/>
    <s v="Small"/>
    <x v="924"/>
  </r>
  <r>
    <n v="10375"/>
    <n v="44"/>
    <n v="118.38"/>
    <n v="11"/>
    <n v="5208.72"/>
    <d v="2020-02-03T00:00:00"/>
    <s v="Shipped"/>
    <s v="Planes"/>
    <n v="80"/>
    <s v="S700_3167"/>
    <x v="84"/>
    <s v="40.67.8555"/>
    <s v="67, rue des Cinquante Otages"/>
    <s v="Nantes"/>
    <s v="44000"/>
    <s v="France"/>
    <s v="Labrune"/>
    <s v="Janine"/>
    <s v="Medium"/>
    <x v="930"/>
  </r>
  <r>
    <n v="10376"/>
    <n v="35"/>
    <n v="113.92"/>
    <n v="1"/>
    <n v="3987.2"/>
    <d v="2020-02-08T00:00:00"/>
    <s v="Shipped"/>
    <s v="Classic Cars"/>
    <n v="117"/>
    <s v="S12_3380"/>
    <x v="41"/>
    <s v="3105552373"/>
    <s v="4097 Douglas Av."/>
    <s v="Glendale"/>
    <s v="92561"/>
    <s v="USA"/>
    <s v="Young"/>
    <s v="Leslie"/>
    <s v="Medium"/>
    <x v="1672"/>
  </r>
  <r>
    <n v="10377"/>
    <n v="24"/>
    <n v="67.83"/>
    <n v="5"/>
    <n v="1627.92"/>
    <d v="2020-02-09T00:00:00"/>
    <s v="Shipped"/>
    <s v="Classic Cars"/>
    <n v="79"/>
    <s v="S12_3990"/>
    <x v="43"/>
    <s v="90-224 8555"/>
    <s v="Keskuskatu 45"/>
    <s v="Helsinki"/>
    <s v="21240"/>
    <s v="Finland"/>
    <s v="Karttunen"/>
    <s v="Matti"/>
    <s v="Small"/>
    <x v="1088"/>
  </r>
  <r>
    <n v="10377"/>
    <n v="50"/>
    <n v="103.64"/>
    <n v="1"/>
    <n v="5182"/>
    <d v="2020-02-09T00:00:00"/>
    <s v="Shipped"/>
    <s v="Classic Cars"/>
    <n v="115"/>
    <s v="S12_4675"/>
    <x v="43"/>
    <s v="90-224 8555"/>
    <s v="Keskuskatu 45"/>
    <s v="Helsinki"/>
    <s v="21240"/>
    <s v="Finland"/>
    <s v="Karttunen"/>
    <s v="Matti"/>
    <s v="Medium"/>
    <x v="854"/>
  </r>
  <r>
    <n v="10377"/>
    <n v="35"/>
    <n v="168.43"/>
    <n v="2"/>
    <n v="5895.05"/>
    <d v="2020-02-09T00:00:00"/>
    <s v="Shipped"/>
    <s v="Classic Cars"/>
    <n v="141"/>
    <s v="S18_1129"/>
    <x v="43"/>
    <s v="90-224 8555"/>
    <s v="Keskuskatu 45"/>
    <s v="Helsinki"/>
    <s v="21240"/>
    <s v="Finland"/>
    <s v="Karttunen"/>
    <s v="Matti"/>
    <s v="Medium"/>
    <x v="840"/>
  </r>
  <r>
    <n v="10377"/>
    <n v="31"/>
    <n v="67.760000000000005"/>
    <n v="4"/>
    <n v="2100.56"/>
    <d v="2020-02-09T00:00:00"/>
    <s v="Shipped"/>
    <s v="Classic Cars"/>
    <n v="77"/>
    <s v="S18_1889"/>
    <x v="43"/>
    <s v="90-224 8555"/>
    <s v="Keskuskatu 45"/>
    <s v="Helsinki"/>
    <s v="21240"/>
    <s v="Finland"/>
    <s v="Karttunen"/>
    <s v="Matti"/>
    <s v="Small"/>
    <x v="1673"/>
  </r>
  <r>
    <n v="10377"/>
    <n v="36"/>
    <n v="120.91"/>
    <n v="6"/>
    <n v="4352.76"/>
    <d v="2020-02-09T00:00:00"/>
    <s v="Shipped"/>
    <s v="Classic Cars"/>
    <n v="142"/>
    <s v="S18_1984"/>
    <x v="43"/>
    <s v="90-224 8555"/>
    <s v="Keskuskatu 45"/>
    <s v="Helsinki"/>
    <s v="21240"/>
    <s v="Finland"/>
    <s v="Karttunen"/>
    <s v="Matti"/>
    <s v="Medium"/>
    <x v="1674"/>
  </r>
  <r>
    <n v="10377"/>
    <n v="39"/>
    <n v="186.27"/>
    <n v="3"/>
    <n v="7264.53"/>
    <d v="2020-02-09T00:00:00"/>
    <s v="Shipped"/>
    <s v="Classic Cars"/>
    <n v="169"/>
    <s v="S18_3232"/>
    <x v="43"/>
    <s v="90-224 8555"/>
    <s v="Keskuskatu 45"/>
    <s v="Helsinki"/>
    <s v="21240"/>
    <s v="Finland"/>
    <s v="Karttunen"/>
    <s v="Matti"/>
    <s v="Large"/>
    <x v="1675"/>
  </r>
  <r>
    <n v="10378"/>
    <n v="34"/>
    <n v="42.64"/>
    <n v="5"/>
    <n v="1449.76"/>
    <d v="2020-02-10T00:00:00"/>
    <s v="Shipped"/>
    <s v="Classic Cars"/>
    <n v="124"/>
    <s v="S18_1589"/>
    <x v="4"/>
    <s v="(91) 555 94 44"/>
    <s v="C/ Moralzarzal, 86"/>
    <s v="Madrid"/>
    <s v="28034"/>
    <s v="Spain"/>
    <s v="Freyre"/>
    <s v="Diego"/>
    <s v="Small"/>
    <x v="1676"/>
  </r>
  <r>
    <n v="10379"/>
    <n v="39"/>
    <n v="138.44999999999999"/>
    <n v="2"/>
    <n v="5399.55"/>
    <d v="2020-02-10T00:00:00"/>
    <s v="Shipped"/>
    <s v="Vintage Cars"/>
    <n v="170"/>
    <s v="S18_1749"/>
    <x v="4"/>
    <s v="(91) 555 94 44"/>
    <s v="C/ Moralzarzal, 86"/>
    <s v="Madrid"/>
    <s v="28034"/>
    <s v="Spain"/>
    <s v="Freyre"/>
    <s v="Diego"/>
    <s v="Medium"/>
    <x v="1677"/>
  </r>
  <r>
    <n v="10379"/>
    <n v="27"/>
    <n v="49.3"/>
    <n v="1"/>
    <n v="1331.1"/>
    <d v="2020-02-10T00:00:00"/>
    <s v="Shipped"/>
    <s v="Vintage Cars"/>
    <n v="60"/>
    <s v="S18_2248"/>
    <x v="4"/>
    <s v="(91) 555 94 44"/>
    <s v="C/ Moralzarzal, 86"/>
    <s v="Madrid"/>
    <s v="28034"/>
    <s v="Spain"/>
    <s v="Freyre"/>
    <s v="Diego"/>
    <s v="Small"/>
    <x v="1538"/>
  </r>
  <r>
    <n v="10379"/>
    <n v="29"/>
    <n v="176.8"/>
    <n v="5"/>
    <n v="5127.2"/>
    <d v="2020-02-10T00:00:00"/>
    <s v="Shipped"/>
    <s v="Classic Cars"/>
    <n v="132"/>
    <s v="S18_2870"/>
    <x v="4"/>
    <s v="(91) 555 94 44"/>
    <s v="C/ Moralzarzal, 86"/>
    <s v="Madrid"/>
    <s v="28034"/>
    <s v="Spain"/>
    <s v="Freyre"/>
    <s v="Diego"/>
    <s v="Medium"/>
    <x v="1141"/>
  </r>
  <r>
    <n v="10378"/>
    <n v="22"/>
    <n v="112"/>
    <n v="4"/>
    <n v="2464"/>
    <d v="2020-02-10T00:00:00"/>
    <s v="Shipped"/>
    <s v="Classic Cars"/>
    <n v="80"/>
    <s v="S18_3278"/>
    <x v="4"/>
    <s v="(91) 555 94 44"/>
    <s v="C/ Moralzarzal, 86"/>
    <s v="Madrid"/>
    <s v="28034"/>
    <s v="Spain"/>
    <s v="Freyre"/>
    <s v="Diego"/>
    <s v="Small"/>
    <x v="1678"/>
  </r>
  <r>
    <n v="10378"/>
    <n v="43"/>
    <n v="96.49"/>
    <n v="10"/>
    <n v="4149.07"/>
    <d v="2020-02-10T00:00:00"/>
    <s v="Shipped"/>
    <s v="Classic Cars"/>
    <n v="146"/>
    <s v="S18_3482"/>
    <x v="4"/>
    <s v="(91) 555 94 44"/>
    <s v="C/ Moralzarzal, 86"/>
    <s v="Madrid"/>
    <s v="28034"/>
    <s v="Spain"/>
    <s v="Freyre"/>
    <s v="Diego"/>
    <s v="Medium"/>
    <x v="1399"/>
  </r>
  <r>
    <n v="10379"/>
    <n v="32"/>
    <n v="70.83"/>
    <n v="4"/>
    <n v="2266.56"/>
    <d v="2020-02-10T00:00:00"/>
    <s v="Shipped"/>
    <s v="Classic Cars"/>
    <n v="141"/>
    <s v="S18_3685"/>
    <x v="4"/>
    <s v="(91) 555 94 44"/>
    <s v="C/ Moralzarzal, 86"/>
    <s v="Madrid"/>
    <s v="28034"/>
    <s v="Spain"/>
    <s v="Freyre"/>
    <s v="Diego"/>
    <s v="Small"/>
    <x v="795"/>
  </r>
  <r>
    <n v="10378"/>
    <n v="28"/>
    <n v="164.63"/>
    <n v="9"/>
    <n v="4609.6400000000003"/>
    <d v="2020-02-10T00:00:00"/>
    <s v="Shipped"/>
    <s v="Motorcycles"/>
    <n v="62"/>
    <s v="S18_3782"/>
    <x v="4"/>
    <s v="(91) 555 94 44"/>
    <s v="C/ Moralzarzal, 86"/>
    <s v="Madrid"/>
    <s v="28034"/>
    <s v="Spain"/>
    <s v="Freyre"/>
    <s v="Diego"/>
    <s v="Medium"/>
    <x v="565"/>
  </r>
  <r>
    <n v="10378"/>
    <n v="49"/>
    <n v="67.14"/>
    <n v="8"/>
    <n v="3289.86"/>
    <d v="2020-02-10T00:00:00"/>
    <s v="Shipped"/>
    <s v="Classic Cars"/>
    <n v="148"/>
    <s v="S18_4721"/>
    <x v="4"/>
    <s v="(91) 555 94 44"/>
    <s v="C/ Moralzarzal, 86"/>
    <s v="Madrid"/>
    <s v="28034"/>
    <s v="Spain"/>
    <s v="Freyre"/>
    <s v="Diego"/>
    <s v="Medium"/>
    <x v="1679"/>
  </r>
  <r>
    <n v="10379"/>
    <n v="32"/>
    <n v="124.08"/>
    <n v="3"/>
    <n v="3970.56"/>
    <d v="2020-02-10T00:00:00"/>
    <s v="Shipped"/>
    <s v="Classic Cars"/>
    <n v="50"/>
    <s v="S24_1628"/>
    <x v="4"/>
    <s v="(91) 555 94 44"/>
    <s v="C/ Moralzarzal, 86"/>
    <s v="Madrid"/>
    <s v="28034"/>
    <s v="Spain"/>
    <s v="Freyre"/>
    <s v="Diego"/>
    <s v="Medium"/>
    <x v="1680"/>
  </r>
  <r>
    <n v="10378"/>
    <n v="41"/>
    <n v="142.85"/>
    <n v="7"/>
    <n v="5856.85"/>
    <d v="2020-02-10T00:00:00"/>
    <s v="Shipped"/>
    <s v="Classic Cars"/>
    <n v="37"/>
    <s v="S24_2972"/>
    <x v="4"/>
    <s v="(91) 555 94 44"/>
    <s v="C/ Moralzarzal, 86"/>
    <s v="Madrid"/>
    <s v="28034"/>
    <s v="Spain"/>
    <s v="Freyre"/>
    <s v="Diego"/>
    <s v="Medium"/>
    <x v="1280"/>
  </r>
  <r>
    <n v="10378"/>
    <n v="46"/>
    <n v="41.54"/>
    <n v="6"/>
    <n v="1910.84"/>
    <d v="2020-02-10T00:00:00"/>
    <s v="Shipped"/>
    <s v="Classic Cars"/>
    <n v="61"/>
    <s v="S24_3371"/>
    <x v="4"/>
    <s v="(91) 555 94 44"/>
    <s v="C/ Moralzarzal, 86"/>
    <s v="Madrid"/>
    <s v="28034"/>
    <s v="Spain"/>
    <s v="Freyre"/>
    <s v="Diego"/>
    <s v="Small"/>
    <x v="1281"/>
  </r>
  <r>
    <n v="10378"/>
    <n v="33"/>
    <n v="53.27"/>
    <n v="3"/>
    <n v="1757.91"/>
    <d v="2020-02-10T00:00:00"/>
    <s v="Shipped"/>
    <s v="Classic Cars"/>
    <n v="140"/>
    <s v="S24_3856"/>
    <x v="4"/>
    <s v="(91) 555 94 44"/>
    <s v="C/ Moralzarzal, 86"/>
    <s v="Madrid"/>
    <s v="28034"/>
    <s v="Spain"/>
    <s v="Freyre"/>
    <s v="Diego"/>
    <s v="Small"/>
    <x v="1095"/>
  </r>
  <r>
    <n v="10378"/>
    <n v="41"/>
    <n v="119.37"/>
    <n v="2"/>
    <n v="4894.17"/>
    <d v="2020-02-10T00:00:00"/>
    <s v="Shipped"/>
    <s v="Classic Cars"/>
    <n v="80"/>
    <s v="S24_4620"/>
    <x v="4"/>
    <s v="(91) 555 94 44"/>
    <s v="C/ Moralzarzal, 86"/>
    <s v="Madrid"/>
    <s v="28034"/>
    <s v="Spain"/>
    <s v="Freyre"/>
    <s v="Diego"/>
    <s v="Medium"/>
    <x v="1681"/>
  </r>
  <r>
    <n v="10378"/>
    <n v="40"/>
    <n v="82.46"/>
    <n v="1"/>
    <n v="3298.4"/>
    <d v="2020-02-10T00:00:00"/>
    <s v="Shipped"/>
    <s v="Motorcycles"/>
    <n v="40"/>
    <s v="S32_2206"/>
    <x v="4"/>
    <s v="(91) 555 94 44"/>
    <s v="C/ Moralzarzal, 86"/>
    <s v="Madrid"/>
    <s v="28034"/>
    <s v="Spain"/>
    <s v="Freyre"/>
    <s v="Diego"/>
    <s v="Medium"/>
    <x v="1682"/>
  </r>
  <r>
    <n v="10380"/>
    <n v="27"/>
    <n v="93.16"/>
    <n v="13"/>
    <n v="2515.3200000000002"/>
    <d v="2020-02-16T00:00:00"/>
    <s v="Shipped"/>
    <s v="Vintage Cars"/>
    <n v="102"/>
    <s v="S18_1342"/>
    <x v="4"/>
    <s v="(91) 555 94 44"/>
    <s v="C/ Moralzarzal, 86"/>
    <s v="Madrid"/>
    <s v="28034"/>
    <s v="Spain"/>
    <s v="Freyre"/>
    <s v="Diego"/>
    <s v="Small"/>
    <x v="1683"/>
  </r>
  <r>
    <n v="10380"/>
    <n v="40"/>
    <n v="123.29"/>
    <n v="10"/>
    <n v="4931.6000000000004"/>
    <d v="2020-02-16T00:00:00"/>
    <s v="Shipped"/>
    <s v="Vintage Cars"/>
    <n v="127"/>
    <s v="S18_2325"/>
    <x v="4"/>
    <s v="(91) 555 94 44"/>
    <s v="C/ Moralzarzal, 86"/>
    <s v="Madrid"/>
    <s v="28034"/>
    <s v="Spain"/>
    <s v="Freyre"/>
    <s v="Diego"/>
    <s v="Medium"/>
    <x v="116"/>
  </r>
  <r>
    <n v="10380"/>
    <n v="21"/>
    <n v="47.18"/>
    <n v="8"/>
    <n v="990.78"/>
    <d v="2020-02-16T00:00:00"/>
    <s v="Shipped"/>
    <s v="Vintage Cars"/>
    <n v="168"/>
    <s v="S18_2795"/>
    <x v="4"/>
    <s v="(91) 555 94 44"/>
    <s v="C/ Moralzarzal, 86"/>
    <s v="Madrid"/>
    <s v="28034"/>
    <s v="Spain"/>
    <s v="Freyre"/>
    <s v="Diego"/>
    <s v="Small"/>
    <x v="1684"/>
  </r>
  <r>
    <n v="10380"/>
    <n v="32"/>
    <n v="105.52"/>
    <n v="1"/>
    <n v="3376.64"/>
    <d v="2020-02-16T00:00:00"/>
    <s v="Shipped"/>
    <s v="Vintage Cars"/>
    <n v="92"/>
    <s v="S18_4409"/>
    <x v="4"/>
    <s v="(91) 555 94 44"/>
    <s v="C/ Moralzarzal, 86"/>
    <s v="Madrid"/>
    <s v="28034"/>
    <s v="Spain"/>
    <s v="Freyre"/>
    <s v="Diego"/>
    <s v="Medium"/>
    <x v="1685"/>
  </r>
  <r>
    <n v="10380"/>
    <n v="24"/>
    <n v="189"/>
    <n v="2"/>
    <n v="4536"/>
    <d v="2020-02-16T00:00:00"/>
    <s v="Shipped"/>
    <s v="Classic Cars"/>
    <n v="71"/>
    <s v="S18_4933"/>
    <x v="4"/>
    <s v="(91) 555 94 44"/>
    <s v="C/ Moralzarzal, 86"/>
    <s v="Madrid"/>
    <s v="28034"/>
    <s v="Spain"/>
    <s v="Freyre"/>
    <s v="Diego"/>
    <s v="Medium"/>
    <x v="1219"/>
  </r>
  <r>
    <n v="10380"/>
    <n v="34"/>
    <n v="101.23"/>
    <n v="3"/>
    <n v="3441.82"/>
    <d v="2020-02-16T00:00:00"/>
    <s v="Shipped"/>
    <s v="Classic Cars"/>
    <n v="73"/>
    <s v="S24_1046"/>
    <x v="4"/>
    <s v="(91) 555 94 44"/>
    <s v="C/ Moralzarzal, 86"/>
    <s v="Madrid"/>
    <s v="28034"/>
    <s v="Spain"/>
    <s v="Freyre"/>
    <s v="Diego"/>
    <s v="Medium"/>
    <x v="1686"/>
  </r>
  <r>
    <n v="10380"/>
    <n v="32"/>
    <n v="70.56"/>
    <n v="4"/>
    <n v="2257.92"/>
    <d v="2020-02-16T00:00:00"/>
    <s v="Shipped"/>
    <s v="Vintage Cars"/>
    <n v="33"/>
    <s v="S24_1937"/>
    <x v="4"/>
    <s v="(91) 555 94 44"/>
    <s v="C/ Moralzarzal, 86"/>
    <s v="Madrid"/>
    <s v="28034"/>
    <s v="Spain"/>
    <s v="Freyre"/>
    <s v="Diego"/>
    <s v="Small"/>
    <x v="1687"/>
  </r>
  <r>
    <n v="10380"/>
    <n v="27"/>
    <n v="68.349999999999994"/>
    <n v="5"/>
    <n v="1845.45"/>
    <d v="2020-02-16T00:00:00"/>
    <s v="Shipped"/>
    <s v="Vintage Cars"/>
    <n v="44"/>
    <s v="S24_2022"/>
    <x v="4"/>
    <s v="(91) 555 94 44"/>
    <s v="C/ Moralzarzal, 86"/>
    <s v="Madrid"/>
    <s v="28034"/>
    <s v="Spain"/>
    <s v="Freyre"/>
    <s v="Diego"/>
    <s v="Small"/>
    <x v="1688"/>
  </r>
  <r>
    <n v="10380"/>
    <n v="36"/>
    <n v="37.5"/>
    <n v="6"/>
    <n v="1350"/>
    <d v="2020-02-16T00:00:00"/>
    <s v="Shipped"/>
    <s v="Classic Cars"/>
    <n v="90"/>
    <s v="S24_2766"/>
    <x v="4"/>
    <s v="(91) 555 94 44"/>
    <s v="C/ Moralzarzal, 86"/>
    <s v="Madrid"/>
    <s v="28034"/>
    <s v="Spain"/>
    <s v="Freyre"/>
    <s v="Diego"/>
    <s v="Small"/>
    <x v="1689"/>
  </r>
  <r>
    <n v="10380"/>
    <n v="44"/>
    <n v="36.29"/>
    <n v="7"/>
    <n v="1596.76"/>
    <d v="2020-02-16T00:00:00"/>
    <s v="Shipped"/>
    <s v="Classic Cars"/>
    <n v="117"/>
    <s v="S24_2887"/>
    <x v="4"/>
    <s v="(91) 555 94 44"/>
    <s v="C/ Moralzarzal, 86"/>
    <s v="Madrid"/>
    <s v="28034"/>
    <s v="Spain"/>
    <s v="Freyre"/>
    <s v="Diego"/>
    <s v="Small"/>
    <x v="461"/>
  </r>
  <r>
    <n v="10380"/>
    <n v="44"/>
    <n v="79.06"/>
    <n v="9"/>
    <n v="3478.64"/>
    <d v="2020-02-16T00:00:00"/>
    <s v="Shipped"/>
    <s v="Classic Cars"/>
    <n v="85"/>
    <s v="S24_3191"/>
    <x v="4"/>
    <s v="(91) 555 94 44"/>
    <s v="C/ Moralzarzal, 86"/>
    <s v="Madrid"/>
    <s v="28034"/>
    <s v="Spain"/>
    <s v="Freyre"/>
    <s v="Diego"/>
    <s v="Medium"/>
    <x v="940"/>
  </r>
  <r>
    <n v="10380"/>
    <n v="34"/>
    <n v="116.27"/>
    <n v="11"/>
    <n v="3953.18"/>
    <d v="2020-02-16T00:00:00"/>
    <s v="Shipped"/>
    <s v="Classic Cars"/>
    <n v="107"/>
    <s v="S24_3432"/>
    <x v="4"/>
    <s v="(91) 555 94 44"/>
    <s v="C/ Moralzarzal, 86"/>
    <s v="Madrid"/>
    <s v="28034"/>
    <s v="Spain"/>
    <s v="Freyre"/>
    <s v="Diego"/>
    <s v="Medium"/>
    <x v="1230"/>
  </r>
  <r>
    <n v="10380"/>
    <n v="43"/>
    <n v="95.03"/>
    <n v="12"/>
    <n v="4086.29"/>
    <d v="2020-02-16T00:00:00"/>
    <s v="Shipped"/>
    <s v="Vintage Cars"/>
    <n v="41"/>
    <s v="S24_3969"/>
    <x v="4"/>
    <s v="(91) 555 94 44"/>
    <s v="C/ Moralzarzal, 86"/>
    <s v="Madrid"/>
    <s v="28034"/>
    <s v="Spain"/>
    <s v="Freyre"/>
    <s v="Diego"/>
    <s v="Medium"/>
    <x v="1690"/>
  </r>
  <r>
    <n v="10382"/>
    <n v="34"/>
    <n v="112.46"/>
    <n v="10"/>
    <n v="3823.64"/>
    <d v="2020-02-17T00:00:00"/>
    <s v="Shipped"/>
    <s v="Classic Cars"/>
    <n v="207"/>
    <s v="S12_1108"/>
    <x v="12"/>
    <s v="4155551450"/>
    <s v="5677 Strong St."/>
    <s v="San Rafael"/>
    <s v="97562"/>
    <s v="USA"/>
    <s v="Nelson"/>
    <s v="Valarie"/>
    <s v="Medium"/>
    <x v="1426"/>
  </r>
  <r>
    <n v="10382"/>
    <n v="37"/>
    <n v="110.05"/>
    <n v="11"/>
    <n v="4071.85"/>
    <d v="2020-02-17T00:00:00"/>
    <s v="Shipped"/>
    <s v="Classic Cars"/>
    <n v="151"/>
    <s v="S12_3148"/>
    <x v="12"/>
    <s v="4155551450"/>
    <s v="5677 Strong St."/>
    <s v="San Rafael"/>
    <s v="97562"/>
    <s v="USA"/>
    <s v="Nelson"/>
    <s v="Valarie"/>
    <s v="Medium"/>
    <x v="1429"/>
  </r>
  <r>
    <n v="10382"/>
    <n v="34"/>
    <n v="95.35"/>
    <n v="12"/>
    <n v="3241.9"/>
    <d v="2020-02-17T00:00:00"/>
    <s v="Shipped"/>
    <s v="Classic Cars"/>
    <n v="173"/>
    <s v="S12_3891"/>
    <x v="12"/>
    <s v="4155551450"/>
    <s v="5677 Strong St."/>
    <s v="San Rafael"/>
    <s v="97562"/>
    <s v="USA"/>
    <s v="Nelson"/>
    <s v="Valarie"/>
    <s v="Medium"/>
    <x v="1691"/>
  </r>
  <r>
    <n v="10382"/>
    <n v="32"/>
    <n v="66.58"/>
    <n v="13"/>
    <n v="2130.56"/>
    <d v="2020-02-17T00:00:00"/>
    <s v="Shipped"/>
    <s v="Trucks and Buses"/>
    <n v="118"/>
    <s v="S12_4473"/>
    <x v="12"/>
    <s v="4155551450"/>
    <s v="5677 Strong St."/>
    <s v="San Rafael"/>
    <s v="97562"/>
    <s v="USA"/>
    <s v="Nelson"/>
    <s v="Valarie"/>
    <s v="Small"/>
    <x v="1692"/>
  </r>
  <r>
    <n v="10382"/>
    <n v="25"/>
    <n v="88"/>
    <n v="5"/>
    <n v="2200"/>
    <d v="2020-02-17T00:00:00"/>
    <s v="Shipped"/>
    <s v="Classic Cars"/>
    <n v="163"/>
    <s v="S18_2238"/>
    <x v="12"/>
    <s v="4155551450"/>
    <s v="5677 Strong St."/>
    <s v="San Rafael"/>
    <s v="97562"/>
    <s v="USA"/>
    <s v="Nelson"/>
    <s v="Valarie"/>
    <s v="Small"/>
    <x v="995"/>
  </r>
  <r>
    <n v="10382"/>
    <n v="50"/>
    <n v="178.71"/>
    <n v="7"/>
    <n v="8935.5"/>
    <d v="2020-02-17T00:00:00"/>
    <s v="Shipped"/>
    <s v="Vintage Cars"/>
    <n v="99"/>
    <s v="S18_3320"/>
    <x v="12"/>
    <s v="4155551450"/>
    <s v="5677 Strong St."/>
    <s v="San Rafael"/>
    <s v="97562"/>
    <s v="USA"/>
    <s v="Nelson"/>
    <s v="Valarie"/>
    <s v="Large"/>
    <x v="81"/>
  </r>
  <r>
    <n v="10382"/>
    <n v="39"/>
    <n v="125.4"/>
    <n v="1"/>
    <n v="4890.6000000000004"/>
    <d v="2020-02-17T00:00:00"/>
    <s v="Shipped"/>
    <s v="Trucks and Buses"/>
    <n v="121"/>
    <s v="S18_4600"/>
    <x v="12"/>
    <s v="4155551450"/>
    <s v="5677 Strong St."/>
    <s v="San Rafael"/>
    <s v="97562"/>
    <s v="USA"/>
    <s v="Nelson"/>
    <s v="Valarie"/>
    <s v="Medium"/>
    <x v="649"/>
  </r>
  <r>
    <n v="10382"/>
    <n v="39"/>
    <n v="200.7"/>
    <n v="2"/>
    <n v="7827.3"/>
    <d v="2020-02-17T00:00:00"/>
    <s v="Shipped"/>
    <s v="Vintage Cars"/>
    <n v="50"/>
    <s v="S18_4668"/>
    <x v="12"/>
    <s v="4155551450"/>
    <s v="5677 Strong St."/>
    <s v="San Rafael"/>
    <s v="97562"/>
    <s v="USA"/>
    <s v="Nelson"/>
    <s v="Valarie"/>
    <s v="Large"/>
    <x v="1693"/>
  </r>
  <r>
    <n v="10382"/>
    <n v="20"/>
    <n v="132.72"/>
    <n v="3"/>
    <n v="2654.4"/>
    <d v="2020-02-17T00:00:00"/>
    <s v="Shipped"/>
    <s v="Trucks and Buses"/>
    <n v="127"/>
    <s v="S24_2300"/>
    <x v="12"/>
    <s v="4155551450"/>
    <s v="5677 Strong St."/>
    <s v="San Rafael"/>
    <s v="97562"/>
    <s v="USA"/>
    <s v="Nelson"/>
    <s v="Valarie"/>
    <s v="Small"/>
    <x v="1694"/>
  </r>
  <r>
    <n v="10382"/>
    <n v="33"/>
    <n v="139.16999999999999"/>
    <n v="4"/>
    <n v="4592.6099999999997"/>
    <d v="2020-02-17T00:00:00"/>
    <s v="Shipped"/>
    <s v="Vintage Cars"/>
    <n v="97"/>
    <s v="S24_4258"/>
    <x v="12"/>
    <s v="4155551450"/>
    <s v="5677 Strong St."/>
    <s v="San Rafael"/>
    <s v="97562"/>
    <s v="USA"/>
    <s v="Nelson"/>
    <s v="Valarie"/>
    <s v="Medium"/>
    <x v="305"/>
  </r>
  <r>
    <n v="10382"/>
    <n v="26"/>
    <n v="104.17"/>
    <n v="6"/>
    <n v="2708.42"/>
    <d v="2020-02-17T00:00:00"/>
    <s v="Shipped"/>
    <s v="Trucks and Buses"/>
    <n v="96"/>
    <s v="S32_1268"/>
    <x v="12"/>
    <s v="4155551450"/>
    <s v="5677 Strong St."/>
    <s v="San Rafael"/>
    <s v="97562"/>
    <s v="USA"/>
    <s v="Nelson"/>
    <s v="Valarie"/>
    <s v="Small"/>
    <x v="1695"/>
  </r>
  <r>
    <n v="10382"/>
    <n v="48"/>
    <n v="141.66"/>
    <n v="8"/>
    <n v="6799.68"/>
    <d v="2020-02-17T00:00:00"/>
    <s v="Shipped"/>
    <s v="Trucks and Buses"/>
    <n v="64"/>
    <s v="S32_3522"/>
    <x v="12"/>
    <s v="4155551450"/>
    <s v="5677 Strong St."/>
    <s v="San Rafael"/>
    <s v="97562"/>
    <s v="USA"/>
    <s v="Nelson"/>
    <s v="Valarie"/>
    <s v="Medium"/>
    <x v="1696"/>
  </r>
  <r>
    <n v="10382"/>
    <n v="34"/>
    <n v="54.84"/>
    <n v="9"/>
    <n v="1864.56"/>
    <d v="2020-02-17T00:00:00"/>
    <s v="Shipped"/>
    <s v="Classic Cars"/>
    <n v="101"/>
    <s v="S700_2824"/>
    <x v="12"/>
    <s v="4155551450"/>
    <s v="5677 Strong St."/>
    <s v="San Rafael"/>
    <s v="97562"/>
    <s v="USA"/>
    <s v="Nelson"/>
    <s v="Valarie"/>
    <s v="Small"/>
    <x v="1697"/>
  </r>
  <r>
    <n v="10383"/>
    <n v="27"/>
    <n v="142.37"/>
    <n v="11"/>
    <n v="3843.99"/>
    <d v="2020-02-22T00:00:00"/>
    <s v="Shipped"/>
    <s v="Trucks and Buses"/>
    <n v="122"/>
    <s v="S18_2319"/>
    <x v="4"/>
    <s v="(91) 555 94 44"/>
    <s v="C/ Moralzarzal, 86"/>
    <s v="Madrid"/>
    <s v="28034"/>
    <s v="Spain"/>
    <s v="Freyre"/>
    <s v="Diego"/>
    <s v="Medium"/>
    <x v="1698"/>
  </r>
  <r>
    <n v="10383"/>
    <n v="24"/>
    <n v="61.52"/>
    <n v="9"/>
    <n v="1476.48"/>
    <d v="2020-02-22T00:00:00"/>
    <s v="Shipped"/>
    <s v="Vintage Cars"/>
    <n v="136"/>
    <s v="S18_3140"/>
    <x v="4"/>
    <s v="(91) 555 94 44"/>
    <s v="C/ Moralzarzal, 86"/>
    <s v="Madrid"/>
    <s v="28034"/>
    <s v="Spain"/>
    <s v="Freyre"/>
    <s v="Diego"/>
    <s v="Small"/>
    <x v="937"/>
  </r>
  <r>
    <n v="10383"/>
    <n v="47"/>
    <n v="146.15"/>
    <n v="6"/>
    <n v="6869.05"/>
    <d v="2020-02-22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Medium"/>
    <x v="1592"/>
  </r>
  <r>
    <n v="10383"/>
    <n v="26"/>
    <n v="128.47999999999999"/>
    <n v="12"/>
    <n v="3340.48"/>
    <d v="2020-02-22T00:00:00"/>
    <s v="Shipped"/>
    <s v="Trains"/>
    <n v="100"/>
    <s v="S18_3259"/>
    <x v="4"/>
    <s v="(91) 555 94 44"/>
    <s v="C/ Moralzarzal, 86"/>
    <s v="Madrid"/>
    <s v="28034"/>
    <s v="Spain"/>
    <s v="Freyre"/>
    <s v="Diego"/>
    <s v="Medium"/>
    <x v="644"/>
  </r>
  <r>
    <n v="10383"/>
    <n v="38"/>
    <n v="140.55000000000001"/>
    <n v="1"/>
    <n v="5340.9"/>
    <d v="2020-02-22T00:00:00"/>
    <s v="Shipped"/>
    <s v="Classic Cars"/>
    <n v="143"/>
    <s v="S18_4027"/>
    <x v="4"/>
    <s v="(91) 555 94 44"/>
    <s v="C/ Moralzarzal, 86"/>
    <s v="Madrid"/>
    <s v="28034"/>
    <s v="Spain"/>
    <s v="Freyre"/>
    <s v="Diego"/>
    <s v="Medium"/>
    <x v="503"/>
  </r>
  <r>
    <n v="10383"/>
    <n v="28"/>
    <n v="58.58"/>
    <n v="7"/>
    <n v="1640.24"/>
    <d v="2020-02-22T00:00:00"/>
    <s v="Shipped"/>
    <s v="Vintage Cars"/>
    <n v="87"/>
    <s v="S18_4522"/>
    <x v="4"/>
    <s v="(91) 555 94 44"/>
    <s v="C/ Moralzarzal, 86"/>
    <s v="Madrid"/>
    <s v="28034"/>
    <s v="Spain"/>
    <s v="Freyre"/>
    <s v="Diego"/>
    <s v="Small"/>
    <x v="1699"/>
  </r>
  <r>
    <n v="10383"/>
    <n v="22"/>
    <n v="91.76"/>
    <n v="2"/>
    <n v="2018.72"/>
    <d v="2020-02-22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1700"/>
  </r>
  <r>
    <n v="10383"/>
    <n v="40"/>
    <n v="152.24"/>
    <n v="3"/>
    <n v="6089.6"/>
    <d v="2020-02-22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Medium"/>
    <x v="1120"/>
  </r>
  <r>
    <n v="10383"/>
    <n v="21"/>
    <n v="93.91"/>
    <n v="4"/>
    <n v="1972.11"/>
    <d v="2020-02-22T00:00:00"/>
    <s v="Shipped"/>
    <s v="Classic Cars"/>
    <n v="118"/>
    <s v="S24_4048"/>
    <x v="4"/>
    <s v="(91) 555 94 44"/>
    <s v="C/ Moralzarzal, 86"/>
    <s v="Madrid"/>
    <s v="28034"/>
    <s v="Spain"/>
    <s v="Freyre"/>
    <s v="Diego"/>
    <s v="Small"/>
    <x v="1464"/>
  </r>
  <r>
    <n v="10383"/>
    <n v="32"/>
    <n v="53.18"/>
    <n v="5"/>
    <n v="1701.76"/>
    <d v="2020-02-22T00:00:00"/>
    <s v="Shipped"/>
    <s v="Trucks and Buses"/>
    <n v="54"/>
    <s v="S32_2509"/>
    <x v="4"/>
    <s v="(91) 555 94 44"/>
    <s v="C/ Moralzarzal, 86"/>
    <s v="Madrid"/>
    <s v="28034"/>
    <s v="Spain"/>
    <s v="Freyre"/>
    <s v="Diego"/>
    <s v="Small"/>
    <x v="731"/>
  </r>
  <r>
    <n v="10383"/>
    <n v="44"/>
    <n v="36.07"/>
    <n v="8"/>
    <n v="1587.08"/>
    <d v="2020-02-22T00:00:00"/>
    <s v="Shipped"/>
    <s v="Trains"/>
    <n v="62"/>
    <s v="S32_3207"/>
    <x v="4"/>
    <s v="(91) 555 94 44"/>
    <s v="C/ Moralzarzal, 86"/>
    <s v="Madrid"/>
    <s v="28034"/>
    <s v="Spain"/>
    <s v="Freyre"/>
    <s v="Diego"/>
    <s v="Small"/>
    <x v="1701"/>
  </r>
  <r>
    <n v="10383"/>
    <n v="29"/>
    <n v="106.45"/>
    <n v="13"/>
    <n v="3087.05"/>
    <d v="2020-02-22T00:00:00"/>
    <s v="Shipped"/>
    <s v="Trucks and Buses"/>
    <n v="115"/>
    <s v="S50_1392"/>
    <x v="4"/>
    <s v="(91) 555 94 44"/>
    <s v="C/ Moralzarzal, 86"/>
    <s v="Madrid"/>
    <s v="28034"/>
    <s v="Spain"/>
    <s v="Freyre"/>
    <s v="Diego"/>
    <s v="Medium"/>
    <x v="665"/>
  </r>
  <r>
    <n v="10383"/>
    <n v="38"/>
    <n v="60.06"/>
    <n v="10"/>
    <n v="2282.2800000000002"/>
    <d v="2020-02-22T00:00:00"/>
    <s v="Shipped"/>
    <s v="Trains"/>
    <n v="58"/>
    <s v="S50_1514"/>
    <x v="4"/>
    <s v="(91) 555 94 44"/>
    <s v="C/ Moralzarzal, 86"/>
    <s v="Madrid"/>
    <s v="28034"/>
    <s v="Spain"/>
    <s v="Freyre"/>
    <s v="Diego"/>
    <s v="Small"/>
    <x v="1323"/>
  </r>
  <r>
    <n v="10385"/>
    <n v="37"/>
    <n v="85.54"/>
    <n v="2"/>
    <n v="3164.98"/>
    <d v="2020-02-28T00:00:00"/>
    <s v="Shipped"/>
    <s v="Vintage Cars"/>
    <n v="83"/>
    <s v="S24_3816"/>
    <x v="12"/>
    <s v="4155551450"/>
    <s v="5677 Strong St."/>
    <s v="San Rafael"/>
    <s v="97562"/>
    <s v="USA"/>
    <s v="Nelson"/>
    <s v="Valarie"/>
    <s v="Medium"/>
    <x v="1702"/>
  </r>
  <r>
    <n v="10385"/>
    <n v="25"/>
    <n v="77.34"/>
    <n v="1"/>
    <n v="1933.5"/>
    <d v="2020-02-28T00:00:00"/>
    <s v="Shipped"/>
    <s v="Ships"/>
    <n v="66"/>
    <s v="S700_1138"/>
    <x v="12"/>
    <s v="4155551450"/>
    <s v="5677 Strong St."/>
    <s v="San Rafael"/>
    <s v="97562"/>
    <s v="USA"/>
    <s v="Nelson"/>
    <s v="Valarie"/>
    <s v="Small"/>
    <x v="1360"/>
  </r>
  <r>
    <n v="10386"/>
    <n v="25"/>
    <n v="54.57"/>
    <n v="7"/>
    <n v="1364.25"/>
    <d v="2020-03-01T00:00:00"/>
    <s v="Resolved"/>
    <s v="Planes"/>
    <n v="157"/>
    <s v="S18_1662"/>
    <x v="4"/>
    <s v="(91) 555 94 44"/>
    <s v="C/ Moralzarzal, 86"/>
    <s v="Madrid"/>
    <s v="28034"/>
    <s v="Spain"/>
    <s v="Freyre"/>
    <s v="Diego"/>
    <s v="Small"/>
    <x v="1703"/>
  </r>
  <r>
    <n v="10386"/>
    <n v="21"/>
    <n v="74.77"/>
    <n v="18"/>
    <n v="1570.17"/>
    <d v="2020-03-01T00:00:00"/>
    <s v="Resolved"/>
    <s v="Planes"/>
    <n v="84"/>
    <s v="S18_2581"/>
    <x v="4"/>
    <s v="(91) 555 94 44"/>
    <s v="C/ Moralzarzal, 86"/>
    <s v="Madrid"/>
    <s v="28034"/>
    <s v="Spain"/>
    <s v="Freyre"/>
    <s v="Diego"/>
    <s v="Small"/>
    <x v="951"/>
  </r>
  <r>
    <n v="10386"/>
    <n v="37"/>
    <n v="93.01"/>
    <n v="5"/>
    <n v="3441.37"/>
    <d v="2020-03-01T00:00:00"/>
    <s v="Resolved"/>
    <s v="Ships"/>
    <n v="86"/>
    <s v="S18_3029"/>
    <x v="4"/>
    <s v="(91) 555 94 44"/>
    <s v="C/ Moralzarzal, 86"/>
    <s v="Madrid"/>
    <s v="28034"/>
    <s v="Spain"/>
    <s v="Freyre"/>
    <s v="Diego"/>
    <s v="Medium"/>
    <x v="1704"/>
  </r>
  <r>
    <n v="10386"/>
    <n v="22"/>
    <n v="57.55"/>
    <n v="6"/>
    <n v="1266.0999999999999"/>
    <d v="2020-03-01T00:00:00"/>
    <s v="Resolved"/>
    <s v="Vintage Cars"/>
    <n v="105"/>
    <s v="S18_3856"/>
    <x v="4"/>
    <s v="(91) 555 94 44"/>
    <s v="C/ Moralzarzal, 86"/>
    <s v="Madrid"/>
    <s v="28034"/>
    <s v="Spain"/>
    <s v="Freyre"/>
    <s v="Diego"/>
    <s v="Small"/>
    <x v="1634"/>
  </r>
  <r>
    <n v="10386"/>
    <n v="33"/>
    <n v="41.71"/>
    <n v="11"/>
    <n v="1376.43"/>
    <d v="2020-03-01T00:00:00"/>
    <s v="Resolved"/>
    <s v="Planes"/>
    <n v="109"/>
    <s v="S24_1785"/>
    <x v="4"/>
    <s v="(91) 555 94 44"/>
    <s v="C/ Moralzarzal, 86"/>
    <s v="Madrid"/>
    <s v="28034"/>
    <s v="Spain"/>
    <s v="Freyre"/>
    <s v="Diego"/>
    <s v="Small"/>
    <x v="1705"/>
  </r>
  <r>
    <n v="10386"/>
    <n v="39"/>
    <n v="55.96"/>
    <n v="1"/>
    <n v="2182.44"/>
    <d v="2020-03-01T00:00:00"/>
    <s v="Resolved"/>
    <s v="Planes"/>
    <n v="68"/>
    <s v="S24_2841"/>
    <x v="4"/>
    <s v="(91) 555 94 44"/>
    <s v="C/ Moralzarzal, 86"/>
    <s v="Madrid"/>
    <s v="28034"/>
    <s v="Spain"/>
    <s v="Freyre"/>
    <s v="Diego"/>
    <s v="Small"/>
    <x v="1389"/>
  </r>
  <r>
    <n v="10386"/>
    <n v="35"/>
    <n v="63.76"/>
    <n v="9"/>
    <n v="2231.6"/>
    <d v="2020-03-01T00:00:00"/>
    <s v="Resolved"/>
    <s v="Vintage Cars"/>
    <n v="65"/>
    <s v="S24_3420"/>
    <x v="4"/>
    <s v="(91) 555 94 44"/>
    <s v="C/ Moralzarzal, 86"/>
    <s v="Madrid"/>
    <s v="28034"/>
    <s v="Spain"/>
    <s v="Freyre"/>
    <s v="Diego"/>
    <s v="Small"/>
    <x v="1706"/>
  </r>
  <r>
    <n v="10386"/>
    <n v="41"/>
    <n v="73.319999999999993"/>
    <n v="12"/>
    <n v="3006.12"/>
    <d v="2020-03-01T00:00:00"/>
    <s v="Resolved"/>
    <s v="Planes"/>
    <n v="68"/>
    <s v="S24_3949"/>
    <x v="4"/>
    <s v="(91) 555 94 44"/>
    <s v="C/ Moralzarzal, 86"/>
    <s v="Madrid"/>
    <s v="28034"/>
    <s v="Spain"/>
    <s v="Freyre"/>
    <s v="Diego"/>
    <s v="Medium"/>
    <x v="1707"/>
  </r>
  <r>
    <n v="10386"/>
    <n v="50"/>
    <n v="63.34"/>
    <n v="8"/>
    <n v="3167"/>
    <d v="2020-03-01T00:00:00"/>
    <s v="Resolved"/>
    <s v="Planes"/>
    <n v="72"/>
    <s v="S24_4278"/>
    <x v="4"/>
    <s v="(91) 555 94 44"/>
    <s v="C/ Moralzarzal, 86"/>
    <s v="Madrid"/>
    <s v="28034"/>
    <s v="Spain"/>
    <s v="Freyre"/>
    <s v="Diego"/>
    <s v="Medium"/>
    <x v="1528"/>
  </r>
  <r>
    <n v="10386"/>
    <n v="29"/>
    <n v="85.76"/>
    <n v="13"/>
    <n v="2487.04"/>
    <d v="2020-03-01T00:00:00"/>
    <s v="Resolved"/>
    <s v="Ships"/>
    <n v="90"/>
    <s v="S700_2047"/>
    <x v="4"/>
    <s v="(91) 555 94 44"/>
    <s v="C/ Moralzarzal, 86"/>
    <s v="Madrid"/>
    <s v="28034"/>
    <s v="Spain"/>
    <s v="Freyre"/>
    <s v="Diego"/>
    <s v="Small"/>
    <x v="1406"/>
  </r>
  <r>
    <n v="10386"/>
    <n v="37"/>
    <n v="83.84"/>
    <n v="14"/>
    <n v="3102.08"/>
    <d v="2020-03-01T00:00:00"/>
    <s v="Resolved"/>
    <s v="Planes"/>
    <n v="99"/>
    <s v="S700_2466"/>
    <x v="4"/>
    <s v="(91) 555 94 44"/>
    <s v="C/ Moralzarzal, 86"/>
    <s v="Madrid"/>
    <s v="28034"/>
    <s v="Spain"/>
    <s v="Freyre"/>
    <s v="Diego"/>
    <s v="Medium"/>
    <x v="218"/>
  </r>
  <r>
    <n v="10386"/>
    <n v="37"/>
    <n v="135.61000000000001"/>
    <n v="10"/>
    <n v="5017.57"/>
    <d v="2020-03-01T00:00:00"/>
    <s v="Resolved"/>
    <s v="Ships"/>
    <n v="72"/>
    <s v="S700_2610"/>
    <x v="4"/>
    <s v="(91) 555 94 44"/>
    <s v="C/ Moralzarzal, 86"/>
    <s v="Madrid"/>
    <s v="28034"/>
    <s v="Spain"/>
    <s v="Freyre"/>
    <s v="Diego"/>
    <s v="Medium"/>
    <x v="88"/>
  </r>
  <r>
    <n v="10386"/>
    <n v="32"/>
    <n v="94.34"/>
    <n v="17"/>
    <n v="3018.88"/>
    <d v="2020-03-01T00:00:00"/>
    <s v="Resolved"/>
    <s v="Planes"/>
    <n v="80"/>
    <s v="S700_3167"/>
    <x v="4"/>
    <s v="(91) 555 94 44"/>
    <s v="C/ Moralzarzal, 86"/>
    <s v="Madrid"/>
    <s v="28034"/>
    <s v="Spain"/>
    <s v="Freyre"/>
    <s v="Diego"/>
    <s v="Medium"/>
    <x v="1708"/>
  </r>
  <r>
    <n v="10386"/>
    <n v="45"/>
    <n v="92.08"/>
    <n v="2"/>
    <n v="4143.6000000000004"/>
    <d v="2020-03-01T00:00:00"/>
    <s v="Resolved"/>
    <s v="Ships"/>
    <n v="100"/>
    <s v="S700_3505"/>
    <x v="4"/>
    <s v="(91) 555 94 44"/>
    <s v="C/ Moralzarzal, 86"/>
    <s v="Madrid"/>
    <s v="28034"/>
    <s v="Spain"/>
    <s v="Freyre"/>
    <s v="Diego"/>
    <s v="Medium"/>
    <x v="600"/>
  </r>
  <r>
    <n v="10386"/>
    <n v="30"/>
    <n v="95.48"/>
    <n v="3"/>
    <n v="2864.4"/>
    <d v="2020-03-01T00:00:00"/>
    <s v="Resolved"/>
    <s v="Ships"/>
    <n v="99"/>
    <s v="S700_3962"/>
    <x v="4"/>
    <s v="(91) 555 94 44"/>
    <s v="C/ Moralzarzal, 86"/>
    <s v="Madrid"/>
    <s v="28034"/>
    <s v="Spain"/>
    <s v="Freyre"/>
    <s v="Diego"/>
    <s v="Small"/>
    <x v="1709"/>
  </r>
  <r>
    <n v="10386"/>
    <n v="44"/>
    <n v="86.4"/>
    <n v="15"/>
    <n v="3801.6"/>
    <d v="2020-03-01T00:00:00"/>
    <s v="Resolved"/>
    <s v="Planes"/>
    <n v="74"/>
    <s v="S700_4002"/>
    <x v="4"/>
    <s v="(91) 555 94 44"/>
    <s v="C/ Moralzarzal, 86"/>
    <s v="Madrid"/>
    <s v="28034"/>
    <s v="Spain"/>
    <s v="Freyre"/>
    <s v="Diego"/>
    <s v="Medium"/>
    <x v="1710"/>
  </r>
  <r>
    <n v="10386"/>
    <n v="50"/>
    <n v="87.15"/>
    <n v="16"/>
    <n v="4357.5"/>
    <d v="2020-03-01T00:00:00"/>
    <s v="Resolved"/>
    <s v="Planes"/>
    <n v="49"/>
    <s v="S72_1253"/>
    <x v="4"/>
    <s v="(91) 555 94 44"/>
    <s v="C/ Moralzarzal, 86"/>
    <s v="Madrid"/>
    <s v="28034"/>
    <s v="Spain"/>
    <s v="Freyre"/>
    <s v="Diego"/>
    <s v="Medium"/>
    <x v="1475"/>
  </r>
  <r>
    <n v="10386"/>
    <n v="43"/>
    <n v="125.99"/>
    <n v="4"/>
    <n v="5417.57"/>
    <d v="2020-03-01T00:00:00"/>
    <s v="Resolved"/>
    <s v="Ships"/>
    <n v="54"/>
    <s v="S72_3212"/>
    <x v="4"/>
    <s v="(91) 555 94 44"/>
    <s v="C/ Moralzarzal, 86"/>
    <s v="Madrid"/>
    <s v="28034"/>
    <s v="Spain"/>
    <s v="Freyre"/>
    <s v="Diego"/>
    <s v="Medium"/>
    <x v="3"/>
  </r>
  <r>
    <n v="10387"/>
    <n v="44"/>
    <n v="94.9"/>
    <n v="1"/>
    <n v="4175.6000000000004"/>
    <d v="2020-03-02T00:00:00"/>
    <s v="Shipped"/>
    <s v="Motorcycles"/>
    <n v="99"/>
    <s v="S32_1374"/>
    <x v="16"/>
    <s v="+65 221 7555"/>
    <s v="Bronz Sok., Bronz Apt. 3/6 Tesvikiye"/>
    <s v="Singapore"/>
    <s v="79903"/>
    <s v="Singapore"/>
    <s v="Natividad"/>
    <s v="Eric"/>
    <s v="Medium"/>
    <x v="1711"/>
  </r>
  <r>
    <n v="10388"/>
    <n v="42"/>
    <n v="76.36"/>
    <n v="4"/>
    <n v="3207.12"/>
    <d v="2020-03-03T00:00:00"/>
    <s v="Shipped"/>
    <s v="Motorcycles"/>
    <n v="95"/>
    <s v="S10_1678"/>
    <x v="47"/>
    <s v="5085552555"/>
    <s v="1785 First Street"/>
    <s v="New Bedford"/>
    <s v="50553"/>
    <s v="USA"/>
    <s v="Benitez"/>
    <s v="Violeta"/>
    <s v="Medium"/>
    <x v="1712"/>
  </r>
  <r>
    <n v="10388"/>
    <n v="50"/>
    <n v="44.51"/>
    <n v="5"/>
    <n v="2225.5"/>
    <d v="2020-03-03T00:00:00"/>
    <s v="Shipped"/>
    <s v="Motorcycles"/>
    <n v="118"/>
    <s v="S10_2016"/>
    <x v="47"/>
    <s v="5085552555"/>
    <s v="1785 First Street"/>
    <s v="New Bedford"/>
    <s v="50553"/>
    <s v="USA"/>
    <s v="Benitez"/>
    <s v="Violeta"/>
    <s v="Small"/>
    <x v="1713"/>
  </r>
  <r>
    <n v="10388"/>
    <n v="21"/>
    <n v="86.77"/>
    <n v="7"/>
    <n v="1822.17"/>
    <d v="2020-03-03T00:00:00"/>
    <s v="Shipped"/>
    <s v="Motorcycles"/>
    <n v="193"/>
    <s v="S10_4698"/>
    <x v="47"/>
    <s v="5085552555"/>
    <s v="1785 First Street"/>
    <s v="New Bedford"/>
    <s v="50553"/>
    <s v="USA"/>
    <s v="Benitez"/>
    <s v="Violeta"/>
    <s v="Small"/>
    <x v="1714"/>
  </r>
  <r>
    <n v="10389"/>
    <n v="26"/>
    <n v="99.04"/>
    <n v="4"/>
    <n v="2575.04"/>
    <d v="2020-03-03T00:00:00"/>
    <s v="Shipped"/>
    <s v="Classic Cars"/>
    <n v="194"/>
    <s v="S12_1099"/>
    <x v="48"/>
    <s v="0695-34 6555"/>
    <s v="?kergatan 24"/>
    <s v="Boras"/>
    <s v="S-844 67"/>
    <s v="Sweden"/>
    <s v="Larsson"/>
    <s v="Maria"/>
    <s v="Small"/>
    <x v="1715"/>
  </r>
  <r>
    <n v="10388"/>
    <n v="44"/>
    <n v="135.26"/>
    <n v="6"/>
    <n v="5951.44"/>
    <d v="2020-03-03T00:00:00"/>
    <s v="Shipped"/>
    <s v="Motorcycles"/>
    <n v="150"/>
    <s v="S12_2823"/>
    <x v="47"/>
    <s v="5085552555"/>
    <s v="1785 First Street"/>
    <s v="New Bedford"/>
    <s v="50553"/>
    <s v="USA"/>
    <s v="Benitez"/>
    <s v="Violeta"/>
    <s v="Medium"/>
    <x v="1716"/>
  </r>
  <r>
    <n v="10389"/>
    <n v="25"/>
    <n v="72.38"/>
    <n v="6"/>
    <n v="1809.5"/>
    <d v="2020-03-03T00:00:00"/>
    <s v="Shipped"/>
    <s v="Classic Cars"/>
    <n v="117"/>
    <s v="S12_3380"/>
    <x v="48"/>
    <s v="0695-34 6555"/>
    <s v="?kergatan 24"/>
    <s v="Boras"/>
    <s v="S-844 67"/>
    <s v="Sweden"/>
    <s v="Larsson"/>
    <s v="Maria"/>
    <s v="Small"/>
    <x v="1505"/>
  </r>
  <r>
    <n v="10389"/>
    <n v="36"/>
    <n v="70.260000000000005"/>
    <n v="7"/>
    <n v="2529.36"/>
    <d v="2020-03-03T00:00:00"/>
    <s v="Shipped"/>
    <s v="Classic Cars"/>
    <n v="79"/>
    <s v="S12_3990"/>
    <x v="48"/>
    <s v="0695-34 6555"/>
    <s v="?kergatan 24"/>
    <s v="Boras"/>
    <s v="S-844 67"/>
    <s v="Sweden"/>
    <s v="Larsson"/>
    <s v="Maria"/>
    <s v="Small"/>
    <x v="1717"/>
  </r>
  <r>
    <n v="10389"/>
    <n v="47"/>
    <n v="111.57"/>
    <n v="8"/>
    <n v="5243.79"/>
    <d v="2020-03-03T00:00:00"/>
    <s v="Shipped"/>
    <s v="Classic Cars"/>
    <n v="115"/>
    <s v="S12_4675"/>
    <x v="48"/>
    <s v="0695-34 6555"/>
    <s v="?kergatan 24"/>
    <s v="Boras"/>
    <s v="S-844 67"/>
    <s v="Sweden"/>
    <s v="Larsson"/>
    <s v="Maria"/>
    <s v="Medium"/>
    <x v="1077"/>
  </r>
  <r>
    <n v="10389"/>
    <n v="49"/>
    <n v="79.22"/>
    <n v="3"/>
    <n v="3881.78"/>
    <d v="2020-03-03T00:00:00"/>
    <s v="Shipped"/>
    <s v="Classic Cars"/>
    <n v="77"/>
    <s v="S18_1889"/>
    <x v="48"/>
    <s v="0695-34 6555"/>
    <s v="?kergatan 24"/>
    <s v="Boras"/>
    <s v="S-844 67"/>
    <s v="Sweden"/>
    <s v="Larsson"/>
    <s v="Maria"/>
    <s v="Medium"/>
    <x v="751"/>
  </r>
  <r>
    <n v="10389"/>
    <n v="39"/>
    <n v="179"/>
    <n v="5"/>
    <n v="6981"/>
    <d v="2020-03-03T00:00:00"/>
    <s v="Shipped"/>
    <s v="Motorcycles"/>
    <n v="60"/>
    <s v="S18_2625"/>
    <x v="48"/>
    <s v="0695-34 6555"/>
    <s v="?kergatan 24"/>
    <s v="Boras"/>
    <s v="S-844 67"/>
    <s v="Sweden"/>
    <s v="Larsson"/>
    <s v="Maria"/>
    <s v="Medium"/>
    <x v="1718"/>
  </r>
  <r>
    <n v="10389"/>
    <n v="45"/>
    <n v="102.17"/>
    <n v="1"/>
    <n v="4597.6499999999996"/>
    <d v="2020-03-03T00:00:00"/>
    <s v="Shipped"/>
    <s v="Motorcycles"/>
    <n v="112"/>
    <s v="S24_1578"/>
    <x v="48"/>
    <s v="0695-34 6555"/>
    <s v="?kergatan 24"/>
    <s v="Boras"/>
    <s v="S-844 67"/>
    <s v="Sweden"/>
    <s v="Larsson"/>
    <s v="Maria"/>
    <s v="Medium"/>
    <x v="1062"/>
  </r>
  <r>
    <n v="10389"/>
    <n v="49"/>
    <n v="81.400000000000006"/>
    <n v="2"/>
    <n v="3988.6"/>
    <d v="2020-03-03T00:00:00"/>
    <s v="Shipped"/>
    <s v="Motorcycles"/>
    <n v="76"/>
    <s v="S24_2000"/>
    <x v="48"/>
    <s v="0695-34 6555"/>
    <s v="?kergatan 24"/>
    <s v="Boras"/>
    <s v="S-844 67"/>
    <s v="Sweden"/>
    <s v="Larsson"/>
    <s v="Maria"/>
    <s v="Medium"/>
    <x v="1719"/>
  </r>
  <r>
    <n v="10388"/>
    <n v="35"/>
    <n v="111.97"/>
    <n v="8"/>
    <n v="3918.95"/>
    <d v="2020-03-03T00:00:00"/>
    <s v="Shipped"/>
    <s v="Vintage Cars"/>
    <n v="68"/>
    <s v="S32_4289"/>
    <x v="47"/>
    <s v="5085552555"/>
    <s v="1785 First Street"/>
    <s v="New Bedford"/>
    <s v="50553"/>
    <s v="USA"/>
    <s v="Benitez"/>
    <s v="Violeta"/>
    <s v="Medium"/>
    <x v="398"/>
  </r>
  <r>
    <n v="10388"/>
    <n v="27"/>
    <n v="118.94"/>
    <n v="1"/>
    <n v="3211.38"/>
    <d v="2020-03-03T00:00:00"/>
    <s v="Shipped"/>
    <s v="Vintage Cars"/>
    <n v="43"/>
    <s v="S50_1341"/>
    <x v="47"/>
    <s v="5085552555"/>
    <s v="1785 First Street"/>
    <s v="New Bedford"/>
    <s v="50553"/>
    <s v="USA"/>
    <s v="Benitez"/>
    <s v="Violeta"/>
    <s v="Medium"/>
    <x v="782"/>
  </r>
  <r>
    <n v="10388"/>
    <n v="46"/>
    <n v="218.84"/>
    <n v="2"/>
    <n v="10066.6"/>
    <d v="2020-03-03T00:00:00"/>
    <s v="Shipped"/>
    <s v="Planes"/>
    <n v="91"/>
    <s v="S700_1691"/>
    <x v="47"/>
    <s v="5085552555"/>
    <s v="1785 First Street"/>
    <s v="New Bedford"/>
    <s v="50553"/>
    <s v="USA"/>
    <s v="Benitez"/>
    <s v="Violeta"/>
    <s v="Large"/>
    <x v="1720"/>
  </r>
  <r>
    <n v="10388"/>
    <n v="50"/>
    <n v="143.09"/>
    <n v="3"/>
    <n v="7154.5"/>
    <d v="2020-03-03T00:00:00"/>
    <s v="Shipped"/>
    <s v="Planes"/>
    <n v="118"/>
    <s v="S700_2834"/>
    <x v="47"/>
    <s v="5085552555"/>
    <s v="1785 First Street"/>
    <s v="New Bedford"/>
    <s v="50553"/>
    <s v="USA"/>
    <s v="Benitez"/>
    <s v="Violeta"/>
    <s v="Large"/>
    <x v="1053"/>
  </r>
  <r>
    <n v="10390"/>
    <n v="36"/>
    <n v="93.77"/>
    <n v="14"/>
    <n v="3375.72"/>
    <d v="2020-03-04T00:00:00"/>
    <s v="Shipped"/>
    <s v="Classic Cars"/>
    <n v="141"/>
    <s v="S18_1129"/>
    <x v="12"/>
    <s v="4155551450"/>
    <s v="5677 Strong St."/>
    <s v="San Rafael"/>
    <s v="97562"/>
    <s v="USA"/>
    <s v="Nelson"/>
    <s v="Valarie"/>
    <s v="Medium"/>
    <x v="1721"/>
  </r>
  <r>
    <n v="10390"/>
    <n v="34"/>
    <n v="43.05"/>
    <n v="15"/>
    <n v="1463.7"/>
    <d v="2020-03-04T00:00:00"/>
    <s v="Shipped"/>
    <s v="Classic Cars"/>
    <n v="142"/>
    <s v="S18_1984"/>
    <x v="12"/>
    <s v="4155551450"/>
    <s v="5677 Strong St."/>
    <s v="San Rafael"/>
    <s v="97562"/>
    <s v="USA"/>
    <s v="Nelson"/>
    <s v="Valarie"/>
    <s v="Small"/>
    <x v="1537"/>
  </r>
  <r>
    <n v="10390"/>
    <n v="31"/>
    <n v="98.99"/>
    <n v="16"/>
    <n v="3068.69"/>
    <d v="2020-03-04T00:00:00"/>
    <s v="Shipped"/>
    <s v="Vintage Cars"/>
    <n v="127"/>
    <s v="S18_2325"/>
    <x v="12"/>
    <s v="4155551450"/>
    <s v="5677 Strong St."/>
    <s v="San Rafael"/>
    <s v="97562"/>
    <s v="USA"/>
    <s v="Nelson"/>
    <s v="Valarie"/>
    <s v="Medium"/>
    <x v="1722"/>
  </r>
  <r>
    <n v="10390"/>
    <n v="26"/>
    <n v="78.11"/>
    <n v="7"/>
    <n v="2030.86"/>
    <d v="2020-03-04T00:00:00"/>
    <s v="Shipped"/>
    <s v="Vintage Cars"/>
    <n v="168"/>
    <s v="S18_2795"/>
    <x v="12"/>
    <s v="4155551450"/>
    <s v="5677 Strong St."/>
    <s v="San Rafael"/>
    <s v="97562"/>
    <s v="USA"/>
    <s v="Nelson"/>
    <s v="Valarie"/>
    <s v="Small"/>
    <x v="1723"/>
  </r>
  <r>
    <n v="10390"/>
    <n v="40"/>
    <n v="137.29"/>
    <n v="9"/>
    <n v="5491.6"/>
    <d v="2020-03-04T00:00:00"/>
    <s v="Shipped"/>
    <s v="Classic Cars"/>
    <n v="80"/>
    <s v="S18_3278"/>
    <x v="12"/>
    <s v="4155551450"/>
    <s v="5677 Strong St."/>
    <s v="San Rafael"/>
    <s v="97562"/>
    <s v="USA"/>
    <s v="Nelson"/>
    <s v="Valarie"/>
    <s v="Medium"/>
    <x v="1724"/>
  </r>
  <r>
    <n v="10390"/>
    <n v="50"/>
    <n v="147.94"/>
    <n v="1"/>
    <n v="7397"/>
    <d v="2020-03-04T00:00:00"/>
    <s v="Shipped"/>
    <s v="Classic Cars"/>
    <n v="146"/>
    <s v="S18_3482"/>
    <x v="12"/>
    <s v="4155551450"/>
    <s v="5677 Strong St."/>
    <s v="San Rafael"/>
    <s v="97562"/>
    <s v="USA"/>
    <s v="Nelson"/>
    <s v="Valarie"/>
    <s v="Large"/>
    <x v="984"/>
  </r>
  <r>
    <n v="10390"/>
    <n v="36"/>
    <n v="141.11000000000001"/>
    <n v="2"/>
    <n v="5079.96"/>
    <d v="2020-03-04T00:00:00"/>
    <s v="Shipped"/>
    <s v="Motorcycles"/>
    <n v="62"/>
    <s v="S18_3782"/>
    <x v="12"/>
    <s v="4155551450"/>
    <s v="5677 Strong St."/>
    <s v="San Rafael"/>
    <s v="97562"/>
    <s v="USA"/>
    <s v="Nelson"/>
    <s v="Valarie"/>
    <s v="Medium"/>
    <x v="13"/>
  </r>
  <r>
    <n v="10390"/>
    <n v="49"/>
    <n v="140.06"/>
    <n v="3"/>
    <n v="6862.94"/>
    <d v="2020-03-04T00:00:00"/>
    <s v="Shipped"/>
    <s v="Classic Cars"/>
    <n v="148"/>
    <s v="S18_4721"/>
    <x v="12"/>
    <s v="4155551450"/>
    <s v="5677 Strong St."/>
    <s v="San Rafael"/>
    <s v="97562"/>
    <s v="USA"/>
    <s v="Nelson"/>
    <s v="Valarie"/>
    <s v="Medium"/>
    <x v="1725"/>
  </r>
  <r>
    <n v="10390"/>
    <n v="35"/>
    <n v="65.13"/>
    <n v="4"/>
    <n v="2279.5500000000002"/>
    <d v="2020-03-04T00:00:00"/>
    <s v="Shipped"/>
    <s v="Motorcycles"/>
    <n v="69"/>
    <s v="S24_2360"/>
    <x v="12"/>
    <s v="4155551450"/>
    <s v="5677 Strong St."/>
    <s v="San Rafael"/>
    <s v="97562"/>
    <s v="USA"/>
    <s v="Nelson"/>
    <s v="Valarie"/>
    <s v="Small"/>
    <x v="1726"/>
  </r>
  <r>
    <n v="10390"/>
    <n v="37"/>
    <n v="132.29"/>
    <n v="5"/>
    <n v="4894.7299999999996"/>
    <d v="2020-03-04T00:00:00"/>
    <s v="Shipped"/>
    <s v="Classic Cars"/>
    <n v="37"/>
    <s v="S24_2972"/>
    <x v="12"/>
    <s v="4155551450"/>
    <s v="5677 Strong St."/>
    <s v="San Rafael"/>
    <s v="97562"/>
    <s v="USA"/>
    <s v="Nelson"/>
    <s v="Valarie"/>
    <s v="Medium"/>
    <x v="593"/>
  </r>
  <r>
    <n v="10390"/>
    <n v="46"/>
    <n v="52.84"/>
    <n v="6"/>
    <n v="2430.64"/>
    <d v="2020-03-04T00:00:00"/>
    <s v="Shipped"/>
    <s v="Classic Cars"/>
    <n v="61"/>
    <s v="S24_3371"/>
    <x v="12"/>
    <s v="4155551450"/>
    <s v="5677 Strong St."/>
    <s v="San Rafael"/>
    <s v="97562"/>
    <s v="USA"/>
    <s v="Nelson"/>
    <s v="Valarie"/>
    <s v="Small"/>
    <x v="1727"/>
  </r>
  <r>
    <n v="10390"/>
    <n v="45"/>
    <n v="150.29"/>
    <n v="8"/>
    <n v="6763.05"/>
    <d v="2020-03-04T00:00:00"/>
    <s v="Shipped"/>
    <s v="Classic Cars"/>
    <n v="140"/>
    <s v="S24_3856"/>
    <x v="12"/>
    <s v="4155551450"/>
    <s v="5677 Strong St."/>
    <s v="San Rafael"/>
    <s v="97562"/>
    <s v="USA"/>
    <s v="Nelson"/>
    <s v="Valarie"/>
    <s v="Medium"/>
    <x v="144"/>
  </r>
  <r>
    <n v="10390"/>
    <n v="30"/>
    <n v="82.42"/>
    <n v="10"/>
    <n v="2472.6"/>
    <d v="2020-03-04T00:00:00"/>
    <s v="Shipped"/>
    <s v="Classic Cars"/>
    <n v="80"/>
    <s v="S24_4620"/>
    <x v="12"/>
    <s v="4155551450"/>
    <s v="5677 Strong St."/>
    <s v="San Rafael"/>
    <s v="97562"/>
    <s v="USA"/>
    <s v="Nelson"/>
    <s v="Valarie"/>
    <s v="Small"/>
    <x v="1728"/>
  </r>
  <r>
    <n v="10390"/>
    <n v="41"/>
    <n v="44.56"/>
    <n v="11"/>
    <n v="1826.96"/>
    <d v="2020-03-04T00:00:00"/>
    <s v="Shipped"/>
    <s v="Motorcycles"/>
    <n v="40"/>
    <s v="S32_2206"/>
    <x v="12"/>
    <s v="4155551450"/>
    <s v="5677 Strong St."/>
    <s v="San Rafael"/>
    <s v="97562"/>
    <s v="USA"/>
    <s v="Nelson"/>
    <s v="Valarie"/>
    <s v="Small"/>
    <x v="32"/>
  </r>
  <r>
    <n v="10390"/>
    <n v="45"/>
    <n v="48.98"/>
    <n v="12"/>
    <n v="2204.1"/>
    <d v="2020-03-04T00:00:00"/>
    <s v="Shipped"/>
    <s v="Motorcycles"/>
    <n v="102"/>
    <s v="S32_4485"/>
    <x v="12"/>
    <s v="4155551450"/>
    <s v="5677 Strong St."/>
    <s v="San Rafael"/>
    <s v="97562"/>
    <s v="USA"/>
    <s v="Nelson"/>
    <s v="Valarie"/>
    <s v="Small"/>
    <x v="110"/>
  </r>
  <r>
    <n v="10390"/>
    <n v="22"/>
    <n v="158.69"/>
    <n v="13"/>
    <n v="3491.18"/>
    <d v="2020-03-04T00:00:00"/>
    <s v="Shipped"/>
    <s v="Motorcycles"/>
    <n v="81"/>
    <s v="S50_4713"/>
    <x v="12"/>
    <s v="4155551450"/>
    <s v="5677 Strong St."/>
    <s v="San Rafael"/>
    <s v="97562"/>
    <s v="USA"/>
    <s v="Nelson"/>
    <s v="Valarie"/>
    <s v="Medium"/>
    <x v="735"/>
  </r>
  <r>
    <n v="10391"/>
    <n v="24"/>
    <n v="100.69"/>
    <n v="4"/>
    <n v="2416.56"/>
    <d v="2020-03-09T00:00:00"/>
    <s v="Shipped"/>
    <s v="Classic Cars"/>
    <n v="214"/>
    <s v="S10_1949"/>
    <x v="37"/>
    <s v="02 9936 8555"/>
    <s v="201 Miller Street"/>
    <s v="North Sydney"/>
    <s v="2060"/>
    <s v="Australia"/>
    <s v="O'Hara"/>
    <s v="Anna"/>
    <s v="Small"/>
    <x v="1729"/>
  </r>
  <r>
    <n v="10391"/>
    <n v="37"/>
    <n v="46.9"/>
    <n v="7"/>
    <n v="1735.3"/>
    <d v="2020-03-09T00:00:00"/>
    <s v="Shipped"/>
    <s v="Classic Cars"/>
    <n v="147"/>
    <s v="S10_4962"/>
    <x v="37"/>
    <s v="02 9936 8555"/>
    <s v="201 Miller Street"/>
    <s v="North Sydney"/>
    <s v="2060"/>
    <s v="Australia"/>
    <s v="O'Hara"/>
    <s v="Anna"/>
    <s v="Small"/>
    <x v="1730"/>
  </r>
  <r>
    <n v="10391"/>
    <n v="39"/>
    <n v="63.2"/>
    <n v="9"/>
    <n v="2464.8000000000002"/>
    <d v="2020-03-09T00:00:00"/>
    <s v="Shipped"/>
    <s v="Trucks and Buses"/>
    <n v="136"/>
    <s v="S12_1666"/>
    <x v="37"/>
    <s v="02 9936 8555"/>
    <s v="201 Miller Street"/>
    <s v="North Sydney"/>
    <s v="2060"/>
    <s v="Australia"/>
    <s v="O'Hara"/>
    <s v="Anna"/>
    <s v="Small"/>
    <x v="1269"/>
  </r>
  <r>
    <n v="10391"/>
    <n v="29"/>
    <n v="85.1"/>
    <n v="10"/>
    <n v="2467.9"/>
    <d v="2020-03-09T00:00:00"/>
    <s v="Shipped"/>
    <s v="Trucks and Buses"/>
    <n v="116"/>
    <s v="S18_1097"/>
    <x v="37"/>
    <s v="02 9936 8555"/>
    <s v="201 Miller Street"/>
    <s v="North Sydney"/>
    <s v="2060"/>
    <s v="Australia"/>
    <s v="O'Hara"/>
    <s v="Anna"/>
    <s v="Small"/>
    <x v="1731"/>
  </r>
  <r>
    <n v="10391"/>
    <n v="35"/>
    <n v="158.54"/>
    <n v="2"/>
    <n v="5548.9"/>
    <d v="2020-03-09T00:00:00"/>
    <s v="Shipped"/>
    <s v="Vintage Cars"/>
    <n v="102"/>
    <s v="S18_1342"/>
    <x v="37"/>
    <s v="02 9936 8555"/>
    <s v="201 Miller Street"/>
    <s v="North Sydney"/>
    <s v="2060"/>
    <s v="Australia"/>
    <s v="O'Hara"/>
    <s v="Anna"/>
    <s v="Medium"/>
    <x v="1732"/>
  </r>
  <r>
    <n v="10391"/>
    <n v="42"/>
    <n v="119"/>
    <n v="3"/>
    <n v="4998"/>
    <d v="2020-03-09T00:00:00"/>
    <s v="Shipped"/>
    <s v="Vintage Cars"/>
    <n v="53"/>
    <s v="S18_1367"/>
    <x v="37"/>
    <s v="02 9936 8555"/>
    <s v="201 Miller Street"/>
    <s v="North Sydney"/>
    <s v="2060"/>
    <s v="Australia"/>
    <s v="O'Hara"/>
    <s v="Anna"/>
    <s v="Medium"/>
    <x v="1733"/>
  </r>
  <r>
    <n v="10391"/>
    <n v="44"/>
    <n v="38.5"/>
    <n v="5"/>
    <n v="1694"/>
    <d v="2020-03-09T00:00:00"/>
    <s v="Shipped"/>
    <s v="Trucks and Buses"/>
    <n v="60"/>
    <s v="S18_2432"/>
    <x v="37"/>
    <s v="02 9936 8555"/>
    <s v="201 Miller Street"/>
    <s v="North Sydney"/>
    <s v="2060"/>
    <s v="Australia"/>
    <s v="O'Hara"/>
    <s v="Anna"/>
    <s v="Small"/>
    <x v="1734"/>
  </r>
  <r>
    <n v="10391"/>
    <n v="32"/>
    <n v="45.25"/>
    <n v="6"/>
    <n v="1448"/>
    <d v="2020-03-09T00:00:00"/>
    <s v="Shipped"/>
    <s v="Vintage Cars"/>
    <n v="101"/>
    <s v="S18_2949"/>
    <x v="37"/>
    <s v="02 9936 8555"/>
    <s v="201 Miller Street"/>
    <s v="North Sydney"/>
    <s v="2060"/>
    <s v="Australia"/>
    <s v="O'Hara"/>
    <s v="Anna"/>
    <s v="Small"/>
    <x v="812"/>
  </r>
  <r>
    <n v="10391"/>
    <n v="33"/>
    <n v="252.87"/>
    <n v="8"/>
    <n v="8344.7099999999991"/>
    <d v="2020-03-09T00:00:00"/>
    <s v="Shipped"/>
    <s v="Vintage Cars"/>
    <n v="33"/>
    <s v="S24_1937"/>
    <x v="37"/>
    <s v="02 9936 8555"/>
    <s v="201 Miller Street"/>
    <s v="North Sydney"/>
    <s v="2060"/>
    <s v="Australia"/>
    <s v="O'Hara"/>
    <s v="Anna"/>
    <s v="Large"/>
    <x v="1561"/>
  </r>
  <r>
    <n v="10391"/>
    <n v="24"/>
    <n v="168.42"/>
    <n v="1"/>
    <n v="4042.08"/>
    <d v="2020-03-09T00:00:00"/>
    <s v="Shipped"/>
    <s v="Vintage Cars"/>
    <n v="44"/>
    <s v="S24_2022"/>
    <x v="37"/>
    <s v="02 9936 8555"/>
    <s v="201 Miller Street"/>
    <s v="North Sydney"/>
    <s v="2060"/>
    <s v="Australia"/>
    <s v="O'Hara"/>
    <s v="Anna"/>
    <s v="Medium"/>
    <x v="1449"/>
  </r>
  <r>
    <n v="10392"/>
    <n v="37"/>
    <n v="59.96"/>
    <n v="3"/>
    <n v="2218.52"/>
    <d v="2020-03-10T00:00:00"/>
    <s v="Shipped"/>
    <s v="Vintage Cars"/>
    <n v="62"/>
    <s v="S18_2957"/>
    <x v="46"/>
    <s v="7675-3555"/>
    <s v="Kirchgasse 6"/>
    <s v="Graz"/>
    <s v="8010"/>
    <s v="Austria"/>
    <s v="Mendel"/>
    <s v="Roland"/>
    <s v="Small"/>
    <x v="1735"/>
  </r>
  <r>
    <n v="10392"/>
    <n v="29"/>
    <n v="86.92"/>
    <n v="2"/>
    <n v="2520.6799999999998"/>
    <d v="2020-03-10T00:00:00"/>
    <s v="Shipped"/>
    <s v="Vintage Cars"/>
    <n v="104"/>
    <s v="S18_3136"/>
    <x v="46"/>
    <s v="7675-3555"/>
    <s v="Kirchgasse 6"/>
    <s v="Graz"/>
    <s v="8010"/>
    <s v="Austria"/>
    <s v="Mendel"/>
    <s v="Roland"/>
    <s v="Small"/>
    <x v="139"/>
  </r>
  <r>
    <n v="10392"/>
    <n v="36"/>
    <n v="112.11"/>
    <n v="1"/>
    <n v="4035.96"/>
    <d v="2020-03-10T00:00:00"/>
    <s v="Shipped"/>
    <s v="Vintage Cars"/>
    <n v="99"/>
    <s v="S18_3320"/>
    <x v="46"/>
    <s v="7675-3555"/>
    <s v="Kirchgasse 6"/>
    <s v="Graz"/>
    <s v="8010"/>
    <s v="Austria"/>
    <s v="Mendel"/>
    <s v="Roland"/>
    <s v="Medium"/>
    <x v="1736"/>
  </r>
  <r>
    <n v="10394"/>
    <n v="22"/>
    <n v="152.41"/>
    <n v="5"/>
    <n v="3353.02"/>
    <d v="2020-03-15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Medium"/>
    <x v="79"/>
  </r>
  <r>
    <n v="10394"/>
    <n v="37"/>
    <n v="172.34"/>
    <n v="1"/>
    <n v="6376.58"/>
    <d v="2020-03-15T00:00:00"/>
    <s v="Shipped"/>
    <s v="Classic Cars"/>
    <n v="143"/>
    <s v="S18_4027"/>
    <x v="4"/>
    <s v="(91) 555 94 44"/>
    <s v="C/ Moralzarzal, 86"/>
    <s v="Madrid"/>
    <s v="28034"/>
    <s v="Spain"/>
    <s v="Freyre"/>
    <s v="Diego"/>
    <s v="Medium"/>
    <x v="684"/>
  </r>
  <r>
    <n v="10394"/>
    <n v="31"/>
    <n v="50.29"/>
    <n v="2"/>
    <n v="1558.99"/>
    <d v="2020-03-15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1686"/>
  </r>
  <r>
    <n v="10394"/>
    <n v="46"/>
    <n v="38.9"/>
    <n v="6"/>
    <n v="1789.4"/>
    <d v="2020-03-15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Small"/>
    <x v="1689"/>
  </r>
  <r>
    <n v="10394"/>
    <n v="37"/>
    <n v="140.75"/>
    <n v="7"/>
    <n v="5207.75"/>
    <d v="2020-03-15T00:00:00"/>
    <s v="Shipped"/>
    <s v="Classic Cars"/>
    <n v="118"/>
    <s v="S24_4048"/>
    <x v="4"/>
    <s v="(91) 555 94 44"/>
    <s v="C/ Moralzarzal, 86"/>
    <s v="Madrid"/>
    <s v="28034"/>
    <s v="Spain"/>
    <s v="Freyre"/>
    <s v="Diego"/>
    <s v="Medium"/>
    <x v="1567"/>
  </r>
  <r>
    <n v="10394"/>
    <n v="36"/>
    <n v="62.77"/>
    <n v="3"/>
    <n v="2259.7199999999998"/>
    <d v="2020-03-15T00:00:00"/>
    <s v="Shipped"/>
    <s v="Trucks and Buses"/>
    <n v="54"/>
    <s v="S32_2509"/>
    <x v="4"/>
    <s v="(91) 555 94 44"/>
    <s v="C/ Moralzarzal, 86"/>
    <s v="Madrid"/>
    <s v="28034"/>
    <s v="Spain"/>
    <s v="Freyre"/>
    <s v="Diego"/>
    <s v="Small"/>
    <x v="1737"/>
  </r>
  <r>
    <n v="10394"/>
    <n v="30"/>
    <n v="60.28"/>
    <n v="4"/>
    <n v="1808.4"/>
    <d v="2020-03-15T00:00:00"/>
    <s v="Shipped"/>
    <s v="Trains"/>
    <n v="62"/>
    <s v="S32_3207"/>
    <x v="4"/>
    <s v="(91) 555 94 44"/>
    <s v="C/ Moralzarzal, 86"/>
    <s v="Madrid"/>
    <s v="28034"/>
    <s v="Spain"/>
    <s v="Freyre"/>
    <s v="Diego"/>
    <s v="Small"/>
    <x v="1039"/>
  </r>
  <r>
    <n v="10395"/>
    <n v="32"/>
    <n v="105.33"/>
    <n v="2"/>
    <n v="3370.56"/>
    <d v="2020-03-17T00:00:00"/>
    <s v="Shipped"/>
    <s v="Classic Cars"/>
    <n v="136"/>
    <s v="S10_4757"/>
    <x v="29"/>
    <s v="+33 1 46 62 7555"/>
    <s v="27 rue du Colonel Pierre Avia"/>
    <s v="Paris"/>
    <s v="75508"/>
    <s v="France"/>
    <s v="Da Cunha"/>
    <s v="Daniel"/>
    <s v="Medium"/>
    <x v="1738"/>
  </r>
  <r>
    <n v="10395"/>
    <n v="33"/>
    <n v="69.12"/>
    <n v="1"/>
    <n v="2280.96"/>
    <d v="2020-03-17T00:00:00"/>
    <s v="Shipped"/>
    <s v="Classic Cars"/>
    <n v="207"/>
    <s v="S12_1108"/>
    <x v="29"/>
    <s v="+33 1 46 62 7555"/>
    <s v="27 rue du Colonel Pierre Avia"/>
    <s v="Paris"/>
    <s v="75508"/>
    <s v="France"/>
    <s v="Da Cunha"/>
    <s v="Daniel"/>
    <s v="Small"/>
    <x v="1739"/>
  </r>
  <r>
    <n v="10395"/>
    <n v="46"/>
    <n v="123.76"/>
    <n v="4"/>
    <n v="5692.96"/>
    <d v="2020-03-17T00:00:00"/>
    <s v="Shipped"/>
    <s v="Trucks and Buses"/>
    <n v="115"/>
    <s v="S50_1392"/>
    <x v="29"/>
    <s v="+33 1 46 62 7555"/>
    <s v="27 rue du Colonel Pierre Avia"/>
    <s v="Paris"/>
    <s v="75508"/>
    <s v="France"/>
    <s v="Da Cunha"/>
    <s v="Daniel"/>
    <s v="Medium"/>
    <x v="1459"/>
  </r>
  <r>
    <n v="10395"/>
    <n v="45"/>
    <n v="199.49"/>
    <n v="3"/>
    <n v="8977.0499999999993"/>
    <d v="2020-03-17T00:00:00"/>
    <s v="Shipped"/>
    <s v="Trains"/>
    <n v="58"/>
    <s v="S50_1514"/>
    <x v="29"/>
    <s v="+33 1 46 62 7555"/>
    <s v="27 rue du Colonel Pierre Avia"/>
    <s v="Paris"/>
    <s v="75508"/>
    <s v="France"/>
    <s v="Da Cunha"/>
    <s v="Daniel"/>
    <s v="Large"/>
    <x v="7"/>
  </r>
  <r>
    <n v="10396"/>
    <n v="33"/>
    <n v="185.13"/>
    <n v="3"/>
    <n v="6109.29"/>
    <d v="2020-03-23T00:00:00"/>
    <s v="Shipped"/>
    <s v="Classic Cars"/>
    <n v="173"/>
    <s v="S12_3891"/>
    <x v="12"/>
    <s v="4155551450"/>
    <s v="5677 Strong St."/>
    <s v="San Rafael"/>
    <s v="97562"/>
    <s v="USA"/>
    <s v="Nelson"/>
    <s v="Valarie"/>
    <s v="Medium"/>
    <x v="1611"/>
  </r>
  <r>
    <n v="10396"/>
    <n v="33"/>
    <n v="159.81"/>
    <n v="2"/>
    <n v="5273.73"/>
    <d v="2020-03-23T00:00:00"/>
    <s v="Shipped"/>
    <s v="Vintage Cars"/>
    <n v="136"/>
    <s v="S18_3140"/>
    <x v="12"/>
    <s v="4155551450"/>
    <s v="5677 Strong St."/>
    <s v="San Rafael"/>
    <s v="97562"/>
    <s v="USA"/>
    <s v="Nelson"/>
    <s v="Valarie"/>
    <s v="Medium"/>
    <x v="1740"/>
  </r>
  <r>
    <n v="10396"/>
    <n v="24"/>
    <n v="89.75"/>
    <n v="4"/>
    <n v="2154"/>
    <d v="2020-03-23T00:00:00"/>
    <s v="Shipped"/>
    <s v="Trains"/>
    <n v="100"/>
    <s v="S18_3259"/>
    <x v="12"/>
    <s v="4155551450"/>
    <s v="5677 Strong St."/>
    <s v="San Rafael"/>
    <s v="97562"/>
    <s v="USA"/>
    <s v="Nelson"/>
    <s v="Valarie"/>
    <s v="Small"/>
    <x v="739"/>
  </r>
  <r>
    <n v="10396"/>
    <n v="45"/>
    <n v="105.32"/>
    <n v="5"/>
    <n v="4739.3999999999996"/>
    <d v="2020-03-23T00:00:00"/>
    <s v="Shipped"/>
    <s v="Vintage Cars"/>
    <n v="87"/>
    <s v="S18_4522"/>
    <x v="12"/>
    <s v="4155551450"/>
    <s v="5677 Strong St."/>
    <s v="San Rafael"/>
    <s v="97562"/>
    <s v="USA"/>
    <s v="Nelson"/>
    <s v="Valarie"/>
    <s v="Medium"/>
    <x v="1741"/>
  </r>
  <r>
    <n v="10396"/>
    <n v="49"/>
    <n v="116.75"/>
    <n v="6"/>
    <n v="5720.75"/>
    <d v="2020-03-23T00:00:00"/>
    <s v="Shipped"/>
    <s v="Ships"/>
    <n v="122"/>
    <s v="S24_2011"/>
    <x v="12"/>
    <s v="4155551450"/>
    <s v="5677 Strong St."/>
    <s v="San Rafael"/>
    <s v="97562"/>
    <s v="USA"/>
    <s v="Nelson"/>
    <s v="Valarie"/>
    <s v="Medium"/>
    <x v="1401"/>
  </r>
  <r>
    <n v="10396"/>
    <n v="27"/>
    <n v="83.2"/>
    <n v="7"/>
    <n v="2246.4"/>
    <d v="2020-03-23T00:00:00"/>
    <s v="Shipped"/>
    <s v="Vintage Cars"/>
    <n v="88"/>
    <s v="S24_3151"/>
    <x v="12"/>
    <s v="4155551450"/>
    <s v="5677 Strong St."/>
    <s v="San Rafael"/>
    <s v="97562"/>
    <s v="USA"/>
    <s v="Nelson"/>
    <s v="Valarie"/>
    <s v="Small"/>
    <x v="1742"/>
  </r>
  <r>
    <n v="10396"/>
    <n v="37"/>
    <n v="90.57"/>
    <n v="8"/>
    <n v="3351.09"/>
    <d v="2020-03-23T00:00:00"/>
    <s v="Shipped"/>
    <s v="Vintage Cars"/>
    <n v="83"/>
    <s v="S24_3816"/>
    <x v="12"/>
    <s v="4155551450"/>
    <s v="5677 Strong St."/>
    <s v="San Rafael"/>
    <s v="97562"/>
    <s v="USA"/>
    <s v="Nelson"/>
    <s v="Valarie"/>
    <s v="Medium"/>
    <x v="394"/>
  </r>
  <r>
    <n v="10396"/>
    <n v="39"/>
    <n v="66.67"/>
    <n v="1"/>
    <n v="2600.13"/>
    <d v="2020-03-23T00:00:00"/>
    <s v="Shipped"/>
    <s v="Ships"/>
    <n v="66"/>
    <s v="S700_1138"/>
    <x v="12"/>
    <s v="4155551450"/>
    <s v="5677 Strong St."/>
    <s v="San Rafael"/>
    <s v="97562"/>
    <s v="USA"/>
    <s v="Nelson"/>
    <s v="Valarie"/>
    <s v="Small"/>
    <x v="666"/>
  </r>
  <r>
    <n v="10397"/>
    <n v="32"/>
    <n v="80.55"/>
    <n v="5"/>
    <n v="2577.6"/>
    <d v="2020-03-28T00:00:00"/>
    <s v="Shipped"/>
    <s v="Ships"/>
    <n v="86"/>
    <s v="S700_1938"/>
    <x v="30"/>
    <s v="61.77.6555"/>
    <s v="1 rue Alsace-Lorraine"/>
    <s v="Toulouse"/>
    <s v="31000"/>
    <s v="France"/>
    <s v="Roulet"/>
    <s v="Annette"/>
    <s v="Small"/>
    <x v="749"/>
  </r>
  <r>
    <n v="10397"/>
    <n v="22"/>
    <n v="66.5"/>
    <n v="4"/>
    <n v="1463"/>
    <d v="2020-03-28T00:00:00"/>
    <s v="Shipped"/>
    <s v="Ships"/>
    <n v="72"/>
    <s v="S700_2610"/>
    <x v="30"/>
    <s v="61.77.6555"/>
    <s v="1 rue Alsace-Lorraine"/>
    <s v="Toulouse"/>
    <s v="31000"/>
    <s v="France"/>
    <s v="Roulet"/>
    <s v="Annette"/>
    <s v="Small"/>
    <x v="929"/>
  </r>
  <r>
    <n v="10397"/>
    <n v="48"/>
    <n v="108.18"/>
    <n v="3"/>
    <n v="5192.6400000000003"/>
    <d v="2020-03-28T00:00:00"/>
    <s v="Shipped"/>
    <s v="Ships"/>
    <n v="100"/>
    <s v="S700_3505"/>
    <x v="30"/>
    <s v="61.77.6555"/>
    <s v="1 rue Alsace-Lorraine"/>
    <s v="Toulouse"/>
    <s v="31000"/>
    <s v="France"/>
    <s v="Roulet"/>
    <s v="Annette"/>
    <s v="Medium"/>
    <x v="924"/>
  </r>
  <r>
    <n v="10397"/>
    <n v="36"/>
    <n v="105.27"/>
    <n v="2"/>
    <n v="3789.72"/>
    <d v="2020-03-28T00:00:00"/>
    <s v="Shipped"/>
    <s v="Ships"/>
    <n v="99"/>
    <s v="S700_3962"/>
    <x v="30"/>
    <s v="61.77.6555"/>
    <s v="1 rue Alsace-Lorraine"/>
    <s v="Toulouse"/>
    <s v="31000"/>
    <s v="France"/>
    <s v="Roulet"/>
    <s v="Annette"/>
    <s v="Medium"/>
    <x v="600"/>
  </r>
  <r>
    <n v="10397"/>
    <n v="34"/>
    <n v="62.24"/>
    <n v="1"/>
    <n v="2116.16"/>
    <d v="2020-03-28T00:00:00"/>
    <s v="Shipped"/>
    <s v="Ships"/>
    <n v="54"/>
    <s v="S72_3212"/>
    <x v="30"/>
    <s v="61.77.6555"/>
    <s v="1 rue Alsace-Lorraine"/>
    <s v="Toulouse"/>
    <s v="31000"/>
    <s v="France"/>
    <s v="Roulet"/>
    <s v="Annette"/>
    <s v="Small"/>
    <x v="200"/>
  </r>
  <r>
    <n v="10398"/>
    <n v="33"/>
    <n v="127.73"/>
    <n v="11"/>
    <n v="4215.09"/>
    <d v="2020-03-30T00:00:00"/>
    <s v="Shipped"/>
    <s v="Planes"/>
    <n v="157"/>
    <s v="S18_1662"/>
    <x v="20"/>
    <s v="26.47.1555"/>
    <s v="59 rue de l'Abbaye"/>
    <s v="Reims"/>
    <s v="51100"/>
    <s v="France"/>
    <s v="Henriot"/>
    <s v="Paul"/>
    <s v="Medium"/>
    <x v="1743"/>
  </r>
  <r>
    <n v="10398"/>
    <n v="34"/>
    <n v="76.88"/>
    <n v="15"/>
    <n v="2613.92"/>
    <d v="2020-03-30T00:00:00"/>
    <s v="Shipped"/>
    <s v="Planes"/>
    <n v="84"/>
    <s v="S18_2581"/>
    <x v="20"/>
    <s v="26.47.1555"/>
    <s v="59 rue de l'Abbaye"/>
    <s v="Reims"/>
    <s v="51100"/>
    <s v="France"/>
    <s v="Henriot"/>
    <s v="Paul"/>
    <s v="Small"/>
    <x v="1744"/>
  </r>
  <r>
    <n v="10398"/>
    <n v="28"/>
    <n v="72.260000000000005"/>
    <n v="18"/>
    <n v="2023.28"/>
    <d v="2020-03-30T00:00:00"/>
    <s v="Shipped"/>
    <s v="Ships"/>
    <n v="86"/>
    <s v="S18_3029"/>
    <x v="20"/>
    <s v="26.47.1555"/>
    <s v="59 rue de l'Abbaye"/>
    <s v="Reims"/>
    <s v="51100"/>
    <s v="France"/>
    <s v="Henriot"/>
    <s v="Paul"/>
    <s v="Small"/>
    <x v="791"/>
  </r>
  <r>
    <n v="10398"/>
    <n v="45"/>
    <n v="106.93"/>
    <n v="17"/>
    <n v="4811.8500000000004"/>
    <d v="2020-03-30T00:00:00"/>
    <s v="Shipped"/>
    <s v="Vintage Cars"/>
    <n v="105"/>
    <s v="S18_3856"/>
    <x v="20"/>
    <s v="26.47.1555"/>
    <s v="59 rue de l'Abbaye"/>
    <s v="Reims"/>
    <s v="51100"/>
    <s v="France"/>
    <s v="Henriot"/>
    <s v="Paul"/>
    <s v="Medium"/>
    <x v="795"/>
  </r>
  <r>
    <n v="10398"/>
    <n v="43"/>
    <n v="129.12"/>
    <n v="16"/>
    <n v="5552.16"/>
    <d v="2020-03-30T00:00:00"/>
    <s v="Shipped"/>
    <s v="Planes"/>
    <n v="109"/>
    <s v="S24_1785"/>
    <x v="20"/>
    <s v="26.47.1555"/>
    <s v="59 rue de l'Abbaye"/>
    <s v="Reims"/>
    <s v="51100"/>
    <s v="France"/>
    <s v="Henriot"/>
    <s v="Paul"/>
    <s v="Medium"/>
    <x v="412"/>
  </r>
  <r>
    <n v="10398"/>
    <n v="28"/>
    <n v="57.55"/>
    <n v="3"/>
    <n v="1611.4"/>
    <d v="2020-03-30T00:00:00"/>
    <s v="Shipped"/>
    <s v="Planes"/>
    <n v="68"/>
    <s v="S24_2841"/>
    <x v="20"/>
    <s v="26.47.1555"/>
    <s v="59 rue de l'Abbaye"/>
    <s v="Reims"/>
    <s v="51100"/>
    <s v="France"/>
    <s v="Henriot"/>
    <s v="Paul"/>
    <s v="Small"/>
    <x v="1745"/>
  </r>
  <r>
    <n v="10398"/>
    <n v="34"/>
    <n v="71.67"/>
    <n v="13"/>
    <n v="2436.7800000000002"/>
    <d v="2020-03-30T00:00:00"/>
    <s v="Shipped"/>
    <s v="Vintage Cars"/>
    <n v="65"/>
    <s v="S24_3420"/>
    <x v="20"/>
    <s v="26.47.1555"/>
    <s v="59 rue de l'Abbaye"/>
    <s v="Reims"/>
    <s v="51100"/>
    <s v="France"/>
    <s v="Henriot"/>
    <s v="Paul"/>
    <s v="Small"/>
    <x v="414"/>
  </r>
  <r>
    <n v="10398"/>
    <n v="41"/>
    <n v="68.239999999999995"/>
    <n v="2"/>
    <n v="2797.84"/>
    <d v="2020-03-30T00:00:00"/>
    <s v="Shipped"/>
    <s v="Planes"/>
    <n v="68"/>
    <s v="S24_3949"/>
    <x v="20"/>
    <s v="26.47.1555"/>
    <s v="59 rue de l'Abbaye"/>
    <s v="Reims"/>
    <s v="51100"/>
    <s v="France"/>
    <s v="Henriot"/>
    <s v="Paul"/>
    <s v="Small"/>
    <x v="1603"/>
  </r>
  <r>
    <n v="10398"/>
    <n v="45"/>
    <n v="78.25"/>
    <n v="14"/>
    <n v="3521.25"/>
    <d v="2020-03-30T00:00:00"/>
    <s v="Shipped"/>
    <s v="Planes"/>
    <n v="72"/>
    <s v="S24_4278"/>
    <x v="20"/>
    <s v="26.47.1555"/>
    <s v="59 rue de l'Abbaye"/>
    <s v="Reims"/>
    <s v="51100"/>
    <s v="France"/>
    <s v="Henriot"/>
    <s v="Paul"/>
    <s v="Medium"/>
    <x v="475"/>
  </r>
  <r>
    <n v="10398"/>
    <n v="22"/>
    <n v="67.41"/>
    <n v="4"/>
    <n v="1483.02"/>
    <d v="2020-03-30T00:00:00"/>
    <s v="Shipped"/>
    <s v="Vintage Cars"/>
    <n v="68"/>
    <s v="S32_4289"/>
    <x v="20"/>
    <s v="26.47.1555"/>
    <s v="59 rue de l'Abbaye"/>
    <s v="Reims"/>
    <s v="51100"/>
    <s v="France"/>
    <s v="Henriot"/>
    <s v="Paul"/>
    <s v="Small"/>
    <x v="1746"/>
  </r>
  <r>
    <n v="10398"/>
    <n v="49"/>
    <n v="36.659999999999997"/>
    <n v="5"/>
    <n v="1796.34"/>
    <d v="2020-03-30T00:00:00"/>
    <s v="Shipped"/>
    <s v="Vintage Cars"/>
    <n v="43"/>
    <s v="S50_1341"/>
    <x v="20"/>
    <s v="26.47.1555"/>
    <s v="59 rue de l'Abbaye"/>
    <s v="Reims"/>
    <s v="51100"/>
    <s v="France"/>
    <s v="Henriot"/>
    <s v="Paul"/>
    <s v="Small"/>
    <x v="1747"/>
  </r>
  <r>
    <n v="10398"/>
    <n v="47"/>
    <n v="87.69"/>
    <n v="6"/>
    <n v="4121.43"/>
    <d v="2020-03-30T00:00:00"/>
    <s v="Shipped"/>
    <s v="Planes"/>
    <n v="91"/>
    <s v="S700_1691"/>
    <x v="20"/>
    <s v="26.47.1555"/>
    <s v="59 rue de l'Abbaye"/>
    <s v="Reims"/>
    <s v="51100"/>
    <s v="France"/>
    <s v="Henriot"/>
    <s v="Paul"/>
    <s v="Medium"/>
    <x v="351"/>
  </r>
  <r>
    <n v="10398"/>
    <n v="36"/>
    <n v="108.62"/>
    <n v="7"/>
    <n v="3910.32"/>
    <d v="2020-03-30T00:00:00"/>
    <s v="Shipped"/>
    <s v="Ships"/>
    <n v="90"/>
    <s v="S700_2047"/>
    <x v="20"/>
    <s v="26.47.1555"/>
    <s v="59 rue de l'Abbaye"/>
    <s v="Reims"/>
    <s v="51100"/>
    <s v="France"/>
    <s v="Henriot"/>
    <s v="Paul"/>
    <s v="Medium"/>
    <x v="1515"/>
  </r>
  <r>
    <n v="10398"/>
    <n v="22"/>
    <n v="86.76"/>
    <n v="8"/>
    <n v="1908.72"/>
    <d v="2020-03-30T00:00:00"/>
    <s v="Shipped"/>
    <s v="Planes"/>
    <n v="99"/>
    <s v="S700_2466"/>
    <x v="20"/>
    <s v="26.47.1555"/>
    <s v="59 rue de l'Abbaye"/>
    <s v="Reims"/>
    <s v="51100"/>
    <s v="France"/>
    <s v="Henriot"/>
    <s v="Paul"/>
    <s v="Small"/>
    <x v="509"/>
  </r>
  <r>
    <n v="10398"/>
    <n v="23"/>
    <n v="122.21"/>
    <n v="9"/>
    <n v="2810.83"/>
    <d v="2020-03-30T00:00:00"/>
    <s v="Shipped"/>
    <s v="Planes"/>
    <n v="118"/>
    <s v="S700_2834"/>
    <x v="20"/>
    <s v="26.47.1555"/>
    <s v="59 rue de l'Abbaye"/>
    <s v="Reims"/>
    <s v="51100"/>
    <s v="France"/>
    <s v="Henriot"/>
    <s v="Paul"/>
    <s v="Small"/>
    <x v="1748"/>
  </r>
  <r>
    <n v="10398"/>
    <n v="29"/>
    <n v="65.599999999999994"/>
    <n v="10"/>
    <n v="1902.4"/>
    <d v="2020-03-30T00:00:00"/>
    <s v="Shipped"/>
    <s v="Planes"/>
    <n v="80"/>
    <s v="S700_3167"/>
    <x v="20"/>
    <s v="26.47.1555"/>
    <s v="59 rue de l'Abbaye"/>
    <s v="Reims"/>
    <s v="51100"/>
    <s v="France"/>
    <s v="Henriot"/>
    <s v="Paul"/>
    <s v="Small"/>
    <x v="1186"/>
  </r>
  <r>
    <n v="10398"/>
    <n v="36"/>
    <n v="87.36"/>
    <n v="12"/>
    <n v="3144.96"/>
    <d v="2020-03-30T00:00:00"/>
    <s v="Shipped"/>
    <s v="Planes"/>
    <n v="74"/>
    <s v="S700_4002"/>
    <x v="20"/>
    <s v="26.47.1555"/>
    <s v="59 rue de l'Abbaye"/>
    <s v="Reims"/>
    <s v="51100"/>
    <s v="France"/>
    <s v="Henriot"/>
    <s v="Paul"/>
    <s v="Medium"/>
    <x v="925"/>
  </r>
  <r>
    <n v="10398"/>
    <n v="34"/>
    <n v="40.22"/>
    <n v="1"/>
    <n v="1367.48"/>
    <d v="2020-03-30T00:00:00"/>
    <s v="Shipped"/>
    <s v="Planes"/>
    <n v="49"/>
    <s v="S72_1253"/>
    <x v="20"/>
    <s v="26.47.1555"/>
    <s v="59 rue de l'Abbaye"/>
    <s v="Reims"/>
    <s v="51100"/>
    <s v="France"/>
    <s v="Henriot"/>
    <s v="Paul"/>
    <s v="Small"/>
    <x v="1749"/>
  </r>
  <r>
    <n v="10400"/>
    <n v="64"/>
    <n v="150.96"/>
    <n v="9"/>
    <n v="9661.44"/>
    <d v="2020-04-01T00:00:00"/>
    <s v="Shipped"/>
    <s v="Classic Cars"/>
    <n v="136"/>
    <s v="S10_4757"/>
    <x v="80"/>
    <s v="4085553659"/>
    <s v="3086 Ingle Ln."/>
    <s v="San Jose"/>
    <s v="94217"/>
    <s v="USA"/>
    <s v="Frick"/>
    <s v="Sue"/>
    <s v="Large"/>
    <x v="1750"/>
  </r>
  <r>
    <n v="10400"/>
    <n v="34"/>
    <n v="189.23"/>
    <n v="1"/>
    <n v="6433.82"/>
    <d v="2020-04-01T00:00:00"/>
    <s v="Shipped"/>
    <s v="Planes"/>
    <n v="157"/>
    <s v="S18_1662"/>
    <x v="80"/>
    <s v="4085553659"/>
    <s v="3086 Ingle Ln."/>
    <s v="San Jose"/>
    <s v="94217"/>
    <s v="USA"/>
    <s v="Frick"/>
    <s v="Sue"/>
    <s v="Medium"/>
    <x v="1751"/>
  </r>
  <r>
    <n v="10400"/>
    <n v="30"/>
    <n v="74.84"/>
    <n v="7"/>
    <n v="2245.1999999999998"/>
    <d v="2020-04-01T00:00:00"/>
    <s v="Shipped"/>
    <s v="Ships"/>
    <n v="86"/>
    <s v="S18_3029"/>
    <x v="80"/>
    <s v="4085553659"/>
    <s v="3086 Ingle Ln."/>
    <s v="San Jose"/>
    <s v="94217"/>
    <s v="USA"/>
    <s v="Frick"/>
    <s v="Sue"/>
    <s v="Small"/>
    <x v="237"/>
  </r>
  <r>
    <n v="10400"/>
    <n v="58"/>
    <n v="125.99"/>
    <n v="6"/>
    <n v="7307.42"/>
    <d v="2020-04-01T00:00:00"/>
    <s v="Shipped"/>
    <s v="Vintage Cars"/>
    <n v="105"/>
    <s v="S18_3856"/>
    <x v="80"/>
    <s v="4085553659"/>
    <s v="3086 Ingle Ln."/>
    <s v="San Jose"/>
    <s v="94217"/>
    <s v="USA"/>
    <s v="Frick"/>
    <s v="Sue"/>
    <s v="Large"/>
    <x v="589"/>
  </r>
  <r>
    <n v="10400"/>
    <n v="24"/>
    <n v="61.66"/>
    <n v="2"/>
    <n v="1479.84"/>
    <d v="2020-04-01T00:00:00"/>
    <s v="Shipped"/>
    <s v="Planes"/>
    <n v="68"/>
    <s v="S24_2841"/>
    <x v="80"/>
    <s v="4085553659"/>
    <s v="3086 Ingle Ln."/>
    <s v="San Jose"/>
    <s v="94217"/>
    <s v="USA"/>
    <s v="Frick"/>
    <s v="Sue"/>
    <s v="Small"/>
    <x v="1752"/>
  </r>
  <r>
    <n v="10400"/>
    <n v="38"/>
    <n v="57.2"/>
    <n v="3"/>
    <n v="2173.6"/>
    <d v="2020-04-01T00:00:00"/>
    <s v="Shipped"/>
    <s v="Vintage Cars"/>
    <n v="65"/>
    <s v="S24_3420"/>
    <x v="80"/>
    <s v="4085553659"/>
    <s v="3086 Ingle Ln."/>
    <s v="San Jose"/>
    <s v="94217"/>
    <s v="USA"/>
    <s v="Frick"/>
    <s v="Sue"/>
    <s v="Small"/>
    <x v="1753"/>
  </r>
  <r>
    <n v="10400"/>
    <n v="42"/>
    <n v="72.959999999999994"/>
    <n v="8"/>
    <n v="3064.32"/>
    <d v="2020-04-01T00:00:00"/>
    <s v="Shipped"/>
    <s v="Vintage Cars"/>
    <n v="83"/>
    <s v="S24_3816"/>
    <x v="80"/>
    <s v="4085553659"/>
    <s v="3086 Ingle Ln."/>
    <s v="San Jose"/>
    <s v="94217"/>
    <s v="USA"/>
    <s v="Frick"/>
    <s v="Sue"/>
    <s v="Medium"/>
    <x v="85"/>
  </r>
  <r>
    <n v="10400"/>
    <n v="46"/>
    <n v="87.8"/>
    <n v="5"/>
    <n v="4038.8"/>
    <d v="2020-04-01T00:00:00"/>
    <s v="Shipped"/>
    <s v="Ships"/>
    <n v="90"/>
    <s v="S700_2047"/>
    <x v="80"/>
    <s v="4085553659"/>
    <s v="3086 Ingle Ln."/>
    <s v="San Jose"/>
    <s v="94217"/>
    <s v="USA"/>
    <s v="Frick"/>
    <s v="Sue"/>
    <s v="Medium"/>
    <x v="352"/>
  </r>
  <r>
    <n v="10400"/>
    <n v="20"/>
    <n v="56.12"/>
    <n v="4"/>
    <n v="1122.4000000000001"/>
    <d v="2020-04-01T00:00:00"/>
    <s v="Shipped"/>
    <s v="Planes"/>
    <n v="49"/>
    <s v="S72_1253"/>
    <x v="80"/>
    <s v="4085553659"/>
    <s v="3086 Ingle Ln."/>
    <s v="San Jose"/>
    <s v="94217"/>
    <s v="USA"/>
    <s v="Frick"/>
    <s v="Sue"/>
    <s v="Small"/>
    <x v="1407"/>
  </r>
  <r>
    <n v="10401"/>
    <n v="42"/>
    <n v="76.03"/>
    <n v="3"/>
    <n v="3193.26"/>
    <d v="2020-04-03T00:00:00"/>
    <s v="On Hold"/>
    <s v="Planes"/>
    <n v="84"/>
    <s v="S18_2581"/>
    <x v="76"/>
    <s v="2015559350"/>
    <s v="7476 Moss Rd."/>
    <s v="Newark"/>
    <s v="94019"/>
    <s v="USA"/>
    <s v="Brown"/>
    <s v="William"/>
    <s v="Medium"/>
    <x v="1754"/>
  </r>
  <r>
    <n v="10401"/>
    <n v="38"/>
    <n v="96.29"/>
    <n v="5"/>
    <n v="3659.02"/>
    <d v="2020-04-03T00:00:00"/>
    <s v="On Hold"/>
    <s v="Planes"/>
    <n v="109"/>
    <s v="S24_1785"/>
    <x v="76"/>
    <s v="2015559350"/>
    <s v="7476 Moss Rd."/>
    <s v="Newark"/>
    <s v="94019"/>
    <s v="USA"/>
    <s v="Brown"/>
    <s v="William"/>
    <s v="Medium"/>
    <x v="1755"/>
  </r>
  <r>
    <n v="10401"/>
    <n v="64"/>
    <n v="60.05"/>
    <n v="12"/>
    <n v="3843.2"/>
    <d v="2020-04-03T00:00:00"/>
    <s v="On Hold"/>
    <s v="Planes"/>
    <n v="68"/>
    <s v="S24_3949"/>
    <x v="76"/>
    <s v="2015559350"/>
    <s v="7476 Moss Rd."/>
    <s v="Newark"/>
    <s v="94019"/>
    <s v="USA"/>
    <s v="Brown"/>
    <s v="William"/>
    <s v="Medium"/>
    <x v="1542"/>
  </r>
  <r>
    <n v="10401"/>
    <n v="52"/>
    <n v="81.14"/>
    <n v="4"/>
    <n v="4219.28"/>
    <d v="2020-04-03T00:00:00"/>
    <s v="On Hold"/>
    <s v="Planes"/>
    <n v="72"/>
    <s v="S24_4278"/>
    <x v="76"/>
    <s v="2015559350"/>
    <s v="7476 Moss Rd."/>
    <s v="Newark"/>
    <s v="94019"/>
    <s v="USA"/>
    <s v="Brown"/>
    <s v="William"/>
    <s v="Medium"/>
    <x v="1756"/>
  </r>
  <r>
    <n v="10401"/>
    <n v="49"/>
    <n v="101.89"/>
    <n v="1"/>
    <n v="4992.6099999999997"/>
    <d v="2020-04-03T00:00:00"/>
    <s v="On Hold"/>
    <s v="Motorcycles"/>
    <n v="99"/>
    <s v="S32_1374"/>
    <x v="76"/>
    <s v="2015559350"/>
    <s v="7476 Moss Rd."/>
    <s v="Newark"/>
    <s v="94019"/>
    <s v="USA"/>
    <s v="Brown"/>
    <s v="William"/>
    <s v="Medium"/>
    <x v="1757"/>
  </r>
  <r>
    <n v="10401"/>
    <n v="62"/>
    <n v="77.73"/>
    <n v="6"/>
    <n v="4819.26"/>
    <d v="2020-04-03T00:00:00"/>
    <s v="On Hold"/>
    <s v="Vintage Cars"/>
    <n v="68"/>
    <s v="S32_4289"/>
    <x v="76"/>
    <s v="2015559350"/>
    <s v="7476 Moss Rd."/>
    <s v="Newark"/>
    <s v="94019"/>
    <s v="USA"/>
    <s v="Brown"/>
    <s v="William"/>
    <s v="Medium"/>
    <x v="145"/>
  </r>
  <r>
    <n v="10401"/>
    <n v="56"/>
    <n v="35.35"/>
    <n v="7"/>
    <n v="1979.6"/>
    <d v="2020-04-03T00:00:00"/>
    <s v="On Hold"/>
    <s v="Vintage Cars"/>
    <n v="43"/>
    <s v="S50_1341"/>
    <x v="76"/>
    <s v="2015559350"/>
    <s v="7476 Moss Rd."/>
    <s v="Newark"/>
    <s v="94019"/>
    <s v="USA"/>
    <s v="Brown"/>
    <s v="William"/>
    <s v="Small"/>
    <x v="1758"/>
  </r>
  <r>
    <n v="10401"/>
    <n v="11"/>
    <n v="103.21"/>
    <n v="8"/>
    <n v="1135.31"/>
    <d v="2020-04-03T00:00:00"/>
    <s v="On Hold"/>
    <s v="Planes"/>
    <n v="91"/>
    <s v="S700_1691"/>
    <x v="76"/>
    <s v="2015559350"/>
    <s v="7476 Moss Rd."/>
    <s v="Newark"/>
    <s v="94019"/>
    <s v="USA"/>
    <s v="Brown"/>
    <s v="William"/>
    <s v="Small"/>
    <x v="1759"/>
  </r>
  <r>
    <n v="10401"/>
    <n v="85"/>
    <n v="88.75"/>
    <n v="10"/>
    <n v="7543.75"/>
    <d v="2020-04-03T00:00:00"/>
    <s v="On Hold"/>
    <s v="Planes"/>
    <n v="99"/>
    <s v="S700_2466"/>
    <x v="76"/>
    <s v="2015559350"/>
    <s v="7476 Moss Rd."/>
    <s v="Newark"/>
    <s v="94019"/>
    <s v="USA"/>
    <s v="Brown"/>
    <s v="William"/>
    <s v="Large"/>
    <x v="892"/>
  </r>
  <r>
    <n v="10401"/>
    <n v="21"/>
    <n v="96.11"/>
    <n v="2"/>
    <n v="2018.31"/>
    <d v="2020-04-03T00:00:00"/>
    <s v="On Hold"/>
    <s v="Planes"/>
    <n v="118"/>
    <s v="S700_2834"/>
    <x v="76"/>
    <s v="2015559350"/>
    <s v="7476 Moss Rd."/>
    <s v="Newark"/>
    <s v="94019"/>
    <s v="USA"/>
    <s v="Brown"/>
    <s v="William"/>
    <s v="Small"/>
    <x v="1516"/>
  </r>
  <r>
    <n v="10401"/>
    <n v="77"/>
    <n v="92"/>
    <n v="9"/>
    <n v="7084"/>
    <d v="2020-04-03T00:00:00"/>
    <s v="On Hold"/>
    <s v="Planes"/>
    <n v="80"/>
    <s v="S700_3167"/>
    <x v="76"/>
    <s v="2015559350"/>
    <s v="7476 Moss Rd."/>
    <s v="Newark"/>
    <s v="94019"/>
    <s v="USA"/>
    <s v="Brown"/>
    <s v="William"/>
    <s v="Large"/>
    <x v="1760"/>
  </r>
  <r>
    <n v="10401"/>
    <n v="28"/>
    <n v="72.55"/>
    <n v="11"/>
    <n v="2031.4"/>
    <d v="2020-04-03T00:00:00"/>
    <s v="On Hold"/>
    <s v="Planes"/>
    <n v="74"/>
    <s v="S700_4002"/>
    <x v="76"/>
    <s v="2015559350"/>
    <s v="7476 Moss Rd."/>
    <s v="Newark"/>
    <s v="94019"/>
    <s v="USA"/>
    <s v="Brown"/>
    <s v="William"/>
    <s v="Small"/>
    <x v="696"/>
  </r>
  <r>
    <n v="10402"/>
    <n v="45"/>
    <n v="129.63999999999999"/>
    <n v="1"/>
    <n v="5833.8"/>
    <d v="2020-04-07T00:00:00"/>
    <s v="Shipped"/>
    <s v="Motorcycles"/>
    <n v="118"/>
    <s v="S10_2016"/>
    <x v="67"/>
    <s v="(1) 47.55.6555"/>
    <s v="25, rue Lauriston"/>
    <s v="Paris"/>
    <s v="75016"/>
    <s v="France"/>
    <s v="Perrier"/>
    <s v="Dominique"/>
    <s v="Medium"/>
    <x v="1761"/>
  </r>
  <r>
    <n v="10402"/>
    <n v="55"/>
    <n v="55.72"/>
    <n v="2"/>
    <n v="3064.6"/>
    <d v="2020-04-07T00:00:00"/>
    <s v="Shipped"/>
    <s v="Motorcycles"/>
    <n v="60"/>
    <s v="S18_2625"/>
    <x v="67"/>
    <s v="(1) 47.55.6555"/>
    <s v="25, rue Lauriston"/>
    <s v="Paris"/>
    <s v="75016"/>
    <s v="France"/>
    <s v="Perrier"/>
    <s v="Dominique"/>
    <s v="Medium"/>
    <x v="933"/>
  </r>
  <r>
    <n v="10402"/>
    <n v="59"/>
    <n v="87.6"/>
    <n v="3"/>
    <n v="5168.3999999999996"/>
    <d v="2020-04-07T00:00:00"/>
    <s v="Shipped"/>
    <s v="Motorcycles"/>
    <n v="76"/>
    <s v="S24_2000"/>
    <x v="67"/>
    <s v="(1) 47.55.6555"/>
    <s v="25, rue Lauriston"/>
    <s v="Paris"/>
    <s v="75016"/>
    <s v="France"/>
    <s v="Perrier"/>
    <s v="Dominique"/>
    <s v="Medium"/>
    <x v="1762"/>
  </r>
  <r>
    <n v="10403"/>
    <n v="24"/>
    <n v="101.44"/>
    <n v="7"/>
    <n v="2434.56"/>
    <d v="2020-04-08T00:00:00"/>
    <s v="Shipped"/>
    <s v="Motorcycles"/>
    <n v="95"/>
    <s v="S10_1678"/>
    <x v="44"/>
    <s v="(171) 555-2282"/>
    <s v="Berkeley Gardens 12  Brewery"/>
    <s v="Liverpool"/>
    <s v="WX1 6LT"/>
    <s v="UK"/>
    <s v="Devon"/>
    <s v="Elizabeth"/>
    <s v="Small"/>
    <x v="1763"/>
  </r>
  <r>
    <n v="10403"/>
    <n v="66"/>
    <n v="180.1"/>
    <n v="9"/>
    <n v="11886.6"/>
    <d v="2020-04-08T00:00:00"/>
    <s v="Shipped"/>
    <s v="Motorcycles"/>
    <n v="193"/>
    <s v="S10_4698"/>
    <x v="44"/>
    <s v="(171) 555-2282"/>
    <s v="Berkeley Gardens 12  Brewery"/>
    <s v="Liverpool"/>
    <s v="WX1 6LT"/>
    <s v="UK"/>
    <s v="Devon"/>
    <s v="Elizabeth"/>
    <s v="Large"/>
    <x v="1764"/>
  </r>
  <r>
    <n v="10403"/>
    <n v="66"/>
    <n v="131.04"/>
    <n v="6"/>
    <n v="8648.64"/>
    <d v="2020-04-08T00:00:00"/>
    <s v="Shipped"/>
    <s v="Motorcycles"/>
    <n v="150"/>
    <s v="S12_2823"/>
    <x v="44"/>
    <s v="(171) 555-2282"/>
    <s v="Berkeley Gardens 12  Brewery"/>
    <s v="Liverpool"/>
    <s v="WX1 6LT"/>
    <s v="UK"/>
    <s v="Devon"/>
    <s v="Elizabeth"/>
    <s v="Large"/>
    <x v="1426"/>
  </r>
  <r>
    <n v="10403"/>
    <n v="36"/>
    <n v="52.22"/>
    <n v="1"/>
    <n v="1879.92"/>
    <d v="2020-04-08T00:00:00"/>
    <s v="Shipped"/>
    <s v="Motorcycles"/>
    <n v="62"/>
    <s v="S18_3782"/>
    <x v="44"/>
    <s v="(171) 555-2282"/>
    <s v="Berkeley Gardens 12  Brewery"/>
    <s v="Liverpool"/>
    <s v="WX1 6LT"/>
    <s v="UK"/>
    <s v="Devon"/>
    <s v="Elizabeth"/>
    <s v="Small"/>
    <x v="1765"/>
  </r>
  <r>
    <n v="10403"/>
    <n v="46"/>
    <n v="114.95"/>
    <n v="8"/>
    <n v="5287.7"/>
    <d v="2020-04-08T00:00:00"/>
    <s v="Shipped"/>
    <s v="Motorcycles"/>
    <n v="112"/>
    <s v="S24_1578"/>
    <x v="44"/>
    <s v="(171) 555-2282"/>
    <s v="Berkeley Gardens 12  Brewery"/>
    <s v="Liverpool"/>
    <s v="WX1 6LT"/>
    <s v="UK"/>
    <s v="Devon"/>
    <s v="Elizabeth"/>
    <s v="Medium"/>
    <x v="1766"/>
  </r>
  <r>
    <n v="10403"/>
    <n v="27"/>
    <n v="79.650000000000006"/>
    <n v="4"/>
    <n v="2150.5500000000002"/>
    <d v="2020-04-08T00:00:00"/>
    <s v="Shipped"/>
    <s v="Motorcycles"/>
    <n v="69"/>
    <s v="S24_2360"/>
    <x v="44"/>
    <s v="(171) 555-2282"/>
    <s v="Berkeley Gardens 12  Brewery"/>
    <s v="Liverpool"/>
    <s v="WX1 6LT"/>
    <s v="UK"/>
    <s v="Devon"/>
    <s v="Elizabeth"/>
    <s v="Small"/>
    <x v="1221"/>
  </r>
  <r>
    <n v="10403"/>
    <n v="30"/>
    <n v="40.229999999999997"/>
    <n v="2"/>
    <n v="1206.9000000000001"/>
    <d v="2020-04-08T00:00:00"/>
    <s v="Shipped"/>
    <s v="Motorcycles"/>
    <n v="40"/>
    <s v="S32_2206"/>
    <x v="44"/>
    <s v="(171) 555-2282"/>
    <s v="Berkeley Gardens 12  Brewery"/>
    <s v="Liverpool"/>
    <s v="WX1 6LT"/>
    <s v="UK"/>
    <s v="Devon"/>
    <s v="Elizabeth"/>
    <s v="Small"/>
    <x v="1767"/>
  </r>
  <r>
    <n v="10403"/>
    <n v="45"/>
    <n v="115.32"/>
    <n v="5"/>
    <n v="5189.3999999999996"/>
    <d v="2020-04-08T00:00:00"/>
    <s v="Shipped"/>
    <s v="Motorcycles"/>
    <n v="102"/>
    <s v="S32_4485"/>
    <x v="44"/>
    <s v="(171) 555-2282"/>
    <s v="Berkeley Gardens 12  Brewery"/>
    <s v="Liverpool"/>
    <s v="WX1 6LT"/>
    <s v="UK"/>
    <s v="Devon"/>
    <s v="Elizabeth"/>
    <s v="Medium"/>
    <x v="1768"/>
  </r>
  <r>
    <n v="10403"/>
    <n v="31"/>
    <n v="68.34"/>
    <n v="3"/>
    <n v="2118.54"/>
    <d v="2020-04-08T00:00:00"/>
    <s v="Shipped"/>
    <s v="Motorcycles"/>
    <n v="81"/>
    <s v="S50_4713"/>
    <x v="44"/>
    <s v="(171) 555-2282"/>
    <s v="Berkeley Gardens 12  Brewery"/>
    <s v="Liverpool"/>
    <s v="WX1 6LT"/>
    <s v="UK"/>
    <s v="Devon"/>
    <s v="Elizabeth"/>
    <s v="Small"/>
    <x v="1769"/>
  </r>
  <r>
    <n v="10405"/>
    <n v="97"/>
    <n v="93.28"/>
    <n v="5"/>
    <n v="9048.16"/>
    <d v="2020-04-14T00:00:00"/>
    <s v="Shipped"/>
    <s v="Classic Cars"/>
    <n v="115"/>
    <s v="S12_4675"/>
    <x v="78"/>
    <s v="88.60.1555"/>
    <s v="24, place Kluber"/>
    <s v="Strasbourg"/>
    <s v="67000"/>
    <s v="France"/>
    <s v="Citeaux"/>
    <s v="Frederique"/>
    <s v="Large"/>
    <x v="1770"/>
  </r>
  <r>
    <n v="10405"/>
    <n v="61"/>
    <n v="73.92"/>
    <n v="4"/>
    <n v="4509.12"/>
    <d v="2020-04-14T00:00:00"/>
    <s v="Shipped"/>
    <s v="Classic Cars"/>
    <n v="77"/>
    <s v="S18_1889"/>
    <x v="78"/>
    <s v="88.60.1555"/>
    <s v="24, place Kluber"/>
    <s v="Strasbourg"/>
    <s v="67000"/>
    <s v="France"/>
    <s v="Citeaux"/>
    <s v="Frederique"/>
    <s v="Medium"/>
    <x v="1771"/>
  </r>
  <r>
    <n v="10405"/>
    <n v="55"/>
    <n v="150.71"/>
    <n v="1"/>
    <n v="8289.0499999999993"/>
    <d v="2020-04-14T00:00:00"/>
    <s v="Shipped"/>
    <s v="Classic Cars"/>
    <n v="169"/>
    <s v="S18_3232"/>
    <x v="78"/>
    <s v="88.60.1555"/>
    <s v="24, place Kluber"/>
    <s v="Strasbourg"/>
    <s v="67000"/>
    <s v="France"/>
    <s v="Citeaux"/>
    <s v="Frederique"/>
    <s v="Large"/>
    <x v="720"/>
  </r>
  <r>
    <n v="10405"/>
    <n v="47"/>
    <n v="44.56"/>
    <n v="2"/>
    <n v="2094.3200000000002"/>
    <d v="2020-04-14T00:00:00"/>
    <s v="Shipped"/>
    <s v="Classic Cars"/>
    <n v="37"/>
    <s v="S24_2972"/>
    <x v="78"/>
    <s v="88.60.1555"/>
    <s v="24, place Kluber"/>
    <s v="Strasbourg"/>
    <s v="67000"/>
    <s v="France"/>
    <s v="Citeaux"/>
    <s v="Frederique"/>
    <s v="Small"/>
    <x v="1059"/>
  </r>
  <r>
    <n v="10405"/>
    <n v="76"/>
    <n v="154.47"/>
    <n v="3"/>
    <n v="11739.7"/>
    <d v="2020-04-14T00:00:00"/>
    <s v="Shipped"/>
    <s v="Classic Cars"/>
    <n v="140"/>
    <s v="S24_3856"/>
    <x v="78"/>
    <s v="88.60.1555"/>
    <s v="24, place Kluber"/>
    <s v="Strasbourg"/>
    <s v="67000"/>
    <s v="France"/>
    <s v="Citeaux"/>
    <s v="Frederique"/>
    <s v="Large"/>
    <x v="1380"/>
  </r>
  <r>
    <n v="10406"/>
    <n v="61"/>
    <n v="137.29"/>
    <n v="3"/>
    <n v="8374.69"/>
    <d v="2020-04-15T00:00:00"/>
    <s v="Disputed"/>
    <s v="Classic Cars"/>
    <n v="141"/>
    <s v="S18_1129"/>
    <x v="5"/>
    <s v="31 12 3555"/>
    <s v="Vinb'ltet 34"/>
    <s v="Kobenhavn"/>
    <s v="1734"/>
    <s v="Denmark"/>
    <s v="Petersen"/>
    <s v="Jytte"/>
    <s v="Large"/>
    <x v="1035"/>
  </r>
  <r>
    <n v="10406"/>
    <n v="48"/>
    <n v="149.36000000000001"/>
    <n v="2"/>
    <n v="7169.28"/>
    <d v="2020-04-15T00:00:00"/>
    <s v="Disputed"/>
    <s v="Classic Cars"/>
    <n v="142"/>
    <s v="S18_1984"/>
    <x v="5"/>
    <s v="31 12 3555"/>
    <s v="Vinb'ltet 34"/>
    <s v="Kobenhavn"/>
    <s v="1734"/>
    <s v="Denmark"/>
    <s v="Petersen"/>
    <s v="Jytte"/>
    <s v="Large"/>
    <x v="679"/>
  </r>
  <r>
    <n v="10406"/>
    <n v="65"/>
    <n v="161.06"/>
    <n v="1"/>
    <n v="10468.9"/>
    <d v="2020-04-15T00:00:00"/>
    <s v="Disputed"/>
    <s v="Classic Cars"/>
    <n v="141"/>
    <s v="S18_3685"/>
    <x v="5"/>
    <s v="31 12 3555"/>
    <s v="Vinb'ltet 34"/>
    <s v="Kobenhavn"/>
    <s v="1734"/>
    <s v="Denmark"/>
    <s v="Petersen"/>
    <s v="Jytte"/>
    <s v="Large"/>
    <x v="1772"/>
  </r>
  <r>
    <n v="10407"/>
    <n v="59"/>
    <n v="119.46"/>
    <n v="11"/>
    <n v="7048.14"/>
    <d v="2020-04-22T00:00:00"/>
    <s v="On Hold"/>
    <s v="Classic Cars"/>
    <n v="124"/>
    <s v="S18_1589"/>
    <x v="80"/>
    <s v="4085553659"/>
    <s v="3086 Ingle Ln."/>
    <s v="San Jose"/>
    <s v="94217"/>
    <s v="USA"/>
    <s v="Frick"/>
    <s v="Sue"/>
    <s v="Large"/>
    <x v="1773"/>
  </r>
  <r>
    <n v="10407"/>
    <n v="76"/>
    <n v="185.3"/>
    <n v="2"/>
    <n v="14082.8"/>
    <d v="2020-04-22T00:00:00"/>
    <s v="On Hold"/>
    <s v="Vintage Cars"/>
    <n v="170"/>
    <s v="S18_1749"/>
    <x v="80"/>
    <s v="4085553659"/>
    <s v="3086 Ingle Ln."/>
    <s v="San Jose"/>
    <s v="94217"/>
    <s v="USA"/>
    <s v="Frick"/>
    <s v="Sue"/>
    <s v="Large"/>
    <x v="1751"/>
  </r>
  <r>
    <n v="10407"/>
    <n v="42"/>
    <n v="72.650000000000006"/>
    <n v="1"/>
    <n v="3051.3"/>
    <d v="2020-04-22T00:00:00"/>
    <s v="On Hold"/>
    <s v="Vintage Cars"/>
    <n v="60"/>
    <s v="S18_2248"/>
    <x v="80"/>
    <s v="4085553659"/>
    <s v="3086 Ingle Ln."/>
    <s v="San Jose"/>
    <s v="94217"/>
    <s v="USA"/>
    <s v="Frick"/>
    <s v="Sue"/>
    <s v="Medium"/>
    <x v="1537"/>
  </r>
  <r>
    <n v="10407"/>
    <n v="41"/>
    <n v="155.76"/>
    <n v="12"/>
    <n v="6386.16"/>
    <d v="2020-04-22T00:00:00"/>
    <s v="On Hold"/>
    <s v="Classic Cars"/>
    <n v="132"/>
    <s v="S18_2870"/>
    <x v="80"/>
    <s v="4085553659"/>
    <s v="3086 Ingle Ln."/>
    <s v="San Jose"/>
    <s v="94217"/>
    <s v="USA"/>
    <s v="Frick"/>
    <s v="Sue"/>
    <s v="Medium"/>
    <x v="1774"/>
  </r>
  <r>
    <n v="10407"/>
    <n v="6"/>
    <n v="90.19"/>
    <n v="3"/>
    <n v="541.14"/>
    <d v="2020-04-22T00:00:00"/>
    <s v="On Hold"/>
    <s v="Vintage Cars"/>
    <n v="92"/>
    <s v="S18_4409"/>
    <x v="80"/>
    <s v="4085553659"/>
    <s v="3086 Ingle Ln."/>
    <s v="San Jose"/>
    <s v="94217"/>
    <s v="USA"/>
    <s v="Frick"/>
    <s v="Sue"/>
    <s v="Small"/>
    <x v="1775"/>
  </r>
  <r>
    <n v="10407"/>
    <n v="66"/>
    <n v="66.989999999999995"/>
    <n v="4"/>
    <n v="4421.34"/>
    <d v="2020-04-22T00:00:00"/>
    <s v="On Hold"/>
    <s v="Classic Cars"/>
    <n v="71"/>
    <s v="S18_4933"/>
    <x v="80"/>
    <s v="4085553659"/>
    <s v="3086 Ingle Ln."/>
    <s v="San Jose"/>
    <s v="94217"/>
    <s v="USA"/>
    <s v="Frick"/>
    <s v="Sue"/>
    <s v="Medium"/>
    <x v="1776"/>
  </r>
  <r>
    <n v="10407"/>
    <n v="26"/>
    <n v="76.430000000000007"/>
    <n v="8"/>
    <n v="1987.18"/>
    <d v="2020-04-22T00:00:00"/>
    <s v="On Hold"/>
    <s v="Classic Cars"/>
    <n v="73"/>
    <s v="S24_1046"/>
    <x v="80"/>
    <s v="4085553659"/>
    <s v="3086 Ingle Ln."/>
    <s v="San Jose"/>
    <s v="94217"/>
    <s v="USA"/>
    <s v="Frick"/>
    <s v="Sue"/>
    <s v="Small"/>
    <x v="1777"/>
  </r>
  <r>
    <n v="10407"/>
    <n v="64"/>
    <n v="40.25"/>
    <n v="10"/>
    <n v="2576"/>
    <d v="2020-04-22T00:00:00"/>
    <s v="On Hold"/>
    <s v="Classic Cars"/>
    <n v="50"/>
    <s v="S24_1628"/>
    <x v="80"/>
    <s v="4085553659"/>
    <s v="3086 Ingle Ln."/>
    <s v="San Jose"/>
    <s v="94217"/>
    <s v="USA"/>
    <s v="Frick"/>
    <s v="Sue"/>
    <s v="Small"/>
    <x v="569"/>
  </r>
  <r>
    <n v="10407"/>
    <n v="76"/>
    <n v="94.5"/>
    <n v="6"/>
    <n v="7182"/>
    <d v="2020-04-22T00:00:00"/>
    <s v="On Hold"/>
    <s v="Classic Cars"/>
    <n v="90"/>
    <s v="S24_2766"/>
    <x v="80"/>
    <s v="4085553659"/>
    <s v="3086 Ingle Ln."/>
    <s v="San Jose"/>
    <s v="94217"/>
    <s v="USA"/>
    <s v="Frick"/>
    <s v="Sue"/>
    <s v="Large"/>
    <x v="1778"/>
  </r>
  <r>
    <n v="10407"/>
    <n v="59"/>
    <n v="98.65"/>
    <n v="5"/>
    <n v="5820.35"/>
    <d v="2020-04-22T00:00:00"/>
    <s v="On Hold"/>
    <s v="Classic Cars"/>
    <n v="117"/>
    <s v="S24_2887"/>
    <x v="80"/>
    <s v="4085553659"/>
    <s v="3086 Ingle Ln."/>
    <s v="San Jose"/>
    <s v="94217"/>
    <s v="USA"/>
    <s v="Frick"/>
    <s v="Sue"/>
    <s v="Medium"/>
    <x v="1745"/>
  </r>
  <r>
    <n v="10407"/>
    <n v="13"/>
    <n v="81.33"/>
    <n v="7"/>
    <n v="1057.29"/>
    <d v="2020-04-22T00:00:00"/>
    <s v="On Hold"/>
    <s v="Classic Cars"/>
    <n v="85"/>
    <s v="S24_3191"/>
    <x v="80"/>
    <s v="4085553659"/>
    <s v="3086 Ingle Ln."/>
    <s v="San Jose"/>
    <s v="94217"/>
    <s v="USA"/>
    <s v="Frick"/>
    <s v="Sue"/>
    <s v="Small"/>
    <x v="593"/>
  </r>
  <r>
    <n v="10407"/>
    <n v="43"/>
    <n v="86.73"/>
    <n v="9"/>
    <n v="3729.39"/>
    <d v="2020-04-22T00:00:00"/>
    <s v="On Hold"/>
    <s v="Classic Cars"/>
    <n v="107"/>
    <s v="S24_3432"/>
    <x v="80"/>
    <s v="4085553659"/>
    <s v="3086 Ingle Ln."/>
    <s v="San Jose"/>
    <s v="94217"/>
    <s v="USA"/>
    <s v="Frick"/>
    <s v="Sue"/>
    <s v="Medium"/>
    <x v="1727"/>
  </r>
  <r>
    <n v="10408"/>
    <n v="15"/>
    <n v="36.93"/>
    <n v="1"/>
    <n v="553.95000000000005"/>
    <d v="2020-04-22T00:00:00"/>
    <s v="Shipped"/>
    <s v="Vintage Cars"/>
    <n v="41"/>
    <s v="S24_3969"/>
    <x v="81"/>
    <s v="+81 3 3584 0555"/>
    <s v="2-2-8 Roppongi"/>
    <s v="Minato-ku"/>
    <s v="106-0032"/>
    <s v="Japan"/>
    <s v="Shimamura"/>
    <s v="Akiko"/>
    <s v="Small"/>
    <x v="144"/>
  </r>
  <r>
    <n v="10409"/>
    <n v="6"/>
    <n v="130.94"/>
    <n v="2"/>
    <n v="785.64"/>
    <d v="2020-04-23T00:00:00"/>
    <s v="Shipped"/>
    <s v="Vintage Cars"/>
    <n v="127"/>
    <s v="S18_2325"/>
    <x v="69"/>
    <s v="+65 224 1555"/>
    <s v="Village Close - 106 Linden Road Sandown"/>
    <s v="Singapore"/>
    <s v="69045"/>
    <s v="Singapore"/>
    <s v="Victorino"/>
    <s v="Wendy"/>
    <s v="Small"/>
    <x v="1779"/>
  </r>
  <r>
    <n v="10409"/>
    <n v="61"/>
    <n v="29.54"/>
    <n v="1"/>
    <n v="1801.94"/>
    <d v="2020-04-23T00:00:00"/>
    <s v="Shipped"/>
    <s v="Vintage Cars"/>
    <n v="33"/>
    <s v="S24_1937"/>
    <x v="69"/>
    <s v="+65 224 1555"/>
    <s v="Village Close - 106 Linden Road Sandown"/>
    <s v="Singapore"/>
    <s v="69045"/>
    <s v="Singapore"/>
    <s v="Victorino"/>
    <s v="Wendy"/>
    <s v="Small"/>
    <x v="1780"/>
  </r>
  <r>
    <n v="10411"/>
    <n v="23"/>
    <n v="180.01"/>
    <n v="9"/>
    <n v="4140.2299999999996"/>
    <d v="2020-05-01T00:00:00"/>
    <s v="Shipped"/>
    <s v="Classic Cars"/>
    <n v="214"/>
    <s v="S10_1949"/>
    <x v="49"/>
    <s v="(514) 555-8054"/>
    <s v="43 rue St. Laurent"/>
    <s v="Montreal"/>
    <s v="H1J 1C3"/>
    <s v="Canada"/>
    <s v="Fresnisre"/>
    <s v="Jean"/>
    <s v="Medium"/>
    <x v="1781"/>
  </r>
  <r>
    <n v="10411"/>
    <n v="27"/>
    <n v="163.99"/>
    <n v="2"/>
    <n v="4427.7299999999996"/>
    <d v="2020-05-01T00:00:00"/>
    <s v="Shipped"/>
    <s v="Classic Cars"/>
    <n v="147"/>
    <s v="S10_4962"/>
    <x v="49"/>
    <s v="(514) 555-8054"/>
    <s v="43 rue St. Laurent"/>
    <s v="Montreal"/>
    <s v="H1J 1C3"/>
    <s v="Canada"/>
    <s v="Fresnisre"/>
    <s v="Jean"/>
    <s v="Medium"/>
    <x v="1640"/>
  </r>
  <r>
    <n v="10411"/>
    <n v="40"/>
    <n v="155.80000000000001"/>
    <n v="6"/>
    <n v="6232"/>
    <d v="2020-05-01T00:00:00"/>
    <s v="Shipped"/>
    <s v="Trucks and Buses"/>
    <n v="136"/>
    <s v="S12_1666"/>
    <x v="49"/>
    <s v="(514) 555-8054"/>
    <s v="43 rue St. Laurent"/>
    <s v="Montreal"/>
    <s v="H1J 1C3"/>
    <s v="Canada"/>
    <s v="Fresnisre"/>
    <s v="Jean"/>
    <s v="Medium"/>
    <x v="1782"/>
  </r>
  <r>
    <n v="10411"/>
    <n v="27"/>
    <n v="119"/>
    <n v="8"/>
    <n v="3213"/>
    <d v="2020-05-01T00:00:00"/>
    <s v="Shipped"/>
    <s v="Trucks and Buses"/>
    <n v="116"/>
    <s v="S18_1097"/>
    <x v="49"/>
    <s v="(514) 555-8054"/>
    <s v="43 rue St. Laurent"/>
    <s v="Montreal"/>
    <s v="H1J 1C3"/>
    <s v="Canada"/>
    <s v="Fresnisre"/>
    <s v="Jean"/>
    <s v="Medium"/>
    <x v="1783"/>
  </r>
  <r>
    <n v="10411"/>
    <n v="46"/>
    <n v="113.82"/>
    <n v="3"/>
    <n v="5235.72"/>
    <d v="2020-05-01T00:00:00"/>
    <s v="Shipped"/>
    <s v="Trucks and Buses"/>
    <n v="121"/>
    <s v="S18_4600"/>
    <x v="49"/>
    <s v="(514) 555-8054"/>
    <s v="43 rue St. Laurent"/>
    <s v="Montreal"/>
    <s v="H1J 1C3"/>
    <s v="Canada"/>
    <s v="Fresnisre"/>
    <s v="Jean"/>
    <s v="Medium"/>
    <x v="1784"/>
  </r>
  <r>
    <n v="10411"/>
    <n v="35"/>
    <n v="59.87"/>
    <n v="7"/>
    <n v="2095.4499999999998"/>
    <d v="2020-05-01T00:00:00"/>
    <s v="Shipped"/>
    <s v="Vintage Cars"/>
    <n v="50"/>
    <s v="S18_4668"/>
    <x v="49"/>
    <s v="(514) 555-8054"/>
    <s v="43 rue St. Laurent"/>
    <s v="Montreal"/>
    <s v="H1J 1C3"/>
    <s v="Canada"/>
    <s v="Fresnisre"/>
    <s v="Jean"/>
    <s v="Small"/>
    <x v="1084"/>
  </r>
  <r>
    <n v="10411"/>
    <n v="26"/>
    <n v="111.72"/>
    <n v="1"/>
    <n v="2904.72"/>
    <d v="2020-05-01T00:00:00"/>
    <s v="Shipped"/>
    <s v="Trucks and Buses"/>
    <n v="96"/>
    <s v="S32_1268"/>
    <x v="49"/>
    <s v="(514) 555-8054"/>
    <s v="43 rue St. Laurent"/>
    <s v="Montreal"/>
    <s v="H1J 1C3"/>
    <s v="Canada"/>
    <s v="Fresnisre"/>
    <s v="Jean"/>
    <s v="Small"/>
    <x v="305"/>
  </r>
  <r>
    <n v="10411"/>
    <n v="27"/>
    <n v="69.16"/>
    <n v="5"/>
    <n v="1867.32"/>
    <d v="2020-05-01T00:00:00"/>
    <s v="Shipped"/>
    <s v="Trucks and Buses"/>
    <n v="64"/>
    <s v="S32_3522"/>
    <x v="49"/>
    <s v="(514) 555-8054"/>
    <s v="43 rue St. Laurent"/>
    <s v="Montreal"/>
    <s v="H1J 1C3"/>
    <s v="Canada"/>
    <s v="Fresnisre"/>
    <s v="Jean"/>
    <s v="Small"/>
    <x v="1682"/>
  </r>
  <r>
    <n v="10411"/>
    <n v="34"/>
    <n v="105.2"/>
    <n v="4"/>
    <n v="3576.8"/>
    <d v="2020-05-01T00:00:00"/>
    <s v="Shipped"/>
    <s v="Classic Cars"/>
    <n v="101"/>
    <s v="S700_2824"/>
    <x v="49"/>
    <s v="(514) 555-8054"/>
    <s v="43 rue St. Laurent"/>
    <s v="Montreal"/>
    <s v="H1J 1C3"/>
    <s v="Canada"/>
    <s v="Fresnisre"/>
    <s v="Jean"/>
    <s v="Medium"/>
    <x v="1529"/>
  </r>
  <r>
    <n v="10412"/>
    <n v="54"/>
    <n v="110.21"/>
    <n v="5"/>
    <n v="5951.34"/>
    <d v="2020-05-03T00:00:00"/>
    <s v="Shipped"/>
    <s v="Trucks and Buses"/>
    <n v="118"/>
    <s v="S12_4473"/>
    <x v="4"/>
    <s v="(91) 555 94 44"/>
    <s v="C/ Moralzarzal, 86"/>
    <s v="Madrid"/>
    <s v="28034"/>
    <s v="Spain"/>
    <s v="Freyre"/>
    <s v="Diego"/>
    <s v="Medium"/>
    <x v="1785"/>
  </r>
  <r>
    <n v="10412"/>
    <n v="41"/>
    <n v="163.72999999999999"/>
    <n v="4"/>
    <n v="6712.93"/>
    <d v="2020-05-03T00:00:00"/>
    <s v="Shipped"/>
    <s v="Classic Cars"/>
    <n v="163"/>
    <s v="S18_2238"/>
    <x v="4"/>
    <s v="(91) 555 94 44"/>
    <s v="C/ Moralzarzal, 86"/>
    <s v="Madrid"/>
    <s v="28034"/>
    <s v="Spain"/>
    <s v="Freyre"/>
    <s v="Diego"/>
    <s v="Medium"/>
    <x v="1786"/>
  </r>
  <r>
    <n v="10412"/>
    <n v="56"/>
    <n v="98.18"/>
    <n v="8"/>
    <n v="5498.08"/>
    <d v="2020-05-03T00:00:00"/>
    <s v="Shipped"/>
    <s v="Trucks and Buses"/>
    <n v="122"/>
    <s v="S18_2319"/>
    <x v="4"/>
    <s v="(91) 555 94 44"/>
    <s v="C/ Moralzarzal, 86"/>
    <s v="Madrid"/>
    <s v="28034"/>
    <s v="Spain"/>
    <s v="Freyre"/>
    <s v="Diego"/>
    <s v="Medium"/>
    <x v="1319"/>
  </r>
  <r>
    <n v="10412"/>
    <n v="47"/>
    <n v="61.99"/>
    <n v="11"/>
    <n v="2913.53"/>
    <d v="2020-05-03T00:00:00"/>
    <s v="Shipped"/>
    <s v="Trucks and Buses"/>
    <n v="60"/>
    <s v="S18_2432"/>
    <x v="4"/>
    <s v="(91) 555 94 44"/>
    <s v="C/ Moralzarzal, 86"/>
    <s v="Madrid"/>
    <s v="28034"/>
    <s v="Spain"/>
    <s v="Freyre"/>
    <s v="Diego"/>
    <s v="Small"/>
    <x v="282"/>
  </r>
  <r>
    <n v="10412"/>
    <n v="60"/>
    <n v="198.13"/>
    <n v="9"/>
    <n v="11887.8"/>
    <d v="2020-05-03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Large"/>
    <x v="1787"/>
  </r>
  <r>
    <n v="10412"/>
    <n v="21"/>
    <n v="52.6"/>
    <n v="2"/>
    <n v="1104.5999999999999"/>
    <d v="2020-05-03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485"/>
  </r>
  <r>
    <n v="10412"/>
    <n v="70"/>
    <n v="121.4"/>
    <n v="10"/>
    <n v="8498"/>
    <d v="2020-05-03T00:00:00"/>
    <s v="Shipped"/>
    <s v="Trucks and Buses"/>
    <n v="127"/>
    <s v="S24_2300"/>
    <x v="4"/>
    <s v="(91) 555 94 44"/>
    <s v="C/ Moralzarzal, 86"/>
    <s v="Madrid"/>
    <s v="28034"/>
    <s v="Spain"/>
    <s v="Freyre"/>
    <s v="Diego"/>
    <s v="Large"/>
    <x v="1788"/>
  </r>
  <r>
    <n v="10412"/>
    <n v="30"/>
    <n v="36.07"/>
    <n v="6"/>
    <n v="1082.0999999999999"/>
    <d v="2020-05-03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Small"/>
    <x v="1694"/>
  </r>
  <r>
    <n v="10412"/>
    <n v="31"/>
    <n v="137.19999999999999"/>
    <n v="1"/>
    <n v="4253.2"/>
    <d v="2020-05-03T00:00:00"/>
    <s v="Shipped"/>
    <s v="Classic Cars"/>
    <n v="118"/>
    <s v="S24_4048"/>
    <x v="4"/>
    <s v="(91) 555 94 44"/>
    <s v="C/ Moralzarzal, 86"/>
    <s v="Madrid"/>
    <s v="28034"/>
    <s v="Spain"/>
    <s v="Freyre"/>
    <s v="Diego"/>
    <s v="Medium"/>
    <x v="1789"/>
  </r>
  <r>
    <n v="10412"/>
    <n v="19"/>
    <n v="48.7"/>
    <n v="7"/>
    <n v="925.3"/>
    <d v="2020-05-03T00:00:00"/>
    <s v="Shipped"/>
    <s v="Trucks and Buses"/>
    <n v="54"/>
    <s v="S32_2509"/>
    <x v="4"/>
    <s v="(91) 555 94 44"/>
    <s v="C/ Moralzarzal, 86"/>
    <s v="Madrid"/>
    <s v="28034"/>
    <s v="Spain"/>
    <s v="Freyre"/>
    <s v="Diego"/>
    <s v="Small"/>
    <x v="419"/>
  </r>
  <r>
    <n v="10412"/>
    <n v="26"/>
    <n v="133.11000000000001"/>
    <n v="3"/>
    <n v="3460.86"/>
    <d v="2020-05-03T00:00:00"/>
    <s v="Shipped"/>
    <s v="Trucks and Buses"/>
    <n v="115"/>
    <s v="S50_1392"/>
    <x v="4"/>
    <s v="(91) 555 94 44"/>
    <s v="C/ Moralzarzal, 86"/>
    <s v="Madrid"/>
    <s v="28034"/>
    <s v="Spain"/>
    <s v="Freyre"/>
    <s v="Diego"/>
    <s v="Medium"/>
    <x v="805"/>
  </r>
  <r>
    <n v="10413"/>
    <n v="36"/>
    <n v="241.05"/>
    <n v="2"/>
    <n v="8677.7999999999993"/>
    <d v="2020-05-05T00:00:00"/>
    <s v="Shipped"/>
    <s v="Classic Cars"/>
    <n v="207"/>
    <s v="S12_1108"/>
    <x v="50"/>
    <s v="2035552570"/>
    <s v="25593 South Bay Ln."/>
    <s v="Bridgewater"/>
    <s v="97562"/>
    <s v="USA"/>
    <s v="King"/>
    <s v="Julie"/>
    <s v="Large"/>
    <x v="1790"/>
  </r>
  <r>
    <n v="10413"/>
    <n v="47"/>
    <n v="175.25"/>
    <n v="3"/>
    <n v="8236.75"/>
    <d v="2020-05-05T00:00:00"/>
    <s v="Shipped"/>
    <s v="Classic Cars"/>
    <n v="151"/>
    <s v="S12_3148"/>
    <x v="50"/>
    <s v="2035552570"/>
    <s v="25593 South Bay Ln."/>
    <s v="Bridgewater"/>
    <s v="97562"/>
    <s v="USA"/>
    <s v="King"/>
    <s v="Julie"/>
    <s v="Large"/>
    <x v="1791"/>
  </r>
  <r>
    <n v="10413"/>
    <n v="22"/>
    <n v="153.99"/>
    <n v="1"/>
    <n v="3387.78"/>
    <d v="2020-05-05T00:00:00"/>
    <s v="Shipped"/>
    <s v="Classic Cars"/>
    <n v="173"/>
    <s v="S12_3891"/>
    <x v="50"/>
    <s v="2035552570"/>
    <s v="25593 South Bay Ln."/>
    <s v="Bridgewater"/>
    <s v="97562"/>
    <s v="USA"/>
    <s v="King"/>
    <s v="Julie"/>
    <s v="Medium"/>
    <x v="1792"/>
  </r>
  <r>
    <n v="10413"/>
    <n v="49"/>
    <n v="140.75"/>
    <n v="5"/>
    <n v="6896.75"/>
    <d v="2020-05-05T00:00:00"/>
    <s v="Shipped"/>
    <s v="Classic Cars"/>
    <n v="143"/>
    <s v="S18_4027"/>
    <x v="50"/>
    <s v="2035552570"/>
    <s v="25593 South Bay Ln."/>
    <s v="Bridgewater"/>
    <s v="97562"/>
    <s v="USA"/>
    <s v="King"/>
    <s v="Julie"/>
    <s v="Medium"/>
    <x v="202"/>
  </r>
  <r>
    <n v="10413"/>
    <n v="24"/>
    <n v="49.71"/>
    <n v="6"/>
    <n v="1193.04"/>
    <d v="2020-05-05T00:00:00"/>
    <s v="Shipped"/>
    <s v="Trains"/>
    <n v="62"/>
    <s v="S32_3207"/>
    <x v="50"/>
    <s v="2035552570"/>
    <s v="25593 South Bay Ln."/>
    <s v="Bridgewater"/>
    <s v="97562"/>
    <s v="USA"/>
    <s v="King"/>
    <s v="Julie"/>
    <s v="Small"/>
    <x v="1046"/>
  </r>
  <r>
    <n v="10413"/>
    <n v="51"/>
    <n v="63.85"/>
    <n v="4"/>
    <n v="3256.35"/>
    <d v="2020-05-05T00:00:00"/>
    <s v="Shipped"/>
    <s v="Trains"/>
    <n v="58"/>
    <s v="S50_1514"/>
    <x v="50"/>
    <s v="2035552570"/>
    <s v="25593 South Bay Ln."/>
    <s v="Bridgewater"/>
    <s v="97562"/>
    <s v="USA"/>
    <s v="King"/>
    <s v="Julie"/>
    <s v="Medium"/>
    <x v="555"/>
  </r>
  <r>
    <n v="10414"/>
    <n v="19"/>
    <n v="145.52000000000001"/>
    <n v="3"/>
    <n v="2764.88"/>
    <d v="2020-05-06T00:00:00"/>
    <s v="On Hold"/>
    <s v="Classic Cars"/>
    <n v="136"/>
    <s v="S10_4757"/>
    <x v="82"/>
    <s v="6175559555"/>
    <s v="8616 Spinnaker Dr."/>
    <s v="Boston"/>
    <s v="51003"/>
    <s v="USA"/>
    <s v="Yoshido"/>
    <s v="Juri"/>
    <s v="Small"/>
    <x v="1793"/>
  </r>
  <r>
    <n v="10414"/>
    <n v="44"/>
    <n v="73.98"/>
    <n v="1"/>
    <n v="3255.12"/>
    <d v="2020-05-06T00:00:00"/>
    <s v="On Hold"/>
    <s v="Ships"/>
    <n v="86"/>
    <s v="S18_3029"/>
    <x v="82"/>
    <s v="6175559555"/>
    <s v="8616 Spinnaker Dr."/>
    <s v="Boston"/>
    <s v="51003"/>
    <s v="USA"/>
    <s v="Yoshido"/>
    <s v="Juri"/>
    <s v="Medium"/>
    <x v="1574"/>
  </r>
  <r>
    <n v="10414"/>
    <n v="41"/>
    <n v="118.83"/>
    <n v="12"/>
    <n v="4872.03"/>
    <d v="2020-05-06T00:00:00"/>
    <s v="On Hold"/>
    <s v="Vintage Cars"/>
    <n v="136"/>
    <s v="S18_3140"/>
    <x v="82"/>
    <s v="6175559555"/>
    <s v="8616 Spinnaker Dr."/>
    <s v="Boston"/>
    <s v="51003"/>
    <s v="USA"/>
    <s v="Yoshido"/>
    <s v="Juri"/>
    <s v="Medium"/>
    <x v="444"/>
  </r>
  <r>
    <n v="10414"/>
    <n v="48"/>
    <n v="121.01"/>
    <n v="14"/>
    <n v="5808.48"/>
    <d v="2020-05-06T00:00:00"/>
    <s v="On Hold"/>
    <s v="Trains"/>
    <n v="100"/>
    <s v="S18_3259"/>
    <x v="82"/>
    <s v="6175559555"/>
    <s v="8616 Spinnaker Dr."/>
    <s v="Boston"/>
    <s v="51003"/>
    <s v="USA"/>
    <s v="Yoshido"/>
    <s v="Juri"/>
    <s v="Medium"/>
    <x v="1794"/>
  </r>
  <r>
    <n v="10414"/>
    <n v="16"/>
    <n v="75.48"/>
    <n v="11"/>
    <n v="1207.68"/>
    <d v="2020-05-06T00:00:00"/>
    <s v="On Hold"/>
    <s v="Vintage Cars"/>
    <n v="87"/>
    <s v="S18_4522"/>
    <x v="82"/>
    <s v="6175559555"/>
    <s v="8616 Spinnaker Dr."/>
    <s v="Boston"/>
    <s v="51003"/>
    <s v="USA"/>
    <s v="Yoshido"/>
    <s v="Juri"/>
    <s v="Small"/>
    <x v="1795"/>
  </r>
  <r>
    <n v="10414"/>
    <n v="23"/>
    <n v="145.01"/>
    <n v="10"/>
    <n v="3335.23"/>
    <d v="2020-05-06T00:00:00"/>
    <s v="On Hold"/>
    <s v="Ships"/>
    <n v="122"/>
    <s v="S24_2011"/>
    <x v="82"/>
    <s v="6175559555"/>
    <s v="8616 Spinnaker Dr."/>
    <s v="Boston"/>
    <s v="51003"/>
    <s v="USA"/>
    <s v="Yoshido"/>
    <s v="Juri"/>
    <s v="Medium"/>
    <x v="55"/>
  </r>
  <r>
    <n v="10414"/>
    <n v="60"/>
    <n v="101.79"/>
    <n v="5"/>
    <n v="6107.4"/>
    <d v="2020-05-06T00:00:00"/>
    <s v="On Hold"/>
    <s v="Vintage Cars"/>
    <n v="88"/>
    <s v="S24_3151"/>
    <x v="82"/>
    <s v="6175559555"/>
    <s v="8616 Spinnaker Dr."/>
    <s v="Boston"/>
    <s v="51003"/>
    <s v="USA"/>
    <s v="Yoshido"/>
    <s v="Juri"/>
    <s v="Medium"/>
    <x v="1796"/>
  </r>
  <r>
    <n v="10414"/>
    <n v="51"/>
    <n v="76.31"/>
    <n v="2"/>
    <n v="3891.81"/>
    <d v="2020-05-06T00:00:00"/>
    <s v="On Hold"/>
    <s v="Vintage Cars"/>
    <n v="83"/>
    <s v="S24_3816"/>
    <x v="82"/>
    <s v="6175559555"/>
    <s v="8616 Spinnaker Dr."/>
    <s v="Boston"/>
    <s v="51003"/>
    <s v="USA"/>
    <s v="Yoshido"/>
    <s v="Juri"/>
    <s v="Medium"/>
    <x v="1797"/>
  </r>
  <r>
    <n v="10414"/>
    <n v="37"/>
    <n v="71.34"/>
    <n v="6"/>
    <n v="2639.58"/>
    <d v="2020-05-06T00:00:00"/>
    <s v="On Hold"/>
    <s v="Ships"/>
    <n v="66"/>
    <s v="S700_1138"/>
    <x v="82"/>
    <s v="6175559555"/>
    <s v="8616 Spinnaker Dr."/>
    <s v="Boston"/>
    <s v="51003"/>
    <s v="USA"/>
    <s v="Yoshido"/>
    <s v="Juri"/>
    <s v="Small"/>
    <x v="294"/>
  </r>
  <r>
    <n v="10414"/>
    <n v="34"/>
    <n v="103.93"/>
    <n v="13"/>
    <n v="3533.62"/>
    <d v="2020-05-06T00:00:00"/>
    <s v="On Hold"/>
    <s v="Ships"/>
    <n v="86"/>
    <s v="S700_1938"/>
    <x v="82"/>
    <s v="6175559555"/>
    <s v="8616 Spinnaker Dr."/>
    <s v="Boston"/>
    <s v="51003"/>
    <s v="USA"/>
    <s v="Yoshido"/>
    <s v="Juri"/>
    <s v="Medium"/>
    <x v="556"/>
  </r>
  <r>
    <n v="10414"/>
    <n v="31"/>
    <n v="75.89"/>
    <n v="4"/>
    <n v="2352.59"/>
    <d v="2020-05-06T00:00:00"/>
    <s v="On Hold"/>
    <s v="Ships"/>
    <n v="72"/>
    <s v="S700_2610"/>
    <x v="82"/>
    <s v="6175559555"/>
    <s v="8616 Spinnaker Dr."/>
    <s v="Boston"/>
    <s v="51003"/>
    <s v="USA"/>
    <s v="Yoshido"/>
    <s v="Juri"/>
    <s v="Small"/>
    <x v="864"/>
  </r>
  <r>
    <n v="10414"/>
    <n v="28"/>
    <n v="108.18"/>
    <n v="7"/>
    <n v="3029.04"/>
    <d v="2020-05-06T00:00:00"/>
    <s v="On Hold"/>
    <s v="Ships"/>
    <n v="100"/>
    <s v="S700_3505"/>
    <x v="82"/>
    <s v="6175559555"/>
    <s v="8616 Spinnaker Dr."/>
    <s v="Boston"/>
    <s v="51003"/>
    <s v="USA"/>
    <s v="Yoshido"/>
    <s v="Juri"/>
    <s v="Medium"/>
    <x v="60"/>
  </r>
  <r>
    <n v="10414"/>
    <n v="27"/>
    <n v="90.37"/>
    <n v="8"/>
    <n v="2439.9899999999998"/>
    <d v="2020-05-06T00:00:00"/>
    <s v="On Hold"/>
    <s v="Ships"/>
    <n v="99"/>
    <s v="S700_3962"/>
    <x v="82"/>
    <s v="6175559555"/>
    <s v="8616 Spinnaker Dr."/>
    <s v="Boston"/>
    <s v="51003"/>
    <s v="USA"/>
    <s v="Yoshido"/>
    <s v="Juri"/>
    <s v="Small"/>
    <x v="1798"/>
  </r>
  <r>
    <n v="10414"/>
    <n v="47"/>
    <n v="65.52"/>
    <n v="9"/>
    <n v="3079.44"/>
    <d v="2020-05-06T00:00:00"/>
    <s v="On Hold"/>
    <s v="Ships"/>
    <n v="54"/>
    <s v="S72_3212"/>
    <x v="82"/>
    <s v="6175559555"/>
    <s v="8616 Spinnaker Dr."/>
    <s v="Boston"/>
    <s v="51003"/>
    <s v="USA"/>
    <s v="Yoshido"/>
    <s v="Juri"/>
    <s v="Medium"/>
    <x v="1799"/>
  </r>
  <r>
    <n v="10415"/>
    <n v="51"/>
    <n v="121.75"/>
    <n v="5"/>
    <n v="6209.25"/>
    <d v="2020-05-09T00:00:00"/>
    <s v="Disputed"/>
    <s v="Vintage Cars"/>
    <n v="105"/>
    <s v="S18_3856"/>
    <x v="59"/>
    <s v="61-9-3844-6555"/>
    <s v="7 Allen Street"/>
    <s v="Glen Waverly"/>
    <s v="3150"/>
    <s v="Australia"/>
    <s v="Connery"/>
    <s v="Sean"/>
    <s v="Medium"/>
    <x v="1617"/>
  </r>
  <r>
    <n v="10415"/>
    <n v="21"/>
    <n v="67.819999999999993"/>
    <n v="1"/>
    <n v="1424.22"/>
    <d v="2020-05-09T00:00:00"/>
    <s v="Disputed"/>
    <s v="Planes"/>
    <n v="68"/>
    <s v="S24_2841"/>
    <x v="59"/>
    <s v="61-9-3844-6555"/>
    <s v="7 Allen Street"/>
    <s v="Glen Waverly"/>
    <s v="3150"/>
    <s v="Australia"/>
    <s v="Connery"/>
    <s v="Sean"/>
    <s v="Small"/>
    <x v="385"/>
  </r>
  <r>
    <n v="10415"/>
    <n v="18"/>
    <n v="69.7"/>
    <n v="2"/>
    <n v="1254.5999999999999"/>
    <d v="2020-05-09T00:00:00"/>
    <s v="Disputed"/>
    <s v="Vintage Cars"/>
    <n v="65"/>
    <s v="S24_3420"/>
    <x v="59"/>
    <s v="61-9-3844-6555"/>
    <s v="7 Allen Street"/>
    <s v="Glen Waverly"/>
    <s v="3150"/>
    <s v="Australia"/>
    <s v="Connery"/>
    <s v="Sean"/>
    <s v="Small"/>
    <x v="1800"/>
  </r>
  <r>
    <n v="10415"/>
    <n v="32"/>
    <n v="95.95"/>
    <n v="4"/>
    <n v="3070.4"/>
    <d v="2020-05-09T00:00:00"/>
    <s v="Disputed"/>
    <s v="Ships"/>
    <n v="90"/>
    <s v="S700_2047"/>
    <x v="59"/>
    <s v="61-9-3844-6555"/>
    <s v="7 Allen Street"/>
    <s v="Glen Waverly"/>
    <s v="3150"/>
    <s v="Australia"/>
    <s v="Connery"/>
    <s v="Sean"/>
    <s v="Medium"/>
    <x v="1210"/>
  </r>
  <r>
    <n v="10415"/>
    <n v="42"/>
    <n v="57.61"/>
    <n v="3"/>
    <n v="2419.62"/>
    <d v="2020-05-09T00:00:00"/>
    <s v="Disputed"/>
    <s v="Planes"/>
    <n v="49"/>
    <s v="S72_1253"/>
    <x v="59"/>
    <s v="61-9-3844-6555"/>
    <s v="7 Allen Street"/>
    <s v="Glen Waverly"/>
    <s v="3150"/>
    <s v="Australia"/>
    <s v="Connery"/>
    <s v="Sean"/>
    <s v="Small"/>
    <x v="848"/>
  </r>
  <r>
    <n v="10416"/>
    <n v="24"/>
    <n v="181.34"/>
    <n v="14"/>
    <n v="4352.16"/>
    <d v="2020-05-10T00:00:00"/>
    <s v="Shipped"/>
    <s v="Planes"/>
    <n v="157"/>
    <s v="S18_1662"/>
    <x v="51"/>
    <s v="0522-556555"/>
    <s v="Strada Provinciale 124"/>
    <s v="Reggio Emilia"/>
    <s v="42100"/>
    <s v="Italy"/>
    <s v="Moroni"/>
    <s v="Maurizio"/>
    <s v="Medium"/>
    <x v="623"/>
  </r>
  <r>
    <n v="10416"/>
    <n v="15"/>
    <n v="98.84"/>
    <n v="4"/>
    <n v="1482.6"/>
    <d v="2020-05-10T00:00:00"/>
    <s v="Shipped"/>
    <s v="Planes"/>
    <n v="84"/>
    <s v="S18_2581"/>
    <x v="51"/>
    <s v="0522-556555"/>
    <s v="Strada Provinciale 124"/>
    <s v="Reggio Emilia"/>
    <s v="42100"/>
    <s v="Italy"/>
    <s v="Moroni"/>
    <s v="Maurizio"/>
    <s v="Small"/>
    <x v="488"/>
  </r>
  <r>
    <n v="10416"/>
    <n v="47"/>
    <n v="88.63"/>
    <n v="6"/>
    <n v="4165.6099999999997"/>
    <d v="2020-05-10T00:00:00"/>
    <s v="Shipped"/>
    <s v="Planes"/>
    <n v="109"/>
    <s v="S24_1785"/>
    <x v="51"/>
    <s v="0522-556555"/>
    <s v="Strada Provinciale 124"/>
    <s v="Reggio Emilia"/>
    <s v="42100"/>
    <s v="Italy"/>
    <s v="Moroni"/>
    <s v="Maurizio"/>
    <s v="Medium"/>
    <x v="1400"/>
  </r>
  <r>
    <n v="10416"/>
    <n v="32"/>
    <n v="87.6"/>
    <n v="1"/>
    <n v="2803.2"/>
    <d v="2020-05-10T00:00:00"/>
    <s v="Shipped"/>
    <s v="Motorcycles"/>
    <n v="76"/>
    <s v="S24_2000"/>
    <x v="51"/>
    <s v="0522-556555"/>
    <s v="Strada Provinciale 124"/>
    <s v="Reggio Emilia"/>
    <s v="42100"/>
    <s v="Italy"/>
    <s v="Moroni"/>
    <s v="Maurizio"/>
    <s v="Small"/>
    <x v="570"/>
  </r>
  <r>
    <n v="10416"/>
    <n v="18"/>
    <n v="75.06"/>
    <n v="13"/>
    <n v="1351.08"/>
    <d v="2020-05-10T00:00:00"/>
    <s v="Shipped"/>
    <s v="Planes"/>
    <n v="68"/>
    <s v="S24_3949"/>
    <x v="51"/>
    <s v="0522-556555"/>
    <s v="Strada Provinciale 124"/>
    <s v="Reggio Emilia"/>
    <s v="42100"/>
    <s v="Italy"/>
    <s v="Moroni"/>
    <s v="Maurizio"/>
    <s v="Small"/>
    <x v="507"/>
  </r>
  <r>
    <n v="10416"/>
    <n v="48"/>
    <n v="74.62"/>
    <n v="5"/>
    <n v="3581.76"/>
    <d v="2020-05-10T00:00:00"/>
    <s v="Shipped"/>
    <s v="Planes"/>
    <n v="72"/>
    <s v="S24_4278"/>
    <x v="51"/>
    <s v="0522-556555"/>
    <s v="Strada Provinciale 124"/>
    <s v="Reggio Emilia"/>
    <s v="42100"/>
    <s v="Italy"/>
    <s v="Moroni"/>
    <s v="Maurizio"/>
    <s v="Medium"/>
    <x v="196"/>
  </r>
  <r>
    <n v="10416"/>
    <n v="45"/>
    <n v="105.88"/>
    <n v="2"/>
    <n v="4764.6000000000004"/>
    <d v="2020-05-10T00:00:00"/>
    <s v="Shipped"/>
    <s v="Motorcycles"/>
    <n v="99"/>
    <s v="S32_1374"/>
    <x v="51"/>
    <s v="0522-556555"/>
    <s v="Strada Provinciale 124"/>
    <s v="Reggio Emilia"/>
    <s v="42100"/>
    <s v="Italy"/>
    <s v="Moroni"/>
    <s v="Maurizio"/>
    <s v="Medium"/>
    <x v="1801"/>
  </r>
  <r>
    <n v="10416"/>
    <n v="26"/>
    <n v="61.22"/>
    <n v="7"/>
    <n v="1591.72"/>
    <d v="2020-05-10T00:00:00"/>
    <s v="Shipped"/>
    <s v="Vintage Cars"/>
    <n v="68"/>
    <s v="S32_4289"/>
    <x v="51"/>
    <s v="0522-556555"/>
    <s v="Strada Provinciale 124"/>
    <s v="Reggio Emilia"/>
    <s v="42100"/>
    <s v="Italy"/>
    <s v="Moroni"/>
    <s v="Maurizio"/>
    <s v="Small"/>
    <x v="1802"/>
  </r>
  <r>
    <n v="10416"/>
    <n v="37"/>
    <n v="51.93"/>
    <n v="8"/>
    <n v="1921.41"/>
    <d v="2020-05-10T00:00:00"/>
    <s v="Shipped"/>
    <s v="Vintage Cars"/>
    <n v="43"/>
    <s v="S50_1341"/>
    <x v="51"/>
    <s v="0522-556555"/>
    <s v="Strada Provinciale 124"/>
    <s v="Reggio Emilia"/>
    <s v="42100"/>
    <s v="Italy"/>
    <s v="Moroni"/>
    <s v="Maurizio"/>
    <s v="Small"/>
    <x v="1803"/>
  </r>
  <r>
    <n v="10416"/>
    <n v="23"/>
    <n v="91.34"/>
    <n v="9"/>
    <n v="2100.8200000000002"/>
    <d v="2020-05-10T00:00:00"/>
    <s v="Shipped"/>
    <s v="Planes"/>
    <n v="91"/>
    <s v="S700_1691"/>
    <x v="51"/>
    <s v="0522-556555"/>
    <s v="Strada Provinciale 124"/>
    <s v="Reggio Emilia"/>
    <s v="42100"/>
    <s v="Italy"/>
    <s v="Moroni"/>
    <s v="Maurizio"/>
    <s v="Small"/>
    <x v="1323"/>
  </r>
  <r>
    <n v="10416"/>
    <n v="22"/>
    <n v="111.69"/>
    <n v="11"/>
    <n v="2457.1799999999998"/>
    <d v="2020-05-10T00:00:00"/>
    <s v="Shipped"/>
    <s v="Planes"/>
    <n v="99"/>
    <s v="S700_2466"/>
    <x v="51"/>
    <s v="0522-556555"/>
    <s v="Strada Provinciale 124"/>
    <s v="Reggio Emilia"/>
    <s v="42100"/>
    <s v="Italy"/>
    <s v="Moroni"/>
    <s v="Maurizio"/>
    <s v="Small"/>
    <x v="1460"/>
  </r>
  <r>
    <n v="10416"/>
    <n v="41"/>
    <n v="137.63"/>
    <n v="3"/>
    <n v="5642.83"/>
    <d v="2020-05-10T00:00:00"/>
    <s v="Shipped"/>
    <s v="Planes"/>
    <n v="118"/>
    <s v="S700_2834"/>
    <x v="51"/>
    <s v="0522-556555"/>
    <s v="Strada Provinciale 124"/>
    <s v="Reggio Emilia"/>
    <s v="42100"/>
    <s v="Italy"/>
    <s v="Moroni"/>
    <s v="Maurizio"/>
    <s v="Medium"/>
    <x v="1025"/>
  </r>
  <r>
    <n v="10416"/>
    <n v="39"/>
    <n v="67.2"/>
    <n v="10"/>
    <n v="2620.8000000000002"/>
    <d v="2020-05-10T00:00:00"/>
    <s v="Shipped"/>
    <s v="Planes"/>
    <n v="80"/>
    <s v="S700_3167"/>
    <x v="51"/>
    <s v="0522-556555"/>
    <s v="Strada Provinciale 124"/>
    <s v="Reggio Emilia"/>
    <s v="42100"/>
    <s v="Italy"/>
    <s v="Moroni"/>
    <s v="Maurizio"/>
    <s v="Small"/>
    <x v="407"/>
  </r>
  <r>
    <n v="10416"/>
    <n v="43"/>
    <n v="62.19"/>
    <n v="12"/>
    <n v="2674.17"/>
    <d v="2020-05-10T00:00:00"/>
    <s v="Shipped"/>
    <s v="Planes"/>
    <n v="74"/>
    <s v="S700_4002"/>
    <x v="51"/>
    <s v="0522-556555"/>
    <s v="Strada Provinciale 124"/>
    <s v="Reggio Emilia"/>
    <s v="42100"/>
    <s v="Italy"/>
    <s v="Moroni"/>
    <s v="Maurizio"/>
    <s v="Small"/>
    <x v="1420"/>
  </r>
  <r>
    <n v="10417"/>
    <n v="66"/>
    <n v="113.88"/>
    <n v="2"/>
    <n v="7516.08"/>
    <d v="2020-05-13T00:00:00"/>
    <s v="Disputed"/>
    <s v="Motorcycles"/>
    <n v="95"/>
    <s v="S10_1678"/>
    <x v="4"/>
    <s v="(91) 555 94 44"/>
    <s v="C/ Moralzarzal, 86"/>
    <s v="Madrid"/>
    <s v="28034"/>
    <s v="Spain"/>
    <s v="Freyre"/>
    <s v="Diego"/>
    <s v="Large"/>
    <x v="1804"/>
  </r>
  <r>
    <n v="10417"/>
    <n v="45"/>
    <n v="130.83000000000001"/>
    <n v="5"/>
    <n v="5887.35"/>
    <d v="2020-05-13T00:00:00"/>
    <s v="Disputed"/>
    <s v="Motorcycles"/>
    <n v="118"/>
    <s v="S10_2016"/>
    <x v="4"/>
    <s v="(91) 555 94 44"/>
    <s v="C/ Moralzarzal, 86"/>
    <s v="Madrid"/>
    <s v="28034"/>
    <s v="Spain"/>
    <s v="Freyre"/>
    <s v="Diego"/>
    <s v="Medium"/>
    <x v="1805"/>
  </r>
  <r>
    <n v="10417"/>
    <n v="56"/>
    <n v="164.61"/>
    <n v="4"/>
    <n v="9218.16"/>
    <d v="2020-05-13T00:00:00"/>
    <s v="Disputed"/>
    <s v="Motorcycles"/>
    <n v="193"/>
    <s v="S10_4698"/>
    <x v="4"/>
    <s v="(91) 555 94 44"/>
    <s v="C/ Moralzarzal, 86"/>
    <s v="Madrid"/>
    <s v="28034"/>
    <s v="Spain"/>
    <s v="Freyre"/>
    <s v="Diego"/>
    <s v="Large"/>
    <x v="1806"/>
  </r>
  <r>
    <n v="10417"/>
    <n v="21"/>
    <n v="164.18"/>
    <n v="1"/>
    <n v="3447.78"/>
    <d v="2020-05-13T00:00:00"/>
    <s v="Disputed"/>
    <s v="Motorcycles"/>
    <n v="150"/>
    <s v="S12_2823"/>
    <x v="4"/>
    <s v="(91) 555 94 44"/>
    <s v="C/ Moralzarzal, 86"/>
    <s v="Madrid"/>
    <s v="28034"/>
    <s v="Spain"/>
    <s v="Freyre"/>
    <s v="Diego"/>
    <s v="Medium"/>
    <x v="1807"/>
  </r>
  <r>
    <n v="10417"/>
    <n v="36"/>
    <n v="61.18"/>
    <n v="6"/>
    <n v="2202.48"/>
    <d v="2020-05-13T00:00:00"/>
    <s v="Disputed"/>
    <s v="Motorcycles"/>
    <n v="60"/>
    <s v="S18_2625"/>
    <x v="4"/>
    <s v="(91) 555 94 44"/>
    <s v="C/ Moralzarzal, 86"/>
    <s v="Madrid"/>
    <s v="28034"/>
    <s v="Spain"/>
    <s v="Freyre"/>
    <s v="Diego"/>
    <s v="Small"/>
    <x v="165"/>
  </r>
  <r>
    <n v="10417"/>
    <n v="35"/>
    <n v="101.43"/>
    <n v="3"/>
    <n v="3550.05"/>
    <d v="2020-05-13T00:00:00"/>
    <s v="Disputed"/>
    <s v="Motorcycles"/>
    <n v="112"/>
    <s v="S24_1578"/>
    <x v="4"/>
    <s v="(91) 555 94 44"/>
    <s v="C/ Moralzarzal, 86"/>
    <s v="Madrid"/>
    <s v="28034"/>
    <s v="Spain"/>
    <s v="Freyre"/>
    <s v="Diego"/>
    <s v="Medium"/>
    <x v="274"/>
  </r>
  <r>
    <n v="10419"/>
    <n v="12"/>
    <n v="163.44"/>
    <n v="13"/>
    <n v="1961.28"/>
    <d v="2020-05-17T00:00:00"/>
    <s v="Shipped"/>
    <s v="Classic Cars"/>
    <n v="194"/>
    <s v="S12_1099"/>
    <x v="18"/>
    <s v="6562-9555"/>
    <s v="Geislweg 14"/>
    <s v="Salzburg"/>
    <s v="5020"/>
    <s v="Austria"/>
    <s v="Pipps"/>
    <s v="Georg"/>
    <s v="Small"/>
    <x v="1808"/>
  </r>
  <r>
    <n v="10419"/>
    <n v="10"/>
    <n v="109.22"/>
    <n v="11"/>
    <n v="1092.2"/>
    <d v="2020-05-17T00:00:00"/>
    <s v="Shipped"/>
    <s v="Classic Cars"/>
    <n v="117"/>
    <s v="S12_3380"/>
    <x v="18"/>
    <s v="6562-9555"/>
    <s v="Geislweg 14"/>
    <s v="Salzburg"/>
    <s v="5020"/>
    <s v="Austria"/>
    <s v="Pipps"/>
    <s v="Georg"/>
    <s v="Small"/>
    <x v="1809"/>
  </r>
  <r>
    <n v="10419"/>
    <n v="34"/>
    <n v="90.17"/>
    <n v="14"/>
    <n v="3065.78"/>
    <d v="2020-05-17T00:00:00"/>
    <s v="Shipped"/>
    <s v="Classic Cars"/>
    <n v="79"/>
    <s v="S12_3990"/>
    <x v="18"/>
    <s v="6562-9555"/>
    <s v="Geislweg 14"/>
    <s v="Salzburg"/>
    <s v="5020"/>
    <s v="Austria"/>
    <s v="Pipps"/>
    <s v="Georg"/>
    <s v="Medium"/>
    <x v="1810"/>
  </r>
  <r>
    <n v="10419"/>
    <n v="32"/>
    <n v="119.77"/>
    <n v="10"/>
    <n v="3832.64"/>
    <d v="2020-05-17T00:00:00"/>
    <s v="Shipped"/>
    <s v="Classic Cars"/>
    <n v="115"/>
    <s v="S12_4675"/>
    <x v="18"/>
    <s v="6562-9555"/>
    <s v="Geislweg 14"/>
    <s v="Salzburg"/>
    <s v="5020"/>
    <s v="Austria"/>
    <s v="Pipps"/>
    <s v="Georg"/>
    <s v="Medium"/>
    <x v="1811"/>
  </r>
  <r>
    <n v="10419"/>
    <n v="38"/>
    <n v="117.48"/>
    <n v="5"/>
    <n v="4464.24"/>
    <d v="2020-05-17T00:00:00"/>
    <s v="Shipped"/>
    <s v="Classic Cars"/>
    <n v="141"/>
    <s v="S18_1129"/>
    <x v="18"/>
    <s v="6562-9555"/>
    <s v="Geislweg 14"/>
    <s v="Salzburg"/>
    <s v="5020"/>
    <s v="Austria"/>
    <s v="Pipps"/>
    <s v="Georg"/>
    <s v="Medium"/>
    <x v="1812"/>
  </r>
  <r>
    <n v="10419"/>
    <n v="37"/>
    <n v="140.62"/>
    <n v="1"/>
    <n v="5202.9399999999996"/>
    <d v="2020-05-17T00:00:00"/>
    <s v="Shipped"/>
    <s v="Classic Cars"/>
    <n v="124"/>
    <s v="S18_1589"/>
    <x v="18"/>
    <s v="6562-9555"/>
    <s v="Geislweg 14"/>
    <s v="Salzburg"/>
    <s v="5020"/>
    <s v="Austria"/>
    <s v="Pipps"/>
    <s v="Georg"/>
    <s v="Medium"/>
    <x v="1721"/>
  </r>
  <r>
    <n v="10419"/>
    <n v="39"/>
    <n v="83.93"/>
    <n v="9"/>
    <n v="3273.27"/>
    <d v="2020-05-17T00:00:00"/>
    <s v="Shipped"/>
    <s v="Classic Cars"/>
    <n v="77"/>
    <s v="S18_1889"/>
    <x v="18"/>
    <s v="6562-9555"/>
    <s v="Geislweg 14"/>
    <s v="Salzburg"/>
    <s v="5020"/>
    <s v="Austria"/>
    <s v="Pipps"/>
    <s v="Georg"/>
    <s v="Medium"/>
    <x v="1743"/>
  </r>
  <r>
    <n v="10419"/>
    <n v="34"/>
    <n v="135.13999999999999"/>
    <n v="4"/>
    <n v="4594.76"/>
    <d v="2020-05-17T00:00:00"/>
    <s v="Shipped"/>
    <s v="Classic Cars"/>
    <n v="142"/>
    <s v="S18_1984"/>
    <x v="18"/>
    <s v="6562-9555"/>
    <s v="Geislweg 14"/>
    <s v="Salzburg"/>
    <s v="5020"/>
    <s v="Austria"/>
    <s v="Pipps"/>
    <s v="Georg"/>
    <s v="Medium"/>
    <x v="1813"/>
  </r>
  <r>
    <n v="10419"/>
    <n v="55"/>
    <n v="139.91999999999999"/>
    <n v="2"/>
    <n v="7695.6"/>
    <d v="2020-05-17T00:00:00"/>
    <s v="Shipped"/>
    <s v="Classic Cars"/>
    <n v="132"/>
    <s v="S18_2870"/>
    <x v="18"/>
    <s v="6562-9555"/>
    <s v="Geislweg 14"/>
    <s v="Salzburg"/>
    <s v="5020"/>
    <s v="Austria"/>
    <s v="Pipps"/>
    <s v="Georg"/>
    <s v="Large"/>
    <x v="951"/>
  </r>
  <r>
    <n v="10419"/>
    <n v="35"/>
    <n v="169.34"/>
    <n v="6"/>
    <n v="5926.9"/>
    <d v="2020-05-17T00:00:00"/>
    <s v="Shipped"/>
    <s v="Classic Cars"/>
    <n v="169"/>
    <s v="S18_3232"/>
    <x v="18"/>
    <s v="6562-9555"/>
    <s v="Geislweg 14"/>
    <s v="Salzburg"/>
    <s v="5020"/>
    <s v="Austria"/>
    <s v="Pipps"/>
    <s v="Georg"/>
    <s v="Medium"/>
    <x v="1814"/>
  </r>
  <r>
    <n v="10419"/>
    <n v="43"/>
    <n v="129.97999999999999"/>
    <n v="3"/>
    <n v="5589.14"/>
    <d v="2020-05-17T00:00:00"/>
    <s v="Shipped"/>
    <s v="Classic Cars"/>
    <n v="141"/>
    <s v="S18_3685"/>
    <x v="18"/>
    <s v="6562-9555"/>
    <s v="Geislweg 14"/>
    <s v="Salzburg"/>
    <s v="5020"/>
    <s v="Austria"/>
    <s v="Pipps"/>
    <s v="Georg"/>
    <s v="Medium"/>
    <x v="1815"/>
  </r>
  <r>
    <n v="10419"/>
    <n v="15"/>
    <n v="42.67"/>
    <n v="7"/>
    <n v="640.04999999999995"/>
    <d v="2020-05-17T00:00:00"/>
    <s v="Shipped"/>
    <s v="Classic Cars"/>
    <n v="37"/>
    <s v="S24_2972"/>
    <x v="18"/>
    <s v="6562-9555"/>
    <s v="Geislweg 14"/>
    <s v="Salzburg"/>
    <s v="5020"/>
    <s v="Austria"/>
    <s v="Pipps"/>
    <s v="Georg"/>
    <s v="Small"/>
    <x v="800"/>
  </r>
  <r>
    <n v="10419"/>
    <n v="55"/>
    <n v="52.66"/>
    <n v="12"/>
    <n v="2896.3"/>
    <d v="2020-05-17T00:00:00"/>
    <s v="Shipped"/>
    <s v="Classic Cars"/>
    <n v="61"/>
    <s v="S24_3371"/>
    <x v="18"/>
    <s v="6562-9555"/>
    <s v="Geislweg 14"/>
    <s v="Salzburg"/>
    <s v="5020"/>
    <s v="Austria"/>
    <s v="Pipps"/>
    <s v="Georg"/>
    <s v="Small"/>
    <x v="292"/>
  </r>
  <r>
    <n v="10419"/>
    <n v="70"/>
    <n v="132"/>
    <n v="8"/>
    <n v="9240"/>
    <d v="2020-05-17T00:00:00"/>
    <s v="Shipped"/>
    <s v="Classic Cars"/>
    <n v="140"/>
    <s v="S24_3856"/>
    <x v="18"/>
    <s v="6562-9555"/>
    <s v="Geislweg 14"/>
    <s v="Salzburg"/>
    <s v="5020"/>
    <s v="Austria"/>
    <s v="Pipps"/>
    <s v="Georg"/>
    <s v="Large"/>
    <x v="1706"/>
  </r>
  <r>
    <n v="10420"/>
    <n v="37"/>
    <n v="142.80000000000001"/>
    <n v="5"/>
    <n v="5283.6"/>
    <d v="2020-05-29T00:00:00"/>
    <s v="In Process"/>
    <s v="Vintage Cars"/>
    <n v="170"/>
    <s v="S18_1749"/>
    <x v="31"/>
    <s v="+61 2 9495 8555"/>
    <s v="Monitor Money Building, 815 Pacific Hwy"/>
    <s v="Chatswood"/>
    <s v="2067"/>
    <s v="Australia"/>
    <s v="Huxley"/>
    <s v="Adrian"/>
    <s v="Medium"/>
    <x v="905"/>
  </r>
  <r>
    <n v="10420"/>
    <n v="36"/>
    <n v="63.57"/>
    <n v="4"/>
    <n v="2288.52"/>
    <d v="2020-05-29T00:00:00"/>
    <s v="In Process"/>
    <s v="Vintage Cars"/>
    <n v="60"/>
    <s v="S18_2248"/>
    <x v="31"/>
    <s v="+61 2 9495 8555"/>
    <s v="Monitor Money Building, 815 Pacific Hwy"/>
    <s v="Chatswood"/>
    <s v="2067"/>
    <s v="Australia"/>
    <s v="Huxley"/>
    <s v="Adrian"/>
    <s v="Small"/>
    <x v="614"/>
  </r>
  <r>
    <n v="10420"/>
    <n v="45"/>
    <n v="110.6"/>
    <n v="2"/>
    <n v="4977"/>
    <d v="2020-05-29T00:00:00"/>
    <s v="In Process"/>
    <s v="Vintage Cars"/>
    <n v="127"/>
    <s v="S18_2325"/>
    <x v="31"/>
    <s v="+61 2 9495 8555"/>
    <s v="Monitor Money Building, 815 Pacific Hwy"/>
    <s v="Chatswood"/>
    <s v="2067"/>
    <s v="Australia"/>
    <s v="Huxley"/>
    <s v="Adrian"/>
    <s v="Medium"/>
    <x v="1816"/>
  </r>
  <r>
    <n v="10421"/>
    <n v="35"/>
    <n v="155.25"/>
    <n v="1"/>
    <n v="5433.75"/>
    <d v="2020-05-29T00:00:00"/>
    <s v="In Process"/>
    <s v="Vintage Cars"/>
    <n v="168"/>
    <s v="S18_2795"/>
    <x v="12"/>
    <s v="4155551450"/>
    <s v="5677 Strong St."/>
    <s v="San Rafael"/>
    <s v="97562"/>
    <s v="USA"/>
    <s v="Nelson"/>
    <s v="Valarie"/>
    <s v="Medium"/>
    <x v="830"/>
  </r>
  <r>
    <n v="10420"/>
    <n v="66"/>
    <n v="92.95"/>
    <n v="6"/>
    <n v="6134.7"/>
    <d v="2020-05-29T00:00:00"/>
    <s v="In Process"/>
    <s v="Vintage Cars"/>
    <n v="92"/>
    <s v="S18_4409"/>
    <x v="31"/>
    <s v="+61 2 9495 8555"/>
    <s v="Monitor Money Building, 815 Pacific Hwy"/>
    <s v="Chatswood"/>
    <s v="2067"/>
    <s v="Australia"/>
    <s v="Huxley"/>
    <s v="Adrian"/>
    <s v="Medium"/>
    <x v="1817"/>
  </r>
  <r>
    <n v="10420"/>
    <n v="36"/>
    <n v="57.73"/>
    <n v="7"/>
    <n v="2078.2800000000002"/>
    <d v="2020-05-29T00:00:00"/>
    <s v="In Process"/>
    <s v="Classic Cars"/>
    <n v="71"/>
    <s v="S18_4933"/>
    <x v="31"/>
    <s v="+61 2 9495 8555"/>
    <s v="Monitor Money Building, 815 Pacific Hwy"/>
    <s v="Chatswood"/>
    <s v="2067"/>
    <s v="Australia"/>
    <s v="Huxley"/>
    <s v="Adrian"/>
    <s v="Small"/>
    <x v="1818"/>
  </r>
  <r>
    <n v="10420"/>
    <n v="60"/>
    <n v="64.67"/>
    <n v="11"/>
    <n v="3880.2"/>
    <d v="2020-05-29T00:00:00"/>
    <s v="In Process"/>
    <s v="Classic Cars"/>
    <n v="73"/>
    <s v="S24_1046"/>
    <x v="31"/>
    <s v="+61 2 9495 8555"/>
    <s v="Monitor Money Building, 815 Pacific Hwy"/>
    <s v="Chatswood"/>
    <s v="2067"/>
    <s v="Australia"/>
    <s v="Huxley"/>
    <s v="Adrian"/>
    <s v="Medium"/>
    <x v="1657"/>
  </r>
  <r>
    <n v="10420"/>
    <n v="37"/>
    <n v="60.37"/>
    <n v="13"/>
    <n v="2233.69"/>
    <d v="2020-05-29T00:00:00"/>
    <s v="In Process"/>
    <s v="Classic Cars"/>
    <n v="50"/>
    <s v="S24_1628"/>
    <x v="31"/>
    <s v="+61 2 9495 8555"/>
    <s v="Monitor Money Building, 815 Pacific Hwy"/>
    <s v="Chatswood"/>
    <s v="2067"/>
    <s v="Australia"/>
    <s v="Huxley"/>
    <s v="Adrian"/>
    <s v="Small"/>
    <x v="1819"/>
  </r>
  <r>
    <n v="10420"/>
    <n v="45"/>
    <n v="26.88"/>
    <n v="1"/>
    <n v="1209.5999999999999"/>
    <d v="2020-05-29T00:00:00"/>
    <s v="In Process"/>
    <s v="Vintage Cars"/>
    <n v="33"/>
    <s v="S24_1937"/>
    <x v="31"/>
    <s v="+61 2 9495 8555"/>
    <s v="Monitor Money Building, 815 Pacific Hwy"/>
    <s v="Chatswood"/>
    <s v="2067"/>
    <s v="Australia"/>
    <s v="Huxley"/>
    <s v="Adrian"/>
    <s v="Small"/>
    <x v="1820"/>
  </r>
  <r>
    <n v="10421"/>
    <n v="40"/>
    <n v="45.7"/>
    <n v="2"/>
    <n v="1828"/>
    <d v="2020-05-29T00:00:00"/>
    <s v="In Process"/>
    <s v="Vintage Cars"/>
    <n v="44"/>
    <s v="S24_2022"/>
    <x v="12"/>
    <s v="4155551450"/>
    <s v="5677 Strong St."/>
    <s v="San Rafael"/>
    <s v="97562"/>
    <s v="USA"/>
    <s v="Nelson"/>
    <s v="Valarie"/>
    <s v="Small"/>
    <x v="1376"/>
  </r>
  <r>
    <n v="10420"/>
    <n v="39"/>
    <n v="100.87"/>
    <n v="9"/>
    <n v="3933.93"/>
    <d v="2020-05-29T00:00:00"/>
    <s v="In Process"/>
    <s v="Classic Cars"/>
    <n v="90"/>
    <s v="S24_2766"/>
    <x v="31"/>
    <s v="+61 2 9495 8555"/>
    <s v="Monitor Money Building, 815 Pacific Hwy"/>
    <s v="Chatswood"/>
    <s v="2067"/>
    <s v="Australia"/>
    <s v="Huxley"/>
    <s v="Adrian"/>
    <s v="Medium"/>
    <x v="724"/>
  </r>
  <r>
    <n v="10420"/>
    <n v="55"/>
    <n v="96.3"/>
    <n v="8"/>
    <n v="5296.5"/>
    <d v="2020-05-29T00:00:00"/>
    <s v="In Process"/>
    <s v="Classic Cars"/>
    <n v="117"/>
    <s v="S24_2887"/>
    <x v="31"/>
    <s v="+61 2 9495 8555"/>
    <s v="Monitor Money Building, 815 Pacific Hwy"/>
    <s v="Chatswood"/>
    <s v="2067"/>
    <s v="Australia"/>
    <s v="Huxley"/>
    <s v="Adrian"/>
    <s v="Medium"/>
    <x v="1821"/>
  </r>
  <r>
    <n v="10420"/>
    <n v="35"/>
    <n v="96.74"/>
    <n v="10"/>
    <n v="3385.9"/>
    <d v="2020-05-29T00:00:00"/>
    <s v="In Process"/>
    <s v="Classic Cars"/>
    <n v="85"/>
    <s v="S24_3191"/>
    <x v="31"/>
    <s v="+61 2 9495 8555"/>
    <s v="Monitor Money Building, 815 Pacific Hwy"/>
    <s v="Chatswood"/>
    <s v="2067"/>
    <s v="Australia"/>
    <s v="Huxley"/>
    <s v="Adrian"/>
    <s v="Medium"/>
    <x v="1796"/>
  </r>
  <r>
    <n v="10420"/>
    <n v="26"/>
    <n v="100.66"/>
    <n v="12"/>
    <n v="2617.16"/>
    <d v="2020-05-29T00:00:00"/>
    <s v="In Process"/>
    <s v="Classic Cars"/>
    <n v="107"/>
    <s v="S24_3432"/>
    <x v="31"/>
    <s v="+61 2 9495 8555"/>
    <s v="Monitor Money Building, 815 Pacific Hwy"/>
    <s v="Chatswood"/>
    <s v="2067"/>
    <s v="Australia"/>
    <s v="Huxley"/>
    <s v="Adrian"/>
    <s v="Small"/>
    <x v="1822"/>
  </r>
  <r>
    <n v="10420"/>
    <n v="15"/>
    <n v="43.49"/>
    <n v="3"/>
    <n v="652.35"/>
    <d v="2020-05-29T00:00:00"/>
    <s v="In Process"/>
    <s v="Vintage Cars"/>
    <n v="41"/>
    <s v="S24_3969"/>
    <x v="31"/>
    <s v="+61 2 9495 8555"/>
    <s v="Monitor Money Building, 815 Pacific Hwy"/>
    <s v="Chatswood"/>
    <s v="2067"/>
    <s v="Australia"/>
    <s v="Huxley"/>
    <s v="Adrian"/>
    <s v="Small"/>
    <x v="710"/>
  </r>
  <r>
    <n v="10422"/>
    <n v="51"/>
    <n v="95.55"/>
    <n v="2"/>
    <n v="4873.05"/>
    <d v="2020-05-30T00:00:00"/>
    <s v="In Process"/>
    <s v="Vintage Cars"/>
    <n v="102"/>
    <s v="S18_1342"/>
    <x v="83"/>
    <s v="2155551555"/>
    <s v="7586 Pompton St."/>
    <s v="Allentown"/>
    <s v="70267"/>
    <s v="USA"/>
    <s v="Yu"/>
    <s v="Kyung"/>
    <s v="Medium"/>
    <x v="1823"/>
  </r>
  <r>
    <n v="10422"/>
    <n v="25"/>
    <n v="51.75"/>
    <n v="1"/>
    <n v="1293.75"/>
    <d v="2020-05-30T00:00:00"/>
    <s v="In Process"/>
    <s v="Vintage Cars"/>
    <n v="53"/>
    <s v="S18_1367"/>
    <x v="83"/>
    <s v="2155551555"/>
    <s v="7586 Pompton St."/>
    <s v="Allentown"/>
    <s v="70267"/>
    <s v="USA"/>
    <s v="Yu"/>
    <s v="Kyung"/>
    <s v="Small"/>
    <x v="1207"/>
  </r>
  <r>
    <n v="10423"/>
    <n v="10"/>
    <n v="88.14"/>
    <n v="1"/>
    <n v="881.4"/>
    <d v="2020-05-30T00:00:00"/>
    <s v="In Process"/>
    <s v="Vintage Cars"/>
    <n v="101"/>
    <s v="S18_2949"/>
    <x v="71"/>
    <s v="(02) 5554 67"/>
    <s v="Rue Joseph-Bens 532"/>
    <s v="Bruxelles"/>
    <s v="B-1180"/>
    <s v="Belgium"/>
    <s v="Dewey"/>
    <s v="Catherine"/>
    <s v="Small"/>
    <x v="1824"/>
  </r>
  <r>
    <n v="10423"/>
    <n v="31"/>
    <n v="53.72"/>
    <n v="3"/>
    <n v="1665.32"/>
    <d v="2020-05-30T00:00:00"/>
    <s v="In Process"/>
    <s v="Vintage Cars"/>
    <n v="62"/>
    <s v="S18_2957"/>
    <x v="71"/>
    <s v="(02) 5554 67"/>
    <s v="Rue Joseph-Bens 532"/>
    <s v="Bruxelles"/>
    <s v="B-1180"/>
    <s v="Belgium"/>
    <s v="Dewey"/>
    <s v="Catherine"/>
    <s v="Small"/>
    <x v="819"/>
  </r>
  <r>
    <n v="10423"/>
    <n v="21"/>
    <n v="84.82"/>
    <n v="2"/>
    <n v="1781.22"/>
    <d v="2020-05-30T00:00:00"/>
    <s v="In Process"/>
    <s v="Vintage Cars"/>
    <n v="104"/>
    <s v="S18_3136"/>
    <x v="71"/>
    <s v="(02) 5554 67"/>
    <s v="Rue Joseph-Bens 532"/>
    <s v="Bruxelles"/>
    <s v="B-1180"/>
    <s v="Belgium"/>
    <s v="Dewey"/>
    <s v="Catherine"/>
    <s v="Small"/>
    <x v="639"/>
  </r>
  <r>
    <n v="10423"/>
    <n v="21"/>
    <n v="89.29"/>
    <n v="5"/>
    <n v="1875.09"/>
    <d v="2020-05-30T00:00:00"/>
    <s v="In Process"/>
    <s v="Vintage Cars"/>
    <n v="99"/>
    <s v="S18_3320"/>
    <x v="71"/>
    <s v="(02) 5554 67"/>
    <s v="Rue Joseph-Bens 532"/>
    <s v="Bruxelles"/>
    <s v="B-1180"/>
    <s v="Belgium"/>
    <s v="Dewey"/>
    <s v="Catherine"/>
    <s v="Small"/>
    <x v="79"/>
  </r>
  <r>
    <n v="10423"/>
    <n v="28"/>
    <n v="78.89"/>
    <n v="4"/>
    <n v="2208.92"/>
    <d v="2020-05-30T00:00:00"/>
    <s v="In Process"/>
    <s v="Vintage Cars"/>
    <n v="97"/>
    <s v="S24_4258"/>
    <x v="71"/>
    <s v="(02) 5554 67"/>
    <s v="Rue Joseph-Bens 532"/>
    <s v="Bruxelles"/>
    <s v="B-1180"/>
    <s v="Belgium"/>
    <s v="Dewey"/>
    <s v="Catherine"/>
    <s v="Small"/>
    <x v="1825"/>
  </r>
  <r>
    <n v="10424"/>
    <n v="50"/>
    <n v="240.02"/>
    <n v="6"/>
    <n v="12001"/>
    <d v="2020-05-31T00:00:00"/>
    <s v="In Process"/>
    <s v="Classic Cars"/>
    <n v="214"/>
    <s v="S10_1949"/>
    <x v="4"/>
    <s v="(91) 555 94 44"/>
    <s v="C/ Moralzarzal, 86"/>
    <s v="Madrid"/>
    <s v="28034"/>
    <s v="Spain"/>
    <s v="Freyre"/>
    <s v="Diego"/>
    <s v="Large"/>
    <x v="1826"/>
  </r>
  <r>
    <n v="10425"/>
    <n v="38"/>
    <n v="155.13"/>
    <n v="12"/>
    <n v="5894.94"/>
    <d v="2020-05-31T00:00:00"/>
    <s v="In Process"/>
    <s v="Classic Cars"/>
    <n v="147"/>
    <s v="S10_4962"/>
    <x v="84"/>
    <s v="40.67.8555"/>
    <s v="67, rue des Cinquante Otages"/>
    <s v="Nantes"/>
    <s v="44000"/>
    <s v="France"/>
    <s v="Labrune"/>
    <s v="Janine"/>
    <s v="Medium"/>
    <x v="1764"/>
  </r>
  <r>
    <n v="10424"/>
    <n v="49"/>
    <n v="162.63999999999999"/>
    <n v="3"/>
    <n v="7969.36"/>
    <d v="2020-05-31T00:00:00"/>
    <s v="In Process"/>
    <s v="Trucks and Buses"/>
    <n v="136"/>
    <s v="S12_1666"/>
    <x v="4"/>
    <s v="(91) 555 94 44"/>
    <s v="C/ Moralzarzal, 86"/>
    <s v="Madrid"/>
    <s v="28034"/>
    <s v="Spain"/>
    <s v="Freyre"/>
    <s v="Diego"/>
    <s v="Large"/>
    <x v="1790"/>
  </r>
  <r>
    <n v="10425"/>
    <n v="33"/>
    <n v="142.19999999999999"/>
    <n v="4"/>
    <n v="4692.6000000000004"/>
    <d v="2020-05-31T00:00:00"/>
    <s v="In Process"/>
    <s v="Trucks and Buses"/>
    <n v="118"/>
    <s v="S12_4473"/>
    <x v="84"/>
    <s v="40.67.8555"/>
    <s v="67, rue des Cinquante Otages"/>
    <s v="Nantes"/>
    <s v="44000"/>
    <s v="France"/>
    <s v="Labrune"/>
    <s v="Janine"/>
    <s v="Medium"/>
    <x v="1163"/>
  </r>
  <r>
    <n v="10424"/>
    <n v="54"/>
    <n v="133"/>
    <n v="5"/>
    <n v="7182"/>
    <d v="2020-05-31T00:00:00"/>
    <s v="In Process"/>
    <s v="Trucks and Buses"/>
    <n v="116"/>
    <s v="S18_1097"/>
    <x v="4"/>
    <s v="(91) 555 94 44"/>
    <s v="C/ Moralzarzal, 86"/>
    <s v="Madrid"/>
    <s v="28034"/>
    <s v="Spain"/>
    <s v="Freyre"/>
    <s v="Diego"/>
    <s v="Large"/>
    <x v="1691"/>
  </r>
  <r>
    <n v="10425"/>
    <n v="28"/>
    <n v="189.93"/>
    <n v="3"/>
    <n v="5318.04"/>
    <d v="2020-05-31T00:00:00"/>
    <s v="In Process"/>
    <s v="Classic Cars"/>
    <n v="163"/>
    <s v="S18_2238"/>
    <x v="84"/>
    <s v="40.67.8555"/>
    <s v="67, rue des Cinquante Otages"/>
    <s v="Nantes"/>
    <s v="44000"/>
    <s v="France"/>
    <s v="Labrune"/>
    <s v="Janine"/>
    <s v="Medium"/>
    <x v="1065"/>
  </r>
  <r>
    <n v="10425"/>
    <n v="38"/>
    <n v="99.41"/>
    <n v="7"/>
    <n v="3777.58"/>
    <d v="2020-05-31T00:00:00"/>
    <s v="In Process"/>
    <s v="Trucks and Buses"/>
    <n v="122"/>
    <s v="S18_2319"/>
    <x v="84"/>
    <s v="40.67.8555"/>
    <s v="67, rue des Cinquante Otages"/>
    <s v="Nantes"/>
    <s v="44000"/>
    <s v="France"/>
    <s v="Labrune"/>
    <s v="Janine"/>
    <s v="Medium"/>
    <x v="362"/>
  </r>
  <r>
    <n v="10425"/>
    <n v="19"/>
    <n v="49.22"/>
    <n v="10"/>
    <n v="935.18"/>
    <d v="2020-05-31T00:00:00"/>
    <s v="In Process"/>
    <s v="Trucks and Buses"/>
    <n v="60"/>
    <s v="S18_2432"/>
    <x v="84"/>
    <s v="40.67.8555"/>
    <s v="67, rue des Cinquante Otages"/>
    <s v="Nantes"/>
    <s v="44000"/>
    <s v="France"/>
    <s v="Labrune"/>
    <s v="Janine"/>
    <s v="Small"/>
    <x v="969"/>
  </r>
  <r>
    <n v="10425"/>
    <n v="28"/>
    <n v="135.47"/>
    <n v="8"/>
    <n v="3793.16"/>
    <d v="2020-05-31T00:00:00"/>
    <s v="In Process"/>
    <s v="Classic Cars"/>
    <n v="169"/>
    <s v="S18_3232"/>
    <x v="84"/>
    <s v="40.67.8555"/>
    <s v="67, rue des Cinquante Otages"/>
    <s v="Nantes"/>
    <s v="44000"/>
    <s v="France"/>
    <s v="Labrune"/>
    <s v="Janine"/>
    <s v="Medium"/>
    <x v="1827"/>
  </r>
  <r>
    <n v="10425"/>
    <n v="38"/>
    <n v="113.82"/>
    <n v="13"/>
    <n v="4325.16"/>
    <d v="2020-05-31T00:00:00"/>
    <s v="In Process"/>
    <s v="Trucks and Buses"/>
    <n v="121"/>
    <s v="S18_4600"/>
    <x v="84"/>
    <s v="40.67.8555"/>
    <s v="67, rue des Cinquante Otages"/>
    <s v="Nantes"/>
    <s v="44000"/>
    <s v="France"/>
    <s v="Labrune"/>
    <s v="Janine"/>
    <s v="Medium"/>
    <x v="938"/>
  </r>
  <r>
    <n v="10424"/>
    <n v="26"/>
    <n v="59.87"/>
    <n v="4"/>
    <n v="1556.62"/>
    <d v="2020-05-31T00:00:00"/>
    <s v="In Process"/>
    <s v="Vintage Cars"/>
    <n v="50"/>
    <s v="S18_4668"/>
    <x v="4"/>
    <s v="(91) 555 94 44"/>
    <s v="C/ Moralzarzal, 86"/>
    <s v="Madrid"/>
    <s v="28034"/>
    <s v="Spain"/>
    <s v="Freyre"/>
    <s v="Diego"/>
    <s v="Small"/>
    <x v="1828"/>
  </r>
  <r>
    <n v="10425"/>
    <n v="55"/>
    <n v="46.82"/>
    <n v="1"/>
    <n v="2575.1"/>
    <d v="2020-05-31T00:00:00"/>
    <s v="In Process"/>
    <s v="Classic Cars"/>
    <n v="57"/>
    <s v="S24_1444"/>
    <x v="84"/>
    <s v="40.67.8555"/>
    <s v="67, rue des Cinquante Otages"/>
    <s v="Nantes"/>
    <s v="44000"/>
    <s v="France"/>
    <s v="Labrune"/>
    <s v="Janine"/>
    <s v="Small"/>
    <x v="133"/>
  </r>
  <r>
    <n v="10425"/>
    <n v="49"/>
    <n v="112.46"/>
    <n v="9"/>
    <n v="5510.54"/>
    <d v="2020-05-31T00:00:00"/>
    <s v="In Process"/>
    <s v="Trucks and Buses"/>
    <n v="127"/>
    <s v="S24_2300"/>
    <x v="84"/>
    <s v="40.67.8555"/>
    <s v="67, rue des Cinquante Otages"/>
    <s v="Nantes"/>
    <s v="44000"/>
    <s v="France"/>
    <s v="Labrune"/>
    <s v="Janine"/>
    <s v="Medium"/>
    <x v="1829"/>
  </r>
  <r>
    <n v="10425"/>
    <n v="31"/>
    <n v="33.24"/>
    <n v="5"/>
    <n v="1030.44"/>
    <d v="2020-05-31T00:00:00"/>
    <s v="In Process"/>
    <s v="Classic Cars"/>
    <n v="35"/>
    <s v="S24_2840"/>
    <x v="84"/>
    <s v="40.67.8555"/>
    <s v="67, rue des Cinquante Otages"/>
    <s v="Nantes"/>
    <s v="44000"/>
    <s v="France"/>
    <s v="Labrune"/>
    <s v="Janine"/>
    <s v="Small"/>
    <x v="384"/>
  </r>
  <r>
    <n v="10425"/>
    <n v="41"/>
    <n v="86.68"/>
    <n v="11"/>
    <n v="3553.88"/>
    <d v="2020-05-31T00:00:00"/>
    <s v="In Process"/>
    <s v="Trucks and Buses"/>
    <n v="96"/>
    <s v="S32_1268"/>
    <x v="84"/>
    <s v="40.67.8555"/>
    <s v="67, rue des Cinquante Otages"/>
    <s v="Nantes"/>
    <s v="44000"/>
    <s v="France"/>
    <s v="Labrune"/>
    <s v="Janine"/>
    <s v="Medium"/>
    <x v="1830"/>
  </r>
  <r>
    <n v="10425"/>
    <n v="11"/>
    <n v="43.83"/>
    <n v="6"/>
    <n v="482.13"/>
    <d v="2020-05-31T00:00:00"/>
    <s v="In Process"/>
    <s v="Trucks and Buses"/>
    <n v="54"/>
    <s v="S32_2509"/>
    <x v="84"/>
    <s v="40.67.8555"/>
    <s v="67, rue des Cinquante Otages"/>
    <s v="Nantes"/>
    <s v="44000"/>
    <s v="France"/>
    <s v="Labrune"/>
    <s v="Janine"/>
    <s v="Small"/>
    <x v="169"/>
  </r>
  <r>
    <n v="10424"/>
    <n v="44"/>
    <n v="61.41"/>
    <n v="2"/>
    <n v="2702.04"/>
    <d v="2020-05-31T00:00:00"/>
    <s v="In Process"/>
    <s v="Trucks and Buses"/>
    <n v="64"/>
    <s v="S32_3522"/>
    <x v="4"/>
    <s v="(91) 555 94 44"/>
    <s v="C/ Moralzarzal, 86"/>
    <s v="Madrid"/>
    <s v="28034"/>
    <s v="Spain"/>
    <s v="Freyre"/>
    <s v="Diego"/>
    <s v="Small"/>
    <x v="1046"/>
  </r>
  <r>
    <n v="10425"/>
    <n v="18"/>
    <n v="105.33"/>
    <n v="2"/>
    <n v="1895.94"/>
    <d v="2020-05-31T00:00:00"/>
    <s v="In Process"/>
    <s v="Trucks and Buses"/>
    <n v="115"/>
    <s v="S50_1392"/>
    <x v="84"/>
    <s v="40.67.8555"/>
    <s v="67, rue des Cinquante Otages"/>
    <s v="Nantes"/>
    <s v="44000"/>
    <s v="France"/>
    <s v="Labrune"/>
    <s v="Janine"/>
    <s v="Small"/>
    <x v="1696"/>
  </r>
  <r>
    <n v="10424"/>
    <n v="46"/>
    <n v="80.92"/>
    <n v="1"/>
    <n v="3722.32"/>
    <d v="2020-05-31T00:00:00"/>
    <s v="In Process"/>
    <s v="Classic Cars"/>
    <n v="101"/>
    <s v="S700_2824"/>
    <x v="4"/>
    <s v="(91) 555 94 44"/>
    <s v="C/ Moralzarzal, 86"/>
    <s v="Madrid"/>
    <s v="28034"/>
    <s v="Spain"/>
    <s v="Freyre"/>
    <s v="Diego"/>
    <s v="Medium"/>
    <x v="18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8E986-D8A3-462D-8334-8C3786AE8BE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_NAME">
  <location ref="AF1:AH91" firstHeaderRow="0" firstDataRow="1" firstDataCol="1"/>
  <pivotFields count="20">
    <pivotField dataField="1"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axis="axisRow" showAll="0" sortType="descending">
      <items count="90">
        <item x="30"/>
        <item x="86"/>
        <item x="37"/>
        <item x="22"/>
        <item x="59"/>
        <item x="19"/>
        <item x="40"/>
        <item x="68"/>
        <item x="67"/>
        <item x="28"/>
        <item x="10"/>
        <item x="3"/>
        <item x="88"/>
        <item x="1"/>
        <item x="41"/>
        <item x="52"/>
        <item x="74"/>
        <item x="64"/>
        <item x="55"/>
        <item x="14"/>
        <item x="70"/>
        <item x="72"/>
        <item x="36"/>
        <item x="24"/>
        <item x="8"/>
        <item x="53"/>
        <item x="5"/>
        <item x="83"/>
        <item x="65"/>
        <item x="56"/>
        <item x="16"/>
        <item x="17"/>
        <item x="4"/>
        <item x="47"/>
        <item x="50"/>
        <item x="27"/>
        <item x="82"/>
        <item x="75"/>
        <item x="69"/>
        <item x="45"/>
        <item x="54"/>
        <item x="57"/>
        <item x="13"/>
        <item x="84"/>
        <item x="7"/>
        <item x="51"/>
        <item x="29"/>
        <item x="21"/>
        <item x="87"/>
        <item x="79"/>
        <item x="46"/>
        <item x="78"/>
        <item x="61"/>
        <item x="34"/>
        <item x="12"/>
        <item x="9"/>
        <item x="25"/>
        <item x="42"/>
        <item x="0"/>
        <item x="85"/>
        <item x="66"/>
        <item x="39"/>
        <item x="71"/>
        <item x="49"/>
        <item x="20"/>
        <item x="6"/>
        <item x="77"/>
        <item x="15"/>
        <item x="18"/>
        <item x="60"/>
        <item x="48"/>
        <item x="38"/>
        <item x="23"/>
        <item x="31"/>
        <item x="26"/>
        <item x="33"/>
        <item x="62"/>
        <item x="32"/>
        <item x="76"/>
        <item x="80"/>
        <item x="81"/>
        <item x="58"/>
        <item x="43"/>
        <item x="35"/>
        <item x="44"/>
        <item x="73"/>
        <item x="2"/>
        <item x="11"/>
        <item x="6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33">
        <item x="1804"/>
        <item x="1826"/>
        <item x="1763"/>
        <item x="1781"/>
        <item x="1805"/>
        <item x="1712"/>
        <item x="1806"/>
        <item x="1761"/>
        <item x="1729"/>
        <item x="1668"/>
        <item x="1793"/>
        <item x="1764"/>
        <item x="1713"/>
        <item x="1640"/>
        <item x="1750"/>
        <item x="1714"/>
        <item x="1601"/>
        <item x="1808"/>
        <item x="1665"/>
        <item x="1738"/>
        <item x="1531"/>
        <item x="1666"/>
        <item x="1476"/>
        <item x="1585"/>
        <item x="1790"/>
        <item x="1424"/>
        <item x="1552"/>
        <item x="1730"/>
        <item x="1602"/>
        <item x="1610"/>
        <item x="1350"/>
        <item x="1438"/>
        <item x="1782"/>
        <item x="1308"/>
        <item x="1715"/>
        <item x="1383"/>
        <item x="1807"/>
        <item x="1739"/>
        <item x="1317"/>
        <item x="1425"/>
        <item x="1641"/>
        <item x="1521"/>
        <item x="1597"/>
        <item x="1477"/>
        <item x="1236"/>
        <item x="1351"/>
        <item x="1563"/>
        <item x="1791"/>
        <item x="1426"/>
        <item x="1269"/>
        <item x="1511"/>
        <item x="1306"/>
        <item x="1809"/>
        <item x="1614"/>
        <item x="1352"/>
        <item x="1452"/>
        <item x="1162"/>
        <item x="1412"/>
        <item x="1201"/>
        <item x="1553"/>
        <item x="1309"/>
        <item x="1716"/>
        <item x="1501"/>
        <item x="1237"/>
        <item x="1333"/>
        <item x="1104"/>
        <item x="1792"/>
        <item x="1439"/>
        <item x="1642"/>
        <item x="1130"/>
        <item x="1532"/>
        <item x="1810"/>
        <item x="1392"/>
        <item x="1669"/>
        <item x="1238"/>
        <item x="1478"/>
        <item x="1325"/>
        <item x="1163"/>
        <item x="1291"/>
        <item x="1429"/>
        <item x="1505"/>
        <item x="1076"/>
        <item x="1055"/>
        <item x="1611"/>
        <item x="1365"/>
        <item x="1211"/>
        <item x="1653"/>
        <item x="1105"/>
        <item x="1453"/>
        <item x="1785"/>
        <item x="1554"/>
        <item x="1270"/>
        <item x="1413"/>
        <item x="1672"/>
        <item x="1393"/>
        <item x="1811"/>
        <item x="1334"/>
        <item x="1106"/>
        <item x="1206"/>
        <item x="1148"/>
        <item x="1691"/>
        <item x="1440"/>
        <item x="1018"/>
        <item x="986"/>
        <item x="1533"/>
        <item x="1717"/>
        <item x="1056"/>
        <item x="1394"/>
        <item x="1479"/>
        <item x="1586"/>
        <item x="1770"/>
        <item x="1654"/>
        <item x="1318"/>
        <item x="1430"/>
        <item x="1131"/>
        <item x="1783"/>
        <item x="1088"/>
        <item x="1506"/>
        <item x="1057"/>
        <item x="1176"/>
        <item x="1812"/>
        <item x="1353"/>
        <item x="1212"/>
        <item x="918"/>
        <item x="1454"/>
        <item x="1692"/>
        <item x="1823"/>
        <item x="1271"/>
        <item x="950"/>
        <item x="1310"/>
        <item x="1077"/>
        <item x="1598"/>
        <item x="1395"/>
        <item x="1480"/>
        <item x="1113"/>
        <item x="1335"/>
        <item x="1035"/>
        <item x="1207"/>
        <item x="1431"/>
        <item x="1137"/>
        <item x="987"/>
        <item x="1731"/>
        <item x="854"/>
        <item x="1507"/>
        <item x="1239"/>
        <item x="1366"/>
        <item x="883"/>
        <item x="919"/>
        <item x="1455"/>
        <item x="1064"/>
        <item x="1019"/>
        <item x="1285"/>
        <item x="1132"/>
        <item x="1534"/>
        <item x="1396"/>
        <item x="1721"/>
        <item x="1177"/>
        <item x="1615"/>
        <item x="1587"/>
        <item x="1336"/>
        <item x="920"/>
        <item x="1213"/>
        <item x="1432"/>
        <item x="1643"/>
        <item x="1732"/>
        <item x="840"/>
        <item x="1773"/>
        <item x="1078"/>
        <item x="705"/>
        <item x="1367"/>
        <item x="623"/>
        <item x="905"/>
        <item x="1107"/>
        <item x="811"/>
        <item x="994"/>
        <item x="1138"/>
        <item x="1683"/>
        <item x="954"/>
        <item x="1733"/>
        <item x="1535"/>
        <item x="529"/>
        <item x="841"/>
        <item x="1397"/>
        <item x="1178"/>
        <item x="1481"/>
        <item x="1625"/>
        <item x="1588"/>
        <item x="668"/>
        <item x="1326"/>
        <item x="1214"/>
        <item x="582"/>
        <item x="1020"/>
        <item x="1644"/>
        <item x="1751"/>
        <item x="1743"/>
        <item x="1250"/>
        <item x="890"/>
        <item x="706"/>
        <item x="1114"/>
        <item x="484"/>
        <item x="1368"/>
        <item x="624"/>
        <item x="931"/>
        <item x="968"/>
        <item x="1139"/>
        <item x="1441"/>
        <item x="1645"/>
        <item x="1272"/>
        <item x="1676"/>
        <item x="530"/>
        <item x="1536"/>
        <item x="1813"/>
        <item x="1703"/>
        <item x="707"/>
        <item x="1179"/>
        <item x="1384"/>
        <item x="1771"/>
        <item x="625"/>
        <item x="1582"/>
        <item x="361"/>
        <item x="1208"/>
        <item x="1065"/>
        <item x="1026"/>
        <item x="1555"/>
        <item x="988"/>
        <item x="767"/>
        <item x="531"/>
        <item x="855"/>
        <item x="1629"/>
        <item x="1251"/>
        <item x="1115"/>
        <item x="1658"/>
        <item x="679"/>
        <item x="818"/>
        <item x="1369"/>
        <item x="614"/>
        <item x="1786"/>
        <item x="1140"/>
        <item x="1556"/>
        <item x="1677"/>
        <item x="1273"/>
        <item x="751"/>
        <item x="514"/>
        <item x="1187"/>
        <item x="1487"/>
        <item x="1385"/>
        <item x="889"/>
        <item x="669"/>
        <item x="362"/>
        <item x="927"/>
        <item x="583"/>
        <item x="280"/>
        <item x="788"/>
        <item x="314"/>
        <item x="457"/>
        <item x="1673"/>
        <item x="1630"/>
        <item x="1537"/>
        <item x="1079"/>
        <item x="716"/>
        <item x="487"/>
        <item x="1252"/>
        <item x="1116"/>
        <item x="636"/>
        <item x="363"/>
        <item x="1816"/>
        <item x="1319"/>
        <item x="1569"/>
        <item x="544"/>
        <item x="1133"/>
        <item x="1674"/>
        <item x="768"/>
        <item x="856"/>
        <item x="1518"/>
        <item x="1266"/>
        <item x="1616"/>
        <item x="1188"/>
        <item x="680"/>
        <item x="1370"/>
        <item x="408"/>
        <item x="932"/>
        <item x="969"/>
        <item x="281"/>
        <item x="995"/>
        <item x="1202"/>
        <item x="1414"/>
        <item x="180"/>
        <item x="1779"/>
        <item x="220"/>
        <item x="346"/>
        <item x="1267"/>
        <item x="1488"/>
        <item x="1080"/>
        <item x="497"/>
        <item x="441"/>
        <item x="670"/>
        <item x="829"/>
        <item x="282"/>
        <item x="1649"/>
        <item x="584"/>
        <item x="1538"/>
        <item x="895"/>
        <item x="866"/>
        <item x="379"/>
        <item x="428"/>
        <item x="708"/>
        <item x="488"/>
        <item x="1698"/>
        <item x="626"/>
        <item x="1442"/>
        <item x="1294"/>
        <item x="1000"/>
        <item x="315"/>
        <item x="545"/>
        <item x="1021"/>
        <item x="955"/>
        <item x="1722"/>
        <item x="1631"/>
        <item x="769"/>
        <item x="1489"/>
        <item x="165"/>
        <item x="1371"/>
        <item x="255"/>
        <item x="1589"/>
        <item x="681"/>
        <item x="830"/>
        <item x="116"/>
        <item x="1443"/>
        <item x="72"/>
        <item x="585"/>
        <item x="1754"/>
        <item x="1734"/>
        <item x="1744"/>
        <item x="857"/>
        <item x="1260"/>
        <item x="166"/>
        <item x="331"/>
        <item x="498"/>
        <item x="1372"/>
        <item x="1117"/>
        <item x="637"/>
        <item x="1071"/>
        <item x="933"/>
        <item x="286"/>
        <item x="1003"/>
        <item x="546"/>
        <item x="1149"/>
        <item x="1550"/>
        <item x="1632"/>
        <item x="221"/>
        <item x="951"/>
        <item x="1011"/>
        <item x="151"/>
        <item x="429"/>
        <item x="1590"/>
        <item x="682"/>
        <item x="1824"/>
        <item x="1327"/>
        <item x="364"/>
        <item x="1560"/>
        <item x="10"/>
        <item x="789"/>
        <item x="316"/>
        <item x="1718"/>
        <item x="1774"/>
        <item x="867"/>
        <item x="1012"/>
        <item x="1667"/>
        <item x="1253"/>
        <item x="717"/>
        <item x="499"/>
        <item x="442"/>
        <item x="638"/>
        <item x="819"/>
        <item x="884"/>
        <item x="73"/>
        <item x="547"/>
        <item x="236"/>
        <item x="185"/>
        <item x="1274"/>
        <item x="1723"/>
        <item x="752"/>
        <item x="1189"/>
        <item x="380"/>
        <item x="430"/>
        <item x="122"/>
        <item x="1591"/>
        <item x="942"/>
        <item x="683"/>
        <item x="1048"/>
        <item x="1684"/>
        <item x="1215"/>
        <item x="1004"/>
        <item x="586"/>
        <item x="283"/>
        <item x="790"/>
        <item x="222"/>
        <item x="868"/>
        <item x="39"/>
        <item x="1612"/>
        <item x="718"/>
        <item x="500"/>
        <item x="943"/>
        <item x="443"/>
        <item x="1574"/>
        <item x="639"/>
        <item x="1066"/>
        <item x="885"/>
        <item x="138"/>
        <item x="812"/>
        <item x="548"/>
        <item x="1141"/>
        <item x="1522"/>
        <item x="1633"/>
        <item x="381"/>
        <item x="1398"/>
        <item x="332"/>
        <item x="1465"/>
        <item x="78"/>
        <item x="416"/>
        <item x="671"/>
        <item x="886"/>
        <item x="1067"/>
        <item x="11"/>
        <item x="1735"/>
        <item x="587"/>
        <item x="237"/>
        <item x="791"/>
        <item x="181"/>
        <item x="1261"/>
        <item x="1627"/>
        <item x="1482"/>
        <item x="1081"/>
        <item x="1583"/>
        <item x="719"/>
        <item x="489"/>
        <item x="444"/>
        <item x="118"/>
        <item x="640"/>
        <item x="1427"/>
        <item x="1646"/>
        <item x="1142"/>
        <item x="906"/>
        <item x="560"/>
        <item x="809"/>
        <item x="1704"/>
        <item x="869"/>
        <item x="382"/>
        <item x="40"/>
        <item x="737"/>
        <item x="1302"/>
        <item x="324"/>
        <item x="1827"/>
        <item x="476"/>
        <item x="1209"/>
        <item x="409"/>
        <item x="287"/>
        <item x="139"/>
        <item x="238"/>
        <item x="186"/>
        <item x="561"/>
        <item x="1307"/>
        <item x="1814"/>
        <item x="1082"/>
        <item x="1490"/>
        <item x="1659"/>
        <item x="1740"/>
        <item x="842"/>
        <item x="738"/>
        <item x="1229"/>
        <item x="934"/>
        <item x="449"/>
        <item x="1787"/>
        <item x="641"/>
        <item x="879"/>
        <item x="12"/>
        <item x="562"/>
        <item x="390"/>
        <item x="1240"/>
        <item x="720"/>
        <item x="1373"/>
        <item x="937"/>
        <item x="1794"/>
        <item x="642"/>
        <item x="1444"/>
        <item x="140"/>
        <item x="288"/>
        <item x="239"/>
        <item x="187"/>
        <item x="317"/>
        <item x="870"/>
        <item x="400"/>
        <item x="780"/>
        <item x="1083"/>
        <item x="1386"/>
        <item x="1655"/>
        <item x="79"/>
        <item x="477"/>
        <item x="1164"/>
        <item x="1445"/>
        <item x="26"/>
        <item x="615"/>
        <item x="792"/>
        <item x="1519"/>
        <item x="401"/>
        <item x="1010"/>
        <item x="894"/>
        <item x="1254"/>
        <item x="739"/>
        <item x="1592"/>
        <item x="515"/>
        <item x="450"/>
        <item x="1108"/>
        <item x="643"/>
        <item x="1415"/>
        <item x="301"/>
        <item x="1027"/>
        <item x="1675"/>
        <item x="563"/>
        <item x="956"/>
        <item x="188"/>
        <item x="391"/>
        <item x="458"/>
        <item x="1190"/>
        <item x="223"/>
        <item x="132"/>
        <item x="41"/>
        <item x="306"/>
        <item x="1337"/>
        <item x="644"/>
        <item x="80"/>
        <item x="1647"/>
        <item x="1564"/>
        <item x="1446"/>
        <item x="1203"/>
        <item x="549"/>
        <item x="793"/>
        <item x="1275"/>
        <item x="1628"/>
        <item x="1815"/>
        <item x="1724"/>
        <item x="1508"/>
        <item x="1058"/>
        <item x="721"/>
        <item x="944"/>
        <item x="307"/>
        <item x="459"/>
        <item x="645"/>
        <item x="1070"/>
        <item x="820"/>
        <item x="1204"/>
        <item x="1736"/>
        <item x="564"/>
        <item x="1134"/>
        <item x="1678"/>
        <item x="957"/>
        <item x="189"/>
        <item x="753"/>
        <item x="1772"/>
        <item x="347"/>
        <item x="445"/>
        <item x="303"/>
        <item x="1216"/>
        <item x="81"/>
        <item x="880"/>
        <item x="119"/>
        <item x="27"/>
        <item x="588"/>
        <item x="1502"/>
        <item x="794"/>
        <item x="984"/>
        <item x="383"/>
        <item x="1072"/>
        <item x="224"/>
        <item x="1617"/>
        <item x="740"/>
        <item x="1447"/>
        <item x="501"/>
        <item x="451"/>
        <item x="1765"/>
        <item x="821"/>
        <item x="921"/>
        <item x="646"/>
        <item x="1150"/>
        <item x="1286"/>
        <item x="1399"/>
        <item x="392"/>
        <item x="1374"/>
        <item x="754"/>
        <item x="1328"/>
        <item x="1073"/>
        <item x="94"/>
        <item x="1817"/>
        <item x="264"/>
        <item x="202"/>
        <item x="1462"/>
        <item x="1217"/>
        <item x="417"/>
        <item x="1094"/>
        <item x="589"/>
        <item x="795"/>
        <item x="13"/>
        <item x="1539"/>
        <item x="1013"/>
        <item x="843"/>
        <item x="741"/>
        <item x="945"/>
        <item x="1483"/>
        <item x="502"/>
        <item x="1276"/>
        <item x="1338"/>
        <item x="647"/>
        <item x="822"/>
        <item x="1557"/>
        <item x="289"/>
        <item x="1151"/>
        <item x="565"/>
        <item x="1775"/>
        <item x="1634"/>
        <item x="1014"/>
        <item x="402"/>
        <item x="755"/>
        <item x="844"/>
        <item x="1074"/>
        <item x="1795"/>
        <item x="152"/>
        <item x="938"/>
        <item x="684"/>
        <item x="206"/>
        <item x="1456"/>
        <item x="302"/>
        <item x="1191"/>
        <item x="590"/>
        <item x="1287"/>
        <item x="100"/>
        <item x="1660"/>
        <item x="1387"/>
        <item x="1143"/>
        <item x="503"/>
        <item x="1828"/>
        <item x="1320"/>
        <item x="1784"/>
        <item x="1218"/>
        <item x="8"/>
        <item x="1118"/>
        <item x="190"/>
        <item x="403"/>
        <item x="952"/>
        <item x="1015"/>
        <item x="871"/>
        <item x="1741"/>
        <item x="1491"/>
        <item x="532"/>
        <item x="1255"/>
        <item x="709"/>
        <item x="1656"/>
        <item x="1685"/>
        <item x="325"/>
        <item x="1448"/>
        <item x="1084"/>
        <item x="1036"/>
        <item x="9"/>
        <item x="1152"/>
        <item x="1268"/>
        <item x="191"/>
        <item x="240"/>
        <item x="101"/>
        <item x="54"/>
        <item x="742"/>
        <item x="1699"/>
        <item x="1180"/>
        <item x="1818"/>
        <item x="1570"/>
        <item x="648"/>
        <item x="1433"/>
        <item x="1205"/>
        <item x="907"/>
        <item x="566"/>
        <item x="796"/>
        <item x="1520"/>
        <item x="953"/>
        <item x="1256"/>
        <item x="1028"/>
        <item x="722"/>
        <item x="1657"/>
        <item x="82"/>
        <item x="649"/>
        <item x="207"/>
        <item x="970"/>
        <item x="365"/>
        <item x="813"/>
        <item x="567"/>
        <item x="1776"/>
        <item x="1311"/>
        <item x="241"/>
        <item x="1512"/>
        <item x="1001"/>
        <item x="1257"/>
        <item x="95"/>
        <item x="743"/>
        <item x="1339"/>
        <item x="133"/>
        <item x="478"/>
        <item x="672"/>
        <item x="1693"/>
        <item x="366"/>
        <item x="814"/>
        <item x="1777"/>
        <item x="591"/>
        <item x="0"/>
        <item x="1725"/>
        <item x="1060"/>
        <item x="1192"/>
        <item x="1249"/>
        <item x="1075"/>
        <item x="744"/>
        <item x="958"/>
        <item x="485"/>
        <item x="208"/>
        <item x="673"/>
        <item x="1648"/>
        <item x="568"/>
        <item x="1679"/>
        <item x="1513"/>
        <item x="393"/>
        <item x="935"/>
        <item x="274"/>
        <item x="770"/>
        <item x="102"/>
        <item x="225"/>
        <item x="1375"/>
        <item x="1119"/>
        <item x="1463"/>
        <item x="1819"/>
        <item x="123"/>
        <item x="1219"/>
        <item x="685"/>
        <item x="410"/>
        <item x="971"/>
        <item x="616"/>
        <item x="1277"/>
        <item x="284"/>
        <item x="28"/>
        <item x="1061"/>
        <item x="1016"/>
        <item x="308"/>
        <item x="745"/>
        <item x="1340"/>
        <item x="516"/>
        <item x="1686"/>
        <item x="1766"/>
        <item x="872"/>
        <item x="1220"/>
        <item x="674"/>
        <item x="411"/>
        <item x="1068"/>
        <item x="569"/>
        <item x="901"/>
        <item x="460"/>
        <item x="103"/>
        <item x="1400"/>
        <item x="771"/>
        <item x="1700"/>
        <item x="1820"/>
        <item x="167"/>
        <item x="124"/>
        <item x="686"/>
        <item x="1457"/>
        <item x="936"/>
        <item x="1144"/>
        <item x="996"/>
        <item x="29"/>
        <item x="1062"/>
        <item x="1540"/>
        <item x="1"/>
        <item x="1485"/>
        <item x="797"/>
        <item x="309"/>
        <item x="168"/>
        <item x="1650"/>
        <item x="209"/>
        <item x="1755"/>
        <item x="1321"/>
        <item x="723"/>
        <item x="412"/>
        <item x="1780"/>
        <item x="831"/>
        <item x="1278"/>
        <item x="687"/>
        <item x="650"/>
        <item x="1492"/>
        <item x="570"/>
        <item x="858"/>
        <item x="310"/>
        <item x="348"/>
        <item x="431"/>
        <item x="203"/>
        <item x="1044"/>
        <item x="504"/>
        <item x="1153"/>
        <item x="1551"/>
        <item x="1680"/>
        <item x="4"/>
        <item x="1705"/>
        <item x="989"/>
        <item x="14"/>
        <item x="1312"/>
        <item x="1613"/>
        <item x="1593"/>
        <item x="226"/>
        <item x="55"/>
        <item x="1376"/>
        <item x="1762"/>
        <item x="939"/>
        <item x="1561"/>
        <item x="688"/>
        <item x="1029"/>
        <item x="418"/>
        <item x="1635"/>
        <item x="74"/>
        <item x="798"/>
        <item x="1089"/>
        <item x="104"/>
        <item x="859"/>
        <item x="227"/>
        <item x="311"/>
        <item x="1829"/>
        <item x="1687"/>
        <item x="333"/>
        <item x="265"/>
        <item x="505"/>
        <item x="928"/>
        <item x="651"/>
        <item x="1719"/>
        <item x="815"/>
        <item x="1523"/>
        <item x="1135"/>
        <item x="550"/>
        <item x="1401"/>
        <item x="1262"/>
        <item x="873"/>
        <item x="1085"/>
        <item x="1181"/>
        <item x="96"/>
        <item x="1788"/>
        <item x="432"/>
        <item x="1037"/>
        <item x="652"/>
        <item x="908"/>
        <item x="1636"/>
        <item x="117"/>
        <item x="799"/>
        <item x="571"/>
        <item x="1195"/>
        <item x="860"/>
        <item x="228"/>
        <item x="724"/>
        <item x="153"/>
        <item x="486"/>
        <item x="1449"/>
        <item x="653"/>
        <item x="446"/>
        <item x="1279"/>
        <item x="5"/>
        <item x="1022"/>
        <item x="1196"/>
        <item x="551"/>
        <item x="251"/>
        <item x="1618"/>
        <item x="896"/>
        <item x="1584"/>
        <item x="1467"/>
        <item x="1124"/>
        <item x="1377"/>
        <item x="725"/>
        <item x="384"/>
        <item x="1688"/>
        <item x="1221"/>
        <item x="334"/>
        <item x="972"/>
        <item x="654"/>
        <item x="1778"/>
        <item x="572"/>
        <item x="1023"/>
        <item x="15"/>
        <item x="404"/>
        <item x="242"/>
        <item x="1354"/>
        <item x="1241"/>
        <item x="726"/>
        <item x="1450"/>
        <item x="1694"/>
        <item x="447"/>
        <item x="627"/>
        <item x="1145"/>
        <item x="902"/>
        <item x="1637"/>
        <item x="1726"/>
        <item x="552"/>
        <item x="1388"/>
        <item x="141"/>
        <item x="16"/>
        <item x="1263"/>
        <item x="772"/>
        <item x="192"/>
        <item x="56"/>
        <item x="385"/>
        <item x="1303"/>
        <item x="1821"/>
        <item x="1651"/>
        <item x="1565"/>
        <item x="1428"/>
        <item x="452"/>
        <item x="1165"/>
        <item x="823"/>
        <item x="617"/>
        <item x="997"/>
        <item x="1514"/>
        <item x="290"/>
        <item x="252"/>
        <item x="959"/>
        <item x="773"/>
        <item x="1355"/>
        <item x="312"/>
        <item x="517"/>
        <item x="1689"/>
        <item x="689"/>
        <item x="125"/>
        <item x="1005"/>
        <item x="1408"/>
        <item x="1752"/>
        <item x="1745"/>
        <item x="592"/>
        <item x="800"/>
        <item x="1493"/>
        <item x="17"/>
        <item x="1619"/>
        <item x="1594"/>
        <item x="1120"/>
        <item x="746"/>
        <item x="377"/>
        <item x="506"/>
        <item x="97"/>
        <item x="42"/>
        <item x="1006"/>
        <item x="655"/>
        <item x="887"/>
        <item x="291"/>
        <item x="1389"/>
        <item x="142"/>
        <item x="1242"/>
        <item x="193"/>
        <item x="1059"/>
        <item x="229"/>
        <item x="946"/>
        <item x="1796"/>
        <item x="1652"/>
        <item x="424"/>
        <item x="304"/>
        <item x="824"/>
        <item x="1288"/>
        <item x="606"/>
        <item x="1541"/>
        <item x="30"/>
        <item x="1402"/>
        <item x="1486"/>
        <item x="756"/>
        <item x="861"/>
        <item x="349"/>
        <item x="1329"/>
        <item x="490"/>
        <item x="461"/>
        <item x="1166"/>
        <item x="1434"/>
        <item x="675"/>
        <item x="964"/>
        <item x="593"/>
        <item x="292"/>
        <item x="990"/>
        <item x="1494"/>
        <item x="194"/>
        <item x="1742"/>
        <item x="1595"/>
        <item x="757"/>
        <item x="433"/>
        <item x="1049"/>
        <item x="335"/>
        <item x="491"/>
        <item x="1109"/>
        <item x="1562"/>
        <item x="204"/>
        <item x="43"/>
        <item x="1007"/>
        <item x="676"/>
        <item x="1280"/>
        <item x="83"/>
        <item x="1313"/>
        <item x="594"/>
        <item x="1503"/>
        <item x="874"/>
        <item x="1378"/>
        <item x="1800"/>
        <item x="1822"/>
        <item x="727"/>
        <item x="266"/>
        <item x="492"/>
        <item x="922"/>
        <item x="413"/>
        <item x="628"/>
        <item x="1524"/>
        <item x="801"/>
        <item x="553"/>
        <item x="1403"/>
        <item x="195"/>
        <item x="1243"/>
        <item x="1468"/>
        <item x="336"/>
        <item x="1330"/>
        <item x="1050"/>
        <item x="940"/>
        <item x="1558"/>
        <item x="656"/>
        <item x="1146"/>
        <item x="84"/>
        <item x="1753"/>
        <item x="414"/>
        <item x="1727"/>
        <item x="573"/>
        <item x="1264"/>
        <item x="243"/>
        <item x="18"/>
        <item x="1182"/>
        <item x="728"/>
        <item x="1579"/>
        <item x="1797"/>
        <item x="1341"/>
        <item x="98"/>
        <item x="154"/>
        <item x="657"/>
        <item x="1638"/>
        <item x="479"/>
        <item x="1281"/>
        <item x="574"/>
        <item x="1197"/>
        <item x="985"/>
        <item x="1706"/>
        <item x="318"/>
        <item x="1495"/>
        <item x="758"/>
        <item x="875"/>
        <item x="947"/>
        <item x="1379"/>
        <item x="378"/>
        <item x="462"/>
        <item x="1566"/>
        <item x="210"/>
        <item x="85"/>
        <item x="595"/>
        <item x="253"/>
        <item x="1017"/>
        <item x="1525"/>
        <item x="143"/>
        <item x="394"/>
        <item x="319"/>
        <item x="1620"/>
        <item x="1125"/>
        <item x="1380"/>
        <item x="507"/>
        <item x="710"/>
        <item x="453"/>
        <item x="1230"/>
        <item x="973"/>
        <item x="881"/>
        <item x="1559"/>
        <item x="629"/>
        <item x="1030"/>
        <item x="1063"/>
        <item x="802"/>
        <item x="395"/>
        <item x="1702"/>
        <item x="1265"/>
        <item x="533"/>
        <item x="57"/>
        <item x="1580"/>
        <item x="729"/>
        <item x="425"/>
        <item x="1342"/>
        <item x="1451"/>
        <item x="1639"/>
        <item x="658"/>
        <item x="903"/>
        <item x="1542"/>
        <item x="144"/>
        <item x="1603"/>
        <item x="1198"/>
        <item x="293"/>
        <item x="1496"/>
        <item x="1086"/>
        <item x="845"/>
        <item x="105"/>
        <item x="1381"/>
        <item x="230"/>
        <item x="1825"/>
        <item x="1571"/>
        <item x="1789"/>
        <item x="1435"/>
        <item x="480"/>
        <item x="810"/>
        <item x="1095"/>
        <item x="1526"/>
        <item x="960"/>
        <item x="31"/>
        <item x="1193"/>
        <item x="1707"/>
        <item x="534"/>
        <item x="747"/>
        <item x="1469"/>
        <item x="1126"/>
        <item x="659"/>
        <item x="126"/>
        <item x="326"/>
        <item x="1416"/>
        <item x="1031"/>
        <item x="367"/>
        <item x="396"/>
        <item x="1497"/>
        <item x="1621"/>
        <item x="196"/>
        <item x="1121"/>
        <item x="891"/>
        <item x="711"/>
        <item x="44"/>
        <item x="1567"/>
        <item x="1690"/>
        <item x="630"/>
        <item x="211"/>
        <item x="1045"/>
        <item x="1154"/>
        <item x="1527"/>
        <item x="120"/>
        <item x="1199"/>
        <item x="2"/>
        <item x="535"/>
        <item x="948"/>
        <item x="1382"/>
        <item x="1464"/>
        <item x="1830"/>
        <item x="1295"/>
        <item x="212"/>
        <item x="1069"/>
        <item x="1756"/>
        <item x="368"/>
        <item x="607"/>
        <item x="475"/>
        <item x="1543"/>
        <item x="405"/>
        <item x="244"/>
        <item x="19"/>
        <item x="862"/>
        <item x="1090"/>
        <item x="748"/>
        <item x="1127"/>
        <item x="518"/>
        <item x="1231"/>
        <item x="660"/>
        <item x="305"/>
        <item x="1008"/>
        <item x="575"/>
        <item x="86"/>
        <item x="1528"/>
        <item x="876"/>
        <item x="759"/>
        <item x="20"/>
        <item x="106"/>
        <item x="1801"/>
        <item x="1122"/>
        <item x="434"/>
        <item x="1470"/>
        <item x="1296"/>
        <item x="690"/>
        <item x="369"/>
        <item x="1155"/>
        <item x="1038"/>
        <item x="596"/>
        <item x="1728"/>
        <item x="1200"/>
        <item x="1670"/>
        <item x="107"/>
        <item x="1498"/>
        <item x="134"/>
        <item x="1356"/>
        <item x="169"/>
        <item x="205"/>
        <item x="631"/>
        <item x="1757"/>
        <item x="1096"/>
        <item x="1681"/>
        <item x="803"/>
        <item x="554"/>
        <item x="406"/>
        <item x="1509"/>
        <item x="1258"/>
        <item x="1390"/>
        <item x="1128"/>
        <item x="730"/>
        <item x="337"/>
        <item x="1767"/>
        <item x="1695"/>
        <item x="419"/>
        <item x="1009"/>
        <item x="1316"/>
        <item x="285"/>
        <item x="878"/>
        <item x="1711"/>
        <item x="1194"/>
        <item x="760"/>
        <item x="1622"/>
        <item x="1575"/>
        <item x="170"/>
        <item x="213"/>
        <item x="481"/>
        <item x="1046"/>
        <item x="1458"/>
        <item x="1097"/>
        <item x="998"/>
        <item x="597"/>
        <item x="1417"/>
        <item x="32"/>
        <item x="75"/>
        <item x="108"/>
        <item x="781"/>
        <item x="1391"/>
        <item x="1123"/>
        <item x="949"/>
        <item x="508"/>
        <item x="463"/>
        <item x="1737"/>
        <item x="1322"/>
        <item x="256"/>
        <item x="691"/>
        <item x="1167"/>
        <item x="370"/>
        <item x="1682"/>
        <item x="1282"/>
        <item x="618"/>
        <item x="320"/>
        <item x="397"/>
        <item x="1499"/>
        <item x="1623"/>
        <item x="1357"/>
        <item x="171"/>
        <item x="731"/>
        <item x="1802"/>
        <item x="519"/>
        <item x="1222"/>
        <item x="420"/>
        <item x="1039"/>
        <item x="661"/>
        <item x="832"/>
        <item x="804"/>
        <item x="576"/>
        <item x="1504"/>
        <item x="109"/>
        <item x="464"/>
        <item x="1624"/>
        <item x="58"/>
        <item x="1304"/>
        <item x="1576"/>
        <item x="1701"/>
        <item x="214"/>
        <item x="662"/>
        <item x="482"/>
        <item x="909"/>
        <item x="1147"/>
        <item x="577"/>
        <item x="145"/>
        <item x="1746"/>
        <item x="863"/>
        <item x="1484"/>
        <item x="774"/>
        <item x="231"/>
        <item x="1581"/>
        <item x="1232"/>
        <item x="1803"/>
        <item x="941"/>
        <item x="465"/>
        <item x="1051"/>
        <item x="327"/>
        <item x="1002"/>
        <item x="1768"/>
        <item x="1696"/>
        <item x="1544"/>
        <item x="608"/>
        <item x="76"/>
        <item x="1129"/>
        <item x="398"/>
        <item x="1259"/>
        <item x="1358"/>
        <item x="732"/>
        <item x="350"/>
        <item x="520"/>
        <item x="454"/>
        <item x="1168"/>
        <item x="1436"/>
        <item x="663"/>
        <item x="910"/>
        <item x="6"/>
        <item x="805"/>
        <item x="578"/>
        <item x="1758"/>
        <item x="1747"/>
        <item x="110"/>
        <item x="182"/>
        <item x="1183"/>
        <item x="386"/>
        <item x="733"/>
        <item x="45"/>
        <item x="127"/>
        <item x="215"/>
        <item x="664"/>
        <item x="483"/>
        <item x="1568"/>
        <item x="1032"/>
        <item x="555"/>
        <item x="1314"/>
        <item x="245"/>
        <item x="782"/>
        <item x="1404"/>
        <item x="1244"/>
        <item x="1671"/>
        <item x="1331"/>
        <item x="466"/>
        <item x="267"/>
        <item x="1459"/>
        <item x="619"/>
        <item x="806"/>
        <item x="399"/>
        <item x="877"/>
        <item x="1604"/>
        <item x="1245"/>
        <item x="1626"/>
        <item x="734"/>
        <item x="521"/>
        <item x="338"/>
        <item x="1343"/>
        <item x="448"/>
        <item x="1169"/>
        <item x="665"/>
        <item x="87"/>
        <item x="7"/>
        <item x="294"/>
        <item x="579"/>
        <item x="1769"/>
        <item x="21"/>
        <item x="1418"/>
        <item x="467"/>
        <item x="111"/>
        <item x="775"/>
        <item x="1184"/>
        <item x="387"/>
        <item x="846"/>
        <item x="1405"/>
        <item x="1471"/>
        <item x="128"/>
        <item x="155"/>
        <item x="692"/>
        <item x="216"/>
        <item x="1323"/>
        <item x="620"/>
        <item x="882"/>
        <item x="807"/>
        <item x="1283"/>
        <item x="977"/>
        <item x="1545"/>
        <item x="897"/>
        <item x="1605"/>
        <item x="1500"/>
        <item x="735"/>
        <item x="522"/>
        <item x="1359"/>
        <item x="1110"/>
        <item x="455"/>
        <item x="666"/>
        <item x="1577"/>
        <item x="1223"/>
        <item x="257"/>
        <item x="999"/>
        <item x="1024"/>
        <item x="556"/>
        <item x="1546"/>
        <item x="197"/>
        <item x="783"/>
        <item x="1759"/>
        <item x="351"/>
        <item x="1599"/>
        <item x="1472"/>
        <item x="1052"/>
        <item x="1360"/>
        <item x="923"/>
        <item x="888"/>
        <item x="1210"/>
        <item x="295"/>
        <item x="33"/>
        <item x="808"/>
        <item x="1315"/>
        <item x="112"/>
        <item x="536"/>
        <item x="1510"/>
        <item x="59"/>
        <item x="1720"/>
        <item x="749"/>
        <item x="1600"/>
        <item x="156"/>
        <item x="456"/>
        <item x="217"/>
        <item x="1233"/>
        <item x="825"/>
        <item x="667"/>
        <item x="1460"/>
        <item x="961"/>
        <item x="580"/>
        <item x="978"/>
        <item x="468"/>
        <item x="847"/>
        <item x="761"/>
        <item x="388"/>
        <item x="352"/>
        <item x="1515"/>
        <item x="99"/>
        <item x="1246"/>
        <item x="268"/>
        <item x="693"/>
        <item x="1297"/>
        <item x="1332"/>
        <item x="1170"/>
        <item x="1033"/>
        <item x="816"/>
        <item x="598"/>
        <item x="991"/>
        <item x="1461"/>
        <item x="198"/>
        <item x="864"/>
        <item x="1831"/>
        <item x="1547"/>
        <item x="892"/>
        <item x="750"/>
        <item x="1185"/>
        <item x="509"/>
        <item x="1406"/>
        <item x="677"/>
        <item x="1344"/>
        <item x="1098"/>
        <item x="581"/>
        <item x="1437"/>
        <item x="1284"/>
        <item x="113"/>
        <item x="1529"/>
        <item x="353"/>
        <item x="1606"/>
        <item x="157"/>
        <item x="426"/>
        <item x="46"/>
        <item x="218"/>
        <item x="929"/>
        <item x="258"/>
        <item x="1111"/>
        <item x="1361"/>
        <item x="1171"/>
        <item x="1224"/>
        <item x="296"/>
        <item x="1578"/>
        <item x="962"/>
        <item x="1025"/>
        <item x="537"/>
        <item x="1409"/>
        <item x="736"/>
        <item x="826"/>
        <item x="632"/>
        <item x="88"/>
        <item x="1473"/>
        <item x="1345"/>
        <item x="557"/>
        <item x="1099"/>
        <item x="965"/>
        <item x="407"/>
        <item x="865"/>
        <item x="762"/>
        <item x="158"/>
        <item x="1516"/>
        <item x="694"/>
        <item x="269"/>
        <item x="1748"/>
        <item x="1247"/>
        <item x="328"/>
        <item x="1362"/>
        <item x="599"/>
        <item x="1661"/>
        <item x="1466"/>
        <item x="1572"/>
        <item x="199"/>
        <item x="114"/>
        <item x="898"/>
        <item x="60"/>
        <item x="1697"/>
        <item x="1530"/>
        <item x="712"/>
        <item x="493"/>
        <item x="1760"/>
        <item x="1607"/>
        <item x="1186"/>
        <item x="1053"/>
        <item x="371"/>
        <item x="1346"/>
        <item x="1298"/>
        <item x="1225"/>
        <item x="1573"/>
        <item x="992"/>
        <item x="1419"/>
        <item x="538"/>
        <item x="389"/>
        <item x="1798"/>
        <item x="313"/>
        <item x="1548"/>
        <item x="159"/>
        <item x="893"/>
        <item x="421"/>
        <item x="633"/>
        <item x="219"/>
        <item x="1708"/>
        <item x="924"/>
        <item x="1347"/>
        <item x="558"/>
        <item x="1112"/>
        <item x="246"/>
        <item x="763"/>
        <item x="979"/>
        <item x="1420"/>
        <item x="1289"/>
        <item x="47"/>
        <item x="695"/>
        <item x="89"/>
        <item x="827"/>
        <item x="930"/>
        <item x="600"/>
        <item x="1363"/>
        <item x="1299"/>
        <item x="1596"/>
        <item x="1172"/>
        <item x="275"/>
        <item x="1034"/>
        <item x="232"/>
        <item x="848"/>
        <item x="1421"/>
        <item x="510"/>
        <item x="1091"/>
        <item x="696"/>
        <item x="372"/>
        <item x="925"/>
        <item x="297"/>
        <item x="1709"/>
        <item x="321"/>
        <item x="601"/>
        <item x="1662"/>
        <item x="966"/>
        <item x="1100"/>
        <item x="1156"/>
        <item x="115"/>
        <item x="61"/>
        <item x="764"/>
        <item x="135"/>
        <item x="1799"/>
        <item x="511"/>
        <item x="422"/>
        <item x="373"/>
        <item x="678"/>
        <item x="1407"/>
        <item x="1749"/>
        <item x="1710"/>
        <item x="1474"/>
        <item x="602"/>
        <item x="1663"/>
        <item x="1040"/>
        <item x="1157"/>
        <item x="967"/>
        <item x="1324"/>
        <item x="899"/>
        <item x="993"/>
        <item x="849"/>
        <item x="1292"/>
        <item x="172"/>
        <item x="1549"/>
        <item x="427"/>
        <item x="494"/>
        <item x="1054"/>
        <item x="1475"/>
        <item x="200"/>
        <item x="276"/>
        <item x="1664"/>
        <item x="1173"/>
        <item x="233"/>
        <item x="539"/>
        <item x="900"/>
        <item x="714"/>
        <item x="329"/>
        <item x="634"/>
        <item x="298"/>
        <item x="415"/>
        <item x="34"/>
        <item x="785"/>
        <item x="559"/>
        <item x="3"/>
        <item x="1305"/>
        <item x="1041"/>
        <item x="1101"/>
        <item x="1158"/>
        <item x="980"/>
        <item x="339"/>
        <item x="1410"/>
        <item x="828"/>
        <item x="1608"/>
        <item x="1248"/>
        <item x="833"/>
        <item x="22"/>
        <item x="911"/>
        <item x="1300"/>
        <item x="62"/>
        <item x="540"/>
        <item x="765"/>
        <item x="173"/>
        <item x="129"/>
        <item x="1136"/>
        <item x="90"/>
        <item x="1092"/>
        <item x="697"/>
        <item x="1609"/>
        <item x="247"/>
        <item x="201"/>
        <item x="603"/>
        <item x="473"/>
        <item x="322"/>
        <item x="1234"/>
        <item x="1348"/>
        <item x="1174"/>
        <item x="360"/>
        <item x="776"/>
        <item x="1293"/>
        <item x="1422"/>
        <item x="512"/>
        <item x="1087"/>
        <item x="374"/>
        <item x="698"/>
        <item x="834"/>
        <item x="248"/>
        <item x="604"/>
        <item x="1364"/>
        <item x="904"/>
        <item x="1042"/>
        <item x="1226"/>
        <item x="981"/>
        <item x="850"/>
        <item x="1423"/>
        <item x="715"/>
        <item x="513"/>
        <item x="423"/>
        <item x="23"/>
        <item x="77"/>
        <item x="635"/>
        <item x="1517"/>
        <item x="912"/>
        <item x="277"/>
        <item x="1349"/>
        <item x="234"/>
        <item x="354"/>
        <item x="130"/>
        <item x="1159"/>
        <item x="91"/>
        <item x="435"/>
        <item x="976"/>
        <item x="1411"/>
        <item x="699"/>
        <item x="299"/>
        <item x="835"/>
        <item x="609"/>
        <item x="137"/>
        <item x="786"/>
        <item x="1235"/>
        <item x="1301"/>
        <item x="1160"/>
        <item x="523"/>
        <item x="330"/>
        <item x="278"/>
        <item x="913"/>
        <item x="1227"/>
        <item x="1175"/>
        <item x="174"/>
        <item x="963"/>
        <item x="340"/>
        <item x="1290"/>
        <item x="35"/>
        <item x="121"/>
        <item x="700"/>
        <item x="375"/>
        <item x="183"/>
        <item x="610"/>
        <item x="474"/>
        <item x="1043"/>
        <item x="777"/>
        <item x="1228"/>
        <item x="1102"/>
        <item x="982"/>
        <item x="495"/>
        <item x="36"/>
        <item x="249"/>
        <item x="836"/>
        <item x="926"/>
        <item x="175"/>
        <item x="1103"/>
        <item x="341"/>
        <item x="1161"/>
        <item x="436"/>
        <item x="24"/>
        <item x="300"/>
        <item x="621"/>
        <item x="250"/>
        <item x="974"/>
        <item x="63"/>
        <item x="469"/>
        <item x="541"/>
        <item x="355"/>
        <item x="92"/>
        <item x="851"/>
        <item x="1093"/>
        <item x="701"/>
        <item x="611"/>
        <item x="817"/>
        <item x="470"/>
        <item x="1047"/>
        <item x="136"/>
        <item x="766"/>
        <item x="342"/>
        <item x="852"/>
        <item x="983"/>
        <item x="524"/>
        <item x="259"/>
        <item x="146"/>
        <item x="64"/>
        <item x="184"/>
        <item x="605"/>
        <item x="914"/>
        <item x="356"/>
        <item x="440"/>
        <item x="713"/>
        <item x="496"/>
        <item x="837"/>
        <item x="787"/>
        <item x="915"/>
        <item x="160"/>
        <item x="542"/>
        <item x="37"/>
        <item x="254"/>
        <item x="838"/>
        <item x="975"/>
        <item x="916"/>
        <item x="176"/>
        <item x="357"/>
        <item x="270"/>
        <item x="93"/>
        <item x="853"/>
        <item x="38"/>
        <item x="702"/>
        <item x="612"/>
        <item x="471"/>
        <item x="917"/>
        <item x="778"/>
        <item x="271"/>
        <item x="525"/>
        <item x="147"/>
        <item x="376"/>
        <item x="323"/>
        <item x="48"/>
        <item x="161"/>
        <item x="784"/>
        <item x="437"/>
        <item x="526"/>
        <item x="260"/>
        <item x="65"/>
        <item x="839"/>
        <item x="177"/>
        <item x="358"/>
        <item x="543"/>
        <item x="779"/>
        <item x="438"/>
        <item x="703"/>
        <item x="622"/>
        <item x="279"/>
        <item x="235"/>
        <item x="49"/>
        <item x="162"/>
        <item x="343"/>
        <item x="527"/>
        <item x="704"/>
        <item x="66"/>
        <item x="613"/>
        <item x="472"/>
        <item x="344"/>
        <item x="528"/>
        <item x="67"/>
        <item x="178"/>
        <item x="131"/>
        <item x="439"/>
        <item x="261"/>
        <item x="50"/>
        <item x="179"/>
        <item x="359"/>
        <item x="262"/>
        <item x="272"/>
        <item x="345"/>
        <item x="150"/>
        <item x="25"/>
        <item x="68"/>
        <item x="273"/>
        <item x="148"/>
        <item x="69"/>
        <item x="163"/>
        <item x="263"/>
        <item x="51"/>
        <item x="164"/>
        <item x="52"/>
        <item x="149"/>
        <item x="70"/>
        <item x="71"/>
        <item x="53"/>
        <item t="default"/>
      </items>
    </pivotField>
  </pivotFields>
  <rowFields count="1">
    <field x="10"/>
  </rowFields>
  <rowItems count="90">
    <i>
      <x v="32"/>
    </i>
    <i>
      <x v="54"/>
    </i>
    <i>
      <x v="5"/>
    </i>
    <i>
      <x v="56"/>
    </i>
    <i>
      <x v="43"/>
    </i>
    <i>
      <x v="30"/>
    </i>
    <i>
      <x v="44"/>
    </i>
    <i>
      <x v="79"/>
    </i>
    <i>
      <x v="10"/>
    </i>
    <i>
      <x v="2"/>
    </i>
    <i>
      <x v="73"/>
    </i>
    <i>
      <x v="68"/>
    </i>
    <i>
      <x v="26"/>
    </i>
    <i>
      <x v="69"/>
    </i>
    <i>
      <x v="45"/>
    </i>
    <i>
      <x v="65"/>
    </i>
    <i>
      <x v="64"/>
    </i>
    <i>
      <x v="70"/>
    </i>
    <i>
      <x v="58"/>
    </i>
    <i>
      <x v="27"/>
    </i>
    <i>
      <x v="77"/>
    </i>
    <i>
      <x v="23"/>
    </i>
    <i>
      <x v="80"/>
    </i>
    <i>
      <x v="84"/>
    </i>
    <i>
      <x v="85"/>
    </i>
    <i>
      <x v="11"/>
    </i>
    <i>
      <x v="38"/>
    </i>
    <i>
      <x v="75"/>
    </i>
    <i>
      <x v="40"/>
    </i>
    <i>
      <x v="82"/>
    </i>
    <i>
      <x v="53"/>
    </i>
    <i>
      <x v="83"/>
    </i>
    <i>
      <x v="61"/>
    </i>
    <i>
      <x v="48"/>
    </i>
    <i>
      <x v="34"/>
    </i>
    <i>
      <x v="39"/>
    </i>
    <i>
      <x v="81"/>
    </i>
    <i>
      <x v="33"/>
    </i>
    <i>
      <x v="42"/>
    </i>
    <i>
      <x v="1"/>
    </i>
    <i>
      <x v="24"/>
    </i>
    <i>
      <x v="8"/>
    </i>
    <i>
      <x v="74"/>
    </i>
    <i>
      <x v="86"/>
    </i>
    <i>
      <x v="21"/>
    </i>
    <i>
      <x v="52"/>
    </i>
    <i>
      <x v="13"/>
    </i>
    <i>
      <x v="55"/>
    </i>
    <i>
      <x v="78"/>
    </i>
    <i>
      <x v="36"/>
    </i>
    <i>
      <x v="72"/>
    </i>
    <i>
      <x v="22"/>
    </i>
    <i>
      <x v="51"/>
    </i>
    <i>
      <x v="76"/>
    </i>
    <i>
      <x v="57"/>
    </i>
    <i>
      <x v="46"/>
    </i>
    <i>
      <x v="31"/>
    </i>
    <i>
      <x v="37"/>
    </i>
    <i>
      <x v="19"/>
    </i>
    <i>
      <x v="87"/>
    </i>
    <i>
      <x v="17"/>
    </i>
    <i>
      <x v="62"/>
    </i>
    <i>
      <x v="47"/>
    </i>
    <i>
      <x v="66"/>
    </i>
    <i>
      <x v="63"/>
    </i>
    <i>
      <x v="28"/>
    </i>
    <i>
      <x/>
    </i>
    <i>
      <x v="25"/>
    </i>
    <i>
      <x v="60"/>
    </i>
    <i>
      <x v="18"/>
    </i>
    <i>
      <x v="7"/>
    </i>
    <i>
      <x v="4"/>
    </i>
    <i>
      <x v="6"/>
    </i>
    <i>
      <x v="20"/>
    </i>
    <i>
      <x v="35"/>
    </i>
    <i>
      <x v="59"/>
    </i>
    <i>
      <x v="41"/>
    </i>
    <i>
      <x v="50"/>
    </i>
    <i>
      <x v="71"/>
    </i>
    <i>
      <x v="15"/>
    </i>
    <i>
      <x v="88"/>
    </i>
    <i>
      <x v="16"/>
    </i>
    <i>
      <x v="29"/>
    </i>
    <i>
      <x v="12"/>
    </i>
    <i>
      <x v="67"/>
    </i>
    <i>
      <x v="49"/>
    </i>
    <i>
      <x v="9"/>
    </i>
    <i>
      <x v="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0" subtotal="count" baseField="10" baseItem="0"/>
    <dataField name="TOTAL SALES" fld="4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09A1DA-C1A0-49B5-8311-5EDC63F1E235}" autoFormatId="16" applyNumberFormats="0" applyBorderFormats="0" applyFontFormats="0" applyPatternFormats="0" applyAlignmentFormats="0" applyWidthHeightFormats="0">
  <queryTableRefresh nextId="30" unboundColumnsRight="8">
    <queryTableFields count="28">
      <queryTableField id="1" name="ORDER_NUMBER" tableColumnId="1"/>
      <queryTableField id="2" name="QUANTITY_ORDERED" tableColumnId="2"/>
      <queryTableField id="3" name="PRICE_EACH" tableColumnId="3"/>
      <queryTableField id="4" name="ORDER_LINE_NUMBER" tableColumnId="4"/>
      <queryTableField id="5" name="SALES" tableColumnId="5"/>
      <queryTableField id="6" name="ORDER_DATE" tableColumnId="6"/>
      <queryTableField id="8" name="STATUS" tableColumnId="8"/>
      <queryTableField id="9" name="PRODUCT_LINE" tableColumnId="9"/>
      <queryTableField id="10" name="MSRP" tableColumnId="10"/>
      <queryTableField id="11" name="PRODUCT_CODE" tableColumnId="11"/>
      <queryTableField id="12" name="CUSTOMER_NAME" tableColumnId="12"/>
      <queryTableField id="13" name="PHONE" tableColumnId="13"/>
      <queryTableField id="14" name="ADDRESS_LINE_1" tableColumnId="14"/>
      <queryTableField id="15" name="CITY" tableColumnId="15"/>
      <queryTableField id="16" name="POSTAL_CODE" tableColumnId="16"/>
      <queryTableField id="17" name="COUNTRY" tableColumnId="17"/>
      <queryTableField id="18" name="CONTACT_LAST_NAME" tableColumnId="18"/>
      <queryTableField id="19" name="CONTACT_FIRST_NAME" tableColumnId="19"/>
      <queryTableField id="20" name="DEAL_SIZE" tableColumnId="20"/>
      <queryTableField id="7" name="DAYS_SINCE_LASTORDER" tableColumnId="7"/>
      <queryTableField id="29" dataBound="0" tableColumnId="34"/>
      <queryTableField id="28" dataBound="0" tableColumnId="33"/>
      <queryTableField id="22" dataBound="0" tableColumnId="27"/>
      <queryTableField id="23" dataBound="0" tableColumnId="28"/>
      <queryTableField id="24" dataBound="0" tableColumnId="29"/>
      <queryTableField id="25" dataBound="0" tableColumnId="30"/>
      <queryTableField id="26" dataBound="0" tableColumnId="31"/>
      <queryTableField id="27" dataBound="0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E0FA3-C037-4771-820A-67CCD3F2EADB}" name="Auto_Sales_data___Copy" displayName="Auto_Sales_data___Copy" ref="A1:AB2748" tableType="queryTable" totalsRowShown="0">
  <autoFilter ref="A1:AB2748" xr:uid="{77FE0FA3-C037-4771-820A-67CCD3F2EADB}"/>
  <sortState xmlns:xlrd2="http://schemas.microsoft.com/office/spreadsheetml/2017/richdata2" ref="A2:AB2748">
    <sortCondition descending="1" ref="Z1:Z2748"/>
  </sortState>
  <tableColumns count="28">
    <tableColumn id="1" xr3:uid="{76007E00-8C42-4388-9508-9602B33E193A}" uniqueName="1" name="ORDER_NUMBER" queryTableFieldId="1"/>
    <tableColumn id="2" xr3:uid="{FA522278-4B14-4391-8417-CCDA78014A42}" uniqueName="2" name="QUANTITY_ORDERED" queryTableFieldId="2"/>
    <tableColumn id="3" xr3:uid="{524B8BC6-0A58-4D4E-8D72-BA54EFE9CB53}" uniqueName="3" name="PRICE_EACH" queryTableFieldId="3"/>
    <tableColumn id="4" xr3:uid="{4CF24758-93F1-4933-B165-E74BF6A700C9}" uniqueName="4" name="ORDER_LINE_NUMBER" queryTableFieldId="4"/>
    <tableColumn id="5" xr3:uid="{BD72AA35-19EB-4B51-A746-48CE83C7ACCB}" uniqueName="5" name="SALES" queryTableFieldId="5"/>
    <tableColumn id="6" xr3:uid="{3717481C-AC82-4D7F-A002-1B577E23DB8D}" uniqueName="6" name="ORDER_DATE" queryTableFieldId="6" dataDxfId="21"/>
    <tableColumn id="8" xr3:uid="{E761C9A7-A3AA-4B86-94E9-12327E3ADD53}" uniqueName="8" name="STATUS" queryTableFieldId="8" dataDxfId="20"/>
    <tableColumn id="9" xr3:uid="{4087008E-E170-4762-A56D-209B2FA0E7C3}" uniqueName="9" name="PRODUCT_LINE" queryTableFieldId="9" dataDxfId="19"/>
    <tableColumn id="10" xr3:uid="{3BE2CCBA-8F5E-444F-9295-A13B8149E623}" uniqueName="10" name="MSRP" queryTableFieldId="10"/>
    <tableColumn id="11" xr3:uid="{4ACA84C6-2EAC-4071-B439-B2F8646B0497}" uniqueName="11" name="PRODUCT_CODE" queryTableFieldId="11" dataDxfId="18"/>
    <tableColumn id="12" xr3:uid="{02A8B64B-E1F4-4110-B95D-BDB06A876071}" uniqueName="12" name="CUSTOMER_NAME" queryTableFieldId="12" dataDxfId="17"/>
    <tableColumn id="13" xr3:uid="{61C493F2-32A7-45E9-95D8-CE58CA313394}" uniqueName="13" name="PHONE" queryTableFieldId="13" dataDxfId="16"/>
    <tableColumn id="14" xr3:uid="{A783867F-5403-48D5-BD43-445859C6A835}" uniqueName="14" name="ADDRESS_LINE_1" queryTableFieldId="14" dataDxfId="15"/>
    <tableColumn id="15" xr3:uid="{B77837C5-0518-4956-814D-0F7AA9406BD6}" uniqueName="15" name="CITY" queryTableFieldId="15" dataDxfId="14"/>
    <tableColumn id="16" xr3:uid="{B1AFC741-0892-4698-A658-A6B0BE7AE45C}" uniqueName="16" name="POSTAL_CODE" queryTableFieldId="16" dataDxfId="13"/>
    <tableColumn id="17" xr3:uid="{6E1D0430-AA94-4361-ABC5-7FAD71CE9B47}" uniqueName="17" name="COUNTRY" queryTableFieldId="17" dataDxfId="12"/>
    <tableColumn id="18" xr3:uid="{54039DBE-7577-4AE1-88F4-9344BFFABDE6}" uniqueName="18" name="CONTACT_LAST_NAME" queryTableFieldId="18" dataDxfId="11"/>
    <tableColumn id="19" xr3:uid="{D88B6B97-DC3D-4C04-8F24-DF1326F0B204}" uniqueName="19" name="CONTACT_FIRST_NAME" queryTableFieldId="19" dataDxfId="10"/>
    <tableColumn id="20" xr3:uid="{9D32257B-2E08-4C81-89F4-A4C6CF58281F}" uniqueName="20" name="DEAL_SIZE" queryTableFieldId="20" dataDxfId="9"/>
    <tableColumn id="7" xr3:uid="{2393D0CB-32A4-40B2-952B-D53B352C6A00}" uniqueName="7" name="DAYS_SINCE_LAST_ORDER" queryTableFieldId="7" dataDxfId="8"/>
    <tableColumn id="34" xr3:uid="{F661BFFF-89EB-470B-9C08-2AB19AC9218C}" uniqueName="34" name="Total_Orders_Per_Customer" queryTableFieldId="29" dataDxfId="6">
      <calculatedColumnFormula>VLOOKUP(Auto_Sales_data___Copy[[#This Row],[CUSTOMER_NAME]],$AF$2:$AH$90,2,FALSE)</calculatedColumnFormula>
    </tableColumn>
    <tableColumn id="33" xr3:uid="{E5C3B34B-E163-47E6-AC18-1317FDB28DC8}" uniqueName="33" name="Total_Sales_Per_Customer" queryTableFieldId="28" dataDxfId="4">
      <calculatedColumnFormula>VLOOKUP(Auto_Sales_data___Copy[[#This Row],[CUSTOMER_NAME]],$AF$2:$AH$90,3,FALSE)</calculatedColumnFormula>
    </tableColumn>
    <tableColumn id="27" xr3:uid="{954C200A-9E3A-465F-A861-982386D19E22}" uniqueName="27" name="R-Score(1-5)" queryTableFieldId="22" dataDxfId="7">
      <calculatedColumnFormula>6-MATCH(Auto_Sales_data___Copy[[#This Row],[DAYS_SINCE_LAST_ORDER]],Table2[R-Cutoff],1)</calculatedColumnFormula>
    </tableColumn>
    <tableColumn id="28" xr3:uid="{88C5EF8D-4492-4974-803B-D0C05900E738}" uniqueName="28" name="F-Score(1-5)" queryTableFieldId="23" dataDxfId="5">
      <calculatedColumnFormula>MATCH(Auto_Sales_data___Copy[[#This Row],[Total_Orders_Per_Customer]],Table2[F-Cutoff],1)</calculatedColumnFormula>
    </tableColumn>
    <tableColumn id="29" xr3:uid="{FA268F74-F658-49CE-96FF-037BB36408DC}" uniqueName="29" name="M-Score(1-5)" queryTableFieldId="24" dataDxfId="3">
      <calculatedColumnFormula>MATCH(Auto_Sales_data___Copy[[#This Row],[Total_Sales_Per_Customer]],Table2[M-Cutoff],1)</calculatedColumnFormula>
    </tableColumn>
    <tableColumn id="30" xr3:uid="{B927D3D8-7153-4E53-81F7-5FEEB297B248}" uniqueName="30" name="RFM Code " queryTableFieldId="25" dataDxfId="2">
      <calculatedColumnFormula>Auto_Sales_data___Copy[[#This Row],[R-Score(1-5)]]&amp;Auto_Sales_data___Copy[[#This Row],[F-Score(1-5)]]&amp;Auto_Sales_data___Copy[[#This Row],[M-Score(1-5)]]</calculatedColumnFormula>
    </tableColumn>
    <tableColumn id="31" xr3:uid="{E93652F5-8C66-4FBE-A386-351DC4C18BF0}" uniqueName="31" name="Segment Name" queryTableFieldId="26" dataDxfId="1">
      <calculatedColumnFormula array="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calculatedColumnFormula>
    </tableColumn>
    <tableColumn id="32" xr3:uid="{ED1BB876-BC4A-4C8E-ADAC-678570F79A34}" uniqueName="32" name="Strategy" queryTableFieldId="27" dataDxfId="0">
      <calculatedColumnFormula>VLOOKUP(Auto_Sales_data___Copy[[#This Row],[Segment Name]],Table3[],2,FALSE)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83490-79CD-4095-8059-DC1329C5309E}" name="Table3" displayName="Table3" ref="A1:B8" totalsRowShown="0">
  <autoFilter ref="A1:B8" xr:uid="{5D483490-79CD-4095-8059-DC1329C5309E}"/>
  <tableColumns count="2">
    <tableColumn id="1" xr3:uid="{BB7F8833-43FA-4ADD-AFC6-20C25DFA00EB}" name="Segment "/>
    <tableColumn id="2" xr3:uid="{434D8FD0-5490-4393-83DC-460D3017478B}" name="Strateg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16838B-7E74-4ED3-9DA0-299113E2EA0D}" name="Table2" displayName="Table2" ref="A1:E6" totalsRowShown="0">
  <autoFilter ref="A1:E6" xr:uid="{C016838B-7E74-4ED3-9DA0-299113E2EA0D}"/>
  <tableColumns count="5">
    <tableColumn id="1" xr3:uid="{1E9DFE01-83FF-45B0-829A-0C4CB30BEA19}" name="Score"/>
    <tableColumn id="2" xr3:uid="{66959174-92FD-4F20-B04B-99C55C94D9A6}" name="Percentile"/>
    <tableColumn id="3" xr3:uid="{1809A69C-AF04-4EEE-BF8B-3EE6582011F9}" name="R-Cutoff" dataDxfId="24">
      <calculatedColumnFormula>_xlfn.PERCENTILE.INC(Auto_Sales_data___Copy[DAYS_SINCE_LAST_ORDER],Table2[[#This Row],[Percentile]])</calculatedColumnFormula>
    </tableColumn>
    <tableColumn id="4" xr3:uid="{1C47F3C3-0A65-4D2F-AAFB-72E6ADA88F2B}" name="F-Cutoff" dataDxfId="22">
      <calculatedColumnFormula>_xlfn.PERCENTILE.INC('Auto Sales data - Copy'!$AG$2:$AG$90,Table2[[#This Row],[Percentile]])</calculatedColumnFormula>
    </tableColumn>
    <tableColumn id="5" xr3:uid="{AA7C2FEF-FA36-4D17-B59B-6719BEFEE3D8}" name="M-Cutoff" dataDxfId="23">
      <calculatedColumnFormula>_xlfn.PERCENTILE.INC('Auto Sales data - Copy'!$AH$2:$AH$90,Table2[[#This Row],[Percentile]])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FFCA-3198-4751-B8DB-E768E51F39C9}">
  <dimension ref="A1:AH2748"/>
  <sheetViews>
    <sheetView tabSelected="1" topLeftCell="U2734" workbookViewId="0">
      <selection activeCell="AC2738" sqref="AC2738"/>
    </sheetView>
  </sheetViews>
  <sheetFormatPr defaultRowHeight="15" x14ac:dyDescent="0.25"/>
  <cols>
    <col min="1" max="1" width="18.42578125" bestFit="1" customWidth="1"/>
    <col min="2" max="2" width="22.140625" bestFit="1" customWidth="1"/>
    <col min="3" max="3" width="14" bestFit="1" customWidth="1"/>
    <col min="4" max="4" width="23.42578125" bestFit="1" customWidth="1"/>
    <col min="5" max="5" width="12.7109375" customWidth="1"/>
    <col min="6" max="6" width="16.7109375" customWidth="1"/>
    <col min="7" max="7" width="10" bestFit="1" customWidth="1"/>
    <col min="8" max="9" width="16.85546875" bestFit="1" customWidth="1"/>
    <col min="10" max="10" width="17.85546875" bestFit="1" customWidth="1"/>
    <col min="11" max="12" width="31.7109375" bestFit="1" customWidth="1"/>
    <col min="13" max="14" width="40.85546875" bestFit="1" customWidth="1"/>
    <col min="15" max="15" width="16" bestFit="1" customWidth="1"/>
    <col min="16" max="16" width="12" bestFit="1" customWidth="1"/>
    <col min="17" max="17" width="23.85546875" bestFit="1" customWidth="1"/>
    <col min="18" max="18" width="24.42578125" bestFit="1" customWidth="1"/>
    <col min="19" max="19" width="12.28515625" bestFit="1" customWidth="1"/>
    <col min="20" max="20" width="25.7109375" bestFit="1" customWidth="1"/>
    <col min="21" max="22" width="25.7109375" customWidth="1"/>
    <col min="23" max="23" width="17.140625" customWidth="1"/>
    <col min="24" max="24" width="14" bestFit="1" customWidth="1"/>
    <col min="25" max="25" width="14.85546875" bestFit="1" customWidth="1"/>
    <col min="26" max="26" width="12.7109375" bestFit="1" customWidth="1"/>
    <col min="27" max="27" width="17" bestFit="1" customWidth="1"/>
    <col min="28" max="28" width="35.28515625" bestFit="1" customWidth="1"/>
    <col min="29" max="29" width="31.7109375" bestFit="1" customWidth="1"/>
    <col min="30" max="30" width="14.140625" bestFit="1" customWidth="1"/>
    <col min="31" max="31" width="12.140625" bestFit="1" customWidth="1"/>
    <col min="32" max="32" width="31.7109375" customWidth="1"/>
    <col min="33" max="33" width="14.140625" bestFit="1" customWidth="1"/>
    <col min="34" max="34" width="12.140625" bestFit="1" customWidth="1"/>
    <col min="35" max="467" width="4" bestFit="1" customWidth="1"/>
    <col min="468" max="1861" width="5" bestFit="1" customWidth="1"/>
    <col min="1862" max="1862" width="11.28515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720</v>
      </c>
      <c r="U1" t="s">
        <v>735</v>
      </c>
      <c r="V1" t="s">
        <v>736</v>
      </c>
      <c r="W1" t="s">
        <v>730</v>
      </c>
      <c r="X1" t="s">
        <v>725</v>
      </c>
      <c r="Y1" t="s">
        <v>731</v>
      </c>
      <c r="Z1" t="s">
        <v>732</v>
      </c>
      <c r="AA1" t="s">
        <v>733</v>
      </c>
      <c r="AB1" t="s">
        <v>734</v>
      </c>
      <c r="AF1" s="3" t="s">
        <v>10</v>
      </c>
      <c r="AG1" t="s">
        <v>726</v>
      </c>
      <c r="AH1" t="s">
        <v>722</v>
      </c>
    </row>
    <row r="2" spans="1:34" x14ac:dyDescent="0.25">
      <c r="A2">
        <v>10153</v>
      </c>
      <c r="B2">
        <v>20</v>
      </c>
      <c r="C2">
        <v>245.2</v>
      </c>
      <c r="D2">
        <v>11</v>
      </c>
      <c r="E2">
        <v>4904</v>
      </c>
      <c r="F2" s="1">
        <v>43371</v>
      </c>
      <c r="G2" s="2" t="s">
        <v>19</v>
      </c>
      <c r="H2" s="2" t="s">
        <v>183</v>
      </c>
      <c r="I2">
        <v>207</v>
      </c>
      <c r="J2" s="2" t="s">
        <v>505</v>
      </c>
      <c r="K2" s="2" t="s">
        <v>175</v>
      </c>
      <c r="L2" s="2" t="s">
        <v>176</v>
      </c>
      <c r="M2" s="2" t="s">
        <v>177</v>
      </c>
      <c r="N2" s="2" t="s">
        <v>178</v>
      </c>
      <c r="O2" s="2" t="s">
        <v>179</v>
      </c>
      <c r="P2" s="2" t="s">
        <v>180</v>
      </c>
      <c r="Q2" s="2" t="s">
        <v>181</v>
      </c>
      <c r="R2" s="2" t="s">
        <v>182</v>
      </c>
      <c r="S2" s="2" t="s">
        <v>46</v>
      </c>
      <c r="T2">
        <v>790</v>
      </c>
      <c r="U2">
        <f>VLOOKUP(Auto_Sales_data___Copy[[#This Row],[CUSTOMER_NAME]],$AF$2:$AH$90,2,FALSE)</f>
        <v>259</v>
      </c>
      <c r="V2">
        <f>VLOOKUP(Auto_Sales_data___Copy[[#This Row],[CUSTOMER_NAME]],$AF$2:$AH$90,3,FALSE)</f>
        <v>912294.1100000001</v>
      </c>
      <c r="W2" s="2">
        <f>6-MATCH(Auto_Sales_data___Copy[[#This Row],[DAYS_SINCE_LAST_ORDER]],Table2[R-Cutoff],1)</f>
        <v>5</v>
      </c>
      <c r="X2" s="2">
        <f>MATCH(Auto_Sales_data___Copy[[#This Row],[Total_Orders_Per_Customer]],Table2[F-Cutoff],1)</f>
        <v>5</v>
      </c>
      <c r="Y2" s="2">
        <f>MATCH(Auto_Sales_data___Copy[[#This Row],[Total_Sales_Per_Customer]],Table2[M-Cutoff],1)</f>
        <v>5</v>
      </c>
      <c r="Z2" s="2" t="str">
        <f>Auto_Sales_data___Copy[[#This Row],[R-Score(1-5)]]&amp;Auto_Sales_data___Copy[[#This Row],[F-Score(1-5)]]&amp;Auto_Sales_data___Copy[[#This Row],[M-Score(1-5)]]</f>
        <v>555</v>
      </c>
      <c r="AA2" s="2" t="str" cm="1">
        <f t="array" ref="AA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" s="2" t="str">
        <f>VLOOKUP(Auto_Sales_data___Copy[[#This Row],[Segment Name]],Table3[],2,FALSE)</f>
        <v>VIP Recognitioon &amp; Inclusivity</v>
      </c>
      <c r="AF2" s="4" t="s">
        <v>175</v>
      </c>
      <c r="AG2" s="2">
        <v>259</v>
      </c>
      <c r="AH2" s="2">
        <v>912294.1100000001</v>
      </c>
    </row>
    <row r="3" spans="1:34" x14ac:dyDescent="0.25">
      <c r="A3">
        <v>10153</v>
      </c>
      <c r="B3">
        <v>42</v>
      </c>
      <c r="C3">
        <v>128.41999999999999</v>
      </c>
      <c r="D3">
        <v>12</v>
      </c>
      <c r="E3">
        <v>5393.64</v>
      </c>
      <c r="F3" s="1">
        <v>43371</v>
      </c>
      <c r="G3" s="2" t="s">
        <v>19</v>
      </c>
      <c r="H3" s="2" t="s">
        <v>183</v>
      </c>
      <c r="I3">
        <v>151</v>
      </c>
      <c r="J3" s="2" t="s">
        <v>545</v>
      </c>
      <c r="K3" s="2" t="s">
        <v>175</v>
      </c>
      <c r="L3" s="2" t="s">
        <v>176</v>
      </c>
      <c r="M3" s="2" t="s">
        <v>177</v>
      </c>
      <c r="N3" s="2" t="s">
        <v>178</v>
      </c>
      <c r="O3" s="2" t="s">
        <v>179</v>
      </c>
      <c r="P3" s="2" t="s">
        <v>180</v>
      </c>
      <c r="Q3" s="2" t="s">
        <v>181</v>
      </c>
      <c r="R3" s="2" t="s">
        <v>182</v>
      </c>
      <c r="S3" s="2" t="s">
        <v>46</v>
      </c>
      <c r="T3">
        <v>866</v>
      </c>
      <c r="U3">
        <f>VLOOKUP(Auto_Sales_data___Copy[[#This Row],[CUSTOMER_NAME]],$AF$2:$AH$90,2,FALSE)</f>
        <v>259</v>
      </c>
      <c r="V3">
        <f>VLOOKUP(Auto_Sales_data___Copy[[#This Row],[CUSTOMER_NAME]],$AF$2:$AH$90,3,FALSE)</f>
        <v>912294.1100000001</v>
      </c>
      <c r="W3" s="2">
        <f>6-MATCH(Auto_Sales_data___Copy[[#This Row],[DAYS_SINCE_LAST_ORDER]],Table2[R-Cutoff],1)</f>
        <v>5</v>
      </c>
      <c r="X3" s="2">
        <f>MATCH(Auto_Sales_data___Copy[[#This Row],[Total_Orders_Per_Customer]],Table2[F-Cutoff],1)</f>
        <v>5</v>
      </c>
      <c r="Y3" s="2">
        <f>MATCH(Auto_Sales_data___Copy[[#This Row],[Total_Sales_Per_Customer]],Table2[M-Cutoff],1)</f>
        <v>5</v>
      </c>
      <c r="Z3" s="2" t="str">
        <f>Auto_Sales_data___Copy[[#This Row],[R-Score(1-5)]]&amp;Auto_Sales_data___Copy[[#This Row],[F-Score(1-5)]]&amp;Auto_Sales_data___Copy[[#This Row],[M-Score(1-5)]]</f>
        <v>555</v>
      </c>
      <c r="AA3" s="2" t="str" cm="1">
        <f t="array" ref="AA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" s="2" t="str">
        <f>VLOOKUP(Auto_Sales_data___Copy[[#This Row],[Segment Name]],Table3[],2,FALSE)</f>
        <v>VIP Recognitioon &amp; Inclusivity</v>
      </c>
      <c r="AF3" s="4" t="s">
        <v>284</v>
      </c>
      <c r="AG3" s="2">
        <v>180</v>
      </c>
      <c r="AH3" s="2">
        <v>654858.06000000017</v>
      </c>
    </row>
    <row r="4" spans="1:34" x14ac:dyDescent="0.25">
      <c r="A4">
        <v>10153</v>
      </c>
      <c r="B4">
        <v>49</v>
      </c>
      <c r="C4">
        <v>143.61000000000001</v>
      </c>
      <c r="D4">
        <v>10</v>
      </c>
      <c r="E4">
        <v>7036.89</v>
      </c>
      <c r="F4" s="1">
        <v>43371</v>
      </c>
      <c r="G4" s="2" t="s">
        <v>19</v>
      </c>
      <c r="H4" s="2" t="s">
        <v>183</v>
      </c>
      <c r="I4">
        <v>173</v>
      </c>
      <c r="J4" s="2" t="s">
        <v>552</v>
      </c>
      <c r="K4" s="2" t="s">
        <v>175</v>
      </c>
      <c r="L4" s="2" t="s">
        <v>176</v>
      </c>
      <c r="M4" s="2" t="s">
        <v>177</v>
      </c>
      <c r="N4" s="2" t="s">
        <v>178</v>
      </c>
      <c r="O4" s="2" t="s">
        <v>179</v>
      </c>
      <c r="P4" s="2" t="s">
        <v>180</v>
      </c>
      <c r="Q4" s="2" t="s">
        <v>181</v>
      </c>
      <c r="R4" s="2" t="s">
        <v>182</v>
      </c>
      <c r="S4" s="2" t="s">
        <v>151</v>
      </c>
      <c r="T4">
        <v>915</v>
      </c>
      <c r="U4">
        <f>VLOOKUP(Auto_Sales_data___Copy[[#This Row],[CUSTOMER_NAME]],$AF$2:$AH$90,2,FALSE)</f>
        <v>259</v>
      </c>
      <c r="V4">
        <f>VLOOKUP(Auto_Sales_data___Copy[[#This Row],[CUSTOMER_NAME]],$AF$2:$AH$90,3,FALSE)</f>
        <v>912294.1100000001</v>
      </c>
      <c r="W4" s="2">
        <f>6-MATCH(Auto_Sales_data___Copy[[#This Row],[DAYS_SINCE_LAST_ORDER]],Table2[R-Cutoff],1)</f>
        <v>5</v>
      </c>
      <c r="X4" s="2">
        <f>MATCH(Auto_Sales_data___Copy[[#This Row],[Total_Orders_Per_Customer]],Table2[F-Cutoff],1)</f>
        <v>5</v>
      </c>
      <c r="Y4" s="2">
        <f>MATCH(Auto_Sales_data___Copy[[#This Row],[Total_Sales_Per_Customer]],Table2[M-Cutoff],1)</f>
        <v>5</v>
      </c>
      <c r="Z4" s="2" t="str">
        <f>Auto_Sales_data___Copy[[#This Row],[R-Score(1-5)]]&amp;Auto_Sales_data___Copy[[#This Row],[F-Score(1-5)]]&amp;Auto_Sales_data___Copy[[#This Row],[M-Score(1-5)]]</f>
        <v>555</v>
      </c>
      <c r="AA4" s="2" t="str" cm="1">
        <f t="array" ref="AA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" s="2" t="str">
        <f>VLOOKUP(Auto_Sales_data___Copy[[#This Row],[Segment Name]],Table3[],2,FALSE)</f>
        <v>VIP Recognitioon &amp; Inclusivity</v>
      </c>
      <c r="AF4" s="4" t="s">
        <v>82</v>
      </c>
      <c r="AG4" s="2">
        <v>55</v>
      </c>
      <c r="AH4" s="2">
        <v>200995.41000000006</v>
      </c>
    </row>
    <row r="5" spans="1:34" x14ac:dyDescent="0.25">
      <c r="A5">
        <v>10203</v>
      </c>
      <c r="B5">
        <v>20</v>
      </c>
      <c r="C5">
        <v>196.52</v>
      </c>
      <c r="D5">
        <v>8</v>
      </c>
      <c r="E5">
        <v>3930.4</v>
      </c>
      <c r="F5" s="1">
        <v>43436</v>
      </c>
      <c r="G5" s="2" t="s">
        <v>19</v>
      </c>
      <c r="H5" s="2" t="s">
        <v>183</v>
      </c>
      <c r="I5">
        <v>194</v>
      </c>
      <c r="J5" s="2" t="s">
        <v>449</v>
      </c>
      <c r="K5" s="2" t="s">
        <v>175</v>
      </c>
      <c r="L5" s="2" t="s">
        <v>176</v>
      </c>
      <c r="M5" s="2" t="s">
        <v>177</v>
      </c>
      <c r="N5" s="2" t="s">
        <v>178</v>
      </c>
      <c r="O5" s="2" t="s">
        <v>179</v>
      </c>
      <c r="P5" s="2" t="s">
        <v>180</v>
      </c>
      <c r="Q5" s="2" t="s">
        <v>181</v>
      </c>
      <c r="R5" s="2" t="s">
        <v>182</v>
      </c>
      <c r="S5" s="2" t="s">
        <v>46</v>
      </c>
      <c r="T5">
        <v>704</v>
      </c>
      <c r="U5">
        <f>VLOOKUP(Auto_Sales_data___Copy[[#This Row],[CUSTOMER_NAME]],$AF$2:$AH$90,2,FALSE)</f>
        <v>259</v>
      </c>
      <c r="V5">
        <f>VLOOKUP(Auto_Sales_data___Copy[[#This Row],[CUSTOMER_NAME]],$AF$2:$AH$90,3,FALSE)</f>
        <v>912294.1100000001</v>
      </c>
      <c r="W5" s="2">
        <f>6-MATCH(Auto_Sales_data___Copy[[#This Row],[DAYS_SINCE_LAST_ORDER]],Table2[R-Cutoff],1)</f>
        <v>5</v>
      </c>
      <c r="X5" s="2">
        <f>MATCH(Auto_Sales_data___Copy[[#This Row],[Total_Orders_Per_Customer]],Table2[F-Cutoff],1)</f>
        <v>5</v>
      </c>
      <c r="Y5" s="2">
        <f>MATCH(Auto_Sales_data___Copy[[#This Row],[Total_Sales_Per_Customer]],Table2[M-Cutoff],1)</f>
        <v>5</v>
      </c>
      <c r="Z5" s="2" t="str">
        <f>Auto_Sales_data___Copy[[#This Row],[R-Score(1-5)]]&amp;Auto_Sales_data___Copy[[#This Row],[F-Score(1-5)]]&amp;Auto_Sales_data___Copy[[#This Row],[M-Score(1-5)]]</f>
        <v>555</v>
      </c>
      <c r="AA5" s="2" t="str" cm="1">
        <f t="array" ref="AA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" s="2" t="str">
        <f>VLOOKUP(Auto_Sales_data___Copy[[#This Row],[Segment Name]],Table3[],2,FALSE)</f>
        <v>VIP Recognitioon &amp; Inclusivity</v>
      </c>
      <c r="AF5" s="4" t="s">
        <v>506</v>
      </c>
      <c r="AG5" s="2">
        <v>48</v>
      </c>
      <c r="AH5" s="2">
        <v>197736.93999999997</v>
      </c>
    </row>
    <row r="6" spans="1:34" x14ac:dyDescent="0.25">
      <c r="A6">
        <v>10203</v>
      </c>
      <c r="B6">
        <v>20</v>
      </c>
      <c r="C6">
        <v>112.74</v>
      </c>
      <c r="D6">
        <v>6</v>
      </c>
      <c r="E6">
        <v>2254.8000000000002</v>
      </c>
      <c r="F6" s="1">
        <v>43436</v>
      </c>
      <c r="G6" s="2" t="s">
        <v>19</v>
      </c>
      <c r="H6" s="2" t="s">
        <v>183</v>
      </c>
      <c r="I6">
        <v>117</v>
      </c>
      <c r="J6" s="2" t="s">
        <v>546</v>
      </c>
      <c r="K6" s="2" t="s">
        <v>175</v>
      </c>
      <c r="L6" s="2" t="s">
        <v>176</v>
      </c>
      <c r="M6" s="2" t="s">
        <v>177</v>
      </c>
      <c r="N6" s="2" t="s">
        <v>178</v>
      </c>
      <c r="O6" s="2" t="s">
        <v>179</v>
      </c>
      <c r="P6" s="2" t="s">
        <v>180</v>
      </c>
      <c r="Q6" s="2" t="s">
        <v>181</v>
      </c>
      <c r="R6" s="2" t="s">
        <v>182</v>
      </c>
      <c r="S6" s="2" t="s">
        <v>30</v>
      </c>
      <c r="T6">
        <v>829</v>
      </c>
      <c r="U6">
        <f>VLOOKUP(Auto_Sales_data___Copy[[#This Row],[CUSTOMER_NAME]],$AF$2:$AH$90,2,FALSE)</f>
        <v>259</v>
      </c>
      <c r="V6">
        <f>VLOOKUP(Auto_Sales_data___Copy[[#This Row],[CUSTOMER_NAME]],$AF$2:$AH$90,3,FALSE)</f>
        <v>912294.1100000001</v>
      </c>
      <c r="W6" s="2">
        <f>6-MATCH(Auto_Sales_data___Copy[[#This Row],[DAYS_SINCE_LAST_ORDER]],Table2[R-Cutoff],1)</f>
        <v>5</v>
      </c>
      <c r="X6" s="2">
        <f>MATCH(Auto_Sales_data___Copy[[#This Row],[Total_Orders_Per_Customer]],Table2[F-Cutoff],1)</f>
        <v>5</v>
      </c>
      <c r="Y6" s="2">
        <f>MATCH(Auto_Sales_data___Copy[[#This Row],[Total_Sales_Per_Customer]],Table2[M-Cutoff],1)</f>
        <v>5</v>
      </c>
      <c r="Z6" s="2" t="str">
        <f>Auto_Sales_data___Copy[[#This Row],[R-Score(1-5)]]&amp;Auto_Sales_data___Copy[[#This Row],[F-Score(1-5)]]&amp;Auto_Sales_data___Copy[[#This Row],[M-Score(1-5)]]</f>
        <v>555</v>
      </c>
      <c r="AA6" s="2" t="str" cm="1">
        <f t="array" ref="AA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" s="2" t="str">
        <f>VLOOKUP(Auto_Sales_data___Copy[[#This Row],[Segment Name]],Table3[],2,FALSE)</f>
        <v>VIP Recognitioon &amp; Inclusivity</v>
      </c>
      <c r="AF6" s="4" t="s">
        <v>108</v>
      </c>
      <c r="AG6" s="2">
        <v>53</v>
      </c>
      <c r="AH6" s="2">
        <v>180124.90000000008</v>
      </c>
    </row>
    <row r="7" spans="1:34" x14ac:dyDescent="0.25">
      <c r="A7">
        <v>10203</v>
      </c>
      <c r="B7">
        <v>44</v>
      </c>
      <c r="C7">
        <v>82.99</v>
      </c>
      <c r="D7">
        <v>9</v>
      </c>
      <c r="E7">
        <v>3651.56</v>
      </c>
      <c r="F7" s="1">
        <v>43436</v>
      </c>
      <c r="G7" s="2" t="s">
        <v>19</v>
      </c>
      <c r="H7" s="2" t="s">
        <v>183</v>
      </c>
      <c r="I7">
        <v>79</v>
      </c>
      <c r="J7" s="2" t="s">
        <v>553</v>
      </c>
      <c r="K7" s="2" t="s">
        <v>175</v>
      </c>
      <c r="L7" s="2" t="s">
        <v>176</v>
      </c>
      <c r="M7" s="2" t="s">
        <v>177</v>
      </c>
      <c r="N7" s="2" t="s">
        <v>178</v>
      </c>
      <c r="O7" s="2" t="s">
        <v>179</v>
      </c>
      <c r="P7" s="2" t="s">
        <v>180</v>
      </c>
      <c r="Q7" s="2" t="s">
        <v>181</v>
      </c>
      <c r="R7" s="2" t="s">
        <v>182</v>
      </c>
      <c r="S7" s="2" t="s">
        <v>46</v>
      </c>
      <c r="T7">
        <v>879</v>
      </c>
      <c r="U7">
        <f>VLOOKUP(Auto_Sales_data___Copy[[#This Row],[CUSTOMER_NAME]],$AF$2:$AH$90,2,FALSE)</f>
        <v>259</v>
      </c>
      <c r="V7">
        <f>VLOOKUP(Auto_Sales_data___Copy[[#This Row],[CUSTOMER_NAME]],$AF$2:$AH$90,3,FALSE)</f>
        <v>912294.1100000001</v>
      </c>
      <c r="W7" s="2">
        <f>6-MATCH(Auto_Sales_data___Copy[[#This Row],[DAYS_SINCE_LAST_ORDER]],Table2[R-Cutoff],1)</f>
        <v>5</v>
      </c>
      <c r="X7" s="2">
        <f>MATCH(Auto_Sales_data___Copy[[#This Row],[Total_Orders_Per_Customer]],Table2[F-Cutoff],1)</f>
        <v>5</v>
      </c>
      <c r="Y7" s="2">
        <f>MATCH(Auto_Sales_data___Copy[[#This Row],[Total_Sales_Per_Customer]],Table2[M-Cutoff],1)</f>
        <v>5</v>
      </c>
      <c r="Z7" s="2" t="str">
        <f>Auto_Sales_data___Copy[[#This Row],[R-Score(1-5)]]&amp;Auto_Sales_data___Copy[[#This Row],[F-Score(1-5)]]&amp;Auto_Sales_data___Copy[[#This Row],[M-Score(1-5)]]</f>
        <v>555</v>
      </c>
      <c r="AA7" s="2" t="str" cm="1">
        <f t="array" ref="AA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" s="2" t="str">
        <f>VLOOKUP(Auto_Sales_data___Copy[[#This Row],[Segment Name]],Table3[],2,FALSE)</f>
        <v>VIP Recognitioon &amp; Inclusivity</v>
      </c>
      <c r="AF7" s="4" t="s">
        <v>199</v>
      </c>
      <c r="AG7" s="2">
        <v>43</v>
      </c>
      <c r="AH7" s="2">
        <v>172989.68000000008</v>
      </c>
    </row>
    <row r="8" spans="1:34" x14ac:dyDescent="0.25">
      <c r="A8">
        <v>10203</v>
      </c>
      <c r="B8">
        <v>47</v>
      </c>
      <c r="C8">
        <v>110.55</v>
      </c>
      <c r="D8">
        <v>5</v>
      </c>
      <c r="E8">
        <v>5195.8500000000004</v>
      </c>
      <c r="F8" s="1">
        <v>43436</v>
      </c>
      <c r="G8" s="2" t="s">
        <v>19</v>
      </c>
      <c r="H8" s="2" t="s">
        <v>183</v>
      </c>
      <c r="I8">
        <v>115</v>
      </c>
      <c r="J8" s="2" t="s">
        <v>567</v>
      </c>
      <c r="K8" s="2" t="s">
        <v>175</v>
      </c>
      <c r="L8" s="2" t="s">
        <v>176</v>
      </c>
      <c r="M8" s="2" t="s">
        <v>177</v>
      </c>
      <c r="N8" s="2" t="s">
        <v>178</v>
      </c>
      <c r="O8" s="2" t="s">
        <v>179</v>
      </c>
      <c r="P8" s="2" t="s">
        <v>180</v>
      </c>
      <c r="Q8" s="2" t="s">
        <v>181</v>
      </c>
      <c r="R8" s="2" t="s">
        <v>182</v>
      </c>
      <c r="S8" s="2" t="s">
        <v>46</v>
      </c>
      <c r="T8">
        <v>930</v>
      </c>
      <c r="U8">
        <f>VLOOKUP(Auto_Sales_data___Copy[[#This Row],[CUSTOMER_NAME]],$AF$2:$AH$90,2,FALSE)</f>
        <v>259</v>
      </c>
      <c r="V8">
        <f>VLOOKUP(Auto_Sales_data___Copy[[#This Row],[CUSTOMER_NAME]],$AF$2:$AH$90,3,FALSE)</f>
        <v>912294.1100000001</v>
      </c>
      <c r="W8" s="2">
        <f>6-MATCH(Auto_Sales_data___Copy[[#This Row],[DAYS_SINCE_LAST_ORDER]],Table2[R-Cutoff],1)</f>
        <v>5</v>
      </c>
      <c r="X8" s="2">
        <f>MATCH(Auto_Sales_data___Copy[[#This Row],[Total_Orders_Per_Customer]],Table2[F-Cutoff],1)</f>
        <v>5</v>
      </c>
      <c r="Y8" s="2">
        <f>MATCH(Auto_Sales_data___Copy[[#This Row],[Total_Sales_Per_Customer]],Table2[M-Cutoff],1)</f>
        <v>5</v>
      </c>
      <c r="Z8" s="2" t="str">
        <f>Auto_Sales_data___Copy[[#This Row],[R-Score(1-5)]]&amp;Auto_Sales_data___Copy[[#This Row],[F-Score(1-5)]]&amp;Auto_Sales_data___Copy[[#This Row],[M-Score(1-5)]]</f>
        <v>555</v>
      </c>
      <c r="AA8" s="2" t="str" cm="1">
        <f t="array" ref="AA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" s="2" t="str">
        <f>VLOOKUP(Auto_Sales_data___Copy[[#This Row],[Segment Name]],Table3[],2,FALSE)</f>
        <v>VIP Recognitioon &amp; Inclusivity</v>
      </c>
      <c r="AF8" s="4" t="s">
        <v>22</v>
      </c>
      <c r="AG8" s="2">
        <v>49</v>
      </c>
      <c r="AH8" s="2">
        <v>164069.43999999997</v>
      </c>
    </row>
    <row r="9" spans="1:34" x14ac:dyDescent="0.25">
      <c r="A9">
        <v>10212</v>
      </c>
      <c r="B9">
        <v>39</v>
      </c>
      <c r="C9">
        <v>126.84</v>
      </c>
      <c r="D9">
        <v>16</v>
      </c>
      <c r="E9">
        <v>4946.76</v>
      </c>
      <c r="F9" s="1">
        <v>43481</v>
      </c>
      <c r="G9" s="2" t="s">
        <v>19</v>
      </c>
      <c r="H9" s="2" t="s">
        <v>183</v>
      </c>
      <c r="I9">
        <v>117</v>
      </c>
      <c r="J9" s="2" t="s">
        <v>546</v>
      </c>
      <c r="K9" s="2" t="s">
        <v>175</v>
      </c>
      <c r="L9" s="2" t="s">
        <v>176</v>
      </c>
      <c r="M9" s="2" t="s">
        <v>177</v>
      </c>
      <c r="N9" s="2" t="s">
        <v>178</v>
      </c>
      <c r="O9" s="2" t="s">
        <v>179</v>
      </c>
      <c r="P9" s="2" t="s">
        <v>180</v>
      </c>
      <c r="Q9" s="2" t="s">
        <v>181</v>
      </c>
      <c r="R9" s="2" t="s">
        <v>182</v>
      </c>
      <c r="S9" s="2" t="s">
        <v>46</v>
      </c>
      <c r="T9">
        <v>785</v>
      </c>
      <c r="U9">
        <f>VLOOKUP(Auto_Sales_data___Copy[[#This Row],[CUSTOMER_NAME]],$AF$2:$AH$90,2,FALSE)</f>
        <v>259</v>
      </c>
      <c r="V9">
        <f>VLOOKUP(Auto_Sales_data___Copy[[#This Row],[CUSTOMER_NAME]],$AF$2:$AH$90,3,FALSE)</f>
        <v>912294.1100000001</v>
      </c>
      <c r="W9" s="2">
        <f>6-MATCH(Auto_Sales_data___Copy[[#This Row],[DAYS_SINCE_LAST_ORDER]],Table2[R-Cutoff],1)</f>
        <v>5</v>
      </c>
      <c r="X9" s="2">
        <f>MATCH(Auto_Sales_data___Copy[[#This Row],[Total_Orders_Per_Customer]],Table2[F-Cutoff],1)</f>
        <v>5</v>
      </c>
      <c r="Y9" s="2">
        <f>MATCH(Auto_Sales_data___Copy[[#This Row],[Total_Sales_Per_Customer]],Table2[M-Cutoff],1)</f>
        <v>5</v>
      </c>
      <c r="Z9" s="2" t="str">
        <f>Auto_Sales_data___Copy[[#This Row],[R-Score(1-5)]]&amp;Auto_Sales_data___Copy[[#This Row],[F-Score(1-5)]]&amp;Auto_Sales_data___Copy[[#This Row],[M-Score(1-5)]]</f>
        <v>555</v>
      </c>
      <c r="AA9" s="2" t="str" cm="1">
        <f t="array" ref="AA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" s="2" t="str">
        <f>VLOOKUP(Auto_Sales_data___Copy[[#This Row],[Segment Name]],Table3[],2,FALSE)</f>
        <v>VIP Recognitioon &amp; Inclusivity</v>
      </c>
      <c r="AF9" s="4" t="s">
        <v>418</v>
      </c>
      <c r="AG9" s="2">
        <v>40</v>
      </c>
      <c r="AH9" s="2">
        <v>160010.27000000005</v>
      </c>
    </row>
    <row r="10" spans="1:34" x14ac:dyDescent="0.25">
      <c r="A10">
        <v>10212</v>
      </c>
      <c r="B10">
        <v>33</v>
      </c>
      <c r="C10">
        <v>126.68</v>
      </c>
      <c r="D10">
        <v>15</v>
      </c>
      <c r="E10">
        <v>4180.4399999999996</v>
      </c>
      <c r="F10" s="1">
        <v>43481</v>
      </c>
      <c r="G10" s="2" t="s">
        <v>19</v>
      </c>
      <c r="H10" s="2" t="s">
        <v>183</v>
      </c>
      <c r="I10">
        <v>115</v>
      </c>
      <c r="J10" s="2" t="s">
        <v>567</v>
      </c>
      <c r="K10" s="2" t="s">
        <v>175</v>
      </c>
      <c r="L10" s="2" t="s">
        <v>176</v>
      </c>
      <c r="M10" s="2" t="s">
        <v>177</v>
      </c>
      <c r="N10" s="2" t="s">
        <v>178</v>
      </c>
      <c r="O10" s="2" t="s">
        <v>179</v>
      </c>
      <c r="P10" s="2" t="s">
        <v>180</v>
      </c>
      <c r="Q10" s="2" t="s">
        <v>181</v>
      </c>
      <c r="R10" s="2" t="s">
        <v>182</v>
      </c>
      <c r="S10" s="2" t="s">
        <v>46</v>
      </c>
      <c r="T10">
        <v>886</v>
      </c>
      <c r="U10">
        <f>VLOOKUP(Auto_Sales_data___Copy[[#This Row],[CUSTOMER_NAME]],$AF$2:$AH$90,2,FALSE)</f>
        <v>259</v>
      </c>
      <c r="V10">
        <f>VLOOKUP(Auto_Sales_data___Copy[[#This Row],[CUSTOMER_NAME]],$AF$2:$AH$90,3,FALSE)</f>
        <v>912294.1100000001</v>
      </c>
      <c r="W10" s="2">
        <f>6-MATCH(Auto_Sales_data___Copy[[#This Row],[DAYS_SINCE_LAST_ORDER]],Table2[R-Cutoff],1)</f>
        <v>5</v>
      </c>
      <c r="X10" s="2">
        <f>MATCH(Auto_Sales_data___Copy[[#This Row],[Total_Orders_Per_Customer]],Table2[F-Cutoff],1)</f>
        <v>5</v>
      </c>
      <c r="Y10" s="2">
        <f>MATCH(Auto_Sales_data___Copy[[#This Row],[Total_Sales_Per_Customer]],Table2[M-Cutoff],1)</f>
        <v>5</v>
      </c>
      <c r="Z10" s="2" t="str">
        <f>Auto_Sales_data___Copy[[#This Row],[R-Score(1-5)]]&amp;Auto_Sales_data___Copy[[#This Row],[F-Score(1-5)]]&amp;Auto_Sales_data___Copy[[#This Row],[M-Score(1-5)]]</f>
        <v>555</v>
      </c>
      <c r="AA10" s="2" t="str" cm="1">
        <f t="array" ref="AA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" s="2" t="str">
        <f>VLOOKUP(Auto_Sales_data___Copy[[#This Row],[Segment Name]],Table3[],2,FALSE)</f>
        <v>VIP Recognitioon &amp; Inclusivity</v>
      </c>
      <c r="AF10" s="4" t="s">
        <v>523</v>
      </c>
      <c r="AG10" s="2">
        <v>51</v>
      </c>
      <c r="AH10" s="2">
        <v>157807.80999999994</v>
      </c>
    </row>
    <row r="11" spans="1:34" x14ac:dyDescent="0.25">
      <c r="A11">
        <v>10212</v>
      </c>
      <c r="B11">
        <v>29</v>
      </c>
      <c r="C11">
        <v>144.37</v>
      </c>
      <c r="D11">
        <v>10</v>
      </c>
      <c r="E11">
        <v>4186.7299999999996</v>
      </c>
      <c r="F11" s="1">
        <v>43481</v>
      </c>
      <c r="G11" s="2" t="s">
        <v>19</v>
      </c>
      <c r="H11" s="2" t="s">
        <v>183</v>
      </c>
      <c r="I11">
        <v>141</v>
      </c>
      <c r="J11" s="2" t="s">
        <v>576</v>
      </c>
      <c r="K11" s="2" t="s">
        <v>175</v>
      </c>
      <c r="L11" s="2" t="s">
        <v>176</v>
      </c>
      <c r="M11" s="2" t="s">
        <v>177</v>
      </c>
      <c r="N11" s="2" t="s">
        <v>178</v>
      </c>
      <c r="O11" s="2" t="s">
        <v>179</v>
      </c>
      <c r="P11" s="2" t="s">
        <v>180</v>
      </c>
      <c r="Q11" s="2" t="s">
        <v>181</v>
      </c>
      <c r="R11" s="2" t="s">
        <v>182</v>
      </c>
      <c r="S11" s="2" t="s">
        <v>46</v>
      </c>
      <c r="T11">
        <v>938</v>
      </c>
      <c r="U11">
        <f>VLOOKUP(Auto_Sales_data___Copy[[#This Row],[CUSTOMER_NAME]],$AF$2:$AH$90,2,FALSE)</f>
        <v>259</v>
      </c>
      <c r="V11">
        <f>VLOOKUP(Auto_Sales_data___Copy[[#This Row],[CUSTOMER_NAME]],$AF$2:$AH$90,3,FALSE)</f>
        <v>912294.1100000001</v>
      </c>
      <c r="W11" s="2">
        <f>6-MATCH(Auto_Sales_data___Copy[[#This Row],[DAYS_SINCE_LAST_ORDER]],Table2[R-Cutoff],1)</f>
        <v>5</v>
      </c>
      <c r="X11" s="2">
        <f>MATCH(Auto_Sales_data___Copy[[#This Row],[Total_Orders_Per_Customer]],Table2[F-Cutoff],1)</f>
        <v>5</v>
      </c>
      <c r="Y11" s="2">
        <f>MATCH(Auto_Sales_data___Copy[[#This Row],[Total_Sales_Per_Customer]],Table2[M-Cutoff],1)</f>
        <v>5</v>
      </c>
      <c r="Z11" s="2" t="str">
        <f>Auto_Sales_data___Copy[[#This Row],[R-Score(1-5)]]&amp;Auto_Sales_data___Copy[[#This Row],[F-Score(1-5)]]&amp;Auto_Sales_data___Copy[[#This Row],[M-Score(1-5)]]</f>
        <v>555</v>
      </c>
      <c r="AA11" s="2" t="str" cm="1">
        <f t="array" ref="AA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" s="2" t="str">
        <f>VLOOKUP(Auto_Sales_data___Copy[[#This Row],[Segment Name]],Table3[],2,FALSE)</f>
        <v>VIP Recognitioon &amp; Inclusivity</v>
      </c>
      <c r="AF11" s="4" t="s">
        <v>300</v>
      </c>
      <c r="AG11" s="2">
        <v>46</v>
      </c>
      <c r="AH11" s="2">
        <v>153996.12999999998</v>
      </c>
    </row>
    <row r="12" spans="1:34" x14ac:dyDescent="0.25">
      <c r="A12">
        <v>10244</v>
      </c>
      <c r="B12">
        <v>40</v>
      </c>
      <c r="C12">
        <v>117.12</v>
      </c>
      <c r="D12">
        <v>7</v>
      </c>
      <c r="E12">
        <v>4684.8</v>
      </c>
      <c r="F12" s="1">
        <v>43584</v>
      </c>
      <c r="G12" s="2" t="s">
        <v>19</v>
      </c>
      <c r="H12" s="2" t="s">
        <v>589</v>
      </c>
      <c r="I12">
        <v>102</v>
      </c>
      <c r="J12" s="2" t="s">
        <v>590</v>
      </c>
      <c r="K12" s="2" t="s">
        <v>175</v>
      </c>
      <c r="L12" s="2" t="s">
        <v>176</v>
      </c>
      <c r="M12" s="2" t="s">
        <v>177</v>
      </c>
      <c r="N12" s="2" t="s">
        <v>178</v>
      </c>
      <c r="O12" s="2" t="s">
        <v>179</v>
      </c>
      <c r="P12" s="2" t="s">
        <v>180</v>
      </c>
      <c r="Q12" s="2" t="s">
        <v>181</v>
      </c>
      <c r="R12" s="2" t="s">
        <v>182</v>
      </c>
      <c r="S12" s="2" t="s">
        <v>46</v>
      </c>
      <c r="T12">
        <v>863</v>
      </c>
      <c r="U12">
        <f>VLOOKUP(Auto_Sales_data___Copy[[#This Row],[CUSTOMER_NAME]],$AF$2:$AH$90,2,FALSE)</f>
        <v>259</v>
      </c>
      <c r="V12">
        <f>VLOOKUP(Auto_Sales_data___Copy[[#This Row],[CUSTOMER_NAME]],$AF$2:$AH$90,3,FALSE)</f>
        <v>912294.1100000001</v>
      </c>
      <c r="W12" s="2">
        <f>6-MATCH(Auto_Sales_data___Copy[[#This Row],[DAYS_SINCE_LAST_ORDER]],Table2[R-Cutoff],1)</f>
        <v>5</v>
      </c>
      <c r="X12" s="2">
        <f>MATCH(Auto_Sales_data___Copy[[#This Row],[Total_Orders_Per_Customer]],Table2[F-Cutoff],1)</f>
        <v>5</v>
      </c>
      <c r="Y12" s="2">
        <f>MATCH(Auto_Sales_data___Copy[[#This Row],[Total_Sales_Per_Customer]],Table2[M-Cutoff],1)</f>
        <v>5</v>
      </c>
      <c r="Z12" s="2" t="str">
        <f>Auto_Sales_data___Copy[[#This Row],[R-Score(1-5)]]&amp;Auto_Sales_data___Copy[[#This Row],[F-Score(1-5)]]&amp;Auto_Sales_data___Copy[[#This Row],[M-Score(1-5)]]</f>
        <v>555</v>
      </c>
      <c r="AA12" s="2" t="str" cm="1">
        <f t="array" ref="AA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" s="2" t="str">
        <f>VLOOKUP(Auto_Sales_data___Copy[[#This Row],[Segment Name]],Table3[],2,FALSE)</f>
        <v>VIP Recognitioon &amp; Inclusivity</v>
      </c>
      <c r="AF12" s="4" t="s">
        <v>152</v>
      </c>
      <c r="AG12" s="2">
        <v>46</v>
      </c>
      <c r="AH12" s="2">
        <v>151570.98000000001</v>
      </c>
    </row>
    <row r="13" spans="1:34" x14ac:dyDescent="0.25">
      <c r="A13">
        <v>10244</v>
      </c>
      <c r="B13">
        <v>20</v>
      </c>
      <c r="C13">
        <v>58.22</v>
      </c>
      <c r="D13">
        <v>6</v>
      </c>
      <c r="E13">
        <v>1164.4000000000001</v>
      </c>
      <c r="F13" s="1">
        <v>43584</v>
      </c>
      <c r="G13" s="2" t="s">
        <v>19</v>
      </c>
      <c r="H13" s="2" t="s">
        <v>589</v>
      </c>
      <c r="I13">
        <v>53</v>
      </c>
      <c r="J13" s="2" t="s">
        <v>605</v>
      </c>
      <c r="K13" s="2" t="s">
        <v>175</v>
      </c>
      <c r="L13" s="2" t="s">
        <v>176</v>
      </c>
      <c r="M13" s="2" t="s">
        <v>177</v>
      </c>
      <c r="N13" s="2" t="s">
        <v>178</v>
      </c>
      <c r="O13" s="2" t="s">
        <v>179</v>
      </c>
      <c r="P13" s="2" t="s">
        <v>180</v>
      </c>
      <c r="Q13" s="2" t="s">
        <v>181</v>
      </c>
      <c r="R13" s="2" t="s">
        <v>182</v>
      </c>
      <c r="S13" s="2" t="s">
        <v>30</v>
      </c>
      <c r="T13">
        <v>887</v>
      </c>
      <c r="U13">
        <f>VLOOKUP(Auto_Sales_data___Copy[[#This Row],[CUSTOMER_NAME]],$AF$2:$AH$90,2,FALSE)</f>
        <v>259</v>
      </c>
      <c r="V13">
        <f>VLOOKUP(Auto_Sales_data___Copy[[#This Row],[CUSTOMER_NAME]],$AF$2:$AH$90,3,FALSE)</f>
        <v>912294.1100000001</v>
      </c>
      <c r="W13" s="2">
        <f>6-MATCH(Auto_Sales_data___Copy[[#This Row],[DAYS_SINCE_LAST_ORDER]],Table2[R-Cutoff],1)</f>
        <v>5</v>
      </c>
      <c r="X13" s="2">
        <f>MATCH(Auto_Sales_data___Copy[[#This Row],[Total_Orders_Per_Customer]],Table2[F-Cutoff],1)</f>
        <v>5</v>
      </c>
      <c r="Y13" s="2">
        <f>MATCH(Auto_Sales_data___Copy[[#This Row],[Total_Sales_Per_Customer]],Table2[M-Cutoff],1)</f>
        <v>5</v>
      </c>
      <c r="Z13" s="2" t="str">
        <f>Auto_Sales_data___Copy[[#This Row],[R-Score(1-5)]]&amp;Auto_Sales_data___Copy[[#This Row],[F-Score(1-5)]]&amp;Auto_Sales_data___Copy[[#This Row],[M-Score(1-5)]]</f>
        <v>555</v>
      </c>
      <c r="AA13" s="2" t="str" cm="1">
        <f t="array" ref="AA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" s="2" t="str">
        <f>VLOOKUP(Auto_Sales_data___Copy[[#This Row],[Segment Name]],Table3[],2,FALSE)</f>
        <v>VIP Recognitioon &amp; Inclusivity</v>
      </c>
      <c r="AF13" s="4" t="s">
        <v>143</v>
      </c>
      <c r="AG13" s="2">
        <v>40</v>
      </c>
      <c r="AH13" s="2">
        <v>149798.63</v>
      </c>
    </row>
    <row r="14" spans="1:34" x14ac:dyDescent="0.25">
      <c r="A14">
        <v>10246</v>
      </c>
      <c r="B14">
        <v>46</v>
      </c>
      <c r="C14">
        <v>110.21</v>
      </c>
      <c r="D14">
        <v>5</v>
      </c>
      <c r="E14">
        <v>5069.66</v>
      </c>
      <c r="F14" s="1">
        <v>43590</v>
      </c>
      <c r="G14" s="2" t="s">
        <v>19</v>
      </c>
      <c r="H14" s="2" t="s">
        <v>537</v>
      </c>
      <c r="I14">
        <v>118</v>
      </c>
      <c r="J14" s="2" t="s">
        <v>554</v>
      </c>
      <c r="K14" s="2" t="s">
        <v>175</v>
      </c>
      <c r="L14" s="2" t="s">
        <v>176</v>
      </c>
      <c r="M14" s="2" t="s">
        <v>177</v>
      </c>
      <c r="N14" s="2" t="s">
        <v>178</v>
      </c>
      <c r="O14" s="2" t="s">
        <v>179</v>
      </c>
      <c r="P14" s="2" t="s">
        <v>180</v>
      </c>
      <c r="Q14" s="2" t="s">
        <v>181</v>
      </c>
      <c r="R14" s="2" t="s">
        <v>182</v>
      </c>
      <c r="S14" s="2" t="s">
        <v>46</v>
      </c>
      <c r="T14">
        <v>754</v>
      </c>
      <c r="U14">
        <f>VLOOKUP(Auto_Sales_data___Copy[[#This Row],[CUSTOMER_NAME]],$AF$2:$AH$90,2,FALSE)</f>
        <v>259</v>
      </c>
      <c r="V14">
        <f>VLOOKUP(Auto_Sales_data___Copy[[#This Row],[CUSTOMER_NAME]],$AF$2:$AH$90,3,FALSE)</f>
        <v>912294.1100000001</v>
      </c>
      <c r="W14" s="2">
        <f>6-MATCH(Auto_Sales_data___Copy[[#This Row],[DAYS_SINCE_LAST_ORDER]],Table2[R-Cutoff],1)</f>
        <v>5</v>
      </c>
      <c r="X14" s="2">
        <f>MATCH(Auto_Sales_data___Copy[[#This Row],[Total_Orders_Per_Customer]],Table2[F-Cutoff],1)</f>
        <v>5</v>
      </c>
      <c r="Y14" s="2">
        <f>MATCH(Auto_Sales_data___Copy[[#This Row],[Total_Sales_Per_Customer]],Table2[M-Cutoff],1)</f>
        <v>5</v>
      </c>
      <c r="Z14" s="2" t="str">
        <f>Auto_Sales_data___Copy[[#This Row],[R-Score(1-5)]]&amp;Auto_Sales_data___Copy[[#This Row],[F-Score(1-5)]]&amp;Auto_Sales_data___Copy[[#This Row],[M-Score(1-5)]]</f>
        <v>555</v>
      </c>
      <c r="AA14" s="2" t="str" cm="1">
        <f t="array" ref="AA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" s="2" t="str">
        <f>VLOOKUP(Auto_Sales_data___Copy[[#This Row],[Segment Name]],Table3[],2,FALSE)</f>
        <v>VIP Recognitioon &amp; Inclusivity</v>
      </c>
      <c r="AF14" s="4" t="s">
        <v>339</v>
      </c>
      <c r="AG14" s="2">
        <v>36</v>
      </c>
      <c r="AH14" s="2">
        <v>145041.60000000001</v>
      </c>
    </row>
    <row r="15" spans="1:34" x14ac:dyDescent="0.25">
      <c r="A15">
        <v>10262</v>
      </c>
      <c r="B15">
        <v>49</v>
      </c>
      <c r="C15">
        <v>134.04</v>
      </c>
      <c r="D15">
        <v>9</v>
      </c>
      <c r="E15">
        <v>6567.96</v>
      </c>
      <c r="F15" s="1">
        <v>43640</v>
      </c>
      <c r="G15" s="2" t="s">
        <v>358</v>
      </c>
      <c r="H15" s="2" t="s">
        <v>607</v>
      </c>
      <c r="I15">
        <v>157</v>
      </c>
      <c r="J15" s="2" t="s">
        <v>608</v>
      </c>
      <c r="K15" s="2" t="s">
        <v>175</v>
      </c>
      <c r="L15" s="2" t="s">
        <v>176</v>
      </c>
      <c r="M15" s="2" t="s">
        <v>177</v>
      </c>
      <c r="N15" s="2" t="s">
        <v>178</v>
      </c>
      <c r="O15" s="2" t="s">
        <v>179</v>
      </c>
      <c r="P15" s="2" t="s">
        <v>180</v>
      </c>
      <c r="Q15" s="2" t="s">
        <v>181</v>
      </c>
      <c r="R15" s="2" t="s">
        <v>182</v>
      </c>
      <c r="S15" s="2" t="s">
        <v>46</v>
      </c>
      <c r="T15">
        <v>881</v>
      </c>
      <c r="U15">
        <f>VLOOKUP(Auto_Sales_data___Copy[[#This Row],[CUSTOMER_NAME]],$AF$2:$AH$90,2,FALSE)</f>
        <v>259</v>
      </c>
      <c r="V15">
        <f>VLOOKUP(Auto_Sales_data___Copy[[#This Row],[CUSTOMER_NAME]],$AF$2:$AH$90,3,FALSE)</f>
        <v>912294.1100000001</v>
      </c>
      <c r="W15" s="2">
        <f>6-MATCH(Auto_Sales_data___Copy[[#This Row],[DAYS_SINCE_LAST_ORDER]],Table2[R-Cutoff],1)</f>
        <v>5</v>
      </c>
      <c r="X15" s="2">
        <f>MATCH(Auto_Sales_data___Copy[[#This Row],[Total_Orders_Per_Customer]],Table2[F-Cutoff],1)</f>
        <v>5</v>
      </c>
      <c r="Y15" s="2">
        <f>MATCH(Auto_Sales_data___Copy[[#This Row],[Total_Sales_Per_Customer]],Table2[M-Cutoff],1)</f>
        <v>5</v>
      </c>
      <c r="Z15" s="2" t="str">
        <f>Auto_Sales_data___Copy[[#This Row],[R-Score(1-5)]]&amp;Auto_Sales_data___Copy[[#This Row],[F-Score(1-5)]]&amp;Auto_Sales_data___Copy[[#This Row],[M-Score(1-5)]]</f>
        <v>555</v>
      </c>
      <c r="AA15" s="2" t="str" cm="1">
        <f t="array" ref="AA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" s="2" t="str">
        <f>VLOOKUP(Auto_Sales_data___Copy[[#This Row],[Segment Name]],Table3[],2,FALSE)</f>
        <v>VIP Recognitioon &amp; Inclusivity</v>
      </c>
      <c r="AF15" s="4" t="s">
        <v>224</v>
      </c>
      <c r="AG15" s="2">
        <v>41</v>
      </c>
      <c r="AH15" s="2">
        <v>142874.24999999997</v>
      </c>
    </row>
    <row r="16" spans="1:34" x14ac:dyDescent="0.25">
      <c r="A16">
        <v>10311</v>
      </c>
      <c r="B16">
        <v>29</v>
      </c>
      <c r="C16">
        <v>100.8</v>
      </c>
      <c r="D16">
        <v>9</v>
      </c>
      <c r="E16">
        <v>2923.2</v>
      </c>
      <c r="F16" s="1">
        <v>43754</v>
      </c>
      <c r="G16" s="2" t="s">
        <v>19</v>
      </c>
      <c r="H16" s="2" t="s">
        <v>183</v>
      </c>
      <c r="I16">
        <v>124</v>
      </c>
      <c r="J16" s="2" t="s">
        <v>606</v>
      </c>
      <c r="K16" s="2" t="s">
        <v>175</v>
      </c>
      <c r="L16" s="2" t="s">
        <v>176</v>
      </c>
      <c r="M16" s="2" t="s">
        <v>177</v>
      </c>
      <c r="N16" s="2" t="s">
        <v>178</v>
      </c>
      <c r="O16" s="2" t="s">
        <v>179</v>
      </c>
      <c r="P16" s="2" t="s">
        <v>180</v>
      </c>
      <c r="Q16" s="2" t="s">
        <v>181</v>
      </c>
      <c r="R16" s="2" t="s">
        <v>182</v>
      </c>
      <c r="S16" s="2" t="s">
        <v>30</v>
      </c>
      <c r="T16">
        <v>747</v>
      </c>
      <c r="U16">
        <f>VLOOKUP(Auto_Sales_data___Copy[[#This Row],[CUSTOMER_NAME]],$AF$2:$AH$90,2,FALSE)</f>
        <v>259</v>
      </c>
      <c r="V16">
        <f>VLOOKUP(Auto_Sales_data___Copy[[#This Row],[CUSTOMER_NAME]],$AF$2:$AH$90,3,FALSE)</f>
        <v>912294.1100000001</v>
      </c>
      <c r="W16" s="2">
        <f>6-MATCH(Auto_Sales_data___Copy[[#This Row],[DAYS_SINCE_LAST_ORDER]],Table2[R-Cutoff],1)</f>
        <v>5</v>
      </c>
      <c r="X16" s="2">
        <f>MATCH(Auto_Sales_data___Copy[[#This Row],[Total_Orders_Per_Customer]],Table2[F-Cutoff],1)</f>
        <v>5</v>
      </c>
      <c r="Y16" s="2">
        <f>MATCH(Auto_Sales_data___Copy[[#This Row],[Total_Sales_Per_Customer]],Table2[M-Cutoff],1)</f>
        <v>5</v>
      </c>
      <c r="Z16" s="2" t="str">
        <f>Auto_Sales_data___Copy[[#This Row],[R-Score(1-5)]]&amp;Auto_Sales_data___Copy[[#This Row],[F-Score(1-5)]]&amp;Auto_Sales_data___Copy[[#This Row],[M-Score(1-5)]]</f>
        <v>555</v>
      </c>
      <c r="AA16" s="2" t="str" cm="1">
        <f t="array" ref="AA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" s="2" t="str">
        <f>VLOOKUP(Auto_Sales_data___Copy[[#This Row],[Segment Name]],Table3[],2,FALSE)</f>
        <v>VIP Recognitioon &amp; Inclusivity</v>
      </c>
      <c r="AF16" s="4" t="s">
        <v>480</v>
      </c>
      <c r="AG16" s="2">
        <v>39</v>
      </c>
      <c r="AH16" s="2">
        <v>142601.33000000002</v>
      </c>
    </row>
    <row r="17" spans="1:34" x14ac:dyDescent="0.25">
      <c r="A17">
        <v>10350</v>
      </c>
      <c r="B17">
        <v>26</v>
      </c>
      <c r="C17">
        <v>75.47</v>
      </c>
      <c r="D17">
        <v>5</v>
      </c>
      <c r="E17">
        <v>1962.22</v>
      </c>
      <c r="F17" s="1">
        <v>43801</v>
      </c>
      <c r="G17" s="2" t="s">
        <v>19</v>
      </c>
      <c r="H17" s="2" t="s">
        <v>183</v>
      </c>
      <c r="I17">
        <v>136</v>
      </c>
      <c r="J17" s="2" t="s">
        <v>338</v>
      </c>
      <c r="K17" s="2" t="s">
        <v>175</v>
      </c>
      <c r="L17" s="2" t="s">
        <v>176</v>
      </c>
      <c r="M17" s="2" t="s">
        <v>177</v>
      </c>
      <c r="N17" s="2" t="s">
        <v>178</v>
      </c>
      <c r="O17" s="2" t="s">
        <v>179</v>
      </c>
      <c r="P17" s="2" t="s">
        <v>180</v>
      </c>
      <c r="Q17" s="2" t="s">
        <v>181</v>
      </c>
      <c r="R17" s="2" t="s">
        <v>182</v>
      </c>
      <c r="S17" s="2" t="s">
        <v>30</v>
      </c>
      <c r="T17">
        <v>299</v>
      </c>
      <c r="U17">
        <f>VLOOKUP(Auto_Sales_data___Copy[[#This Row],[CUSTOMER_NAME]],$AF$2:$AH$90,2,FALSE)</f>
        <v>259</v>
      </c>
      <c r="V17">
        <f>VLOOKUP(Auto_Sales_data___Copy[[#This Row],[CUSTOMER_NAME]],$AF$2:$AH$90,3,FALSE)</f>
        <v>912294.1100000001</v>
      </c>
      <c r="W17" s="2">
        <f>6-MATCH(Auto_Sales_data___Copy[[#This Row],[DAYS_SINCE_LAST_ORDER]],Table2[R-Cutoff],1)</f>
        <v>5</v>
      </c>
      <c r="X17" s="2">
        <f>MATCH(Auto_Sales_data___Copy[[#This Row],[Total_Orders_Per_Customer]],Table2[F-Cutoff],1)</f>
        <v>5</v>
      </c>
      <c r="Y17" s="2">
        <f>MATCH(Auto_Sales_data___Copy[[#This Row],[Total_Sales_Per_Customer]],Table2[M-Cutoff],1)</f>
        <v>5</v>
      </c>
      <c r="Z17" s="2" t="str">
        <f>Auto_Sales_data___Copy[[#This Row],[R-Score(1-5)]]&amp;Auto_Sales_data___Copy[[#This Row],[F-Score(1-5)]]&amp;Auto_Sales_data___Copy[[#This Row],[M-Score(1-5)]]</f>
        <v>555</v>
      </c>
      <c r="AA17" s="2" t="str" cm="1">
        <f t="array" ref="AA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" s="2" t="str">
        <f>VLOOKUP(Auto_Sales_data___Copy[[#This Row],[Segment Name]],Table3[],2,FALSE)</f>
        <v>VIP Recognitioon &amp; Inclusivity</v>
      </c>
      <c r="AF17" s="4" t="s">
        <v>591</v>
      </c>
      <c r="AG17" s="2">
        <v>48</v>
      </c>
      <c r="AH17" s="2">
        <v>137955.72</v>
      </c>
    </row>
    <row r="18" spans="1:34" x14ac:dyDescent="0.25">
      <c r="A18">
        <v>10358</v>
      </c>
      <c r="B18">
        <v>49</v>
      </c>
      <c r="C18">
        <v>55.34</v>
      </c>
      <c r="D18">
        <v>5</v>
      </c>
      <c r="E18">
        <v>2711.66</v>
      </c>
      <c r="F18" s="1">
        <v>43809</v>
      </c>
      <c r="G18" s="2" t="s">
        <v>19</v>
      </c>
      <c r="H18" s="2" t="s">
        <v>183</v>
      </c>
      <c r="I18">
        <v>151</v>
      </c>
      <c r="J18" s="2" t="s">
        <v>545</v>
      </c>
      <c r="K18" s="2" t="s">
        <v>175</v>
      </c>
      <c r="L18" s="2" t="s">
        <v>176</v>
      </c>
      <c r="M18" s="2" t="s">
        <v>177</v>
      </c>
      <c r="N18" s="2" t="s">
        <v>178</v>
      </c>
      <c r="O18" s="2" t="s">
        <v>179</v>
      </c>
      <c r="P18" s="2" t="s">
        <v>180</v>
      </c>
      <c r="Q18" s="2" t="s">
        <v>181</v>
      </c>
      <c r="R18" s="2" t="s">
        <v>182</v>
      </c>
      <c r="S18" s="2" t="s">
        <v>30</v>
      </c>
      <c r="T18">
        <v>445</v>
      </c>
      <c r="U18">
        <f>VLOOKUP(Auto_Sales_data___Copy[[#This Row],[CUSTOMER_NAME]],$AF$2:$AH$90,2,FALSE)</f>
        <v>259</v>
      </c>
      <c r="V18">
        <f>VLOOKUP(Auto_Sales_data___Copy[[#This Row],[CUSTOMER_NAME]],$AF$2:$AH$90,3,FALSE)</f>
        <v>912294.1100000001</v>
      </c>
      <c r="W18" s="2">
        <f>6-MATCH(Auto_Sales_data___Copy[[#This Row],[DAYS_SINCE_LAST_ORDER]],Table2[R-Cutoff],1)</f>
        <v>5</v>
      </c>
      <c r="X18" s="2">
        <f>MATCH(Auto_Sales_data___Copy[[#This Row],[Total_Orders_Per_Customer]],Table2[F-Cutoff],1)</f>
        <v>5</v>
      </c>
      <c r="Y18" s="2">
        <f>MATCH(Auto_Sales_data___Copy[[#This Row],[Total_Sales_Per_Customer]],Table2[M-Cutoff],1)</f>
        <v>5</v>
      </c>
      <c r="Z18" s="2" t="str">
        <f>Auto_Sales_data___Copy[[#This Row],[R-Score(1-5)]]&amp;Auto_Sales_data___Copy[[#This Row],[F-Score(1-5)]]&amp;Auto_Sales_data___Copy[[#This Row],[M-Score(1-5)]]</f>
        <v>555</v>
      </c>
      <c r="AA18" s="2" t="str" cm="1">
        <f t="array" ref="AA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" s="2" t="str">
        <f>VLOOKUP(Auto_Sales_data___Copy[[#This Row],[Segment Name]],Table3[],2,FALSE)</f>
        <v>VIP Recognitioon &amp; Inclusivity</v>
      </c>
      <c r="AF18" s="4" t="s">
        <v>31</v>
      </c>
      <c r="AG18" s="2">
        <v>41</v>
      </c>
      <c r="AH18" s="2">
        <v>135042.94</v>
      </c>
    </row>
    <row r="19" spans="1:34" x14ac:dyDescent="0.25">
      <c r="A19">
        <v>10358</v>
      </c>
      <c r="B19">
        <v>42</v>
      </c>
      <c r="C19">
        <v>64.16</v>
      </c>
      <c r="D19">
        <v>9</v>
      </c>
      <c r="E19">
        <v>2694.72</v>
      </c>
      <c r="F19" s="1">
        <v>43809</v>
      </c>
      <c r="G19" s="2" t="s">
        <v>19</v>
      </c>
      <c r="H19" s="2" t="s">
        <v>537</v>
      </c>
      <c r="I19">
        <v>118</v>
      </c>
      <c r="J19" s="2" t="s">
        <v>554</v>
      </c>
      <c r="K19" s="2" t="s">
        <v>175</v>
      </c>
      <c r="L19" s="2" t="s">
        <v>176</v>
      </c>
      <c r="M19" s="2" t="s">
        <v>177</v>
      </c>
      <c r="N19" s="2" t="s">
        <v>178</v>
      </c>
      <c r="O19" s="2" t="s">
        <v>179</v>
      </c>
      <c r="P19" s="2" t="s">
        <v>180</v>
      </c>
      <c r="Q19" s="2" t="s">
        <v>181</v>
      </c>
      <c r="R19" s="2" t="s">
        <v>182</v>
      </c>
      <c r="S19" s="2" t="s">
        <v>30</v>
      </c>
      <c r="T19">
        <v>545</v>
      </c>
      <c r="U19">
        <f>VLOOKUP(Auto_Sales_data___Copy[[#This Row],[CUSTOMER_NAME]],$AF$2:$AH$90,2,FALSE)</f>
        <v>259</v>
      </c>
      <c r="V19">
        <f>VLOOKUP(Auto_Sales_data___Copy[[#This Row],[CUSTOMER_NAME]],$AF$2:$AH$90,3,FALSE)</f>
        <v>912294.1100000001</v>
      </c>
      <c r="W19" s="2">
        <f>6-MATCH(Auto_Sales_data___Copy[[#This Row],[DAYS_SINCE_LAST_ORDER]],Table2[R-Cutoff],1)</f>
        <v>5</v>
      </c>
      <c r="X19" s="2">
        <f>MATCH(Auto_Sales_data___Copy[[#This Row],[Total_Orders_Per_Customer]],Table2[F-Cutoff],1)</f>
        <v>5</v>
      </c>
      <c r="Y19" s="2">
        <f>MATCH(Auto_Sales_data___Copy[[#This Row],[Total_Sales_Per_Customer]],Table2[M-Cutoff],1)</f>
        <v>5</v>
      </c>
      <c r="Z19" s="2" t="str">
        <f>Auto_Sales_data___Copy[[#This Row],[R-Score(1-5)]]&amp;Auto_Sales_data___Copy[[#This Row],[F-Score(1-5)]]&amp;Auto_Sales_data___Copy[[#This Row],[M-Score(1-5)]]</f>
        <v>555</v>
      </c>
      <c r="AA19" s="2" t="str" cm="1">
        <f t="array" ref="AA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" s="2" t="str">
        <f>VLOOKUP(Auto_Sales_data___Copy[[#This Row],[Segment Name]],Table3[],2,FALSE)</f>
        <v>VIP Recognitioon &amp; Inclusivity</v>
      </c>
      <c r="AF19" s="4" t="s">
        <v>272</v>
      </c>
      <c r="AG19" s="2">
        <v>38</v>
      </c>
      <c r="AH19" s="2">
        <v>134259.32999999996</v>
      </c>
    </row>
    <row r="20" spans="1:34" x14ac:dyDescent="0.25">
      <c r="A20">
        <v>10358</v>
      </c>
      <c r="B20">
        <v>20</v>
      </c>
      <c r="C20">
        <v>121.4</v>
      </c>
      <c r="D20">
        <v>10</v>
      </c>
      <c r="E20">
        <v>2428</v>
      </c>
      <c r="F20" s="1">
        <v>43809</v>
      </c>
      <c r="G20" s="2" t="s">
        <v>19</v>
      </c>
      <c r="H20" s="2" t="s">
        <v>183</v>
      </c>
      <c r="I20">
        <v>163</v>
      </c>
      <c r="J20" s="2" t="s">
        <v>631</v>
      </c>
      <c r="K20" s="2" t="s">
        <v>175</v>
      </c>
      <c r="L20" s="2" t="s">
        <v>176</v>
      </c>
      <c r="M20" s="2" t="s">
        <v>177</v>
      </c>
      <c r="N20" s="2" t="s">
        <v>178</v>
      </c>
      <c r="O20" s="2" t="s">
        <v>179</v>
      </c>
      <c r="P20" s="2" t="s">
        <v>180</v>
      </c>
      <c r="Q20" s="2" t="s">
        <v>181</v>
      </c>
      <c r="R20" s="2" t="s">
        <v>182</v>
      </c>
      <c r="S20" s="2" t="s">
        <v>30</v>
      </c>
      <c r="T20">
        <v>821</v>
      </c>
      <c r="U20">
        <f>VLOOKUP(Auto_Sales_data___Copy[[#This Row],[CUSTOMER_NAME]],$AF$2:$AH$90,2,FALSE)</f>
        <v>259</v>
      </c>
      <c r="V20">
        <f>VLOOKUP(Auto_Sales_data___Copy[[#This Row],[CUSTOMER_NAME]],$AF$2:$AH$90,3,FALSE)</f>
        <v>912294.1100000001</v>
      </c>
      <c r="W20" s="2">
        <f>6-MATCH(Auto_Sales_data___Copy[[#This Row],[DAYS_SINCE_LAST_ORDER]],Table2[R-Cutoff],1)</f>
        <v>5</v>
      </c>
      <c r="X20" s="2">
        <f>MATCH(Auto_Sales_data___Copy[[#This Row],[Total_Orders_Per_Customer]],Table2[F-Cutoff],1)</f>
        <v>5</v>
      </c>
      <c r="Y20" s="2">
        <f>MATCH(Auto_Sales_data___Copy[[#This Row],[Total_Sales_Per_Customer]],Table2[M-Cutoff],1)</f>
        <v>5</v>
      </c>
      <c r="Z20" s="2" t="str">
        <f>Auto_Sales_data___Copy[[#This Row],[R-Score(1-5)]]&amp;Auto_Sales_data___Copy[[#This Row],[F-Score(1-5)]]&amp;Auto_Sales_data___Copy[[#This Row],[M-Score(1-5)]]</f>
        <v>555</v>
      </c>
      <c r="AA20" s="2" t="str" cm="1">
        <f t="array" ref="AA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" s="2" t="str">
        <f>VLOOKUP(Auto_Sales_data___Copy[[#This Row],[Segment Name]],Table3[],2,FALSE)</f>
        <v>VIP Recognitioon &amp; Inclusivity</v>
      </c>
      <c r="AF20" s="4" t="s">
        <v>290</v>
      </c>
      <c r="AG20" s="2">
        <v>34</v>
      </c>
      <c r="AH20" s="2">
        <v>131685.29999999999</v>
      </c>
    </row>
    <row r="21" spans="1:34" x14ac:dyDescent="0.25">
      <c r="A21">
        <v>10358</v>
      </c>
      <c r="B21">
        <v>20</v>
      </c>
      <c r="C21">
        <v>36.42</v>
      </c>
      <c r="D21">
        <v>11</v>
      </c>
      <c r="E21">
        <v>728.4</v>
      </c>
      <c r="F21" s="1">
        <v>43809</v>
      </c>
      <c r="G21" s="2" t="s">
        <v>19</v>
      </c>
      <c r="H21" s="2" t="s">
        <v>537</v>
      </c>
      <c r="I21">
        <v>122</v>
      </c>
      <c r="J21" s="2" t="s">
        <v>633</v>
      </c>
      <c r="K21" s="2" t="s">
        <v>175</v>
      </c>
      <c r="L21" s="2" t="s">
        <v>176</v>
      </c>
      <c r="M21" s="2" t="s">
        <v>177</v>
      </c>
      <c r="N21" s="2" t="s">
        <v>178</v>
      </c>
      <c r="O21" s="2" t="s">
        <v>179</v>
      </c>
      <c r="P21" s="2" t="s">
        <v>180</v>
      </c>
      <c r="Q21" s="2" t="s">
        <v>181</v>
      </c>
      <c r="R21" s="2" t="s">
        <v>182</v>
      </c>
      <c r="S21" s="2" t="s">
        <v>30</v>
      </c>
      <c r="T21">
        <v>868</v>
      </c>
      <c r="U21">
        <f>VLOOKUP(Auto_Sales_data___Copy[[#This Row],[CUSTOMER_NAME]],$AF$2:$AH$90,2,FALSE)</f>
        <v>259</v>
      </c>
      <c r="V21">
        <f>VLOOKUP(Auto_Sales_data___Copy[[#This Row],[CUSTOMER_NAME]],$AF$2:$AH$90,3,FALSE)</f>
        <v>912294.1100000001</v>
      </c>
      <c r="W21" s="2">
        <f>6-MATCH(Auto_Sales_data___Copy[[#This Row],[DAYS_SINCE_LAST_ORDER]],Table2[R-Cutoff],1)</f>
        <v>5</v>
      </c>
      <c r="X21" s="2">
        <f>MATCH(Auto_Sales_data___Copy[[#This Row],[Total_Orders_Per_Customer]],Table2[F-Cutoff],1)</f>
        <v>5</v>
      </c>
      <c r="Y21" s="2">
        <f>MATCH(Auto_Sales_data___Copy[[#This Row],[Total_Sales_Per_Customer]],Table2[M-Cutoff],1)</f>
        <v>5</v>
      </c>
      <c r="Z21" s="2" t="str">
        <f>Auto_Sales_data___Copy[[#This Row],[R-Score(1-5)]]&amp;Auto_Sales_data___Copy[[#This Row],[F-Score(1-5)]]&amp;Auto_Sales_data___Copy[[#This Row],[M-Score(1-5)]]</f>
        <v>555</v>
      </c>
      <c r="AA21" s="2" t="str" cm="1">
        <f t="array" ref="AA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" s="2" t="str">
        <f>VLOOKUP(Auto_Sales_data___Copy[[#This Row],[Segment Name]],Table3[],2,FALSE)</f>
        <v>VIP Recognitioon &amp; Inclusivity</v>
      </c>
      <c r="AF21" s="4" t="s">
        <v>137</v>
      </c>
      <c r="AG21" s="2">
        <v>31</v>
      </c>
      <c r="AH21" s="2">
        <v>122138.14</v>
      </c>
    </row>
    <row r="22" spans="1:34" x14ac:dyDescent="0.25">
      <c r="A22">
        <v>10378</v>
      </c>
      <c r="B22">
        <v>34</v>
      </c>
      <c r="C22">
        <v>42.64</v>
      </c>
      <c r="D22">
        <v>5</v>
      </c>
      <c r="E22">
        <v>1449.76</v>
      </c>
      <c r="F22" s="1">
        <v>43871</v>
      </c>
      <c r="G22" s="2" t="s">
        <v>19</v>
      </c>
      <c r="H22" s="2" t="s">
        <v>183</v>
      </c>
      <c r="I22">
        <v>124</v>
      </c>
      <c r="J22" s="2" t="s">
        <v>606</v>
      </c>
      <c r="K22" s="2" t="s">
        <v>175</v>
      </c>
      <c r="L22" s="2" t="s">
        <v>176</v>
      </c>
      <c r="M22" s="2" t="s">
        <v>177</v>
      </c>
      <c r="N22" s="2" t="s">
        <v>178</v>
      </c>
      <c r="O22" s="2" t="s">
        <v>179</v>
      </c>
      <c r="P22" s="2" t="s">
        <v>180</v>
      </c>
      <c r="Q22" s="2" t="s">
        <v>181</v>
      </c>
      <c r="R22" s="2" t="s">
        <v>182</v>
      </c>
      <c r="S22" s="2" t="s">
        <v>30</v>
      </c>
      <c r="T22">
        <v>635</v>
      </c>
      <c r="U22">
        <f>VLOOKUP(Auto_Sales_data___Copy[[#This Row],[CUSTOMER_NAME]],$AF$2:$AH$90,2,FALSE)</f>
        <v>259</v>
      </c>
      <c r="V22">
        <f>VLOOKUP(Auto_Sales_data___Copy[[#This Row],[CUSTOMER_NAME]],$AF$2:$AH$90,3,FALSE)</f>
        <v>912294.1100000001</v>
      </c>
      <c r="W22" s="2">
        <f>6-MATCH(Auto_Sales_data___Copy[[#This Row],[DAYS_SINCE_LAST_ORDER]],Table2[R-Cutoff],1)</f>
        <v>5</v>
      </c>
      <c r="X22" s="2">
        <f>MATCH(Auto_Sales_data___Copy[[#This Row],[Total_Orders_Per_Customer]],Table2[F-Cutoff],1)</f>
        <v>5</v>
      </c>
      <c r="Y22" s="2">
        <f>MATCH(Auto_Sales_data___Copy[[#This Row],[Total_Sales_Per_Customer]],Table2[M-Cutoff],1)</f>
        <v>5</v>
      </c>
      <c r="Z22" s="2" t="str">
        <f>Auto_Sales_data___Copy[[#This Row],[R-Score(1-5)]]&amp;Auto_Sales_data___Copy[[#This Row],[F-Score(1-5)]]&amp;Auto_Sales_data___Copy[[#This Row],[M-Score(1-5)]]</f>
        <v>555</v>
      </c>
      <c r="AA22" s="2" t="str" cm="1">
        <f t="array" ref="AA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" s="2" t="str">
        <f>VLOOKUP(Auto_Sales_data___Copy[[#This Row],[Segment Name]],Table3[],2,FALSE)</f>
        <v>VIP Recognitioon &amp; Inclusivity</v>
      </c>
      <c r="AF22" s="4" t="s">
        <v>54</v>
      </c>
      <c r="AG22" s="2">
        <v>34</v>
      </c>
      <c r="AH22" s="2">
        <v>120783.07</v>
      </c>
    </row>
    <row r="23" spans="1:34" x14ac:dyDescent="0.25">
      <c r="A23">
        <v>10379</v>
      </c>
      <c r="B23">
        <v>39</v>
      </c>
      <c r="C23">
        <v>138.44999999999999</v>
      </c>
      <c r="D23">
        <v>2</v>
      </c>
      <c r="E23">
        <v>5399.55</v>
      </c>
      <c r="F23" s="1">
        <v>43871</v>
      </c>
      <c r="G23" s="2" t="s">
        <v>19</v>
      </c>
      <c r="H23" s="2" t="s">
        <v>589</v>
      </c>
      <c r="I23">
        <v>170</v>
      </c>
      <c r="J23" s="2" t="s">
        <v>628</v>
      </c>
      <c r="K23" s="2" t="s">
        <v>175</v>
      </c>
      <c r="L23" s="2" t="s">
        <v>176</v>
      </c>
      <c r="M23" s="2" t="s">
        <v>177</v>
      </c>
      <c r="N23" s="2" t="s">
        <v>178</v>
      </c>
      <c r="O23" s="2" t="s">
        <v>179</v>
      </c>
      <c r="P23" s="2" t="s">
        <v>180</v>
      </c>
      <c r="Q23" s="2" t="s">
        <v>181</v>
      </c>
      <c r="R23" s="2" t="s">
        <v>182</v>
      </c>
      <c r="S23" s="2" t="s">
        <v>46</v>
      </c>
      <c r="T23">
        <v>682</v>
      </c>
      <c r="U23">
        <f>VLOOKUP(Auto_Sales_data___Copy[[#This Row],[CUSTOMER_NAME]],$AF$2:$AH$90,2,FALSE)</f>
        <v>259</v>
      </c>
      <c r="V23">
        <f>VLOOKUP(Auto_Sales_data___Copy[[#This Row],[CUSTOMER_NAME]],$AF$2:$AH$90,3,FALSE)</f>
        <v>912294.1100000001</v>
      </c>
      <c r="W23" s="2">
        <f>6-MATCH(Auto_Sales_data___Copy[[#This Row],[DAYS_SINCE_LAST_ORDER]],Table2[R-Cutoff],1)</f>
        <v>5</v>
      </c>
      <c r="X23" s="2">
        <f>MATCH(Auto_Sales_data___Copy[[#This Row],[Total_Orders_Per_Customer]],Table2[F-Cutoff],1)</f>
        <v>5</v>
      </c>
      <c r="Y23" s="2">
        <f>MATCH(Auto_Sales_data___Copy[[#This Row],[Total_Sales_Per_Customer]],Table2[M-Cutoff],1)</f>
        <v>5</v>
      </c>
      <c r="Z23" s="2" t="str">
        <f>Auto_Sales_data___Copy[[#This Row],[R-Score(1-5)]]&amp;Auto_Sales_data___Copy[[#This Row],[F-Score(1-5)]]&amp;Auto_Sales_data___Copy[[#This Row],[M-Score(1-5)]]</f>
        <v>555</v>
      </c>
      <c r="AA23" s="2" t="str" cm="1">
        <f t="array" ref="AA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" s="2" t="str">
        <f>VLOOKUP(Auto_Sales_data___Copy[[#This Row],[Segment Name]],Table3[],2,FALSE)</f>
        <v>VIP Recognitioon &amp; Inclusivity</v>
      </c>
      <c r="AF23" s="4" t="s">
        <v>193</v>
      </c>
      <c r="AG23" s="2">
        <v>32</v>
      </c>
      <c r="AH23" s="2">
        <v>120615.28</v>
      </c>
    </row>
    <row r="24" spans="1:34" x14ac:dyDescent="0.25">
      <c r="A24">
        <v>10379</v>
      </c>
      <c r="B24">
        <v>27</v>
      </c>
      <c r="C24">
        <v>49.3</v>
      </c>
      <c r="D24">
        <v>1</v>
      </c>
      <c r="E24">
        <v>1331.1</v>
      </c>
      <c r="F24" s="1">
        <v>43871</v>
      </c>
      <c r="G24" s="2" t="s">
        <v>19</v>
      </c>
      <c r="H24" s="2" t="s">
        <v>589</v>
      </c>
      <c r="I24">
        <v>60</v>
      </c>
      <c r="J24" s="2" t="s">
        <v>632</v>
      </c>
      <c r="K24" s="2" t="s">
        <v>175</v>
      </c>
      <c r="L24" s="2" t="s">
        <v>176</v>
      </c>
      <c r="M24" s="2" t="s">
        <v>177</v>
      </c>
      <c r="N24" s="2" t="s">
        <v>178</v>
      </c>
      <c r="O24" s="2" t="s">
        <v>179</v>
      </c>
      <c r="P24" s="2" t="s">
        <v>180</v>
      </c>
      <c r="Q24" s="2" t="s">
        <v>181</v>
      </c>
      <c r="R24" s="2" t="s">
        <v>182</v>
      </c>
      <c r="S24" s="2" t="s">
        <v>30</v>
      </c>
      <c r="T24">
        <v>782</v>
      </c>
      <c r="U24">
        <f>VLOOKUP(Auto_Sales_data___Copy[[#This Row],[CUSTOMER_NAME]],$AF$2:$AH$90,2,FALSE)</f>
        <v>259</v>
      </c>
      <c r="V24">
        <f>VLOOKUP(Auto_Sales_data___Copy[[#This Row],[CUSTOMER_NAME]],$AF$2:$AH$90,3,FALSE)</f>
        <v>912294.1100000001</v>
      </c>
      <c r="W24" s="2">
        <f>6-MATCH(Auto_Sales_data___Copy[[#This Row],[DAYS_SINCE_LAST_ORDER]],Table2[R-Cutoff],1)</f>
        <v>5</v>
      </c>
      <c r="X24" s="2">
        <f>MATCH(Auto_Sales_data___Copy[[#This Row],[Total_Orders_Per_Customer]],Table2[F-Cutoff],1)</f>
        <v>5</v>
      </c>
      <c r="Y24" s="2">
        <f>MATCH(Auto_Sales_data___Copy[[#This Row],[Total_Sales_Per_Customer]],Table2[M-Cutoff],1)</f>
        <v>5</v>
      </c>
      <c r="Z24" s="2" t="str">
        <f>Auto_Sales_data___Copy[[#This Row],[R-Score(1-5)]]&amp;Auto_Sales_data___Copy[[#This Row],[F-Score(1-5)]]&amp;Auto_Sales_data___Copy[[#This Row],[M-Score(1-5)]]</f>
        <v>555</v>
      </c>
      <c r="AA24" s="2" t="str" cm="1">
        <f t="array" ref="AA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" s="2" t="str">
        <f>VLOOKUP(Auto_Sales_data___Copy[[#This Row],[Segment Name]],Table3[],2,FALSE)</f>
        <v>VIP Recognitioon &amp; Inclusivity</v>
      </c>
      <c r="AF24" s="4" t="s">
        <v>256</v>
      </c>
      <c r="AG24" s="2">
        <v>32</v>
      </c>
      <c r="AH24" s="2">
        <v>120562.74000000002</v>
      </c>
    </row>
    <row r="25" spans="1:34" x14ac:dyDescent="0.25">
      <c r="A25">
        <v>10380</v>
      </c>
      <c r="B25">
        <v>27</v>
      </c>
      <c r="C25">
        <v>93.16</v>
      </c>
      <c r="D25">
        <v>13</v>
      </c>
      <c r="E25">
        <v>2515.3200000000002</v>
      </c>
      <c r="F25" s="1">
        <v>43877</v>
      </c>
      <c r="G25" s="2" t="s">
        <v>19</v>
      </c>
      <c r="H25" s="2" t="s">
        <v>589</v>
      </c>
      <c r="I25">
        <v>102</v>
      </c>
      <c r="J25" s="2" t="s">
        <v>590</v>
      </c>
      <c r="K25" s="2" t="s">
        <v>175</v>
      </c>
      <c r="L25" s="2" t="s">
        <v>176</v>
      </c>
      <c r="M25" s="2" t="s">
        <v>177</v>
      </c>
      <c r="N25" s="2" t="s">
        <v>178</v>
      </c>
      <c r="O25" s="2" t="s">
        <v>179</v>
      </c>
      <c r="P25" s="2" t="s">
        <v>180</v>
      </c>
      <c r="Q25" s="2" t="s">
        <v>181</v>
      </c>
      <c r="R25" s="2" t="s">
        <v>182</v>
      </c>
      <c r="S25" s="2" t="s">
        <v>30</v>
      </c>
      <c r="T25">
        <v>581</v>
      </c>
      <c r="U25">
        <f>VLOOKUP(Auto_Sales_data___Copy[[#This Row],[CUSTOMER_NAME]],$AF$2:$AH$90,2,FALSE)</f>
        <v>259</v>
      </c>
      <c r="V25">
        <f>VLOOKUP(Auto_Sales_data___Copy[[#This Row],[CUSTOMER_NAME]],$AF$2:$AH$90,3,FALSE)</f>
        <v>912294.1100000001</v>
      </c>
      <c r="W25" s="2">
        <f>6-MATCH(Auto_Sales_data___Copy[[#This Row],[DAYS_SINCE_LAST_ORDER]],Table2[R-Cutoff],1)</f>
        <v>5</v>
      </c>
      <c r="X25" s="2">
        <f>MATCH(Auto_Sales_data___Copy[[#This Row],[Total_Orders_Per_Customer]],Table2[F-Cutoff],1)</f>
        <v>5</v>
      </c>
      <c r="Y25" s="2">
        <f>MATCH(Auto_Sales_data___Copy[[#This Row],[Total_Sales_Per_Customer]],Table2[M-Cutoff],1)</f>
        <v>5</v>
      </c>
      <c r="Z25" s="2" t="str">
        <f>Auto_Sales_data___Copy[[#This Row],[R-Score(1-5)]]&amp;Auto_Sales_data___Copy[[#This Row],[F-Score(1-5)]]&amp;Auto_Sales_data___Copy[[#This Row],[M-Score(1-5)]]</f>
        <v>555</v>
      </c>
      <c r="AA25" s="2" t="str" cm="1">
        <f t="array" ref="AA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" s="2" t="str">
        <f>VLOOKUP(Auto_Sales_data___Copy[[#This Row],[Segment Name]],Table3[],2,FALSE)</f>
        <v>VIP Recognitioon &amp; Inclusivity</v>
      </c>
      <c r="AF25" s="4" t="s">
        <v>166</v>
      </c>
      <c r="AG25" s="2">
        <v>29</v>
      </c>
      <c r="AH25" s="2">
        <v>118008.26999999999</v>
      </c>
    </row>
    <row r="26" spans="1:34" x14ac:dyDescent="0.25">
      <c r="A26">
        <v>10380</v>
      </c>
      <c r="B26">
        <v>40</v>
      </c>
      <c r="C26">
        <v>123.29</v>
      </c>
      <c r="D26">
        <v>10</v>
      </c>
      <c r="E26">
        <v>4931.6000000000004</v>
      </c>
      <c r="F26" s="1">
        <v>43877</v>
      </c>
      <c r="G26" s="2" t="s">
        <v>19</v>
      </c>
      <c r="H26" s="2" t="s">
        <v>589</v>
      </c>
      <c r="I26">
        <v>127</v>
      </c>
      <c r="J26" s="2" t="s">
        <v>634</v>
      </c>
      <c r="K26" s="2" t="s">
        <v>175</v>
      </c>
      <c r="L26" s="2" t="s">
        <v>176</v>
      </c>
      <c r="M26" s="2" t="s">
        <v>177</v>
      </c>
      <c r="N26" s="2" t="s">
        <v>178</v>
      </c>
      <c r="O26" s="2" t="s">
        <v>179</v>
      </c>
      <c r="P26" s="2" t="s">
        <v>180</v>
      </c>
      <c r="Q26" s="2" t="s">
        <v>181</v>
      </c>
      <c r="R26" s="2" t="s">
        <v>182</v>
      </c>
      <c r="S26" s="2" t="s">
        <v>46</v>
      </c>
      <c r="T26">
        <v>825</v>
      </c>
      <c r="U26">
        <f>VLOOKUP(Auto_Sales_data___Copy[[#This Row],[CUSTOMER_NAME]],$AF$2:$AH$90,2,FALSE)</f>
        <v>259</v>
      </c>
      <c r="V26">
        <f>VLOOKUP(Auto_Sales_data___Copy[[#This Row],[CUSTOMER_NAME]],$AF$2:$AH$90,3,FALSE)</f>
        <v>912294.1100000001</v>
      </c>
      <c r="W26" s="2">
        <f>6-MATCH(Auto_Sales_data___Copy[[#This Row],[DAYS_SINCE_LAST_ORDER]],Table2[R-Cutoff],1)</f>
        <v>5</v>
      </c>
      <c r="X26" s="2">
        <f>MATCH(Auto_Sales_data___Copy[[#This Row],[Total_Orders_Per_Customer]],Table2[F-Cutoff],1)</f>
        <v>5</v>
      </c>
      <c r="Y26" s="2">
        <f>MATCH(Auto_Sales_data___Copy[[#This Row],[Total_Sales_Per_Customer]],Table2[M-Cutoff],1)</f>
        <v>5</v>
      </c>
      <c r="Z26" s="2" t="str">
        <f>Auto_Sales_data___Copy[[#This Row],[R-Score(1-5)]]&amp;Auto_Sales_data___Copy[[#This Row],[F-Score(1-5)]]&amp;Auto_Sales_data___Copy[[#This Row],[M-Score(1-5)]]</f>
        <v>555</v>
      </c>
      <c r="AA26" s="2" t="str" cm="1">
        <f t="array" ref="AA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" s="2" t="str">
        <f>VLOOKUP(Auto_Sales_data___Copy[[#This Row],[Segment Name]],Table3[],2,FALSE)</f>
        <v>VIP Recognitioon &amp; Inclusivity</v>
      </c>
      <c r="AF26" s="4" t="s">
        <v>473</v>
      </c>
      <c r="AG26" s="2">
        <v>31</v>
      </c>
      <c r="AH26" s="2">
        <v>117713.56000000001</v>
      </c>
    </row>
    <row r="27" spans="1:34" x14ac:dyDescent="0.25">
      <c r="A27">
        <v>10380</v>
      </c>
      <c r="B27">
        <v>21</v>
      </c>
      <c r="C27">
        <v>47.18</v>
      </c>
      <c r="D27">
        <v>8</v>
      </c>
      <c r="E27">
        <v>990.78</v>
      </c>
      <c r="F27" s="1">
        <v>43877</v>
      </c>
      <c r="G27" s="2" t="s">
        <v>19</v>
      </c>
      <c r="H27" s="2" t="s">
        <v>589</v>
      </c>
      <c r="I27">
        <v>168</v>
      </c>
      <c r="J27" s="2" t="s">
        <v>638</v>
      </c>
      <c r="K27" s="2" t="s">
        <v>175</v>
      </c>
      <c r="L27" s="2" t="s">
        <v>176</v>
      </c>
      <c r="M27" s="2" t="s">
        <v>177</v>
      </c>
      <c r="N27" s="2" t="s">
        <v>178</v>
      </c>
      <c r="O27" s="2" t="s">
        <v>179</v>
      </c>
      <c r="P27" s="2" t="s">
        <v>180</v>
      </c>
      <c r="Q27" s="2" t="s">
        <v>181</v>
      </c>
      <c r="R27" s="2" t="s">
        <v>182</v>
      </c>
      <c r="S27" s="2" t="s">
        <v>30</v>
      </c>
      <c r="T27">
        <v>925</v>
      </c>
      <c r="U27">
        <f>VLOOKUP(Auto_Sales_data___Copy[[#This Row],[CUSTOMER_NAME]],$AF$2:$AH$90,2,FALSE)</f>
        <v>259</v>
      </c>
      <c r="V27">
        <f>VLOOKUP(Auto_Sales_data___Copy[[#This Row],[CUSTOMER_NAME]],$AF$2:$AH$90,3,FALSE)</f>
        <v>912294.1100000001</v>
      </c>
      <c r="W27" s="2">
        <f>6-MATCH(Auto_Sales_data___Copy[[#This Row],[DAYS_SINCE_LAST_ORDER]],Table2[R-Cutoff],1)</f>
        <v>5</v>
      </c>
      <c r="X27" s="2">
        <f>MATCH(Auto_Sales_data___Copy[[#This Row],[Total_Orders_Per_Customer]],Table2[F-Cutoff],1)</f>
        <v>5</v>
      </c>
      <c r="Y27" s="2">
        <f>MATCH(Auto_Sales_data___Copy[[#This Row],[Total_Sales_Per_Customer]],Table2[M-Cutoff],1)</f>
        <v>5</v>
      </c>
      <c r="Z27" s="2" t="str">
        <f>Auto_Sales_data___Copy[[#This Row],[R-Score(1-5)]]&amp;Auto_Sales_data___Copy[[#This Row],[F-Score(1-5)]]&amp;Auto_Sales_data___Copy[[#This Row],[M-Score(1-5)]]</f>
        <v>555</v>
      </c>
      <c r="AA27" s="2" t="str" cm="1">
        <f t="array" ref="AA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" s="2" t="str">
        <f>VLOOKUP(Auto_Sales_data___Copy[[#This Row],[Segment Name]],Table3[],2,FALSE)</f>
        <v>VIP Recognitioon &amp; Inclusivity</v>
      </c>
      <c r="AF27" s="4" t="s">
        <v>130</v>
      </c>
      <c r="AG27" s="2">
        <v>32</v>
      </c>
      <c r="AH27" s="2">
        <v>116599.18999999999</v>
      </c>
    </row>
    <row r="28" spans="1:34" x14ac:dyDescent="0.25">
      <c r="A28">
        <v>10383</v>
      </c>
      <c r="B28">
        <v>27</v>
      </c>
      <c r="C28">
        <v>142.37</v>
      </c>
      <c r="D28">
        <v>11</v>
      </c>
      <c r="E28">
        <v>3843.99</v>
      </c>
      <c r="F28" s="1">
        <v>43883</v>
      </c>
      <c r="G28" s="2" t="s">
        <v>19</v>
      </c>
      <c r="H28" s="2" t="s">
        <v>537</v>
      </c>
      <c r="I28">
        <v>122</v>
      </c>
      <c r="J28" s="2" t="s">
        <v>633</v>
      </c>
      <c r="K28" s="2" t="s">
        <v>175</v>
      </c>
      <c r="L28" s="2" t="s">
        <v>176</v>
      </c>
      <c r="M28" s="2" t="s">
        <v>177</v>
      </c>
      <c r="N28" s="2" t="s">
        <v>178</v>
      </c>
      <c r="O28" s="2" t="s">
        <v>179</v>
      </c>
      <c r="P28" s="2" t="s">
        <v>180</v>
      </c>
      <c r="Q28" s="2" t="s">
        <v>181</v>
      </c>
      <c r="R28" s="2" t="s">
        <v>182</v>
      </c>
      <c r="S28" s="2" t="s">
        <v>46</v>
      </c>
      <c r="T28">
        <v>796</v>
      </c>
      <c r="U28">
        <f>VLOOKUP(Auto_Sales_data___Copy[[#This Row],[CUSTOMER_NAME]],$AF$2:$AH$90,2,FALSE)</f>
        <v>259</v>
      </c>
      <c r="V28">
        <f>VLOOKUP(Auto_Sales_data___Copy[[#This Row],[CUSTOMER_NAME]],$AF$2:$AH$90,3,FALSE)</f>
        <v>912294.1100000001</v>
      </c>
      <c r="W28" s="2">
        <f>6-MATCH(Auto_Sales_data___Copy[[#This Row],[DAYS_SINCE_LAST_ORDER]],Table2[R-Cutoff],1)</f>
        <v>5</v>
      </c>
      <c r="X28" s="2">
        <f>MATCH(Auto_Sales_data___Copy[[#This Row],[Total_Orders_Per_Customer]],Table2[F-Cutoff],1)</f>
        <v>5</v>
      </c>
      <c r="Y28" s="2">
        <f>MATCH(Auto_Sales_data___Copy[[#This Row],[Total_Sales_Per_Customer]],Table2[M-Cutoff],1)</f>
        <v>5</v>
      </c>
      <c r="Z28" s="2" t="str">
        <f>Auto_Sales_data___Copy[[#This Row],[R-Score(1-5)]]&amp;Auto_Sales_data___Copy[[#This Row],[F-Score(1-5)]]&amp;Auto_Sales_data___Copy[[#This Row],[M-Score(1-5)]]</f>
        <v>555</v>
      </c>
      <c r="AA28" s="2" t="str" cm="1">
        <f t="array" ref="AA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" s="2" t="str">
        <f>VLOOKUP(Auto_Sales_data___Copy[[#This Row],[Segment Name]],Table3[],2,FALSE)</f>
        <v>VIP Recognitioon &amp; Inclusivity</v>
      </c>
      <c r="AF28" s="4" t="s">
        <v>443</v>
      </c>
      <c r="AG28" s="2">
        <v>36</v>
      </c>
      <c r="AH28" s="2">
        <v>115498.72999999998</v>
      </c>
    </row>
    <row r="29" spans="1:34" x14ac:dyDescent="0.25">
      <c r="A29">
        <v>10386</v>
      </c>
      <c r="B29">
        <v>25</v>
      </c>
      <c r="C29">
        <v>54.57</v>
      </c>
      <c r="D29">
        <v>7</v>
      </c>
      <c r="E29">
        <v>1364.25</v>
      </c>
      <c r="F29" s="1">
        <v>43891</v>
      </c>
      <c r="G29" s="2" t="s">
        <v>431</v>
      </c>
      <c r="H29" s="2" t="s">
        <v>607</v>
      </c>
      <c r="I29">
        <v>157</v>
      </c>
      <c r="J29" s="2" t="s">
        <v>608</v>
      </c>
      <c r="K29" s="2" t="s">
        <v>175</v>
      </c>
      <c r="L29" s="2" t="s">
        <v>176</v>
      </c>
      <c r="M29" s="2" t="s">
        <v>177</v>
      </c>
      <c r="N29" s="2" t="s">
        <v>178</v>
      </c>
      <c r="O29" s="2" t="s">
        <v>179</v>
      </c>
      <c r="P29" s="2" t="s">
        <v>180</v>
      </c>
      <c r="Q29" s="2" t="s">
        <v>181</v>
      </c>
      <c r="R29" s="2" t="s">
        <v>182</v>
      </c>
      <c r="S29" s="2" t="s">
        <v>30</v>
      </c>
      <c r="T29">
        <v>640</v>
      </c>
      <c r="U29">
        <f>VLOOKUP(Auto_Sales_data___Copy[[#This Row],[CUSTOMER_NAME]],$AF$2:$AH$90,2,FALSE)</f>
        <v>259</v>
      </c>
      <c r="V29">
        <f>VLOOKUP(Auto_Sales_data___Copy[[#This Row],[CUSTOMER_NAME]],$AF$2:$AH$90,3,FALSE)</f>
        <v>912294.1100000001</v>
      </c>
      <c r="W29" s="2">
        <f>6-MATCH(Auto_Sales_data___Copy[[#This Row],[DAYS_SINCE_LAST_ORDER]],Table2[R-Cutoff],1)</f>
        <v>5</v>
      </c>
      <c r="X29" s="2">
        <f>MATCH(Auto_Sales_data___Copy[[#This Row],[Total_Orders_Per_Customer]],Table2[F-Cutoff],1)</f>
        <v>5</v>
      </c>
      <c r="Y29" s="2">
        <f>MATCH(Auto_Sales_data___Copy[[#This Row],[Total_Sales_Per_Customer]],Table2[M-Cutoff],1)</f>
        <v>5</v>
      </c>
      <c r="Z29" s="2" t="str">
        <f>Auto_Sales_data___Copy[[#This Row],[R-Score(1-5)]]&amp;Auto_Sales_data___Copy[[#This Row],[F-Score(1-5)]]&amp;Auto_Sales_data___Copy[[#This Row],[M-Score(1-5)]]</f>
        <v>555</v>
      </c>
      <c r="AA29" s="2" t="str" cm="1">
        <f t="array" ref="AA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" s="2" t="str">
        <f>VLOOKUP(Auto_Sales_data___Copy[[#This Row],[Segment Name]],Table3[],2,FALSE)</f>
        <v>VIP Recognitioon &amp; Inclusivity</v>
      </c>
      <c r="AF29" s="4" t="s">
        <v>498</v>
      </c>
      <c r="AG29" s="2">
        <v>30</v>
      </c>
      <c r="AH29" s="2">
        <v>113961.14999999997</v>
      </c>
    </row>
    <row r="30" spans="1:34" x14ac:dyDescent="0.25">
      <c r="A30">
        <v>10386</v>
      </c>
      <c r="B30">
        <v>21</v>
      </c>
      <c r="C30">
        <v>74.77</v>
      </c>
      <c r="D30">
        <v>18</v>
      </c>
      <c r="E30">
        <v>1570.17</v>
      </c>
      <c r="F30" s="1">
        <v>43891</v>
      </c>
      <c r="G30" s="2" t="s">
        <v>431</v>
      </c>
      <c r="H30" s="2" t="s">
        <v>607</v>
      </c>
      <c r="I30">
        <v>84</v>
      </c>
      <c r="J30" s="2" t="s">
        <v>636</v>
      </c>
      <c r="K30" s="2" t="s">
        <v>175</v>
      </c>
      <c r="L30" s="2" t="s">
        <v>176</v>
      </c>
      <c r="M30" s="2" t="s">
        <v>177</v>
      </c>
      <c r="N30" s="2" t="s">
        <v>178</v>
      </c>
      <c r="O30" s="2" t="s">
        <v>179</v>
      </c>
      <c r="P30" s="2" t="s">
        <v>180</v>
      </c>
      <c r="Q30" s="2" t="s">
        <v>181</v>
      </c>
      <c r="R30" s="2" t="s">
        <v>182</v>
      </c>
      <c r="S30" s="2" t="s">
        <v>30</v>
      </c>
      <c r="T30">
        <v>861</v>
      </c>
      <c r="U30">
        <f>VLOOKUP(Auto_Sales_data___Copy[[#This Row],[CUSTOMER_NAME]],$AF$2:$AH$90,2,FALSE)</f>
        <v>259</v>
      </c>
      <c r="V30">
        <f>VLOOKUP(Auto_Sales_data___Copy[[#This Row],[CUSTOMER_NAME]],$AF$2:$AH$90,3,FALSE)</f>
        <v>912294.1100000001</v>
      </c>
      <c r="W30" s="2">
        <f>6-MATCH(Auto_Sales_data___Copy[[#This Row],[DAYS_SINCE_LAST_ORDER]],Table2[R-Cutoff],1)</f>
        <v>5</v>
      </c>
      <c r="X30" s="2">
        <f>MATCH(Auto_Sales_data___Copy[[#This Row],[Total_Orders_Per_Customer]],Table2[F-Cutoff],1)</f>
        <v>5</v>
      </c>
      <c r="Y30" s="2">
        <f>MATCH(Auto_Sales_data___Copy[[#This Row],[Total_Sales_Per_Customer]],Table2[M-Cutoff],1)</f>
        <v>5</v>
      </c>
      <c r="Z30" s="2" t="str">
        <f>Auto_Sales_data___Copy[[#This Row],[R-Score(1-5)]]&amp;Auto_Sales_data___Copy[[#This Row],[F-Score(1-5)]]&amp;Auto_Sales_data___Copy[[#This Row],[M-Score(1-5)]]</f>
        <v>555</v>
      </c>
      <c r="AA30" s="2" t="str" cm="1">
        <f t="array" ref="AA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" s="2" t="str">
        <f>VLOOKUP(Auto_Sales_data___Copy[[#This Row],[Segment Name]],Table3[],2,FALSE)</f>
        <v>VIP Recognitioon &amp; Inclusivity</v>
      </c>
      <c r="AF30" s="4" t="s">
        <v>68</v>
      </c>
      <c r="AG30" s="2">
        <v>29</v>
      </c>
      <c r="AH30" s="2">
        <v>111640.28</v>
      </c>
    </row>
    <row r="31" spans="1:34" x14ac:dyDescent="0.25">
      <c r="A31">
        <v>10412</v>
      </c>
      <c r="B31">
        <v>54</v>
      </c>
      <c r="C31">
        <v>110.21</v>
      </c>
      <c r="D31">
        <v>5</v>
      </c>
      <c r="E31">
        <v>5951.34</v>
      </c>
      <c r="F31" s="1">
        <v>43954</v>
      </c>
      <c r="G31" s="2" t="s">
        <v>19</v>
      </c>
      <c r="H31" s="2" t="s">
        <v>537</v>
      </c>
      <c r="I31">
        <v>118</v>
      </c>
      <c r="J31" s="2" t="s">
        <v>554</v>
      </c>
      <c r="K31" s="2" t="s">
        <v>175</v>
      </c>
      <c r="L31" s="2" t="s">
        <v>176</v>
      </c>
      <c r="M31" s="2" t="s">
        <v>177</v>
      </c>
      <c r="N31" s="2" t="s">
        <v>178</v>
      </c>
      <c r="O31" s="2" t="s">
        <v>179</v>
      </c>
      <c r="P31" s="2" t="s">
        <v>180</v>
      </c>
      <c r="Q31" s="2" t="s">
        <v>181</v>
      </c>
      <c r="R31" s="2" t="s">
        <v>182</v>
      </c>
      <c r="S31" s="2" t="s">
        <v>46</v>
      </c>
      <c r="T31">
        <v>403</v>
      </c>
      <c r="U31">
        <f>VLOOKUP(Auto_Sales_data___Copy[[#This Row],[CUSTOMER_NAME]],$AF$2:$AH$90,2,FALSE)</f>
        <v>259</v>
      </c>
      <c r="V31">
        <f>VLOOKUP(Auto_Sales_data___Copy[[#This Row],[CUSTOMER_NAME]],$AF$2:$AH$90,3,FALSE)</f>
        <v>912294.1100000001</v>
      </c>
      <c r="W31" s="2">
        <f>6-MATCH(Auto_Sales_data___Copy[[#This Row],[DAYS_SINCE_LAST_ORDER]],Table2[R-Cutoff],1)</f>
        <v>5</v>
      </c>
      <c r="X31" s="2">
        <f>MATCH(Auto_Sales_data___Copy[[#This Row],[Total_Orders_Per_Customer]],Table2[F-Cutoff],1)</f>
        <v>5</v>
      </c>
      <c r="Y31" s="2">
        <f>MATCH(Auto_Sales_data___Copy[[#This Row],[Total_Sales_Per_Customer]],Table2[M-Cutoff],1)</f>
        <v>5</v>
      </c>
      <c r="Z31" s="2" t="str">
        <f>Auto_Sales_data___Copy[[#This Row],[R-Score(1-5)]]&amp;Auto_Sales_data___Copy[[#This Row],[F-Score(1-5)]]&amp;Auto_Sales_data___Copy[[#This Row],[M-Score(1-5)]]</f>
        <v>555</v>
      </c>
      <c r="AA31" s="2" t="str" cm="1">
        <f t="array" ref="AA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" s="2" t="str">
        <f>VLOOKUP(Auto_Sales_data___Copy[[#This Row],[Segment Name]],Table3[],2,FALSE)</f>
        <v>VIP Recognitioon &amp; Inclusivity</v>
      </c>
      <c r="AF31" s="4" t="s">
        <v>122</v>
      </c>
      <c r="AG31" s="2">
        <v>30</v>
      </c>
      <c r="AH31" s="2">
        <v>111250.37999999999</v>
      </c>
    </row>
    <row r="32" spans="1:34" x14ac:dyDescent="0.25">
      <c r="A32">
        <v>10412</v>
      </c>
      <c r="B32">
        <v>41</v>
      </c>
      <c r="C32">
        <v>163.72999999999999</v>
      </c>
      <c r="D32">
        <v>4</v>
      </c>
      <c r="E32">
        <v>6712.93</v>
      </c>
      <c r="F32" s="1">
        <v>43954</v>
      </c>
      <c r="G32" s="2" t="s">
        <v>19</v>
      </c>
      <c r="H32" s="2" t="s">
        <v>183</v>
      </c>
      <c r="I32">
        <v>163</v>
      </c>
      <c r="J32" s="2" t="s">
        <v>631</v>
      </c>
      <c r="K32" s="2" t="s">
        <v>175</v>
      </c>
      <c r="L32" s="2" t="s">
        <v>176</v>
      </c>
      <c r="M32" s="2" t="s">
        <v>177</v>
      </c>
      <c r="N32" s="2" t="s">
        <v>178</v>
      </c>
      <c r="O32" s="2" t="s">
        <v>179</v>
      </c>
      <c r="P32" s="2" t="s">
        <v>180</v>
      </c>
      <c r="Q32" s="2" t="s">
        <v>181</v>
      </c>
      <c r="R32" s="2" t="s">
        <v>182</v>
      </c>
      <c r="S32" s="2" t="s">
        <v>46</v>
      </c>
      <c r="T32">
        <v>679</v>
      </c>
      <c r="U32">
        <f>VLOOKUP(Auto_Sales_data___Copy[[#This Row],[CUSTOMER_NAME]],$AF$2:$AH$90,2,FALSE)</f>
        <v>259</v>
      </c>
      <c r="V32">
        <f>VLOOKUP(Auto_Sales_data___Copy[[#This Row],[CUSTOMER_NAME]],$AF$2:$AH$90,3,FALSE)</f>
        <v>912294.1100000001</v>
      </c>
      <c r="W32" s="2">
        <f>6-MATCH(Auto_Sales_data___Copy[[#This Row],[DAYS_SINCE_LAST_ORDER]],Table2[R-Cutoff],1)</f>
        <v>5</v>
      </c>
      <c r="X32" s="2">
        <f>MATCH(Auto_Sales_data___Copy[[#This Row],[Total_Orders_Per_Customer]],Table2[F-Cutoff],1)</f>
        <v>5</v>
      </c>
      <c r="Y32" s="2">
        <f>MATCH(Auto_Sales_data___Copy[[#This Row],[Total_Sales_Per_Customer]],Table2[M-Cutoff],1)</f>
        <v>5</v>
      </c>
      <c r="Z32" s="2" t="str">
        <f>Auto_Sales_data___Copy[[#This Row],[R-Score(1-5)]]&amp;Auto_Sales_data___Copy[[#This Row],[F-Score(1-5)]]&amp;Auto_Sales_data___Copy[[#This Row],[M-Score(1-5)]]</f>
        <v>555</v>
      </c>
      <c r="AA32" s="2" t="str" cm="1">
        <f t="array" ref="AA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" s="2" t="str">
        <f>VLOOKUP(Auto_Sales_data___Copy[[#This Row],[Segment Name]],Table3[],2,FALSE)</f>
        <v>VIP Recognitioon &amp; Inclusivity</v>
      </c>
      <c r="AF32" s="4" t="s">
        <v>353</v>
      </c>
      <c r="AG32" s="2">
        <v>35</v>
      </c>
      <c r="AH32" s="2">
        <v>108951.12999999998</v>
      </c>
    </row>
    <row r="33" spans="1:34" x14ac:dyDescent="0.25">
      <c r="A33">
        <v>10412</v>
      </c>
      <c r="B33">
        <v>56</v>
      </c>
      <c r="C33">
        <v>98.18</v>
      </c>
      <c r="D33">
        <v>8</v>
      </c>
      <c r="E33">
        <v>5498.08</v>
      </c>
      <c r="F33" s="1">
        <v>43954</v>
      </c>
      <c r="G33" s="2" t="s">
        <v>19</v>
      </c>
      <c r="H33" s="2" t="s">
        <v>537</v>
      </c>
      <c r="I33">
        <v>122</v>
      </c>
      <c r="J33" s="2" t="s">
        <v>633</v>
      </c>
      <c r="K33" s="2" t="s">
        <v>175</v>
      </c>
      <c r="L33" s="2" t="s">
        <v>176</v>
      </c>
      <c r="M33" s="2" t="s">
        <v>177</v>
      </c>
      <c r="N33" s="2" t="s">
        <v>178</v>
      </c>
      <c r="O33" s="2" t="s">
        <v>179</v>
      </c>
      <c r="P33" s="2" t="s">
        <v>180</v>
      </c>
      <c r="Q33" s="2" t="s">
        <v>181</v>
      </c>
      <c r="R33" s="2" t="s">
        <v>182</v>
      </c>
      <c r="S33" s="2" t="s">
        <v>46</v>
      </c>
      <c r="T33">
        <v>726</v>
      </c>
      <c r="U33">
        <f>VLOOKUP(Auto_Sales_data___Copy[[#This Row],[CUSTOMER_NAME]],$AF$2:$AH$90,2,FALSE)</f>
        <v>259</v>
      </c>
      <c r="V33">
        <f>VLOOKUP(Auto_Sales_data___Copy[[#This Row],[CUSTOMER_NAME]],$AF$2:$AH$90,3,FALSE)</f>
        <v>912294.1100000001</v>
      </c>
      <c r="W33" s="2">
        <f>6-MATCH(Auto_Sales_data___Copy[[#This Row],[DAYS_SINCE_LAST_ORDER]],Table2[R-Cutoff],1)</f>
        <v>5</v>
      </c>
      <c r="X33" s="2">
        <f>MATCH(Auto_Sales_data___Copy[[#This Row],[Total_Orders_Per_Customer]],Table2[F-Cutoff],1)</f>
        <v>5</v>
      </c>
      <c r="Y33" s="2">
        <f>MATCH(Auto_Sales_data___Copy[[#This Row],[Total_Sales_Per_Customer]],Table2[M-Cutoff],1)</f>
        <v>5</v>
      </c>
      <c r="Z33" s="2" t="str">
        <f>Auto_Sales_data___Copy[[#This Row],[R-Score(1-5)]]&amp;Auto_Sales_data___Copy[[#This Row],[F-Score(1-5)]]&amp;Auto_Sales_data___Copy[[#This Row],[M-Score(1-5)]]</f>
        <v>555</v>
      </c>
      <c r="AA33" s="2" t="str" cm="1">
        <f t="array" ref="AA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" s="2" t="str">
        <f>VLOOKUP(Auto_Sales_data___Copy[[#This Row],[Segment Name]],Table3[],2,FALSE)</f>
        <v>VIP Recognitioon &amp; Inclusivity</v>
      </c>
      <c r="AF33" s="4" t="s">
        <v>47</v>
      </c>
      <c r="AG33" s="2">
        <v>30</v>
      </c>
      <c r="AH33" s="2">
        <v>104561.95999999999</v>
      </c>
    </row>
    <row r="34" spans="1:34" x14ac:dyDescent="0.25">
      <c r="A34">
        <v>10412</v>
      </c>
      <c r="B34">
        <v>47</v>
      </c>
      <c r="C34">
        <v>61.99</v>
      </c>
      <c r="D34">
        <v>11</v>
      </c>
      <c r="E34">
        <v>2913.53</v>
      </c>
      <c r="F34" s="1">
        <v>43954</v>
      </c>
      <c r="G34" s="2" t="s">
        <v>19</v>
      </c>
      <c r="H34" s="2" t="s">
        <v>537</v>
      </c>
      <c r="I34">
        <v>60</v>
      </c>
      <c r="J34" s="2" t="s">
        <v>635</v>
      </c>
      <c r="K34" s="2" t="s">
        <v>175</v>
      </c>
      <c r="L34" s="2" t="s">
        <v>176</v>
      </c>
      <c r="M34" s="2" t="s">
        <v>177</v>
      </c>
      <c r="N34" s="2" t="s">
        <v>178</v>
      </c>
      <c r="O34" s="2" t="s">
        <v>179</v>
      </c>
      <c r="P34" s="2" t="s">
        <v>180</v>
      </c>
      <c r="Q34" s="2" t="s">
        <v>181</v>
      </c>
      <c r="R34" s="2" t="s">
        <v>182</v>
      </c>
      <c r="S34" s="2" t="s">
        <v>30</v>
      </c>
      <c r="T34">
        <v>777</v>
      </c>
      <c r="U34">
        <f>VLOOKUP(Auto_Sales_data___Copy[[#This Row],[CUSTOMER_NAME]],$AF$2:$AH$90,2,FALSE)</f>
        <v>259</v>
      </c>
      <c r="V34">
        <f>VLOOKUP(Auto_Sales_data___Copy[[#This Row],[CUSTOMER_NAME]],$AF$2:$AH$90,3,FALSE)</f>
        <v>912294.1100000001</v>
      </c>
      <c r="W34" s="2">
        <f>6-MATCH(Auto_Sales_data___Copy[[#This Row],[DAYS_SINCE_LAST_ORDER]],Table2[R-Cutoff],1)</f>
        <v>5</v>
      </c>
      <c r="X34" s="2">
        <f>MATCH(Auto_Sales_data___Copy[[#This Row],[Total_Orders_Per_Customer]],Table2[F-Cutoff],1)</f>
        <v>5</v>
      </c>
      <c r="Y34" s="2">
        <f>MATCH(Auto_Sales_data___Copy[[#This Row],[Total_Sales_Per_Customer]],Table2[M-Cutoff],1)</f>
        <v>5</v>
      </c>
      <c r="Z34" s="2" t="str">
        <f>Auto_Sales_data___Copy[[#This Row],[R-Score(1-5)]]&amp;Auto_Sales_data___Copy[[#This Row],[F-Score(1-5)]]&amp;Auto_Sales_data___Copy[[#This Row],[M-Score(1-5)]]</f>
        <v>555</v>
      </c>
      <c r="AA34" s="2" t="str" cm="1">
        <f t="array" ref="AA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" s="2" t="str">
        <f>VLOOKUP(Auto_Sales_data___Copy[[#This Row],[Segment Name]],Table3[],2,FALSE)</f>
        <v>VIP Recognitioon &amp; Inclusivity</v>
      </c>
      <c r="AF34" s="4" t="s">
        <v>411</v>
      </c>
      <c r="AG34" s="2">
        <v>32</v>
      </c>
      <c r="AH34" s="2">
        <v>104370.37999999999</v>
      </c>
    </row>
    <row r="35" spans="1:34" x14ac:dyDescent="0.25">
      <c r="A35">
        <v>10417</v>
      </c>
      <c r="B35">
        <v>66</v>
      </c>
      <c r="C35">
        <v>113.88</v>
      </c>
      <c r="D35">
        <v>2</v>
      </c>
      <c r="E35">
        <v>7516.08</v>
      </c>
      <c r="F35" s="1">
        <v>43964</v>
      </c>
      <c r="G35" s="2" t="s">
        <v>174</v>
      </c>
      <c r="H35" s="2" t="s">
        <v>20</v>
      </c>
      <c r="I35">
        <v>95</v>
      </c>
      <c r="J35" s="2" t="s">
        <v>21</v>
      </c>
      <c r="K35" s="2" t="s">
        <v>175</v>
      </c>
      <c r="L35" s="2" t="s">
        <v>176</v>
      </c>
      <c r="M35" s="2" t="s">
        <v>177</v>
      </c>
      <c r="N35" s="2" t="s">
        <v>178</v>
      </c>
      <c r="O35" s="2" t="s">
        <v>179</v>
      </c>
      <c r="P35" s="2" t="s">
        <v>180</v>
      </c>
      <c r="Q35" s="2" t="s">
        <v>181</v>
      </c>
      <c r="R35" s="2" t="s">
        <v>182</v>
      </c>
      <c r="S35" s="2" t="s">
        <v>151</v>
      </c>
      <c r="T35">
        <v>42</v>
      </c>
      <c r="U35">
        <f>VLOOKUP(Auto_Sales_data___Copy[[#This Row],[CUSTOMER_NAME]],$AF$2:$AH$90,2,FALSE)</f>
        <v>259</v>
      </c>
      <c r="V35">
        <f>VLOOKUP(Auto_Sales_data___Copy[[#This Row],[CUSTOMER_NAME]],$AF$2:$AH$90,3,FALSE)</f>
        <v>912294.1100000001</v>
      </c>
      <c r="W35" s="2">
        <f>6-MATCH(Auto_Sales_data___Copy[[#This Row],[DAYS_SINCE_LAST_ORDER]],Table2[R-Cutoff],1)</f>
        <v>5</v>
      </c>
      <c r="X35" s="2">
        <f>MATCH(Auto_Sales_data___Copy[[#This Row],[Total_Orders_Per_Customer]],Table2[F-Cutoff],1)</f>
        <v>5</v>
      </c>
      <c r="Y35" s="2">
        <f>MATCH(Auto_Sales_data___Copy[[#This Row],[Total_Sales_Per_Customer]],Table2[M-Cutoff],1)</f>
        <v>5</v>
      </c>
      <c r="Z35" s="2" t="str">
        <f>Auto_Sales_data___Copy[[#This Row],[R-Score(1-5)]]&amp;Auto_Sales_data___Copy[[#This Row],[F-Score(1-5)]]&amp;Auto_Sales_data___Copy[[#This Row],[M-Score(1-5)]]</f>
        <v>555</v>
      </c>
      <c r="AA35" s="2" t="str" cm="1">
        <f t="array" ref="AA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" s="2" t="str">
        <f>VLOOKUP(Auto_Sales_data___Copy[[#This Row],[Segment Name]],Table3[],2,FALSE)</f>
        <v>VIP Recognitioon &amp; Inclusivity</v>
      </c>
      <c r="AF35" s="4" t="s">
        <v>115</v>
      </c>
      <c r="AG35" s="2">
        <v>27</v>
      </c>
      <c r="AH35" s="2">
        <v>103080.37999999998</v>
      </c>
    </row>
    <row r="36" spans="1:34" x14ac:dyDescent="0.25">
      <c r="A36">
        <v>10417</v>
      </c>
      <c r="B36">
        <v>45</v>
      </c>
      <c r="C36">
        <v>130.83000000000001</v>
      </c>
      <c r="D36">
        <v>5</v>
      </c>
      <c r="E36">
        <v>5887.35</v>
      </c>
      <c r="F36" s="1">
        <v>43964</v>
      </c>
      <c r="G36" s="2" t="s">
        <v>174</v>
      </c>
      <c r="H36" s="2" t="s">
        <v>20</v>
      </c>
      <c r="I36">
        <v>118</v>
      </c>
      <c r="J36" s="2" t="s">
        <v>315</v>
      </c>
      <c r="K36" s="2" t="s">
        <v>175</v>
      </c>
      <c r="L36" s="2" t="s">
        <v>176</v>
      </c>
      <c r="M36" s="2" t="s">
        <v>177</v>
      </c>
      <c r="N36" s="2" t="s">
        <v>178</v>
      </c>
      <c r="O36" s="2" t="s">
        <v>179</v>
      </c>
      <c r="P36" s="2" t="s">
        <v>180</v>
      </c>
      <c r="Q36" s="2" t="s">
        <v>181</v>
      </c>
      <c r="R36" s="2" t="s">
        <v>182</v>
      </c>
      <c r="S36" s="2" t="s">
        <v>46</v>
      </c>
      <c r="T36">
        <v>92</v>
      </c>
      <c r="U36">
        <f>VLOOKUP(Auto_Sales_data___Copy[[#This Row],[CUSTOMER_NAME]],$AF$2:$AH$90,2,FALSE)</f>
        <v>259</v>
      </c>
      <c r="V36">
        <f>VLOOKUP(Auto_Sales_data___Copy[[#This Row],[CUSTOMER_NAME]],$AF$2:$AH$90,3,FALSE)</f>
        <v>912294.1100000001</v>
      </c>
      <c r="W36" s="2">
        <f>6-MATCH(Auto_Sales_data___Copy[[#This Row],[DAYS_SINCE_LAST_ORDER]],Table2[R-Cutoff],1)</f>
        <v>5</v>
      </c>
      <c r="X36" s="2">
        <f>MATCH(Auto_Sales_data___Copy[[#This Row],[Total_Orders_Per_Customer]],Table2[F-Cutoff],1)</f>
        <v>5</v>
      </c>
      <c r="Y36" s="2">
        <f>MATCH(Auto_Sales_data___Copy[[#This Row],[Total_Sales_Per_Customer]],Table2[M-Cutoff],1)</f>
        <v>5</v>
      </c>
      <c r="Z36" s="2" t="str">
        <f>Auto_Sales_data___Copy[[#This Row],[R-Score(1-5)]]&amp;Auto_Sales_data___Copy[[#This Row],[F-Score(1-5)]]&amp;Auto_Sales_data___Copy[[#This Row],[M-Score(1-5)]]</f>
        <v>555</v>
      </c>
      <c r="AA36" s="2" t="str" cm="1">
        <f t="array" ref="AA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6" s="2" t="str">
        <f>VLOOKUP(Auto_Sales_data___Copy[[#This Row],[Segment Name]],Table3[],2,FALSE)</f>
        <v>VIP Recognitioon &amp; Inclusivity</v>
      </c>
      <c r="AF36" s="4" t="s">
        <v>102</v>
      </c>
      <c r="AG36" s="2">
        <v>25</v>
      </c>
      <c r="AH36" s="2">
        <v>101894.79000000001</v>
      </c>
    </row>
    <row r="37" spans="1:34" x14ac:dyDescent="0.25">
      <c r="A37">
        <v>10417</v>
      </c>
      <c r="B37">
        <v>56</v>
      </c>
      <c r="C37">
        <v>164.61</v>
      </c>
      <c r="D37">
        <v>4</v>
      </c>
      <c r="E37">
        <v>9218.16</v>
      </c>
      <c r="F37" s="1">
        <v>43964</v>
      </c>
      <c r="G37" s="2" t="s">
        <v>174</v>
      </c>
      <c r="H37" s="2" t="s">
        <v>20</v>
      </c>
      <c r="I37">
        <v>193</v>
      </c>
      <c r="J37" s="2" t="s">
        <v>337</v>
      </c>
      <c r="K37" s="2" t="s">
        <v>175</v>
      </c>
      <c r="L37" s="2" t="s">
        <v>176</v>
      </c>
      <c r="M37" s="2" t="s">
        <v>177</v>
      </c>
      <c r="N37" s="2" t="s">
        <v>178</v>
      </c>
      <c r="O37" s="2" t="s">
        <v>179</v>
      </c>
      <c r="P37" s="2" t="s">
        <v>180</v>
      </c>
      <c r="Q37" s="2" t="s">
        <v>181</v>
      </c>
      <c r="R37" s="2" t="s">
        <v>182</v>
      </c>
      <c r="S37" s="2" t="s">
        <v>151</v>
      </c>
      <c r="T37">
        <v>116</v>
      </c>
      <c r="U37">
        <f>VLOOKUP(Auto_Sales_data___Copy[[#This Row],[CUSTOMER_NAME]],$AF$2:$AH$90,2,FALSE)</f>
        <v>259</v>
      </c>
      <c r="V37">
        <f>VLOOKUP(Auto_Sales_data___Copy[[#This Row],[CUSTOMER_NAME]],$AF$2:$AH$90,3,FALSE)</f>
        <v>912294.1100000001</v>
      </c>
      <c r="W37" s="2">
        <f>6-MATCH(Auto_Sales_data___Copy[[#This Row],[DAYS_SINCE_LAST_ORDER]],Table2[R-Cutoff],1)</f>
        <v>5</v>
      </c>
      <c r="X37" s="2">
        <f>MATCH(Auto_Sales_data___Copy[[#This Row],[Total_Orders_Per_Customer]],Table2[F-Cutoff],1)</f>
        <v>5</v>
      </c>
      <c r="Y37" s="2">
        <f>MATCH(Auto_Sales_data___Copy[[#This Row],[Total_Sales_Per_Customer]],Table2[M-Cutoff],1)</f>
        <v>5</v>
      </c>
      <c r="Z37" s="2" t="str">
        <f>Auto_Sales_data___Copy[[#This Row],[R-Score(1-5)]]&amp;Auto_Sales_data___Copy[[#This Row],[F-Score(1-5)]]&amp;Auto_Sales_data___Copy[[#This Row],[M-Score(1-5)]]</f>
        <v>555</v>
      </c>
      <c r="AA37" s="2" t="str" cm="1">
        <f t="array" ref="AA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7" s="2" t="str">
        <f>VLOOKUP(Auto_Sales_data___Copy[[#This Row],[Segment Name]],Table3[],2,FALSE)</f>
        <v>VIP Recognitioon &amp; Inclusivity</v>
      </c>
      <c r="AF37" s="4" t="s">
        <v>530</v>
      </c>
      <c r="AG37" s="2">
        <v>27</v>
      </c>
      <c r="AH37" s="2">
        <v>100595.54999999999</v>
      </c>
    </row>
    <row r="38" spans="1:34" x14ac:dyDescent="0.25">
      <c r="A38">
        <v>10417</v>
      </c>
      <c r="B38">
        <v>21</v>
      </c>
      <c r="C38">
        <v>164.18</v>
      </c>
      <c r="D38">
        <v>1</v>
      </c>
      <c r="E38">
        <v>3447.78</v>
      </c>
      <c r="F38" s="1">
        <v>43964</v>
      </c>
      <c r="G38" s="2" t="s">
        <v>174</v>
      </c>
      <c r="H38" s="2" t="s">
        <v>20</v>
      </c>
      <c r="I38">
        <v>150</v>
      </c>
      <c r="J38" s="2" t="s">
        <v>539</v>
      </c>
      <c r="K38" s="2" t="s">
        <v>175</v>
      </c>
      <c r="L38" s="2" t="s">
        <v>176</v>
      </c>
      <c r="M38" s="2" t="s">
        <v>177</v>
      </c>
      <c r="N38" s="2" t="s">
        <v>178</v>
      </c>
      <c r="O38" s="2" t="s">
        <v>179</v>
      </c>
      <c r="P38" s="2" t="s">
        <v>180</v>
      </c>
      <c r="Q38" s="2" t="s">
        <v>181</v>
      </c>
      <c r="R38" s="2" t="s">
        <v>182</v>
      </c>
      <c r="S38" s="2" t="s">
        <v>46</v>
      </c>
      <c r="T38">
        <v>268</v>
      </c>
      <c r="U38">
        <f>VLOOKUP(Auto_Sales_data___Copy[[#This Row],[CUSTOMER_NAME]],$AF$2:$AH$90,2,FALSE)</f>
        <v>259</v>
      </c>
      <c r="V38">
        <f>VLOOKUP(Auto_Sales_data___Copy[[#This Row],[CUSTOMER_NAME]],$AF$2:$AH$90,3,FALSE)</f>
        <v>912294.1100000001</v>
      </c>
      <c r="W38" s="2">
        <f>6-MATCH(Auto_Sales_data___Copy[[#This Row],[DAYS_SINCE_LAST_ORDER]],Table2[R-Cutoff],1)</f>
        <v>5</v>
      </c>
      <c r="X38" s="2">
        <f>MATCH(Auto_Sales_data___Copy[[#This Row],[Total_Orders_Per_Customer]],Table2[F-Cutoff],1)</f>
        <v>5</v>
      </c>
      <c r="Y38" s="2">
        <f>MATCH(Auto_Sales_data___Copy[[#This Row],[Total_Sales_Per_Customer]],Table2[M-Cutoff],1)</f>
        <v>5</v>
      </c>
      <c r="Z38" s="2" t="str">
        <f>Auto_Sales_data___Copy[[#This Row],[R-Score(1-5)]]&amp;Auto_Sales_data___Copy[[#This Row],[F-Score(1-5)]]&amp;Auto_Sales_data___Copy[[#This Row],[M-Score(1-5)]]</f>
        <v>555</v>
      </c>
      <c r="AA38" s="2" t="str" cm="1">
        <f t="array" ref="AA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8" s="2" t="str">
        <f>VLOOKUP(Auto_Sales_data___Copy[[#This Row],[Segment Name]],Table3[],2,FALSE)</f>
        <v>VIP Recognitioon &amp; Inclusivity</v>
      </c>
      <c r="AF38" s="4" t="s">
        <v>465</v>
      </c>
      <c r="AG38" s="2">
        <v>26</v>
      </c>
      <c r="AH38" s="2">
        <v>100306.58000000002</v>
      </c>
    </row>
    <row r="39" spans="1:34" x14ac:dyDescent="0.25">
      <c r="A39">
        <v>10417</v>
      </c>
      <c r="B39">
        <v>36</v>
      </c>
      <c r="C39">
        <v>61.18</v>
      </c>
      <c r="D39">
        <v>6</v>
      </c>
      <c r="E39">
        <v>2202.48</v>
      </c>
      <c r="F39" s="1">
        <v>43964</v>
      </c>
      <c r="G39" s="2" t="s">
        <v>174</v>
      </c>
      <c r="H39" s="2" t="s">
        <v>20</v>
      </c>
      <c r="I39">
        <v>60</v>
      </c>
      <c r="J39" s="2" t="s">
        <v>637</v>
      </c>
      <c r="K39" s="2" t="s">
        <v>175</v>
      </c>
      <c r="L39" s="2" t="s">
        <v>176</v>
      </c>
      <c r="M39" s="2" t="s">
        <v>177</v>
      </c>
      <c r="N39" s="2" t="s">
        <v>178</v>
      </c>
      <c r="O39" s="2" t="s">
        <v>179</v>
      </c>
      <c r="P39" s="2" t="s">
        <v>180</v>
      </c>
      <c r="Q39" s="2" t="s">
        <v>181</v>
      </c>
      <c r="R39" s="2" t="s">
        <v>182</v>
      </c>
      <c r="S39" s="2" t="s">
        <v>30</v>
      </c>
      <c r="T39">
        <v>815</v>
      </c>
      <c r="U39">
        <f>VLOOKUP(Auto_Sales_data___Copy[[#This Row],[CUSTOMER_NAME]],$AF$2:$AH$90,2,FALSE)</f>
        <v>259</v>
      </c>
      <c r="V39">
        <f>VLOOKUP(Auto_Sales_data___Copy[[#This Row],[CUSTOMER_NAME]],$AF$2:$AH$90,3,FALSE)</f>
        <v>912294.1100000001</v>
      </c>
      <c r="W39" s="2">
        <f>6-MATCH(Auto_Sales_data___Copy[[#This Row],[DAYS_SINCE_LAST_ORDER]],Table2[R-Cutoff],1)</f>
        <v>5</v>
      </c>
      <c r="X39" s="2">
        <f>MATCH(Auto_Sales_data___Copy[[#This Row],[Total_Orders_Per_Customer]],Table2[F-Cutoff],1)</f>
        <v>5</v>
      </c>
      <c r="Y39" s="2">
        <f>MATCH(Auto_Sales_data___Copy[[#This Row],[Total_Sales_Per_Customer]],Table2[M-Cutoff],1)</f>
        <v>5</v>
      </c>
      <c r="Z39" s="2" t="str">
        <f>Auto_Sales_data___Copy[[#This Row],[R-Score(1-5)]]&amp;Auto_Sales_data___Copy[[#This Row],[F-Score(1-5)]]&amp;Auto_Sales_data___Copy[[#This Row],[M-Score(1-5)]]</f>
        <v>555</v>
      </c>
      <c r="AA39" s="2" t="str" cm="1">
        <f t="array" ref="AA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9" s="2" t="str">
        <f>VLOOKUP(Auto_Sales_data___Copy[[#This Row],[Segment Name]],Table3[],2,FALSE)</f>
        <v>VIP Recognitioon &amp; Inclusivity</v>
      </c>
      <c r="AF39" s="4" t="s">
        <v>159</v>
      </c>
      <c r="AG39" s="2">
        <v>26</v>
      </c>
      <c r="AH39" s="2">
        <v>98923.73000000001</v>
      </c>
    </row>
    <row r="40" spans="1:34" x14ac:dyDescent="0.25">
      <c r="A40">
        <v>10424</v>
      </c>
      <c r="B40">
        <v>50</v>
      </c>
      <c r="C40">
        <v>240.02</v>
      </c>
      <c r="D40">
        <v>6</v>
      </c>
      <c r="E40">
        <v>12001</v>
      </c>
      <c r="F40" s="1">
        <v>43982</v>
      </c>
      <c r="G40" s="2" t="s">
        <v>314</v>
      </c>
      <c r="H40" s="2" t="s">
        <v>183</v>
      </c>
      <c r="I40">
        <v>214</v>
      </c>
      <c r="J40" s="2" t="s">
        <v>184</v>
      </c>
      <c r="K40" s="2" t="s">
        <v>175</v>
      </c>
      <c r="L40" s="2" t="s">
        <v>176</v>
      </c>
      <c r="M40" s="2" t="s">
        <v>177</v>
      </c>
      <c r="N40" s="2" t="s">
        <v>178</v>
      </c>
      <c r="O40" s="2" t="s">
        <v>179</v>
      </c>
      <c r="P40" s="2" t="s">
        <v>180</v>
      </c>
      <c r="Q40" s="2" t="s">
        <v>181</v>
      </c>
      <c r="R40" s="2" t="s">
        <v>182</v>
      </c>
      <c r="S40" s="2" t="s">
        <v>151</v>
      </c>
      <c r="T40">
        <v>50</v>
      </c>
      <c r="U40">
        <f>VLOOKUP(Auto_Sales_data___Copy[[#This Row],[CUSTOMER_NAME]],$AF$2:$AH$90,2,FALSE)</f>
        <v>259</v>
      </c>
      <c r="V40">
        <f>VLOOKUP(Auto_Sales_data___Copy[[#This Row],[CUSTOMER_NAME]],$AF$2:$AH$90,3,FALSE)</f>
        <v>912294.1100000001</v>
      </c>
      <c r="W40" s="2">
        <f>6-MATCH(Auto_Sales_data___Copy[[#This Row],[DAYS_SINCE_LAST_ORDER]],Table2[R-Cutoff],1)</f>
        <v>5</v>
      </c>
      <c r="X40" s="2">
        <f>MATCH(Auto_Sales_data___Copy[[#This Row],[Total_Orders_Per_Customer]],Table2[F-Cutoff],1)</f>
        <v>5</v>
      </c>
      <c r="Y40" s="2">
        <f>MATCH(Auto_Sales_data___Copy[[#This Row],[Total_Sales_Per_Customer]],Table2[M-Cutoff],1)</f>
        <v>5</v>
      </c>
      <c r="Z40" s="2" t="str">
        <f>Auto_Sales_data___Copy[[#This Row],[R-Score(1-5)]]&amp;Auto_Sales_data___Copy[[#This Row],[F-Score(1-5)]]&amp;Auto_Sales_data___Copy[[#This Row],[M-Score(1-5)]]</f>
        <v>555</v>
      </c>
      <c r="AA40" s="2" t="str" cm="1">
        <f t="array" ref="AA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0" s="2" t="str">
        <f>VLOOKUP(Auto_Sales_data___Copy[[#This Row],[Segment Name]],Table3[],2,FALSE)</f>
        <v>VIP Recognitioon &amp; Inclusivity</v>
      </c>
      <c r="AF40" s="4" t="s">
        <v>425</v>
      </c>
      <c r="AG40" s="2">
        <v>23</v>
      </c>
      <c r="AH40" s="2">
        <v>97203.680000000008</v>
      </c>
    </row>
    <row r="41" spans="1:34" x14ac:dyDescent="0.25">
      <c r="A41">
        <v>10424</v>
      </c>
      <c r="B41">
        <v>49</v>
      </c>
      <c r="C41">
        <v>162.63999999999999</v>
      </c>
      <c r="D41">
        <v>3</v>
      </c>
      <c r="E41">
        <v>7969.36</v>
      </c>
      <c r="F41" s="1">
        <v>43982</v>
      </c>
      <c r="G41" s="2" t="s">
        <v>314</v>
      </c>
      <c r="H41" s="2" t="s">
        <v>537</v>
      </c>
      <c r="I41">
        <v>136</v>
      </c>
      <c r="J41" s="2" t="s">
        <v>538</v>
      </c>
      <c r="K41" s="2" t="s">
        <v>175</v>
      </c>
      <c r="L41" s="2" t="s">
        <v>176</v>
      </c>
      <c r="M41" s="2" t="s">
        <v>177</v>
      </c>
      <c r="N41" s="2" t="s">
        <v>178</v>
      </c>
      <c r="O41" s="2" t="s">
        <v>179</v>
      </c>
      <c r="P41" s="2" t="s">
        <v>180</v>
      </c>
      <c r="Q41" s="2" t="s">
        <v>181</v>
      </c>
      <c r="R41" s="2" t="s">
        <v>182</v>
      </c>
      <c r="S41" s="2" t="s">
        <v>151</v>
      </c>
      <c r="T41">
        <v>226</v>
      </c>
      <c r="U41">
        <f>VLOOKUP(Auto_Sales_data___Copy[[#This Row],[CUSTOMER_NAME]],$AF$2:$AH$90,2,FALSE)</f>
        <v>259</v>
      </c>
      <c r="V41">
        <f>VLOOKUP(Auto_Sales_data___Copy[[#This Row],[CUSTOMER_NAME]],$AF$2:$AH$90,3,FALSE)</f>
        <v>912294.1100000001</v>
      </c>
      <c r="W41" s="2">
        <f>6-MATCH(Auto_Sales_data___Copy[[#This Row],[DAYS_SINCE_LAST_ORDER]],Table2[R-Cutoff],1)</f>
        <v>5</v>
      </c>
      <c r="X41" s="2">
        <f>MATCH(Auto_Sales_data___Copy[[#This Row],[Total_Orders_Per_Customer]],Table2[F-Cutoff],1)</f>
        <v>5</v>
      </c>
      <c r="Y41" s="2">
        <f>MATCH(Auto_Sales_data___Copy[[#This Row],[Total_Sales_Per_Customer]],Table2[M-Cutoff],1)</f>
        <v>5</v>
      </c>
      <c r="Z41" s="2" t="str">
        <f>Auto_Sales_data___Copy[[#This Row],[R-Score(1-5)]]&amp;Auto_Sales_data___Copy[[#This Row],[F-Score(1-5)]]&amp;Auto_Sales_data___Copy[[#This Row],[M-Score(1-5)]]</f>
        <v>555</v>
      </c>
      <c r="AA41" s="2" t="str" cm="1">
        <f t="array" ref="AA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1" s="2" t="str">
        <f>VLOOKUP(Auto_Sales_data___Copy[[#This Row],[Segment Name]],Table3[],2,FALSE)</f>
        <v>VIP Recognitioon &amp; Inclusivity</v>
      </c>
      <c r="AF41" s="4" t="s">
        <v>264</v>
      </c>
      <c r="AG41" s="2">
        <v>26</v>
      </c>
      <c r="AH41" s="2">
        <v>94117.26</v>
      </c>
    </row>
    <row r="42" spans="1:34" x14ac:dyDescent="0.25">
      <c r="A42">
        <v>10424</v>
      </c>
      <c r="B42">
        <v>54</v>
      </c>
      <c r="C42">
        <v>133</v>
      </c>
      <c r="D42">
        <v>5</v>
      </c>
      <c r="E42">
        <v>7182</v>
      </c>
      <c r="F42" s="1">
        <v>43982</v>
      </c>
      <c r="G42" s="2" t="s">
        <v>314</v>
      </c>
      <c r="H42" s="2" t="s">
        <v>537</v>
      </c>
      <c r="I42">
        <v>116</v>
      </c>
      <c r="J42" s="2" t="s">
        <v>575</v>
      </c>
      <c r="K42" s="2" t="s">
        <v>175</v>
      </c>
      <c r="L42" s="2" t="s">
        <v>176</v>
      </c>
      <c r="M42" s="2" t="s">
        <v>177</v>
      </c>
      <c r="N42" s="2" t="s">
        <v>178</v>
      </c>
      <c r="O42" s="2" t="s">
        <v>179</v>
      </c>
      <c r="P42" s="2" t="s">
        <v>180</v>
      </c>
      <c r="Q42" s="2" t="s">
        <v>181</v>
      </c>
      <c r="R42" s="2" t="s">
        <v>182</v>
      </c>
      <c r="S42" s="2" t="s">
        <v>151</v>
      </c>
      <c r="T42">
        <v>427</v>
      </c>
      <c r="U42">
        <f>VLOOKUP(Auto_Sales_data___Copy[[#This Row],[CUSTOMER_NAME]],$AF$2:$AH$90,2,FALSE)</f>
        <v>259</v>
      </c>
      <c r="V42">
        <f>VLOOKUP(Auto_Sales_data___Copy[[#This Row],[CUSTOMER_NAME]],$AF$2:$AH$90,3,FALSE)</f>
        <v>912294.1100000001</v>
      </c>
      <c r="W42" s="2">
        <f>6-MATCH(Auto_Sales_data___Copy[[#This Row],[DAYS_SINCE_LAST_ORDER]],Table2[R-Cutoff],1)</f>
        <v>5</v>
      </c>
      <c r="X42" s="2">
        <f>MATCH(Auto_Sales_data___Copy[[#This Row],[Total_Orders_Per_Customer]],Table2[F-Cutoff],1)</f>
        <v>5</v>
      </c>
      <c r="Y42" s="2">
        <f>MATCH(Auto_Sales_data___Copy[[#This Row],[Total_Sales_Per_Customer]],Table2[M-Cutoff],1)</f>
        <v>5</v>
      </c>
      <c r="Z42" s="2" t="str">
        <f>Auto_Sales_data___Copy[[#This Row],[R-Score(1-5)]]&amp;Auto_Sales_data___Copy[[#This Row],[F-Score(1-5)]]&amp;Auto_Sales_data___Copy[[#This Row],[M-Score(1-5)]]</f>
        <v>555</v>
      </c>
      <c r="AA42" s="2" t="str" cm="1">
        <f t="array" ref="AA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2" s="2" t="str">
        <f>VLOOKUP(Auto_Sales_data___Copy[[#This Row],[Segment Name]],Table3[],2,FALSE)</f>
        <v>VIP Recognitioon &amp; Inclusivity</v>
      </c>
      <c r="AF42" s="4" t="s">
        <v>450</v>
      </c>
      <c r="AG42" s="2">
        <v>26</v>
      </c>
      <c r="AH42" s="2">
        <v>94015.73</v>
      </c>
    </row>
    <row r="43" spans="1:34" x14ac:dyDescent="0.25">
      <c r="A43">
        <v>10103</v>
      </c>
      <c r="B43">
        <v>26</v>
      </c>
      <c r="C43">
        <v>207.87</v>
      </c>
      <c r="D43">
        <v>11</v>
      </c>
      <c r="E43">
        <v>5404.62</v>
      </c>
      <c r="F43" s="1">
        <v>43129</v>
      </c>
      <c r="G43" s="2" t="s">
        <v>19</v>
      </c>
      <c r="H43" s="2" t="s">
        <v>183</v>
      </c>
      <c r="I43">
        <v>214</v>
      </c>
      <c r="J43" s="2" t="s">
        <v>184</v>
      </c>
      <c r="K43" s="2" t="s">
        <v>130</v>
      </c>
      <c r="L43" s="2" t="s">
        <v>131</v>
      </c>
      <c r="M43" s="2" t="s">
        <v>132</v>
      </c>
      <c r="N43" s="2" t="s">
        <v>133</v>
      </c>
      <c r="O43" s="2" t="s">
        <v>134</v>
      </c>
      <c r="P43" s="2" t="s">
        <v>73</v>
      </c>
      <c r="Q43" s="2" t="s">
        <v>135</v>
      </c>
      <c r="R43" s="2" t="s">
        <v>136</v>
      </c>
      <c r="S43" s="2" t="s">
        <v>46</v>
      </c>
      <c r="T43">
        <v>878</v>
      </c>
      <c r="U43">
        <f>VLOOKUP(Auto_Sales_data___Copy[[#This Row],[CUSTOMER_NAME]],$AF$2:$AH$90,2,FALSE)</f>
        <v>32</v>
      </c>
      <c r="V43">
        <f>VLOOKUP(Auto_Sales_data___Copy[[#This Row],[CUSTOMER_NAME]],$AF$2:$AH$90,3,FALSE)</f>
        <v>116599.18999999999</v>
      </c>
      <c r="W43" s="2">
        <f>6-MATCH(Auto_Sales_data___Copy[[#This Row],[DAYS_SINCE_LAST_ORDER]],Table2[R-Cutoff],1)</f>
        <v>5</v>
      </c>
      <c r="X43" s="2">
        <f>MATCH(Auto_Sales_data___Copy[[#This Row],[Total_Orders_Per_Customer]],Table2[F-Cutoff],1)</f>
        <v>4</v>
      </c>
      <c r="Y43" s="2">
        <f>MATCH(Auto_Sales_data___Copy[[#This Row],[Total_Sales_Per_Customer]],Table2[M-Cutoff],1)</f>
        <v>4</v>
      </c>
      <c r="Z43" s="2" t="str">
        <f>Auto_Sales_data___Copy[[#This Row],[R-Score(1-5)]]&amp;Auto_Sales_data___Copy[[#This Row],[F-Score(1-5)]]&amp;Auto_Sales_data___Copy[[#This Row],[M-Score(1-5)]]</f>
        <v>544</v>
      </c>
      <c r="AA43" s="2" t="str" cm="1">
        <f t="array" ref="AA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3" s="2" t="str">
        <f>VLOOKUP(Auto_Sales_data___Copy[[#This Row],[Segment Name]],Table3[],2,FALSE)</f>
        <v>VIP Recognitioon &amp; Inclusivity</v>
      </c>
      <c r="AF43" s="4" t="s">
        <v>76</v>
      </c>
      <c r="AG43" s="2">
        <v>27</v>
      </c>
      <c r="AH43" s="2">
        <v>93170.66</v>
      </c>
    </row>
    <row r="44" spans="1:34" x14ac:dyDescent="0.25">
      <c r="A44">
        <v>10105</v>
      </c>
      <c r="B44">
        <v>50</v>
      </c>
      <c r="C44">
        <v>144.16</v>
      </c>
      <c r="D44">
        <v>2</v>
      </c>
      <c r="E44">
        <v>7208</v>
      </c>
      <c r="F44" s="1">
        <v>43142</v>
      </c>
      <c r="G44" s="2" t="s">
        <v>19</v>
      </c>
      <c r="H44" s="2" t="s">
        <v>183</v>
      </c>
      <c r="I44">
        <v>136</v>
      </c>
      <c r="J44" s="2" t="s">
        <v>338</v>
      </c>
      <c r="K44" s="2" t="s">
        <v>339</v>
      </c>
      <c r="L44" s="2" t="s">
        <v>340</v>
      </c>
      <c r="M44" s="2" t="s">
        <v>341</v>
      </c>
      <c r="N44" s="2" t="s">
        <v>342</v>
      </c>
      <c r="O44" s="2" t="s">
        <v>343</v>
      </c>
      <c r="P44" s="2" t="s">
        <v>344</v>
      </c>
      <c r="Q44" s="2" t="s">
        <v>345</v>
      </c>
      <c r="R44" s="2" t="s">
        <v>346</v>
      </c>
      <c r="S44" s="2" t="s">
        <v>151</v>
      </c>
      <c r="T44">
        <v>939</v>
      </c>
      <c r="U44">
        <f>VLOOKUP(Auto_Sales_data___Copy[[#This Row],[CUSTOMER_NAME]],$AF$2:$AH$90,2,FALSE)</f>
        <v>36</v>
      </c>
      <c r="V44">
        <f>VLOOKUP(Auto_Sales_data___Copy[[#This Row],[CUSTOMER_NAME]],$AF$2:$AH$90,3,FALSE)</f>
        <v>145041.60000000001</v>
      </c>
      <c r="W44" s="2">
        <f>6-MATCH(Auto_Sales_data___Copy[[#This Row],[DAYS_SINCE_LAST_ORDER]],Table2[R-Cutoff],1)</f>
        <v>5</v>
      </c>
      <c r="X44" s="2">
        <f>MATCH(Auto_Sales_data___Copy[[#This Row],[Total_Orders_Per_Customer]],Table2[F-Cutoff],1)</f>
        <v>4</v>
      </c>
      <c r="Y44" s="2">
        <f>MATCH(Auto_Sales_data___Copy[[#This Row],[Total_Sales_Per_Customer]],Table2[M-Cutoff],1)</f>
        <v>4</v>
      </c>
      <c r="Z44" s="2" t="str">
        <f>Auto_Sales_data___Copy[[#This Row],[R-Score(1-5)]]&amp;Auto_Sales_data___Copy[[#This Row],[F-Score(1-5)]]&amp;Auto_Sales_data___Copy[[#This Row],[M-Score(1-5)]]</f>
        <v>544</v>
      </c>
      <c r="AA44" s="2" t="str" cm="1">
        <f t="array" ref="AA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4" s="2" t="str">
        <f>VLOOKUP(Auto_Sales_data___Copy[[#This Row],[Segment Name]],Table3[],2,FALSE)</f>
        <v>VIP Recognitioon &amp; Inclusivity</v>
      </c>
      <c r="AF44" s="4" t="s">
        <v>347</v>
      </c>
      <c r="AG44" s="2">
        <v>26</v>
      </c>
      <c r="AH44" s="2">
        <v>88804.5</v>
      </c>
    </row>
    <row r="45" spans="1:34" x14ac:dyDescent="0.25">
      <c r="A45">
        <v>10107</v>
      </c>
      <c r="B45">
        <v>30</v>
      </c>
      <c r="C45">
        <v>95.7</v>
      </c>
      <c r="D45">
        <v>2</v>
      </c>
      <c r="E45">
        <v>2871</v>
      </c>
      <c r="F45" s="1">
        <v>43155</v>
      </c>
      <c r="G45" s="2" t="s">
        <v>19</v>
      </c>
      <c r="H45" s="2" t="s">
        <v>20</v>
      </c>
      <c r="I45">
        <v>95</v>
      </c>
      <c r="J45" s="2" t="s">
        <v>21</v>
      </c>
      <c r="K45" s="2" t="s">
        <v>22</v>
      </c>
      <c r="L45" s="2" t="s">
        <v>23</v>
      </c>
      <c r="M45" s="2" t="s">
        <v>24</v>
      </c>
      <c r="N45" s="2" t="s">
        <v>25</v>
      </c>
      <c r="O45" s="2" t="s">
        <v>26</v>
      </c>
      <c r="P45" s="2" t="s">
        <v>27</v>
      </c>
      <c r="Q45" s="2" t="s">
        <v>28</v>
      </c>
      <c r="R45" s="2" t="s">
        <v>29</v>
      </c>
      <c r="S45" s="2" t="s">
        <v>30</v>
      </c>
      <c r="T45">
        <v>828</v>
      </c>
      <c r="U45">
        <f>VLOOKUP(Auto_Sales_data___Copy[[#This Row],[CUSTOMER_NAME]],$AF$2:$AH$90,2,FALSE)</f>
        <v>49</v>
      </c>
      <c r="V45">
        <f>VLOOKUP(Auto_Sales_data___Copy[[#This Row],[CUSTOMER_NAME]],$AF$2:$AH$90,3,FALSE)</f>
        <v>164069.43999999997</v>
      </c>
      <c r="W45" s="2">
        <f>6-MATCH(Auto_Sales_data___Copy[[#This Row],[DAYS_SINCE_LAST_ORDER]],Table2[R-Cutoff],1)</f>
        <v>5</v>
      </c>
      <c r="X45" s="2">
        <f>MATCH(Auto_Sales_data___Copy[[#This Row],[Total_Orders_Per_Customer]],Table2[F-Cutoff],1)</f>
        <v>4</v>
      </c>
      <c r="Y45" s="2">
        <f>MATCH(Auto_Sales_data___Copy[[#This Row],[Total_Sales_Per_Customer]],Table2[M-Cutoff],1)</f>
        <v>4</v>
      </c>
      <c r="Z45" s="2" t="str">
        <f>Auto_Sales_data___Copy[[#This Row],[R-Score(1-5)]]&amp;Auto_Sales_data___Copy[[#This Row],[F-Score(1-5)]]&amp;Auto_Sales_data___Copy[[#This Row],[M-Score(1-5)]]</f>
        <v>544</v>
      </c>
      <c r="AA45" s="2" t="str" cm="1">
        <f t="array" ref="AA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5" s="2" t="str">
        <f>VLOOKUP(Auto_Sales_data___Copy[[#This Row],[Segment Name]],Table3[],2,FALSE)</f>
        <v>VIP Recognitioon &amp; Inclusivity</v>
      </c>
      <c r="AF45" s="4" t="s">
        <v>90</v>
      </c>
      <c r="AG45" s="2">
        <v>25</v>
      </c>
      <c r="AH45" s="2">
        <v>88041.260000000009</v>
      </c>
    </row>
    <row r="46" spans="1:34" x14ac:dyDescent="0.25">
      <c r="A46">
        <v>10107</v>
      </c>
      <c r="B46">
        <v>39</v>
      </c>
      <c r="C46">
        <v>99.91</v>
      </c>
      <c r="D46">
        <v>5</v>
      </c>
      <c r="E46">
        <v>3896.49</v>
      </c>
      <c r="F46" s="1">
        <v>43155</v>
      </c>
      <c r="G46" s="2" t="s">
        <v>19</v>
      </c>
      <c r="H46" s="2" t="s">
        <v>20</v>
      </c>
      <c r="I46">
        <v>118</v>
      </c>
      <c r="J46" s="2" t="s">
        <v>315</v>
      </c>
      <c r="K46" s="2" t="s">
        <v>22</v>
      </c>
      <c r="L46" s="2" t="s">
        <v>23</v>
      </c>
      <c r="M46" s="2" t="s">
        <v>24</v>
      </c>
      <c r="N46" s="2" t="s">
        <v>25</v>
      </c>
      <c r="O46" s="2" t="s">
        <v>26</v>
      </c>
      <c r="P46" s="2" t="s">
        <v>27</v>
      </c>
      <c r="Q46" s="2" t="s">
        <v>28</v>
      </c>
      <c r="R46" s="2" t="s">
        <v>29</v>
      </c>
      <c r="S46" s="2" t="s">
        <v>46</v>
      </c>
      <c r="T46">
        <v>878</v>
      </c>
      <c r="U46">
        <f>VLOOKUP(Auto_Sales_data___Copy[[#This Row],[CUSTOMER_NAME]],$AF$2:$AH$90,2,FALSE)</f>
        <v>49</v>
      </c>
      <c r="V46">
        <f>VLOOKUP(Auto_Sales_data___Copy[[#This Row],[CUSTOMER_NAME]],$AF$2:$AH$90,3,FALSE)</f>
        <v>164069.43999999997</v>
      </c>
      <c r="W46" s="2">
        <f>6-MATCH(Auto_Sales_data___Copy[[#This Row],[DAYS_SINCE_LAST_ORDER]],Table2[R-Cutoff],1)</f>
        <v>5</v>
      </c>
      <c r="X46" s="2">
        <f>MATCH(Auto_Sales_data___Copy[[#This Row],[Total_Orders_Per_Customer]],Table2[F-Cutoff],1)</f>
        <v>4</v>
      </c>
      <c r="Y46" s="2">
        <f>MATCH(Auto_Sales_data___Copy[[#This Row],[Total_Sales_Per_Customer]],Table2[M-Cutoff],1)</f>
        <v>4</v>
      </c>
      <c r="Z46" s="2" t="str">
        <f>Auto_Sales_data___Copy[[#This Row],[R-Score(1-5)]]&amp;Auto_Sales_data___Copy[[#This Row],[F-Score(1-5)]]&amp;Auto_Sales_data___Copy[[#This Row],[M-Score(1-5)]]</f>
        <v>544</v>
      </c>
      <c r="AA46" s="2" t="str" cm="1">
        <f t="array" ref="AA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6" s="2" t="str">
        <f>VLOOKUP(Auto_Sales_data___Copy[[#This Row],[Segment Name]],Table3[],2,FALSE)</f>
        <v>VIP Recognitioon &amp; Inclusivity</v>
      </c>
      <c r="AF46" s="4" t="s">
        <v>379</v>
      </c>
      <c r="AG46" s="2">
        <v>25</v>
      </c>
      <c r="AH46" s="2">
        <v>87489.23000000001</v>
      </c>
    </row>
    <row r="47" spans="1:34" x14ac:dyDescent="0.25">
      <c r="A47">
        <v>10107</v>
      </c>
      <c r="B47">
        <v>27</v>
      </c>
      <c r="C47">
        <v>224.65</v>
      </c>
      <c r="D47">
        <v>4</v>
      </c>
      <c r="E47">
        <v>6065.55</v>
      </c>
      <c r="F47" s="1">
        <v>43155</v>
      </c>
      <c r="G47" s="2" t="s">
        <v>19</v>
      </c>
      <c r="H47" s="2" t="s">
        <v>20</v>
      </c>
      <c r="I47">
        <v>193</v>
      </c>
      <c r="J47" s="2" t="s">
        <v>337</v>
      </c>
      <c r="K47" s="2" t="s">
        <v>22</v>
      </c>
      <c r="L47" s="2" t="s">
        <v>23</v>
      </c>
      <c r="M47" s="2" t="s">
        <v>24</v>
      </c>
      <c r="N47" s="2" t="s">
        <v>25</v>
      </c>
      <c r="O47" s="2" t="s">
        <v>26</v>
      </c>
      <c r="P47" s="2" t="s">
        <v>27</v>
      </c>
      <c r="Q47" s="2" t="s">
        <v>28</v>
      </c>
      <c r="R47" s="2" t="s">
        <v>29</v>
      </c>
      <c r="S47" s="2" t="s">
        <v>46</v>
      </c>
      <c r="T47">
        <v>902</v>
      </c>
      <c r="U47">
        <f>VLOOKUP(Auto_Sales_data___Copy[[#This Row],[CUSTOMER_NAME]],$AF$2:$AH$90,2,FALSE)</f>
        <v>49</v>
      </c>
      <c r="V47">
        <f>VLOOKUP(Auto_Sales_data___Copy[[#This Row],[CUSTOMER_NAME]],$AF$2:$AH$90,3,FALSE)</f>
        <v>164069.43999999997</v>
      </c>
      <c r="W47" s="2">
        <f>6-MATCH(Auto_Sales_data___Copy[[#This Row],[DAYS_SINCE_LAST_ORDER]],Table2[R-Cutoff],1)</f>
        <v>5</v>
      </c>
      <c r="X47" s="2">
        <f>MATCH(Auto_Sales_data___Copy[[#This Row],[Total_Orders_Per_Customer]],Table2[F-Cutoff],1)</f>
        <v>4</v>
      </c>
      <c r="Y47" s="2">
        <f>MATCH(Auto_Sales_data___Copy[[#This Row],[Total_Sales_Per_Customer]],Table2[M-Cutoff],1)</f>
        <v>4</v>
      </c>
      <c r="Z47" s="2" t="str">
        <f>Auto_Sales_data___Copy[[#This Row],[R-Score(1-5)]]&amp;Auto_Sales_data___Copy[[#This Row],[F-Score(1-5)]]&amp;Auto_Sales_data___Copy[[#This Row],[M-Score(1-5)]]</f>
        <v>544</v>
      </c>
      <c r="AA47" s="2" t="str" cm="1">
        <f t="array" ref="AA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7" s="2" t="str">
        <f>VLOOKUP(Auto_Sales_data___Copy[[#This Row],[Segment Name]],Table3[],2,FALSE)</f>
        <v>VIP Recognitioon &amp; Inclusivity</v>
      </c>
      <c r="AF47" s="4" t="s">
        <v>332</v>
      </c>
      <c r="AG47" s="2">
        <v>26</v>
      </c>
      <c r="AH47" s="2">
        <v>85555.989999999976</v>
      </c>
    </row>
    <row r="48" spans="1:34" x14ac:dyDescent="0.25">
      <c r="A48">
        <v>10119</v>
      </c>
      <c r="B48">
        <v>46</v>
      </c>
      <c r="C48">
        <v>108.8</v>
      </c>
      <c r="D48">
        <v>11</v>
      </c>
      <c r="E48">
        <v>5004.8</v>
      </c>
      <c r="F48" s="1">
        <v>43218</v>
      </c>
      <c r="G48" s="2" t="s">
        <v>19</v>
      </c>
      <c r="H48" s="2" t="s">
        <v>183</v>
      </c>
      <c r="I48">
        <v>136</v>
      </c>
      <c r="J48" s="2" t="s">
        <v>338</v>
      </c>
      <c r="K48" s="2" t="s">
        <v>143</v>
      </c>
      <c r="L48" s="2" t="s">
        <v>144</v>
      </c>
      <c r="M48" s="2" t="s">
        <v>145</v>
      </c>
      <c r="N48" s="2" t="s">
        <v>146</v>
      </c>
      <c r="O48" s="2" t="s">
        <v>147</v>
      </c>
      <c r="P48" s="2" t="s">
        <v>148</v>
      </c>
      <c r="Q48" s="2" t="s">
        <v>149</v>
      </c>
      <c r="R48" s="2" t="s">
        <v>150</v>
      </c>
      <c r="S48" s="2" t="s">
        <v>46</v>
      </c>
      <c r="T48">
        <v>864</v>
      </c>
      <c r="U48">
        <f>VLOOKUP(Auto_Sales_data___Copy[[#This Row],[CUSTOMER_NAME]],$AF$2:$AH$90,2,FALSE)</f>
        <v>40</v>
      </c>
      <c r="V48">
        <f>VLOOKUP(Auto_Sales_data___Copy[[#This Row],[CUSTOMER_NAME]],$AF$2:$AH$90,3,FALSE)</f>
        <v>149798.63</v>
      </c>
      <c r="W48" s="2">
        <f>6-MATCH(Auto_Sales_data___Copy[[#This Row],[DAYS_SINCE_LAST_ORDER]],Table2[R-Cutoff],1)</f>
        <v>5</v>
      </c>
      <c r="X48" s="2">
        <f>MATCH(Auto_Sales_data___Copy[[#This Row],[Total_Orders_Per_Customer]],Table2[F-Cutoff],1)</f>
        <v>4</v>
      </c>
      <c r="Y48" s="2">
        <f>MATCH(Auto_Sales_data___Copy[[#This Row],[Total_Sales_Per_Customer]],Table2[M-Cutoff],1)</f>
        <v>4</v>
      </c>
      <c r="Z48" s="2" t="str">
        <f>Auto_Sales_data___Copy[[#This Row],[R-Score(1-5)]]&amp;Auto_Sales_data___Copy[[#This Row],[F-Score(1-5)]]&amp;Auto_Sales_data___Copy[[#This Row],[M-Score(1-5)]]</f>
        <v>544</v>
      </c>
      <c r="AA48" s="2" t="str" cm="1">
        <f t="array" ref="AA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8" s="2" t="str">
        <f>VLOOKUP(Auto_Sales_data___Copy[[#This Row],[Segment Name]],Table3[],2,FALSE)</f>
        <v>VIP Recognitioon &amp; Inclusivity</v>
      </c>
      <c r="AF48" s="4" t="s">
        <v>492</v>
      </c>
      <c r="AG48" s="2">
        <v>22</v>
      </c>
      <c r="AH48" s="2">
        <v>85171.59</v>
      </c>
    </row>
    <row r="49" spans="1:34" x14ac:dyDescent="0.25">
      <c r="A49">
        <v>10120</v>
      </c>
      <c r="B49">
        <v>29</v>
      </c>
      <c r="C49">
        <v>96.34</v>
      </c>
      <c r="D49">
        <v>3</v>
      </c>
      <c r="E49">
        <v>2793.86</v>
      </c>
      <c r="F49" s="1">
        <v>43219</v>
      </c>
      <c r="G49" s="2" t="s">
        <v>19</v>
      </c>
      <c r="H49" s="2" t="s">
        <v>20</v>
      </c>
      <c r="I49">
        <v>118</v>
      </c>
      <c r="J49" s="2" t="s">
        <v>315</v>
      </c>
      <c r="K49" s="2" t="s">
        <v>82</v>
      </c>
      <c r="L49" s="2" t="s">
        <v>83</v>
      </c>
      <c r="M49" s="2" t="s">
        <v>84</v>
      </c>
      <c r="N49" s="2" t="s">
        <v>85</v>
      </c>
      <c r="O49" s="2" t="s">
        <v>86</v>
      </c>
      <c r="P49" s="2" t="s">
        <v>87</v>
      </c>
      <c r="Q49" s="2" t="s">
        <v>88</v>
      </c>
      <c r="R49" s="2" t="s">
        <v>89</v>
      </c>
      <c r="S49" s="2" t="s">
        <v>30</v>
      </c>
      <c r="T49">
        <v>815</v>
      </c>
      <c r="U49">
        <f>VLOOKUP(Auto_Sales_data___Copy[[#This Row],[CUSTOMER_NAME]],$AF$2:$AH$90,2,FALSE)</f>
        <v>55</v>
      </c>
      <c r="V49">
        <f>VLOOKUP(Auto_Sales_data___Copy[[#This Row],[CUSTOMER_NAME]],$AF$2:$AH$90,3,FALSE)</f>
        <v>200995.41000000006</v>
      </c>
      <c r="W49" s="2">
        <f>6-MATCH(Auto_Sales_data___Copy[[#This Row],[DAYS_SINCE_LAST_ORDER]],Table2[R-Cutoff],1)</f>
        <v>5</v>
      </c>
      <c r="X49" s="2">
        <f>MATCH(Auto_Sales_data___Copy[[#This Row],[Total_Orders_Per_Customer]],Table2[F-Cutoff],1)</f>
        <v>4</v>
      </c>
      <c r="Y49" s="2">
        <f>MATCH(Auto_Sales_data___Copy[[#This Row],[Total_Sales_Per_Customer]],Table2[M-Cutoff],1)</f>
        <v>4</v>
      </c>
      <c r="Z49" s="2" t="str">
        <f>Auto_Sales_data___Copy[[#This Row],[R-Score(1-5)]]&amp;Auto_Sales_data___Copy[[#This Row],[F-Score(1-5)]]&amp;Auto_Sales_data___Copy[[#This Row],[M-Score(1-5)]]</f>
        <v>544</v>
      </c>
      <c r="AA49" s="2" t="str" cm="1">
        <f t="array" ref="AA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9" s="2" t="str">
        <f>VLOOKUP(Auto_Sales_data___Copy[[#This Row],[Segment Name]],Table3[],2,FALSE)</f>
        <v>VIP Recognitioon &amp; Inclusivity</v>
      </c>
      <c r="AF49" s="4" t="s">
        <v>323</v>
      </c>
      <c r="AG49" s="2">
        <v>23</v>
      </c>
      <c r="AH49" s="2">
        <v>83682.16</v>
      </c>
    </row>
    <row r="50" spans="1:34" x14ac:dyDescent="0.25">
      <c r="A50">
        <v>10120</v>
      </c>
      <c r="B50">
        <v>46</v>
      </c>
      <c r="C50">
        <v>201.41</v>
      </c>
      <c r="D50">
        <v>2</v>
      </c>
      <c r="E50">
        <v>9264.86</v>
      </c>
      <c r="F50" s="1">
        <v>43219</v>
      </c>
      <c r="G50" s="2" t="s">
        <v>19</v>
      </c>
      <c r="H50" s="2" t="s">
        <v>20</v>
      </c>
      <c r="I50">
        <v>193</v>
      </c>
      <c r="J50" s="2" t="s">
        <v>337</v>
      </c>
      <c r="K50" s="2" t="s">
        <v>82</v>
      </c>
      <c r="L50" s="2" t="s">
        <v>83</v>
      </c>
      <c r="M50" s="2" t="s">
        <v>84</v>
      </c>
      <c r="N50" s="2" t="s">
        <v>85</v>
      </c>
      <c r="O50" s="2" t="s">
        <v>86</v>
      </c>
      <c r="P50" s="2" t="s">
        <v>87</v>
      </c>
      <c r="Q50" s="2" t="s">
        <v>88</v>
      </c>
      <c r="R50" s="2" t="s">
        <v>89</v>
      </c>
      <c r="S50" s="2" t="s">
        <v>151</v>
      </c>
      <c r="T50">
        <v>839</v>
      </c>
      <c r="U50">
        <f>VLOOKUP(Auto_Sales_data___Copy[[#This Row],[CUSTOMER_NAME]],$AF$2:$AH$90,2,FALSE)</f>
        <v>55</v>
      </c>
      <c r="V50">
        <f>VLOOKUP(Auto_Sales_data___Copy[[#This Row],[CUSTOMER_NAME]],$AF$2:$AH$90,3,FALSE)</f>
        <v>200995.41000000006</v>
      </c>
      <c r="W50" s="2">
        <f>6-MATCH(Auto_Sales_data___Copy[[#This Row],[DAYS_SINCE_LAST_ORDER]],Table2[R-Cutoff],1)</f>
        <v>5</v>
      </c>
      <c r="X50" s="2">
        <f>MATCH(Auto_Sales_data___Copy[[#This Row],[Total_Orders_Per_Customer]],Table2[F-Cutoff],1)</f>
        <v>4</v>
      </c>
      <c r="Y50" s="2">
        <f>MATCH(Auto_Sales_data___Copy[[#This Row],[Total_Sales_Per_Customer]],Table2[M-Cutoff],1)</f>
        <v>4</v>
      </c>
      <c r="Z50" s="2" t="str">
        <f>Auto_Sales_data___Copy[[#This Row],[R-Score(1-5)]]&amp;Auto_Sales_data___Copy[[#This Row],[F-Score(1-5)]]&amp;Auto_Sales_data___Copy[[#This Row],[M-Score(1-5)]]</f>
        <v>544</v>
      </c>
      <c r="AA50" s="2" t="str" cm="1">
        <f t="array" ref="AA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0" s="2" t="str">
        <f>VLOOKUP(Auto_Sales_data___Copy[[#This Row],[Segment Name]],Table3[],2,FALSE)</f>
        <v>VIP Recognitioon &amp; Inclusivity</v>
      </c>
      <c r="AF50" s="4" t="s">
        <v>95</v>
      </c>
      <c r="AG50" s="2">
        <v>21</v>
      </c>
      <c r="AH50" s="2">
        <v>83228.189999999973</v>
      </c>
    </row>
    <row r="51" spans="1:34" x14ac:dyDescent="0.25">
      <c r="A51">
        <v>10121</v>
      </c>
      <c r="B51">
        <v>34</v>
      </c>
      <c r="C51">
        <v>81.349999999999994</v>
      </c>
      <c r="D51">
        <v>5</v>
      </c>
      <c r="E51">
        <v>2765.9</v>
      </c>
      <c r="F51" s="1">
        <v>43227</v>
      </c>
      <c r="G51" s="2" t="s">
        <v>19</v>
      </c>
      <c r="H51" s="2" t="s">
        <v>20</v>
      </c>
      <c r="I51">
        <v>95</v>
      </c>
      <c r="J51" s="2" t="s">
        <v>21</v>
      </c>
      <c r="K51" s="2" t="s">
        <v>31</v>
      </c>
      <c r="L51" s="2" t="s">
        <v>32</v>
      </c>
      <c r="M51" s="2" t="s">
        <v>33</v>
      </c>
      <c r="N51" s="2" t="s">
        <v>34</v>
      </c>
      <c r="O51" s="2" t="s">
        <v>35</v>
      </c>
      <c r="P51" s="2" t="s">
        <v>36</v>
      </c>
      <c r="Q51" s="2" t="s">
        <v>37</v>
      </c>
      <c r="R51" s="2" t="s">
        <v>38</v>
      </c>
      <c r="S51" s="2" t="s">
        <v>30</v>
      </c>
      <c r="T51">
        <v>757</v>
      </c>
      <c r="U51">
        <f>VLOOKUP(Auto_Sales_data___Copy[[#This Row],[CUSTOMER_NAME]],$AF$2:$AH$90,2,FALSE)</f>
        <v>41</v>
      </c>
      <c r="V51">
        <f>VLOOKUP(Auto_Sales_data___Copy[[#This Row],[CUSTOMER_NAME]],$AF$2:$AH$90,3,FALSE)</f>
        <v>135042.94</v>
      </c>
      <c r="W51" s="2">
        <f>6-MATCH(Auto_Sales_data___Copy[[#This Row],[DAYS_SINCE_LAST_ORDER]],Table2[R-Cutoff],1)</f>
        <v>5</v>
      </c>
      <c r="X51" s="2">
        <f>MATCH(Auto_Sales_data___Copy[[#This Row],[Total_Orders_Per_Customer]],Table2[F-Cutoff],1)</f>
        <v>4</v>
      </c>
      <c r="Y51" s="2">
        <f>MATCH(Auto_Sales_data___Copy[[#This Row],[Total_Sales_Per_Customer]],Table2[M-Cutoff],1)</f>
        <v>4</v>
      </c>
      <c r="Z51" s="2" t="str">
        <f>Auto_Sales_data___Copy[[#This Row],[R-Score(1-5)]]&amp;Auto_Sales_data___Copy[[#This Row],[F-Score(1-5)]]&amp;Auto_Sales_data___Copy[[#This Row],[M-Score(1-5)]]</f>
        <v>544</v>
      </c>
      <c r="AA51" s="2" t="str" cm="1">
        <f t="array" ref="AA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1" s="2" t="str">
        <f>VLOOKUP(Auto_Sales_data___Copy[[#This Row],[Segment Name]],Table3[],2,FALSE)</f>
        <v>VIP Recognitioon &amp; Inclusivity</v>
      </c>
      <c r="AF51" s="4" t="s">
        <v>398</v>
      </c>
      <c r="AG51" s="2">
        <v>26</v>
      </c>
      <c r="AH51" s="2">
        <v>83209.88</v>
      </c>
    </row>
    <row r="52" spans="1:34" x14ac:dyDescent="0.25">
      <c r="A52">
        <v>10126</v>
      </c>
      <c r="B52">
        <v>38</v>
      </c>
      <c r="C52">
        <v>192.87</v>
      </c>
      <c r="D52">
        <v>11</v>
      </c>
      <c r="E52">
        <v>7329.06</v>
      </c>
      <c r="F52" s="1">
        <v>43248</v>
      </c>
      <c r="G52" s="2" t="s">
        <v>19</v>
      </c>
      <c r="H52" s="2" t="s">
        <v>183</v>
      </c>
      <c r="I52">
        <v>214</v>
      </c>
      <c r="J52" s="2" t="s">
        <v>184</v>
      </c>
      <c r="K52" s="2" t="s">
        <v>193</v>
      </c>
      <c r="L52" s="2" t="s">
        <v>194</v>
      </c>
      <c r="M52" s="2" t="s">
        <v>195</v>
      </c>
      <c r="N52" s="2" t="s">
        <v>178</v>
      </c>
      <c r="O52" s="2" t="s">
        <v>196</v>
      </c>
      <c r="P52" s="2" t="s">
        <v>180</v>
      </c>
      <c r="Q52" s="2" t="s">
        <v>197</v>
      </c>
      <c r="R52" s="2" t="s">
        <v>198</v>
      </c>
      <c r="S52" s="2" t="s">
        <v>151</v>
      </c>
      <c r="T52">
        <v>761</v>
      </c>
      <c r="U52">
        <f>VLOOKUP(Auto_Sales_data___Copy[[#This Row],[CUSTOMER_NAME]],$AF$2:$AH$90,2,FALSE)</f>
        <v>32</v>
      </c>
      <c r="V52">
        <f>VLOOKUP(Auto_Sales_data___Copy[[#This Row],[CUSTOMER_NAME]],$AF$2:$AH$90,3,FALSE)</f>
        <v>120615.28</v>
      </c>
      <c r="W52" s="2">
        <f>6-MATCH(Auto_Sales_data___Copy[[#This Row],[DAYS_SINCE_LAST_ORDER]],Table2[R-Cutoff],1)</f>
        <v>5</v>
      </c>
      <c r="X52" s="2">
        <f>MATCH(Auto_Sales_data___Copy[[#This Row],[Total_Orders_Per_Customer]],Table2[F-Cutoff],1)</f>
        <v>4</v>
      </c>
      <c r="Y52" s="2">
        <f>MATCH(Auto_Sales_data___Copy[[#This Row],[Total_Sales_Per_Customer]],Table2[M-Cutoff],1)</f>
        <v>4</v>
      </c>
      <c r="Z52" s="2" t="str">
        <f>Auto_Sales_data___Copy[[#This Row],[R-Score(1-5)]]&amp;Auto_Sales_data___Copy[[#This Row],[F-Score(1-5)]]&amp;Auto_Sales_data___Copy[[#This Row],[M-Score(1-5)]]</f>
        <v>544</v>
      </c>
      <c r="AA52" s="2" t="str" cm="1">
        <f t="array" ref="AA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2" s="2" t="str">
        <f>VLOOKUP(Auto_Sales_data___Copy[[#This Row],[Segment Name]],Table3[],2,FALSE)</f>
        <v>VIP Recognitioon &amp; Inclusivity</v>
      </c>
      <c r="AF52" s="4" t="s">
        <v>577</v>
      </c>
      <c r="AG52" s="2">
        <v>29</v>
      </c>
      <c r="AH52" s="2">
        <v>82751.079999999987</v>
      </c>
    </row>
    <row r="53" spans="1:34" x14ac:dyDescent="0.25">
      <c r="A53">
        <v>10126</v>
      </c>
      <c r="B53">
        <v>22</v>
      </c>
      <c r="C53">
        <v>152.16999999999999</v>
      </c>
      <c r="D53">
        <v>4</v>
      </c>
      <c r="E53">
        <v>3347.74</v>
      </c>
      <c r="F53" s="1">
        <v>43248</v>
      </c>
      <c r="G53" s="2" t="s">
        <v>19</v>
      </c>
      <c r="H53" s="2" t="s">
        <v>183</v>
      </c>
      <c r="I53">
        <v>147</v>
      </c>
      <c r="J53" s="2" t="s">
        <v>424</v>
      </c>
      <c r="K53" s="2" t="s">
        <v>193</v>
      </c>
      <c r="L53" s="2" t="s">
        <v>194</v>
      </c>
      <c r="M53" s="2" t="s">
        <v>195</v>
      </c>
      <c r="N53" s="2" t="s">
        <v>178</v>
      </c>
      <c r="O53" s="2" t="s">
        <v>196</v>
      </c>
      <c r="P53" s="2" t="s">
        <v>180</v>
      </c>
      <c r="Q53" s="2" t="s">
        <v>197</v>
      </c>
      <c r="R53" s="2" t="s">
        <v>198</v>
      </c>
      <c r="S53" s="2" t="s">
        <v>46</v>
      </c>
      <c r="T53">
        <v>860</v>
      </c>
      <c r="U53">
        <f>VLOOKUP(Auto_Sales_data___Copy[[#This Row],[CUSTOMER_NAME]],$AF$2:$AH$90,2,FALSE)</f>
        <v>32</v>
      </c>
      <c r="V53">
        <f>VLOOKUP(Auto_Sales_data___Copy[[#This Row],[CUSTOMER_NAME]],$AF$2:$AH$90,3,FALSE)</f>
        <v>120615.28</v>
      </c>
      <c r="W53" s="2">
        <f>6-MATCH(Auto_Sales_data___Copy[[#This Row],[DAYS_SINCE_LAST_ORDER]],Table2[R-Cutoff],1)</f>
        <v>5</v>
      </c>
      <c r="X53" s="2">
        <f>MATCH(Auto_Sales_data___Copy[[#This Row],[Total_Orders_Per_Customer]],Table2[F-Cutoff],1)</f>
        <v>4</v>
      </c>
      <c r="Y53" s="2">
        <f>MATCH(Auto_Sales_data___Copy[[#This Row],[Total_Sales_Per_Customer]],Table2[M-Cutoff],1)</f>
        <v>4</v>
      </c>
      <c r="Z53" s="2" t="str">
        <f>Auto_Sales_data___Copy[[#This Row],[R-Score(1-5)]]&amp;Auto_Sales_data___Copy[[#This Row],[F-Score(1-5)]]&amp;Auto_Sales_data___Copy[[#This Row],[M-Score(1-5)]]</f>
        <v>544</v>
      </c>
      <c r="AA53" s="2" t="str" cm="1">
        <f t="array" ref="AA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3" s="2" t="str">
        <f>VLOOKUP(Auto_Sales_data___Copy[[#This Row],[Segment Name]],Table3[],2,FALSE)</f>
        <v>VIP Recognitioon &amp; Inclusivity</v>
      </c>
      <c r="AF53" s="4" t="s">
        <v>295</v>
      </c>
      <c r="AG53" s="2">
        <v>24</v>
      </c>
      <c r="AH53" s="2">
        <v>81577.98</v>
      </c>
    </row>
    <row r="54" spans="1:34" x14ac:dyDescent="0.25">
      <c r="A54">
        <v>10126</v>
      </c>
      <c r="B54">
        <v>21</v>
      </c>
      <c r="C54">
        <v>116.17</v>
      </c>
      <c r="D54">
        <v>8</v>
      </c>
      <c r="E54">
        <v>2439.5700000000002</v>
      </c>
      <c r="F54" s="1">
        <v>43248</v>
      </c>
      <c r="G54" s="2" t="s">
        <v>19</v>
      </c>
      <c r="H54" s="2" t="s">
        <v>537</v>
      </c>
      <c r="I54">
        <v>136</v>
      </c>
      <c r="J54" s="2" t="s">
        <v>538</v>
      </c>
      <c r="K54" s="2" t="s">
        <v>193</v>
      </c>
      <c r="L54" s="2" t="s">
        <v>194</v>
      </c>
      <c r="M54" s="2" t="s">
        <v>195</v>
      </c>
      <c r="N54" s="2" t="s">
        <v>178</v>
      </c>
      <c r="O54" s="2" t="s">
        <v>196</v>
      </c>
      <c r="P54" s="2" t="s">
        <v>180</v>
      </c>
      <c r="Q54" s="2" t="s">
        <v>197</v>
      </c>
      <c r="R54" s="2" t="s">
        <v>198</v>
      </c>
      <c r="S54" s="2" t="s">
        <v>30</v>
      </c>
      <c r="T54">
        <v>937</v>
      </c>
      <c r="U54">
        <f>VLOOKUP(Auto_Sales_data___Copy[[#This Row],[CUSTOMER_NAME]],$AF$2:$AH$90,2,FALSE)</f>
        <v>32</v>
      </c>
      <c r="V54">
        <f>VLOOKUP(Auto_Sales_data___Copy[[#This Row],[CUSTOMER_NAME]],$AF$2:$AH$90,3,FALSE)</f>
        <v>120615.28</v>
      </c>
      <c r="W54" s="2">
        <f>6-MATCH(Auto_Sales_data___Copy[[#This Row],[DAYS_SINCE_LAST_ORDER]],Table2[R-Cutoff],1)</f>
        <v>5</v>
      </c>
      <c r="X54" s="2">
        <f>MATCH(Auto_Sales_data___Copy[[#This Row],[Total_Orders_Per_Customer]],Table2[F-Cutoff],1)</f>
        <v>4</v>
      </c>
      <c r="Y54" s="2">
        <f>MATCH(Auto_Sales_data___Copy[[#This Row],[Total_Sales_Per_Customer]],Table2[M-Cutoff],1)</f>
        <v>4</v>
      </c>
      <c r="Z54" s="2" t="str">
        <f>Auto_Sales_data___Copy[[#This Row],[R-Score(1-5)]]&amp;Auto_Sales_data___Copy[[#This Row],[F-Score(1-5)]]&amp;Auto_Sales_data___Copy[[#This Row],[M-Score(1-5)]]</f>
        <v>544</v>
      </c>
      <c r="AA54" s="2" t="str" cm="1">
        <f t="array" ref="AA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4" s="2" t="str">
        <f>VLOOKUP(Auto_Sales_data___Copy[[#This Row],[Segment Name]],Table3[],2,FALSE)</f>
        <v>VIP Recognitioon &amp; Inclusivity</v>
      </c>
      <c r="AF54" s="4" t="s">
        <v>568</v>
      </c>
      <c r="AG54" s="2">
        <v>19</v>
      </c>
      <c r="AH54" s="2">
        <v>80438.48</v>
      </c>
    </row>
    <row r="55" spans="1:34" x14ac:dyDescent="0.25">
      <c r="A55">
        <v>10127</v>
      </c>
      <c r="B55">
        <v>46</v>
      </c>
      <c r="C55">
        <v>245.2</v>
      </c>
      <c r="D55">
        <v>2</v>
      </c>
      <c r="E55">
        <v>11279.2</v>
      </c>
      <c r="F55" s="1">
        <v>43254</v>
      </c>
      <c r="G55" s="2" t="s">
        <v>19</v>
      </c>
      <c r="H55" s="2" t="s">
        <v>183</v>
      </c>
      <c r="I55">
        <v>207</v>
      </c>
      <c r="J55" s="2" t="s">
        <v>505</v>
      </c>
      <c r="K55" s="2" t="s">
        <v>506</v>
      </c>
      <c r="L55" s="2" t="s">
        <v>507</v>
      </c>
      <c r="M55" s="2" t="s">
        <v>508</v>
      </c>
      <c r="N55" s="2" t="s">
        <v>25</v>
      </c>
      <c r="O55" s="2" t="s">
        <v>26</v>
      </c>
      <c r="P55" s="2" t="s">
        <v>27</v>
      </c>
      <c r="Q55" s="2" t="s">
        <v>52</v>
      </c>
      <c r="R55" s="2" t="s">
        <v>509</v>
      </c>
      <c r="S55" s="2" t="s">
        <v>151</v>
      </c>
      <c r="T55">
        <v>905</v>
      </c>
      <c r="U55">
        <f>VLOOKUP(Auto_Sales_data___Copy[[#This Row],[CUSTOMER_NAME]],$AF$2:$AH$90,2,FALSE)</f>
        <v>48</v>
      </c>
      <c r="V55">
        <f>VLOOKUP(Auto_Sales_data___Copy[[#This Row],[CUSTOMER_NAME]],$AF$2:$AH$90,3,FALSE)</f>
        <v>197736.93999999997</v>
      </c>
      <c r="W55" s="2">
        <f>6-MATCH(Auto_Sales_data___Copy[[#This Row],[DAYS_SINCE_LAST_ORDER]],Table2[R-Cutoff],1)</f>
        <v>5</v>
      </c>
      <c r="X55" s="2">
        <f>MATCH(Auto_Sales_data___Copy[[#This Row],[Total_Orders_Per_Customer]],Table2[F-Cutoff],1)</f>
        <v>4</v>
      </c>
      <c r="Y55" s="2">
        <f>MATCH(Auto_Sales_data___Copy[[#This Row],[Total_Sales_Per_Customer]],Table2[M-Cutoff],1)</f>
        <v>4</v>
      </c>
      <c r="Z55" s="2" t="str">
        <f>Auto_Sales_data___Copy[[#This Row],[R-Score(1-5)]]&amp;Auto_Sales_data___Copy[[#This Row],[F-Score(1-5)]]&amp;Auto_Sales_data___Copy[[#This Row],[M-Score(1-5)]]</f>
        <v>544</v>
      </c>
      <c r="AA55" s="2" t="str" cm="1">
        <f t="array" ref="AA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" s="2" t="str">
        <f>VLOOKUP(Auto_Sales_data___Copy[[#This Row],[Segment Name]],Table3[],2,FALSE)</f>
        <v>VIP Recognitioon &amp; Inclusivity</v>
      </c>
      <c r="AF55" s="4" t="s">
        <v>249</v>
      </c>
      <c r="AG55" s="2">
        <v>17</v>
      </c>
      <c r="AH55" s="2">
        <v>79472.070000000007</v>
      </c>
    </row>
    <row r="56" spans="1:34" x14ac:dyDescent="0.25">
      <c r="A56">
        <v>10135</v>
      </c>
      <c r="B56">
        <v>42</v>
      </c>
      <c r="C56">
        <v>190.68</v>
      </c>
      <c r="D56">
        <v>7</v>
      </c>
      <c r="E56">
        <v>8008.56</v>
      </c>
      <c r="F56" s="1">
        <v>43283</v>
      </c>
      <c r="G56" s="2" t="s">
        <v>19</v>
      </c>
      <c r="H56" s="2" t="s">
        <v>183</v>
      </c>
      <c r="I56">
        <v>194</v>
      </c>
      <c r="J56" s="2" t="s">
        <v>449</v>
      </c>
      <c r="K56" s="2" t="s">
        <v>284</v>
      </c>
      <c r="L56" s="2" t="s">
        <v>285</v>
      </c>
      <c r="M56" s="2" t="s">
        <v>286</v>
      </c>
      <c r="N56" s="2" t="s">
        <v>287</v>
      </c>
      <c r="O56" s="2" t="s">
        <v>106</v>
      </c>
      <c r="P56" s="2" t="s">
        <v>27</v>
      </c>
      <c r="Q56" s="2" t="s">
        <v>288</v>
      </c>
      <c r="R56" s="2" t="s">
        <v>289</v>
      </c>
      <c r="S56" s="2" t="s">
        <v>151</v>
      </c>
      <c r="T56">
        <v>852</v>
      </c>
      <c r="U56">
        <f>VLOOKUP(Auto_Sales_data___Copy[[#This Row],[CUSTOMER_NAME]],$AF$2:$AH$90,2,FALSE)</f>
        <v>180</v>
      </c>
      <c r="V56">
        <f>VLOOKUP(Auto_Sales_data___Copy[[#This Row],[CUSTOMER_NAME]],$AF$2:$AH$90,3,FALSE)</f>
        <v>654858.06000000017</v>
      </c>
      <c r="W56" s="2">
        <f>6-MATCH(Auto_Sales_data___Copy[[#This Row],[DAYS_SINCE_LAST_ORDER]],Table2[R-Cutoff],1)</f>
        <v>5</v>
      </c>
      <c r="X56" s="2">
        <f>MATCH(Auto_Sales_data___Copy[[#This Row],[Total_Orders_Per_Customer]],Table2[F-Cutoff],1)</f>
        <v>4</v>
      </c>
      <c r="Y56" s="2">
        <f>MATCH(Auto_Sales_data___Copy[[#This Row],[Total_Sales_Per_Customer]],Table2[M-Cutoff],1)</f>
        <v>4</v>
      </c>
      <c r="Z56" s="2" t="str">
        <f>Auto_Sales_data___Copy[[#This Row],[R-Score(1-5)]]&amp;Auto_Sales_data___Copy[[#This Row],[F-Score(1-5)]]&amp;Auto_Sales_data___Copy[[#This Row],[M-Score(1-5)]]</f>
        <v>544</v>
      </c>
      <c r="AA56" s="2" t="str" cm="1">
        <f t="array" ref="AA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" s="2" t="str">
        <f>VLOOKUP(Auto_Sales_data___Copy[[#This Row],[Segment Name]],Table3[],2,FALSE)</f>
        <v>VIP Recognitioon &amp; Inclusivity</v>
      </c>
      <c r="AF56" s="4" t="s">
        <v>582</v>
      </c>
      <c r="AG56" s="2">
        <v>24</v>
      </c>
      <c r="AH56" s="2">
        <v>79224.23</v>
      </c>
    </row>
    <row r="57" spans="1:34" x14ac:dyDescent="0.25">
      <c r="A57">
        <v>10140</v>
      </c>
      <c r="B57">
        <v>37</v>
      </c>
      <c r="C57">
        <v>199.3</v>
      </c>
      <c r="D57">
        <v>11</v>
      </c>
      <c r="E57">
        <v>7374.1</v>
      </c>
      <c r="F57" s="1">
        <v>43305</v>
      </c>
      <c r="G57" s="2" t="s">
        <v>19</v>
      </c>
      <c r="H57" s="2" t="s">
        <v>183</v>
      </c>
      <c r="I57">
        <v>214</v>
      </c>
      <c r="J57" s="2" t="s">
        <v>184</v>
      </c>
      <c r="K57" s="2" t="s">
        <v>54</v>
      </c>
      <c r="L57" s="2" t="s">
        <v>55</v>
      </c>
      <c r="M57" s="2" t="s">
        <v>56</v>
      </c>
      <c r="N57" s="2" t="s">
        <v>57</v>
      </c>
      <c r="O57" s="2" t="s">
        <v>58</v>
      </c>
      <c r="P57" s="2" t="s">
        <v>27</v>
      </c>
      <c r="Q57" s="2" t="s">
        <v>59</v>
      </c>
      <c r="R57" s="2" t="s">
        <v>60</v>
      </c>
      <c r="S57" s="2" t="s">
        <v>151</v>
      </c>
      <c r="T57">
        <v>705</v>
      </c>
      <c r="U57">
        <f>VLOOKUP(Auto_Sales_data___Copy[[#This Row],[CUSTOMER_NAME]],$AF$2:$AH$90,2,FALSE)</f>
        <v>34</v>
      </c>
      <c r="V57">
        <f>VLOOKUP(Auto_Sales_data___Copy[[#This Row],[CUSTOMER_NAME]],$AF$2:$AH$90,3,FALSE)</f>
        <v>120783.07</v>
      </c>
      <c r="W57" s="2">
        <f>6-MATCH(Auto_Sales_data___Copy[[#This Row],[DAYS_SINCE_LAST_ORDER]],Table2[R-Cutoff],1)</f>
        <v>5</v>
      </c>
      <c r="X57" s="2">
        <f>MATCH(Auto_Sales_data___Copy[[#This Row],[Total_Orders_Per_Customer]],Table2[F-Cutoff],1)</f>
        <v>4</v>
      </c>
      <c r="Y57" s="2">
        <f>MATCH(Auto_Sales_data___Copy[[#This Row],[Total_Sales_Per_Customer]],Table2[M-Cutoff],1)</f>
        <v>4</v>
      </c>
      <c r="Z57" s="2" t="str">
        <f>Auto_Sales_data___Copy[[#This Row],[R-Score(1-5)]]&amp;Auto_Sales_data___Copy[[#This Row],[F-Score(1-5)]]&amp;Auto_Sales_data___Copy[[#This Row],[M-Score(1-5)]]</f>
        <v>544</v>
      </c>
      <c r="AA57" s="2" t="str" cm="1">
        <f t="array" ref="AA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" s="2" t="str">
        <f>VLOOKUP(Auto_Sales_data___Copy[[#This Row],[Segment Name]],Table3[],2,FALSE)</f>
        <v>VIP Recognitioon &amp; Inclusivity</v>
      </c>
      <c r="AF57" s="4" t="s">
        <v>39</v>
      </c>
      <c r="AG57" s="2">
        <v>20</v>
      </c>
      <c r="AH57" s="2">
        <v>78570.34</v>
      </c>
    </row>
    <row r="58" spans="1:34" x14ac:dyDescent="0.25">
      <c r="A58">
        <v>10140</v>
      </c>
      <c r="B58">
        <v>26</v>
      </c>
      <c r="C58">
        <v>122.62</v>
      </c>
      <c r="D58">
        <v>4</v>
      </c>
      <c r="E58">
        <v>3188.12</v>
      </c>
      <c r="F58" s="1">
        <v>43305</v>
      </c>
      <c r="G58" s="2" t="s">
        <v>19</v>
      </c>
      <c r="H58" s="2" t="s">
        <v>183</v>
      </c>
      <c r="I58">
        <v>147</v>
      </c>
      <c r="J58" s="2" t="s">
        <v>424</v>
      </c>
      <c r="K58" s="2" t="s">
        <v>54</v>
      </c>
      <c r="L58" s="2" t="s">
        <v>55</v>
      </c>
      <c r="M58" s="2" t="s">
        <v>56</v>
      </c>
      <c r="N58" s="2" t="s">
        <v>57</v>
      </c>
      <c r="O58" s="2" t="s">
        <v>58</v>
      </c>
      <c r="P58" s="2" t="s">
        <v>27</v>
      </c>
      <c r="Q58" s="2" t="s">
        <v>59</v>
      </c>
      <c r="R58" s="2" t="s">
        <v>60</v>
      </c>
      <c r="S58" s="2" t="s">
        <v>46</v>
      </c>
      <c r="T58">
        <v>804</v>
      </c>
      <c r="U58">
        <f>VLOOKUP(Auto_Sales_data___Copy[[#This Row],[CUSTOMER_NAME]],$AF$2:$AH$90,2,FALSE)</f>
        <v>34</v>
      </c>
      <c r="V58">
        <f>VLOOKUP(Auto_Sales_data___Copy[[#This Row],[CUSTOMER_NAME]],$AF$2:$AH$90,3,FALSE)</f>
        <v>120783.07</v>
      </c>
      <c r="W58" s="2">
        <f>6-MATCH(Auto_Sales_data___Copy[[#This Row],[DAYS_SINCE_LAST_ORDER]],Table2[R-Cutoff],1)</f>
        <v>5</v>
      </c>
      <c r="X58" s="2">
        <f>MATCH(Auto_Sales_data___Copy[[#This Row],[Total_Orders_Per_Customer]],Table2[F-Cutoff],1)</f>
        <v>4</v>
      </c>
      <c r="Y58" s="2">
        <f>MATCH(Auto_Sales_data___Copy[[#This Row],[Total_Sales_Per_Customer]],Table2[M-Cutoff],1)</f>
        <v>4</v>
      </c>
      <c r="Z58" s="2" t="str">
        <f>Auto_Sales_data___Copy[[#This Row],[R-Score(1-5)]]&amp;Auto_Sales_data___Copy[[#This Row],[F-Score(1-5)]]&amp;Auto_Sales_data___Copy[[#This Row],[M-Score(1-5)]]</f>
        <v>544</v>
      </c>
      <c r="AA58" s="2" t="str" cm="1">
        <f t="array" ref="AA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" s="2" t="str">
        <f>VLOOKUP(Auto_Sales_data___Copy[[#This Row],[Segment Name]],Table3[],2,FALSE)</f>
        <v>VIP Recognitioon &amp; Inclusivity</v>
      </c>
      <c r="AF58" s="4" t="s">
        <v>372</v>
      </c>
      <c r="AG58" s="2">
        <v>23</v>
      </c>
      <c r="AH58" s="2">
        <v>78411.86</v>
      </c>
    </row>
    <row r="59" spans="1:34" x14ac:dyDescent="0.25">
      <c r="A59">
        <v>10140</v>
      </c>
      <c r="B59">
        <v>38</v>
      </c>
      <c r="C59">
        <v>127.1</v>
      </c>
      <c r="D59">
        <v>8</v>
      </c>
      <c r="E59">
        <v>4829.8</v>
      </c>
      <c r="F59" s="1">
        <v>43305</v>
      </c>
      <c r="G59" s="2" t="s">
        <v>19</v>
      </c>
      <c r="H59" s="2" t="s">
        <v>537</v>
      </c>
      <c r="I59">
        <v>136</v>
      </c>
      <c r="J59" s="2" t="s">
        <v>538</v>
      </c>
      <c r="K59" s="2" t="s">
        <v>54</v>
      </c>
      <c r="L59" s="2" t="s">
        <v>55</v>
      </c>
      <c r="M59" s="2" t="s">
        <v>56</v>
      </c>
      <c r="N59" s="2" t="s">
        <v>57</v>
      </c>
      <c r="O59" s="2" t="s">
        <v>58</v>
      </c>
      <c r="P59" s="2" t="s">
        <v>27</v>
      </c>
      <c r="Q59" s="2" t="s">
        <v>59</v>
      </c>
      <c r="R59" s="2" t="s">
        <v>60</v>
      </c>
      <c r="S59" s="2" t="s">
        <v>46</v>
      </c>
      <c r="T59">
        <v>881</v>
      </c>
      <c r="U59">
        <f>VLOOKUP(Auto_Sales_data___Copy[[#This Row],[CUSTOMER_NAME]],$AF$2:$AH$90,2,FALSE)</f>
        <v>34</v>
      </c>
      <c r="V59">
        <f>VLOOKUP(Auto_Sales_data___Copy[[#This Row],[CUSTOMER_NAME]],$AF$2:$AH$90,3,FALSE)</f>
        <v>120783.07</v>
      </c>
      <c r="W59" s="2">
        <f>6-MATCH(Auto_Sales_data___Copy[[#This Row],[DAYS_SINCE_LAST_ORDER]],Table2[R-Cutoff],1)</f>
        <v>5</v>
      </c>
      <c r="X59" s="2">
        <f>MATCH(Auto_Sales_data___Copy[[#This Row],[Total_Orders_Per_Customer]],Table2[F-Cutoff],1)</f>
        <v>4</v>
      </c>
      <c r="Y59" s="2">
        <f>MATCH(Auto_Sales_data___Copy[[#This Row],[Total_Sales_Per_Customer]],Table2[M-Cutoff],1)</f>
        <v>4</v>
      </c>
      <c r="Z59" s="2" t="str">
        <f>Auto_Sales_data___Copy[[#This Row],[R-Score(1-5)]]&amp;Auto_Sales_data___Copy[[#This Row],[F-Score(1-5)]]&amp;Auto_Sales_data___Copy[[#This Row],[M-Score(1-5)]]</f>
        <v>544</v>
      </c>
      <c r="AA59" s="2" t="str" cm="1">
        <f t="array" ref="AA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" s="2" t="str">
        <f>VLOOKUP(Auto_Sales_data___Copy[[#This Row],[Segment Name]],Table3[],2,FALSE)</f>
        <v>VIP Recognitioon &amp; Inclusivity</v>
      </c>
      <c r="AF59" s="4" t="s">
        <v>404</v>
      </c>
      <c r="AG59" s="2">
        <v>26</v>
      </c>
      <c r="AH59" s="2">
        <v>78240.84</v>
      </c>
    </row>
    <row r="60" spans="1:34" x14ac:dyDescent="0.25">
      <c r="A60">
        <v>10142</v>
      </c>
      <c r="B60">
        <v>33</v>
      </c>
      <c r="C60">
        <v>243.13</v>
      </c>
      <c r="D60">
        <v>12</v>
      </c>
      <c r="E60">
        <v>8023.29</v>
      </c>
      <c r="F60" s="1">
        <v>43320</v>
      </c>
      <c r="G60" s="2" t="s">
        <v>19</v>
      </c>
      <c r="H60" s="2" t="s">
        <v>183</v>
      </c>
      <c r="I60">
        <v>207</v>
      </c>
      <c r="J60" s="2" t="s">
        <v>505</v>
      </c>
      <c r="K60" s="2" t="s">
        <v>284</v>
      </c>
      <c r="L60" s="2" t="s">
        <v>285</v>
      </c>
      <c r="M60" s="2" t="s">
        <v>286</v>
      </c>
      <c r="N60" s="2" t="s">
        <v>287</v>
      </c>
      <c r="O60" s="2" t="s">
        <v>106</v>
      </c>
      <c r="P60" s="2" t="s">
        <v>27</v>
      </c>
      <c r="Q60" s="2" t="s">
        <v>288</v>
      </c>
      <c r="R60" s="2" t="s">
        <v>289</v>
      </c>
      <c r="S60" s="2" t="s">
        <v>151</v>
      </c>
      <c r="T60">
        <v>840</v>
      </c>
      <c r="U60">
        <f>VLOOKUP(Auto_Sales_data___Copy[[#This Row],[CUSTOMER_NAME]],$AF$2:$AH$90,2,FALSE)</f>
        <v>180</v>
      </c>
      <c r="V60">
        <f>VLOOKUP(Auto_Sales_data___Copy[[#This Row],[CUSTOMER_NAME]],$AF$2:$AH$90,3,FALSE)</f>
        <v>654858.06000000017</v>
      </c>
      <c r="W60" s="2">
        <f>6-MATCH(Auto_Sales_data___Copy[[#This Row],[DAYS_SINCE_LAST_ORDER]],Table2[R-Cutoff],1)</f>
        <v>5</v>
      </c>
      <c r="X60" s="2">
        <f>MATCH(Auto_Sales_data___Copy[[#This Row],[Total_Orders_Per_Customer]],Table2[F-Cutoff],1)</f>
        <v>4</v>
      </c>
      <c r="Y60" s="2">
        <f>MATCH(Auto_Sales_data___Copy[[#This Row],[Total_Sales_Per_Customer]],Table2[M-Cutoff],1)</f>
        <v>4</v>
      </c>
      <c r="Z60" s="2" t="str">
        <f>Auto_Sales_data___Copy[[#This Row],[R-Score(1-5)]]&amp;Auto_Sales_data___Copy[[#This Row],[F-Score(1-5)]]&amp;Auto_Sales_data___Copy[[#This Row],[M-Score(1-5)]]</f>
        <v>544</v>
      </c>
      <c r="AA60" s="2" t="str" cm="1">
        <f t="array" ref="AA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" s="2" t="str">
        <f>VLOOKUP(Auto_Sales_data___Copy[[#This Row],[Segment Name]],Table3[],2,FALSE)</f>
        <v>VIP Recognitioon &amp; Inclusivity</v>
      </c>
      <c r="AF60" s="4" t="s">
        <v>206</v>
      </c>
      <c r="AG60" s="2">
        <v>20</v>
      </c>
      <c r="AH60" s="2">
        <v>77795.200000000012</v>
      </c>
    </row>
    <row r="61" spans="1:34" x14ac:dyDescent="0.25">
      <c r="A61">
        <v>10142</v>
      </c>
      <c r="B61">
        <v>33</v>
      </c>
      <c r="C61">
        <v>151.08000000000001</v>
      </c>
      <c r="D61">
        <v>13</v>
      </c>
      <c r="E61">
        <v>4985.6400000000003</v>
      </c>
      <c r="F61" s="1">
        <v>43320</v>
      </c>
      <c r="G61" s="2" t="s">
        <v>19</v>
      </c>
      <c r="H61" s="2" t="s">
        <v>183</v>
      </c>
      <c r="I61">
        <v>151</v>
      </c>
      <c r="J61" s="2" t="s">
        <v>545</v>
      </c>
      <c r="K61" s="2" t="s">
        <v>284</v>
      </c>
      <c r="L61" s="2" t="s">
        <v>285</v>
      </c>
      <c r="M61" s="2" t="s">
        <v>286</v>
      </c>
      <c r="N61" s="2" t="s">
        <v>287</v>
      </c>
      <c r="O61" s="2" t="s">
        <v>106</v>
      </c>
      <c r="P61" s="2" t="s">
        <v>27</v>
      </c>
      <c r="Q61" s="2" t="s">
        <v>288</v>
      </c>
      <c r="R61" s="2" t="s">
        <v>289</v>
      </c>
      <c r="S61" s="2" t="s">
        <v>46</v>
      </c>
      <c r="T61">
        <v>916</v>
      </c>
      <c r="U61">
        <f>VLOOKUP(Auto_Sales_data___Copy[[#This Row],[CUSTOMER_NAME]],$AF$2:$AH$90,2,FALSE)</f>
        <v>180</v>
      </c>
      <c r="V61">
        <f>VLOOKUP(Auto_Sales_data___Copy[[#This Row],[CUSTOMER_NAME]],$AF$2:$AH$90,3,FALSE)</f>
        <v>654858.06000000017</v>
      </c>
      <c r="W61" s="2">
        <f>6-MATCH(Auto_Sales_data___Copy[[#This Row],[DAYS_SINCE_LAST_ORDER]],Table2[R-Cutoff],1)</f>
        <v>5</v>
      </c>
      <c r="X61" s="2">
        <f>MATCH(Auto_Sales_data___Copy[[#This Row],[Total_Orders_Per_Customer]],Table2[F-Cutoff],1)</f>
        <v>4</v>
      </c>
      <c r="Y61" s="2">
        <f>MATCH(Auto_Sales_data___Copy[[#This Row],[Total_Sales_Per_Customer]],Table2[M-Cutoff],1)</f>
        <v>4</v>
      </c>
      <c r="Z61" s="2" t="str">
        <f>Auto_Sales_data___Copy[[#This Row],[R-Score(1-5)]]&amp;Auto_Sales_data___Copy[[#This Row],[F-Score(1-5)]]&amp;Auto_Sales_data___Copy[[#This Row],[M-Score(1-5)]]</f>
        <v>544</v>
      </c>
      <c r="AA61" s="2" t="str" cm="1">
        <f t="array" ref="AA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" s="2" t="str">
        <f>VLOOKUP(Auto_Sales_data___Copy[[#This Row],[Segment Name]],Table3[],2,FALSE)</f>
        <v>VIP Recognitioon &amp; Inclusivity</v>
      </c>
      <c r="AF61" s="4" t="s">
        <v>185</v>
      </c>
      <c r="AG61" s="2">
        <v>19</v>
      </c>
      <c r="AH61" s="2">
        <v>75754.87999999999</v>
      </c>
    </row>
    <row r="62" spans="1:34" x14ac:dyDescent="0.25">
      <c r="A62">
        <v>10143</v>
      </c>
      <c r="B62">
        <v>49</v>
      </c>
      <c r="C62">
        <v>114.24</v>
      </c>
      <c r="D62">
        <v>15</v>
      </c>
      <c r="E62">
        <v>5597.76</v>
      </c>
      <c r="F62" s="1">
        <v>43322</v>
      </c>
      <c r="G62" s="2" t="s">
        <v>19</v>
      </c>
      <c r="H62" s="2" t="s">
        <v>183</v>
      </c>
      <c r="I62">
        <v>136</v>
      </c>
      <c r="J62" s="2" t="s">
        <v>338</v>
      </c>
      <c r="K62" s="2" t="s">
        <v>353</v>
      </c>
      <c r="L62" s="2" t="s">
        <v>354</v>
      </c>
      <c r="M62" s="2" t="s">
        <v>355</v>
      </c>
      <c r="N62" s="2" t="s">
        <v>162</v>
      </c>
      <c r="O62" s="2" t="s">
        <v>163</v>
      </c>
      <c r="P62" s="2" t="s">
        <v>27</v>
      </c>
      <c r="Q62" s="2" t="s">
        <v>356</v>
      </c>
      <c r="R62" s="2" t="s">
        <v>357</v>
      </c>
      <c r="S62" s="2" t="s">
        <v>46</v>
      </c>
      <c r="T62">
        <v>762</v>
      </c>
      <c r="U62">
        <f>VLOOKUP(Auto_Sales_data___Copy[[#This Row],[CUSTOMER_NAME]],$AF$2:$AH$90,2,FALSE)</f>
        <v>35</v>
      </c>
      <c r="V62">
        <f>VLOOKUP(Auto_Sales_data___Copy[[#This Row],[CUSTOMER_NAME]],$AF$2:$AH$90,3,FALSE)</f>
        <v>108951.12999999998</v>
      </c>
      <c r="W62" s="2">
        <f>6-MATCH(Auto_Sales_data___Copy[[#This Row],[DAYS_SINCE_LAST_ORDER]],Table2[R-Cutoff],1)</f>
        <v>5</v>
      </c>
      <c r="X62" s="2">
        <f>MATCH(Auto_Sales_data___Copy[[#This Row],[Total_Orders_Per_Customer]],Table2[F-Cutoff],1)</f>
        <v>4</v>
      </c>
      <c r="Y62" s="2">
        <f>MATCH(Auto_Sales_data___Copy[[#This Row],[Total_Sales_Per_Customer]],Table2[M-Cutoff],1)</f>
        <v>4</v>
      </c>
      <c r="Z62" s="2" t="str">
        <f>Auto_Sales_data___Copy[[#This Row],[R-Score(1-5)]]&amp;Auto_Sales_data___Copy[[#This Row],[F-Score(1-5)]]&amp;Auto_Sales_data___Copy[[#This Row],[M-Score(1-5)]]</f>
        <v>544</v>
      </c>
      <c r="AA62" s="2" t="str" cm="1">
        <f t="array" ref="AA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" s="2" t="str">
        <f>VLOOKUP(Auto_Sales_data___Copy[[#This Row],[Segment Name]],Table3[],2,FALSE)</f>
        <v>VIP Recognitioon &amp; Inclusivity</v>
      </c>
      <c r="AF62" s="4" t="s">
        <v>231</v>
      </c>
      <c r="AG62" s="2">
        <v>22</v>
      </c>
      <c r="AH62" s="2">
        <v>75238.92</v>
      </c>
    </row>
    <row r="63" spans="1:34" x14ac:dyDescent="0.25">
      <c r="A63">
        <v>10145</v>
      </c>
      <c r="B63">
        <v>45</v>
      </c>
      <c r="C63">
        <v>83.26</v>
      </c>
      <c r="D63">
        <v>6</v>
      </c>
      <c r="E63">
        <v>3746.7</v>
      </c>
      <c r="F63" s="1">
        <v>43337</v>
      </c>
      <c r="G63" s="2" t="s">
        <v>19</v>
      </c>
      <c r="H63" s="2" t="s">
        <v>20</v>
      </c>
      <c r="I63">
        <v>95</v>
      </c>
      <c r="J63" s="2" t="s">
        <v>21</v>
      </c>
      <c r="K63" s="2" t="s">
        <v>47</v>
      </c>
      <c r="L63" s="2" t="s">
        <v>48</v>
      </c>
      <c r="M63" s="2" t="s">
        <v>49</v>
      </c>
      <c r="N63" s="2" t="s">
        <v>50</v>
      </c>
      <c r="O63" s="2" t="s">
        <v>51</v>
      </c>
      <c r="P63" s="2" t="s">
        <v>27</v>
      </c>
      <c r="Q63" s="2" t="s">
        <v>52</v>
      </c>
      <c r="R63" s="2" t="s">
        <v>53</v>
      </c>
      <c r="S63" s="2" t="s">
        <v>46</v>
      </c>
      <c r="T63">
        <v>649</v>
      </c>
      <c r="U63">
        <f>VLOOKUP(Auto_Sales_data___Copy[[#This Row],[CUSTOMER_NAME]],$AF$2:$AH$90,2,FALSE)</f>
        <v>30</v>
      </c>
      <c r="V63">
        <f>VLOOKUP(Auto_Sales_data___Copy[[#This Row],[CUSTOMER_NAME]],$AF$2:$AH$90,3,FALSE)</f>
        <v>104561.95999999999</v>
      </c>
      <c r="W63" s="2">
        <f>6-MATCH(Auto_Sales_data___Copy[[#This Row],[DAYS_SINCE_LAST_ORDER]],Table2[R-Cutoff],1)</f>
        <v>5</v>
      </c>
      <c r="X63" s="2">
        <f>MATCH(Auto_Sales_data___Copy[[#This Row],[Total_Orders_Per_Customer]],Table2[F-Cutoff],1)</f>
        <v>4</v>
      </c>
      <c r="Y63" s="2">
        <f>MATCH(Auto_Sales_data___Copy[[#This Row],[Total_Sales_Per_Customer]],Table2[M-Cutoff],1)</f>
        <v>4</v>
      </c>
      <c r="Z63" s="2" t="str">
        <f>Auto_Sales_data___Copy[[#This Row],[R-Score(1-5)]]&amp;Auto_Sales_data___Copy[[#This Row],[F-Score(1-5)]]&amp;Auto_Sales_data___Copy[[#This Row],[M-Score(1-5)]]</f>
        <v>544</v>
      </c>
      <c r="AA63" s="2" t="str" cm="1">
        <f t="array" ref="AA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" s="2" t="str">
        <f>VLOOKUP(Auto_Sales_data___Copy[[#This Row],[Segment Name]],Table3[],2,FALSE)</f>
        <v>VIP Recognitioon &amp; Inclusivity</v>
      </c>
      <c r="AF63" s="4" t="s">
        <v>384</v>
      </c>
      <c r="AG63" s="2">
        <v>25</v>
      </c>
      <c r="AH63" s="2">
        <v>74972.52</v>
      </c>
    </row>
    <row r="64" spans="1:34" x14ac:dyDescent="0.25">
      <c r="A64">
        <v>10145</v>
      </c>
      <c r="B64">
        <v>37</v>
      </c>
      <c r="C64">
        <v>140.35</v>
      </c>
      <c r="D64">
        <v>9</v>
      </c>
      <c r="E64">
        <v>5192.95</v>
      </c>
      <c r="F64" s="1">
        <v>43337</v>
      </c>
      <c r="G64" s="2" t="s">
        <v>19</v>
      </c>
      <c r="H64" s="2" t="s">
        <v>20</v>
      </c>
      <c r="I64">
        <v>118</v>
      </c>
      <c r="J64" s="2" t="s">
        <v>315</v>
      </c>
      <c r="K64" s="2" t="s">
        <v>47</v>
      </c>
      <c r="L64" s="2" t="s">
        <v>48</v>
      </c>
      <c r="M64" s="2" t="s">
        <v>49</v>
      </c>
      <c r="N64" s="2" t="s">
        <v>50</v>
      </c>
      <c r="O64" s="2" t="s">
        <v>51</v>
      </c>
      <c r="P64" s="2" t="s">
        <v>27</v>
      </c>
      <c r="Q64" s="2" t="s">
        <v>52</v>
      </c>
      <c r="R64" s="2" t="s">
        <v>53</v>
      </c>
      <c r="S64" s="2" t="s">
        <v>46</v>
      </c>
      <c r="T64">
        <v>699</v>
      </c>
      <c r="U64">
        <f>VLOOKUP(Auto_Sales_data___Copy[[#This Row],[CUSTOMER_NAME]],$AF$2:$AH$90,2,FALSE)</f>
        <v>30</v>
      </c>
      <c r="V64">
        <f>VLOOKUP(Auto_Sales_data___Copy[[#This Row],[CUSTOMER_NAME]],$AF$2:$AH$90,3,FALSE)</f>
        <v>104561.95999999999</v>
      </c>
      <c r="W64" s="2">
        <f>6-MATCH(Auto_Sales_data___Copy[[#This Row],[DAYS_SINCE_LAST_ORDER]],Table2[R-Cutoff],1)</f>
        <v>5</v>
      </c>
      <c r="X64" s="2">
        <f>MATCH(Auto_Sales_data___Copy[[#This Row],[Total_Orders_Per_Customer]],Table2[F-Cutoff],1)</f>
        <v>4</v>
      </c>
      <c r="Y64" s="2">
        <f>MATCH(Auto_Sales_data___Copy[[#This Row],[Total_Sales_Per_Customer]],Table2[M-Cutoff],1)</f>
        <v>4</v>
      </c>
      <c r="Z64" s="2" t="str">
        <f>Auto_Sales_data___Copy[[#This Row],[R-Score(1-5)]]&amp;Auto_Sales_data___Copy[[#This Row],[F-Score(1-5)]]&amp;Auto_Sales_data___Copy[[#This Row],[M-Score(1-5)]]</f>
        <v>544</v>
      </c>
      <c r="AA64" s="2" t="str" cm="1">
        <f t="array" ref="AA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" s="2" t="str">
        <f>VLOOKUP(Auto_Sales_data___Copy[[#This Row],[Segment Name]],Table3[],2,FALSE)</f>
        <v>VIP Recognitioon &amp; Inclusivity</v>
      </c>
      <c r="AF64" s="4" t="s">
        <v>458</v>
      </c>
      <c r="AG64" s="2">
        <v>25</v>
      </c>
      <c r="AH64" s="2">
        <v>74936.14</v>
      </c>
    </row>
    <row r="65" spans="1:34" x14ac:dyDescent="0.25">
      <c r="A65">
        <v>10145</v>
      </c>
      <c r="B65">
        <v>33</v>
      </c>
      <c r="C65">
        <v>156.86000000000001</v>
      </c>
      <c r="D65">
        <v>8</v>
      </c>
      <c r="E65">
        <v>5176.38</v>
      </c>
      <c r="F65" s="1">
        <v>43337</v>
      </c>
      <c r="G65" s="2" t="s">
        <v>19</v>
      </c>
      <c r="H65" s="2" t="s">
        <v>20</v>
      </c>
      <c r="I65">
        <v>193</v>
      </c>
      <c r="J65" s="2" t="s">
        <v>337</v>
      </c>
      <c r="K65" s="2" t="s">
        <v>47</v>
      </c>
      <c r="L65" s="2" t="s">
        <v>48</v>
      </c>
      <c r="M65" s="2" t="s">
        <v>49</v>
      </c>
      <c r="N65" s="2" t="s">
        <v>50</v>
      </c>
      <c r="O65" s="2" t="s">
        <v>51</v>
      </c>
      <c r="P65" s="2" t="s">
        <v>27</v>
      </c>
      <c r="Q65" s="2" t="s">
        <v>52</v>
      </c>
      <c r="R65" s="2" t="s">
        <v>53</v>
      </c>
      <c r="S65" s="2" t="s">
        <v>46</v>
      </c>
      <c r="T65">
        <v>723</v>
      </c>
      <c r="U65">
        <f>VLOOKUP(Auto_Sales_data___Copy[[#This Row],[CUSTOMER_NAME]],$AF$2:$AH$90,2,FALSE)</f>
        <v>30</v>
      </c>
      <c r="V65">
        <f>VLOOKUP(Auto_Sales_data___Copy[[#This Row],[CUSTOMER_NAME]],$AF$2:$AH$90,3,FALSE)</f>
        <v>104561.95999999999</v>
      </c>
      <c r="W65" s="2">
        <f>6-MATCH(Auto_Sales_data___Copy[[#This Row],[DAYS_SINCE_LAST_ORDER]],Table2[R-Cutoff],1)</f>
        <v>5</v>
      </c>
      <c r="X65" s="2">
        <f>MATCH(Auto_Sales_data___Copy[[#This Row],[Total_Orders_Per_Customer]],Table2[F-Cutoff],1)</f>
        <v>4</v>
      </c>
      <c r="Y65" s="2">
        <f>MATCH(Auto_Sales_data___Copy[[#This Row],[Total_Sales_Per_Customer]],Table2[M-Cutoff],1)</f>
        <v>4</v>
      </c>
      <c r="Z65" s="2" t="str">
        <f>Auto_Sales_data___Copy[[#This Row],[R-Score(1-5)]]&amp;Auto_Sales_data___Copy[[#This Row],[F-Score(1-5)]]&amp;Auto_Sales_data___Copy[[#This Row],[M-Score(1-5)]]</f>
        <v>544</v>
      </c>
      <c r="AA65" s="2" t="str" cm="1">
        <f t="array" ref="AA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" s="2" t="str">
        <f>VLOOKUP(Auto_Sales_data___Copy[[#This Row],[Segment Name]],Table3[],2,FALSE)</f>
        <v>VIP Recognitioon &amp; Inclusivity</v>
      </c>
      <c r="AF65" s="4" t="s">
        <v>392</v>
      </c>
      <c r="AG65" s="2">
        <v>26</v>
      </c>
      <c r="AH65" s="2">
        <v>74634.850000000006</v>
      </c>
    </row>
    <row r="66" spans="1:34" x14ac:dyDescent="0.25">
      <c r="A66">
        <v>10145</v>
      </c>
      <c r="B66">
        <v>49</v>
      </c>
      <c r="C66">
        <v>170.2</v>
      </c>
      <c r="D66">
        <v>5</v>
      </c>
      <c r="E66">
        <v>8339.7999999999993</v>
      </c>
      <c r="F66" s="1">
        <v>43337</v>
      </c>
      <c r="G66" s="2" t="s">
        <v>19</v>
      </c>
      <c r="H66" s="2" t="s">
        <v>20</v>
      </c>
      <c r="I66">
        <v>150</v>
      </c>
      <c r="J66" s="2" t="s">
        <v>539</v>
      </c>
      <c r="K66" s="2" t="s">
        <v>47</v>
      </c>
      <c r="L66" s="2" t="s">
        <v>48</v>
      </c>
      <c r="M66" s="2" t="s">
        <v>49</v>
      </c>
      <c r="N66" s="2" t="s">
        <v>50</v>
      </c>
      <c r="O66" s="2" t="s">
        <v>51</v>
      </c>
      <c r="P66" s="2" t="s">
        <v>27</v>
      </c>
      <c r="Q66" s="2" t="s">
        <v>52</v>
      </c>
      <c r="R66" s="2" t="s">
        <v>53</v>
      </c>
      <c r="S66" s="2" t="s">
        <v>151</v>
      </c>
      <c r="T66">
        <v>875</v>
      </c>
      <c r="U66">
        <f>VLOOKUP(Auto_Sales_data___Copy[[#This Row],[CUSTOMER_NAME]],$AF$2:$AH$90,2,FALSE)</f>
        <v>30</v>
      </c>
      <c r="V66">
        <f>VLOOKUP(Auto_Sales_data___Copy[[#This Row],[CUSTOMER_NAME]],$AF$2:$AH$90,3,FALSE)</f>
        <v>104561.95999999999</v>
      </c>
      <c r="W66" s="2">
        <f>6-MATCH(Auto_Sales_data___Copy[[#This Row],[DAYS_SINCE_LAST_ORDER]],Table2[R-Cutoff],1)</f>
        <v>5</v>
      </c>
      <c r="X66" s="2">
        <f>MATCH(Auto_Sales_data___Copy[[#This Row],[Total_Orders_Per_Customer]],Table2[F-Cutoff],1)</f>
        <v>4</v>
      </c>
      <c r="Y66" s="2">
        <f>MATCH(Auto_Sales_data___Copy[[#This Row],[Total_Sales_Per_Customer]],Table2[M-Cutoff],1)</f>
        <v>4</v>
      </c>
      <c r="Z66" s="2" t="str">
        <f>Auto_Sales_data___Copy[[#This Row],[R-Score(1-5)]]&amp;Auto_Sales_data___Copy[[#This Row],[F-Score(1-5)]]&amp;Auto_Sales_data___Copy[[#This Row],[M-Score(1-5)]]</f>
        <v>544</v>
      </c>
      <c r="AA66" s="2" t="str" cm="1">
        <f t="array" ref="AA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" s="2" t="str">
        <f>VLOOKUP(Auto_Sales_data___Copy[[#This Row],[Segment Name]],Table3[],2,FALSE)</f>
        <v>VIP Recognitioon &amp; Inclusivity</v>
      </c>
      <c r="AF66" s="4" t="s">
        <v>307</v>
      </c>
      <c r="AG66" s="2">
        <v>22</v>
      </c>
      <c r="AH66" s="2">
        <v>74204.790000000008</v>
      </c>
    </row>
    <row r="67" spans="1:34" x14ac:dyDescent="0.25">
      <c r="A67">
        <v>10150</v>
      </c>
      <c r="B67">
        <v>45</v>
      </c>
      <c r="C67">
        <v>244.3</v>
      </c>
      <c r="D67">
        <v>8</v>
      </c>
      <c r="E67">
        <v>10993.5</v>
      </c>
      <c r="F67" s="1">
        <v>43362</v>
      </c>
      <c r="G67" s="2" t="s">
        <v>19</v>
      </c>
      <c r="H67" s="2" t="s">
        <v>183</v>
      </c>
      <c r="I67">
        <v>214</v>
      </c>
      <c r="J67" s="2" t="s">
        <v>184</v>
      </c>
      <c r="K67" s="2" t="s">
        <v>199</v>
      </c>
      <c r="L67" s="2" t="s">
        <v>200</v>
      </c>
      <c r="M67" s="2" t="s">
        <v>201</v>
      </c>
      <c r="N67" s="2" t="s">
        <v>202</v>
      </c>
      <c r="O67" s="2" t="s">
        <v>203</v>
      </c>
      <c r="P67" s="2" t="s">
        <v>202</v>
      </c>
      <c r="Q67" s="2" t="s">
        <v>204</v>
      </c>
      <c r="R67" s="2" t="s">
        <v>205</v>
      </c>
      <c r="S67" s="2" t="s">
        <v>151</v>
      </c>
      <c r="T67">
        <v>649</v>
      </c>
      <c r="U67">
        <f>VLOOKUP(Auto_Sales_data___Copy[[#This Row],[CUSTOMER_NAME]],$AF$2:$AH$90,2,FALSE)</f>
        <v>43</v>
      </c>
      <c r="V67">
        <f>VLOOKUP(Auto_Sales_data___Copy[[#This Row],[CUSTOMER_NAME]],$AF$2:$AH$90,3,FALSE)</f>
        <v>172989.68000000008</v>
      </c>
      <c r="W67" s="2">
        <f>6-MATCH(Auto_Sales_data___Copy[[#This Row],[DAYS_SINCE_LAST_ORDER]],Table2[R-Cutoff],1)</f>
        <v>5</v>
      </c>
      <c r="X67" s="2">
        <f>MATCH(Auto_Sales_data___Copy[[#This Row],[Total_Orders_Per_Customer]],Table2[F-Cutoff],1)</f>
        <v>4</v>
      </c>
      <c r="Y67" s="2">
        <f>MATCH(Auto_Sales_data___Copy[[#This Row],[Total_Sales_Per_Customer]],Table2[M-Cutoff],1)</f>
        <v>4</v>
      </c>
      <c r="Z67" s="2" t="str">
        <f>Auto_Sales_data___Copy[[#This Row],[R-Score(1-5)]]&amp;Auto_Sales_data___Copy[[#This Row],[F-Score(1-5)]]&amp;Auto_Sales_data___Copy[[#This Row],[M-Score(1-5)]]</f>
        <v>544</v>
      </c>
      <c r="AA67" s="2" t="str" cm="1">
        <f t="array" ref="AA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" s="2" t="str">
        <f>VLOOKUP(Auto_Sales_data___Copy[[#This Row],[Segment Name]],Table3[],2,FALSE)</f>
        <v>VIP Recognitioon &amp; Inclusivity</v>
      </c>
      <c r="AF67" s="4" t="s">
        <v>439</v>
      </c>
      <c r="AG67" s="2">
        <v>18</v>
      </c>
      <c r="AH67" s="2">
        <v>70859.780000000013</v>
      </c>
    </row>
    <row r="68" spans="1:34" x14ac:dyDescent="0.25">
      <c r="A68">
        <v>10150</v>
      </c>
      <c r="B68">
        <v>20</v>
      </c>
      <c r="C68">
        <v>159.56</v>
      </c>
      <c r="D68">
        <v>1</v>
      </c>
      <c r="E68">
        <v>3191.2</v>
      </c>
      <c r="F68" s="1">
        <v>43362</v>
      </c>
      <c r="G68" s="2" t="s">
        <v>19</v>
      </c>
      <c r="H68" s="2" t="s">
        <v>183</v>
      </c>
      <c r="I68">
        <v>147</v>
      </c>
      <c r="J68" s="2" t="s">
        <v>424</v>
      </c>
      <c r="K68" s="2" t="s">
        <v>199</v>
      </c>
      <c r="L68" s="2" t="s">
        <v>200</v>
      </c>
      <c r="M68" s="2" t="s">
        <v>201</v>
      </c>
      <c r="N68" s="2" t="s">
        <v>202</v>
      </c>
      <c r="O68" s="2" t="s">
        <v>203</v>
      </c>
      <c r="P68" s="2" t="s">
        <v>202</v>
      </c>
      <c r="Q68" s="2" t="s">
        <v>204</v>
      </c>
      <c r="R68" s="2" t="s">
        <v>205</v>
      </c>
      <c r="S68" s="2" t="s">
        <v>46</v>
      </c>
      <c r="T68">
        <v>748</v>
      </c>
      <c r="U68">
        <f>VLOOKUP(Auto_Sales_data___Copy[[#This Row],[CUSTOMER_NAME]],$AF$2:$AH$90,2,FALSE)</f>
        <v>43</v>
      </c>
      <c r="V68">
        <f>VLOOKUP(Auto_Sales_data___Copy[[#This Row],[CUSTOMER_NAME]],$AF$2:$AH$90,3,FALSE)</f>
        <v>172989.68000000008</v>
      </c>
      <c r="W68" s="2">
        <f>6-MATCH(Auto_Sales_data___Copy[[#This Row],[DAYS_SINCE_LAST_ORDER]],Table2[R-Cutoff],1)</f>
        <v>5</v>
      </c>
      <c r="X68" s="2">
        <f>MATCH(Auto_Sales_data___Copy[[#This Row],[Total_Orders_Per_Customer]],Table2[F-Cutoff],1)</f>
        <v>4</v>
      </c>
      <c r="Y68" s="2">
        <f>MATCH(Auto_Sales_data___Copy[[#This Row],[Total_Sales_Per_Customer]],Table2[M-Cutoff],1)</f>
        <v>4</v>
      </c>
      <c r="Z68" s="2" t="str">
        <f>Auto_Sales_data___Copy[[#This Row],[R-Score(1-5)]]&amp;Auto_Sales_data___Copy[[#This Row],[F-Score(1-5)]]&amp;Auto_Sales_data___Copy[[#This Row],[M-Score(1-5)]]</f>
        <v>544</v>
      </c>
      <c r="AA68" s="2" t="str" cm="1">
        <f t="array" ref="AA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" s="2" t="str">
        <f>VLOOKUP(Auto_Sales_data___Copy[[#This Row],[Segment Name]],Table3[],2,FALSE)</f>
        <v>VIP Recognitioon &amp; Inclusivity</v>
      </c>
      <c r="AF68" s="4" t="s">
        <v>359</v>
      </c>
      <c r="AG68" s="2">
        <v>20</v>
      </c>
      <c r="AH68" s="2">
        <v>70488.439999999988</v>
      </c>
    </row>
    <row r="69" spans="1:34" x14ac:dyDescent="0.25">
      <c r="A69">
        <v>10150</v>
      </c>
      <c r="B69">
        <v>30</v>
      </c>
      <c r="C69">
        <v>136.66999999999999</v>
      </c>
      <c r="D69">
        <v>5</v>
      </c>
      <c r="E69">
        <v>4100.1000000000004</v>
      </c>
      <c r="F69" s="1">
        <v>43362</v>
      </c>
      <c r="G69" s="2" t="s">
        <v>19</v>
      </c>
      <c r="H69" s="2" t="s">
        <v>537</v>
      </c>
      <c r="I69">
        <v>136</v>
      </c>
      <c r="J69" s="2" t="s">
        <v>538</v>
      </c>
      <c r="K69" s="2" t="s">
        <v>199</v>
      </c>
      <c r="L69" s="2" t="s">
        <v>200</v>
      </c>
      <c r="M69" s="2" t="s">
        <v>201</v>
      </c>
      <c r="N69" s="2" t="s">
        <v>202</v>
      </c>
      <c r="O69" s="2" t="s">
        <v>203</v>
      </c>
      <c r="P69" s="2" t="s">
        <v>202</v>
      </c>
      <c r="Q69" s="2" t="s">
        <v>204</v>
      </c>
      <c r="R69" s="2" t="s">
        <v>205</v>
      </c>
      <c r="S69" s="2" t="s">
        <v>46</v>
      </c>
      <c r="T69">
        <v>825</v>
      </c>
      <c r="U69">
        <f>VLOOKUP(Auto_Sales_data___Copy[[#This Row],[CUSTOMER_NAME]],$AF$2:$AH$90,2,FALSE)</f>
        <v>43</v>
      </c>
      <c r="V69">
        <f>VLOOKUP(Auto_Sales_data___Copy[[#This Row],[CUSTOMER_NAME]],$AF$2:$AH$90,3,FALSE)</f>
        <v>172989.68000000008</v>
      </c>
      <c r="W69" s="2">
        <f>6-MATCH(Auto_Sales_data___Copy[[#This Row],[DAYS_SINCE_LAST_ORDER]],Table2[R-Cutoff],1)</f>
        <v>5</v>
      </c>
      <c r="X69" s="2">
        <f>MATCH(Auto_Sales_data___Copy[[#This Row],[Total_Orders_Per_Customer]],Table2[F-Cutoff],1)</f>
        <v>4</v>
      </c>
      <c r="Y69" s="2">
        <f>MATCH(Auto_Sales_data___Copy[[#This Row],[Total_Sales_Per_Customer]],Table2[M-Cutoff],1)</f>
        <v>4</v>
      </c>
      <c r="Z69" s="2" t="str">
        <f>Auto_Sales_data___Copy[[#This Row],[R-Score(1-5)]]&amp;Auto_Sales_data___Copy[[#This Row],[F-Score(1-5)]]&amp;Auto_Sales_data___Copy[[#This Row],[M-Score(1-5)]]</f>
        <v>544</v>
      </c>
      <c r="AA69" s="2" t="str" cm="1">
        <f t="array" ref="AA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" s="2" t="str">
        <f>VLOOKUP(Auto_Sales_data___Copy[[#This Row],[Segment Name]],Table3[],2,FALSE)</f>
        <v>VIP Recognitioon &amp; Inclusivity</v>
      </c>
      <c r="AF69" s="4" t="s">
        <v>61</v>
      </c>
      <c r="AG69" s="2">
        <v>20</v>
      </c>
      <c r="AH69" s="2">
        <v>69052.41</v>
      </c>
    </row>
    <row r="70" spans="1:34" x14ac:dyDescent="0.25">
      <c r="A70">
        <v>10155</v>
      </c>
      <c r="B70">
        <v>32</v>
      </c>
      <c r="C70">
        <v>141.44</v>
      </c>
      <c r="D70">
        <v>13</v>
      </c>
      <c r="E70">
        <v>4526.08</v>
      </c>
      <c r="F70" s="1">
        <v>43379</v>
      </c>
      <c r="G70" s="2" t="s">
        <v>19</v>
      </c>
      <c r="H70" s="2" t="s">
        <v>183</v>
      </c>
      <c r="I70">
        <v>136</v>
      </c>
      <c r="J70" s="2" t="s">
        <v>338</v>
      </c>
      <c r="K70" s="2" t="s">
        <v>122</v>
      </c>
      <c r="L70" s="2" t="s">
        <v>123</v>
      </c>
      <c r="M70" s="2" t="s">
        <v>124</v>
      </c>
      <c r="N70" s="2" t="s">
        <v>125</v>
      </c>
      <c r="O70" s="2" t="s">
        <v>126</v>
      </c>
      <c r="P70" s="2" t="s">
        <v>127</v>
      </c>
      <c r="Q70" s="2" t="s">
        <v>128</v>
      </c>
      <c r="R70" s="2" t="s">
        <v>129</v>
      </c>
      <c r="S70" s="2" t="s">
        <v>46</v>
      </c>
      <c r="T70">
        <v>706</v>
      </c>
      <c r="U70">
        <f>VLOOKUP(Auto_Sales_data___Copy[[#This Row],[CUSTOMER_NAME]],$AF$2:$AH$90,2,FALSE)</f>
        <v>30</v>
      </c>
      <c r="V70">
        <f>VLOOKUP(Auto_Sales_data___Copy[[#This Row],[CUSTOMER_NAME]],$AF$2:$AH$90,3,FALSE)</f>
        <v>111250.37999999999</v>
      </c>
      <c r="W70" s="2">
        <f>6-MATCH(Auto_Sales_data___Copy[[#This Row],[DAYS_SINCE_LAST_ORDER]],Table2[R-Cutoff],1)</f>
        <v>5</v>
      </c>
      <c r="X70" s="2">
        <f>MATCH(Auto_Sales_data___Copy[[#This Row],[Total_Orders_Per_Customer]],Table2[F-Cutoff],1)</f>
        <v>4</v>
      </c>
      <c r="Y70" s="2">
        <f>MATCH(Auto_Sales_data___Copy[[#This Row],[Total_Sales_Per_Customer]],Table2[M-Cutoff],1)</f>
        <v>4</v>
      </c>
      <c r="Z70" s="2" t="str">
        <f>Auto_Sales_data___Copy[[#This Row],[R-Score(1-5)]]&amp;Auto_Sales_data___Copy[[#This Row],[F-Score(1-5)]]&amp;Auto_Sales_data___Copy[[#This Row],[M-Score(1-5)]]</f>
        <v>544</v>
      </c>
      <c r="AA70" s="2" t="str" cm="1">
        <f t="array" ref="AA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" s="2" t="str">
        <f>VLOOKUP(Auto_Sales_data___Copy[[#This Row],[Segment Name]],Table3[],2,FALSE)</f>
        <v>VIP Recognitioon &amp; Inclusivity</v>
      </c>
      <c r="AF70" s="4" t="s">
        <v>316</v>
      </c>
      <c r="AG70" s="2">
        <v>20</v>
      </c>
      <c r="AH70" s="2">
        <v>67605.069999999992</v>
      </c>
    </row>
    <row r="71" spans="1:34" x14ac:dyDescent="0.25">
      <c r="A71">
        <v>10165</v>
      </c>
      <c r="B71">
        <v>44</v>
      </c>
      <c r="C71">
        <v>195.33</v>
      </c>
      <c r="D71">
        <v>3</v>
      </c>
      <c r="E71">
        <v>8594.52</v>
      </c>
      <c r="F71" s="1">
        <v>43395</v>
      </c>
      <c r="G71" s="2" t="s">
        <v>19</v>
      </c>
      <c r="H71" s="2" t="s">
        <v>183</v>
      </c>
      <c r="I71">
        <v>207</v>
      </c>
      <c r="J71" s="2" t="s">
        <v>505</v>
      </c>
      <c r="K71" s="2" t="s">
        <v>199</v>
      </c>
      <c r="L71" s="2" t="s">
        <v>200</v>
      </c>
      <c r="M71" s="2" t="s">
        <v>201</v>
      </c>
      <c r="N71" s="2" t="s">
        <v>202</v>
      </c>
      <c r="O71" s="2" t="s">
        <v>203</v>
      </c>
      <c r="P71" s="2" t="s">
        <v>202</v>
      </c>
      <c r="Q71" s="2" t="s">
        <v>204</v>
      </c>
      <c r="R71" s="2" t="s">
        <v>205</v>
      </c>
      <c r="S71" s="2" t="s">
        <v>151</v>
      </c>
      <c r="T71">
        <v>767</v>
      </c>
      <c r="U71">
        <f>VLOOKUP(Auto_Sales_data___Copy[[#This Row],[CUSTOMER_NAME]],$AF$2:$AH$90,2,FALSE)</f>
        <v>43</v>
      </c>
      <c r="V71">
        <f>VLOOKUP(Auto_Sales_data___Copy[[#This Row],[CUSTOMER_NAME]],$AF$2:$AH$90,3,FALSE)</f>
        <v>172989.68000000008</v>
      </c>
      <c r="W71" s="2">
        <f>6-MATCH(Auto_Sales_data___Copy[[#This Row],[DAYS_SINCE_LAST_ORDER]],Table2[R-Cutoff],1)</f>
        <v>5</v>
      </c>
      <c r="X71" s="2">
        <f>MATCH(Auto_Sales_data___Copy[[#This Row],[Total_Orders_Per_Customer]],Table2[F-Cutoff],1)</f>
        <v>4</v>
      </c>
      <c r="Y71" s="2">
        <f>MATCH(Auto_Sales_data___Copy[[#This Row],[Total_Sales_Per_Customer]],Table2[M-Cutoff],1)</f>
        <v>4</v>
      </c>
      <c r="Z71" s="2" t="str">
        <f>Auto_Sales_data___Copy[[#This Row],[R-Score(1-5)]]&amp;Auto_Sales_data___Copy[[#This Row],[F-Score(1-5)]]&amp;Auto_Sales_data___Copy[[#This Row],[M-Score(1-5)]]</f>
        <v>544</v>
      </c>
      <c r="AA71" s="2" t="str" cm="1">
        <f t="array" ref="AA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" s="2" t="str">
        <f>VLOOKUP(Auto_Sales_data___Copy[[#This Row],[Segment Name]],Table3[],2,FALSE)</f>
        <v>VIP Recognitioon &amp; Inclusivity</v>
      </c>
      <c r="AF71" s="4" t="s">
        <v>217</v>
      </c>
      <c r="AG71" s="2">
        <v>21</v>
      </c>
      <c r="AH71" s="2">
        <v>67506.969999999987</v>
      </c>
    </row>
    <row r="72" spans="1:34" x14ac:dyDescent="0.25">
      <c r="A72">
        <v>10165</v>
      </c>
      <c r="B72">
        <v>34</v>
      </c>
      <c r="C72">
        <v>143.53</v>
      </c>
      <c r="D72">
        <v>4</v>
      </c>
      <c r="E72">
        <v>4880.0200000000004</v>
      </c>
      <c r="F72" s="1">
        <v>43395</v>
      </c>
      <c r="G72" s="2" t="s">
        <v>19</v>
      </c>
      <c r="H72" s="2" t="s">
        <v>183</v>
      </c>
      <c r="I72">
        <v>151</v>
      </c>
      <c r="J72" s="2" t="s">
        <v>545</v>
      </c>
      <c r="K72" s="2" t="s">
        <v>199</v>
      </c>
      <c r="L72" s="2" t="s">
        <v>200</v>
      </c>
      <c r="M72" s="2" t="s">
        <v>201</v>
      </c>
      <c r="N72" s="2" t="s">
        <v>202</v>
      </c>
      <c r="O72" s="2" t="s">
        <v>203</v>
      </c>
      <c r="P72" s="2" t="s">
        <v>202</v>
      </c>
      <c r="Q72" s="2" t="s">
        <v>204</v>
      </c>
      <c r="R72" s="2" t="s">
        <v>205</v>
      </c>
      <c r="S72" s="2" t="s">
        <v>46</v>
      </c>
      <c r="T72">
        <v>843</v>
      </c>
      <c r="U72">
        <f>VLOOKUP(Auto_Sales_data___Copy[[#This Row],[CUSTOMER_NAME]],$AF$2:$AH$90,2,FALSE)</f>
        <v>43</v>
      </c>
      <c r="V72">
        <f>VLOOKUP(Auto_Sales_data___Copy[[#This Row],[CUSTOMER_NAME]],$AF$2:$AH$90,3,FALSE)</f>
        <v>172989.68000000008</v>
      </c>
      <c r="W72" s="2">
        <f>6-MATCH(Auto_Sales_data___Copy[[#This Row],[DAYS_SINCE_LAST_ORDER]],Table2[R-Cutoff],1)</f>
        <v>5</v>
      </c>
      <c r="X72" s="2">
        <f>MATCH(Auto_Sales_data___Copy[[#This Row],[Total_Orders_Per_Customer]],Table2[F-Cutoff],1)</f>
        <v>4</v>
      </c>
      <c r="Y72" s="2">
        <f>MATCH(Auto_Sales_data___Copy[[#This Row],[Total_Sales_Per_Customer]],Table2[M-Cutoff],1)</f>
        <v>4</v>
      </c>
      <c r="Z72" s="2" t="str">
        <f>Auto_Sales_data___Copy[[#This Row],[R-Score(1-5)]]&amp;Auto_Sales_data___Copy[[#This Row],[F-Score(1-5)]]&amp;Auto_Sales_data___Copy[[#This Row],[M-Score(1-5)]]</f>
        <v>544</v>
      </c>
      <c r="AA72" s="2" t="str" cm="1">
        <f t="array" ref="AA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" s="2" t="str">
        <f>VLOOKUP(Auto_Sales_data___Copy[[#This Row],[Segment Name]],Table3[],2,FALSE)</f>
        <v>VIP Recognitioon &amp; Inclusivity</v>
      </c>
      <c r="AF72" s="4" t="s">
        <v>278</v>
      </c>
      <c r="AG72" s="2">
        <v>18</v>
      </c>
      <c r="AH72" s="2">
        <v>64834.320000000007</v>
      </c>
    </row>
    <row r="73" spans="1:34" x14ac:dyDescent="0.25">
      <c r="A73">
        <v>10165</v>
      </c>
      <c r="B73">
        <v>27</v>
      </c>
      <c r="C73">
        <v>205.89</v>
      </c>
      <c r="D73">
        <v>2</v>
      </c>
      <c r="E73">
        <v>5559.03</v>
      </c>
      <c r="F73" s="1">
        <v>43395</v>
      </c>
      <c r="G73" s="2" t="s">
        <v>19</v>
      </c>
      <c r="H73" s="2" t="s">
        <v>183</v>
      </c>
      <c r="I73">
        <v>173</v>
      </c>
      <c r="J73" s="2" t="s">
        <v>552</v>
      </c>
      <c r="K73" s="2" t="s">
        <v>199</v>
      </c>
      <c r="L73" s="2" t="s">
        <v>200</v>
      </c>
      <c r="M73" s="2" t="s">
        <v>201</v>
      </c>
      <c r="N73" s="2" t="s">
        <v>202</v>
      </c>
      <c r="O73" s="2" t="s">
        <v>203</v>
      </c>
      <c r="P73" s="2" t="s">
        <v>202</v>
      </c>
      <c r="Q73" s="2" t="s">
        <v>204</v>
      </c>
      <c r="R73" s="2" t="s">
        <v>205</v>
      </c>
      <c r="S73" s="2" t="s">
        <v>46</v>
      </c>
      <c r="T73">
        <v>892</v>
      </c>
      <c r="U73">
        <f>VLOOKUP(Auto_Sales_data___Copy[[#This Row],[CUSTOMER_NAME]],$AF$2:$AH$90,2,FALSE)</f>
        <v>43</v>
      </c>
      <c r="V73">
        <f>VLOOKUP(Auto_Sales_data___Copy[[#This Row],[CUSTOMER_NAME]],$AF$2:$AH$90,3,FALSE)</f>
        <v>172989.68000000008</v>
      </c>
      <c r="W73" s="2">
        <f>6-MATCH(Auto_Sales_data___Copy[[#This Row],[DAYS_SINCE_LAST_ORDER]],Table2[R-Cutoff],1)</f>
        <v>5</v>
      </c>
      <c r="X73" s="2">
        <f>MATCH(Auto_Sales_data___Copy[[#This Row],[Total_Orders_Per_Customer]],Table2[F-Cutoff],1)</f>
        <v>4</v>
      </c>
      <c r="Y73" s="2">
        <f>MATCH(Auto_Sales_data___Copy[[#This Row],[Total_Sales_Per_Customer]],Table2[M-Cutoff],1)</f>
        <v>4</v>
      </c>
      <c r="Z73" s="2" t="str">
        <f>Auto_Sales_data___Copy[[#This Row],[R-Score(1-5)]]&amp;Auto_Sales_data___Copy[[#This Row],[F-Score(1-5)]]&amp;Auto_Sales_data___Copy[[#This Row],[M-Score(1-5)]]</f>
        <v>544</v>
      </c>
      <c r="AA73" s="2" t="str" cm="1">
        <f t="array" ref="AA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" s="2" t="str">
        <f>VLOOKUP(Auto_Sales_data___Copy[[#This Row],[Segment Name]],Table3[],2,FALSE)</f>
        <v>VIP Recognitioon &amp; Inclusivity</v>
      </c>
      <c r="AF73" s="4" t="s">
        <v>598</v>
      </c>
      <c r="AG73" s="2">
        <v>23</v>
      </c>
      <c r="AH73" s="2">
        <v>64591.460000000014</v>
      </c>
    </row>
    <row r="74" spans="1:34" x14ac:dyDescent="0.25">
      <c r="A74">
        <v>10167</v>
      </c>
      <c r="B74">
        <v>44</v>
      </c>
      <c r="C74">
        <v>134.63999999999999</v>
      </c>
      <c r="D74">
        <v>9</v>
      </c>
      <c r="E74">
        <v>5924.16</v>
      </c>
      <c r="F74" s="1">
        <v>43396</v>
      </c>
      <c r="G74" s="2" t="s">
        <v>358</v>
      </c>
      <c r="H74" s="2" t="s">
        <v>183</v>
      </c>
      <c r="I74">
        <v>136</v>
      </c>
      <c r="J74" s="2" t="s">
        <v>338</v>
      </c>
      <c r="K74" s="2" t="s">
        <v>272</v>
      </c>
      <c r="L74" s="2" t="s">
        <v>273</v>
      </c>
      <c r="M74" s="2" t="s">
        <v>274</v>
      </c>
      <c r="N74" s="2" t="s">
        <v>275</v>
      </c>
      <c r="O74" s="2" t="s">
        <v>276</v>
      </c>
      <c r="P74" s="2" t="s">
        <v>190</v>
      </c>
      <c r="Q74" s="2" t="s">
        <v>277</v>
      </c>
      <c r="R74" s="2" t="s">
        <v>209</v>
      </c>
      <c r="S74" s="2" t="s">
        <v>46</v>
      </c>
      <c r="T74">
        <v>690</v>
      </c>
      <c r="U74">
        <f>VLOOKUP(Auto_Sales_data___Copy[[#This Row],[CUSTOMER_NAME]],$AF$2:$AH$90,2,FALSE)</f>
        <v>38</v>
      </c>
      <c r="V74">
        <f>VLOOKUP(Auto_Sales_data___Copy[[#This Row],[CUSTOMER_NAME]],$AF$2:$AH$90,3,FALSE)</f>
        <v>134259.32999999996</v>
      </c>
      <c r="W74" s="2">
        <f>6-MATCH(Auto_Sales_data___Copy[[#This Row],[DAYS_SINCE_LAST_ORDER]],Table2[R-Cutoff],1)</f>
        <v>5</v>
      </c>
      <c r="X74" s="2">
        <f>MATCH(Auto_Sales_data___Copy[[#This Row],[Total_Orders_Per_Customer]],Table2[F-Cutoff],1)</f>
        <v>4</v>
      </c>
      <c r="Y74" s="2">
        <f>MATCH(Auto_Sales_data___Copy[[#This Row],[Total_Sales_Per_Customer]],Table2[M-Cutoff],1)</f>
        <v>4</v>
      </c>
      <c r="Z74" s="2" t="str">
        <f>Auto_Sales_data___Copy[[#This Row],[R-Score(1-5)]]&amp;Auto_Sales_data___Copy[[#This Row],[F-Score(1-5)]]&amp;Auto_Sales_data___Copy[[#This Row],[M-Score(1-5)]]</f>
        <v>544</v>
      </c>
      <c r="AA74" s="2" t="str" cm="1">
        <f t="array" ref="AA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" s="2" t="str">
        <f>VLOOKUP(Auto_Sales_data___Copy[[#This Row],[Segment Name]],Table3[],2,FALSE)</f>
        <v>VIP Recognitioon &amp; Inclusivity</v>
      </c>
      <c r="AF74" s="4" t="s">
        <v>210</v>
      </c>
      <c r="AG74" s="2">
        <v>15</v>
      </c>
      <c r="AH74" s="2">
        <v>59469.120000000003</v>
      </c>
    </row>
    <row r="75" spans="1:34" x14ac:dyDescent="0.25">
      <c r="A75">
        <v>10168</v>
      </c>
      <c r="B75">
        <v>36</v>
      </c>
      <c r="C75">
        <v>96.66</v>
      </c>
      <c r="D75">
        <v>1</v>
      </c>
      <c r="E75">
        <v>3479.76</v>
      </c>
      <c r="F75" s="1">
        <v>43401</v>
      </c>
      <c r="G75" s="2" t="s">
        <v>19</v>
      </c>
      <c r="H75" s="2" t="s">
        <v>20</v>
      </c>
      <c r="I75">
        <v>95</v>
      </c>
      <c r="J75" s="2" t="s">
        <v>21</v>
      </c>
      <c r="K75" s="2" t="s">
        <v>54</v>
      </c>
      <c r="L75" s="2" t="s">
        <v>55</v>
      </c>
      <c r="M75" s="2" t="s">
        <v>56</v>
      </c>
      <c r="N75" s="2" t="s">
        <v>57</v>
      </c>
      <c r="O75" s="2" t="s">
        <v>58</v>
      </c>
      <c r="P75" s="2" t="s">
        <v>27</v>
      </c>
      <c r="Q75" s="2" t="s">
        <v>59</v>
      </c>
      <c r="R75" s="2" t="s">
        <v>60</v>
      </c>
      <c r="S75" s="2" t="s">
        <v>46</v>
      </c>
      <c r="T75">
        <v>586</v>
      </c>
      <c r="U75">
        <f>VLOOKUP(Auto_Sales_data___Copy[[#This Row],[CUSTOMER_NAME]],$AF$2:$AH$90,2,FALSE)</f>
        <v>34</v>
      </c>
      <c r="V75">
        <f>VLOOKUP(Auto_Sales_data___Copy[[#This Row],[CUSTOMER_NAME]],$AF$2:$AH$90,3,FALSE)</f>
        <v>120783.07</v>
      </c>
      <c r="W75" s="2">
        <f>6-MATCH(Auto_Sales_data___Copy[[#This Row],[DAYS_SINCE_LAST_ORDER]],Table2[R-Cutoff],1)</f>
        <v>5</v>
      </c>
      <c r="X75" s="2">
        <f>MATCH(Auto_Sales_data___Copy[[#This Row],[Total_Orders_Per_Customer]],Table2[F-Cutoff],1)</f>
        <v>4</v>
      </c>
      <c r="Y75" s="2">
        <f>MATCH(Auto_Sales_data___Copy[[#This Row],[Total_Sales_Per_Customer]],Table2[M-Cutoff],1)</f>
        <v>4</v>
      </c>
      <c r="Z75" s="2" t="str">
        <f>Auto_Sales_data___Copy[[#This Row],[R-Score(1-5)]]&amp;Auto_Sales_data___Copy[[#This Row],[F-Score(1-5)]]&amp;Auto_Sales_data___Copy[[#This Row],[M-Score(1-5)]]</f>
        <v>544</v>
      </c>
      <c r="AA75" s="2" t="str" cm="1">
        <f t="array" ref="AA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" s="2" t="str">
        <f>VLOOKUP(Auto_Sales_data___Copy[[#This Row],[Segment Name]],Table3[],2,FALSE)</f>
        <v>VIP Recognitioon &amp; Inclusivity</v>
      </c>
      <c r="AF75" s="4" t="s">
        <v>510</v>
      </c>
      <c r="AG75" s="2">
        <v>16</v>
      </c>
      <c r="AH75" s="2">
        <v>57756.43</v>
      </c>
    </row>
    <row r="76" spans="1:34" x14ac:dyDescent="0.25">
      <c r="A76">
        <v>10168</v>
      </c>
      <c r="B76">
        <v>27</v>
      </c>
      <c r="C76">
        <v>135.59</v>
      </c>
      <c r="D76">
        <v>4</v>
      </c>
      <c r="E76">
        <v>3660.93</v>
      </c>
      <c r="F76" s="1">
        <v>43401</v>
      </c>
      <c r="G76" s="2" t="s">
        <v>19</v>
      </c>
      <c r="H76" s="2" t="s">
        <v>20</v>
      </c>
      <c r="I76">
        <v>118</v>
      </c>
      <c r="J76" s="2" t="s">
        <v>315</v>
      </c>
      <c r="K76" s="2" t="s">
        <v>54</v>
      </c>
      <c r="L76" s="2" t="s">
        <v>55</v>
      </c>
      <c r="M76" s="2" t="s">
        <v>56</v>
      </c>
      <c r="N76" s="2" t="s">
        <v>57</v>
      </c>
      <c r="O76" s="2" t="s">
        <v>58</v>
      </c>
      <c r="P76" s="2" t="s">
        <v>27</v>
      </c>
      <c r="Q76" s="2" t="s">
        <v>59</v>
      </c>
      <c r="R76" s="2" t="s">
        <v>60</v>
      </c>
      <c r="S76" s="2" t="s">
        <v>46</v>
      </c>
      <c r="T76">
        <v>636</v>
      </c>
      <c r="U76">
        <f>VLOOKUP(Auto_Sales_data___Copy[[#This Row],[CUSTOMER_NAME]],$AF$2:$AH$90,2,FALSE)</f>
        <v>34</v>
      </c>
      <c r="V76">
        <f>VLOOKUP(Auto_Sales_data___Copy[[#This Row],[CUSTOMER_NAME]],$AF$2:$AH$90,3,FALSE)</f>
        <v>120783.07</v>
      </c>
      <c r="W76" s="2">
        <f>6-MATCH(Auto_Sales_data___Copy[[#This Row],[DAYS_SINCE_LAST_ORDER]],Table2[R-Cutoff],1)</f>
        <v>5</v>
      </c>
      <c r="X76" s="2">
        <f>MATCH(Auto_Sales_data___Copy[[#This Row],[Total_Orders_Per_Customer]],Table2[F-Cutoff],1)</f>
        <v>4</v>
      </c>
      <c r="Y76" s="2">
        <f>MATCH(Auto_Sales_data___Copy[[#This Row],[Total_Sales_Per_Customer]],Table2[M-Cutoff],1)</f>
        <v>4</v>
      </c>
      <c r="Z76" s="2" t="str">
        <f>Auto_Sales_data___Copy[[#This Row],[R-Score(1-5)]]&amp;Auto_Sales_data___Copy[[#This Row],[F-Score(1-5)]]&amp;Auto_Sales_data___Copy[[#This Row],[M-Score(1-5)]]</f>
        <v>544</v>
      </c>
      <c r="AA76" s="2" t="str" cm="1">
        <f t="array" ref="AA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" s="2" t="str">
        <f>VLOOKUP(Auto_Sales_data___Copy[[#This Row],[Segment Name]],Table3[],2,FALSE)</f>
        <v>VIP Recognitioon &amp; Inclusivity</v>
      </c>
      <c r="AF76" s="4" t="s">
        <v>609</v>
      </c>
      <c r="AG76" s="2">
        <v>19</v>
      </c>
      <c r="AH76" s="2">
        <v>57294.420000000006</v>
      </c>
    </row>
    <row r="77" spans="1:34" x14ac:dyDescent="0.25">
      <c r="A77">
        <v>10168</v>
      </c>
      <c r="B77">
        <v>20</v>
      </c>
      <c r="C77">
        <v>209.15</v>
      </c>
      <c r="D77">
        <v>3</v>
      </c>
      <c r="E77">
        <v>4183</v>
      </c>
      <c r="F77" s="1">
        <v>43401</v>
      </c>
      <c r="G77" s="2" t="s">
        <v>19</v>
      </c>
      <c r="H77" s="2" t="s">
        <v>20</v>
      </c>
      <c r="I77">
        <v>193</v>
      </c>
      <c r="J77" s="2" t="s">
        <v>337</v>
      </c>
      <c r="K77" s="2" t="s">
        <v>54</v>
      </c>
      <c r="L77" s="2" t="s">
        <v>55</v>
      </c>
      <c r="M77" s="2" t="s">
        <v>56</v>
      </c>
      <c r="N77" s="2" t="s">
        <v>57</v>
      </c>
      <c r="O77" s="2" t="s">
        <v>58</v>
      </c>
      <c r="P77" s="2" t="s">
        <v>27</v>
      </c>
      <c r="Q77" s="2" t="s">
        <v>59</v>
      </c>
      <c r="R77" s="2" t="s">
        <v>60</v>
      </c>
      <c r="S77" s="2" t="s">
        <v>46</v>
      </c>
      <c r="T77">
        <v>660</v>
      </c>
      <c r="U77">
        <f>VLOOKUP(Auto_Sales_data___Copy[[#This Row],[CUSTOMER_NAME]],$AF$2:$AH$90,2,FALSE)</f>
        <v>34</v>
      </c>
      <c r="V77">
        <f>VLOOKUP(Auto_Sales_data___Copy[[#This Row],[CUSTOMER_NAME]],$AF$2:$AH$90,3,FALSE)</f>
        <v>120783.07</v>
      </c>
      <c r="W77" s="2">
        <f>6-MATCH(Auto_Sales_data___Copy[[#This Row],[DAYS_SINCE_LAST_ORDER]],Table2[R-Cutoff],1)</f>
        <v>5</v>
      </c>
      <c r="X77" s="2">
        <f>MATCH(Auto_Sales_data___Copy[[#This Row],[Total_Orders_Per_Customer]],Table2[F-Cutoff],1)</f>
        <v>4</v>
      </c>
      <c r="Y77" s="2">
        <f>MATCH(Auto_Sales_data___Copy[[#This Row],[Total_Sales_Per_Customer]],Table2[M-Cutoff],1)</f>
        <v>4</v>
      </c>
      <c r="Z77" s="2" t="str">
        <f>Auto_Sales_data___Copy[[#This Row],[R-Score(1-5)]]&amp;Auto_Sales_data___Copy[[#This Row],[F-Score(1-5)]]&amp;Auto_Sales_data___Copy[[#This Row],[M-Score(1-5)]]</f>
        <v>544</v>
      </c>
      <c r="AA77" s="2" t="str" cm="1">
        <f t="array" ref="AA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" s="2" t="str">
        <f>VLOOKUP(Auto_Sales_data___Copy[[#This Row],[Segment Name]],Table3[],2,FALSE)</f>
        <v>VIP Recognitioon &amp; Inclusivity</v>
      </c>
      <c r="AF77" s="4" t="s">
        <v>487</v>
      </c>
      <c r="AG77" s="2">
        <v>15</v>
      </c>
      <c r="AH77" s="2">
        <v>57197.959999999992</v>
      </c>
    </row>
    <row r="78" spans="1:34" x14ac:dyDescent="0.25">
      <c r="A78">
        <v>10169</v>
      </c>
      <c r="B78">
        <v>30</v>
      </c>
      <c r="C78">
        <v>167.33</v>
      </c>
      <c r="D78">
        <v>2</v>
      </c>
      <c r="E78">
        <v>5019.8999999999996</v>
      </c>
      <c r="F78" s="1">
        <v>43408</v>
      </c>
      <c r="G78" s="2" t="s">
        <v>19</v>
      </c>
      <c r="H78" s="2" t="s">
        <v>183</v>
      </c>
      <c r="I78">
        <v>194</v>
      </c>
      <c r="J78" s="2" t="s">
        <v>449</v>
      </c>
      <c r="K78" s="2" t="s">
        <v>300</v>
      </c>
      <c r="L78" s="2" t="s">
        <v>301</v>
      </c>
      <c r="M78" s="2" t="s">
        <v>302</v>
      </c>
      <c r="N78" s="2" t="s">
        <v>303</v>
      </c>
      <c r="O78" s="2" t="s">
        <v>304</v>
      </c>
      <c r="P78" s="2" t="s">
        <v>87</v>
      </c>
      <c r="Q78" s="2" t="s">
        <v>305</v>
      </c>
      <c r="R78" s="2" t="s">
        <v>306</v>
      </c>
      <c r="S78" s="2" t="s">
        <v>46</v>
      </c>
      <c r="T78">
        <v>729</v>
      </c>
      <c r="U78">
        <f>VLOOKUP(Auto_Sales_data___Copy[[#This Row],[CUSTOMER_NAME]],$AF$2:$AH$90,2,FALSE)</f>
        <v>46</v>
      </c>
      <c r="V78">
        <f>VLOOKUP(Auto_Sales_data___Copy[[#This Row],[CUSTOMER_NAME]],$AF$2:$AH$90,3,FALSE)</f>
        <v>153996.12999999998</v>
      </c>
      <c r="W78" s="2">
        <f>6-MATCH(Auto_Sales_data___Copy[[#This Row],[DAYS_SINCE_LAST_ORDER]],Table2[R-Cutoff],1)</f>
        <v>5</v>
      </c>
      <c r="X78" s="2">
        <f>MATCH(Auto_Sales_data___Copy[[#This Row],[Total_Orders_Per_Customer]],Table2[F-Cutoff],1)</f>
        <v>4</v>
      </c>
      <c r="Y78" s="2">
        <f>MATCH(Auto_Sales_data___Copy[[#This Row],[Total_Sales_Per_Customer]],Table2[M-Cutoff],1)</f>
        <v>4</v>
      </c>
      <c r="Z78" s="2" t="str">
        <f>Auto_Sales_data___Copy[[#This Row],[R-Score(1-5)]]&amp;Auto_Sales_data___Copy[[#This Row],[F-Score(1-5)]]&amp;Auto_Sales_data___Copy[[#This Row],[M-Score(1-5)]]</f>
        <v>544</v>
      </c>
      <c r="AA78" s="2" t="str" cm="1">
        <f t="array" ref="AA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" s="2" t="str">
        <f>VLOOKUP(Auto_Sales_data___Copy[[#This Row],[Segment Name]],Table3[],2,FALSE)</f>
        <v>VIP Recognitioon &amp; Inclusivity</v>
      </c>
      <c r="AF78" s="4" t="s">
        <v>555</v>
      </c>
      <c r="AG78" s="2">
        <v>15</v>
      </c>
      <c r="AH78" s="2">
        <v>54723.62</v>
      </c>
    </row>
    <row r="79" spans="1:34" x14ac:dyDescent="0.25">
      <c r="A79">
        <v>10169</v>
      </c>
      <c r="B79">
        <v>35</v>
      </c>
      <c r="C79">
        <v>132.55000000000001</v>
      </c>
      <c r="D79">
        <v>13</v>
      </c>
      <c r="E79">
        <v>4639.25</v>
      </c>
      <c r="F79" s="1">
        <v>43408</v>
      </c>
      <c r="G79" s="2" t="s">
        <v>19</v>
      </c>
      <c r="H79" s="2" t="s">
        <v>20</v>
      </c>
      <c r="I79">
        <v>150</v>
      </c>
      <c r="J79" s="2" t="s">
        <v>539</v>
      </c>
      <c r="K79" s="2" t="s">
        <v>300</v>
      </c>
      <c r="L79" s="2" t="s">
        <v>301</v>
      </c>
      <c r="M79" s="2" t="s">
        <v>302</v>
      </c>
      <c r="N79" s="2" t="s">
        <v>303</v>
      </c>
      <c r="O79" s="2" t="s">
        <v>304</v>
      </c>
      <c r="P79" s="2" t="s">
        <v>87</v>
      </c>
      <c r="Q79" s="2" t="s">
        <v>305</v>
      </c>
      <c r="R79" s="2" t="s">
        <v>306</v>
      </c>
      <c r="S79" s="2" t="s">
        <v>46</v>
      </c>
      <c r="T79">
        <v>805</v>
      </c>
      <c r="U79">
        <f>VLOOKUP(Auto_Sales_data___Copy[[#This Row],[CUSTOMER_NAME]],$AF$2:$AH$90,2,FALSE)</f>
        <v>46</v>
      </c>
      <c r="V79">
        <f>VLOOKUP(Auto_Sales_data___Copy[[#This Row],[CUSTOMER_NAME]],$AF$2:$AH$90,3,FALSE)</f>
        <v>153996.12999999998</v>
      </c>
      <c r="W79" s="2">
        <f>6-MATCH(Auto_Sales_data___Copy[[#This Row],[DAYS_SINCE_LAST_ORDER]],Table2[R-Cutoff],1)</f>
        <v>5</v>
      </c>
      <c r="X79" s="2">
        <f>MATCH(Auto_Sales_data___Copy[[#This Row],[Total_Orders_Per_Customer]],Table2[F-Cutoff],1)</f>
        <v>4</v>
      </c>
      <c r="Y79" s="2">
        <f>MATCH(Auto_Sales_data___Copy[[#This Row],[Total_Sales_Per_Customer]],Table2[M-Cutoff],1)</f>
        <v>4</v>
      </c>
      <c r="Z79" s="2" t="str">
        <f>Auto_Sales_data___Copy[[#This Row],[R-Score(1-5)]]&amp;Auto_Sales_data___Copy[[#This Row],[F-Score(1-5)]]&amp;Auto_Sales_data___Copy[[#This Row],[M-Score(1-5)]]</f>
        <v>544</v>
      </c>
      <c r="AA79" s="2" t="str" cm="1">
        <f t="array" ref="AA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" s="2" t="str">
        <f>VLOOKUP(Auto_Sales_data___Copy[[#This Row],[Segment Name]],Table3[],2,FALSE)</f>
        <v>VIP Recognitioon &amp; Inclusivity</v>
      </c>
      <c r="AF79" s="4" t="s">
        <v>432</v>
      </c>
      <c r="AG79" s="2">
        <v>15</v>
      </c>
      <c r="AH79" s="2">
        <v>52263.899999999994</v>
      </c>
    </row>
    <row r="80" spans="1:34" x14ac:dyDescent="0.25">
      <c r="A80">
        <v>10169</v>
      </c>
      <c r="B80">
        <v>36</v>
      </c>
      <c r="C80">
        <v>63.84</v>
      </c>
      <c r="D80">
        <v>3</v>
      </c>
      <c r="E80">
        <v>2298.2399999999998</v>
      </c>
      <c r="F80" s="1">
        <v>43408</v>
      </c>
      <c r="G80" s="2" t="s">
        <v>19</v>
      </c>
      <c r="H80" s="2" t="s">
        <v>183</v>
      </c>
      <c r="I80">
        <v>79</v>
      </c>
      <c r="J80" s="2" t="s">
        <v>553</v>
      </c>
      <c r="K80" s="2" t="s">
        <v>300</v>
      </c>
      <c r="L80" s="2" t="s">
        <v>301</v>
      </c>
      <c r="M80" s="2" t="s">
        <v>302</v>
      </c>
      <c r="N80" s="2" t="s">
        <v>303</v>
      </c>
      <c r="O80" s="2" t="s">
        <v>304</v>
      </c>
      <c r="P80" s="2" t="s">
        <v>87</v>
      </c>
      <c r="Q80" s="2" t="s">
        <v>305</v>
      </c>
      <c r="R80" s="2" t="s">
        <v>306</v>
      </c>
      <c r="S80" s="2" t="s">
        <v>30</v>
      </c>
      <c r="T80">
        <v>904</v>
      </c>
      <c r="U80">
        <f>VLOOKUP(Auto_Sales_data___Copy[[#This Row],[CUSTOMER_NAME]],$AF$2:$AH$90,2,FALSE)</f>
        <v>46</v>
      </c>
      <c r="V80">
        <f>VLOOKUP(Auto_Sales_data___Copy[[#This Row],[CUSTOMER_NAME]],$AF$2:$AH$90,3,FALSE)</f>
        <v>153996.12999999998</v>
      </c>
      <c r="W80" s="2">
        <f>6-MATCH(Auto_Sales_data___Copy[[#This Row],[DAYS_SINCE_LAST_ORDER]],Table2[R-Cutoff],1)</f>
        <v>5</v>
      </c>
      <c r="X80" s="2">
        <f>MATCH(Auto_Sales_data___Copy[[#This Row],[Total_Orders_Per_Customer]],Table2[F-Cutoff],1)</f>
        <v>4</v>
      </c>
      <c r="Y80" s="2">
        <f>MATCH(Auto_Sales_data___Copy[[#This Row],[Total_Sales_Per_Customer]],Table2[M-Cutoff],1)</f>
        <v>4</v>
      </c>
      <c r="Z80" s="2" t="str">
        <f>Auto_Sales_data___Copy[[#This Row],[R-Score(1-5)]]&amp;Auto_Sales_data___Copy[[#This Row],[F-Score(1-5)]]&amp;Auto_Sales_data___Copy[[#This Row],[M-Score(1-5)]]</f>
        <v>544</v>
      </c>
      <c r="AA80" s="2" t="str" cm="1">
        <f t="array" ref="AA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" s="2" t="str">
        <f>VLOOKUP(Auto_Sales_data___Copy[[#This Row],[Segment Name]],Table3[],2,FALSE)</f>
        <v>VIP Recognitioon &amp; Inclusivity</v>
      </c>
      <c r="AF80" s="4" t="s">
        <v>562</v>
      </c>
      <c r="AG80" s="2">
        <v>15</v>
      </c>
      <c r="AH80" s="2">
        <v>50218.51</v>
      </c>
    </row>
    <row r="81" spans="1:34" x14ac:dyDescent="0.25">
      <c r="A81">
        <v>10176</v>
      </c>
      <c r="B81">
        <v>33</v>
      </c>
      <c r="C81">
        <v>226.5</v>
      </c>
      <c r="D81">
        <v>2</v>
      </c>
      <c r="E81">
        <v>7474.5</v>
      </c>
      <c r="F81" s="1">
        <v>43410</v>
      </c>
      <c r="G81" s="2" t="s">
        <v>19</v>
      </c>
      <c r="H81" s="2" t="s">
        <v>183</v>
      </c>
      <c r="I81">
        <v>207</v>
      </c>
      <c r="J81" s="2" t="s">
        <v>505</v>
      </c>
      <c r="K81" s="2" t="s">
        <v>480</v>
      </c>
      <c r="L81" s="2" t="s">
        <v>481</v>
      </c>
      <c r="M81" s="2" t="s">
        <v>482</v>
      </c>
      <c r="N81" s="2" t="s">
        <v>483</v>
      </c>
      <c r="O81" s="2" t="s">
        <v>484</v>
      </c>
      <c r="P81" s="2" t="s">
        <v>269</v>
      </c>
      <c r="Q81" s="2" t="s">
        <v>485</v>
      </c>
      <c r="R81" s="2" t="s">
        <v>486</v>
      </c>
      <c r="S81" s="2" t="s">
        <v>151</v>
      </c>
      <c r="T81">
        <v>753</v>
      </c>
      <c r="U81">
        <f>VLOOKUP(Auto_Sales_data___Copy[[#This Row],[CUSTOMER_NAME]],$AF$2:$AH$90,2,FALSE)</f>
        <v>39</v>
      </c>
      <c r="V81">
        <f>VLOOKUP(Auto_Sales_data___Copy[[#This Row],[CUSTOMER_NAME]],$AF$2:$AH$90,3,FALSE)</f>
        <v>142601.33000000002</v>
      </c>
      <c r="W81" s="2">
        <f>6-MATCH(Auto_Sales_data___Copy[[#This Row],[DAYS_SINCE_LAST_ORDER]],Table2[R-Cutoff],1)</f>
        <v>5</v>
      </c>
      <c r="X81" s="2">
        <f>MATCH(Auto_Sales_data___Copy[[#This Row],[Total_Orders_Per_Customer]],Table2[F-Cutoff],1)</f>
        <v>4</v>
      </c>
      <c r="Y81" s="2">
        <f>MATCH(Auto_Sales_data___Copy[[#This Row],[Total_Sales_Per_Customer]],Table2[M-Cutoff],1)</f>
        <v>4</v>
      </c>
      <c r="Z81" s="2" t="str">
        <f>Auto_Sales_data___Copy[[#This Row],[R-Score(1-5)]]&amp;Auto_Sales_data___Copy[[#This Row],[F-Score(1-5)]]&amp;Auto_Sales_data___Copy[[#This Row],[M-Score(1-5)]]</f>
        <v>544</v>
      </c>
      <c r="AA81" s="2" t="str" cm="1">
        <f t="array" ref="AA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" s="2" t="str">
        <f>VLOOKUP(Auto_Sales_data___Copy[[#This Row],[Segment Name]],Table3[],2,FALSE)</f>
        <v>VIP Recognitioon &amp; Inclusivity</v>
      </c>
      <c r="AF81" s="4" t="s">
        <v>518</v>
      </c>
      <c r="AG81" s="2">
        <v>13</v>
      </c>
      <c r="AH81" s="2">
        <v>49642.05</v>
      </c>
    </row>
    <row r="82" spans="1:34" x14ac:dyDescent="0.25">
      <c r="A82">
        <v>10176</v>
      </c>
      <c r="B82">
        <v>47</v>
      </c>
      <c r="C82">
        <v>178.27</v>
      </c>
      <c r="D82">
        <v>3</v>
      </c>
      <c r="E82">
        <v>8378.69</v>
      </c>
      <c r="F82" s="1">
        <v>43410</v>
      </c>
      <c r="G82" s="2" t="s">
        <v>19</v>
      </c>
      <c r="H82" s="2" t="s">
        <v>183</v>
      </c>
      <c r="I82">
        <v>151</v>
      </c>
      <c r="J82" s="2" t="s">
        <v>545</v>
      </c>
      <c r="K82" s="2" t="s">
        <v>480</v>
      </c>
      <c r="L82" s="2" t="s">
        <v>481</v>
      </c>
      <c r="M82" s="2" t="s">
        <v>482</v>
      </c>
      <c r="N82" s="2" t="s">
        <v>483</v>
      </c>
      <c r="O82" s="2" t="s">
        <v>484</v>
      </c>
      <c r="P82" s="2" t="s">
        <v>269</v>
      </c>
      <c r="Q82" s="2" t="s">
        <v>485</v>
      </c>
      <c r="R82" s="2" t="s">
        <v>486</v>
      </c>
      <c r="S82" s="2" t="s">
        <v>151</v>
      </c>
      <c r="T82">
        <v>829</v>
      </c>
      <c r="U82">
        <f>VLOOKUP(Auto_Sales_data___Copy[[#This Row],[CUSTOMER_NAME]],$AF$2:$AH$90,2,FALSE)</f>
        <v>39</v>
      </c>
      <c r="V82">
        <f>VLOOKUP(Auto_Sales_data___Copy[[#This Row],[CUSTOMER_NAME]],$AF$2:$AH$90,3,FALSE)</f>
        <v>142601.33000000002</v>
      </c>
      <c r="W82" s="2">
        <f>6-MATCH(Auto_Sales_data___Copy[[#This Row],[DAYS_SINCE_LAST_ORDER]],Table2[R-Cutoff],1)</f>
        <v>5</v>
      </c>
      <c r="X82" s="2">
        <f>MATCH(Auto_Sales_data___Copy[[#This Row],[Total_Orders_Per_Customer]],Table2[F-Cutoff],1)</f>
        <v>4</v>
      </c>
      <c r="Y82" s="2">
        <f>MATCH(Auto_Sales_data___Copy[[#This Row],[Total_Sales_Per_Customer]],Table2[M-Cutoff],1)</f>
        <v>4</v>
      </c>
      <c r="Z82" s="2" t="str">
        <f>Auto_Sales_data___Copy[[#This Row],[R-Score(1-5)]]&amp;Auto_Sales_data___Copy[[#This Row],[F-Score(1-5)]]&amp;Auto_Sales_data___Copy[[#This Row],[M-Score(1-5)]]</f>
        <v>544</v>
      </c>
      <c r="AA82" s="2" t="str" cm="1">
        <f t="array" ref="AA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" s="2" t="str">
        <f>VLOOKUP(Auto_Sales_data___Copy[[#This Row],[Segment Name]],Table3[],2,FALSE)</f>
        <v>VIP Recognitioon &amp; Inclusivity</v>
      </c>
      <c r="AF82" s="4" t="s">
        <v>239</v>
      </c>
      <c r="AG82" s="2">
        <v>13</v>
      </c>
      <c r="AH82" s="2">
        <v>46084.639999999999</v>
      </c>
    </row>
    <row r="83" spans="1:34" x14ac:dyDescent="0.25">
      <c r="A83">
        <v>10176</v>
      </c>
      <c r="B83">
        <v>50</v>
      </c>
      <c r="C83">
        <v>157.44999999999999</v>
      </c>
      <c r="D83">
        <v>1</v>
      </c>
      <c r="E83">
        <v>7872.5</v>
      </c>
      <c r="F83" s="1">
        <v>43410</v>
      </c>
      <c r="G83" s="2" t="s">
        <v>19</v>
      </c>
      <c r="H83" s="2" t="s">
        <v>183</v>
      </c>
      <c r="I83">
        <v>173</v>
      </c>
      <c r="J83" s="2" t="s">
        <v>552</v>
      </c>
      <c r="K83" s="2" t="s">
        <v>480</v>
      </c>
      <c r="L83" s="2" t="s">
        <v>481</v>
      </c>
      <c r="M83" s="2" t="s">
        <v>482</v>
      </c>
      <c r="N83" s="2" t="s">
        <v>483</v>
      </c>
      <c r="O83" s="2" t="s">
        <v>484</v>
      </c>
      <c r="P83" s="2" t="s">
        <v>269</v>
      </c>
      <c r="Q83" s="2" t="s">
        <v>485</v>
      </c>
      <c r="R83" s="2" t="s">
        <v>486</v>
      </c>
      <c r="S83" s="2" t="s">
        <v>151</v>
      </c>
      <c r="T83">
        <v>878</v>
      </c>
      <c r="U83">
        <f>VLOOKUP(Auto_Sales_data___Copy[[#This Row],[CUSTOMER_NAME]],$AF$2:$AH$90,2,FALSE)</f>
        <v>39</v>
      </c>
      <c r="V83">
        <f>VLOOKUP(Auto_Sales_data___Copy[[#This Row],[CUSTOMER_NAME]],$AF$2:$AH$90,3,FALSE)</f>
        <v>142601.33000000002</v>
      </c>
      <c r="W83" s="2">
        <f>6-MATCH(Auto_Sales_data___Copy[[#This Row],[DAYS_SINCE_LAST_ORDER]],Table2[R-Cutoff],1)</f>
        <v>5</v>
      </c>
      <c r="X83" s="2">
        <f>MATCH(Auto_Sales_data___Copy[[#This Row],[Total_Orders_Per_Customer]],Table2[F-Cutoff],1)</f>
        <v>4</v>
      </c>
      <c r="Y83" s="2">
        <f>MATCH(Auto_Sales_data___Copy[[#This Row],[Total_Sales_Per_Customer]],Table2[M-Cutoff],1)</f>
        <v>4</v>
      </c>
      <c r="Z83" s="2" t="str">
        <f>Auto_Sales_data___Copy[[#This Row],[R-Score(1-5)]]&amp;Auto_Sales_data___Copy[[#This Row],[F-Score(1-5)]]&amp;Auto_Sales_data___Copy[[#This Row],[M-Score(1-5)]]</f>
        <v>544</v>
      </c>
      <c r="AA83" s="2" t="str" cm="1">
        <f t="array" ref="AA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" s="2" t="str">
        <f>VLOOKUP(Auto_Sales_data___Copy[[#This Row],[Segment Name]],Table3[],2,FALSE)</f>
        <v>VIP Recognitioon &amp; Inclusivity</v>
      </c>
      <c r="AF83" s="4" t="s">
        <v>245</v>
      </c>
      <c r="AG83" s="2">
        <v>11</v>
      </c>
      <c r="AH83" s="2">
        <v>36163.619999999995</v>
      </c>
    </row>
    <row r="84" spans="1:34" x14ac:dyDescent="0.25">
      <c r="A84">
        <v>10181</v>
      </c>
      <c r="B84">
        <v>27</v>
      </c>
      <c r="C84">
        <v>200.41</v>
      </c>
      <c r="D84">
        <v>14</v>
      </c>
      <c r="E84">
        <v>5411.07</v>
      </c>
      <c r="F84" s="1">
        <v>43416</v>
      </c>
      <c r="G84" s="2" t="s">
        <v>19</v>
      </c>
      <c r="H84" s="2" t="s">
        <v>183</v>
      </c>
      <c r="I84">
        <v>194</v>
      </c>
      <c r="J84" s="2" t="s">
        <v>449</v>
      </c>
      <c r="K84" s="2" t="s">
        <v>68</v>
      </c>
      <c r="L84" s="2" t="s">
        <v>69</v>
      </c>
      <c r="M84" s="2" t="s">
        <v>70</v>
      </c>
      <c r="N84" s="2" t="s">
        <v>71</v>
      </c>
      <c r="O84" s="2" t="s">
        <v>72</v>
      </c>
      <c r="P84" s="2" t="s">
        <v>73</v>
      </c>
      <c r="Q84" s="2" t="s">
        <v>74</v>
      </c>
      <c r="R84" s="2" t="s">
        <v>75</v>
      </c>
      <c r="S84" s="2" t="s">
        <v>46</v>
      </c>
      <c r="T84">
        <v>722</v>
      </c>
      <c r="U84">
        <f>VLOOKUP(Auto_Sales_data___Copy[[#This Row],[CUSTOMER_NAME]],$AF$2:$AH$90,2,FALSE)</f>
        <v>29</v>
      </c>
      <c r="V84">
        <f>VLOOKUP(Auto_Sales_data___Copy[[#This Row],[CUSTOMER_NAME]],$AF$2:$AH$90,3,FALSE)</f>
        <v>111640.28</v>
      </c>
      <c r="W84" s="2">
        <f>6-MATCH(Auto_Sales_data___Copy[[#This Row],[DAYS_SINCE_LAST_ORDER]],Table2[R-Cutoff],1)</f>
        <v>5</v>
      </c>
      <c r="X84" s="2">
        <f>MATCH(Auto_Sales_data___Copy[[#This Row],[Total_Orders_Per_Customer]],Table2[F-Cutoff],1)</f>
        <v>4</v>
      </c>
      <c r="Y84" s="2">
        <f>MATCH(Auto_Sales_data___Copy[[#This Row],[Total_Sales_Per_Customer]],Table2[M-Cutoff],1)</f>
        <v>4</v>
      </c>
      <c r="Z84" s="2" t="str">
        <f>Auto_Sales_data___Copy[[#This Row],[R-Score(1-5)]]&amp;Auto_Sales_data___Copy[[#This Row],[F-Score(1-5)]]&amp;Auto_Sales_data___Copy[[#This Row],[M-Score(1-5)]]</f>
        <v>544</v>
      </c>
      <c r="AA84" s="2" t="str" cm="1">
        <f t="array" ref="AA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" s="2" t="str">
        <f>VLOOKUP(Auto_Sales_data___Copy[[#This Row],[Segment Name]],Table3[],2,FALSE)</f>
        <v>VIP Recognitioon &amp; Inclusivity</v>
      </c>
      <c r="AF84" s="4" t="s">
        <v>366</v>
      </c>
      <c r="AG84" s="2">
        <v>12</v>
      </c>
      <c r="AH84" s="2">
        <v>36019.039999999994</v>
      </c>
    </row>
    <row r="85" spans="1:34" x14ac:dyDescent="0.25">
      <c r="A85">
        <v>10181</v>
      </c>
      <c r="B85">
        <v>28</v>
      </c>
      <c r="C85">
        <v>102.17</v>
      </c>
      <c r="D85">
        <v>12</v>
      </c>
      <c r="E85">
        <v>2860.76</v>
      </c>
      <c r="F85" s="1">
        <v>43416</v>
      </c>
      <c r="G85" s="2" t="s">
        <v>19</v>
      </c>
      <c r="H85" s="2" t="s">
        <v>183</v>
      </c>
      <c r="I85">
        <v>117</v>
      </c>
      <c r="J85" s="2" t="s">
        <v>546</v>
      </c>
      <c r="K85" s="2" t="s">
        <v>68</v>
      </c>
      <c r="L85" s="2" t="s">
        <v>69</v>
      </c>
      <c r="M85" s="2" t="s">
        <v>70</v>
      </c>
      <c r="N85" s="2" t="s">
        <v>71</v>
      </c>
      <c r="O85" s="2" t="s">
        <v>72</v>
      </c>
      <c r="P85" s="2" t="s">
        <v>73</v>
      </c>
      <c r="Q85" s="2" t="s">
        <v>74</v>
      </c>
      <c r="R85" s="2" t="s">
        <v>75</v>
      </c>
      <c r="S85" s="2" t="s">
        <v>30</v>
      </c>
      <c r="T85">
        <v>847</v>
      </c>
      <c r="U85">
        <f>VLOOKUP(Auto_Sales_data___Copy[[#This Row],[CUSTOMER_NAME]],$AF$2:$AH$90,2,FALSE)</f>
        <v>29</v>
      </c>
      <c r="V85">
        <f>VLOOKUP(Auto_Sales_data___Copy[[#This Row],[CUSTOMER_NAME]],$AF$2:$AH$90,3,FALSE)</f>
        <v>111640.28</v>
      </c>
      <c r="W85" s="2">
        <f>6-MATCH(Auto_Sales_data___Copy[[#This Row],[DAYS_SINCE_LAST_ORDER]],Table2[R-Cutoff],1)</f>
        <v>5</v>
      </c>
      <c r="X85" s="2">
        <f>MATCH(Auto_Sales_data___Copy[[#This Row],[Total_Orders_Per_Customer]],Table2[F-Cutoff],1)</f>
        <v>4</v>
      </c>
      <c r="Y85" s="2">
        <f>MATCH(Auto_Sales_data___Copy[[#This Row],[Total_Sales_Per_Customer]],Table2[M-Cutoff],1)</f>
        <v>4</v>
      </c>
      <c r="Z85" s="2" t="str">
        <f>Auto_Sales_data___Copy[[#This Row],[R-Score(1-5)]]&amp;Auto_Sales_data___Copy[[#This Row],[F-Score(1-5)]]&amp;Auto_Sales_data___Copy[[#This Row],[M-Score(1-5)]]</f>
        <v>544</v>
      </c>
      <c r="AA85" s="2" t="str" cm="1">
        <f t="array" ref="AA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" s="2" t="str">
        <f>VLOOKUP(Auto_Sales_data___Copy[[#This Row],[Segment Name]],Table3[],2,FALSE)</f>
        <v>VIP Recognitioon &amp; Inclusivity</v>
      </c>
      <c r="AF85" s="4" t="s">
        <v>615</v>
      </c>
      <c r="AG85" s="2">
        <v>14</v>
      </c>
      <c r="AH85" s="2">
        <v>34993.919999999998</v>
      </c>
    </row>
    <row r="86" spans="1:34" x14ac:dyDescent="0.25">
      <c r="A86">
        <v>10181</v>
      </c>
      <c r="B86">
        <v>20</v>
      </c>
      <c r="C86">
        <v>81.400000000000006</v>
      </c>
      <c r="D86">
        <v>15</v>
      </c>
      <c r="E86">
        <v>1628</v>
      </c>
      <c r="F86" s="1">
        <v>43416</v>
      </c>
      <c r="G86" s="2" t="s">
        <v>19</v>
      </c>
      <c r="H86" s="2" t="s">
        <v>183</v>
      </c>
      <c r="I86">
        <v>79</v>
      </c>
      <c r="J86" s="2" t="s">
        <v>553</v>
      </c>
      <c r="K86" s="2" t="s">
        <v>68</v>
      </c>
      <c r="L86" s="2" t="s">
        <v>69</v>
      </c>
      <c r="M86" s="2" t="s">
        <v>70</v>
      </c>
      <c r="N86" s="2" t="s">
        <v>71</v>
      </c>
      <c r="O86" s="2" t="s">
        <v>72</v>
      </c>
      <c r="P86" s="2" t="s">
        <v>73</v>
      </c>
      <c r="Q86" s="2" t="s">
        <v>74</v>
      </c>
      <c r="R86" s="2" t="s">
        <v>75</v>
      </c>
      <c r="S86" s="2" t="s">
        <v>30</v>
      </c>
      <c r="T86">
        <v>897</v>
      </c>
      <c r="U86">
        <f>VLOOKUP(Auto_Sales_data___Copy[[#This Row],[CUSTOMER_NAME]],$AF$2:$AH$90,2,FALSE)</f>
        <v>29</v>
      </c>
      <c r="V86">
        <f>VLOOKUP(Auto_Sales_data___Copy[[#This Row],[CUSTOMER_NAME]],$AF$2:$AH$90,3,FALSE)</f>
        <v>111640.28</v>
      </c>
      <c r="W86" s="2">
        <f>6-MATCH(Auto_Sales_data___Copy[[#This Row],[DAYS_SINCE_LAST_ORDER]],Table2[R-Cutoff],1)</f>
        <v>5</v>
      </c>
      <c r="X86" s="2">
        <f>MATCH(Auto_Sales_data___Copy[[#This Row],[Total_Orders_Per_Customer]],Table2[F-Cutoff],1)</f>
        <v>4</v>
      </c>
      <c r="Y86" s="2">
        <f>MATCH(Auto_Sales_data___Copy[[#This Row],[Total_Sales_Per_Customer]],Table2[M-Cutoff],1)</f>
        <v>4</v>
      </c>
      <c r="Z86" s="2" t="str">
        <f>Auto_Sales_data___Copy[[#This Row],[R-Score(1-5)]]&amp;Auto_Sales_data___Copy[[#This Row],[F-Score(1-5)]]&amp;Auto_Sales_data___Copy[[#This Row],[M-Score(1-5)]]</f>
        <v>544</v>
      </c>
      <c r="AA86" s="2" t="str" cm="1">
        <f t="array" ref="AA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" s="2" t="str">
        <f>VLOOKUP(Auto_Sales_data___Copy[[#This Row],[Segment Name]],Table3[],2,FALSE)</f>
        <v>VIP Recognitioon &amp; Inclusivity</v>
      </c>
      <c r="AF86" s="4" t="s">
        <v>621</v>
      </c>
      <c r="AG86" s="2">
        <v>8</v>
      </c>
      <c r="AH86" s="2">
        <v>33440.1</v>
      </c>
    </row>
    <row r="87" spans="1:34" x14ac:dyDescent="0.25">
      <c r="A87">
        <v>10185</v>
      </c>
      <c r="B87">
        <v>21</v>
      </c>
      <c r="C87">
        <v>184.94</v>
      </c>
      <c r="D87">
        <v>13</v>
      </c>
      <c r="E87">
        <v>3883.74</v>
      </c>
      <c r="F87" s="1">
        <v>43418</v>
      </c>
      <c r="G87" s="2" t="s">
        <v>19</v>
      </c>
      <c r="H87" s="2" t="s">
        <v>183</v>
      </c>
      <c r="I87">
        <v>207</v>
      </c>
      <c r="J87" s="2" t="s">
        <v>505</v>
      </c>
      <c r="K87" s="2" t="s">
        <v>353</v>
      </c>
      <c r="L87" s="2" t="s">
        <v>354</v>
      </c>
      <c r="M87" s="2" t="s">
        <v>355</v>
      </c>
      <c r="N87" s="2" t="s">
        <v>162</v>
      </c>
      <c r="O87" s="2" t="s">
        <v>163</v>
      </c>
      <c r="P87" s="2" t="s">
        <v>27</v>
      </c>
      <c r="Q87" s="2" t="s">
        <v>356</v>
      </c>
      <c r="R87" s="2" t="s">
        <v>357</v>
      </c>
      <c r="S87" s="2" t="s">
        <v>46</v>
      </c>
      <c r="T87">
        <v>746</v>
      </c>
      <c r="U87">
        <f>VLOOKUP(Auto_Sales_data___Copy[[#This Row],[CUSTOMER_NAME]],$AF$2:$AH$90,2,FALSE)</f>
        <v>35</v>
      </c>
      <c r="V87">
        <f>VLOOKUP(Auto_Sales_data___Copy[[#This Row],[CUSTOMER_NAME]],$AF$2:$AH$90,3,FALSE)</f>
        <v>108951.12999999998</v>
      </c>
      <c r="W87" s="2">
        <f>6-MATCH(Auto_Sales_data___Copy[[#This Row],[DAYS_SINCE_LAST_ORDER]],Table2[R-Cutoff],1)</f>
        <v>5</v>
      </c>
      <c r="X87" s="2">
        <f>MATCH(Auto_Sales_data___Copy[[#This Row],[Total_Orders_Per_Customer]],Table2[F-Cutoff],1)</f>
        <v>4</v>
      </c>
      <c r="Y87" s="2">
        <f>MATCH(Auto_Sales_data___Copy[[#This Row],[Total_Sales_Per_Customer]],Table2[M-Cutoff],1)</f>
        <v>4</v>
      </c>
      <c r="Z87" s="2" t="str">
        <f>Auto_Sales_data___Copy[[#This Row],[R-Score(1-5)]]&amp;Auto_Sales_data___Copy[[#This Row],[F-Score(1-5)]]&amp;Auto_Sales_data___Copy[[#This Row],[M-Score(1-5)]]</f>
        <v>544</v>
      </c>
      <c r="AA87" s="2" t="str" cm="1">
        <f t="array" ref="AA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" s="2" t="str">
        <f>VLOOKUP(Auto_Sales_data___Copy[[#This Row],[Segment Name]],Table3[],2,FALSE)</f>
        <v>VIP Recognitioon &amp; Inclusivity</v>
      </c>
      <c r="AF87" s="4" t="s">
        <v>540</v>
      </c>
      <c r="AG87" s="2">
        <v>10</v>
      </c>
      <c r="AH87" s="2">
        <v>33144.930000000008</v>
      </c>
    </row>
    <row r="88" spans="1:34" x14ac:dyDescent="0.25">
      <c r="A88">
        <v>10185</v>
      </c>
      <c r="B88">
        <v>33</v>
      </c>
      <c r="C88">
        <v>122.37</v>
      </c>
      <c r="D88">
        <v>14</v>
      </c>
      <c r="E88">
        <v>4038.21</v>
      </c>
      <c r="F88" s="1">
        <v>43418</v>
      </c>
      <c r="G88" s="2" t="s">
        <v>19</v>
      </c>
      <c r="H88" s="2" t="s">
        <v>183</v>
      </c>
      <c r="I88">
        <v>151</v>
      </c>
      <c r="J88" s="2" t="s">
        <v>545</v>
      </c>
      <c r="K88" s="2" t="s">
        <v>353</v>
      </c>
      <c r="L88" s="2" t="s">
        <v>354</v>
      </c>
      <c r="M88" s="2" t="s">
        <v>355</v>
      </c>
      <c r="N88" s="2" t="s">
        <v>162</v>
      </c>
      <c r="O88" s="2" t="s">
        <v>163</v>
      </c>
      <c r="P88" s="2" t="s">
        <v>27</v>
      </c>
      <c r="Q88" s="2" t="s">
        <v>356</v>
      </c>
      <c r="R88" s="2" t="s">
        <v>357</v>
      </c>
      <c r="S88" s="2" t="s">
        <v>46</v>
      </c>
      <c r="T88">
        <v>822</v>
      </c>
      <c r="U88">
        <f>VLOOKUP(Auto_Sales_data___Copy[[#This Row],[CUSTOMER_NAME]],$AF$2:$AH$90,2,FALSE)</f>
        <v>35</v>
      </c>
      <c r="V88">
        <f>VLOOKUP(Auto_Sales_data___Copy[[#This Row],[CUSTOMER_NAME]],$AF$2:$AH$90,3,FALSE)</f>
        <v>108951.12999999998</v>
      </c>
      <c r="W88" s="2">
        <f>6-MATCH(Auto_Sales_data___Copy[[#This Row],[DAYS_SINCE_LAST_ORDER]],Table2[R-Cutoff],1)</f>
        <v>5</v>
      </c>
      <c r="X88" s="2">
        <f>MATCH(Auto_Sales_data___Copy[[#This Row],[Total_Orders_Per_Customer]],Table2[F-Cutoff],1)</f>
        <v>4</v>
      </c>
      <c r="Y88" s="2">
        <f>MATCH(Auto_Sales_data___Copy[[#This Row],[Total_Sales_Per_Customer]],Table2[M-Cutoff],1)</f>
        <v>4</v>
      </c>
      <c r="Z88" s="2" t="str">
        <f>Auto_Sales_data___Copy[[#This Row],[R-Score(1-5)]]&amp;Auto_Sales_data___Copy[[#This Row],[F-Score(1-5)]]&amp;Auto_Sales_data___Copy[[#This Row],[M-Score(1-5)]]</f>
        <v>544</v>
      </c>
      <c r="AA88" s="2" t="str" cm="1">
        <f t="array" ref="AA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" s="2" t="str">
        <f>VLOOKUP(Auto_Sales_data___Copy[[#This Row],[Segment Name]],Table3[],2,FALSE)</f>
        <v>VIP Recognitioon &amp; Inclusivity</v>
      </c>
      <c r="AF88" s="4" t="s">
        <v>644</v>
      </c>
      <c r="AG88" s="2">
        <v>8</v>
      </c>
      <c r="AH88" s="2">
        <v>26479.260000000002</v>
      </c>
    </row>
    <row r="89" spans="1:34" x14ac:dyDescent="0.25">
      <c r="A89">
        <v>10185</v>
      </c>
      <c r="B89">
        <v>43</v>
      </c>
      <c r="C89">
        <v>183.4</v>
      </c>
      <c r="D89">
        <v>12</v>
      </c>
      <c r="E89">
        <v>7886.2</v>
      </c>
      <c r="F89" s="1">
        <v>43418</v>
      </c>
      <c r="G89" s="2" t="s">
        <v>19</v>
      </c>
      <c r="H89" s="2" t="s">
        <v>183</v>
      </c>
      <c r="I89">
        <v>173</v>
      </c>
      <c r="J89" s="2" t="s">
        <v>552</v>
      </c>
      <c r="K89" s="2" t="s">
        <v>353</v>
      </c>
      <c r="L89" s="2" t="s">
        <v>354</v>
      </c>
      <c r="M89" s="2" t="s">
        <v>355</v>
      </c>
      <c r="N89" s="2" t="s">
        <v>162</v>
      </c>
      <c r="O89" s="2" t="s">
        <v>163</v>
      </c>
      <c r="P89" s="2" t="s">
        <v>27</v>
      </c>
      <c r="Q89" s="2" t="s">
        <v>356</v>
      </c>
      <c r="R89" s="2" t="s">
        <v>357</v>
      </c>
      <c r="S89" s="2" t="s">
        <v>151</v>
      </c>
      <c r="T89">
        <v>871</v>
      </c>
      <c r="U89">
        <f>VLOOKUP(Auto_Sales_data___Copy[[#This Row],[CUSTOMER_NAME]],$AF$2:$AH$90,2,FALSE)</f>
        <v>35</v>
      </c>
      <c r="V89">
        <f>VLOOKUP(Auto_Sales_data___Copy[[#This Row],[CUSTOMER_NAME]],$AF$2:$AH$90,3,FALSE)</f>
        <v>108951.12999999998</v>
      </c>
      <c r="W89" s="2">
        <f>6-MATCH(Auto_Sales_data___Copy[[#This Row],[DAYS_SINCE_LAST_ORDER]],Table2[R-Cutoff],1)</f>
        <v>5</v>
      </c>
      <c r="X89" s="2">
        <f>MATCH(Auto_Sales_data___Copy[[#This Row],[Total_Orders_Per_Customer]],Table2[F-Cutoff],1)</f>
        <v>4</v>
      </c>
      <c r="Y89" s="2">
        <f>MATCH(Auto_Sales_data___Copy[[#This Row],[Total_Sales_Per_Customer]],Table2[M-Cutoff],1)</f>
        <v>4</v>
      </c>
      <c r="Z89" s="2" t="str">
        <f>Auto_Sales_data___Copy[[#This Row],[R-Score(1-5)]]&amp;Auto_Sales_data___Copy[[#This Row],[F-Score(1-5)]]&amp;Auto_Sales_data___Copy[[#This Row],[M-Score(1-5)]]</f>
        <v>544</v>
      </c>
      <c r="AA89" s="2" t="str" cm="1">
        <f t="array" ref="AA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9" s="2" t="str">
        <f>VLOOKUP(Auto_Sales_data___Copy[[#This Row],[Segment Name]],Table3[],2,FALSE)</f>
        <v>VIP Recognitioon &amp; Inclusivity</v>
      </c>
      <c r="AF89" s="4" t="s">
        <v>327</v>
      </c>
      <c r="AG89" s="2">
        <v>7</v>
      </c>
      <c r="AH89" s="2">
        <v>24179.96</v>
      </c>
    </row>
    <row r="90" spans="1:34" x14ac:dyDescent="0.25">
      <c r="A90">
        <v>10188</v>
      </c>
      <c r="B90">
        <v>48</v>
      </c>
      <c r="C90">
        <v>114.84</v>
      </c>
      <c r="D90">
        <v>1</v>
      </c>
      <c r="E90">
        <v>5512.32</v>
      </c>
      <c r="F90" s="1">
        <v>43422</v>
      </c>
      <c r="G90" s="2" t="s">
        <v>19</v>
      </c>
      <c r="H90" s="2" t="s">
        <v>20</v>
      </c>
      <c r="I90">
        <v>95</v>
      </c>
      <c r="J90" s="2" t="s">
        <v>21</v>
      </c>
      <c r="K90" s="2" t="s">
        <v>68</v>
      </c>
      <c r="L90" s="2" t="s">
        <v>69</v>
      </c>
      <c r="M90" s="2" t="s">
        <v>70</v>
      </c>
      <c r="N90" s="2" t="s">
        <v>71</v>
      </c>
      <c r="O90" s="2" t="s">
        <v>72</v>
      </c>
      <c r="P90" s="2" t="s">
        <v>73</v>
      </c>
      <c r="Q90" s="2" t="s">
        <v>74</v>
      </c>
      <c r="R90" s="2" t="s">
        <v>75</v>
      </c>
      <c r="S90" s="2" t="s">
        <v>46</v>
      </c>
      <c r="T90">
        <v>567</v>
      </c>
      <c r="U90">
        <f>VLOOKUP(Auto_Sales_data___Copy[[#This Row],[CUSTOMER_NAME]],$AF$2:$AH$90,2,FALSE)</f>
        <v>29</v>
      </c>
      <c r="V90">
        <f>VLOOKUP(Auto_Sales_data___Copy[[#This Row],[CUSTOMER_NAME]],$AF$2:$AH$90,3,FALSE)</f>
        <v>111640.28</v>
      </c>
      <c r="W90" s="2">
        <f>6-MATCH(Auto_Sales_data___Copy[[#This Row],[DAYS_SINCE_LAST_ORDER]],Table2[R-Cutoff],1)</f>
        <v>5</v>
      </c>
      <c r="X90" s="2">
        <f>MATCH(Auto_Sales_data___Copy[[#This Row],[Total_Orders_Per_Customer]],Table2[F-Cutoff],1)</f>
        <v>4</v>
      </c>
      <c r="Y90" s="2">
        <f>MATCH(Auto_Sales_data___Copy[[#This Row],[Total_Sales_Per_Customer]],Table2[M-Cutoff],1)</f>
        <v>4</v>
      </c>
      <c r="Z90" s="2" t="str">
        <f>Auto_Sales_data___Copy[[#This Row],[R-Score(1-5)]]&amp;Auto_Sales_data___Copy[[#This Row],[F-Score(1-5)]]&amp;Auto_Sales_data___Copy[[#This Row],[M-Score(1-5)]]</f>
        <v>544</v>
      </c>
      <c r="AA90" s="2" t="str" cm="1">
        <f t="array" ref="AA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0" s="2" t="str">
        <f>VLOOKUP(Auto_Sales_data___Copy[[#This Row],[Segment Name]],Table3[],2,FALSE)</f>
        <v>VIP Recognitioon &amp; Inclusivity</v>
      </c>
      <c r="AF90" s="4" t="s">
        <v>547</v>
      </c>
      <c r="AG90" s="2">
        <v>3</v>
      </c>
      <c r="AH90" s="2">
        <v>9129.3499999999985</v>
      </c>
    </row>
    <row r="91" spans="1:34" x14ac:dyDescent="0.25">
      <c r="A91">
        <v>10188</v>
      </c>
      <c r="B91">
        <v>38</v>
      </c>
      <c r="C91">
        <v>96.34</v>
      </c>
      <c r="D91">
        <v>4</v>
      </c>
      <c r="E91">
        <v>3660.92</v>
      </c>
      <c r="F91" s="1">
        <v>43422</v>
      </c>
      <c r="G91" s="2" t="s">
        <v>19</v>
      </c>
      <c r="H91" s="2" t="s">
        <v>20</v>
      </c>
      <c r="I91">
        <v>118</v>
      </c>
      <c r="J91" s="2" t="s">
        <v>315</v>
      </c>
      <c r="K91" s="2" t="s">
        <v>68</v>
      </c>
      <c r="L91" s="2" t="s">
        <v>69</v>
      </c>
      <c r="M91" s="2" t="s">
        <v>70</v>
      </c>
      <c r="N91" s="2" t="s">
        <v>71</v>
      </c>
      <c r="O91" s="2" t="s">
        <v>72</v>
      </c>
      <c r="P91" s="2" t="s">
        <v>73</v>
      </c>
      <c r="Q91" s="2" t="s">
        <v>74</v>
      </c>
      <c r="R91" s="2" t="s">
        <v>75</v>
      </c>
      <c r="S91" s="2" t="s">
        <v>46</v>
      </c>
      <c r="T91">
        <v>617</v>
      </c>
      <c r="U91">
        <f>VLOOKUP(Auto_Sales_data___Copy[[#This Row],[CUSTOMER_NAME]],$AF$2:$AH$90,2,FALSE)</f>
        <v>29</v>
      </c>
      <c r="V91">
        <f>VLOOKUP(Auto_Sales_data___Copy[[#This Row],[CUSTOMER_NAME]],$AF$2:$AH$90,3,FALSE)</f>
        <v>111640.28</v>
      </c>
      <c r="W91" s="2">
        <f>6-MATCH(Auto_Sales_data___Copy[[#This Row],[DAYS_SINCE_LAST_ORDER]],Table2[R-Cutoff],1)</f>
        <v>5</v>
      </c>
      <c r="X91" s="2">
        <f>MATCH(Auto_Sales_data___Copy[[#This Row],[Total_Orders_Per_Customer]],Table2[F-Cutoff],1)</f>
        <v>4</v>
      </c>
      <c r="Y91" s="2">
        <f>MATCH(Auto_Sales_data___Copy[[#This Row],[Total_Sales_Per_Customer]],Table2[M-Cutoff],1)</f>
        <v>4</v>
      </c>
      <c r="Z91" s="2" t="str">
        <f>Auto_Sales_data___Copy[[#This Row],[R-Score(1-5)]]&amp;Auto_Sales_data___Copy[[#This Row],[F-Score(1-5)]]&amp;Auto_Sales_data___Copy[[#This Row],[M-Score(1-5)]]</f>
        <v>544</v>
      </c>
      <c r="AA91" s="2" t="str" cm="1">
        <f t="array" ref="AA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1" s="2" t="str">
        <f>VLOOKUP(Auto_Sales_data___Copy[[#This Row],[Segment Name]],Table3[],2,FALSE)</f>
        <v>VIP Recognitioon &amp; Inclusivity</v>
      </c>
      <c r="AF91" s="4" t="s">
        <v>721</v>
      </c>
      <c r="AG91" s="2">
        <v>2747</v>
      </c>
      <c r="AH91" s="2">
        <v>9760221.7100000065</v>
      </c>
    </row>
    <row r="92" spans="1:34" x14ac:dyDescent="0.25">
      <c r="A92">
        <v>10188</v>
      </c>
      <c r="B92">
        <v>45</v>
      </c>
      <c r="C92">
        <v>193.66</v>
      </c>
      <c r="D92">
        <v>3</v>
      </c>
      <c r="E92">
        <v>8714.7000000000007</v>
      </c>
      <c r="F92" s="1">
        <v>43422</v>
      </c>
      <c r="G92" s="2" t="s">
        <v>19</v>
      </c>
      <c r="H92" s="2" t="s">
        <v>20</v>
      </c>
      <c r="I92">
        <v>193</v>
      </c>
      <c r="J92" s="2" t="s">
        <v>337</v>
      </c>
      <c r="K92" s="2" t="s">
        <v>68</v>
      </c>
      <c r="L92" s="2" t="s">
        <v>69</v>
      </c>
      <c r="M92" s="2" t="s">
        <v>70</v>
      </c>
      <c r="N92" s="2" t="s">
        <v>71</v>
      </c>
      <c r="O92" s="2" t="s">
        <v>72</v>
      </c>
      <c r="P92" s="2" t="s">
        <v>73</v>
      </c>
      <c r="Q92" s="2" t="s">
        <v>74</v>
      </c>
      <c r="R92" s="2" t="s">
        <v>75</v>
      </c>
      <c r="S92" s="2" t="s">
        <v>151</v>
      </c>
      <c r="T92">
        <v>641</v>
      </c>
      <c r="U92">
        <f>VLOOKUP(Auto_Sales_data___Copy[[#This Row],[CUSTOMER_NAME]],$AF$2:$AH$90,2,FALSE)</f>
        <v>29</v>
      </c>
      <c r="V92">
        <f>VLOOKUP(Auto_Sales_data___Copy[[#This Row],[CUSTOMER_NAME]],$AF$2:$AH$90,3,FALSE)</f>
        <v>111640.28</v>
      </c>
      <c r="W92" s="2">
        <f>6-MATCH(Auto_Sales_data___Copy[[#This Row],[DAYS_SINCE_LAST_ORDER]],Table2[R-Cutoff],1)</f>
        <v>5</v>
      </c>
      <c r="X92" s="2">
        <f>MATCH(Auto_Sales_data___Copy[[#This Row],[Total_Orders_Per_Customer]],Table2[F-Cutoff],1)</f>
        <v>4</v>
      </c>
      <c r="Y92" s="2">
        <f>MATCH(Auto_Sales_data___Copy[[#This Row],[Total_Sales_Per_Customer]],Table2[M-Cutoff],1)</f>
        <v>4</v>
      </c>
      <c r="Z92" s="2" t="str">
        <f>Auto_Sales_data___Copy[[#This Row],[R-Score(1-5)]]&amp;Auto_Sales_data___Copy[[#This Row],[F-Score(1-5)]]&amp;Auto_Sales_data___Copy[[#This Row],[M-Score(1-5)]]</f>
        <v>544</v>
      </c>
      <c r="AA92" s="2" t="str" cm="1">
        <f t="array" ref="AA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2" s="2" t="str">
        <f>VLOOKUP(Auto_Sales_data___Copy[[#This Row],[Segment Name]],Table3[],2,FALSE)</f>
        <v>VIP Recognitioon &amp; Inclusivity</v>
      </c>
    </row>
    <row r="93" spans="1:34" x14ac:dyDescent="0.25">
      <c r="A93">
        <v>10189</v>
      </c>
      <c r="B93">
        <v>28</v>
      </c>
      <c r="C93">
        <v>161.16</v>
      </c>
      <c r="D93">
        <v>1</v>
      </c>
      <c r="E93">
        <v>4512.4799999999996</v>
      </c>
      <c r="F93" s="1">
        <v>43422</v>
      </c>
      <c r="G93" s="2" t="s">
        <v>19</v>
      </c>
      <c r="H93" s="2" t="s">
        <v>20</v>
      </c>
      <c r="I93">
        <v>150</v>
      </c>
      <c r="J93" s="2" t="s">
        <v>539</v>
      </c>
      <c r="K93" s="2" t="s">
        <v>47</v>
      </c>
      <c r="L93" s="2" t="s">
        <v>48</v>
      </c>
      <c r="M93" s="2" t="s">
        <v>49</v>
      </c>
      <c r="N93" s="2" t="s">
        <v>50</v>
      </c>
      <c r="O93" s="2" t="s">
        <v>51</v>
      </c>
      <c r="P93" s="2" t="s">
        <v>27</v>
      </c>
      <c r="Q93" s="2" t="s">
        <v>52</v>
      </c>
      <c r="R93" s="2" t="s">
        <v>53</v>
      </c>
      <c r="S93" s="2" t="s">
        <v>46</v>
      </c>
      <c r="T93">
        <v>793</v>
      </c>
      <c r="U93">
        <f>VLOOKUP(Auto_Sales_data___Copy[[#This Row],[CUSTOMER_NAME]],$AF$2:$AH$90,2,FALSE)</f>
        <v>30</v>
      </c>
      <c r="V93">
        <f>VLOOKUP(Auto_Sales_data___Copy[[#This Row],[CUSTOMER_NAME]],$AF$2:$AH$90,3,FALSE)</f>
        <v>104561.95999999999</v>
      </c>
      <c r="W93" s="2">
        <f>6-MATCH(Auto_Sales_data___Copy[[#This Row],[DAYS_SINCE_LAST_ORDER]],Table2[R-Cutoff],1)</f>
        <v>5</v>
      </c>
      <c r="X93" s="2">
        <f>MATCH(Auto_Sales_data___Copy[[#This Row],[Total_Orders_Per_Customer]],Table2[F-Cutoff],1)</f>
        <v>4</v>
      </c>
      <c r="Y93" s="2">
        <f>MATCH(Auto_Sales_data___Copy[[#This Row],[Total_Sales_Per_Customer]],Table2[M-Cutoff],1)</f>
        <v>4</v>
      </c>
      <c r="Z93" s="2" t="str">
        <f>Auto_Sales_data___Copy[[#This Row],[R-Score(1-5)]]&amp;Auto_Sales_data___Copy[[#This Row],[F-Score(1-5)]]&amp;Auto_Sales_data___Copy[[#This Row],[M-Score(1-5)]]</f>
        <v>544</v>
      </c>
      <c r="AA93" s="2" t="str" cm="1">
        <f t="array" ref="AA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3" s="2" t="str">
        <f>VLOOKUP(Auto_Sales_data___Copy[[#This Row],[Segment Name]],Table3[],2,FALSE)</f>
        <v>VIP Recognitioon &amp; Inclusivity</v>
      </c>
    </row>
    <row r="94" spans="1:34" x14ac:dyDescent="0.25">
      <c r="A94">
        <v>10194</v>
      </c>
      <c r="B94">
        <v>42</v>
      </c>
      <c r="C94">
        <v>173.58</v>
      </c>
      <c r="D94">
        <v>11</v>
      </c>
      <c r="E94">
        <v>7290.36</v>
      </c>
      <c r="F94" s="1">
        <v>43429</v>
      </c>
      <c r="G94" s="2" t="s">
        <v>19</v>
      </c>
      <c r="H94" s="2" t="s">
        <v>183</v>
      </c>
      <c r="I94">
        <v>214</v>
      </c>
      <c r="J94" s="2" t="s">
        <v>184</v>
      </c>
      <c r="K94" s="2" t="s">
        <v>224</v>
      </c>
      <c r="L94" s="2" t="s">
        <v>225</v>
      </c>
      <c r="M94" s="2" t="s">
        <v>226</v>
      </c>
      <c r="N94" s="2" t="s">
        <v>227</v>
      </c>
      <c r="O94" s="2" t="s">
        <v>228</v>
      </c>
      <c r="P94" s="2" t="s">
        <v>36</v>
      </c>
      <c r="Q94" s="2" t="s">
        <v>229</v>
      </c>
      <c r="R94" s="2" t="s">
        <v>230</v>
      </c>
      <c r="S94" s="2" t="s">
        <v>151</v>
      </c>
      <c r="T94">
        <v>586</v>
      </c>
      <c r="U94">
        <f>VLOOKUP(Auto_Sales_data___Copy[[#This Row],[CUSTOMER_NAME]],$AF$2:$AH$90,2,FALSE)</f>
        <v>41</v>
      </c>
      <c r="V94">
        <f>VLOOKUP(Auto_Sales_data___Copy[[#This Row],[CUSTOMER_NAME]],$AF$2:$AH$90,3,FALSE)</f>
        <v>142874.24999999997</v>
      </c>
      <c r="W94" s="2">
        <f>6-MATCH(Auto_Sales_data___Copy[[#This Row],[DAYS_SINCE_LAST_ORDER]],Table2[R-Cutoff],1)</f>
        <v>5</v>
      </c>
      <c r="X94" s="2">
        <f>MATCH(Auto_Sales_data___Copy[[#This Row],[Total_Orders_Per_Customer]],Table2[F-Cutoff],1)</f>
        <v>4</v>
      </c>
      <c r="Y94" s="2">
        <f>MATCH(Auto_Sales_data___Copy[[#This Row],[Total_Sales_Per_Customer]],Table2[M-Cutoff],1)</f>
        <v>4</v>
      </c>
      <c r="Z94" s="2" t="str">
        <f>Auto_Sales_data___Copy[[#This Row],[R-Score(1-5)]]&amp;Auto_Sales_data___Copy[[#This Row],[F-Score(1-5)]]&amp;Auto_Sales_data___Copy[[#This Row],[M-Score(1-5)]]</f>
        <v>544</v>
      </c>
      <c r="AA94" s="2" t="str" cm="1">
        <f t="array" ref="AA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4" s="2" t="str">
        <f>VLOOKUP(Auto_Sales_data___Copy[[#This Row],[Segment Name]],Table3[],2,FALSE)</f>
        <v>VIP Recognitioon &amp; Inclusivity</v>
      </c>
    </row>
    <row r="95" spans="1:34" x14ac:dyDescent="0.25">
      <c r="A95">
        <v>10194</v>
      </c>
      <c r="B95">
        <v>26</v>
      </c>
      <c r="C95">
        <v>163.99</v>
      </c>
      <c r="D95">
        <v>4</v>
      </c>
      <c r="E95">
        <v>4263.74</v>
      </c>
      <c r="F95" s="1">
        <v>43429</v>
      </c>
      <c r="G95" s="2" t="s">
        <v>19</v>
      </c>
      <c r="H95" s="2" t="s">
        <v>183</v>
      </c>
      <c r="I95">
        <v>147</v>
      </c>
      <c r="J95" s="2" t="s">
        <v>424</v>
      </c>
      <c r="K95" s="2" t="s">
        <v>224</v>
      </c>
      <c r="L95" s="2" t="s">
        <v>225</v>
      </c>
      <c r="M95" s="2" t="s">
        <v>226</v>
      </c>
      <c r="N95" s="2" t="s">
        <v>227</v>
      </c>
      <c r="O95" s="2" t="s">
        <v>228</v>
      </c>
      <c r="P95" s="2" t="s">
        <v>36</v>
      </c>
      <c r="Q95" s="2" t="s">
        <v>229</v>
      </c>
      <c r="R95" s="2" t="s">
        <v>230</v>
      </c>
      <c r="S95" s="2" t="s">
        <v>46</v>
      </c>
      <c r="T95">
        <v>685</v>
      </c>
      <c r="U95">
        <f>VLOOKUP(Auto_Sales_data___Copy[[#This Row],[CUSTOMER_NAME]],$AF$2:$AH$90,2,FALSE)</f>
        <v>41</v>
      </c>
      <c r="V95">
        <f>VLOOKUP(Auto_Sales_data___Copy[[#This Row],[CUSTOMER_NAME]],$AF$2:$AH$90,3,FALSE)</f>
        <v>142874.24999999997</v>
      </c>
      <c r="W95" s="2">
        <f>6-MATCH(Auto_Sales_data___Copy[[#This Row],[DAYS_SINCE_LAST_ORDER]],Table2[R-Cutoff],1)</f>
        <v>5</v>
      </c>
      <c r="X95" s="2">
        <f>MATCH(Auto_Sales_data___Copy[[#This Row],[Total_Orders_Per_Customer]],Table2[F-Cutoff],1)</f>
        <v>4</v>
      </c>
      <c r="Y95" s="2">
        <f>MATCH(Auto_Sales_data___Copy[[#This Row],[Total_Sales_Per_Customer]],Table2[M-Cutoff],1)</f>
        <v>4</v>
      </c>
      <c r="Z95" s="2" t="str">
        <f>Auto_Sales_data___Copy[[#This Row],[R-Score(1-5)]]&amp;Auto_Sales_data___Copy[[#This Row],[F-Score(1-5)]]&amp;Auto_Sales_data___Copy[[#This Row],[M-Score(1-5)]]</f>
        <v>544</v>
      </c>
      <c r="AA95" s="2" t="str" cm="1">
        <f t="array" ref="AA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5" s="2" t="str">
        <f>VLOOKUP(Auto_Sales_data___Copy[[#This Row],[Segment Name]],Table3[],2,FALSE)</f>
        <v>VIP Recognitioon &amp; Inclusivity</v>
      </c>
    </row>
    <row r="96" spans="1:34" x14ac:dyDescent="0.25">
      <c r="A96">
        <v>10194</v>
      </c>
      <c r="B96">
        <v>38</v>
      </c>
      <c r="C96">
        <v>129.84</v>
      </c>
      <c r="D96">
        <v>8</v>
      </c>
      <c r="E96">
        <v>4933.92</v>
      </c>
      <c r="F96" s="1">
        <v>43429</v>
      </c>
      <c r="G96" s="2" t="s">
        <v>19</v>
      </c>
      <c r="H96" s="2" t="s">
        <v>537</v>
      </c>
      <c r="I96">
        <v>136</v>
      </c>
      <c r="J96" s="2" t="s">
        <v>538</v>
      </c>
      <c r="K96" s="2" t="s">
        <v>224</v>
      </c>
      <c r="L96" s="2" t="s">
        <v>225</v>
      </c>
      <c r="M96" s="2" t="s">
        <v>226</v>
      </c>
      <c r="N96" s="2" t="s">
        <v>227</v>
      </c>
      <c r="O96" s="2" t="s">
        <v>228</v>
      </c>
      <c r="P96" s="2" t="s">
        <v>36</v>
      </c>
      <c r="Q96" s="2" t="s">
        <v>229</v>
      </c>
      <c r="R96" s="2" t="s">
        <v>230</v>
      </c>
      <c r="S96" s="2" t="s">
        <v>46</v>
      </c>
      <c r="T96">
        <v>762</v>
      </c>
      <c r="U96">
        <f>VLOOKUP(Auto_Sales_data___Copy[[#This Row],[CUSTOMER_NAME]],$AF$2:$AH$90,2,FALSE)</f>
        <v>41</v>
      </c>
      <c r="V96">
        <f>VLOOKUP(Auto_Sales_data___Copy[[#This Row],[CUSTOMER_NAME]],$AF$2:$AH$90,3,FALSE)</f>
        <v>142874.24999999997</v>
      </c>
      <c r="W96" s="2">
        <f>6-MATCH(Auto_Sales_data___Copy[[#This Row],[DAYS_SINCE_LAST_ORDER]],Table2[R-Cutoff],1)</f>
        <v>5</v>
      </c>
      <c r="X96" s="2">
        <f>MATCH(Auto_Sales_data___Copy[[#This Row],[Total_Orders_Per_Customer]],Table2[F-Cutoff],1)</f>
        <v>4</v>
      </c>
      <c r="Y96" s="2">
        <f>MATCH(Auto_Sales_data___Copy[[#This Row],[Total_Sales_Per_Customer]],Table2[M-Cutoff],1)</f>
        <v>4</v>
      </c>
      <c r="Z96" s="2" t="str">
        <f>Auto_Sales_data___Copy[[#This Row],[R-Score(1-5)]]&amp;Auto_Sales_data___Copy[[#This Row],[F-Score(1-5)]]&amp;Auto_Sales_data___Copy[[#This Row],[M-Score(1-5)]]</f>
        <v>544</v>
      </c>
      <c r="AA96" s="2" t="str" cm="1">
        <f t="array" ref="AA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6" s="2" t="str">
        <f>VLOOKUP(Auto_Sales_data___Copy[[#This Row],[Segment Name]],Table3[],2,FALSE)</f>
        <v>VIP Recognitioon &amp; Inclusivity</v>
      </c>
    </row>
    <row r="97" spans="1:28" x14ac:dyDescent="0.25">
      <c r="A97">
        <v>10208</v>
      </c>
      <c r="B97">
        <v>46</v>
      </c>
      <c r="C97">
        <v>187.02</v>
      </c>
      <c r="D97">
        <v>13</v>
      </c>
      <c r="E97">
        <v>8602.92</v>
      </c>
      <c r="F97" s="1">
        <v>43467</v>
      </c>
      <c r="G97" s="2" t="s">
        <v>19</v>
      </c>
      <c r="H97" s="2" t="s">
        <v>183</v>
      </c>
      <c r="I97">
        <v>207</v>
      </c>
      <c r="J97" s="2" t="s">
        <v>505</v>
      </c>
      <c r="K97" s="2" t="s">
        <v>224</v>
      </c>
      <c r="L97" s="2" t="s">
        <v>225</v>
      </c>
      <c r="M97" s="2" t="s">
        <v>226</v>
      </c>
      <c r="N97" s="2" t="s">
        <v>227</v>
      </c>
      <c r="O97" s="2" t="s">
        <v>228</v>
      </c>
      <c r="P97" s="2" t="s">
        <v>36</v>
      </c>
      <c r="Q97" s="2" t="s">
        <v>229</v>
      </c>
      <c r="R97" s="2" t="s">
        <v>230</v>
      </c>
      <c r="S97" s="2" t="s">
        <v>151</v>
      </c>
      <c r="T97">
        <v>699</v>
      </c>
      <c r="U97">
        <f>VLOOKUP(Auto_Sales_data___Copy[[#This Row],[CUSTOMER_NAME]],$AF$2:$AH$90,2,FALSE)</f>
        <v>41</v>
      </c>
      <c r="V97">
        <f>VLOOKUP(Auto_Sales_data___Copy[[#This Row],[CUSTOMER_NAME]],$AF$2:$AH$90,3,FALSE)</f>
        <v>142874.24999999997</v>
      </c>
      <c r="W97" s="2">
        <f>6-MATCH(Auto_Sales_data___Copy[[#This Row],[DAYS_SINCE_LAST_ORDER]],Table2[R-Cutoff],1)</f>
        <v>5</v>
      </c>
      <c r="X97" s="2">
        <f>MATCH(Auto_Sales_data___Copy[[#This Row],[Total_Orders_Per_Customer]],Table2[F-Cutoff],1)</f>
        <v>4</v>
      </c>
      <c r="Y97" s="2">
        <f>MATCH(Auto_Sales_data___Copy[[#This Row],[Total_Sales_Per_Customer]],Table2[M-Cutoff],1)</f>
        <v>4</v>
      </c>
      <c r="Z97" s="2" t="str">
        <f>Auto_Sales_data___Copy[[#This Row],[R-Score(1-5)]]&amp;Auto_Sales_data___Copy[[#This Row],[F-Score(1-5)]]&amp;Auto_Sales_data___Copy[[#This Row],[M-Score(1-5)]]</f>
        <v>544</v>
      </c>
      <c r="AA97" s="2" t="str" cm="1">
        <f t="array" ref="AA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7" s="2" t="str">
        <f>VLOOKUP(Auto_Sales_data___Copy[[#This Row],[Segment Name]],Table3[],2,FALSE)</f>
        <v>VIP Recognitioon &amp; Inclusivity</v>
      </c>
    </row>
    <row r="98" spans="1:28" x14ac:dyDescent="0.25">
      <c r="A98">
        <v>10208</v>
      </c>
      <c r="B98">
        <v>26</v>
      </c>
      <c r="C98">
        <v>120.86</v>
      </c>
      <c r="D98">
        <v>14</v>
      </c>
      <c r="E98">
        <v>3142.36</v>
      </c>
      <c r="F98" s="1">
        <v>43467</v>
      </c>
      <c r="G98" s="2" t="s">
        <v>19</v>
      </c>
      <c r="H98" s="2" t="s">
        <v>183</v>
      </c>
      <c r="I98">
        <v>151</v>
      </c>
      <c r="J98" s="2" t="s">
        <v>545</v>
      </c>
      <c r="K98" s="2" t="s">
        <v>224</v>
      </c>
      <c r="L98" s="2" t="s">
        <v>225</v>
      </c>
      <c r="M98" s="2" t="s">
        <v>226</v>
      </c>
      <c r="N98" s="2" t="s">
        <v>227</v>
      </c>
      <c r="O98" s="2" t="s">
        <v>228</v>
      </c>
      <c r="P98" s="2" t="s">
        <v>36</v>
      </c>
      <c r="Q98" s="2" t="s">
        <v>229</v>
      </c>
      <c r="R98" s="2" t="s">
        <v>230</v>
      </c>
      <c r="S98" s="2" t="s">
        <v>46</v>
      </c>
      <c r="T98">
        <v>775</v>
      </c>
      <c r="U98">
        <f>VLOOKUP(Auto_Sales_data___Copy[[#This Row],[CUSTOMER_NAME]],$AF$2:$AH$90,2,FALSE)</f>
        <v>41</v>
      </c>
      <c r="V98">
        <f>VLOOKUP(Auto_Sales_data___Copy[[#This Row],[CUSTOMER_NAME]],$AF$2:$AH$90,3,FALSE)</f>
        <v>142874.24999999997</v>
      </c>
      <c r="W98" s="2">
        <f>6-MATCH(Auto_Sales_data___Copy[[#This Row],[DAYS_SINCE_LAST_ORDER]],Table2[R-Cutoff],1)</f>
        <v>5</v>
      </c>
      <c r="X98" s="2">
        <f>MATCH(Auto_Sales_data___Copy[[#This Row],[Total_Orders_Per_Customer]],Table2[F-Cutoff],1)</f>
        <v>4</v>
      </c>
      <c r="Y98" s="2">
        <f>MATCH(Auto_Sales_data___Copy[[#This Row],[Total_Sales_Per_Customer]],Table2[M-Cutoff],1)</f>
        <v>4</v>
      </c>
      <c r="Z98" s="2" t="str">
        <f>Auto_Sales_data___Copy[[#This Row],[R-Score(1-5)]]&amp;Auto_Sales_data___Copy[[#This Row],[F-Score(1-5)]]&amp;Auto_Sales_data___Copy[[#This Row],[M-Score(1-5)]]</f>
        <v>544</v>
      </c>
      <c r="AA98" s="2" t="str" cm="1">
        <f t="array" ref="AA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8" s="2" t="str">
        <f>VLOOKUP(Auto_Sales_data___Copy[[#This Row],[Segment Name]],Table3[],2,FALSE)</f>
        <v>VIP Recognitioon &amp; Inclusivity</v>
      </c>
    </row>
    <row r="99" spans="1:28" x14ac:dyDescent="0.25">
      <c r="A99">
        <v>10208</v>
      </c>
      <c r="B99">
        <v>20</v>
      </c>
      <c r="C99">
        <v>155.72</v>
      </c>
      <c r="D99">
        <v>12</v>
      </c>
      <c r="E99">
        <v>3114.4</v>
      </c>
      <c r="F99" s="1">
        <v>43467</v>
      </c>
      <c r="G99" s="2" t="s">
        <v>19</v>
      </c>
      <c r="H99" s="2" t="s">
        <v>183</v>
      </c>
      <c r="I99">
        <v>173</v>
      </c>
      <c r="J99" s="2" t="s">
        <v>552</v>
      </c>
      <c r="K99" s="2" t="s">
        <v>224</v>
      </c>
      <c r="L99" s="2" t="s">
        <v>225</v>
      </c>
      <c r="M99" s="2" t="s">
        <v>226</v>
      </c>
      <c r="N99" s="2" t="s">
        <v>227</v>
      </c>
      <c r="O99" s="2" t="s">
        <v>228</v>
      </c>
      <c r="P99" s="2" t="s">
        <v>36</v>
      </c>
      <c r="Q99" s="2" t="s">
        <v>229</v>
      </c>
      <c r="R99" s="2" t="s">
        <v>230</v>
      </c>
      <c r="S99" s="2" t="s">
        <v>46</v>
      </c>
      <c r="T99">
        <v>824</v>
      </c>
      <c r="U99">
        <f>VLOOKUP(Auto_Sales_data___Copy[[#This Row],[CUSTOMER_NAME]],$AF$2:$AH$90,2,FALSE)</f>
        <v>41</v>
      </c>
      <c r="V99">
        <f>VLOOKUP(Auto_Sales_data___Copy[[#This Row],[CUSTOMER_NAME]],$AF$2:$AH$90,3,FALSE)</f>
        <v>142874.24999999997</v>
      </c>
      <c r="W99" s="2">
        <f>6-MATCH(Auto_Sales_data___Copy[[#This Row],[DAYS_SINCE_LAST_ORDER]],Table2[R-Cutoff],1)</f>
        <v>5</v>
      </c>
      <c r="X99" s="2">
        <f>MATCH(Auto_Sales_data___Copy[[#This Row],[Total_Orders_Per_Customer]],Table2[F-Cutoff],1)</f>
        <v>4</v>
      </c>
      <c r="Y99" s="2">
        <f>MATCH(Auto_Sales_data___Copy[[#This Row],[Total_Sales_Per_Customer]],Table2[M-Cutoff],1)</f>
        <v>4</v>
      </c>
      <c r="Z99" s="2" t="str">
        <f>Auto_Sales_data___Copy[[#This Row],[R-Score(1-5)]]&amp;Auto_Sales_data___Copy[[#This Row],[F-Score(1-5)]]&amp;Auto_Sales_data___Copy[[#This Row],[M-Score(1-5)]]</f>
        <v>544</v>
      </c>
      <c r="AA99" s="2" t="str" cm="1">
        <f t="array" ref="AA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9" s="2" t="str">
        <f>VLOOKUP(Auto_Sales_data___Copy[[#This Row],[Segment Name]],Table3[],2,FALSE)</f>
        <v>VIP Recognitioon &amp; Inclusivity</v>
      </c>
    </row>
    <row r="100" spans="1:28" x14ac:dyDescent="0.25">
      <c r="A100">
        <v>10217</v>
      </c>
      <c r="B100">
        <v>48</v>
      </c>
      <c r="C100">
        <v>146.26</v>
      </c>
      <c r="D100">
        <v>4</v>
      </c>
      <c r="E100">
        <v>7020.48</v>
      </c>
      <c r="F100" s="1">
        <v>43500</v>
      </c>
      <c r="G100" s="2" t="s">
        <v>19</v>
      </c>
      <c r="H100" s="2" t="s">
        <v>183</v>
      </c>
      <c r="I100">
        <v>147</v>
      </c>
      <c r="J100" s="2" t="s">
        <v>424</v>
      </c>
      <c r="K100" s="2" t="s">
        <v>443</v>
      </c>
      <c r="L100" s="2" t="s">
        <v>444</v>
      </c>
      <c r="M100" s="2" t="s">
        <v>445</v>
      </c>
      <c r="N100" s="2" t="s">
        <v>202</v>
      </c>
      <c r="O100" s="2" t="s">
        <v>446</v>
      </c>
      <c r="P100" s="2" t="s">
        <v>202</v>
      </c>
      <c r="Q100" s="2" t="s">
        <v>447</v>
      </c>
      <c r="R100" s="2" t="s">
        <v>448</v>
      </c>
      <c r="S100" s="2" t="s">
        <v>151</v>
      </c>
      <c r="T100">
        <v>616</v>
      </c>
      <c r="U100">
        <f>VLOOKUP(Auto_Sales_data___Copy[[#This Row],[CUSTOMER_NAME]],$AF$2:$AH$90,2,FALSE)</f>
        <v>36</v>
      </c>
      <c r="V100">
        <f>VLOOKUP(Auto_Sales_data___Copy[[#This Row],[CUSTOMER_NAME]],$AF$2:$AH$90,3,FALSE)</f>
        <v>115498.72999999998</v>
      </c>
      <c r="W100" s="2">
        <f>6-MATCH(Auto_Sales_data___Copy[[#This Row],[DAYS_SINCE_LAST_ORDER]],Table2[R-Cutoff],1)</f>
        <v>5</v>
      </c>
      <c r="X100" s="2">
        <f>MATCH(Auto_Sales_data___Copy[[#This Row],[Total_Orders_Per_Customer]],Table2[F-Cutoff],1)</f>
        <v>4</v>
      </c>
      <c r="Y100" s="2">
        <f>MATCH(Auto_Sales_data___Copy[[#This Row],[Total_Sales_Per_Customer]],Table2[M-Cutoff],1)</f>
        <v>4</v>
      </c>
      <c r="Z100" s="2" t="str">
        <f>Auto_Sales_data___Copy[[#This Row],[R-Score(1-5)]]&amp;Auto_Sales_data___Copy[[#This Row],[F-Score(1-5)]]&amp;Auto_Sales_data___Copy[[#This Row],[M-Score(1-5)]]</f>
        <v>544</v>
      </c>
      <c r="AA100" s="2" t="str" cm="1">
        <f t="array" ref="AA1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0" s="2" t="str">
        <f>VLOOKUP(Auto_Sales_data___Copy[[#This Row],[Segment Name]],Table3[],2,FALSE)</f>
        <v>VIP Recognitioon &amp; Inclusivity</v>
      </c>
    </row>
    <row r="101" spans="1:28" x14ac:dyDescent="0.25">
      <c r="A101">
        <v>10223</v>
      </c>
      <c r="B101">
        <v>37</v>
      </c>
      <c r="C101">
        <v>107.18</v>
      </c>
      <c r="D101">
        <v>1</v>
      </c>
      <c r="E101">
        <v>3965.66</v>
      </c>
      <c r="F101" s="1">
        <v>43516</v>
      </c>
      <c r="G101" s="2" t="s">
        <v>19</v>
      </c>
      <c r="H101" s="2" t="s">
        <v>20</v>
      </c>
      <c r="I101">
        <v>95</v>
      </c>
      <c r="J101" s="2" t="s">
        <v>21</v>
      </c>
      <c r="K101" s="2" t="s">
        <v>82</v>
      </c>
      <c r="L101" s="2" t="s">
        <v>83</v>
      </c>
      <c r="M101" s="2" t="s">
        <v>84</v>
      </c>
      <c r="N101" s="2" t="s">
        <v>85</v>
      </c>
      <c r="O101" s="2" t="s">
        <v>86</v>
      </c>
      <c r="P101" s="2" t="s">
        <v>87</v>
      </c>
      <c r="Q101" s="2" t="s">
        <v>88</v>
      </c>
      <c r="R101" s="2" t="s">
        <v>89</v>
      </c>
      <c r="S101" s="2" t="s">
        <v>46</v>
      </c>
      <c r="T101">
        <v>475</v>
      </c>
      <c r="U101">
        <f>VLOOKUP(Auto_Sales_data___Copy[[#This Row],[CUSTOMER_NAME]],$AF$2:$AH$90,2,FALSE)</f>
        <v>55</v>
      </c>
      <c r="V101">
        <f>VLOOKUP(Auto_Sales_data___Copy[[#This Row],[CUSTOMER_NAME]],$AF$2:$AH$90,3,FALSE)</f>
        <v>200995.41000000006</v>
      </c>
      <c r="W101" s="2">
        <f>6-MATCH(Auto_Sales_data___Copy[[#This Row],[DAYS_SINCE_LAST_ORDER]],Table2[R-Cutoff],1)</f>
        <v>5</v>
      </c>
      <c r="X101" s="2">
        <f>MATCH(Auto_Sales_data___Copy[[#This Row],[Total_Orders_Per_Customer]],Table2[F-Cutoff],1)</f>
        <v>4</v>
      </c>
      <c r="Y101" s="2">
        <f>MATCH(Auto_Sales_data___Copy[[#This Row],[Total_Sales_Per_Customer]],Table2[M-Cutoff],1)</f>
        <v>4</v>
      </c>
      <c r="Z101" s="2" t="str">
        <f>Auto_Sales_data___Copy[[#This Row],[R-Score(1-5)]]&amp;Auto_Sales_data___Copy[[#This Row],[F-Score(1-5)]]&amp;Auto_Sales_data___Copy[[#This Row],[M-Score(1-5)]]</f>
        <v>544</v>
      </c>
      <c r="AA101" s="2" t="str" cm="1">
        <f t="array" ref="AA1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1" s="2" t="str">
        <f>VLOOKUP(Auto_Sales_data___Copy[[#This Row],[Segment Name]],Table3[],2,FALSE)</f>
        <v>VIP Recognitioon &amp; Inclusivity</v>
      </c>
    </row>
    <row r="102" spans="1:28" x14ac:dyDescent="0.25">
      <c r="A102">
        <v>10223</v>
      </c>
      <c r="B102">
        <v>47</v>
      </c>
      <c r="C102">
        <v>115.37</v>
      </c>
      <c r="D102">
        <v>4</v>
      </c>
      <c r="E102">
        <v>5422.39</v>
      </c>
      <c r="F102" s="1">
        <v>43516</v>
      </c>
      <c r="G102" s="2" t="s">
        <v>19</v>
      </c>
      <c r="H102" s="2" t="s">
        <v>20</v>
      </c>
      <c r="I102">
        <v>118</v>
      </c>
      <c r="J102" s="2" t="s">
        <v>315</v>
      </c>
      <c r="K102" s="2" t="s">
        <v>82</v>
      </c>
      <c r="L102" s="2" t="s">
        <v>83</v>
      </c>
      <c r="M102" s="2" t="s">
        <v>84</v>
      </c>
      <c r="N102" s="2" t="s">
        <v>85</v>
      </c>
      <c r="O102" s="2" t="s">
        <v>86</v>
      </c>
      <c r="P102" s="2" t="s">
        <v>87</v>
      </c>
      <c r="Q102" s="2" t="s">
        <v>88</v>
      </c>
      <c r="R102" s="2" t="s">
        <v>89</v>
      </c>
      <c r="S102" s="2" t="s">
        <v>46</v>
      </c>
      <c r="T102">
        <v>525</v>
      </c>
      <c r="U102">
        <f>VLOOKUP(Auto_Sales_data___Copy[[#This Row],[CUSTOMER_NAME]],$AF$2:$AH$90,2,FALSE)</f>
        <v>55</v>
      </c>
      <c r="V102">
        <f>VLOOKUP(Auto_Sales_data___Copy[[#This Row],[CUSTOMER_NAME]],$AF$2:$AH$90,3,FALSE)</f>
        <v>200995.41000000006</v>
      </c>
      <c r="W102" s="2">
        <f>6-MATCH(Auto_Sales_data___Copy[[#This Row],[DAYS_SINCE_LAST_ORDER]],Table2[R-Cutoff],1)</f>
        <v>5</v>
      </c>
      <c r="X102" s="2">
        <f>MATCH(Auto_Sales_data___Copy[[#This Row],[Total_Orders_Per_Customer]],Table2[F-Cutoff],1)</f>
        <v>4</v>
      </c>
      <c r="Y102" s="2">
        <f>MATCH(Auto_Sales_data___Copy[[#This Row],[Total_Sales_Per_Customer]],Table2[M-Cutoff],1)</f>
        <v>4</v>
      </c>
      <c r="Z102" s="2" t="str">
        <f>Auto_Sales_data___Copy[[#This Row],[R-Score(1-5)]]&amp;Auto_Sales_data___Copy[[#This Row],[F-Score(1-5)]]&amp;Auto_Sales_data___Copy[[#This Row],[M-Score(1-5)]]</f>
        <v>544</v>
      </c>
      <c r="AA102" s="2" t="str" cm="1">
        <f t="array" ref="AA1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2" s="2" t="str">
        <f>VLOOKUP(Auto_Sales_data___Copy[[#This Row],[Segment Name]],Table3[],2,FALSE)</f>
        <v>VIP Recognitioon &amp; Inclusivity</v>
      </c>
    </row>
    <row r="103" spans="1:28" x14ac:dyDescent="0.25">
      <c r="A103">
        <v>10223</v>
      </c>
      <c r="B103">
        <v>49</v>
      </c>
      <c r="C103">
        <v>199.47</v>
      </c>
      <c r="D103">
        <v>3</v>
      </c>
      <c r="E103">
        <v>9774.0300000000007</v>
      </c>
      <c r="F103" s="1">
        <v>43516</v>
      </c>
      <c r="G103" s="2" t="s">
        <v>19</v>
      </c>
      <c r="H103" s="2" t="s">
        <v>20</v>
      </c>
      <c r="I103">
        <v>193</v>
      </c>
      <c r="J103" s="2" t="s">
        <v>337</v>
      </c>
      <c r="K103" s="2" t="s">
        <v>82</v>
      </c>
      <c r="L103" s="2" t="s">
        <v>83</v>
      </c>
      <c r="M103" s="2" t="s">
        <v>84</v>
      </c>
      <c r="N103" s="2" t="s">
        <v>85</v>
      </c>
      <c r="O103" s="2" t="s">
        <v>86</v>
      </c>
      <c r="P103" s="2" t="s">
        <v>87</v>
      </c>
      <c r="Q103" s="2" t="s">
        <v>88</v>
      </c>
      <c r="R103" s="2" t="s">
        <v>89</v>
      </c>
      <c r="S103" s="2" t="s">
        <v>151</v>
      </c>
      <c r="T103">
        <v>549</v>
      </c>
      <c r="U103">
        <f>VLOOKUP(Auto_Sales_data___Copy[[#This Row],[CUSTOMER_NAME]],$AF$2:$AH$90,2,FALSE)</f>
        <v>55</v>
      </c>
      <c r="V103">
        <f>VLOOKUP(Auto_Sales_data___Copy[[#This Row],[CUSTOMER_NAME]],$AF$2:$AH$90,3,FALSE)</f>
        <v>200995.41000000006</v>
      </c>
      <c r="W103" s="2">
        <f>6-MATCH(Auto_Sales_data___Copy[[#This Row],[DAYS_SINCE_LAST_ORDER]],Table2[R-Cutoff],1)</f>
        <v>5</v>
      </c>
      <c r="X103" s="2">
        <f>MATCH(Auto_Sales_data___Copy[[#This Row],[Total_Orders_Per_Customer]],Table2[F-Cutoff],1)</f>
        <v>4</v>
      </c>
      <c r="Y103" s="2">
        <f>MATCH(Auto_Sales_data___Copy[[#This Row],[Total_Sales_Per_Customer]],Table2[M-Cutoff],1)</f>
        <v>4</v>
      </c>
      <c r="Z103" s="2" t="str">
        <f>Auto_Sales_data___Copy[[#This Row],[R-Score(1-5)]]&amp;Auto_Sales_data___Copy[[#This Row],[F-Score(1-5)]]&amp;Auto_Sales_data___Copy[[#This Row],[M-Score(1-5)]]</f>
        <v>544</v>
      </c>
      <c r="AA103" s="2" t="str" cm="1">
        <f t="array" ref="AA1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3" s="2" t="str">
        <f>VLOOKUP(Auto_Sales_data___Copy[[#This Row],[Segment Name]],Table3[],2,FALSE)</f>
        <v>VIP Recognitioon &amp; Inclusivity</v>
      </c>
    </row>
    <row r="104" spans="1:28" x14ac:dyDescent="0.25">
      <c r="A104">
        <v>10225</v>
      </c>
      <c r="B104">
        <v>27</v>
      </c>
      <c r="C104">
        <v>167.33</v>
      </c>
      <c r="D104">
        <v>9</v>
      </c>
      <c r="E104">
        <v>4517.91</v>
      </c>
      <c r="F104" s="1">
        <v>43518</v>
      </c>
      <c r="G104" s="2" t="s">
        <v>19</v>
      </c>
      <c r="H104" s="2" t="s">
        <v>183</v>
      </c>
      <c r="I104">
        <v>194</v>
      </c>
      <c r="J104" s="2" t="s">
        <v>449</v>
      </c>
      <c r="K104" s="2" t="s">
        <v>473</v>
      </c>
      <c r="L104" s="2" t="s">
        <v>474</v>
      </c>
      <c r="M104" s="2" t="s">
        <v>475</v>
      </c>
      <c r="N104" s="2" t="s">
        <v>476</v>
      </c>
      <c r="O104" s="2" t="s">
        <v>477</v>
      </c>
      <c r="P104" s="2" t="s">
        <v>478</v>
      </c>
      <c r="Q104" s="2" t="s">
        <v>479</v>
      </c>
      <c r="R104" s="2" t="s">
        <v>94</v>
      </c>
      <c r="S104" s="2" t="s">
        <v>46</v>
      </c>
      <c r="T104">
        <v>624</v>
      </c>
      <c r="U104">
        <f>VLOOKUP(Auto_Sales_data___Copy[[#This Row],[CUSTOMER_NAME]],$AF$2:$AH$90,2,FALSE)</f>
        <v>31</v>
      </c>
      <c r="V104">
        <f>VLOOKUP(Auto_Sales_data___Copy[[#This Row],[CUSTOMER_NAME]],$AF$2:$AH$90,3,FALSE)</f>
        <v>117713.56000000001</v>
      </c>
      <c r="W104" s="2">
        <f>6-MATCH(Auto_Sales_data___Copy[[#This Row],[DAYS_SINCE_LAST_ORDER]],Table2[R-Cutoff],1)</f>
        <v>5</v>
      </c>
      <c r="X104" s="2">
        <f>MATCH(Auto_Sales_data___Copy[[#This Row],[Total_Orders_Per_Customer]],Table2[F-Cutoff],1)</f>
        <v>4</v>
      </c>
      <c r="Y104" s="2">
        <f>MATCH(Auto_Sales_data___Copy[[#This Row],[Total_Sales_Per_Customer]],Table2[M-Cutoff],1)</f>
        <v>4</v>
      </c>
      <c r="Z104" s="2" t="str">
        <f>Auto_Sales_data___Copy[[#This Row],[R-Score(1-5)]]&amp;Auto_Sales_data___Copy[[#This Row],[F-Score(1-5)]]&amp;Auto_Sales_data___Copy[[#This Row],[M-Score(1-5)]]</f>
        <v>544</v>
      </c>
      <c r="AA104" s="2" t="str" cm="1">
        <f t="array" ref="AA1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4" s="2" t="str">
        <f>VLOOKUP(Auto_Sales_data___Copy[[#This Row],[Segment Name]],Table3[],2,FALSE)</f>
        <v>VIP Recognitioon &amp; Inclusivity</v>
      </c>
    </row>
    <row r="105" spans="1:28" x14ac:dyDescent="0.25">
      <c r="A105">
        <v>10225</v>
      </c>
      <c r="B105">
        <v>25</v>
      </c>
      <c r="C105">
        <v>99.82</v>
      </c>
      <c r="D105">
        <v>7</v>
      </c>
      <c r="E105">
        <v>2495.5</v>
      </c>
      <c r="F105" s="1">
        <v>43518</v>
      </c>
      <c r="G105" s="2" t="s">
        <v>19</v>
      </c>
      <c r="H105" s="2" t="s">
        <v>183</v>
      </c>
      <c r="I105">
        <v>117</v>
      </c>
      <c r="J105" s="2" t="s">
        <v>546</v>
      </c>
      <c r="K105" s="2" t="s">
        <v>473</v>
      </c>
      <c r="L105" s="2" t="s">
        <v>474</v>
      </c>
      <c r="M105" s="2" t="s">
        <v>475</v>
      </c>
      <c r="N105" s="2" t="s">
        <v>476</v>
      </c>
      <c r="O105" s="2" t="s">
        <v>477</v>
      </c>
      <c r="P105" s="2" t="s">
        <v>478</v>
      </c>
      <c r="Q105" s="2" t="s">
        <v>479</v>
      </c>
      <c r="R105" s="2" t="s">
        <v>94</v>
      </c>
      <c r="S105" s="2" t="s">
        <v>30</v>
      </c>
      <c r="T105">
        <v>749</v>
      </c>
      <c r="U105">
        <f>VLOOKUP(Auto_Sales_data___Copy[[#This Row],[CUSTOMER_NAME]],$AF$2:$AH$90,2,FALSE)</f>
        <v>31</v>
      </c>
      <c r="V105">
        <f>VLOOKUP(Auto_Sales_data___Copy[[#This Row],[CUSTOMER_NAME]],$AF$2:$AH$90,3,FALSE)</f>
        <v>117713.56000000001</v>
      </c>
      <c r="W105" s="2">
        <f>6-MATCH(Auto_Sales_data___Copy[[#This Row],[DAYS_SINCE_LAST_ORDER]],Table2[R-Cutoff],1)</f>
        <v>5</v>
      </c>
      <c r="X105" s="2">
        <f>MATCH(Auto_Sales_data___Copy[[#This Row],[Total_Orders_Per_Customer]],Table2[F-Cutoff],1)</f>
        <v>4</v>
      </c>
      <c r="Y105" s="2">
        <f>MATCH(Auto_Sales_data___Copy[[#This Row],[Total_Sales_Per_Customer]],Table2[M-Cutoff],1)</f>
        <v>4</v>
      </c>
      <c r="Z105" s="2" t="str">
        <f>Auto_Sales_data___Copy[[#This Row],[R-Score(1-5)]]&amp;Auto_Sales_data___Copy[[#This Row],[F-Score(1-5)]]&amp;Auto_Sales_data___Copy[[#This Row],[M-Score(1-5)]]</f>
        <v>544</v>
      </c>
      <c r="AA105" s="2" t="str" cm="1">
        <f t="array" ref="AA1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5" s="2" t="str">
        <f>VLOOKUP(Auto_Sales_data___Copy[[#This Row],[Segment Name]],Table3[],2,FALSE)</f>
        <v>VIP Recognitioon &amp; Inclusivity</v>
      </c>
    </row>
    <row r="106" spans="1:28" x14ac:dyDescent="0.25">
      <c r="A106">
        <v>10225</v>
      </c>
      <c r="B106">
        <v>37</v>
      </c>
      <c r="C106">
        <v>77.41</v>
      </c>
      <c r="D106">
        <v>10</v>
      </c>
      <c r="E106">
        <v>2864.17</v>
      </c>
      <c r="F106" s="1">
        <v>43518</v>
      </c>
      <c r="G106" s="2" t="s">
        <v>19</v>
      </c>
      <c r="H106" s="2" t="s">
        <v>183</v>
      </c>
      <c r="I106">
        <v>79</v>
      </c>
      <c r="J106" s="2" t="s">
        <v>553</v>
      </c>
      <c r="K106" s="2" t="s">
        <v>473</v>
      </c>
      <c r="L106" s="2" t="s">
        <v>474</v>
      </c>
      <c r="M106" s="2" t="s">
        <v>475</v>
      </c>
      <c r="N106" s="2" t="s">
        <v>476</v>
      </c>
      <c r="O106" s="2" t="s">
        <v>477</v>
      </c>
      <c r="P106" s="2" t="s">
        <v>478</v>
      </c>
      <c r="Q106" s="2" t="s">
        <v>479</v>
      </c>
      <c r="R106" s="2" t="s">
        <v>94</v>
      </c>
      <c r="S106" s="2" t="s">
        <v>30</v>
      </c>
      <c r="T106">
        <v>799</v>
      </c>
      <c r="U106">
        <f>VLOOKUP(Auto_Sales_data___Copy[[#This Row],[CUSTOMER_NAME]],$AF$2:$AH$90,2,FALSE)</f>
        <v>31</v>
      </c>
      <c r="V106">
        <f>VLOOKUP(Auto_Sales_data___Copy[[#This Row],[CUSTOMER_NAME]],$AF$2:$AH$90,3,FALSE)</f>
        <v>117713.56000000001</v>
      </c>
      <c r="W106" s="2">
        <f>6-MATCH(Auto_Sales_data___Copy[[#This Row],[DAYS_SINCE_LAST_ORDER]],Table2[R-Cutoff],1)</f>
        <v>5</v>
      </c>
      <c r="X106" s="2">
        <f>MATCH(Auto_Sales_data___Copy[[#This Row],[Total_Orders_Per_Customer]],Table2[F-Cutoff],1)</f>
        <v>4</v>
      </c>
      <c r="Y106" s="2">
        <f>MATCH(Auto_Sales_data___Copy[[#This Row],[Total_Sales_Per_Customer]],Table2[M-Cutoff],1)</f>
        <v>4</v>
      </c>
      <c r="Z106" s="2" t="str">
        <f>Auto_Sales_data___Copy[[#This Row],[R-Score(1-5)]]&amp;Auto_Sales_data___Copy[[#This Row],[F-Score(1-5)]]&amp;Auto_Sales_data___Copy[[#This Row],[M-Score(1-5)]]</f>
        <v>544</v>
      </c>
      <c r="AA106" s="2" t="str" cm="1">
        <f t="array" ref="AA1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6" s="2" t="str">
        <f>VLOOKUP(Auto_Sales_data___Copy[[#This Row],[Segment Name]],Table3[],2,FALSE)</f>
        <v>VIP Recognitioon &amp; Inclusivity</v>
      </c>
    </row>
    <row r="107" spans="1:28" x14ac:dyDescent="0.25">
      <c r="A107">
        <v>10225</v>
      </c>
      <c r="B107">
        <v>21</v>
      </c>
      <c r="C107">
        <v>127.83</v>
      </c>
      <c r="D107">
        <v>6</v>
      </c>
      <c r="E107">
        <v>2684.43</v>
      </c>
      <c r="F107" s="1">
        <v>43518</v>
      </c>
      <c r="G107" s="2" t="s">
        <v>19</v>
      </c>
      <c r="H107" s="2" t="s">
        <v>183</v>
      </c>
      <c r="I107">
        <v>115</v>
      </c>
      <c r="J107" s="2" t="s">
        <v>567</v>
      </c>
      <c r="K107" s="2" t="s">
        <v>473</v>
      </c>
      <c r="L107" s="2" t="s">
        <v>474</v>
      </c>
      <c r="M107" s="2" t="s">
        <v>475</v>
      </c>
      <c r="N107" s="2" t="s">
        <v>476</v>
      </c>
      <c r="O107" s="2" t="s">
        <v>477</v>
      </c>
      <c r="P107" s="2" t="s">
        <v>478</v>
      </c>
      <c r="Q107" s="2" t="s">
        <v>479</v>
      </c>
      <c r="R107" s="2" t="s">
        <v>94</v>
      </c>
      <c r="S107" s="2" t="s">
        <v>30</v>
      </c>
      <c r="T107">
        <v>850</v>
      </c>
      <c r="U107">
        <f>VLOOKUP(Auto_Sales_data___Copy[[#This Row],[CUSTOMER_NAME]],$AF$2:$AH$90,2,FALSE)</f>
        <v>31</v>
      </c>
      <c r="V107">
        <f>VLOOKUP(Auto_Sales_data___Copy[[#This Row],[CUSTOMER_NAME]],$AF$2:$AH$90,3,FALSE)</f>
        <v>117713.56000000001</v>
      </c>
      <c r="W107" s="2">
        <f>6-MATCH(Auto_Sales_data___Copy[[#This Row],[DAYS_SINCE_LAST_ORDER]],Table2[R-Cutoff],1)</f>
        <v>5</v>
      </c>
      <c r="X107" s="2">
        <f>MATCH(Auto_Sales_data___Copy[[#This Row],[Total_Orders_Per_Customer]],Table2[F-Cutoff],1)</f>
        <v>4</v>
      </c>
      <c r="Y107" s="2">
        <f>MATCH(Auto_Sales_data___Copy[[#This Row],[Total_Sales_Per_Customer]],Table2[M-Cutoff],1)</f>
        <v>4</v>
      </c>
      <c r="Z107" s="2" t="str">
        <f>Auto_Sales_data___Copy[[#This Row],[R-Score(1-5)]]&amp;Auto_Sales_data___Copy[[#This Row],[F-Score(1-5)]]&amp;Auto_Sales_data___Copy[[#This Row],[M-Score(1-5)]]</f>
        <v>544</v>
      </c>
      <c r="AA107" s="2" t="str" cm="1">
        <f t="array" ref="AA1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7" s="2" t="str">
        <f>VLOOKUP(Auto_Sales_data___Copy[[#This Row],[Segment Name]],Table3[],2,FALSE)</f>
        <v>VIP Recognitioon &amp; Inclusivity</v>
      </c>
    </row>
    <row r="108" spans="1:28" x14ac:dyDescent="0.25">
      <c r="A108">
        <v>10225</v>
      </c>
      <c r="B108">
        <v>32</v>
      </c>
      <c r="C108">
        <v>141.54</v>
      </c>
      <c r="D108">
        <v>1</v>
      </c>
      <c r="E108">
        <v>4529.28</v>
      </c>
      <c r="F108" s="1">
        <v>43518</v>
      </c>
      <c r="G108" s="2" t="s">
        <v>19</v>
      </c>
      <c r="H108" s="2" t="s">
        <v>183</v>
      </c>
      <c r="I108">
        <v>141</v>
      </c>
      <c r="J108" s="2" t="s">
        <v>576</v>
      </c>
      <c r="K108" s="2" t="s">
        <v>473</v>
      </c>
      <c r="L108" s="2" t="s">
        <v>474</v>
      </c>
      <c r="M108" s="2" t="s">
        <v>475</v>
      </c>
      <c r="N108" s="2" t="s">
        <v>476</v>
      </c>
      <c r="O108" s="2" t="s">
        <v>477</v>
      </c>
      <c r="P108" s="2" t="s">
        <v>478</v>
      </c>
      <c r="Q108" s="2" t="s">
        <v>479</v>
      </c>
      <c r="R108" s="2" t="s">
        <v>94</v>
      </c>
      <c r="S108" s="2" t="s">
        <v>46</v>
      </c>
      <c r="T108">
        <v>902</v>
      </c>
      <c r="U108">
        <f>VLOOKUP(Auto_Sales_data___Copy[[#This Row],[CUSTOMER_NAME]],$AF$2:$AH$90,2,FALSE)</f>
        <v>31</v>
      </c>
      <c r="V108">
        <f>VLOOKUP(Auto_Sales_data___Copy[[#This Row],[CUSTOMER_NAME]],$AF$2:$AH$90,3,FALSE)</f>
        <v>117713.56000000001</v>
      </c>
      <c r="W108" s="2">
        <f>6-MATCH(Auto_Sales_data___Copy[[#This Row],[DAYS_SINCE_LAST_ORDER]],Table2[R-Cutoff],1)</f>
        <v>5</v>
      </c>
      <c r="X108" s="2">
        <f>MATCH(Auto_Sales_data___Copy[[#This Row],[Total_Orders_Per_Customer]],Table2[F-Cutoff],1)</f>
        <v>4</v>
      </c>
      <c r="Y108" s="2">
        <f>MATCH(Auto_Sales_data___Copy[[#This Row],[Total_Sales_Per_Customer]],Table2[M-Cutoff],1)</f>
        <v>4</v>
      </c>
      <c r="Z108" s="2" t="str">
        <f>Auto_Sales_data___Copy[[#This Row],[R-Score(1-5)]]&amp;Auto_Sales_data___Copy[[#This Row],[F-Score(1-5)]]&amp;Auto_Sales_data___Copy[[#This Row],[M-Score(1-5)]]</f>
        <v>544</v>
      </c>
      <c r="AA108" s="2" t="str" cm="1">
        <f t="array" ref="AA1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8" s="2" t="str">
        <f>VLOOKUP(Auto_Sales_data___Copy[[#This Row],[Segment Name]],Table3[],2,FALSE)</f>
        <v>VIP Recognitioon &amp; Inclusivity</v>
      </c>
    </row>
    <row r="109" spans="1:28" x14ac:dyDescent="0.25">
      <c r="A109">
        <v>10227</v>
      </c>
      <c r="B109">
        <v>25</v>
      </c>
      <c r="C109">
        <v>118.15</v>
      </c>
      <c r="D109">
        <v>3</v>
      </c>
      <c r="E109">
        <v>2953.75</v>
      </c>
      <c r="F109" s="1">
        <v>43526</v>
      </c>
      <c r="G109" s="2" t="s">
        <v>19</v>
      </c>
      <c r="H109" s="2" t="s">
        <v>589</v>
      </c>
      <c r="I109">
        <v>102</v>
      </c>
      <c r="J109" s="2" t="s">
        <v>590</v>
      </c>
      <c r="K109" s="2" t="s">
        <v>224</v>
      </c>
      <c r="L109" s="2" t="s">
        <v>225</v>
      </c>
      <c r="M109" s="2" t="s">
        <v>226</v>
      </c>
      <c r="N109" s="2" t="s">
        <v>227</v>
      </c>
      <c r="O109" s="2" t="s">
        <v>228</v>
      </c>
      <c r="P109" s="2" t="s">
        <v>36</v>
      </c>
      <c r="Q109" s="2" t="s">
        <v>229</v>
      </c>
      <c r="R109" s="2" t="s">
        <v>230</v>
      </c>
      <c r="S109" s="2" t="s">
        <v>30</v>
      </c>
      <c r="T109">
        <v>920</v>
      </c>
      <c r="U109">
        <f>VLOOKUP(Auto_Sales_data___Copy[[#This Row],[CUSTOMER_NAME]],$AF$2:$AH$90,2,FALSE)</f>
        <v>41</v>
      </c>
      <c r="V109">
        <f>VLOOKUP(Auto_Sales_data___Copy[[#This Row],[CUSTOMER_NAME]],$AF$2:$AH$90,3,FALSE)</f>
        <v>142874.24999999997</v>
      </c>
      <c r="W109" s="2">
        <f>6-MATCH(Auto_Sales_data___Copy[[#This Row],[DAYS_SINCE_LAST_ORDER]],Table2[R-Cutoff],1)</f>
        <v>5</v>
      </c>
      <c r="X109" s="2">
        <f>MATCH(Auto_Sales_data___Copy[[#This Row],[Total_Orders_Per_Customer]],Table2[F-Cutoff],1)</f>
        <v>4</v>
      </c>
      <c r="Y109" s="2">
        <f>MATCH(Auto_Sales_data___Copy[[#This Row],[Total_Sales_Per_Customer]],Table2[M-Cutoff],1)</f>
        <v>4</v>
      </c>
      <c r="Z109" s="2" t="str">
        <f>Auto_Sales_data___Copy[[#This Row],[R-Score(1-5)]]&amp;Auto_Sales_data___Copy[[#This Row],[F-Score(1-5)]]&amp;Auto_Sales_data___Copy[[#This Row],[M-Score(1-5)]]</f>
        <v>544</v>
      </c>
      <c r="AA109" s="2" t="str" cm="1">
        <f t="array" ref="AA1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9" s="2" t="str">
        <f>VLOOKUP(Auto_Sales_data___Copy[[#This Row],[Segment Name]],Table3[],2,FALSE)</f>
        <v>VIP Recognitioon &amp; Inclusivity</v>
      </c>
    </row>
    <row r="110" spans="1:28" x14ac:dyDescent="0.25">
      <c r="A110">
        <v>10229</v>
      </c>
      <c r="B110">
        <v>50</v>
      </c>
      <c r="C110">
        <v>128.53</v>
      </c>
      <c r="D110">
        <v>9</v>
      </c>
      <c r="E110">
        <v>6426.5</v>
      </c>
      <c r="F110" s="1">
        <v>43535</v>
      </c>
      <c r="G110" s="2" t="s">
        <v>19</v>
      </c>
      <c r="H110" s="2" t="s">
        <v>183</v>
      </c>
      <c r="I110">
        <v>147</v>
      </c>
      <c r="J110" s="2" t="s">
        <v>424</v>
      </c>
      <c r="K110" s="2" t="s">
        <v>284</v>
      </c>
      <c r="L110" s="2" t="s">
        <v>285</v>
      </c>
      <c r="M110" s="2" t="s">
        <v>286</v>
      </c>
      <c r="N110" s="2" t="s">
        <v>287</v>
      </c>
      <c r="O110" s="2" t="s">
        <v>106</v>
      </c>
      <c r="P110" s="2" t="s">
        <v>27</v>
      </c>
      <c r="Q110" s="2" t="s">
        <v>288</v>
      </c>
      <c r="R110" s="2" t="s">
        <v>289</v>
      </c>
      <c r="S110" s="2" t="s">
        <v>46</v>
      </c>
      <c r="T110">
        <v>582</v>
      </c>
      <c r="U110">
        <f>VLOOKUP(Auto_Sales_data___Copy[[#This Row],[CUSTOMER_NAME]],$AF$2:$AH$90,2,FALSE)</f>
        <v>180</v>
      </c>
      <c r="V110">
        <f>VLOOKUP(Auto_Sales_data___Copy[[#This Row],[CUSTOMER_NAME]],$AF$2:$AH$90,3,FALSE)</f>
        <v>654858.06000000017</v>
      </c>
      <c r="W110" s="2">
        <f>6-MATCH(Auto_Sales_data___Copy[[#This Row],[DAYS_SINCE_LAST_ORDER]],Table2[R-Cutoff],1)</f>
        <v>5</v>
      </c>
      <c r="X110" s="2">
        <f>MATCH(Auto_Sales_data___Copy[[#This Row],[Total_Orders_Per_Customer]],Table2[F-Cutoff],1)</f>
        <v>4</v>
      </c>
      <c r="Y110" s="2">
        <f>MATCH(Auto_Sales_data___Copy[[#This Row],[Total_Sales_Per_Customer]],Table2[M-Cutoff],1)</f>
        <v>4</v>
      </c>
      <c r="Z110" s="2" t="str">
        <f>Auto_Sales_data___Copy[[#This Row],[R-Score(1-5)]]&amp;Auto_Sales_data___Copy[[#This Row],[F-Score(1-5)]]&amp;Auto_Sales_data___Copy[[#This Row],[M-Score(1-5)]]</f>
        <v>544</v>
      </c>
      <c r="AA110" s="2" t="str" cm="1">
        <f t="array" ref="AA1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0" s="2" t="str">
        <f>VLOOKUP(Auto_Sales_data___Copy[[#This Row],[Segment Name]],Table3[],2,FALSE)</f>
        <v>VIP Recognitioon &amp; Inclusivity</v>
      </c>
    </row>
    <row r="111" spans="1:28" x14ac:dyDescent="0.25">
      <c r="A111">
        <v>10229</v>
      </c>
      <c r="B111">
        <v>25</v>
      </c>
      <c r="C111">
        <v>138.04</v>
      </c>
      <c r="D111">
        <v>13</v>
      </c>
      <c r="E111">
        <v>3451</v>
      </c>
      <c r="F111" s="1">
        <v>43535</v>
      </c>
      <c r="G111" s="2" t="s">
        <v>19</v>
      </c>
      <c r="H111" s="2" t="s">
        <v>537</v>
      </c>
      <c r="I111">
        <v>136</v>
      </c>
      <c r="J111" s="2" t="s">
        <v>538</v>
      </c>
      <c r="K111" s="2" t="s">
        <v>284</v>
      </c>
      <c r="L111" s="2" t="s">
        <v>285</v>
      </c>
      <c r="M111" s="2" t="s">
        <v>286</v>
      </c>
      <c r="N111" s="2" t="s">
        <v>287</v>
      </c>
      <c r="O111" s="2" t="s">
        <v>106</v>
      </c>
      <c r="P111" s="2" t="s">
        <v>27</v>
      </c>
      <c r="Q111" s="2" t="s">
        <v>288</v>
      </c>
      <c r="R111" s="2" t="s">
        <v>289</v>
      </c>
      <c r="S111" s="2" t="s">
        <v>46</v>
      </c>
      <c r="T111">
        <v>659</v>
      </c>
      <c r="U111">
        <f>VLOOKUP(Auto_Sales_data___Copy[[#This Row],[CUSTOMER_NAME]],$AF$2:$AH$90,2,FALSE)</f>
        <v>180</v>
      </c>
      <c r="V111">
        <f>VLOOKUP(Auto_Sales_data___Copy[[#This Row],[CUSTOMER_NAME]],$AF$2:$AH$90,3,FALSE)</f>
        <v>654858.06000000017</v>
      </c>
      <c r="W111" s="2">
        <f>6-MATCH(Auto_Sales_data___Copy[[#This Row],[DAYS_SINCE_LAST_ORDER]],Table2[R-Cutoff],1)</f>
        <v>5</v>
      </c>
      <c r="X111" s="2">
        <f>MATCH(Auto_Sales_data___Copy[[#This Row],[Total_Orders_Per_Customer]],Table2[F-Cutoff],1)</f>
        <v>4</v>
      </c>
      <c r="Y111" s="2">
        <f>MATCH(Auto_Sales_data___Copy[[#This Row],[Total_Sales_Per_Customer]],Table2[M-Cutoff],1)</f>
        <v>4</v>
      </c>
      <c r="Z111" s="2" t="str">
        <f>Auto_Sales_data___Copy[[#This Row],[R-Score(1-5)]]&amp;Auto_Sales_data___Copy[[#This Row],[F-Score(1-5)]]&amp;Auto_Sales_data___Copy[[#This Row],[M-Score(1-5)]]</f>
        <v>544</v>
      </c>
      <c r="AA111" s="2" t="str" cm="1">
        <f t="array" ref="AA1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1" s="2" t="str">
        <f>VLOOKUP(Auto_Sales_data___Copy[[#This Row],[Segment Name]],Table3[],2,FALSE)</f>
        <v>VIP Recognitioon &amp; Inclusivity</v>
      </c>
    </row>
    <row r="112" spans="1:28" x14ac:dyDescent="0.25">
      <c r="A112">
        <v>10229</v>
      </c>
      <c r="B112">
        <v>36</v>
      </c>
      <c r="C112">
        <v>125.61</v>
      </c>
      <c r="D112">
        <v>1</v>
      </c>
      <c r="E112">
        <v>4521.96</v>
      </c>
      <c r="F112" s="1">
        <v>43535</v>
      </c>
      <c r="G112" s="2" t="s">
        <v>19</v>
      </c>
      <c r="H112" s="2" t="s">
        <v>537</v>
      </c>
      <c r="I112">
        <v>118</v>
      </c>
      <c r="J112" s="2" t="s">
        <v>554</v>
      </c>
      <c r="K112" s="2" t="s">
        <v>284</v>
      </c>
      <c r="L112" s="2" t="s">
        <v>285</v>
      </c>
      <c r="M112" s="2" t="s">
        <v>286</v>
      </c>
      <c r="N112" s="2" t="s">
        <v>287</v>
      </c>
      <c r="O112" s="2" t="s">
        <v>106</v>
      </c>
      <c r="P112" s="2" t="s">
        <v>27</v>
      </c>
      <c r="Q112" s="2" t="s">
        <v>288</v>
      </c>
      <c r="R112" s="2" t="s">
        <v>289</v>
      </c>
      <c r="S112" s="2" t="s">
        <v>46</v>
      </c>
      <c r="T112">
        <v>808</v>
      </c>
      <c r="U112">
        <f>VLOOKUP(Auto_Sales_data___Copy[[#This Row],[CUSTOMER_NAME]],$AF$2:$AH$90,2,FALSE)</f>
        <v>180</v>
      </c>
      <c r="V112">
        <f>VLOOKUP(Auto_Sales_data___Copy[[#This Row],[CUSTOMER_NAME]],$AF$2:$AH$90,3,FALSE)</f>
        <v>654858.06000000017</v>
      </c>
      <c r="W112" s="2">
        <f>6-MATCH(Auto_Sales_data___Copy[[#This Row],[DAYS_SINCE_LAST_ORDER]],Table2[R-Cutoff],1)</f>
        <v>5</v>
      </c>
      <c r="X112" s="2">
        <f>MATCH(Auto_Sales_data___Copy[[#This Row],[Total_Orders_Per_Customer]],Table2[F-Cutoff],1)</f>
        <v>4</v>
      </c>
      <c r="Y112" s="2">
        <f>MATCH(Auto_Sales_data___Copy[[#This Row],[Total_Sales_Per_Customer]],Table2[M-Cutoff],1)</f>
        <v>4</v>
      </c>
      <c r="Z112" s="2" t="str">
        <f>Auto_Sales_data___Copy[[#This Row],[R-Score(1-5)]]&amp;Auto_Sales_data___Copy[[#This Row],[F-Score(1-5)]]&amp;Auto_Sales_data___Copy[[#This Row],[M-Score(1-5)]]</f>
        <v>544</v>
      </c>
      <c r="AA112" s="2" t="str" cm="1">
        <f t="array" ref="AA1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2" s="2" t="str">
        <f>VLOOKUP(Auto_Sales_data___Copy[[#This Row],[Segment Name]],Table3[],2,FALSE)</f>
        <v>VIP Recognitioon &amp; Inclusivity</v>
      </c>
    </row>
    <row r="113" spans="1:28" x14ac:dyDescent="0.25">
      <c r="A113">
        <v>10238</v>
      </c>
      <c r="B113">
        <v>28</v>
      </c>
      <c r="C113">
        <v>206.24</v>
      </c>
      <c r="D113">
        <v>3</v>
      </c>
      <c r="E113">
        <v>5774.72</v>
      </c>
      <c r="F113" s="1">
        <v>43564</v>
      </c>
      <c r="G113" s="2" t="s">
        <v>19</v>
      </c>
      <c r="H113" s="2" t="s">
        <v>183</v>
      </c>
      <c r="I113">
        <v>194</v>
      </c>
      <c r="J113" s="2" t="s">
        <v>449</v>
      </c>
      <c r="K113" s="2" t="s">
        <v>339</v>
      </c>
      <c r="L113" s="2" t="s">
        <v>340</v>
      </c>
      <c r="M113" s="2" t="s">
        <v>341</v>
      </c>
      <c r="N113" s="2" t="s">
        <v>342</v>
      </c>
      <c r="O113" s="2" t="s">
        <v>343</v>
      </c>
      <c r="P113" s="2" t="s">
        <v>344</v>
      </c>
      <c r="Q113" s="2" t="s">
        <v>345</v>
      </c>
      <c r="R113" s="2" t="s">
        <v>346</v>
      </c>
      <c r="S113" s="2" t="s">
        <v>46</v>
      </c>
      <c r="T113">
        <v>579</v>
      </c>
      <c r="U113">
        <f>VLOOKUP(Auto_Sales_data___Copy[[#This Row],[CUSTOMER_NAME]],$AF$2:$AH$90,2,FALSE)</f>
        <v>36</v>
      </c>
      <c r="V113">
        <f>VLOOKUP(Auto_Sales_data___Copy[[#This Row],[CUSTOMER_NAME]],$AF$2:$AH$90,3,FALSE)</f>
        <v>145041.60000000001</v>
      </c>
      <c r="W113" s="2">
        <f>6-MATCH(Auto_Sales_data___Copy[[#This Row],[DAYS_SINCE_LAST_ORDER]],Table2[R-Cutoff],1)</f>
        <v>5</v>
      </c>
      <c r="X113" s="2">
        <f>MATCH(Auto_Sales_data___Copy[[#This Row],[Total_Orders_Per_Customer]],Table2[F-Cutoff],1)</f>
        <v>4</v>
      </c>
      <c r="Y113" s="2">
        <f>MATCH(Auto_Sales_data___Copy[[#This Row],[Total_Sales_Per_Customer]],Table2[M-Cutoff],1)</f>
        <v>4</v>
      </c>
      <c r="Z113" s="2" t="str">
        <f>Auto_Sales_data___Copy[[#This Row],[R-Score(1-5)]]&amp;Auto_Sales_data___Copy[[#This Row],[F-Score(1-5)]]&amp;Auto_Sales_data___Copy[[#This Row],[M-Score(1-5)]]</f>
        <v>544</v>
      </c>
      <c r="AA113" s="2" t="str" cm="1">
        <f t="array" ref="AA1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3" s="2" t="str">
        <f>VLOOKUP(Auto_Sales_data___Copy[[#This Row],[Segment Name]],Table3[],2,FALSE)</f>
        <v>VIP Recognitioon &amp; Inclusivity</v>
      </c>
    </row>
    <row r="114" spans="1:28" x14ac:dyDescent="0.25">
      <c r="A114">
        <v>10238</v>
      </c>
      <c r="B114">
        <v>29</v>
      </c>
      <c r="C114">
        <v>109.22</v>
      </c>
      <c r="D114">
        <v>1</v>
      </c>
      <c r="E114">
        <v>3167.38</v>
      </c>
      <c r="F114" s="1">
        <v>43564</v>
      </c>
      <c r="G114" s="2" t="s">
        <v>19</v>
      </c>
      <c r="H114" s="2" t="s">
        <v>183</v>
      </c>
      <c r="I114">
        <v>117</v>
      </c>
      <c r="J114" s="2" t="s">
        <v>546</v>
      </c>
      <c r="K114" s="2" t="s">
        <v>339</v>
      </c>
      <c r="L114" s="2" t="s">
        <v>340</v>
      </c>
      <c r="M114" s="2" t="s">
        <v>341</v>
      </c>
      <c r="N114" s="2" t="s">
        <v>342</v>
      </c>
      <c r="O114" s="2" t="s">
        <v>343</v>
      </c>
      <c r="P114" s="2" t="s">
        <v>344</v>
      </c>
      <c r="Q114" s="2" t="s">
        <v>345</v>
      </c>
      <c r="R114" s="2" t="s">
        <v>346</v>
      </c>
      <c r="S114" s="2" t="s">
        <v>46</v>
      </c>
      <c r="T114">
        <v>704</v>
      </c>
      <c r="U114">
        <f>VLOOKUP(Auto_Sales_data___Copy[[#This Row],[CUSTOMER_NAME]],$AF$2:$AH$90,2,FALSE)</f>
        <v>36</v>
      </c>
      <c r="V114">
        <f>VLOOKUP(Auto_Sales_data___Copy[[#This Row],[CUSTOMER_NAME]],$AF$2:$AH$90,3,FALSE)</f>
        <v>145041.60000000001</v>
      </c>
      <c r="W114" s="2">
        <f>6-MATCH(Auto_Sales_data___Copy[[#This Row],[DAYS_SINCE_LAST_ORDER]],Table2[R-Cutoff],1)</f>
        <v>5</v>
      </c>
      <c r="X114" s="2">
        <f>MATCH(Auto_Sales_data___Copy[[#This Row],[Total_Orders_Per_Customer]],Table2[F-Cutoff],1)</f>
        <v>4</v>
      </c>
      <c r="Y114" s="2">
        <f>MATCH(Auto_Sales_data___Copy[[#This Row],[Total_Sales_Per_Customer]],Table2[M-Cutoff],1)</f>
        <v>4</v>
      </c>
      <c r="Z114" s="2" t="str">
        <f>Auto_Sales_data___Copy[[#This Row],[R-Score(1-5)]]&amp;Auto_Sales_data___Copy[[#This Row],[F-Score(1-5)]]&amp;Auto_Sales_data___Copy[[#This Row],[M-Score(1-5)]]</f>
        <v>544</v>
      </c>
      <c r="AA114" s="2" t="str" cm="1">
        <f t="array" ref="AA1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4" s="2" t="str">
        <f>VLOOKUP(Auto_Sales_data___Copy[[#This Row],[Segment Name]],Table3[],2,FALSE)</f>
        <v>VIP Recognitioon &amp; Inclusivity</v>
      </c>
    </row>
    <row r="115" spans="1:28" x14ac:dyDescent="0.25">
      <c r="A115">
        <v>10238</v>
      </c>
      <c r="B115">
        <v>20</v>
      </c>
      <c r="C115">
        <v>74.209999999999994</v>
      </c>
      <c r="D115">
        <v>4</v>
      </c>
      <c r="E115">
        <v>1484.2</v>
      </c>
      <c r="F115" s="1">
        <v>43564</v>
      </c>
      <c r="G115" s="2" t="s">
        <v>19</v>
      </c>
      <c r="H115" s="2" t="s">
        <v>183</v>
      </c>
      <c r="I115">
        <v>79</v>
      </c>
      <c r="J115" s="2" t="s">
        <v>553</v>
      </c>
      <c r="K115" s="2" t="s">
        <v>339</v>
      </c>
      <c r="L115" s="2" t="s">
        <v>340</v>
      </c>
      <c r="M115" s="2" t="s">
        <v>341</v>
      </c>
      <c r="N115" s="2" t="s">
        <v>342</v>
      </c>
      <c r="O115" s="2" t="s">
        <v>343</v>
      </c>
      <c r="P115" s="2" t="s">
        <v>344</v>
      </c>
      <c r="Q115" s="2" t="s">
        <v>345</v>
      </c>
      <c r="R115" s="2" t="s">
        <v>346</v>
      </c>
      <c r="S115" s="2" t="s">
        <v>30</v>
      </c>
      <c r="T115">
        <v>754</v>
      </c>
      <c r="U115">
        <f>VLOOKUP(Auto_Sales_data___Copy[[#This Row],[CUSTOMER_NAME]],$AF$2:$AH$90,2,FALSE)</f>
        <v>36</v>
      </c>
      <c r="V115">
        <f>VLOOKUP(Auto_Sales_data___Copy[[#This Row],[CUSTOMER_NAME]],$AF$2:$AH$90,3,FALSE)</f>
        <v>145041.60000000001</v>
      </c>
      <c r="W115" s="2">
        <f>6-MATCH(Auto_Sales_data___Copy[[#This Row],[DAYS_SINCE_LAST_ORDER]],Table2[R-Cutoff],1)</f>
        <v>5</v>
      </c>
      <c r="X115" s="2">
        <f>MATCH(Auto_Sales_data___Copy[[#This Row],[Total_Orders_Per_Customer]],Table2[F-Cutoff],1)</f>
        <v>4</v>
      </c>
      <c r="Y115" s="2">
        <f>MATCH(Auto_Sales_data___Copy[[#This Row],[Total_Sales_Per_Customer]],Table2[M-Cutoff],1)</f>
        <v>4</v>
      </c>
      <c r="Z115" s="2" t="str">
        <f>Auto_Sales_data___Copy[[#This Row],[R-Score(1-5)]]&amp;Auto_Sales_data___Copy[[#This Row],[F-Score(1-5)]]&amp;Auto_Sales_data___Copy[[#This Row],[M-Score(1-5)]]</f>
        <v>544</v>
      </c>
      <c r="AA115" s="2" t="str" cm="1">
        <f t="array" ref="AA1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5" s="2" t="str">
        <f>VLOOKUP(Auto_Sales_data___Copy[[#This Row],[Segment Name]],Table3[],2,FALSE)</f>
        <v>VIP Recognitioon &amp; Inclusivity</v>
      </c>
    </row>
    <row r="116" spans="1:28" x14ac:dyDescent="0.25">
      <c r="A116">
        <v>10239</v>
      </c>
      <c r="B116">
        <v>21</v>
      </c>
      <c r="C116">
        <v>93.28</v>
      </c>
      <c r="D116">
        <v>5</v>
      </c>
      <c r="E116">
        <v>1958.88</v>
      </c>
      <c r="F116" s="1">
        <v>43567</v>
      </c>
      <c r="G116" s="2" t="s">
        <v>19</v>
      </c>
      <c r="H116" s="2" t="s">
        <v>183</v>
      </c>
      <c r="I116">
        <v>115</v>
      </c>
      <c r="J116" s="2" t="s">
        <v>567</v>
      </c>
      <c r="K116" s="2" t="s">
        <v>411</v>
      </c>
      <c r="L116" s="2" t="s">
        <v>412</v>
      </c>
      <c r="M116" s="2" t="s">
        <v>413</v>
      </c>
      <c r="N116" s="2" t="s">
        <v>414</v>
      </c>
      <c r="O116" s="2" t="s">
        <v>415</v>
      </c>
      <c r="P116" s="2" t="s">
        <v>127</v>
      </c>
      <c r="Q116" s="2" t="s">
        <v>416</v>
      </c>
      <c r="R116" s="2" t="s">
        <v>417</v>
      </c>
      <c r="S116" s="2" t="s">
        <v>30</v>
      </c>
      <c r="T116">
        <v>802</v>
      </c>
      <c r="U116">
        <f>VLOOKUP(Auto_Sales_data___Copy[[#This Row],[CUSTOMER_NAME]],$AF$2:$AH$90,2,FALSE)</f>
        <v>32</v>
      </c>
      <c r="V116">
        <f>VLOOKUP(Auto_Sales_data___Copy[[#This Row],[CUSTOMER_NAME]],$AF$2:$AH$90,3,FALSE)</f>
        <v>104370.37999999999</v>
      </c>
      <c r="W116" s="2">
        <f>6-MATCH(Auto_Sales_data___Copy[[#This Row],[DAYS_SINCE_LAST_ORDER]],Table2[R-Cutoff],1)</f>
        <v>5</v>
      </c>
      <c r="X116" s="2">
        <f>MATCH(Auto_Sales_data___Copy[[#This Row],[Total_Orders_Per_Customer]],Table2[F-Cutoff],1)</f>
        <v>4</v>
      </c>
      <c r="Y116" s="2">
        <f>MATCH(Auto_Sales_data___Copy[[#This Row],[Total_Sales_Per_Customer]],Table2[M-Cutoff],1)</f>
        <v>4</v>
      </c>
      <c r="Z116" s="2" t="str">
        <f>Auto_Sales_data___Copy[[#This Row],[R-Score(1-5)]]&amp;Auto_Sales_data___Copy[[#This Row],[F-Score(1-5)]]&amp;Auto_Sales_data___Copy[[#This Row],[M-Score(1-5)]]</f>
        <v>544</v>
      </c>
      <c r="AA116" s="2" t="str" cm="1">
        <f t="array" ref="AA1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6" s="2" t="str">
        <f>VLOOKUP(Auto_Sales_data___Copy[[#This Row],[Segment Name]],Table3[],2,FALSE)</f>
        <v>VIP Recognitioon &amp; Inclusivity</v>
      </c>
    </row>
    <row r="117" spans="1:28" x14ac:dyDescent="0.25">
      <c r="A117">
        <v>10247</v>
      </c>
      <c r="B117">
        <v>44</v>
      </c>
      <c r="C117">
        <v>241.05</v>
      </c>
      <c r="D117">
        <v>2</v>
      </c>
      <c r="E117">
        <v>10606.2</v>
      </c>
      <c r="F117" s="1">
        <v>43590</v>
      </c>
      <c r="G117" s="2" t="s">
        <v>19</v>
      </c>
      <c r="H117" s="2" t="s">
        <v>183</v>
      </c>
      <c r="I117">
        <v>207</v>
      </c>
      <c r="J117" s="2" t="s">
        <v>505</v>
      </c>
      <c r="K117" s="2" t="s">
        <v>498</v>
      </c>
      <c r="L117" s="2" t="s">
        <v>499</v>
      </c>
      <c r="M117" s="2" t="s">
        <v>500</v>
      </c>
      <c r="N117" s="2" t="s">
        <v>501</v>
      </c>
      <c r="O117" s="2" t="s">
        <v>502</v>
      </c>
      <c r="P117" s="2" t="s">
        <v>127</v>
      </c>
      <c r="Q117" s="2" t="s">
        <v>503</v>
      </c>
      <c r="R117" s="2" t="s">
        <v>504</v>
      </c>
      <c r="S117" s="2" t="s">
        <v>151</v>
      </c>
      <c r="T117">
        <v>579</v>
      </c>
      <c r="U117">
        <f>VLOOKUP(Auto_Sales_data___Copy[[#This Row],[CUSTOMER_NAME]],$AF$2:$AH$90,2,FALSE)</f>
        <v>30</v>
      </c>
      <c r="V117">
        <f>VLOOKUP(Auto_Sales_data___Copy[[#This Row],[CUSTOMER_NAME]],$AF$2:$AH$90,3,FALSE)</f>
        <v>113961.14999999997</v>
      </c>
      <c r="W117" s="2">
        <f>6-MATCH(Auto_Sales_data___Copy[[#This Row],[DAYS_SINCE_LAST_ORDER]],Table2[R-Cutoff],1)</f>
        <v>5</v>
      </c>
      <c r="X117" s="2">
        <f>MATCH(Auto_Sales_data___Copy[[#This Row],[Total_Orders_Per_Customer]],Table2[F-Cutoff],1)</f>
        <v>4</v>
      </c>
      <c r="Y117" s="2">
        <f>MATCH(Auto_Sales_data___Copy[[#This Row],[Total_Sales_Per_Customer]],Table2[M-Cutoff],1)</f>
        <v>4</v>
      </c>
      <c r="Z117" s="2" t="str">
        <f>Auto_Sales_data___Copy[[#This Row],[R-Score(1-5)]]&amp;Auto_Sales_data___Copy[[#This Row],[F-Score(1-5)]]&amp;Auto_Sales_data___Copy[[#This Row],[M-Score(1-5)]]</f>
        <v>544</v>
      </c>
      <c r="AA117" s="2" t="str" cm="1">
        <f t="array" ref="AA1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7" s="2" t="str">
        <f>VLOOKUP(Auto_Sales_data___Copy[[#This Row],[Segment Name]],Table3[],2,FALSE)</f>
        <v>VIP Recognitioon &amp; Inclusivity</v>
      </c>
    </row>
    <row r="118" spans="1:28" x14ac:dyDescent="0.25">
      <c r="A118">
        <v>10247</v>
      </c>
      <c r="B118">
        <v>25</v>
      </c>
      <c r="C118">
        <v>175.25</v>
      </c>
      <c r="D118">
        <v>3</v>
      </c>
      <c r="E118">
        <v>4381.25</v>
      </c>
      <c r="F118" s="1">
        <v>43590</v>
      </c>
      <c r="G118" s="2" t="s">
        <v>19</v>
      </c>
      <c r="H118" s="2" t="s">
        <v>183</v>
      </c>
      <c r="I118">
        <v>151</v>
      </c>
      <c r="J118" s="2" t="s">
        <v>545</v>
      </c>
      <c r="K118" s="2" t="s">
        <v>498</v>
      </c>
      <c r="L118" s="2" t="s">
        <v>499</v>
      </c>
      <c r="M118" s="2" t="s">
        <v>500</v>
      </c>
      <c r="N118" s="2" t="s">
        <v>501</v>
      </c>
      <c r="O118" s="2" t="s">
        <v>502</v>
      </c>
      <c r="P118" s="2" t="s">
        <v>127</v>
      </c>
      <c r="Q118" s="2" t="s">
        <v>503</v>
      </c>
      <c r="R118" s="2" t="s">
        <v>504</v>
      </c>
      <c r="S118" s="2" t="s">
        <v>46</v>
      </c>
      <c r="T118">
        <v>655</v>
      </c>
      <c r="U118">
        <f>VLOOKUP(Auto_Sales_data___Copy[[#This Row],[CUSTOMER_NAME]],$AF$2:$AH$90,2,FALSE)</f>
        <v>30</v>
      </c>
      <c r="V118">
        <f>VLOOKUP(Auto_Sales_data___Copy[[#This Row],[CUSTOMER_NAME]],$AF$2:$AH$90,3,FALSE)</f>
        <v>113961.14999999997</v>
      </c>
      <c r="W118" s="2">
        <f>6-MATCH(Auto_Sales_data___Copy[[#This Row],[DAYS_SINCE_LAST_ORDER]],Table2[R-Cutoff],1)</f>
        <v>5</v>
      </c>
      <c r="X118" s="2">
        <f>MATCH(Auto_Sales_data___Copy[[#This Row],[Total_Orders_Per_Customer]],Table2[F-Cutoff],1)</f>
        <v>4</v>
      </c>
      <c r="Y118" s="2">
        <f>MATCH(Auto_Sales_data___Copy[[#This Row],[Total_Sales_Per_Customer]],Table2[M-Cutoff],1)</f>
        <v>4</v>
      </c>
      <c r="Z118" s="2" t="str">
        <f>Auto_Sales_data___Copy[[#This Row],[R-Score(1-5)]]&amp;Auto_Sales_data___Copy[[#This Row],[F-Score(1-5)]]&amp;Auto_Sales_data___Copy[[#This Row],[M-Score(1-5)]]</f>
        <v>544</v>
      </c>
      <c r="AA118" s="2" t="str" cm="1">
        <f t="array" ref="AA1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8" s="2" t="str">
        <f>VLOOKUP(Auto_Sales_data___Copy[[#This Row],[Segment Name]],Table3[],2,FALSE)</f>
        <v>VIP Recognitioon &amp; Inclusivity</v>
      </c>
    </row>
    <row r="119" spans="1:28" x14ac:dyDescent="0.25">
      <c r="A119">
        <v>10247</v>
      </c>
      <c r="B119">
        <v>27</v>
      </c>
      <c r="C119">
        <v>153.99</v>
      </c>
      <c r="D119">
        <v>1</v>
      </c>
      <c r="E119">
        <v>4157.7299999999996</v>
      </c>
      <c r="F119" s="1">
        <v>43590</v>
      </c>
      <c r="G119" s="2" t="s">
        <v>19</v>
      </c>
      <c r="H119" s="2" t="s">
        <v>183</v>
      </c>
      <c r="I119">
        <v>173</v>
      </c>
      <c r="J119" s="2" t="s">
        <v>552</v>
      </c>
      <c r="K119" s="2" t="s">
        <v>498</v>
      </c>
      <c r="L119" s="2" t="s">
        <v>499</v>
      </c>
      <c r="M119" s="2" t="s">
        <v>500</v>
      </c>
      <c r="N119" s="2" t="s">
        <v>501</v>
      </c>
      <c r="O119" s="2" t="s">
        <v>502</v>
      </c>
      <c r="P119" s="2" t="s">
        <v>127</v>
      </c>
      <c r="Q119" s="2" t="s">
        <v>503</v>
      </c>
      <c r="R119" s="2" t="s">
        <v>504</v>
      </c>
      <c r="S119" s="2" t="s">
        <v>46</v>
      </c>
      <c r="T119">
        <v>704</v>
      </c>
      <c r="U119">
        <f>VLOOKUP(Auto_Sales_data___Copy[[#This Row],[CUSTOMER_NAME]],$AF$2:$AH$90,2,FALSE)</f>
        <v>30</v>
      </c>
      <c r="V119">
        <f>VLOOKUP(Auto_Sales_data___Copy[[#This Row],[CUSTOMER_NAME]],$AF$2:$AH$90,3,FALSE)</f>
        <v>113961.14999999997</v>
      </c>
      <c r="W119" s="2">
        <f>6-MATCH(Auto_Sales_data___Copy[[#This Row],[DAYS_SINCE_LAST_ORDER]],Table2[R-Cutoff],1)</f>
        <v>5</v>
      </c>
      <c r="X119" s="2">
        <f>MATCH(Auto_Sales_data___Copy[[#This Row],[Total_Orders_Per_Customer]],Table2[F-Cutoff],1)</f>
        <v>4</v>
      </c>
      <c r="Y119" s="2">
        <f>MATCH(Auto_Sales_data___Copy[[#This Row],[Total_Sales_Per_Customer]],Table2[M-Cutoff],1)</f>
        <v>4</v>
      </c>
      <c r="Z119" s="2" t="str">
        <f>Auto_Sales_data___Copy[[#This Row],[R-Score(1-5)]]&amp;Auto_Sales_data___Copy[[#This Row],[F-Score(1-5)]]&amp;Auto_Sales_data___Copy[[#This Row],[M-Score(1-5)]]</f>
        <v>544</v>
      </c>
      <c r="AA119" s="2" t="str" cm="1">
        <f t="array" ref="AA1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9" s="2" t="str">
        <f>VLOOKUP(Auto_Sales_data___Copy[[#This Row],[Segment Name]],Table3[],2,FALSE)</f>
        <v>VIP Recognitioon &amp; Inclusivity</v>
      </c>
    </row>
    <row r="120" spans="1:28" x14ac:dyDescent="0.25">
      <c r="A120">
        <v>10248</v>
      </c>
      <c r="B120">
        <v>20</v>
      </c>
      <c r="C120">
        <v>145.52000000000001</v>
      </c>
      <c r="D120">
        <v>3</v>
      </c>
      <c r="E120">
        <v>2910.4</v>
      </c>
      <c r="F120" s="1">
        <v>43592</v>
      </c>
      <c r="G120" s="2" t="s">
        <v>358</v>
      </c>
      <c r="H120" s="2" t="s">
        <v>183</v>
      </c>
      <c r="I120">
        <v>136</v>
      </c>
      <c r="J120" s="2" t="s">
        <v>338</v>
      </c>
      <c r="K120" s="2" t="s">
        <v>22</v>
      </c>
      <c r="L120" s="2" t="s">
        <v>23</v>
      </c>
      <c r="M120" s="2" t="s">
        <v>24</v>
      </c>
      <c r="N120" s="2" t="s">
        <v>25</v>
      </c>
      <c r="O120" s="2" t="s">
        <v>26</v>
      </c>
      <c r="P120" s="2" t="s">
        <v>27</v>
      </c>
      <c r="Q120" s="2" t="s">
        <v>28</v>
      </c>
      <c r="R120" s="2" t="s">
        <v>29</v>
      </c>
      <c r="S120" s="2" t="s">
        <v>30</v>
      </c>
      <c r="T120">
        <v>499</v>
      </c>
      <c r="U120">
        <f>VLOOKUP(Auto_Sales_data___Copy[[#This Row],[CUSTOMER_NAME]],$AF$2:$AH$90,2,FALSE)</f>
        <v>49</v>
      </c>
      <c r="V120">
        <f>VLOOKUP(Auto_Sales_data___Copy[[#This Row],[CUSTOMER_NAME]],$AF$2:$AH$90,3,FALSE)</f>
        <v>164069.43999999997</v>
      </c>
      <c r="W120" s="2">
        <f>6-MATCH(Auto_Sales_data___Copy[[#This Row],[DAYS_SINCE_LAST_ORDER]],Table2[R-Cutoff],1)</f>
        <v>5</v>
      </c>
      <c r="X120" s="2">
        <f>MATCH(Auto_Sales_data___Copy[[#This Row],[Total_Orders_Per_Customer]],Table2[F-Cutoff],1)</f>
        <v>4</v>
      </c>
      <c r="Y120" s="2">
        <f>MATCH(Auto_Sales_data___Copy[[#This Row],[Total_Sales_Per_Customer]],Table2[M-Cutoff],1)</f>
        <v>4</v>
      </c>
      <c r="Z120" s="2" t="str">
        <f>Auto_Sales_data___Copy[[#This Row],[R-Score(1-5)]]&amp;Auto_Sales_data___Copy[[#This Row],[F-Score(1-5)]]&amp;Auto_Sales_data___Copy[[#This Row],[M-Score(1-5)]]</f>
        <v>544</v>
      </c>
      <c r="AA120" s="2" t="str" cm="1">
        <f t="array" ref="AA1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0" s="2" t="str">
        <f>VLOOKUP(Auto_Sales_data___Copy[[#This Row],[Segment Name]],Table3[],2,FALSE)</f>
        <v>VIP Recognitioon &amp; Inclusivity</v>
      </c>
    </row>
    <row r="121" spans="1:28" x14ac:dyDescent="0.25">
      <c r="A121">
        <v>10250</v>
      </c>
      <c r="B121">
        <v>45</v>
      </c>
      <c r="C121">
        <v>181.34</v>
      </c>
      <c r="D121">
        <v>14</v>
      </c>
      <c r="E121">
        <v>8160.3</v>
      </c>
      <c r="F121" s="1">
        <v>43596</v>
      </c>
      <c r="G121" s="2" t="s">
        <v>19</v>
      </c>
      <c r="H121" s="2" t="s">
        <v>607</v>
      </c>
      <c r="I121">
        <v>157</v>
      </c>
      <c r="J121" s="2" t="s">
        <v>608</v>
      </c>
      <c r="K121" s="2" t="s">
        <v>418</v>
      </c>
      <c r="L121" s="2" t="s">
        <v>419</v>
      </c>
      <c r="M121" s="2" t="s">
        <v>420</v>
      </c>
      <c r="N121" s="2" t="s">
        <v>421</v>
      </c>
      <c r="O121" s="2" t="s">
        <v>58</v>
      </c>
      <c r="P121" s="2" t="s">
        <v>27</v>
      </c>
      <c r="Q121" s="2" t="s">
        <v>93</v>
      </c>
      <c r="R121" s="2" t="s">
        <v>422</v>
      </c>
      <c r="S121" s="2" t="s">
        <v>151</v>
      </c>
      <c r="T121">
        <v>924</v>
      </c>
      <c r="U121">
        <f>VLOOKUP(Auto_Sales_data___Copy[[#This Row],[CUSTOMER_NAME]],$AF$2:$AH$90,2,FALSE)</f>
        <v>40</v>
      </c>
      <c r="V121">
        <f>VLOOKUP(Auto_Sales_data___Copy[[#This Row],[CUSTOMER_NAME]],$AF$2:$AH$90,3,FALSE)</f>
        <v>160010.27000000005</v>
      </c>
      <c r="W121" s="2">
        <f>6-MATCH(Auto_Sales_data___Copy[[#This Row],[DAYS_SINCE_LAST_ORDER]],Table2[R-Cutoff],1)</f>
        <v>5</v>
      </c>
      <c r="X121" s="2">
        <f>MATCH(Auto_Sales_data___Copy[[#This Row],[Total_Orders_Per_Customer]],Table2[F-Cutoff],1)</f>
        <v>4</v>
      </c>
      <c r="Y121" s="2">
        <f>MATCH(Auto_Sales_data___Copy[[#This Row],[Total_Sales_Per_Customer]],Table2[M-Cutoff],1)</f>
        <v>4</v>
      </c>
      <c r="Z121" s="2" t="str">
        <f>Auto_Sales_data___Copy[[#This Row],[R-Score(1-5)]]&amp;Auto_Sales_data___Copy[[#This Row],[F-Score(1-5)]]&amp;Auto_Sales_data___Copy[[#This Row],[M-Score(1-5)]]</f>
        <v>544</v>
      </c>
      <c r="AA121" s="2" t="str" cm="1">
        <f t="array" ref="AA1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1" s="2" t="str">
        <f>VLOOKUP(Auto_Sales_data___Copy[[#This Row],[Segment Name]],Table3[],2,FALSE)</f>
        <v>VIP Recognitioon &amp; Inclusivity</v>
      </c>
    </row>
    <row r="122" spans="1:28" x14ac:dyDescent="0.25">
      <c r="A122">
        <v>10253</v>
      </c>
      <c r="B122">
        <v>24</v>
      </c>
      <c r="C122">
        <v>163.44</v>
      </c>
      <c r="D122">
        <v>13</v>
      </c>
      <c r="E122">
        <v>3922.56</v>
      </c>
      <c r="F122" s="1">
        <v>43617</v>
      </c>
      <c r="G122" s="2" t="s">
        <v>358</v>
      </c>
      <c r="H122" s="2" t="s">
        <v>183</v>
      </c>
      <c r="I122">
        <v>194</v>
      </c>
      <c r="J122" s="2" t="s">
        <v>449</v>
      </c>
      <c r="K122" s="2" t="s">
        <v>166</v>
      </c>
      <c r="L122" s="2" t="s">
        <v>167</v>
      </c>
      <c r="M122" s="2" t="s">
        <v>168</v>
      </c>
      <c r="N122" s="2" t="s">
        <v>169</v>
      </c>
      <c r="O122" s="2" t="s">
        <v>170</v>
      </c>
      <c r="P122" s="2" t="s">
        <v>171</v>
      </c>
      <c r="Q122" s="2" t="s">
        <v>172</v>
      </c>
      <c r="R122" s="2" t="s">
        <v>173</v>
      </c>
      <c r="S122" s="2" t="s">
        <v>46</v>
      </c>
      <c r="T122">
        <v>527</v>
      </c>
      <c r="U122">
        <f>VLOOKUP(Auto_Sales_data___Copy[[#This Row],[CUSTOMER_NAME]],$AF$2:$AH$90,2,FALSE)</f>
        <v>29</v>
      </c>
      <c r="V122">
        <f>VLOOKUP(Auto_Sales_data___Copy[[#This Row],[CUSTOMER_NAME]],$AF$2:$AH$90,3,FALSE)</f>
        <v>118008.26999999999</v>
      </c>
      <c r="W122" s="2">
        <f>6-MATCH(Auto_Sales_data___Copy[[#This Row],[DAYS_SINCE_LAST_ORDER]],Table2[R-Cutoff],1)</f>
        <v>5</v>
      </c>
      <c r="X122" s="2">
        <f>MATCH(Auto_Sales_data___Copy[[#This Row],[Total_Orders_Per_Customer]],Table2[F-Cutoff],1)</f>
        <v>4</v>
      </c>
      <c r="Y122" s="2">
        <f>MATCH(Auto_Sales_data___Copy[[#This Row],[Total_Sales_Per_Customer]],Table2[M-Cutoff],1)</f>
        <v>4</v>
      </c>
      <c r="Z122" s="2" t="str">
        <f>Auto_Sales_data___Copy[[#This Row],[R-Score(1-5)]]&amp;Auto_Sales_data___Copy[[#This Row],[F-Score(1-5)]]&amp;Auto_Sales_data___Copy[[#This Row],[M-Score(1-5)]]</f>
        <v>544</v>
      </c>
      <c r="AA122" s="2" t="str" cm="1">
        <f t="array" ref="AA1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2" s="2" t="str">
        <f>VLOOKUP(Auto_Sales_data___Copy[[#This Row],[Segment Name]],Table3[],2,FALSE)</f>
        <v>VIP Recognitioon &amp; Inclusivity</v>
      </c>
    </row>
    <row r="123" spans="1:28" x14ac:dyDescent="0.25">
      <c r="A123">
        <v>10253</v>
      </c>
      <c r="B123">
        <v>22</v>
      </c>
      <c r="C123">
        <v>109.22</v>
      </c>
      <c r="D123">
        <v>11</v>
      </c>
      <c r="E123">
        <v>2402.84</v>
      </c>
      <c r="F123" s="1">
        <v>43617</v>
      </c>
      <c r="G123" s="2" t="s">
        <v>358</v>
      </c>
      <c r="H123" s="2" t="s">
        <v>183</v>
      </c>
      <c r="I123">
        <v>117</v>
      </c>
      <c r="J123" s="2" t="s">
        <v>546</v>
      </c>
      <c r="K123" s="2" t="s">
        <v>166</v>
      </c>
      <c r="L123" s="2" t="s">
        <v>167</v>
      </c>
      <c r="M123" s="2" t="s">
        <v>168</v>
      </c>
      <c r="N123" s="2" t="s">
        <v>169</v>
      </c>
      <c r="O123" s="2" t="s">
        <v>170</v>
      </c>
      <c r="P123" s="2" t="s">
        <v>171</v>
      </c>
      <c r="Q123" s="2" t="s">
        <v>172</v>
      </c>
      <c r="R123" s="2" t="s">
        <v>173</v>
      </c>
      <c r="S123" s="2" t="s">
        <v>30</v>
      </c>
      <c r="T123">
        <v>652</v>
      </c>
      <c r="U123">
        <f>VLOOKUP(Auto_Sales_data___Copy[[#This Row],[CUSTOMER_NAME]],$AF$2:$AH$90,2,FALSE)</f>
        <v>29</v>
      </c>
      <c r="V123">
        <f>VLOOKUP(Auto_Sales_data___Copy[[#This Row],[CUSTOMER_NAME]],$AF$2:$AH$90,3,FALSE)</f>
        <v>118008.26999999999</v>
      </c>
      <c r="W123" s="2">
        <f>6-MATCH(Auto_Sales_data___Copy[[#This Row],[DAYS_SINCE_LAST_ORDER]],Table2[R-Cutoff],1)</f>
        <v>5</v>
      </c>
      <c r="X123" s="2">
        <f>MATCH(Auto_Sales_data___Copy[[#This Row],[Total_Orders_Per_Customer]],Table2[F-Cutoff],1)</f>
        <v>4</v>
      </c>
      <c r="Y123" s="2">
        <f>MATCH(Auto_Sales_data___Copy[[#This Row],[Total_Sales_Per_Customer]],Table2[M-Cutoff],1)</f>
        <v>4</v>
      </c>
      <c r="Z123" s="2" t="str">
        <f>Auto_Sales_data___Copy[[#This Row],[R-Score(1-5)]]&amp;Auto_Sales_data___Copy[[#This Row],[F-Score(1-5)]]&amp;Auto_Sales_data___Copy[[#This Row],[M-Score(1-5)]]</f>
        <v>544</v>
      </c>
      <c r="AA123" s="2" t="str" cm="1">
        <f t="array" ref="AA1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3" s="2" t="str">
        <f>VLOOKUP(Auto_Sales_data___Copy[[#This Row],[Segment Name]],Table3[],2,FALSE)</f>
        <v>VIP Recognitioon &amp; Inclusivity</v>
      </c>
    </row>
    <row r="124" spans="1:28" x14ac:dyDescent="0.25">
      <c r="A124">
        <v>10253</v>
      </c>
      <c r="B124">
        <v>25</v>
      </c>
      <c r="C124">
        <v>90.17</v>
      </c>
      <c r="D124">
        <v>14</v>
      </c>
      <c r="E124">
        <v>2254.25</v>
      </c>
      <c r="F124" s="1">
        <v>43617</v>
      </c>
      <c r="G124" s="2" t="s">
        <v>358</v>
      </c>
      <c r="H124" s="2" t="s">
        <v>183</v>
      </c>
      <c r="I124">
        <v>79</v>
      </c>
      <c r="J124" s="2" t="s">
        <v>553</v>
      </c>
      <c r="K124" s="2" t="s">
        <v>166</v>
      </c>
      <c r="L124" s="2" t="s">
        <v>167</v>
      </c>
      <c r="M124" s="2" t="s">
        <v>168</v>
      </c>
      <c r="N124" s="2" t="s">
        <v>169</v>
      </c>
      <c r="O124" s="2" t="s">
        <v>170</v>
      </c>
      <c r="P124" s="2" t="s">
        <v>171</v>
      </c>
      <c r="Q124" s="2" t="s">
        <v>172</v>
      </c>
      <c r="R124" s="2" t="s">
        <v>173</v>
      </c>
      <c r="S124" s="2" t="s">
        <v>30</v>
      </c>
      <c r="T124">
        <v>702</v>
      </c>
      <c r="U124">
        <f>VLOOKUP(Auto_Sales_data___Copy[[#This Row],[CUSTOMER_NAME]],$AF$2:$AH$90,2,FALSE)</f>
        <v>29</v>
      </c>
      <c r="V124">
        <f>VLOOKUP(Auto_Sales_data___Copy[[#This Row],[CUSTOMER_NAME]],$AF$2:$AH$90,3,FALSE)</f>
        <v>118008.26999999999</v>
      </c>
      <c r="W124" s="2">
        <f>6-MATCH(Auto_Sales_data___Copy[[#This Row],[DAYS_SINCE_LAST_ORDER]],Table2[R-Cutoff],1)</f>
        <v>5</v>
      </c>
      <c r="X124" s="2">
        <f>MATCH(Auto_Sales_data___Copy[[#This Row],[Total_Orders_Per_Customer]],Table2[F-Cutoff],1)</f>
        <v>4</v>
      </c>
      <c r="Y124" s="2">
        <f>MATCH(Auto_Sales_data___Copy[[#This Row],[Total_Sales_Per_Customer]],Table2[M-Cutoff],1)</f>
        <v>4</v>
      </c>
      <c r="Z124" s="2" t="str">
        <f>Auto_Sales_data___Copy[[#This Row],[R-Score(1-5)]]&amp;Auto_Sales_data___Copy[[#This Row],[F-Score(1-5)]]&amp;Auto_Sales_data___Copy[[#This Row],[M-Score(1-5)]]</f>
        <v>544</v>
      </c>
      <c r="AA124" s="2" t="str" cm="1">
        <f t="array" ref="AA1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4" s="2" t="str">
        <f>VLOOKUP(Auto_Sales_data___Copy[[#This Row],[Segment Name]],Table3[],2,FALSE)</f>
        <v>VIP Recognitioon &amp; Inclusivity</v>
      </c>
    </row>
    <row r="125" spans="1:28" x14ac:dyDescent="0.25">
      <c r="A125">
        <v>10253</v>
      </c>
      <c r="B125">
        <v>41</v>
      </c>
      <c r="C125">
        <v>119.77</v>
      </c>
      <c r="D125">
        <v>10</v>
      </c>
      <c r="E125">
        <v>4910.57</v>
      </c>
      <c r="F125" s="1">
        <v>43617</v>
      </c>
      <c r="G125" s="2" t="s">
        <v>358</v>
      </c>
      <c r="H125" s="2" t="s">
        <v>183</v>
      </c>
      <c r="I125">
        <v>115</v>
      </c>
      <c r="J125" s="2" t="s">
        <v>567</v>
      </c>
      <c r="K125" s="2" t="s">
        <v>166</v>
      </c>
      <c r="L125" s="2" t="s">
        <v>167</v>
      </c>
      <c r="M125" s="2" t="s">
        <v>168</v>
      </c>
      <c r="N125" s="2" t="s">
        <v>169</v>
      </c>
      <c r="O125" s="2" t="s">
        <v>170</v>
      </c>
      <c r="P125" s="2" t="s">
        <v>171</v>
      </c>
      <c r="Q125" s="2" t="s">
        <v>172</v>
      </c>
      <c r="R125" s="2" t="s">
        <v>173</v>
      </c>
      <c r="S125" s="2" t="s">
        <v>46</v>
      </c>
      <c r="T125">
        <v>753</v>
      </c>
      <c r="U125">
        <f>VLOOKUP(Auto_Sales_data___Copy[[#This Row],[CUSTOMER_NAME]],$AF$2:$AH$90,2,FALSE)</f>
        <v>29</v>
      </c>
      <c r="V125">
        <f>VLOOKUP(Auto_Sales_data___Copy[[#This Row],[CUSTOMER_NAME]],$AF$2:$AH$90,3,FALSE)</f>
        <v>118008.26999999999</v>
      </c>
      <c r="W125" s="2">
        <f>6-MATCH(Auto_Sales_data___Copy[[#This Row],[DAYS_SINCE_LAST_ORDER]],Table2[R-Cutoff],1)</f>
        <v>5</v>
      </c>
      <c r="X125" s="2">
        <f>MATCH(Auto_Sales_data___Copy[[#This Row],[Total_Orders_Per_Customer]],Table2[F-Cutoff],1)</f>
        <v>4</v>
      </c>
      <c r="Y125" s="2">
        <f>MATCH(Auto_Sales_data___Copy[[#This Row],[Total_Sales_Per_Customer]],Table2[M-Cutoff],1)</f>
        <v>4</v>
      </c>
      <c r="Z125" s="2" t="str">
        <f>Auto_Sales_data___Copy[[#This Row],[R-Score(1-5)]]&amp;Auto_Sales_data___Copy[[#This Row],[F-Score(1-5)]]&amp;Auto_Sales_data___Copy[[#This Row],[M-Score(1-5)]]</f>
        <v>544</v>
      </c>
      <c r="AA125" s="2" t="str" cm="1">
        <f t="array" ref="AA1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5" s="2" t="str">
        <f>VLOOKUP(Auto_Sales_data___Copy[[#This Row],[Segment Name]],Table3[],2,FALSE)</f>
        <v>VIP Recognitioon &amp; Inclusivity</v>
      </c>
    </row>
    <row r="126" spans="1:28" x14ac:dyDescent="0.25">
      <c r="A126">
        <v>10253</v>
      </c>
      <c r="B126">
        <v>26</v>
      </c>
      <c r="C126">
        <v>117.48</v>
      </c>
      <c r="D126">
        <v>5</v>
      </c>
      <c r="E126">
        <v>3054.48</v>
      </c>
      <c r="F126" s="1">
        <v>43617</v>
      </c>
      <c r="G126" s="2" t="s">
        <v>358</v>
      </c>
      <c r="H126" s="2" t="s">
        <v>183</v>
      </c>
      <c r="I126">
        <v>141</v>
      </c>
      <c r="J126" s="2" t="s">
        <v>576</v>
      </c>
      <c r="K126" s="2" t="s">
        <v>166</v>
      </c>
      <c r="L126" s="2" t="s">
        <v>167</v>
      </c>
      <c r="M126" s="2" t="s">
        <v>168</v>
      </c>
      <c r="N126" s="2" t="s">
        <v>169</v>
      </c>
      <c r="O126" s="2" t="s">
        <v>170</v>
      </c>
      <c r="P126" s="2" t="s">
        <v>171</v>
      </c>
      <c r="Q126" s="2" t="s">
        <v>172</v>
      </c>
      <c r="R126" s="2" t="s">
        <v>173</v>
      </c>
      <c r="S126" s="2" t="s">
        <v>46</v>
      </c>
      <c r="T126">
        <v>805</v>
      </c>
      <c r="U126">
        <f>VLOOKUP(Auto_Sales_data___Copy[[#This Row],[CUSTOMER_NAME]],$AF$2:$AH$90,2,FALSE)</f>
        <v>29</v>
      </c>
      <c r="V126">
        <f>VLOOKUP(Auto_Sales_data___Copy[[#This Row],[CUSTOMER_NAME]],$AF$2:$AH$90,3,FALSE)</f>
        <v>118008.26999999999</v>
      </c>
      <c r="W126" s="2">
        <f>6-MATCH(Auto_Sales_data___Copy[[#This Row],[DAYS_SINCE_LAST_ORDER]],Table2[R-Cutoff],1)</f>
        <v>5</v>
      </c>
      <c r="X126" s="2">
        <f>MATCH(Auto_Sales_data___Copy[[#This Row],[Total_Orders_Per_Customer]],Table2[F-Cutoff],1)</f>
        <v>4</v>
      </c>
      <c r="Y126" s="2">
        <f>MATCH(Auto_Sales_data___Copy[[#This Row],[Total_Sales_Per_Customer]],Table2[M-Cutoff],1)</f>
        <v>4</v>
      </c>
      <c r="Z126" s="2" t="str">
        <f>Auto_Sales_data___Copy[[#This Row],[R-Score(1-5)]]&amp;Auto_Sales_data___Copy[[#This Row],[F-Score(1-5)]]&amp;Auto_Sales_data___Copy[[#This Row],[M-Score(1-5)]]</f>
        <v>544</v>
      </c>
      <c r="AA126" s="2" t="str" cm="1">
        <f t="array" ref="AA1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6" s="2" t="str">
        <f>VLOOKUP(Auto_Sales_data___Copy[[#This Row],[Segment Name]],Table3[],2,FALSE)</f>
        <v>VIP Recognitioon &amp; Inclusivity</v>
      </c>
    </row>
    <row r="127" spans="1:28" x14ac:dyDescent="0.25">
      <c r="A127">
        <v>10253</v>
      </c>
      <c r="B127">
        <v>24</v>
      </c>
      <c r="C127">
        <v>140.62</v>
      </c>
      <c r="D127">
        <v>1</v>
      </c>
      <c r="E127">
        <v>3374.88</v>
      </c>
      <c r="F127" s="1">
        <v>43617</v>
      </c>
      <c r="G127" s="2" t="s">
        <v>358</v>
      </c>
      <c r="H127" s="2" t="s">
        <v>183</v>
      </c>
      <c r="I127">
        <v>124</v>
      </c>
      <c r="J127" s="2" t="s">
        <v>606</v>
      </c>
      <c r="K127" s="2" t="s">
        <v>166</v>
      </c>
      <c r="L127" s="2" t="s">
        <v>167</v>
      </c>
      <c r="M127" s="2" t="s">
        <v>168</v>
      </c>
      <c r="N127" s="2" t="s">
        <v>169</v>
      </c>
      <c r="O127" s="2" t="s">
        <v>170</v>
      </c>
      <c r="P127" s="2" t="s">
        <v>171</v>
      </c>
      <c r="Q127" s="2" t="s">
        <v>172</v>
      </c>
      <c r="R127" s="2" t="s">
        <v>173</v>
      </c>
      <c r="S127" s="2" t="s">
        <v>46</v>
      </c>
      <c r="T127">
        <v>879</v>
      </c>
      <c r="U127">
        <f>VLOOKUP(Auto_Sales_data___Copy[[#This Row],[CUSTOMER_NAME]],$AF$2:$AH$90,2,FALSE)</f>
        <v>29</v>
      </c>
      <c r="V127">
        <f>VLOOKUP(Auto_Sales_data___Copy[[#This Row],[CUSTOMER_NAME]],$AF$2:$AH$90,3,FALSE)</f>
        <v>118008.26999999999</v>
      </c>
      <c r="W127" s="2">
        <f>6-MATCH(Auto_Sales_data___Copy[[#This Row],[DAYS_SINCE_LAST_ORDER]],Table2[R-Cutoff],1)</f>
        <v>5</v>
      </c>
      <c r="X127" s="2">
        <f>MATCH(Auto_Sales_data___Copy[[#This Row],[Total_Orders_Per_Customer]],Table2[F-Cutoff],1)</f>
        <v>4</v>
      </c>
      <c r="Y127" s="2">
        <f>MATCH(Auto_Sales_data___Copy[[#This Row],[Total_Sales_Per_Customer]],Table2[M-Cutoff],1)</f>
        <v>4</v>
      </c>
      <c r="Z127" s="2" t="str">
        <f>Auto_Sales_data___Copy[[#This Row],[R-Score(1-5)]]&amp;Auto_Sales_data___Copy[[#This Row],[F-Score(1-5)]]&amp;Auto_Sales_data___Copy[[#This Row],[M-Score(1-5)]]</f>
        <v>544</v>
      </c>
      <c r="AA127" s="2" t="str" cm="1">
        <f t="array" ref="AA1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7" s="2" t="str">
        <f>VLOOKUP(Auto_Sales_data___Copy[[#This Row],[Segment Name]],Table3[],2,FALSE)</f>
        <v>VIP Recognitioon &amp; Inclusivity</v>
      </c>
    </row>
    <row r="128" spans="1:28" x14ac:dyDescent="0.25">
      <c r="A128">
        <v>10256</v>
      </c>
      <c r="B128">
        <v>34</v>
      </c>
      <c r="C128">
        <v>95.55</v>
      </c>
      <c r="D128">
        <v>2</v>
      </c>
      <c r="E128">
        <v>3248.7</v>
      </c>
      <c r="F128" s="1">
        <v>43624</v>
      </c>
      <c r="G128" s="2" t="s">
        <v>19</v>
      </c>
      <c r="H128" s="2" t="s">
        <v>589</v>
      </c>
      <c r="I128">
        <v>102</v>
      </c>
      <c r="J128" s="2" t="s">
        <v>590</v>
      </c>
      <c r="K128" s="2" t="s">
        <v>339</v>
      </c>
      <c r="L128" s="2" t="s">
        <v>340</v>
      </c>
      <c r="M128" s="2" t="s">
        <v>341</v>
      </c>
      <c r="N128" s="2" t="s">
        <v>342</v>
      </c>
      <c r="O128" s="2" t="s">
        <v>343</v>
      </c>
      <c r="P128" s="2" t="s">
        <v>344</v>
      </c>
      <c r="Q128" s="2" t="s">
        <v>345</v>
      </c>
      <c r="R128" s="2" t="s">
        <v>346</v>
      </c>
      <c r="S128" s="2" t="s">
        <v>46</v>
      </c>
      <c r="T128">
        <v>824</v>
      </c>
      <c r="U128">
        <f>VLOOKUP(Auto_Sales_data___Copy[[#This Row],[CUSTOMER_NAME]],$AF$2:$AH$90,2,FALSE)</f>
        <v>36</v>
      </c>
      <c r="V128">
        <f>VLOOKUP(Auto_Sales_data___Copy[[#This Row],[CUSTOMER_NAME]],$AF$2:$AH$90,3,FALSE)</f>
        <v>145041.60000000001</v>
      </c>
      <c r="W128" s="2">
        <f>6-MATCH(Auto_Sales_data___Copy[[#This Row],[DAYS_SINCE_LAST_ORDER]],Table2[R-Cutoff],1)</f>
        <v>5</v>
      </c>
      <c r="X128" s="2">
        <f>MATCH(Auto_Sales_data___Copy[[#This Row],[Total_Orders_Per_Customer]],Table2[F-Cutoff],1)</f>
        <v>4</v>
      </c>
      <c r="Y128" s="2">
        <f>MATCH(Auto_Sales_data___Copy[[#This Row],[Total_Sales_Per_Customer]],Table2[M-Cutoff],1)</f>
        <v>4</v>
      </c>
      <c r="Z128" s="2" t="str">
        <f>Auto_Sales_data___Copy[[#This Row],[R-Score(1-5)]]&amp;Auto_Sales_data___Copy[[#This Row],[F-Score(1-5)]]&amp;Auto_Sales_data___Copy[[#This Row],[M-Score(1-5)]]</f>
        <v>544</v>
      </c>
      <c r="AA128" s="2" t="str" cm="1">
        <f t="array" ref="AA1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8" s="2" t="str">
        <f>VLOOKUP(Auto_Sales_data___Copy[[#This Row],[Segment Name]],Table3[],2,FALSE)</f>
        <v>VIP Recognitioon &amp; Inclusivity</v>
      </c>
    </row>
    <row r="129" spans="1:28" x14ac:dyDescent="0.25">
      <c r="A129">
        <v>10256</v>
      </c>
      <c r="B129">
        <v>29</v>
      </c>
      <c r="C129">
        <v>51.75</v>
      </c>
      <c r="D129">
        <v>1</v>
      </c>
      <c r="E129">
        <v>1500.75</v>
      </c>
      <c r="F129" s="1">
        <v>43624</v>
      </c>
      <c r="G129" s="2" t="s">
        <v>19</v>
      </c>
      <c r="H129" s="2" t="s">
        <v>589</v>
      </c>
      <c r="I129">
        <v>53</v>
      </c>
      <c r="J129" s="2" t="s">
        <v>605</v>
      </c>
      <c r="K129" s="2" t="s">
        <v>339</v>
      </c>
      <c r="L129" s="2" t="s">
        <v>340</v>
      </c>
      <c r="M129" s="2" t="s">
        <v>341</v>
      </c>
      <c r="N129" s="2" t="s">
        <v>342</v>
      </c>
      <c r="O129" s="2" t="s">
        <v>343</v>
      </c>
      <c r="P129" s="2" t="s">
        <v>344</v>
      </c>
      <c r="Q129" s="2" t="s">
        <v>345</v>
      </c>
      <c r="R129" s="2" t="s">
        <v>346</v>
      </c>
      <c r="S129" s="2" t="s">
        <v>30</v>
      </c>
      <c r="T129">
        <v>848</v>
      </c>
      <c r="U129">
        <f>VLOOKUP(Auto_Sales_data___Copy[[#This Row],[CUSTOMER_NAME]],$AF$2:$AH$90,2,FALSE)</f>
        <v>36</v>
      </c>
      <c r="V129">
        <f>VLOOKUP(Auto_Sales_data___Copy[[#This Row],[CUSTOMER_NAME]],$AF$2:$AH$90,3,FALSE)</f>
        <v>145041.60000000001</v>
      </c>
      <c r="W129" s="2">
        <f>6-MATCH(Auto_Sales_data___Copy[[#This Row],[DAYS_SINCE_LAST_ORDER]],Table2[R-Cutoff],1)</f>
        <v>5</v>
      </c>
      <c r="X129" s="2">
        <f>MATCH(Auto_Sales_data___Copy[[#This Row],[Total_Orders_Per_Customer]],Table2[F-Cutoff],1)</f>
        <v>4</v>
      </c>
      <c r="Y129" s="2">
        <f>MATCH(Auto_Sales_data___Copy[[#This Row],[Total_Sales_Per_Customer]],Table2[M-Cutoff],1)</f>
        <v>4</v>
      </c>
      <c r="Z129" s="2" t="str">
        <f>Auto_Sales_data___Copy[[#This Row],[R-Score(1-5)]]&amp;Auto_Sales_data___Copy[[#This Row],[F-Score(1-5)]]&amp;Auto_Sales_data___Copy[[#This Row],[M-Score(1-5)]]</f>
        <v>544</v>
      </c>
      <c r="AA129" s="2" t="str" cm="1">
        <f t="array" ref="AA1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9" s="2" t="str">
        <f>VLOOKUP(Auto_Sales_data___Copy[[#This Row],[Segment Name]],Table3[],2,FALSE)</f>
        <v>VIP Recognitioon &amp; Inclusivity</v>
      </c>
    </row>
    <row r="130" spans="1:28" x14ac:dyDescent="0.25">
      <c r="A130">
        <v>10258</v>
      </c>
      <c r="B130">
        <v>32</v>
      </c>
      <c r="C130">
        <v>240.02</v>
      </c>
      <c r="D130">
        <v>6</v>
      </c>
      <c r="E130">
        <v>7680.64</v>
      </c>
      <c r="F130" s="1">
        <v>43631</v>
      </c>
      <c r="G130" s="2" t="s">
        <v>19</v>
      </c>
      <c r="H130" s="2" t="s">
        <v>183</v>
      </c>
      <c r="I130">
        <v>214</v>
      </c>
      <c r="J130" s="2" t="s">
        <v>184</v>
      </c>
      <c r="K130" s="2" t="s">
        <v>256</v>
      </c>
      <c r="L130" s="2" t="s">
        <v>257</v>
      </c>
      <c r="M130" s="2" t="s">
        <v>258</v>
      </c>
      <c r="N130" s="2" t="s">
        <v>259</v>
      </c>
      <c r="O130" s="2" t="s">
        <v>260</v>
      </c>
      <c r="P130" s="2" t="s">
        <v>261</v>
      </c>
      <c r="Q130" s="2" t="s">
        <v>262</v>
      </c>
      <c r="R130" s="2" t="s">
        <v>263</v>
      </c>
      <c r="S130" s="2" t="s">
        <v>151</v>
      </c>
      <c r="T130">
        <v>389</v>
      </c>
      <c r="U130">
        <f>VLOOKUP(Auto_Sales_data___Copy[[#This Row],[CUSTOMER_NAME]],$AF$2:$AH$90,2,FALSE)</f>
        <v>32</v>
      </c>
      <c r="V130">
        <f>VLOOKUP(Auto_Sales_data___Copy[[#This Row],[CUSTOMER_NAME]],$AF$2:$AH$90,3,FALSE)</f>
        <v>120562.74000000002</v>
      </c>
      <c r="W130" s="2">
        <f>6-MATCH(Auto_Sales_data___Copy[[#This Row],[DAYS_SINCE_LAST_ORDER]],Table2[R-Cutoff],1)</f>
        <v>5</v>
      </c>
      <c r="X130" s="2">
        <f>MATCH(Auto_Sales_data___Copy[[#This Row],[Total_Orders_Per_Customer]],Table2[F-Cutoff],1)</f>
        <v>4</v>
      </c>
      <c r="Y130" s="2">
        <f>MATCH(Auto_Sales_data___Copy[[#This Row],[Total_Sales_Per_Customer]],Table2[M-Cutoff],1)</f>
        <v>4</v>
      </c>
      <c r="Z130" s="2" t="str">
        <f>Auto_Sales_data___Copy[[#This Row],[R-Score(1-5)]]&amp;Auto_Sales_data___Copy[[#This Row],[F-Score(1-5)]]&amp;Auto_Sales_data___Copy[[#This Row],[M-Score(1-5)]]</f>
        <v>544</v>
      </c>
      <c r="AA130" s="2" t="str" cm="1">
        <f t="array" ref="AA1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0" s="2" t="str">
        <f>VLOOKUP(Auto_Sales_data___Copy[[#This Row],[Segment Name]],Table3[],2,FALSE)</f>
        <v>VIP Recognitioon &amp; Inclusivity</v>
      </c>
    </row>
    <row r="131" spans="1:28" x14ac:dyDescent="0.25">
      <c r="A131">
        <v>10259</v>
      </c>
      <c r="B131">
        <v>26</v>
      </c>
      <c r="C131">
        <v>155.13</v>
      </c>
      <c r="D131">
        <v>12</v>
      </c>
      <c r="E131">
        <v>4033.38</v>
      </c>
      <c r="F131" s="1">
        <v>43631</v>
      </c>
      <c r="G131" s="2" t="s">
        <v>19</v>
      </c>
      <c r="H131" s="2" t="s">
        <v>183</v>
      </c>
      <c r="I131">
        <v>147</v>
      </c>
      <c r="J131" s="2" t="s">
        <v>424</v>
      </c>
      <c r="K131" s="2" t="s">
        <v>443</v>
      </c>
      <c r="L131" s="2" t="s">
        <v>444</v>
      </c>
      <c r="M131" s="2" t="s">
        <v>445</v>
      </c>
      <c r="N131" s="2" t="s">
        <v>202</v>
      </c>
      <c r="O131" s="2" t="s">
        <v>446</v>
      </c>
      <c r="P131" s="2" t="s">
        <v>202</v>
      </c>
      <c r="Q131" s="2" t="s">
        <v>447</v>
      </c>
      <c r="R131" s="2" t="s">
        <v>448</v>
      </c>
      <c r="S131" s="2" t="s">
        <v>46</v>
      </c>
      <c r="T131">
        <v>488</v>
      </c>
      <c r="U131">
        <f>VLOOKUP(Auto_Sales_data___Copy[[#This Row],[CUSTOMER_NAME]],$AF$2:$AH$90,2,FALSE)</f>
        <v>36</v>
      </c>
      <c r="V131">
        <f>VLOOKUP(Auto_Sales_data___Copy[[#This Row],[CUSTOMER_NAME]],$AF$2:$AH$90,3,FALSE)</f>
        <v>115498.72999999998</v>
      </c>
      <c r="W131" s="2">
        <f>6-MATCH(Auto_Sales_data___Copy[[#This Row],[DAYS_SINCE_LAST_ORDER]],Table2[R-Cutoff],1)</f>
        <v>5</v>
      </c>
      <c r="X131" s="2">
        <f>MATCH(Auto_Sales_data___Copy[[#This Row],[Total_Orders_Per_Customer]],Table2[F-Cutoff],1)</f>
        <v>4</v>
      </c>
      <c r="Y131" s="2">
        <f>MATCH(Auto_Sales_data___Copy[[#This Row],[Total_Sales_Per_Customer]],Table2[M-Cutoff],1)</f>
        <v>4</v>
      </c>
      <c r="Z131" s="2" t="str">
        <f>Auto_Sales_data___Copy[[#This Row],[R-Score(1-5)]]&amp;Auto_Sales_data___Copy[[#This Row],[F-Score(1-5)]]&amp;Auto_Sales_data___Copy[[#This Row],[M-Score(1-5)]]</f>
        <v>544</v>
      </c>
      <c r="AA131" s="2" t="str" cm="1">
        <f t="array" ref="AA1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1" s="2" t="str">
        <f>VLOOKUP(Auto_Sales_data___Copy[[#This Row],[Segment Name]],Table3[],2,FALSE)</f>
        <v>VIP Recognitioon &amp; Inclusivity</v>
      </c>
    </row>
    <row r="132" spans="1:28" x14ac:dyDescent="0.25">
      <c r="A132">
        <v>10258</v>
      </c>
      <c r="B132">
        <v>41</v>
      </c>
      <c r="C132">
        <v>162.63999999999999</v>
      </c>
      <c r="D132">
        <v>3</v>
      </c>
      <c r="E132">
        <v>6668.24</v>
      </c>
      <c r="F132" s="1">
        <v>43631</v>
      </c>
      <c r="G132" s="2" t="s">
        <v>19</v>
      </c>
      <c r="H132" s="2" t="s">
        <v>537</v>
      </c>
      <c r="I132">
        <v>136</v>
      </c>
      <c r="J132" s="2" t="s">
        <v>538</v>
      </c>
      <c r="K132" s="2" t="s">
        <v>256</v>
      </c>
      <c r="L132" s="2" t="s">
        <v>257</v>
      </c>
      <c r="M132" s="2" t="s">
        <v>258</v>
      </c>
      <c r="N132" s="2" t="s">
        <v>259</v>
      </c>
      <c r="O132" s="2" t="s">
        <v>260</v>
      </c>
      <c r="P132" s="2" t="s">
        <v>261</v>
      </c>
      <c r="Q132" s="2" t="s">
        <v>262</v>
      </c>
      <c r="R132" s="2" t="s">
        <v>263</v>
      </c>
      <c r="S132" s="2" t="s">
        <v>46</v>
      </c>
      <c r="T132">
        <v>565</v>
      </c>
      <c r="U132">
        <f>VLOOKUP(Auto_Sales_data___Copy[[#This Row],[CUSTOMER_NAME]],$AF$2:$AH$90,2,FALSE)</f>
        <v>32</v>
      </c>
      <c r="V132">
        <f>VLOOKUP(Auto_Sales_data___Copy[[#This Row],[CUSTOMER_NAME]],$AF$2:$AH$90,3,FALSE)</f>
        <v>120562.74000000002</v>
      </c>
      <c r="W132" s="2">
        <f>6-MATCH(Auto_Sales_data___Copy[[#This Row],[DAYS_SINCE_LAST_ORDER]],Table2[R-Cutoff],1)</f>
        <v>5</v>
      </c>
      <c r="X132" s="2">
        <f>MATCH(Auto_Sales_data___Copy[[#This Row],[Total_Orders_Per_Customer]],Table2[F-Cutoff],1)</f>
        <v>4</v>
      </c>
      <c r="Y132" s="2">
        <f>MATCH(Auto_Sales_data___Copy[[#This Row],[Total_Sales_Per_Customer]],Table2[M-Cutoff],1)</f>
        <v>4</v>
      </c>
      <c r="Z132" s="2" t="str">
        <f>Auto_Sales_data___Copy[[#This Row],[R-Score(1-5)]]&amp;Auto_Sales_data___Copy[[#This Row],[F-Score(1-5)]]&amp;Auto_Sales_data___Copy[[#This Row],[M-Score(1-5)]]</f>
        <v>544</v>
      </c>
      <c r="AA132" s="2" t="str" cm="1">
        <f t="array" ref="AA1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2" s="2" t="str">
        <f>VLOOKUP(Auto_Sales_data___Copy[[#This Row],[Segment Name]],Table3[],2,FALSE)</f>
        <v>VIP Recognitioon &amp; Inclusivity</v>
      </c>
    </row>
    <row r="133" spans="1:28" x14ac:dyDescent="0.25">
      <c r="A133">
        <v>10259</v>
      </c>
      <c r="B133">
        <v>46</v>
      </c>
      <c r="C133">
        <v>142.19999999999999</v>
      </c>
      <c r="D133">
        <v>4</v>
      </c>
      <c r="E133">
        <v>6541.2</v>
      </c>
      <c r="F133" s="1">
        <v>43631</v>
      </c>
      <c r="G133" s="2" t="s">
        <v>19</v>
      </c>
      <c r="H133" s="2" t="s">
        <v>537</v>
      </c>
      <c r="I133">
        <v>118</v>
      </c>
      <c r="J133" s="2" t="s">
        <v>554</v>
      </c>
      <c r="K133" s="2" t="s">
        <v>443</v>
      </c>
      <c r="L133" s="2" t="s">
        <v>444</v>
      </c>
      <c r="M133" s="2" t="s">
        <v>445</v>
      </c>
      <c r="N133" s="2" t="s">
        <v>202</v>
      </c>
      <c r="O133" s="2" t="s">
        <v>446</v>
      </c>
      <c r="P133" s="2" t="s">
        <v>202</v>
      </c>
      <c r="Q133" s="2" t="s">
        <v>447</v>
      </c>
      <c r="R133" s="2" t="s">
        <v>448</v>
      </c>
      <c r="S133" s="2" t="s">
        <v>46</v>
      </c>
      <c r="T133">
        <v>714</v>
      </c>
      <c r="U133">
        <f>VLOOKUP(Auto_Sales_data___Copy[[#This Row],[CUSTOMER_NAME]],$AF$2:$AH$90,2,FALSE)</f>
        <v>36</v>
      </c>
      <c r="V133">
        <f>VLOOKUP(Auto_Sales_data___Copy[[#This Row],[CUSTOMER_NAME]],$AF$2:$AH$90,3,FALSE)</f>
        <v>115498.72999999998</v>
      </c>
      <c r="W133" s="2">
        <f>6-MATCH(Auto_Sales_data___Copy[[#This Row],[DAYS_SINCE_LAST_ORDER]],Table2[R-Cutoff],1)</f>
        <v>5</v>
      </c>
      <c r="X133" s="2">
        <f>MATCH(Auto_Sales_data___Copy[[#This Row],[Total_Orders_Per_Customer]],Table2[F-Cutoff],1)</f>
        <v>4</v>
      </c>
      <c r="Y133" s="2">
        <f>MATCH(Auto_Sales_data___Copy[[#This Row],[Total_Sales_Per_Customer]],Table2[M-Cutoff],1)</f>
        <v>4</v>
      </c>
      <c r="Z133" s="2" t="str">
        <f>Auto_Sales_data___Copy[[#This Row],[R-Score(1-5)]]&amp;Auto_Sales_data___Copy[[#This Row],[F-Score(1-5)]]&amp;Auto_Sales_data___Copy[[#This Row],[M-Score(1-5)]]</f>
        <v>544</v>
      </c>
      <c r="AA133" s="2" t="str" cm="1">
        <f t="array" ref="AA1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3" s="2" t="str">
        <f>VLOOKUP(Auto_Sales_data___Copy[[#This Row],[Segment Name]],Table3[],2,FALSE)</f>
        <v>VIP Recognitioon &amp; Inclusivity</v>
      </c>
    </row>
    <row r="134" spans="1:28" x14ac:dyDescent="0.25">
      <c r="A134">
        <v>10258</v>
      </c>
      <c r="B134">
        <v>41</v>
      </c>
      <c r="C134">
        <v>133</v>
      </c>
      <c r="D134">
        <v>5</v>
      </c>
      <c r="E134">
        <v>5453</v>
      </c>
      <c r="F134" s="1">
        <v>43631</v>
      </c>
      <c r="G134" s="2" t="s">
        <v>19</v>
      </c>
      <c r="H134" s="2" t="s">
        <v>537</v>
      </c>
      <c r="I134">
        <v>116</v>
      </c>
      <c r="J134" s="2" t="s">
        <v>575</v>
      </c>
      <c r="K134" s="2" t="s">
        <v>256</v>
      </c>
      <c r="L134" s="2" t="s">
        <v>257</v>
      </c>
      <c r="M134" s="2" t="s">
        <v>258</v>
      </c>
      <c r="N134" s="2" t="s">
        <v>259</v>
      </c>
      <c r="O134" s="2" t="s">
        <v>260</v>
      </c>
      <c r="P134" s="2" t="s">
        <v>261</v>
      </c>
      <c r="Q134" s="2" t="s">
        <v>262</v>
      </c>
      <c r="R134" s="2" t="s">
        <v>263</v>
      </c>
      <c r="S134" s="2" t="s">
        <v>46</v>
      </c>
      <c r="T134">
        <v>766</v>
      </c>
      <c r="U134">
        <f>VLOOKUP(Auto_Sales_data___Copy[[#This Row],[CUSTOMER_NAME]],$AF$2:$AH$90,2,FALSE)</f>
        <v>32</v>
      </c>
      <c r="V134">
        <f>VLOOKUP(Auto_Sales_data___Copy[[#This Row],[CUSTOMER_NAME]],$AF$2:$AH$90,3,FALSE)</f>
        <v>120562.74000000002</v>
      </c>
      <c r="W134" s="2">
        <f>6-MATCH(Auto_Sales_data___Copy[[#This Row],[DAYS_SINCE_LAST_ORDER]],Table2[R-Cutoff],1)</f>
        <v>5</v>
      </c>
      <c r="X134" s="2">
        <f>MATCH(Auto_Sales_data___Copy[[#This Row],[Total_Orders_Per_Customer]],Table2[F-Cutoff],1)</f>
        <v>4</v>
      </c>
      <c r="Y134" s="2">
        <f>MATCH(Auto_Sales_data___Copy[[#This Row],[Total_Sales_Per_Customer]],Table2[M-Cutoff],1)</f>
        <v>4</v>
      </c>
      <c r="Z134" s="2" t="str">
        <f>Auto_Sales_data___Copy[[#This Row],[R-Score(1-5)]]&amp;Auto_Sales_data___Copy[[#This Row],[F-Score(1-5)]]&amp;Auto_Sales_data___Copy[[#This Row],[M-Score(1-5)]]</f>
        <v>544</v>
      </c>
      <c r="AA134" s="2" t="str" cm="1">
        <f t="array" ref="AA1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4" s="2" t="str">
        <f>VLOOKUP(Auto_Sales_data___Copy[[#This Row],[Segment Name]],Table3[],2,FALSE)</f>
        <v>VIP Recognitioon &amp; Inclusivity</v>
      </c>
    </row>
    <row r="135" spans="1:28" x14ac:dyDescent="0.25">
      <c r="A135">
        <v>10266</v>
      </c>
      <c r="B135">
        <v>44</v>
      </c>
      <c r="C135">
        <v>208.19</v>
      </c>
      <c r="D135">
        <v>14</v>
      </c>
      <c r="E135">
        <v>9160.36</v>
      </c>
      <c r="F135" s="1">
        <v>43652</v>
      </c>
      <c r="G135" s="2" t="s">
        <v>19</v>
      </c>
      <c r="H135" s="2" t="s">
        <v>183</v>
      </c>
      <c r="I135">
        <v>194</v>
      </c>
      <c r="J135" s="2" t="s">
        <v>449</v>
      </c>
      <c r="K135" s="2" t="s">
        <v>480</v>
      </c>
      <c r="L135" s="2" t="s">
        <v>481</v>
      </c>
      <c r="M135" s="2" t="s">
        <v>482</v>
      </c>
      <c r="N135" s="2" t="s">
        <v>483</v>
      </c>
      <c r="O135" s="2" t="s">
        <v>484</v>
      </c>
      <c r="P135" s="2" t="s">
        <v>269</v>
      </c>
      <c r="Q135" s="2" t="s">
        <v>485</v>
      </c>
      <c r="R135" s="2" t="s">
        <v>486</v>
      </c>
      <c r="S135" s="2" t="s">
        <v>151</v>
      </c>
      <c r="T135">
        <v>493</v>
      </c>
      <c r="U135">
        <f>VLOOKUP(Auto_Sales_data___Copy[[#This Row],[CUSTOMER_NAME]],$AF$2:$AH$90,2,FALSE)</f>
        <v>39</v>
      </c>
      <c r="V135">
        <f>VLOOKUP(Auto_Sales_data___Copy[[#This Row],[CUSTOMER_NAME]],$AF$2:$AH$90,3,FALSE)</f>
        <v>142601.33000000002</v>
      </c>
      <c r="W135" s="2">
        <f>6-MATCH(Auto_Sales_data___Copy[[#This Row],[DAYS_SINCE_LAST_ORDER]],Table2[R-Cutoff],1)</f>
        <v>5</v>
      </c>
      <c r="X135" s="2">
        <f>MATCH(Auto_Sales_data___Copy[[#This Row],[Total_Orders_Per_Customer]],Table2[F-Cutoff],1)</f>
        <v>4</v>
      </c>
      <c r="Y135" s="2">
        <f>MATCH(Auto_Sales_data___Copy[[#This Row],[Total_Sales_Per_Customer]],Table2[M-Cutoff],1)</f>
        <v>4</v>
      </c>
      <c r="Z135" s="2" t="str">
        <f>Auto_Sales_data___Copy[[#This Row],[R-Score(1-5)]]&amp;Auto_Sales_data___Copy[[#This Row],[F-Score(1-5)]]&amp;Auto_Sales_data___Copy[[#This Row],[M-Score(1-5)]]</f>
        <v>544</v>
      </c>
      <c r="AA135" s="2" t="str" cm="1">
        <f t="array" ref="AA1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5" s="2" t="str">
        <f>VLOOKUP(Auto_Sales_data___Copy[[#This Row],[Segment Name]],Table3[],2,FALSE)</f>
        <v>VIP Recognitioon &amp; Inclusivity</v>
      </c>
    </row>
    <row r="136" spans="1:28" x14ac:dyDescent="0.25">
      <c r="A136">
        <v>10266</v>
      </c>
      <c r="B136">
        <v>22</v>
      </c>
      <c r="C136">
        <v>111.57</v>
      </c>
      <c r="D136">
        <v>12</v>
      </c>
      <c r="E136">
        <v>2454.54</v>
      </c>
      <c r="F136" s="1">
        <v>43652</v>
      </c>
      <c r="G136" s="2" t="s">
        <v>19</v>
      </c>
      <c r="H136" s="2" t="s">
        <v>183</v>
      </c>
      <c r="I136">
        <v>117</v>
      </c>
      <c r="J136" s="2" t="s">
        <v>546</v>
      </c>
      <c r="K136" s="2" t="s">
        <v>480</v>
      </c>
      <c r="L136" s="2" t="s">
        <v>481</v>
      </c>
      <c r="M136" s="2" t="s">
        <v>482</v>
      </c>
      <c r="N136" s="2" t="s">
        <v>483</v>
      </c>
      <c r="O136" s="2" t="s">
        <v>484</v>
      </c>
      <c r="P136" s="2" t="s">
        <v>269</v>
      </c>
      <c r="Q136" s="2" t="s">
        <v>485</v>
      </c>
      <c r="R136" s="2" t="s">
        <v>486</v>
      </c>
      <c r="S136" s="2" t="s">
        <v>30</v>
      </c>
      <c r="T136">
        <v>618</v>
      </c>
      <c r="U136">
        <f>VLOOKUP(Auto_Sales_data___Copy[[#This Row],[CUSTOMER_NAME]],$AF$2:$AH$90,2,FALSE)</f>
        <v>39</v>
      </c>
      <c r="V136">
        <f>VLOOKUP(Auto_Sales_data___Copy[[#This Row],[CUSTOMER_NAME]],$AF$2:$AH$90,3,FALSE)</f>
        <v>142601.33000000002</v>
      </c>
      <c r="W136" s="2">
        <f>6-MATCH(Auto_Sales_data___Copy[[#This Row],[DAYS_SINCE_LAST_ORDER]],Table2[R-Cutoff],1)</f>
        <v>5</v>
      </c>
      <c r="X136" s="2">
        <f>MATCH(Auto_Sales_data___Copy[[#This Row],[Total_Orders_Per_Customer]],Table2[F-Cutoff],1)</f>
        <v>4</v>
      </c>
      <c r="Y136" s="2">
        <f>MATCH(Auto_Sales_data___Copy[[#This Row],[Total_Sales_Per_Customer]],Table2[M-Cutoff],1)</f>
        <v>4</v>
      </c>
      <c r="Z136" s="2" t="str">
        <f>Auto_Sales_data___Copy[[#This Row],[R-Score(1-5)]]&amp;Auto_Sales_data___Copy[[#This Row],[F-Score(1-5)]]&amp;Auto_Sales_data___Copy[[#This Row],[M-Score(1-5)]]</f>
        <v>544</v>
      </c>
      <c r="AA136" s="2" t="str" cm="1">
        <f t="array" ref="AA1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6" s="2" t="str">
        <f>VLOOKUP(Auto_Sales_data___Copy[[#This Row],[Segment Name]],Table3[],2,FALSE)</f>
        <v>VIP Recognitioon &amp; Inclusivity</v>
      </c>
    </row>
    <row r="137" spans="1:28" x14ac:dyDescent="0.25">
      <c r="A137">
        <v>10266</v>
      </c>
      <c r="B137">
        <v>35</v>
      </c>
      <c r="C137">
        <v>76.61</v>
      </c>
      <c r="D137">
        <v>15</v>
      </c>
      <c r="E137">
        <v>2681.35</v>
      </c>
      <c r="F137" s="1">
        <v>43652</v>
      </c>
      <c r="G137" s="2" t="s">
        <v>19</v>
      </c>
      <c r="H137" s="2" t="s">
        <v>183</v>
      </c>
      <c r="I137">
        <v>79</v>
      </c>
      <c r="J137" s="2" t="s">
        <v>553</v>
      </c>
      <c r="K137" s="2" t="s">
        <v>480</v>
      </c>
      <c r="L137" s="2" t="s">
        <v>481</v>
      </c>
      <c r="M137" s="2" t="s">
        <v>482</v>
      </c>
      <c r="N137" s="2" t="s">
        <v>483</v>
      </c>
      <c r="O137" s="2" t="s">
        <v>484</v>
      </c>
      <c r="P137" s="2" t="s">
        <v>269</v>
      </c>
      <c r="Q137" s="2" t="s">
        <v>485</v>
      </c>
      <c r="R137" s="2" t="s">
        <v>486</v>
      </c>
      <c r="S137" s="2" t="s">
        <v>30</v>
      </c>
      <c r="T137">
        <v>668</v>
      </c>
      <c r="U137">
        <f>VLOOKUP(Auto_Sales_data___Copy[[#This Row],[CUSTOMER_NAME]],$AF$2:$AH$90,2,FALSE)</f>
        <v>39</v>
      </c>
      <c r="V137">
        <f>VLOOKUP(Auto_Sales_data___Copy[[#This Row],[CUSTOMER_NAME]],$AF$2:$AH$90,3,FALSE)</f>
        <v>142601.33000000002</v>
      </c>
      <c r="W137" s="2">
        <f>6-MATCH(Auto_Sales_data___Copy[[#This Row],[DAYS_SINCE_LAST_ORDER]],Table2[R-Cutoff],1)</f>
        <v>5</v>
      </c>
      <c r="X137" s="2">
        <f>MATCH(Auto_Sales_data___Copy[[#This Row],[Total_Orders_Per_Customer]],Table2[F-Cutoff],1)</f>
        <v>4</v>
      </c>
      <c r="Y137" s="2">
        <f>MATCH(Auto_Sales_data___Copy[[#This Row],[Total_Sales_Per_Customer]],Table2[M-Cutoff],1)</f>
        <v>4</v>
      </c>
      <c r="Z137" s="2" t="str">
        <f>Auto_Sales_data___Copy[[#This Row],[R-Score(1-5)]]&amp;Auto_Sales_data___Copy[[#This Row],[F-Score(1-5)]]&amp;Auto_Sales_data___Copy[[#This Row],[M-Score(1-5)]]</f>
        <v>544</v>
      </c>
      <c r="AA137" s="2" t="str" cm="1">
        <f t="array" ref="AA1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7" s="2" t="str">
        <f>VLOOKUP(Auto_Sales_data___Copy[[#This Row],[Segment Name]],Table3[],2,FALSE)</f>
        <v>VIP Recognitioon &amp; Inclusivity</v>
      </c>
    </row>
    <row r="138" spans="1:28" x14ac:dyDescent="0.25">
      <c r="A138">
        <v>10266</v>
      </c>
      <c r="B138">
        <v>40</v>
      </c>
      <c r="C138">
        <v>111.71</v>
      </c>
      <c r="D138">
        <v>11</v>
      </c>
      <c r="E138">
        <v>4468.3999999999996</v>
      </c>
      <c r="F138" s="1">
        <v>43652</v>
      </c>
      <c r="G138" s="2" t="s">
        <v>19</v>
      </c>
      <c r="H138" s="2" t="s">
        <v>183</v>
      </c>
      <c r="I138">
        <v>115</v>
      </c>
      <c r="J138" s="2" t="s">
        <v>567</v>
      </c>
      <c r="K138" s="2" t="s">
        <v>480</v>
      </c>
      <c r="L138" s="2" t="s">
        <v>481</v>
      </c>
      <c r="M138" s="2" t="s">
        <v>482</v>
      </c>
      <c r="N138" s="2" t="s">
        <v>483</v>
      </c>
      <c r="O138" s="2" t="s">
        <v>484</v>
      </c>
      <c r="P138" s="2" t="s">
        <v>269</v>
      </c>
      <c r="Q138" s="2" t="s">
        <v>485</v>
      </c>
      <c r="R138" s="2" t="s">
        <v>486</v>
      </c>
      <c r="S138" s="2" t="s">
        <v>46</v>
      </c>
      <c r="T138">
        <v>719</v>
      </c>
      <c r="U138">
        <f>VLOOKUP(Auto_Sales_data___Copy[[#This Row],[CUSTOMER_NAME]],$AF$2:$AH$90,2,FALSE)</f>
        <v>39</v>
      </c>
      <c r="V138">
        <f>VLOOKUP(Auto_Sales_data___Copy[[#This Row],[CUSTOMER_NAME]],$AF$2:$AH$90,3,FALSE)</f>
        <v>142601.33000000002</v>
      </c>
      <c r="W138" s="2">
        <f>6-MATCH(Auto_Sales_data___Copy[[#This Row],[DAYS_SINCE_LAST_ORDER]],Table2[R-Cutoff],1)</f>
        <v>5</v>
      </c>
      <c r="X138" s="2">
        <f>MATCH(Auto_Sales_data___Copy[[#This Row],[Total_Orders_Per_Customer]],Table2[F-Cutoff],1)</f>
        <v>4</v>
      </c>
      <c r="Y138" s="2">
        <f>MATCH(Auto_Sales_data___Copy[[#This Row],[Total_Sales_Per_Customer]],Table2[M-Cutoff],1)</f>
        <v>4</v>
      </c>
      <c r="Z138" s="2" t="str">
        <f>Auto_Sales_data___Copy[[#This Row],[R-Score(1-5)]]&amp;Auto_Sales_data___Copy[[#This Row],[F-Score(1-5)]]&amp;Auto_Sales_data___Copy[[#This Row],[M-Score(1-5)]]</f>
        <v>544</v>
      </c>
      <c r="AA138" s="2" t="str" cm="1">
        <f t="array" ref="AA1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8" s="2" t="str">
        <f>VLOOKUP(Auto_Sales_data___Copy[[#This Row],[Segment Name]],Table3[],2,FALSE)</f>
        <v>VIP Recognitioon &amp; Inclusivity</v>
      </c>
    </row>
    <row r="139" spans="1:28" x14ac:dyDescent="0.25">
      <c r="A139">
        <v>10266</v>
      </c>
      <c r="B139">
        <v>21</v>
      </c>
      <c r="C139">
        <v>120.31</v>
      </c>
      <c r="D139">
        <v>6</v>
      </c>
      <c r="E139">
        <v>2526.5100000000002</v>
      </c>
      <c r="F139" s="1">
        <v>43652</v>
      </c>
      <c r="G139" s="2" t="s">
        <v>19</v>
      </c>
      <c r="H139" s="2" t="s">
        <v>183</v>
      </c>
      <c r="I139">
        <v>141</v>
      </c>
      <c r="J139" s="2" t="s">
        <v>576</v>
      </c>
      <c r="K139" s="2" t="s">
        <v>480</v>
      </c>
      <c r="L139" s="2" t="s">
        <v>481</v>
      </c>
      <c r="M139" s="2" t="s">
        <v>482</v>
      </c>
      <c r="N139" s="2" t="s">
        <v>483</v>
      </c>
      <c r="O139" s="2" t="s">
        <v>484</v>
      </c>
      <c r="P139" s="2" t="s">
        <v>269</v>
      </c>
      <c r="Q139" s="2" t="s">
        <v>485</v>
      </c>
      <c r="R139" s="2" t="s">
        <v>486</v>
      </c>
      <c r="S139" s="2" t="s">
        <v>30</v>
      </c>
      <c r="T139">
        <v>771</v>
      </c>
      <c r="U139">
        <f>VLOOKUP(Auto_Sales_data___Copy[[#This Row],[CUSTOMER_NAME]],$AF$2:$AH$90,2,FALSE)</f>
        <v>39</v>
      </c>
      <c r="V139">
        <f>VLOOKUP(Auto_Sales_data___Copy[[#This Row],[CUSTOMER_NAME]],$AF$2:$AH$90,3,FALSE)</f>
        <v>142601.33000000002</v>
      </c>
      <c r="W139" s="2">
        <f>6-MATCH(Auto_Sales_data___Copy[[#This Row],[DAYS_SINCE_LAST_ORDER]],Table2[R-Cutoff],1)</f>
        <v>5</v>
      </c>
      <c r="X139" s="2">
        <f>MATCH(Auto_Sales_data___Copy[[#This Row],[Total_Orders_Per_Customer]],Table2[F-Cutoff],1)</f>
        <v>4</v>
      </c>
      <c r="Y139" s="2">
        <f>MATCH(Auto_Sales_data___Copy[[#This Row],[Total_Sales_Per_Customer]],Table2[M-Cutoff],1)</f>
        <v>4</v>
      </c>
      <c r="Z139" s="2" t="str">
        <f>Auto_Sales_data___Copy[[#This Row],[R-Score(1-5)]]&amp;Auto_Sales_data___Copy[[#This Row],[F-Score(1-5)]]&amp;Auto_Sales_data___Copy[[#This Row],[M-Score(1-5)]]</f>
        <v>544</v>
      </c>
      <c r="AA139" s="2" t="str" cm="1">
        <f t="array" ref="AA1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9" s="2" t="str">
        <f>VLOOKUP(Auto_Sales_data___Copy[[#This Row],[Segment Name]],Table3[],2,FALSE)</f>
        <v>VIP Recognitioon &amp; Inclusivity</v>
      </c>
    </row>
    <row r="140" spans="1:28" x14ac:dyDescent="0.25">
      <c r="A140">
        <v>10266</v>
      </c>
      <c r="B140">
        <v>36</v>
      </c>
      <c r="C140">
        <v>144.35</v>
      </c>
      <c r="D140">
        <v>2</v>
      </c>
      <c r="E140">
        <v>5196.6000000000004</v>
      </c>
      <c r="F140" s="1">
        <v>43652</v>
      </c>
      <c r="G140" s="2" t="s">
        <v>19</v>
      </c>
      <c r="H140" s="2" t="s">
        <v>183</v>
      </c>
      <c r="I140">
        <v>124</v>
      </c>
      <c r="J140" s="2" t="s">
        <v>606</v>
      </c>
      <c r="K140" s="2" t="s">
        <v>480</v>
      </c>
      <c r="L140" s="2" t="s">
        <v>481</v>
      </c>
      <c r="M140" s="2" t="s">
        <v>482</v>
      </c>
      <c r="N140" s="2" t="s">
        <v>483</v>
      </c>
      <c r="O140" s="2" t="s">
        <v>484</v>
      </c>
      <c r="P140" s="2" t="s">
        <v>269</v>
      </c>
      <c r="Q140" s="2" t="s">
        <v>485</v>
      </c>
      <c r="R140" s="2" t="s">
        <v>486</v>
      </c>
      <c r="S140" s="2" t="s">
        <v>46</v>
      </c>
      <c r="T140">
        <v>845</v>
      </c>
      <c r="U140">
        <f>VLOOKUP(Auto_Sales_data___Copy[[#This Row],[CUSTOMER_NAME]],$AF$2:$AH$90,2,FALSE)</f>
        <v>39</v>
      </c>
      <c r="V140">
        <f>VLOOKUP(Auto_Sales_data___Copy[[#This Row],[CUSTOMER_NAME]],$AF$2:$AH$90,3,FALSE)</f>
        <v>142601.33000000002</v>
      </c>
      <c r="W140" s="2">
        <f>6-MATCH(Auto_Sales_data___Copy[[#This Row],[DAYS_SINCE_LAST_ORDER]],Table2[R-Cutoff],1)</f>
        <v>5</v>
      </c>
      <c r="X140" s="2">
        <f>MATCH(Auto_Sales_data___Copy[[#This Row],[Total_Orders_Per_Customer]],Table2[F-Cutoff],1)</f>
        <v>4</v>
      </c>
      <c r="Y140" s="2">
        <f>MATCH(Auto_Sales_data___Copy[[#This Row],[Total_Sales_Per_Customer]],Table2[M-Cutoff],1)</f>
        <v>4</v>
      </c>
      <c r="Z140" s="2" t="str">
        <f>Auto_Sales_data___Copy[[#This Row],[R-Score(1-5)]]&amp;Auto_Sales_data___Copy[[#This Row],[F-Score(1-5)]]&amp;Auto_Sales_data___Copy[[#This Row],[M-Score(1-5)]]</f>
        <v>544</v>
      </c>
      <c r="AA140" s="2" t="str" cm="1">
        <f t="array" ref="AA1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0" s="2" t="str">
        <f>VLOOKUP(Auto_Sales_data___Copy[[#This Row],[Segment Name]],Table3[],2,FALSE)</f>
        <v>VIP Recognitioon &amp; Inclusivity</v>
      </c>
    </row>
    <row r="141" spans="1:28" x14ac:dyDescent="0.25">
      <c r="A141">
        <v>10266</v>
      </c>
      <c r="B141">
        <v>33</v>
      </c>
      <c r="C141">
        <v>74.69</v>
      </c>
      <c r="D141">
        <v>10</v>
      </c>
      <c r="E141">
        <v>2464.77</v>
      </c>
      <c r="F141" s="1">
        <v>43652</v>
      </c>
      <c r="G141" s="2" t="s">
        <v>19</v>
      </c>
      <c r="H141" s="2" t="s">
        <v>183</v>
      </c>
      <c r="I141">
        <v>77</v>
      </c>
      <c r="J141" s="2" t="s">
        <v>629</v>
      </c>
      <c r="K141" s="2" t="s">
        <v>480</v>
      </c>
      <c r="L141" s="2" t="s">
        <v>481</v>
      </c>
      <c r="M141" s="2" t="s">
        <v>482</v>
      </c>
      <c r="N141" s="2" t="s">
        <v>483</v>
      </c>
      <c r="O141" s="2" t="s">
        <v>484</v>
      </c>
      <c r="P141" s="2" t="s">
        <v>269</v>
      </c>
      <c r="Q141" s="2" t="s">
        <v>485</v>
      </c>
      <c r="R141" s="2" t="s">
        <v>486</v>
      </c>
      <c r="S141" s="2" t="s">
        <v>30</v>
      </c>
      <c r="T141">
        <v>916</v>
      </c>
      <c r="U141">
        <f>VLOOKUP(Auto_Sales_data___Copy[[#This Row],[CUSTOMER_NAME]],$AF$2:$AH$90,2,FALSE)</f>
        <v>39</v>
      </c>
      <c r="V141">
        <f>VLOOKUP(Auto_Sales_data___Copy[[#This Row],[CUSTOMER_NAME]],$AF$2:$AH$90,3,FALSE)</f>
        <v>142601.33000000002</v>
      </c>
      <c r="W141" s="2">
        <f>6-MATCH(Auto_Sales_data___Copy[[#This Row],[DAYS_SINCE_LAST_ORDER]],Table2[R-Cutoff],1)</f>
        <v>5</v>
      </c>
      <c r="X141" s="2">
        <f>MATCH(Auto_Sales_data___Copy[[#This Row],[Total_Orders_Per_Customer]],Table2[F-Cutoff],1)</f>
        <v>4</v>
      </c>
      <c r="Y141" s="2">
        <f>MATCH(Auto_Sales_data___Copy[[#This Row],[Total_Sales_Per_Customer]],Table2[M-Cutoff],1)</f>
        <v>4</v>
      </c>
      <c r="Z141" s="2" t="str">
        <f>Auto_Sales_data___Copy[[#This Row],[R-Score(1-5)]]&amp;Auto_Sales_data___Copy[[#This Row],[F-Score(1-5)]]&amp;Auto_Sales_data___Copy[[#This Row],[M-Score(1-5)]]</f>
        <v>544</v>
      </c>
      <c r="AA141" s="2" t="str" cm="1">
        <f t="array" ref="AA1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1" s="2" t="str">
        <f>VLOOKUP(Auto_Sales_data___Copy[[#This Row],[Segment Name]],Table3[],2,FALSE)</f>
        <v>VIP Recognitioon &amp; Inclusivity</v>
      </c>
    </row>
    <row r="142" spans="1:28" x14ac:dyDescent="0.25">
      <c r="A142">
        <v>10270</v>
      </c>
      <c r="B142">
        <v>21</v>
      </c>
      <c r="C142">
        <v>233.59</v>
      </c>
      <c r="D142">
        <v>9</v>
      </c>
      <c r="E142">
        <v>4905.3900000000003</v>
      </c>
      <c r="F142" s="1">
        <v>43665</v>
      </c>
      <c r="G142" s="2" t="s">
        <v>19</v>
      </c>
      <c r="H142" s="2" t="s">
        <v>183</v>
      </c>
      <c r="I142">
        <v>214</v>
      </c>
      <c r="J142" s="2" t="s">
        <v>184</v>
      </c>
      <c r="K142" s="2" t="s">
        <v>152</v>
      </c>
      <c r="L142" s="2" t="s">
        <v>153</v>
      </c>
      <c r="M142" s="2" t="s">
        <v>154</v>
      </c>
      <c r="N142" s="2" t="s">
        <v>155</v>
      </c>
      <c r="O142" s="2" t="s">
        <v>156</v>
      </c>
      <c r="P142" s="2" t="s">
        <v>87</v>
      </c>
      <c r="Q142" s="2" t="s">
        <v>157</v>
      </c>
      <c r="R142" s="2" t="s">
        <v>158</v>
      </c>
      <c r="S142" s="2" t="s">
        <v>46</v>
      </c>
      <c r="T142">
        <v>356</v>
      </c>
      <c r="U142">
        <f>VLOOKUP(Auto_Sales_data___Copy[[#This Row],[CUSTOMER_NAME]],$AF$2:$AH$90,2,FALSE)</f>
        <v>46</v>
      </c>
      <c r="V142">
        <f>VLOOKUP(Auto_Sales_data___Copy[[#This Row],[CUSTOMER_NAME]],$AF$2:$AH$90,3,FALSE)</f>
        <v>151570.98000000001</v>
      </c>
      <c r="W142" s="2">
        <f>6-MATCH(Auto_Sales_data___Copy[[#This Row],[DAYS_SINCE_LAST_ORDER]],Table2[R-Cutoff],1)</f>
        <v>5</v>
      </c>
      <c r="X142" s="2">
        <f>MATCH(Auto_Sales_data___Copy[[#This Row],[Total_Orders_Per_Customer]],Table2[F-Cutoff],1)</f>
        <v>4</v>
      </c>
      <c r="Y142" s="2">
        <f>MATCH(Auto_Sales_data___Copy[[#This Row],[Total_Sales_Per_Customer]],Table2[M-Cutoff],1)</f>
        <v>4</v>
      </c>
      <c r="Z142" s="2" t="str">
        <f>Auto_Sales_data___Copy[[#This Row],[R-Score(1-5)]]&amp;Auto_Sales_data___Copy[[#This Row],[F-Score(1-5)]]&amp;Auto_Sales_data___Copy[[#This Row],[M-Score(1-5)]]</f>
        <v>544</v>
      </c>
      <c r="AA142" s="2" t="str" cm="1">
        <f t="array" ref="AA1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2" s="2" t="str">
        <f>VLOOKUP(Auto_Sales_data___Copy[[#This Row],[Segment Name]],Table3[],2,FALSE)</f>
        <v>VIP Recognitioon &amp; Inclusivity</v>
      </c>
    </row>
    <row r="143" spans="1:28" x14ac:dyDescent="0.25">
      <c r="A143">
        <v>10270</v>
      </c>
      <c r="B143">
        <v>32</v>
      </c>
      <c r="C143">
        <v>134.44</v>
      </c>
      <c r="D143">
        <v>2</v>
      </c>
      <c r="E143">
        <v>4302.08</v>
      </c>
      <c r="F143" s="1">
        <v>43665</v>
      </c>
      <c r="G143" s="2" t="s">
        <v>19</v>
      </c>
      <c r="H143" s="2" t="s">
        <v>183</v>
      </c>
      <c r="I143">
        <v>147</v>
      </c>
      <c r="J143" s="2" t="s">
        <v>424</v>
      </c>
      <c r="K143" s="2" t="s">
        <v>152</v>
      </c>
      <c r="L143" s="2" t="s">
        <v>153</v>
      </c>
      <c r="M143" s="2" t="s">
        <v>154</v>
      </c>
      <c r="N143" s="2" t="s">
        <v>155</v>
      </c>
      <c r="O143" s="2" t="s">
        <v>156</v>
      </c>
      <c r="P143" s="2" t="s">
        <v>87</v>
      </c>
      <c r="Q143" s="2" t="s">
        <v>157</v>
      </c>
      <c r="R143" s="2" t="s">
        <v>158</v>
      </c>
      <c r="S143" s="2" t="s">
        <v>46</v>
      </c>
      <c r="T143">
        <v>455</v>
      </c>
      <c r="U143">
        <f>VLOOKUP(Auto_Sales_data___Copy[[#This Row],[CUSTOMER_NAME]],$AF$2:$AH$90,2,FALSE)</f>
        <v>46</v>
      </c>
      <c r="V143">
        <f>VLOOKUP(Auto_Sales_data___Copy[[#This Row],[CUSTOMER_NAME]],$AF$2:$AH$90,3,FALSE)</f>
        <v>151570.98000000001</v>
      </c>
      <c r="W143" s="2">
        <f>6-MATCH(Auto_Sales_data___Copy[[#This Row],[DAYS_SINCE_LAST_ORDER]],Table2[R-Cutoff],1)</f>
        <v>5</v>
      </c>
      <c r="X143" s="2">
        <f>MATCH(Auto_Sales_data___Copy[[#This Row],[Total_Orders_Per_Customer]],Table2[F-Cutoff],1)</f>
        <v>4</v>
      </c>
      <c r="Y143" s="2">
        <f>MATCH(Auto_Sales_data___Copy[[#This Row],[Total_Sales_Per_Customer]],Table2[M-Cutoff],1)</f>
        <v>4</v>
      </c>
      <c r="Z143" s="2" t="str">
        <f>Auto_Sales_data___Copy[[#This Row],[R-Score(1-5)]]&amp;Auto_Sales_data___Copy[[#This Row],[F-Score(1-5)]]&amp;Auto_Sales_data___Copy[[#This Row],[M-Score(1-5)]]</f>
        <v>544</v>
      </c>
      <c r="AA143" s="2" t="str" cm="1">
        <f t="array" ref="AA1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3" s="2" t="str">
        <f>VLOOKUP(Auto_Sales_data___Copy[[#This Row],[Segment Name]],Table3[],2,FALSE)</f>
        <v>VIP Recognitioon &amp; Inclusivity</v>
      </c>
    </row>
    <row r="144" spans="1:28" x14ac:dyDescent="0.25">
      <c r="A144">
        <v>10270</v>
      </c>
      <c r="B144">
        <v>28</v>
      </c>
      <c r="C144">
        <v>146.24</v>
      </c>
      <c r="D144">
        <v>6</v>
      </c>
      <c r="E144">
        <v>4094.72</v>
      </c>
      <c r="F144" s="1">
        <v>43665</v>
      </c>
      <c r="G144" s="2" t="s">
        <v>19</v>
      </c>
      <c r="H144" s="2" t="s">
        <v>537</v>
      </c>
      <c r="I144">
        <v>136</v>
      </c>
      <c r="J144" s="2" t="s">
        <v>538</v>
      </c>
      <c r="K144" s="2" t="s">
        <v>152</v>
      </c>
      <c r="L144" s="2" t="s">
        <v>153</v>
      </c>
      <c r="M144" s="2" t="s">
        <v>154</v>
      </c>
      <c r="N144" s="2" t="s">
        <v>155</v>
      </c>
      <c r="O144" s="2" t="s">
        <v>156</v>
      </c>
      <c r="P144" s="2" t="s">
        <v>87</v>
      </c>
      <c r="Q144" s="2" t="s">
        <v>157</v>
      </c>
      <c r="R144" s="2" t="s">
        <v>158</v>
      </c>
      <c r="S144" s="2" t="s">
        <v>46</v>
      </c>
      <c r="T144">
        <v>532</v>
      </c>
      <c r="U144">
        <f>VLOOKUP(Auto_Sales_data___Copy[[#This Row],[CUSTOMER_NAME]],$AF$2:$AH$90,2,FALSE)</f>
        <v>46</v>
      </c>
      <c r="V144">
        <f>VLOOKUP(Auto_Sales_data___Copy[[#This Row],[CUSTOMER_NAME]],$AF$2:$AH$90,3,FALSE)</f>
        <v>151570.98000000001</v>
      </c>
      <c r="W144" s="2">
        <f>6-MATCH(Auto_Sales_data___Copy[[#This Row],[DAYS_SINCE_LAST_ORDER]],Table2[R-Cutoff],1)</f>
        <v>5</v>
      </c>
      <c r="X144" s="2">
        <f>MATCH(Auto_Sales_data___Copy[[#This Row],[Total_Orders_Per_Customer]],Table2[F-Cutoff],1)</f>
        <v>4</v>
      </c>
      <c r="Y144" s="2">
        <f>MATCH(Auto_Sales_data___Copy[[#This Row],[Total_Sales_Per_Customer]],Table2[M-Cutoff],1)</f>
        <v>4</v>
      </c>
      <c r="Z144" s="2" t="str">
        <f>Auto_Sales_data___Copy[[#This Row],[R-Score(1-5)]]&amp;Auto_Sales_data___Copy[[#This Row],[F-Score(1-5)]]&amp;Auto_Sales_data___Copy[[#This Row],[M-Score(1-5)]]</f>
        <v>544</v>
      </c>
      <c r="AA144" s="2" t="str" cm="1">
        <f t="array" ref="AA1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4" s="2" t="str">
        <f>VLOOKUP(Auto_Sales_data___Copy[[#This Row],[Segment Name]],Table3[],2,FALSE)</f>
        <v>VIP Recognitioon &amp; Inclusivity</v>
      </c>
    </row>
    <row r="145" spans="1:28" x14ac:dyDescent="0.25">
      <c r="A145">
        <v>10270</v>
      </c>
      <c r="B145">
        <v>43</v>
      </c>
      <c r="C145">
        <v>96.84</v>
      </c>
      <c r="D145">
        <v>8</v>
      </c>
      <c r="E145">
        <v>4164.12</v>
      </c>
      <c r="F145" s="1">
        <v>43665</v>
      </c>
      <c r="G145" s="2" t="s">
        <v>19</v>
      </c>
      <c r="H145" s="2" t="s">
        <v>537</v>
      </c>
      <c r="I145">
        <v>116</v>
      </c>
      <c r="J145" s="2" t="s">
        <v>575</v>
      </c>
      <c r="K145" s="2" t="s">
        <v>152</v>
      </c>
      <c r="L145" s="2" t="s">
        <v>153</v>
      </c>
      <c r="M145" s="2" t="s">
        <v>154</v>
      </c>
      <c r="N145" s="2" t="s">
        <v>155</v>
      </c>
      <c r="O145" s="2" t="s">
        <v>156</v>
      </c>
      <c r="P145" s="2" t="s">
        <v>87</v>
      </c>
      <c r="Q145" s="2" t="s">
        <v>157</v>
      </c>
      <c r="R145" s="2" t="s">
        <v>158</v>
      </c>
      <c r="S145" s="2" t="s">
        <v>46</v>
      </c>
      <c r="T145">
        <v>733</v>
      </c>
      <c r="U145">
        <f>VLOOKUP(Auto_Sales_data___Copy[[#This Row],[CUSTOMER_NAME]],$AF$2:$AH$90,2,FALSE)</f>
        <v>46</v>
      </c>
      <c r="V145">
        <f>VLOOKUP(Auto_Sales_data___Copy[[#This Row],[CUSTOMER_NAME]],$AF$2:$AH$90,3,FALSE)</f>
        <v>151570.98000000001</v>
      </c>
      <c r="W145" s="2">
        <f>6-MATCH(Auto_Sales_data___Copy[[#This Row],[DAYS_SINCE_LAST_ORDER]],Table2[R-Cutoff],1)</f>
        <v>5</v>
      </c>
      <c r="X145" s="2">
        <f>MATCH(Auto_Sales_data___Copy[[#This Row],[Total_Orders_Per_Customer]],Table2[F-Cutoff],1)</f>
        <v>4</v>
      </c>
      <c r="Y145" s="2">
        <f>MATCH(Auto_Sales_data___Copy[[#This Row],[Total_Sales_Per_Customer]],Table2[M-Cutoff],1)</f>
        <v>4</v>
      </c>
      <c r="Z145" s="2" t="str">
        <f>Auto_Sales_data___Copy[[#This Row],[R-Score(1-5)]]&amp;Auto_Sales_data___Copy[[#This Row],[F-Score(1-5)]]&amp;Auto_Sales_data___Copy[[#This Row],[M-Score(1-5)]]</f>
        <v>544</v>
      </c>
      <c r="AA145" s="2" t="str" cm="1">
        <f t="array" ref="AA1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5" s="2" t="str">
        <f>VLOOKUP(Auto_Sales_data___Copy[[#This Row],[Segment Name]],Table3[],2,FALSE)</f>
        <v>VIP Recognitioon &amp; Inclusivity</v>
      </c>
    </row>
    <row r="146" spans="1:28" x14ac:dyDescent="0.25">
      <c r="A146">
        <v>10272</v>
      </c>
      <c r="B146">
        <v>35</v>
      </c>
      <c r="C146">
        <v>166.24</v>
      </c>
      <c r="D146">
        <v>2</v>
      </c>
      <c r="E146">
        <v>5818.4</v>
      </c>
      <c r="F146" s="1">
        <v>43666</v>
      </c>
      <c r="G146" s="2" t="s">
        <v>19</v>
      </c>
      <c r="H146" s="2" t="s">
        <v>183</v>
      </c>
      <c r="I146">
        <v>207</v>
      </c>
      <c r="J146" s="2" t="s">
        <v>505</v>
      </c>
      <c r="K146" s="2" t="s">
        <v>137</v>
      </c>
      <c r="L146" s="2" t="s">
        <v>138</v>
      </c>
      <c r="M146" s="2" t="s">
        <v>139</v>
      </c>
      <c r="N146" s="2" t="s">
        <v>140</v>
      </c>
      <c r="O146" s="2" t="s">
        <v>141</v>
      </c>
      <c r="P146" s="2" t="s">
        <v>27</v>
      </c>
      <c r="Q146" s="2" t="s">
        <v>28</v>
      </c>
      <c r="R146" s="2" t="s">
        <v>142</v>
      </c>
      <c r="S146" s="2" t="s">
        <v>46</v>
      </c>
      <c r="T146">
        <v>504</v>
      </c>
      <c r="U146">
        <f>VLOOKUP(Auto_Sales_data___Copy[[#This Row],[CUSTOMER_NAME]],$AF$2:$AH$90,2,FALSE)</f>
        <v>31</v>
      </c>
      <c r="V146">
        <f>VLOOKUP(Auto_Sales_data___Copy[[#This Row],[CUSTOMER_NAME]],$AF$2:$AH$90,3,FALSE)</f>
        <v>122138.14</v>
      </c>
      <c r="W146" s="2">
        <f>6-MATCH(Auto_Sales_data___Copy[[#This Row],[DAYS_SINCE_LAST_ORDER]],Table2[R-Cutoff],1)</f>
        <v>5</v>
      </c>
      <c r="X146" s="2">
        <f>MATCH(Auto_Sales_data___Copy[[#This Row],[Total_Orders_Per_Customer]],Table2[F-Cutoff],1)</f>
        <v>4</v>
      </c>
      <c r="Y146" s="2">
        <f>MATCH(Auto_Sales_data___Copy[[#This Row],[Total_Sales_Per_Customer]],Table2[M-Cutoff],1)</f>
        <v>4</v>
      </c>
      <c r="Z146" s="2" t="str">
        <f>Auto_Sales_data___Copy[[#This Row],[R-Score(1-5)]]&amp;Auto_Sales_data___Copy[[#This Row],[F-Score(1-5)]]&amp;Auto_Sales_data___Copy[[#This Row],[M-Score(1-5)]]</f>
        <v>544</v>
      </c>
      <c r="AA146" s="2" t="str" cm="1">
        <f t="array" ref="AA1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6" s="2" t="str">
        <f>VLOOKUP(Auto_Sales_data___Copy[[#This Row],[Segment Name]],Table3[],2,FALSE)</f>
        <v>VIP Recognitioon &amp; Inclusivity</v>
      </c>
    </row>
    <row r="147" spans="1:28" x14ac:dyDescent="0.25">
      <c r="A147">
        <v>10272</v>
      </c>
      <c r="B147">
        <v>27</v>
      </c>
      <c r="C147">
        <v>158.63</v>
      </c>
      <c r="D147">
        <v>3</v>
      </c>
      <c r="E147">
        <v>4283.01</v>
      </c>
      <c r="F147" s="1">
        <v>43666</v>
      </c>
      <c r="G147" s="2" t="s">
        <v>19</v>
      </c>
      <c r="H147" s="2" t="s">
        <v>183</v>
      </c>
      <c r="I147">
        <v>151</v>
      </c>
      <c r="J147" s="2" t="s">
        <v>545</v>
      </c>
      <c r="K147" s="2" t="s">
        <v>137</v>
      </c>
      <c r="L147" s="2" t="s">
        <v>138</v>
      </c>
      <c r="M147" s="2" t="s">
        <v>139</v>
      </c>
      <c r="N147" s="2" t="s">
        <v>140</v>
      </c>
      <c r="O147" s="2" t="s">
        <v>141</v>
      </c>
      <c r="P147" s="2" t="s">
        <v>27</v>
      </c>
      <c r="Q147" s="2" t="s">
        <v>28</v>
      </c>
      <c r="R147" s="2" t="s">
        <v>142</v>
      </c>
      <c r="S147" s="2" t="s">
        <v>46</v>
      </c>
      <c r="T147">
        <v>580</v>
      </c>
      <c r="U147">
        <f>VLOOKUP(Auto_Sales_data___Copy[[#This Row],[CUSTOMER_NAME]],$AF$2:$AH$90,2,FALSE)</f>
        <v>31</v>
      </c>
      <c r="V147">
        <f>VLOOKUP(Auto_Sales_data___Copy[[#This Row],[CUSTOMER_NAME]],$AF$2:$AH$90,3,FALSE)</f>
        <v>122138.14</v>
      </c>
      <c r="W147" s="2">
        <f>6-MATCH(Auto_Sales_data___Copy[[#This Row],[DAYS_SINCE_LAST_ORDER]],Table2[R-Cutoff],1)</f>
        <v>5</v>
      </c>
      <c r="X147" s="2">
        <f>MATCH(Auto_Sales_data___Copy[[#This Row],[Total_Orders_Per_Customer]],Table2[F-Cutoff],1)</f>
        <v>4</v>
      </c>
      <c r="Y147" s="2">
        <f>MATCH(Auto_Sales_data___Copy[[#This Row],[Total_Sales_Per_Customer]],Table2[M-Cutoff],1)</f>
        <v>4</v>
      </c>
      <c r="Z147" s="2" t="str">
        <f>Auto_Sales_data___Copy[[#This Row],[R-Score(1-5)]]&amp;Auto_Sales_data___Copy[[#This Row],[F-Score(1-5)]]&amp;Auto_Sales_data___Copy[[#This Row],[M-Score(1-5)]]</f>
        <v>544</v>
      </c>
      <c r="AA147" s="2" t="str" cm="1">
        <f t="array" ref="AA1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7" s="2" t="str">
        <f>VLOOKUP(Auto_Sales_data___Copy[[#This Row],[Segment Name]],Table3[],2,FALSE)</f>
        <v>VIP Recognitioon &amp; Inclusivity</v>
      </c>
    </row>
    <row r="148" spans="1:28" x14ac:dyDescent="0.25">
      <c r="A148">
        <v>10272</v>
      </c>
      <c r="B148">
        <v>39</v>
      </c>
      <c r="C148">
        <v>204.16</v>
      </c>
      <c r="D148">
        <v>1</v>
      </c>
      <c r="E148">
        <v>7962.24</v>
      </c>
      <c r="F148" s="1">
        <v>43666</v>
      </c>
      <c r="G148" s="2" t="s">
        <v>19</v>
      </c>
      <c r="H148" s="2" t="s">
        <v>183</v>
      </c>
      <c r="I148">
        <v>173</v>
      </c>
      <c r="J148" s="2" t="s">
        <v>552</v>
      </c>
      <c r="K148" s="2" t="s">
        <v>137</v>
      </c>
      <c r="L148" s="2" t="s">
        <v>138</v>
      </c>
      <c r="M148" s="2" t="s">
        <v>139</v>
      </c>
      <c r="N148" s="2" t="s">
        <v>140</v>
      </c>
      <c r="O148" s="2" t="s">
        <v>141</v>
      </c>
      <c r="P148" s="2" t="s">
        <v>27</v>
      </c>
      <c r="Q148" s="2" t="s">
        <v>28</v>
      </c>
      <c r="R148" s="2" t="s">
        <v>142</v>
      </c>
      <c r="S148" s="2" t="s">
        <v>151</v>
      </c>
      <c r="T148">
        <v>629</v>
      </c>
      <c r="U148">
        <f>VLOOKUP(Auto_Sales_data___Copy[[#This Row],[CUSTOMER_NAME]],$AF$2:$AH$90,2,FALSE)</f>
        <v>31</v>
      </c>
      <c r="V148">
        <f>VLOOKUP(Auto_Sales_data___Copy[[#This Row],[CUSTOMER_NAME]],$AF$2:$AH$90,3,FALSE)</f>
        <v>122138.14</v>
      </c>
      <c r="W148" s="2">
        <f>6-MATCH(Auto_Sales_data___Copy[[#This Row],[DAYS_SINCE_LAST_ORDER]],Table2[R-Cutoff],1)</f>
        <v>5</v>
      </c>
      <c r="X148" s="2">
        <f>MATCH(Auto_Sales_data___Copy[[#This Row],[Total_Orders_Per_Customer]],Table2[F-Cutoff],1)</f>
        <v>4</v>
      </c>
      <c r="Y148" s="2">
        <f>MATCH(Auto_Sales_data___Copy[[#This Row],[Total_Sales_Per_Customer]],Table2[M-Cutoff],1)</f>
        <v>4</v>
      </c>
      <c r="Z148" s="2" t="str">
        <f>Auto_Sales_data___Copy[[#This Row],[R-Score(1-5)]]&amp;Auto_Sales_data___Copy[[#This Row],[F-Score(1-5)]]&amp;Auto_Sales_data___Copy[[#This Row],[M-Score(1-5)]]</f>
        <v>544</v>
      </c>
      <c r="AA148" s="2" t="str" cm="1">
        <f t="array" ref="AA1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8" s="2" t="str">
        <f>VLOOKUP(Auto_Sales_data___Copy[[#This Row],[Segment Name]],Table3[],2,FALSE)</f>
        <v>VIP Recognitioon &amp; Inclusivity</v>
      </c>
    </row>
    <row r="149" spans="1:28" x14ac:dyDescent="0.25">
      <c r="A149">
        <v>10271</v>
      </c>
      <c r="B149">
        <v>31</v>
      </c>
      <c r="C149">
        <v>97.17</v>
      </c>
      <c r="D149">
        <v>5</v>
      </c>
      <c r="E149">
        <v>3012.27</v>
      </c>
      <c r="F149" s="1">
        <v>43666</v>
      </c>
      <c r="G149" s="2" t="s">
        <v>19</v>
      </c>
      <c r="H149" s="2" t="s">
        <v>537</v>
      </c>
      <c r="I149">
        <v>118</v>
      </c>
      <c r="J149" s="2" t="s">
        <v>554</v>
      </c>
      <c r="K149" s="2" t="s">
        <v>284</v>
      </c>
      <c r="L149" s="2" t="s">
        <v>285</v>
      </c>
      <c r="M149" s="2" t="s">
        <v>286</v>
      </c>
      <c r="N149" s="2" t="s">
        <v>287</v>
      </c>
      <c r="O149" s="2" t="s">
        <v>106</v>
      </c>
      <c r="P149" s="2" t="s">
        <v>27</v>
      </c>
      <c r="Q149" s="2" t="s">
        <v>288</v>
      </c>
      <c r="R149" s="2" t="s">
        <v>289</v>
      </c>
      <c r="S149" s="2" t="s">
        <v>46</v>
      </c>
      <c r="T149">
        <v>680</v>
      </c>
      <c r="U149">
        <f>VLOOKUP(Auto_Sales_data___Copy[[#This Row],[CUSTOMER_NAME]],$AF$2:$AH$90,2,FALSE)</f>
        <v>180</v>
      </c>
      <c r="V149">
        <f>VLOOKUP(Auto_Sales_data___Copy[[#This Row],[CUSTOMER_NAME]],$AF$2:$AH$90,3,FALSE)</f>
        <v>654858.06000000017</v>
      </c>
      <c r="W149" s="2">
        <f>6-MATCH(Auto_Sales_data___Copy[[#This Row],[DAYS_SINCE_LAST_ORDER]],Table2[R-Cutoff],1)</f>
        <v>5</v>
      </c>
      <c r="X149" s="2">
        <f>MATCH(Auto_Sales_data___Copy[[#This Row],[Total_Orders_Per_Customer]],Table2[F-Cutoff],1)</f>
        <v>4</v>
      </c>
      <c r="Y149" s="2">
        <f>MATCH(Auto_Sales_data___Copy[[#This Row],[Total_Sales_Per_Customer]],Table2[M-Cutoff],1)</f>
        <v>4</v>
      </c>
      <c r="Z149" s="2" t="str">
        <f>Auto_Sales_data___Copy[[#This Row],[R-Score(1-5)]]&amp;Auto_Sales_data___Copy[[#This Row],[F-Score(1-5)]]&amp;Auto_Sales_data___Copy[[#This Row],[M-Score(1-5)]]</f>
        <v>544</v>
      </c>
      <c r="AA149" s="2" t="str" cm="1">
        <f t="array" ref="AA1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9" s="2" t="str">
        <f>VLOOKUP(Auto_Sales_data___Copy[[#This Row],[Segment Name]],Table3[],2,FALSE)</f>
        <v>VIP Recognitioon &amp; Inclusivity</v>
      </c>
    </row>
    <row r="150" spans="1:28" x14ac:dyDescent="0.25">
      <c r="A150">
        <v>10275</v>
      </c>
      <c r="B150">
        <v>45</v>
      </c>
      <c r="C150">
        <v>92.83</v>
      </c>
      <c r="D150">
        <v>1</v>
      </c>
      <c r="E150">
        <v>4177.3500000000004</v>
      </c>
      <c r="F150" s="1">
        <v>43669</v>
      </c>
      <c r="G150" s="2" t="s">
        <v>19</v>
      </c>
      <c r="H150" s="2" t="s">
        <v>20</v>
      </c>
      <c r="I150">
        <v>95</v>
      </c>
      <c r="J150" s="2" t="s">
        <v>21</v>
      </c>
      <c r="K150" s="2" t="s">
        <v>108</v>
      </c>
      <c r="L150" s="2" t="s">
        <v>109</v>
      </c>
      <c r="M150" s="2" t="s">
        <v>110</v>
      </c>
      <c r="N150" s="2" t="s">
        <v>111</v>
      </c>
      <c r="O150" s="2" t="s">
        <v>112</v>
      </c>
      <c r="P150" s="2" t="s">
        <v>36</v>
      </c>
      <c r="Q150" s="2" t="s">
        <v>113</v>
      </c>
      <c r="R150" s="2" t="s">
        <v>114</v>
      </c>
      <c r="S150" s="2" t="s">
        <v>46</v>
      </c>
      <c r="T150">
        <v>326</v>
      </c>
      <c r="U150">
        <f>VLOOKUP(Auto_Sales_data___Copy[[#This Row],[CUSTOMER_NAME]],$AF$2:$AH$90,2,FALSE)</f>
        <v>53</v>
      </c>
      <c r="V150">
        <f>VLOOKUP(Auto_Sales_data___Copy[[#This Row],[CUSTOMER_NAME]],$AF$2:$AH$90,3,FALSE)</f>
        <v>180124.90000000008</v>
      </c>
      <c r="W150" s="2">
        <f>6-MATCH(Auto_Sales_data___Copy[[#This Row],[DAYS_SINCE_LAST_ORDER]],Table2[R-Cutoff],1)</f>
        <v>5</v>
      </c>
      <c r="X150" s="2">
        <f>MATCH(Auto_Sales_data___Copy[[#This Row],[Total_Orders_Per_Customer]],Table2[F-Cutoff],1)</f>
        <v>4</v>
      </c>
      <c r="Y150" s="2">
        <f>MATCH(Auto_Sales_data___Copy[[#This Row],[Total_Sales_Per_Customer]],Table2[M-Cutoff],1)</f>
        <v>4</v>
      </c>
      <c r="Z150" s="2" t="str">
        <f>Auto_Sales_data___Copy[[#This Row],[R-Score(1-5)]]&amp;Auto_Sales_data___Copy[[#This Row],[F-Score(1-5)]]&amp;Auto_Sales_data___Copy[[#This Row],[M-Score(1-5)]]</f>
        <v>544</v>
      </c>
      <c r="AA150" s="2" t="str" cm="1">
        <f t="array" ref="AA1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0" s="2" t="str">
        <f>VLOOKUP(Auto_Sales_data___Copy[[#This Row],[Segment Name]],Table3[],2,FALSE)</f>
        <v>VIP Recognitioon &amp; Inclusivity</v>
      </c>
    </row>
    <row r="151" spans="1:28" x14ac:dyDescent="0.25">
      <c r="A151">
        <v>10275</v>
      </c>
      <c r="B151">
        <v>22</v>
      </c>
      <c r="C151">
        <v>132.02000000000001</v>
      </c>
      <c r="D151">
        <v>4</v>
      </c>
      <c r="E151">
        <v>2904.44</v>
      </c>
      <c r="F151" s="1">
        <v>43669</v>
      </c>
      <c r="G151" s="2" t="s">
        <v>19</v>
      </c>
      <c r="H151" s="2" t="s">
        <v>20</v>
      </c>
      <c r="I151">
        <v>118</v>
      </c>
      <c r="J151" s="2" t="s">
        <v>315</v>
      </c>
      <c r="K151" s="2" t="s">
        <v>108</v>
      </c>
      <c r="L151" s="2" t="s">
        <v>109</v>
      </c>
      <c r="M151" s="2" t="s">
        <v>110</v>
      </c>
      <c r="N151" s="2" t="s">
        <v>111</v>
      </c>
      <c r="O151" s="2" t="s">
        <v>112</v>
      </c>
      <c r="P151" s="2" t="s">
        <v>36</v>
      </c>
      <c r="Q151" s="2" t="s">
        <v>113</v>
      </c>
      <c r="R151" s="2" t="s">
        <v>114</v>
      </c>
      <c r="S151" s="2" t="s">
        <v>30</v>
      </c>
      <c r="T151">
        <v>376</v>
      </c>
      <c r="U151">
        <f>VLOOKUP(Auto_Sales_data___Copy[[#This Row],[CUSTOMER_NAME]],$AF$2:$AH$90,2,FALSE)</f>
        <v>53</v>
      </c>
      <c r="V151">
        <f>VLOOKUP(Auto_Sales_data___Copy[[#This Row],[CUSTOMER_NAME]],$AF$2:$AH$90,3,FALSE)</f>
        <v>180124.90000000008</v>
      </c>
      <c r="W151" s="2">
        <f>6-MATCH(Auto_Sales_data___Copy[[#This Row],[DAYS_SINCE_LAST_ORDER]],Table2[R-Cutoff],1)</f>
        <v>5</v>
      </c>
      <c r="X151" s="2">
        <f>MATCH(Auto_Sales_data___Copy[[#This Row],[Total_Orders_Per_Customer]],Table2[F-Cutoff],1)</f>
        <v>4</v>
      </c>
      <c r="Y151" s="2">
        <f>MATCH(Auto_Sales_data___Copy[[#This Row],[Total_Sales_Per_Customer]],Table2[M-Cutoff],1)</f>
        <v>4</v>
      </c>
      <c r="Z151" s="2" t="str">
        <f>Auto_Sales_data___Copy[[#This Row],[R-Score(1-5)]]&amp;Auto_Sales_data___Copy[[#This Row],[F-Score(1-5)]]&amp;Auto_Sales_data___Copy[[#This Row],[M-Score(1-5)]]</f>
        <v>544</v>
      </c>
      <c r="AA151" s="2" t="str" cm="1">
        <f t="array" ref="AA1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1" s="2" t="str">
        <f>VLOOKUP(Auto_Sales_data___Copy[[#This Row],[Segment Name]],Table3[],2,FALSE)</f>
        <v>VIP Recognitioon &amp; Inclusivity</v>
      </c>
    </row>
    <row r="152" spans="1:28" x14ac:dyDescent="0.25">
      <c r="A152">
        <v>10275</v>
      </c>
      <c r="B152">
        <v>36</v>
      </c>
      <c r="C152">
        <v>191.72</v>
      </c>
      <c r="D152">
        <v>3</v>
      </c>
      <c r="E152">
        <v>6901.92</v>
      </c>
      <c r="F152" s="1">
        <v>43669</v>
      </c>
      <c r="G152" s="2" t="s">
        <v>19</v>
      </c>
      <c r="H152" s="2" t="s">
        <v>20</v>
      </c>
      <c r="I152">
        <v>193</v>
      </c>
      <c r="J152" s="2" t="s">
        <v>337</v>
      </c>
      <c r="K152" s="2" t="s">
        <v>108</v>
      </c>
      <c r="L152" s="2" t="s">
        <v>109</v>
      </c>
      <c r="M152" s="2" t="s">
        <v>110</v>
      </c>
      <c r="N152" s="2" t="s">
        <v>111</v>
      </c>
      <c r="O152" s="2" t="s">
        <v>112</v>
      </c>
      <c r="P152" s="2" t="s">
        <v>36</v>
      </c>
      <c r="Q152" s="2" t="s">
        <v>113</v>
      </c>
      <c r="R152" s="2" t="s">
        <v>114</v>
      </c>
      <c r="S152" s="2" t="s">
        <v>46</v>
      </c>
      <c r="T152">
        <v>400</v>
      </c>
      <c r="U152">
        <f>VLOOKUP(Auto_Sales_data___Copy[[#This Row],[CUSTOMER_NAME]],$AF$2:$AH$90,2,FALSE)</f>
        <v>53</v>
      </c>
      <c r="V152">
        <f>VLOOKUP(Auto_Sales_data___Copy[[#This Row],[CUSTOMER_NAME]],$AF$2:$AH$90,3,FALSE)</f>
        <v>180124.90000000008</v>
      </c>
      <c r="W152" s="2">
        <f>6-MATCH(Auto_Sales_data___Copy[[#This Row],[DAYS_SINCE_LAST_ORDER]],Table2[R-Cutoff],1)</f>
        <v>5</v>
      </c>
      <c r="X152" s="2">
        <f>MATCH(Auto_Sales_data___Copy[[#This Row],[Total_Orders_Per_Customer]],Table2[F-Cutoff],1)</f>
        <v>4</v>
      </c>
      <c r="Y152" s="2">
        <f>MATCH(Auto_Sales_data___Copy[[#This Row],[Total_Sales_Per_Customer]],Table2[M-Cutoff],1)</f>
        <v>4</v>
      </c>
      <c r="Z152" s="2" t="str">
        <f>Auto_Sales_data___Copy[[#This Row],[R-Score(1-5)]]&amp;Auto_Sales_data___Copy[[#This Row],[F-Score(1-5)]]&amp;Auto_Sales_data___Copy[[#This Row],[M-Score(1-5)]]</f>
        <v>544</v>
      </c>
      <c r="AA152" s="2" t="str" cm="1">
        <f t="array" ref="AA1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2" s="2" t="str">
        <f>VLOOKUP(Auto_Sales_data___Copy[[#This Row],[Segment Name]],Table3[],2,FALSE)</f>
        <v>VIP Recognitioon &amp; Inclusivity</v>
      </c>
    </row>
    <row r="153" spans="1:28" x14ac:dyDescent="0.25">
      <c r="A153">
        <v>10277</v>
      </c>
      <c r="B153">
        <v>28</v>
      </c>
      <c r="C153">
        <v>111.71</v>
      </c>
      <c r="D153">
        <v>1</v>
      </c>
      <c r="E153">
        <v>3127.88</v>
      </c>
      <c r="F153" s="1">
        <v>43681</v>
      </c>
      <c r="G153" s="2" t="s">
        <v>19</v>
      </c>
      <c r="H153" s="2" t="s">
        <v>183</v>
      </c>
      <c r="I153">
        <v>115</v>
      </c>
      <c r="J153" s="2" t="s">
        <v>567</v>
      </c>
      <c r="K153" s="2" t="s">
        <v>199</v>
      </c>
      <c r="L153" s="2" t="s">
        <v>200</v>
      </c>
      <c r="M153" s="2" t="s">
        <v>201</v>
      </c>
      <c r="N153" s="2" t="s">
        <v>202</v>
      </c>
      <c r="O153" s="2" t="s">
        <v>203</v>
      </c>
      <c r="P153" s="2" t="s">
        <v>202</v>
      </c>
      <c r="Q153" s="2" t="s">
        <v>204</v>
      </c>
      <c r="R153" s="2" t="s">
        <v>205</v>
      </c>
      <c r="S153" s="2" t="s">
        <v>46</v>
      </c>
      <c r="T153">
        <v>691</v>
      </c>
      <c r="U153">
        <f>VLOOKUP(Auto_Sales_data___Copy[[#This Row],[CUSTOMER_NAME]],$AF$2:$AH$90,2,FALSE)</f>
        <v>43</v>
      </c>
      <c r="V153">
        <f>VLOOKUP(Auto_Sales_data___Copy[[#This Row],[CUSTOMER_NAME]],$AF$2:$AH$90,3,FALSE)</f>
        <v>172989.68000000008</v>
      </c>
      <c r="W153" s="2">
        <f>6-MATCH(Auto_Sales_data___Copy[[#This Row],[DAYS_SINCE_LAST_ORDER]],Table2[R-Cutoff],1)</f>
        <v>5</v>
      </c>
      <c r="X153" s="2">
        <f>MATCH(Auto_Sales_data___Copy[[#This Row],[Total_Orders_Per_Customer]],Table2[F-Cutoff],1)</f>
        <v>4</v>
      </c>
      <c r="Y153" s="2">
        <f>MATCH(Auto_Sales_data___Copy[[#This Row],[Total_Sales_Per_Customer]],Table2[M-Cutoff],1)</f>
        <v>4</v>
      </c>
      <c r="Z153" s="2" t="str">
        <f>Auto_Sales_data___Copy[[#This Row],[R-Score(1-5)]]&amp;Auto_Sales_data___Copy[[#This Row],[F-Score(1-5)]]&amp;Auto_Sales_data___Copy[[#This Row],[M-Score(1-5)]]</f>
        <v>544</v>
      </c>
      <c r="AA153" s="2" t="str" cm="1">
        <f t="array" ref="AA1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3" s="2" t="str">
        <f>VLOOKUP(Auto_Sales_data___Copy[[#This Row],[Segment Name]],Table3[],2,FALSE)</f>
        <v>VIP Recognitioon &amp; Inclusivity</v>
      </c>
    </row>
    <row r="154" spans="1:28" x14ac:dyDescent="0.25">
      <c r="A154">
        <v>10281</v>
      </c>
      <c r="B154">
        <v>44</v>
      </c>
      <c r="C154">
        <v>159.56</v>
      </c>
      <c r="D154">
        <v>9</v>
      </c>
      <c r="E154">
        <v>7020.64</v>
      </c>
      <c r="F154" s="1">
        <v>43696</v>
      </c>
      <c r="G154" s="2" t="s">
        <v>19</v>
      </c>
      <c r="H154" s="2" t="s">
        <v>183</v>
      </c>
      <c r="I154">
        <v>147</v>
      </c>
      <c r="J154" s="2" t="s">
        <v>424</v>
      </c>
      <c r="K154" s="2" t="s">
        <v>137</v>
      </c>
      <c r="L154" s="2" t="s">
        <v>138</v>
      </c>
      <c r="M154" s="2" t="s">
        <v>139</v>
      </c>
      <c r="N154" s="2" t="s">
        <v>140</v>
      </c>
      <c r="O154" s="2" t="s">
        <v>141</v>
      </c>
      <c r="P154" s="2" t="s">
        <v>27</v>
      </c>
      <c r="Q154" s="2" t="s">
        <v>28</v>
      </c>
      <c r="R154" s="2" t="s">
        <v>142</v>
      </c>
      <c r="S154" s="2" t="s">
        <v>151</v>
      </c>
      <c r="T154">
        <v>425</v>
      </c>
      <c r="U154">
        <f>VLOOKUP(Auto_Sales_data___Copy[[#This Row],[CUSTOMER_NAME]],$AF$2:$AH$90,2,FALSE)</f>
        <v>31</v>
      </c>
      <c r="V154">
        <f>VLOOKUP(Auto_Sales_data___Copy[[#This Row],[CUSTOMER_NAME]],$AF$2:$AH$90,3,FALSE)</f>
        <v>122138.14</v>
      </c>
      <c r="W154" s="2">
        <f>6-MATCH(Auto_Sales_data___Copy[[#This Row],[DAYS_SINCE_LAST_ORDER]],Table2[R-Cutoff],1)</f>
        <v>5</v>
      </c>
      <c r="X154" s="2">
        <f>MATCH(Auto_Sales_data___Copy[[#This Row],[Total_Orders_Per_Customer]],Table2[F-Cutoff],1)</f>
        <v>4</v>
      </c>
      <c r="Y154" s="2">
        <f>MATCH(Auto_Sales_data___Copy[[#This Row],[Total_Sales_Per_Customer]],Table2[M-Cutoff],1)</f>
        <v>4</v>
      </c>
      <c r="Z154" s="2" t="str">
        <f>Auto_Sales_data___Copy[[#This Row],[R-Score(1-5)]]&amp;Auto_Sales_data___Copy[[#This Row],[F-Score(1-5)]]&amp;Auto_Sales_data___Copy[[#This Row],[M-Score(1-5)]]</f>
        <v>544</v>
      </c>
      <c r="AA154" s="2" t="str" cm="1">
        <f t="array" ref="AA1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4" s="2" t="str">
        <f>VLOOKUP(Auto_Sales_data___Copy[[#This Row],[Segment Name]],Table3[],2,FALSE)</f>
        <v>VIP Recognitioon &amp; Inclusivity</v>
      </c>
    </row>
    <row r="155" spans="1:28" x14ac:dyDescent="0.25">
      <c r="A155">
        <v>10281</v>
      </c>
      <c r="B155">
        <v>25</v>
      </c>
      <c r="C155">
        <v>117.54</v>
      </c>
      <c r="D155">
        <v>13</v>
      </c>
      <c r="E155">
        <v>2938.5</v>
      </c>
      <c r="F155" s="1">
        <v>43696</v>
      </c>
      <c r="G155" s="2" t="s">
        <v>19</v>
      </c>
      <c r="H155" s="2" t="s">
        <v>537</v>
      </c>
      <c r="I155">
        <v>136</v>
      </c>
      <c r="J155" s="2" t="s">
        <v>538</v>
      </c>
      <c r="K155" s="2" t="s">
        <v>137</v>
      </c>
      <c r="L155" s="2" t="s">
        <v>138</v>
      </c>
      <c r="M155" s="2" t="s">
        <v>139</v>
      </c>
      <c r="N155" s="2" t="s">
        <v>140</v>
      </c>
      <c r="O155" s="2" t="s">
        <v>141</v>
      </c>
      <c r="P155" s="2" t="s">
        <v>27</v>
      </c>
      <c r="Q155" s="2" t="s">
        <v>28</v>
      </c>
      <c r="R155" s="2" t="s">
        <v>142</v>
      </c>
      <c r="S155" s="2" t="s">
        <v>30</v>
      </c>
      <c r="T155">
        <v>502</v>
      </c>
      <c r="U155">
        <f>VLOOKUP(Auto_Sales_data___Copy[[#This Row],[CUSTOMER_NAME]],$AF$2:$AH$90,2,FALSE)</f>
        <v>31</v>
      </c>
      <c r="V155">
        <f>VLOOKUP(Auto_Sales_data___Copy[[#This Row],[CUSTOMER_NAME]],$AF$2:$AH$90,3,FALSE)</f>
        <v>122138.14</v>
      </c>
      <c r="W155" s="2">
        <f>6-MATCH(Auto_Sales_data___Copy[[#This Row],[DAYS_SINCE_LAST_ORDER]],Table2[R-Cutoff],1)</f>
        <v>5</v>
      </c>
      <c r="X155" s="2">
        <f>MATCH(Auto_Sales_data___Copy[[#This Row],[Total_Orders_Per_Customer]],Table2[F-Cutoff],1)</f>
        <v>4</v>
      </c>
      <c r="Y155" s="2">
        <f>MATCH(Auto_Sales_data___Copy[[#This Row],[Total_Sales_Per_Customer]],Table2[M-Cutoff],1)</f>
        <v>4</v>
      </c>
      <c r="Z155" s="2" t="str">
        <f>Auto_Sales_data___Copy[[#This Row],[R-Score(1-5)]]&amp;Auto_Sales_data___Copy[[#This Row],[F-Score(1-5)]]&amp;Auto_Sales_data___Copy[[#This Row],[M-Score(1-5)]]</f>
        <v>544</v>
      </c>
      <c r="AA155" s="2" t="str" cm="1">
        <f t="array" ref="AA1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5" s="2" t="str">
        <f>VLOOKUP(Auto_Sales_data___Copy[[#This Row],[Segment Name]],Table3[],2,FALSE)</f>
        <v>VIP Recognitioon &amp; Inclusivity</v>
      </c>
    </row>
    <row r="156" spans="1:28" x14ac:dyDescent="0.25">
      <c r="A156">
        <v>10281</v>
      </c>
      <c r="B156">
        <v>41</v>
      </c>
      <c r="C156">
        <v>127.98</v>
      </c>
      <c r="D156">
        <v>1</v>
      </c>
      <c r="E156">
        <v>5247.18</v>
      </c>
      <c r="F156" s="1">
        <v>43696</v>
      </c>
      <c r="G156" s="2" t="s">
        <v>19</v>
      </c>
      <c r="H156" s="2" t="s">
        <v>537</v>
      </c>
      <c r="I156">
        <v>118</v>
      </c>
      <c r="J156" s="2" t="s">
        <v>554</v>
      </c>
      <c r="K156" s="2" t="s">
        <v>137</v>
      </c>
      <c r="L156" s="2" t="s">
        <v>138</v>
      </c>
      <c r="M156" s="2" t="s">
        <v>139</v>
      </c>
      <c r="N156" s="2" t="s">
        <v>140</v>
      </c>
      <c r="O156" s="2" t="s">
        <v>141</v>
      </c>
      <c r="P156" s="2" t="s">
        <v>27</v>
      </c>
      <c r="Q156" s="2" t="s">
        <v>28</v>
      </c>
      <c r="R156" s="2" t="s">
        <v>142</v>
      </c>
      <c r="S156" s="2" t="s">
        <v>46</v>
      </c>
      <c r="T156">
        <v>651</v>
      </c>
      <c r="U156">
        <f>VLOOKUP(Auto_Sales_data___Copy[[#This Row],[CUSTOMER_NAME]],$AF$2:$AH$90,2,FALSE)</f>
        <v>31</v>
      </c>
      <c r="V156">
        <f>VLOOKUP(Auto_Sales_data___Copy[[#This Row],[CUSTOMER_NAME]],$AF$2:$AH$90,3,FALSE)</f>
        <v>122138.14</v>
      </c>
      <c r="W156" s="2">
        <f>6-MATCH(Auto_Sales_data___Copy[[#This Row],[DAYS_SINCE_LAST_ORDER]],Table2[R-Cutoff],1)</f>
        <v>5</v>
      </c>
      <c r="X156" s="2">
        <f>MATCH(Auto_Sales_data___Copy[[#This Row],[Total_Orders_Per_Customer]],Table2[F-Cutoff],1)</f>
        <v>4</v>
      </c>
      <c r="Y156" s="2">
        <f>MATCH(Auto_Sales_data___Copy[[#This Row],[Total_Sales_Per_Customer]],Table2[M-Cutoff],1)</f>
        <v>4</v>
      </c>
      <c r="Z156" s="2" t="str">
        <f>Auto_Sales_data___Copy[[#This Row],[R-Score(1-5)]]&amp;Auto_Sales_data___Copy[[#This Row],[F-Score(1-5)]]&amp;Auto_Sales_data___Copy[[#This Row],[M-Score(1-5)]]</f>
        <v>544</v>
      </c>
      <c r="AA156" s="2" t="str" cm="1">
        <f t="array" ref="AA1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6" s="2" t="str">
        <f>VLOOKUP(Auto_Sales_data___Copy[[#This Row],[Segment Name]],Table3[],2,FALSE)</f>
        <v>VIP Recognitioon &amp; Inclusivity</v>
      </c>
    </row>
    <row r="157" spans="1:28" x14ac:dyDescent="0.25">
      <c r="A157">
        <v>10282</v>
      </c>
      <c r="B157">
        <v>41</v>
      </c>
      <c r="C157">
        <v>172.47</v>
      </c>
      <c r="D157">
        <v>5</v>
      </c>
      <c r="E157">
        <v>7071.27</v>
      </c>
      <c r="F157" s="1">
        <v>43697</v>
      </c>
      <c r="G157" s="2" t="s">
        <v>19</v>
      </c>
      <c r="H157" s="2" t="s">
        <v>183</v>
      </c>
      <c r="I157">
        <v>207</v>
      </c>
      <c r="J157" s="2" t="s">
        <v>505</v>
      </c>
      <c r="K157" s="2" t="s">
        <v>284</v>
      </c>
      <c r="L157" s="2" t="s">
        <v>285</v>
      </c>
      <c r="M157" s="2" t="s">
        <v>286</v>
      </c>
      <c r="N157" s="2" t="s">
        <v>287</v>
      </c>
      <c r="O157" s="2" t="s">
        <v>106</v>
      </c>
      <c r="P157" s="2" t="s">
        <v>27</v>
      </c>
      <c r="Q157" s="2" t="s">
        <v>288</v>
      </c>
      <c r="R157" s="2" t="s">
        <v>289</v>
      </c>
      <c r="S157" s="2" t="s">
        <v>151</v>
      </c>
      <c r="T157">
        <v>474</v>
      </c>
      <c r="U157">
        <f>VLOOKUP(Auto_Sales_data___Copy[[#This Row],[CUSTOMER_NAME]],$AF$2:$AH$90,2,FALSE)</f>
        <v>180</v>
      </c>
      <c r="V157">
        <f>VLOOKUP(Auto_Sales_data___Copy[[#This Row],[CUSTOMER_NAME]],$AF$2:$AH$90,3,FALSE)</f>
        <v>654858.06000000017</v>
      </c>
      <c r="W157" s="2">
        <f>6-MATCH(Auto_Sales_data___Copy[[#This Row],[DAYS_SINCE_LAST_ORDER]],Table2[R-Cutoff],1)</f>
        <v>5</v>
      </c>
      <c r="X157" s="2">
        <f>MATCH(Auto_Sales_data___Copy[[#This Row],[Total_Orders_Per_Customer]],Table2[F-Cutoff],1)</f>
        <v>4</v>
      </c>
      <c r="Y157" s="2">
        <f>MATCH(Auto_Sales_data___Copy[[#This Row],[Total_Sales_Per_Customer]],Table2[M-Cutoff],1)</f>
        <v>4</v>
      </c>
      <c r="Z157" s="2" t="str">
        <f>Auto_Sales_data___Copy[[#This Row],[R-Score(1-5)]]&amp;Auto_Sales_data___Copy[[#This Row],[F-Score(1-5)]]&amp;Auto_Sales_data___Copy[[#This Row],[M-Score(1-5)]]</f>
        <v>544</v>
      </c>
      <c r="AA157" s="2" t="str" cm="1">
        <f t="array" ref="AA1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7" s="2" t="str">
        <f>VLOOKUP(Auto_Sales_data___Copy[[#This Row],[Segment Name]],Table3[],2,FALSE)</f>
        <v>VIP Recognitioon &amp; Inclusivity</v>
      </c>
    </row>
    <row r="158" spans="1:28" x14ac:dyDescent="0.25">
      <c r="A158">
        <v>10282</v>
      </c>
      <c r="B158">
        <v>27</v>
      </c>
      <c r="C158">
        <v>161.66</v>
      </c>
      <c r="D158">
        <v>6</v>
      </c>
      <c r="E158">
        <v>4364.82</v>
      </c>
      <c r="F158" s="1">
        <v>43697</v>
      </c>
      <c r="G158" s="2" t="s">
        <v>19</v>
      </c>
      <c r="H158" s="2" t="s">
        <v>183</v>
      </c>
      <c r="I158">
        <v>151</v>
      </c>
      <c r="J158" s="2" t="s">
        <v>545</v>
      </c>
      <c r="K158" s="2" t="s">
        <v>284</v>
      </c>
      <c r="L158" s="2" t="s">
        <v>285</v>
      </c>
      <c r="M158" s="2" t="s">
        <v>286</v>
      </c>
      <c r="N158" s="2" t="s">
        <v>287</v>
      </c>
      <c r="O158" s="2" t="s">
        <v>106</v>
      </c>
      <c r="P158" s="2" t="s">
        <v>27</v>
      </c>
      <c r="Q158" s="2" t="s">
        <v>288</v>
      </c>
      <c r="R158" s="2" t="s">
        <v>289</v>
      </c>
      <c r="S158" s="2" t="s">
        <v>46</v>
      </c>
      <c r="T158">
        <v>550</v>
      </c>
      <c r="U158">
        <f>VLOOKUP(Auto_Sales_data___Copy[[#This Row],[CUSTOMER_NAME]],$AF$2:$AH$90,2,FALSE)</f>
        <v>180</v>
      </c>
      <c r="V158">
        <f>VLOOKUP(Auto_Sales_data___Copy[[#This Row],[CUSTOMER_NAME]],$AF$2:$AH$90,3,FALSE)</f>
        <v>654858.06000000017</v>
      </c>
      <c r="W158" s="2">
        <f>6-MATCH(Auto_Sales_data___Copy[[#This Row],[DAYS_SINCE_LAST_ORDER]],Table2[R-Cutoff],1)</f>
        <v>5</v>
      </c>
      <c r="X158" s="2">
        <f>MATCH(Auto_Sales_data___Copy[[#This Row],[Total_Orders_Per_Customer]],Table2[F-Cutoff],1)</f>
        <v>4</v>
      </c>
      <c r="Y158" s="2">
        <f>MATCH(Auto_Sales_data___Copy[[#This Row],[Total_Sales_Per_Customer]],Table2[M-Cutoff],1)</f>
        <v>4</v>
      </c>
      <c r="Z158" s="2" t="str">
        <f>Auto_Sales_data___Copy[[#This Row],[R-Score(1-5)]]&amp;Auto_Sales_data___Copy[[#This Row],[F-Score(1-5)]]&amp;Auto_Sales_data___Copy[[#This Row],[M-Score(1-5)]]</f>
        <v>544</v>
      </c>
      <c r="AA158" s="2" t="str" cm="1">
        <f t="array" ref="AA1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8" s="2" t="str">
        <f>VLOOKUP(Auto_Sales_data___Copy[[#This Row],[Segment Name]],Table3[],2,FALSE)</f>
        <v>VIP Recognitioon &amp; Inclusivity</v>
      </c>
    </row>
    <row r="159" spans="1:28" x14ac:dyDescent="0.25">
      <c r="A159">
        <v>10282</v>
      </c>
      <c r="B159">
        <v>24</v>
      </c>
      <c r="C159">
        <v>157.44999999999999</v>
      </c>
      <c r="D159">
        <v>4</v>
      </c>
      <c r="E159">
        <v>3778.8</v>
      </c>
      <c r="F159" s="1">
        <v>43697</v>
      </c>
      <c r="G159" s="2" t="s">
        <v>19</v>
      </c>
      <c r="H159" s="2" t="s">
        <v>183</v>
      </c>
      <c r="I159">
        <v>173</v>
      </c>
      <c r="J159" s="2" t="s">
        <v>552</v>
      </c>
      <c r="K159" s="2" t="s">
        <v>284</v>
      </c>
      <c r="L159" s="2" t="s">
        <v>285</v>
      </c>
      <c r="M159" s="2" t="s">
        <v>286</v>
      </c>
      <c r="N159" s="2" t="s">
        <v>287</v>
      </c>
      <c r="O159" s="2" t="s">
        <v>106</v>
      </c>
      <c r="P159" s="2" t="s">
        <v>27</v>
      </c>
      <c r="Q159" s="2" t="s">
        <v>288</v>
      </c>
      <c r="R159" s="2" t="s">
        <v>289</v>
      </c>
      <c r="S159" s="2" t="s">
        <v>46</v>
      </c>
      <c r="T159">
        <v>599</v>
      </c>
      <c r="U159">
        <f>VLOOKUP(Auto_Sales_data___Copy[[#This Row],[CUSTOMER_NAME]],$AF$2:$AH$90,2,FALSE)</f>
        <v>180</v>
      </c>
      <c r="V159">
        <f>VLOOKUP(Auto_Sales_data___Copy[[#This Row],[CUSTOMER_NAME]],$AF$2:$AH$90,3,FALSE)</f>
        <v>654858.06000000017</v>
      </c>
      <c r="W159" s="2">
        <f>6-MATCH(Auto_Sales_data___Copy[[#This Row],[DAYS_SINCE_LAST_ORDER]],Table2[R-Cutoff],1)</f>
        <v>5</v>
      </c>
      <c r="X159" s="2">
        <f>MATCH(Auto_Sales_data___Copy[[#This Row],[Total_Orders_Per_Customer]],Table2[F-Cutoff],1)</f>
        <v>4</v>
      </c>
      <c r="Y159" s="2">
        <f>MATCH(Auto_Sales_data___Copy[[#This Row],[Total_Sales_Per_Customer]],Table2[M-Cutoff],1)</f>
        <v>4</v>
      </c>
      <c r="Z159" s="2" t="str">
        <f>Auto_Sales_data___Copy[[#This Row],[R-Score(1-5)]]&amp;Auto_Sales_data___Copy[[#This Row],[F-Score(1-5)]]&amp;Auto_Sales_data___Copy[[#This Row],[M-Score(1-5)]]</f>
        <v>544</v>
      </c>
      <c r="AA159" s="2" t="str" cm="1">
        <f t="array" ref="AA1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9" s="2" t="str">
        <f>VLOOKUP(Auto_Sales_data___Copy[[#This Row],[Segment Name]],Table3[],2,FALSE)</f>
        <v>VIP Recognitioon &amp; Inclusivity</v>
      </c>
    </row>
    <row r="160" spans="1:28" x14ac:dyDescent="0.25">
      <c r="A160">
        <v>10282</v>
      </c>
      <c r="B160">
        <v>23</v>
      </c>
      <c r="C160">
        <v>140.81</v>
      </c>
      <c r="D160">
        <v>13</v>
      </c>
      <c r="E160">
        <v>3238.63</v>
      </c>
      <c r="F160" s="1">
        <v>43697</v>
      </c>
      <c r="G160" s="2" t="s">
        <v>19</v>
      </c>
      <c r="H160" s="2" t="s">
        <v>183</v>
      </c>
      <c r="I160">
        <v>163</v>
      </c>
      <c r="J160" s="2" t="s">
        <v>631</v>
      </c>
      <c r="K160" s="2" t="s">
        <v>284</v>
      </c>
      <c r="L160" s="2" t="s">
        <v>285</v>
      </c>
      <c r="M160" s="2" t="s">
        <v>286</v>
      </c>
      <c r="N160" s="2" t="s">
        <v>287</v>
      </c>
      <c r="O160" s="2" t="s">
        <v>106</v>
      </c>
      <c r="P160" s="2" t="s">
        <v>27</v>
      </c>
      <c r="Q160" s="2" t="s">
        <v>288</v>
      </c>
      <c r="R160" s="2" t="s">
        <v>289</v>
      </c>
      <c r="S160" s="2" t="s">
        <v>46</v>
      </c>
      <c r="T160">
        <v>926</v>
      </c>
      <c r="U160">
        <f>VLOOKUP(Auto_Sales_data___Copy[[#This Row],[CUSTOMER_NAME]],$AF$2:$AH$90,2,FALSE)</f>
        <v>180</v>
      </c>
      <c r="V160">
        <f>VLOOKUP(Auto_Sales_data___Copy[[#This Row],[CUSTOMER_NAME]],$AF$2:$AH$90,3,FALSE)</f>
        <v>654858.06000000017</v>
      </c>
      <c r="W160" s="2">
        <f>6-MATCH(Auto_Sales_data___Copy[[#This Row],[DAYS_SINCE_LAST_ORDER]],Table2[R-Cutoff],1)</f>
        <v>5</v>
      </c>
      <c r="X160" s="2">
        <f>MATCH(Auto_Sales_data___Copy[[#This Row],[Total_Orders_Per_Customer]],Table2[F-Cutoff],1)</f>
        <v>4</v>
      </c>
      <c r="Y160" s="2">
        <f>MATCH(Auto_Sales_data___Copy[[#This Row],[Total_Sales_Per_Customer]],Table2[M-Cutoff],1)</f>
        <v>4</v>
      </c>
      <c r="Z160" s="2" t="str">
        <f>Auto_Sales_data___Copy[[#This Row],[R-Score(1-5)]]&amp;Auto_Sales_data___Copy[[#This Row],[F-Score(1-5)]]&amp;Auto_Sales_data___Copy[[#This Row],[M-Score(1-5)]]</f>
        <v>544</v>
      </c>
      <c r="AA160" s="2" t="str" cm="1">
        <f t="array" ref="AA1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0" s="2" t="str">
        <f>VLOOKUP(Auto_Sales_data___Copy[[#This Row],[Segment Name]],Table3[],2,FALSE)</f>
        <v>VIP Recognitioon &amp; Inclusivity</v>
      </c>
    </row>
    <row r="161" spans="1:28" x14ac:dyDescent="0.25">
      <c r="A161">
        <v>10285</v>
      </c>
      <c r="B161">
        <v>36</v>
      </c>
      <c r="C161">
        <v>113.88</v>
      </c>
      <c r="D161">
        <v>6</v>
      </c>
      <c r="E161">
        <v>4099.68</v>
      </c>
      <c r="F161" s="1">
        <v>43704</v>
      </c>
      <c r="G161" s="2" t="s">
        <v>19</v>
      </c>
      <c r="H161" s="2" t="s">
        <v>20</v>
      </c>
      <c r="I161">
        <v>95</v>
      </c>
      <c r="J161" s="2" t="s">
        <v>21</v>
      </c>
      <c r="K161" s="2" t="s">
        <v>115</v>
      </c>
      <c r="L161" s="2" t="s">
        <v>116</v>
      </c>
      <c r="M161" s="2" t="s">
        <v>117</v>
      </c>
      <c r="N161" s="2" t="s">
        <v>118</v>
      </c>
      <c r="O161" s="2" t="s">
        <v>119</v>
      </c>
      <c r="P161" s="2" t="s">
        <v>27</v>
      </c>
      <c r="Q161" s="2" t="s">
        <v>120</v>
      </c>
      <c r="R161" s="2" t="s">
        <v>121</v>
      </c>
      <c r="S161" s="2" t="s">
        <v>46</v>
      </c>
      <c r="T161">
        <v>292</v>
      </c>
      <c r="U161">
        <f>VLOOKUP(Auto_Sales_data___Copy[[#This Row],[CUSTOMER_NAME]],$AF$2:$AH$90,2,FALSE)</f>
        <v>27</v>
      </c>
      <c r="V161">
        <f>VLOOKUP(Auto_Sales_data___Copy[[#This Row],[CUSTOMER_NAME]],$AF$2:$AH$90,3,FALSE)</f>
        <v>103080.37999999998</v>
      </c>
      <c r="W161" s="2">
        <f>6-MATCH(Auto_Sales_data___Copy[[#This Row],[DAYS_SINCE_LAST_ORDER]],Table2[R-Cutoff],1)</f>
        <v>5</v>
      </c>
      <c r="X161" s="2">
        <f>MATCH(Auto_Sales_data___Copy[[#This Row],[Total_Orders_Per_Customer]],Table2[F-Cutoff],1)</f>
        <v>4</v>
      </c>
      <c r="Y161" s="2">
        <f>MATCH(Auto_Sales_data___Copy[[#This Row],[Total_Sales_Per_Customer]],Table2[M-Cutoff],1)</f>
        <v>4</v>
      </c>
      <c r="Z161" s="2" t="str">
        <f>Auto_Sales_data___Copy[[#This Row],[R-Score(1-5)]]&amp;Auto_Sales_data___Copy[[#This Row],[F-Score(1-5)]]&amp;Auto_Sales_data___Copy[[#This Row],[M-Score(1-5)]]</f>
        <v>544</v>
      </c>
      <c r="AA161" s="2" t="str" cm="1">
        <f t="array" ref="AA1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1" s="2" t="str">
        <f>VLOOKUP(Auto_Sales_data___Copy[[#This Row],[Segment Name]],Table3[],2,FALSE)</f>
        <v>VIP Recognitioon &amp; Inclusivity</v>
      </c>
    </row>
    <row r="162" spans="1:28" x14ac:dyDescent="0.25">
      <c r="A162">
        <v>10285</v>
      </c>
      <c r="B162">
        <v>47</v>
      </c>
      <c r="C162">
        <v>137.97</v>
      </c>
      <c r="D162">
        <v>9</v>
      </c>
      <c r="E162">
        <v>6484.59</v>
      </c>
      <c r="F162" s="1">
        <v>43704</v>
      </c>
      <c r="G162" s="2" t="s">
        <v>19</v>
      </c>
      <c r="H162" s="2" t="s">
        <v>20</v>
      </c>
      <c r="I162">
        <v>118</v>
      </c>
      <c r="J162" s="2" t="s">
        <v>315</v>
      </c>
      <c r="K162" s="2" t="s">
        <v>115</v>
      </c>
      <c r="L162" s="2" t="s">
        <v>116</v>
      </c>
      <c r="M162" s="2" t="s">
        <v>117</v>
      </c>
      <c r="N162" s="2" t="s">
        <v>118</v>
      </c>
      <c r="O162" s="2" t="s">
        <v>119</v>
      </c>
      <c r="P162" s="2" t="s">
        <v>27</v>
      </c>
      <c r="Q162" s="2" t="s">
        <v>120</v>
      </c>
      <c r="R162" s="2" t="s">
        <v>121</v>
      </c>
      <c r="S162" s="2" t="s">
        <v>46</v>
      </c>
      <c r="T162">
        <v>342</v>
      </c>
      <c r="U162">
        <f>VLOOKUP(Auto_Sales_data___Copy[[#This Row],[CUSTOMER_NAME]],$AF$2:$AH$90,2,FALSE)</f>
        <v>27</v>
      </c>
      <c r="V162">
        <f>VLOOKUP(Auto_Sales_data___Copy[[#This Row],[CUSTOMER_NAME]],$AF$2:$AH$90,3,FALSE)</f>
        <v>103080.37999999998</v>
      </c>
      <c r="W162" s="2">
        <f>6-MATCH(Auto_Sales_data___Copy[[#This Row],[DAYS_SINCE_LAST_ORDER]],Table2[R-Cutoff],1)</f>
        <v>5</v>
      </c>
      <c r="X162" s="2">
        <f>MATCH(Auto_Sales_data___Copy[[#This Row],[Total_Orders_Per_Customer]],Table2[F-Cutoff],1)</f>
        <v>4</v>
      </c>
      <c r="Y162" s="2">
        <f>MATCH(Auto_Sales_data___Copy[[#This Row],[Total_Sales_Per_Customer]],Table2[M-Cutoff],1)</f>
        <v>4</v>
      </c>
      <c r="Z162" s="2" t="str">
        <f>Auto_Sales_data___Copy[[#This Row],[R-Score(1-5)]]&amp;Auto_Sales_data___Copy[[#This Row],[F-Score(1-5)]]&amp;Auto_Sales_data___Copy[[#This Row],[M-Score(1-5)]]</f>
        <v>544</v>
      </c>
      <c r="AA162" s="2" t="str" cm="1">
        <f t="array" ref="AA1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2" s="2" t="str">
        <f>VLOOKUP(Auto_Sales_data___Copy[[#This Row],[Segment Name]],Table3[],2,FALSE)</f>
        <v>VIP Recognitioon &amp; Inclusivity</v>
      </c>
    </row>
    <row r="163" spans="1:28" x14ac:dyDescent="0.25">
      <c r="A163">
        <v>10285</v>
      </c>
      <c r="B163">
        <v>27</v>
      </c>
      <c r="C163">
        <v>201.41</v>
      </c>
      <c r="D163">
        <v>8</v>
      </c>
      <c r="E163">
        <v>5438.07</v>
      </c>
      <c r="F163" s="1">
        <v>43704</v>
      </c>
      <c r="G163" s="2" t="s">
        <v>19</v>
      </c>
      <c r="H163" s="2" t="s">
        <v>20</v>
      </c>
      <c r="I163">
        <v>193</v>
      </c>
      <c r="J163" s="2" t="s">
        <v>337</v>
      </c>
      <c r="K163" s="2" t="s">
        <v>115</v>
      </c>
      <c r="L163" s="2" t="s">
        <v>116</v>
      </c>
      <c r="M163" s="2" t="s">
        <v>117</v>
      </c>
      <c r="N163" s="2" t="s">
        <v>118</v>
      </c>
      <c r="O163" s="2" t="s">
        <v>119</v>
      </c>
      <c r="P163" s="2" t="s">
        <v>27</v>
      </c>
      <c r="Q163" s="2" t="s">
        <v>120</v>
      </c>
      <c r="R163" s="2" t="s">
        <v>121</v>
      </c>
      <c r="S163" s="2" t="s">
        <v>46</v>
      </c>
      <c r="T163">
        <v>366</v>
      </c>
      <c r="U163">
        <f>VLOOKUP(Auto_Sales_data___Copy[[#This Row],[CUSTOMER_NAME]],$AF$2:$AH$90,2,FALSE)</f>
        <v>27</v>
      </c>
      <c r="V163">
        <f>VLOOKUP(Auto_Sales_data___Copy[[#This Row],[CUSTOMER_NAME]],$AF$2:$AH$90,3,FALSE)</f>
        <v>103080.37999999998</v>
      </c>
      <c r="W163" s="2">
        <f>6-MATCH(Auto_Sales_data___Copy[[#This Row],[DAYS_SINCE_LAST_ORDER]],Table2[R-Cutoff],1)</f>
        <v>5</v>
      </c>
      <c r="X163" s="2">
        <f>MATCH(Auto_Sales_data___Copy[[#This Row],[Total_Orders_Per_Customer]],Table2[F-Cutoff],1)</f>
        <v>4</v>
      </c>
      <c r="Y163" s="2">
        <f>MATCH(Auto_Sales_data___Copy[[#This Row],[Total_Sales_Per_Customer]],Table2[M-Cutoff],1)</f>
        <v>4</v>
      </c>
      <c r="Z163" s="2" t="str">
        <f>Auto_Sales_data___Copy[[#This Row],[R-Score(1-5)]]&amp;Auto_Sales_data___Copy[[#This Row],[F-Score(1-5)]]&amp;Auto_Sales_data___Copy[[#This Row],[M-Score(1-5)]]</f>
        <v>544</v>
      </c>
      <c r="AA163" s="2" t="str" cm="1">
        <f t="array" ref="AA1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3" s="2" t="str">
        <f>VLOOKUP(Auto_Sales_data___Copy[[#This Row],[Segment Name]],Table3[],2,FALSE)</f>
        <v>VIP Recognitioon &amp; Inclusivity</v>
      </c>
    </row>
    <row r="164" spans="1:28" x14ac:dyDescent="0.25">
      <c r="A164">
        <v>10285</v>
      </c>
      <c r="B164">
        <v>49</v>
      </c>
      <c r="C164">
        <v>140.08000000000001</v>
      </c>
      <c r="D164">
        <v>5</v>
      </c>
      <c r="E164">
        <v>6863.92</v>
      </c>
      <c r="F164" s="1">
        <v>43704</v>
      </c>
      <c r="G164" s="2" t="s">
        <v>19</v>
      </c>
      <c r="H164" s="2" t="s">
        <v>20</v>
      </c>
      <c r="I164">
        <v>150</v>
      </c>
      <c r="J164" s="2" t="s">
        <v>539</v>
      </c>
      <c r="K164" s="2" t="s">
        <v>115</v>
      </c>
      <c r="L164" s="2" t="s">
        <v>116</v>
      </c>
      <c r="M164" s="2" t="s">
        <v>117</v>
      </c>
      <c r="N164" s="2" t="s">
        <v>118</v>
      </c>
      <c r="O164" s="2" t="s">
        <v>119</v>
      </c>
      <c r="P164" s="2" t="s">
        <v>27</v>
      </c>
      <c r="Q164" s="2" t="s">
        <v>120</v>
      </c>
      <c r="R164" s="2" t="s">
        <v>121</v>
      </c>
      <c r="S164" s="2" t="s">
        <v>46</v>
      </c>
      <c r="T164">
        <v>518</v>
      </c>
      <c r="U164">
        <f>VLOOKUP(Auto_Sales_data___Copy[[#This Row],[CUSTOMER_NAME]],$AF$2:$AH$90,2,FALSE)</f>
        <v>27</v>
      </c>
      <c r="V164">
        <f>VLOOKUP(Auto_Sales_data___Copy[[#This Row],[CUSTOMER_NAME]],$AF$2:$AH$90,3,FALSE)</f>
        <v>103080.37999999998</v>
      </c>
      <c r="W164" s="2">
        <f>6-MATCH(Auto_Sales_data___Copy[[#This Row],[DAYS_SINCE_LAST_ORDER]],Table2[R-Cutoff],1)</f>
        <v>5</v>
      </c>
      <c r="X164" s="2">
        <f>MATCH(Auto_Sales_data___Copy[[#This Row],[Total_Orders_Per_Customer]],Table2[F-Cutoff],1)</f>
        <v>4</v>
      </c>
      <c r="Y164" s="2">
        <f>MATCH(Auto_Sales_data___Copy[[#This Row],[Total_Sales_Per_Customer]],Table2[M-Cutoff],1)</f>
        <v>4</v>
      </c>
      <c r="Z164" s="2" t="str">
        <f>Auto_Sales_data___Copy[[#This Row],[R-Score(1-5)]]&amp;Auto_Sales_data___Copy[[#This Row],[F-Score(1-5)]]&amp;Auto_Sales_data___Copy[[#This Row],[M-Score(1-5)]]</f>
        <v>544</v>
      </c>
      <c r="AA164" s="2" t="str" cm="1">
        <f t="array" ref="AA1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4" s="2" t="str">
        <f>VLOOKUP(Auto_Sales_data___Copy[[#This Row],[Segment Name]],Table3[],2,FALSE)</f>
        <v>VIP Recognitioon &amp; Inclusivity</v>
      </c>
    </row>
    <row r="165" spans="1:28" x14ac:dyDescent="0.25">
      <c r="A165">
        <v>10287</v>
      </c>
      <c r="B165">
        <v>21</v>
      </c>
      <c r="C165">
        <v>163.44</v>
      </c>
      <c r="D165">
        <v>12</v>
      </c>
      <c r="E165">
        <v>3432.24</v>
      </c>
      <c r="F165" s="1">
        <v>43707</v>
      </c>
      <c r="G165" s="2" t="s">
        <v>19</v>
      </c>
      <c r="H165" s="2" t="s">
        <v>183</v>
      </c>
      <c r="I165">
        <v>194</v>
      </c>
      <c r="J165" s="2" t="s">
        <v>449</v>
      </c>
      <c r="K165" s="2" t="s">
        <v>473</v>
      </c>
      <c r="L165" s="2" t="s">
        <v>474</v>
      </c>
      <c r="M165" s="2" t="s">
        <v>475</v>
      </c>
      <c r="N165" s="2" t="s">
        <v>476</v>
      </c>
      <c r="O165" s="2" t="s">
        <v>477</v>
      </c>
      <c r="P165" s="2" t="s">
        <v>478</v>
      </c>
      <c r="Q165" s="2" t="s">
        <v>479</v>
      </c>
      <c r="R165" s="2" t="s">
        <v>94</v>
      </c>
      <c r="S165" s="2" t="s">
        <v>46</v>
      </c>
      <c r="T165">
        <v>440</v>
      </c>
      <c r="U165">
        <f>VLOOKUP(Auto_Sales_data___Copy[[#This Row],[CUSTOMER_NAME]],$AF$2:$AH$90,2,FALSE)</f>
        <v>31</v>
      </c>
      <c r="V165">
        <f>VLOOKUP(Auto_Sales_data___Copy[[#This Row],[CUSTOMER_NAME]],$AF$2:$AH$90,3,FALSE)</f>
        <v>117713.56000000001</v>
      </c>
      <c r="W165" s="2">
        <f>6-MATCH(Auto_Sales_data___Copy[[#This Row],[DAYS_SINCE_LAST_ORDER]],Table2[R-Cutoff],1)</f>
        <v>5</v>
      </c>
      <c r="X165" s="2">
        <f>MATCH(Auto_Sales_data___Copy[[#This Row],[Total_Orders_Per_Customer]],Table2[F-Cutoff],1)</f>
        <v>4</v>
      </c>
      <c r="Y165" s="2">
        <f>MATCH(Auto_Sales_data___Copy[[#This Row],[Total_Sales_Per_Customer]],Table2[M-Cutoff],1)</f>
        <v>4</v>
      </c>
      <c r="Z165" s="2" t="str">
        <f>Auto_Sales_data___Copy[[#This Row],[R-Score(1-5)]]&amp;Auto_Sales_data___Copy[[#This Row],[F-Score(1-5)]]&amp;Auto_Sales_data___Copy[[#This Row],[M-Score(1-5)]]</f>
        <v>544</v>
      </c>
      <c r="AA165" s="2" t="str" cm="1">
        <f t="array" ref="AA1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5" s="2" t="str">
        <f>VLOOKUP(Auto_Sales_data___Copy[[#This Row],[Segment Name]],Table3[],2,FALSE)</f>
        <v>VIP Recognitioon &amp; Inclusivity</v>
      </c>
    </row>
    <row r="166" spans="1:28" x14ac:dyDescent="0.25">
      <c r="A166">
        <v>10287</v>
      </c>
      <c r="B166">
        <v>45</v>
      </c>
      <c r="C166">
        <v>105.7</v>
      </c>
      <c r="D166">
        <v>10</v>
      </c>
      <c r="E166">
        <v>4756.5</v>
      </c>
      <c r="F166" s="1">
        <v>43707</v>
      </c>
      <c r="G166" s="2" t="s">
        <v>19</v>
      </c>
      <c r="H166" s="2" t="s">
        <v>183</v>
      </c>
      <c r="I166">
        <v>117</v>
      </c>
      <c r="J166" s="2" t="s">
        <v>546</v>
      </c>
      <c r="K166" s="2" t="s">
        <v>473</v>
      </c>
      <c r="L166" s="2" t="s">
        <v>474</v>
      </c>
      <c r="M166" s="2" t="s">
        <v>475</v>
      </c>
      <c r="N166" s="2" t="s">
        <v>476</v>
      </c>
      <c r="O166" s="2" t="s">
        <v>477</v>
      </c>
      <c r="P166" s="2" t="s">
        <v>478</v>
      </c>
      <c r="Q166" s="2" t="s">
        <v>479</v>
      </c>
      <c r="R166" s="2" t="s">
        <v>94</v>
      </c>
      <c r="S166" s="2" t="s">
        <v>46</v>
      </c>
      <c r="T166">
        <v>565</v>
      </c>
      <c r="U166">
        <f>VLOOKUP(Auto_Sales_data___Copy[[#This Row],[CUSTOMER_NAME]],$AF$2:$AH$90,2,FALSE)</f>
        <v>31</v>
      </c>
      <c r="V166">
        <f>VLOOKUP(Auto_Sales_data___Copy[[#This Row],[CUSTOMER_NAME]],$AF$2:$AH$90,3,FALSE)</f>
        <v>117713.56000000001</v>
      </c>
      <c r="W166" s="2">
        <f>6-MATCH(Auto_Sales_data___Copy[[#This Row],[DAYS_SINCE_LAST_ORDER]],Table2[R-Cutoff],1)</f>
        <v>5</v>
      </c>
      <c r="X166" s="2">
        <f>MATCH(Auto_Sales_data___Copy[[#This Row],[Total_Orders_Per_Customer]],Table2[F-Cutoff],1)</f>
        <v>4</v>
      </c>
      <c r="Y166" s="2">
        <f>MATCH(Auto_Sales_data___Copy[[#This Row],[Total_Sales_Per_Customer]],Table2[M-Cutoff],1)</f>
        <v>4</v>
      </c>
      <c r="Z166" s="2" t="str">
        <f>Auto_Sales_data___Copy[[#This Row],[R-Score(1-5)]]&amp;Auto_Sales_data___Copy[[#This Row],[F-Score(1-5)]]&amp;Auto_Sales_data___Copy[[#This Row],[M-Score(1-5)]]</f>
        <v>544</v>
      </c>
      <c r="AA166" s="2" t="str" cm="1">
        <f t="array" ref="AA1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6" s="2" t="str">
        <f>VLOOKUP(Auto_Sales_data___Copy[[#This Row],[Segment Name]],Table3[],2,FALSE)</f>
        <v>VIP Recognitioon &amp; Inclusivity</v>
      </c>
    </row>
    <row r="167" spans="1:28" x14ac:dyDescent="0.25">
      <c r="A167">
        <v>10287</v>
      </c>
      <c r="B167">
        <v>41</v>
      </c>
      <c r="C167">
        <v>69.430000000000007</v>
      </c>
      <c r="D167">
        <v>13</v>
      </c>
      <c r="E167">
        <v>2846.63</v>
      </c>
      <c r="F167" s="1">
        <v>43707</v>
      </c>
      <c r="G167" s="2" t="s">
        <v>19</v>
      </c>
      <c r="H167" s="2" t="s">
        <v>183</v>
      </c>
      <c r="I167">
        <v>79</v>
      </c>
      <c r="J167" s="2" t="s">
        <v>553</v>
      </c>
      <c r="K167" s="2" t="s">
        <v>473</v>
      </c>
      <c r="L167" s="2" t="s">
        <v>474</v>
      </c>
      <c r="M167" s="2" t="s">
        <v>475</v>
      </c>
      <c r="N167" s="2" t="s">
        <v>476</v>
      </c>
      <c r="O167" s="2" t="s">
        <v>477</v>
      </c>
      <c r="P167" s="2" t="s">
        <v>478</v>
      </c>
      <c r="Q167" s="2" t="s">
        <v>479</v>
      </c>
      <c r="R167" s="2" t="s">
        <v>94</v>
      </c>
      <c r="S167" s="2" t="s">
        <v>30</v>
      </c>
      <c r="T167">
        <v>615</v>
      </c>
      <c r="U167">
        <f>VLOOKUP(Auto_Sales_data___Copy[[#This Row],[CUSTOMER_NAME]],$AF$2:$AH$90,2,FALSE)</f>
        <v>31</v>
      </c>
      <c r="V167">
        <f>VLOOKUP(Auto_Sales_data___Copy[[#This Row],[CUSTOMER_NAME]],$AF$2:$AH$90,3,FALSE)</f>
        <v>117713.56000000001</v>
      </c>
      <c r="W167" s="2">
        <f>6-MATCH(Auto_Sales_data___Copy[[#This Row],[DAYS_SINCE_LAST_ORDER]],Table2[R-Cutoff],1)</f>
        <v>5</v>
      </c>
      <c r="X167" s="2">
        <f>MATCH(Auto_Sales_data___Copy[[#This Row],[Total_Orders_Per_Customer]],Table2[F-Cutoff],1)</f>
        <v>4</v>
      </c>
      <c r="Y167" s="2">
        <f>MATCH(Auto_Sales_data___Copy[[#This Row],[Total_Sales_Per_Customer]],Table2[M-Cutoff],1)</f>
        <v>4</v>
      </c>
      <c r="Z167" s="2" t="str">
        <f>Auto_Sales_data___Copy[[#This Row],[R-Score(1-5)]]&amp;Auto_Sales_data___Copy[[#This Row],[F-Score(1-5)]]&amp;Auto_Sales_data___Copy[[#This Row],[M-Score(1-5)]]</f>
        <v>544</v>
      </c>
      <c r="AA167" s="2" t="str" cm="1">
        <f t="array" ref="AA1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7" s="2" t="str">
        <f>VLOOKUP(Auto_Sales_data___Copy[[#This Row],[Segment Name]],Table3[],2,FALSE)</f>
        <v>VIP Recognitioon &amp; Inclusivity</v>
      </c>
    </row>
    <row r="168" spans="1:28" x14ac:dyDescent="0.25">
      <c r="A168">
        <v>10287</v>
      </c>
      <c r="B168">
        <v>23</v>
      </c>
      <c r="C168">
        <v>116.31</v>
      </c>
      <c r="D168">
        <v>9</v>
      </c>
      <c r="E168">
        <v>2675.13</v>
      </c>
      <c r="F168" s="1">
        <v>43707</v>
      </c>
      <c r="G168" s="2" t="s">
        <v>19</v>
      </c>
      <c r="H168" s="2" t="s">
        <v>183</v>
      </c>
      <c r="I168">
        <v>115</v>
      </c>
      <c r="J168" s="2" t="s">
        <v>567</v>
      </c>
      <c r="K168" s="2" t="s">
        <v>473</v>
      </c>
      <c r="L168" s="2" t="s">
        <v>474</v>
      </c>
      <c r="M168" s="2" t="s">
        <v>475</v>
      </c>
      <c r="N168" s="2" t="s">
        <v>476</v>
      </c>
      <c r="O168" s="2" t="s">
        <v>477</v>
      </c>
      <c r="P168" s="2" t="s">
        <v>478</v>
      </c>
      <c r="Q168" s="2" t="s">
        <v>479</v>
      </c>
      <c r="R168" s="2" t="s">
        <v>94</v>
      </c>
      <c r="S168" s="2" t="s">
        <v>30</v>
      </c>
      <c r="T168">
        <v>666</v>
      </c>
      <c r="U168">
        <f>VLOOKUP(Auto_Sales_data___Copy[[#This Row],[CUSTOMER_NAME]],$AF$2:$AH$90,2,FALSE)</f>
        <v>31</v>
      </c>
      <c r="V168">
        <f>VLOOKUP(Auto_Sales_data___Copy[[#This Row],[CUSTOMER_NAME]],$AF$2:$AH$90,3,FALSE)</f>
        <v>117713.56000000001</v>
      </c>
      <c r="W168" s="2">
        <f>6-MATCH(Auto_Sales_data___Copy[[#This Row],[DAYS_SINCE_LAST_ORDER]],Table2[R-Cutoff],1)</f>
        <v>5</v>
      </c>
      <c r="X168" s="2">
        <f>MATCH(Auto_Sales_data___Copy[[#This Row],[Total_Orders_Per_Customer]],Table2[F-Cutoff],1)</f>
        <v>4</v>
      </c>
      <c r="Y168" s="2">
        <f>MATCH(Auto_Sales_data___Copy[[#This Row],[Total_Sales_Per_Customer]],Table2[M-Cutoff],1)</f>
        <v>4</v>
      </c>
      <c r="Z168" s="2" t="str">
        <f>Auto_Sales_data___Copy[[#This Row],[R-Score(1-5)]]&amp;Auto_Sales_data___Copy[[#This Row],[F-Score(1-5)]]&amp;Auto_Sales_data___Copy[[#This Row],[M-Score(1-5)]]</f>
        <v>544</v>
      </c>
      <c r="AA168" s="2" t="str" cm="1">
        <f t="array" ref="AA1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8" s="2" t="str">
        <f>VLOOKUP(Auto_Sales_data___Copy[[#This Row],[Segment Name]],Table3[],2,FALSE)</f>
        <v>VIP Recognitioon &amp; Inclusivity</v>
      </c>
    </row>
    <row r="169" spans="1:28" x14ac:dyDescent="0.25">
      <c r="A169">
        <v>10287</v>
      </c>
      <c r="B169">
        <v>41</v>
      </c>
      <c r="C169">
        <v>158.52000000000001</v>
      </c>
      <c r="D169">
        <v>4</v>
      </c>
      <c r="E169">
        <v>6499.32</v>
      </c>
      <c r="F169" s="1">
        <v>43707</v>
      </c>
      <c r="G169" s="2" t="s">
        <v>19</v>
      </c>
      <c r="H169" s="2" t="s">
        <v>183</v>
      </c>
      <c r="I169">
        <v>141</v>
      </c>
      <c r="J169" s="2" t="s">
        <v>576</v>
      </c>
      <c r="K169" s="2" t="s">
        <v>473</v>
      </c>
      <c r="L169" s="2" t="s">
        <v>474</v>
      </c>
      <c r="M169" s="2" t="s">
        <v>475</v>
      </c>
      <c r="N169" s="2" t="s">
        <v>476</v>
      </c>
      <c r="O169" s="2" t="s">
        <v>477</v>
      </c>
      <c r="P169" s="2" t="s">
        <v>478</v>
      </c>
      <c r="Q169" s="2" t="s">
        <v>479</v>
      </c>
      <c r="R169" s="2" t="s">
        <v>94</v>
      </c>
      <c r="S169" s="2" t="s">
        <v>46</v>
      </c>
      <c r="T169">
        <v>718</v>
      </c>
      <c r="U169">
        <f>VLOOKUP(Auto_Sales_data___Copy[[#This Row],[CUSTOMER_NAME]],$AF$2:$AH$90,2,FALSE)</f>
        <v>31</v>
      </c>
      <c r="V169">
        <f>VLOOKUP(Auto_Sales_data___Copy[[#This Row],[CUSTOMER_NAME]],$AF$2:$AH$90,3,FALSE)</f>
        <v>117713.56000000001</v>
      </c>
      <c r="W169" s="2">
        <f>6-MATCH(Auto_Sales_data___Copy[[#This Row],[DAYS_SINCE_LAST_ORDER]],Table2[R-Cutoff],1)</f>
        <v>5</v>
      </c>
      <c r="X169" s="2">
        <f>MATCH(Auto_Sales_data___Copy[[#This Row],[Total_Orders_Per_Customer]],Table2[F-Cutoff],1)</f>
        <v>4</v>
      </c>
      <c r="Y169" s="2">
        <f>MATCH(Auto_Sales_data___Copy[[#This Row],[Total_Sales_Per_Customer]],Table2[M-Cutoff],1)</f>
        <v>4</v>
      </c>
      <c r="Z169" s="2" t="str">
        <f>Auto_Sales_data___Copy[[#This Row],[R-Score(1-5)]]&amp;Auto_Sales_data___Copy[[#This Row],[F-Score(1-5)]]&amp;Auto_Sales_data___Copy[[#This Row],[M-Score(1-5)]]</f>
        <v>544</v>
      </c>
      <c r="AA169" s="2" t="str" cm="1">
        <f t="array" ref="AA1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9" s="2" t="str">
        <f>VLOOKUP(Auto_Sales_data___Copy[[#This Row],[Segment Name]],Table3[],2,FALSE)</f>
        <v>VIP Recognitioon &amp; Inclusivity</v>
      </c>
    </row>
    <row r="170" spans="1:28" x14ac:dyDescent="0.25">
      <c r="A170">
        <v>10287</v>
      </c>
      <c r="B170">
        <v>44</v>
      </c>
      <c r="C170">
        <v>82.39</v>
      </c>
      <c r="D170">
        <v>8</v>
      </c>
      <c r="E170">
        <v>3625.16</v>
      </c>
      <c r="F170" s="1">
        <v>43707</v>
      </c>
      <c r="G170" s="2" t="s">
        <v>19</v>
      </c>
      <c r="H170" s="2" t="s">
        <v>183</v>
      </c>
      <c r="I170">
        <v>77</v>
      </c>
      <c r="J170" s="2" t="s">
        <v>629</v>
      </c>
      <c r="K170" s="2" t="s">
        <v>473</v>
      </c>
      <c r="L170" s="2" t="s">
        <v>474</v>
      </c>
      <c r="M170" s="2" t="s">
        <v>475</v>
      </c>
      <c r="N170" s="2" t="s">
        <v>476</v>
      </c>
      <c r="O170" s="2" t="s">
        <v>477</v>
      </c>
      <c r="P170" s="2" t="s">
        <v>478</v>
      </c>
      <c r="Q170" s="2" t="s">
        <v>479</v>
      </c>
      <c r="R170" s="2" t="s">
        <v>94</v>
      </c>
      <c r="S170" s="2" t="s">
        <v>46</v>
      </c>
      <c r="T170">
        <v>863</v>
      </c>
      <c r="U170">
        <f>VLOOKUP(Auto_Sales_data___Copy[[#This Row],[CUSTOMER_NAME]],$AF$2:$AH$90,2,FALSE)</f>
        <v>31</v>
      </c>
      <c r="V170">
        <f>VLOOKUP(Auto_Sales_data___Copy[[#This Row],[CUSTOMER_NAME]],$AF$2:$AH$90,3,FALSE)</f>
        <v>117713.56000000001</v>
      </c>
      <c r="W170" s="2">
        <f>6-MATCH(Auto_Sales_data___Copy[[#This Row],[DAYS_SINCE_LAST_ORDER]],Table2[R-Cutoff],1)</f>
        <v>5</v>
      </c>
      <c r="X170" s="2">
        <f>MATCH(Auto_Sales_data___Copy[[#This Row],[Total_Orders_Per_Customer]],Table2[F-Cutoff],1)</f>
        <v>4</v>
      </c>
      <c r="Y170" s="2">
        <f>MATCH(Auto_Sales_data___Copy[[#This Row],[Total_Sales_Per_Customer]],Table2[M-Cutoff],1)</f>
        <v>4</v>
      </c>
      <c r="Z170" s="2" t="str">
        <f>Auto_Sales_data___Copy[[#This Row],[R-Score(1-5)]]&amp;Auto_Sales_data___Copy[[#This Row],[F-Score(1-5)]]&amp;Auto_Sales_data___Copy[[#This Row],[M-Score(1-5)]]</f>
        <v>544</v>
      </c>
      <c r="AA170" s="2" t="str" cm="1">
        <f t="array" ref="AA1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0" s="2" t="str">
        <f>VLOOKUP(Auto_Sales_data___Copy[[#This Row],[Segment Name]],Table3[],2,FALSE)</f>
        <v>VIP Recognitioon &amp; Inclusivity</v>
      </c>
    </row>
    <row r="171" spans="1:28" x14ac:dyDescent="0.25">
      <c r="A171">
        <v>10287</v>
      </c>
      <c r="B171">
        <v>24</v>
      </c>
      <c r="C171">
        <v>146.52000000000001</v>
      </c>
      <c r="D171">
        <v>3</v>
      </c>
      <c r="E171">
        <v>3516.48</v>
      </c>
      <c r="F171" s="1">
        <v>43707</v>
      </c>
      <c r="G171" s="2" t="s">
        <v>19</v>
      </c>
      <c r="H171" s="2" t="s">
        <v>183</v>
      </c>
      <c r="I171">
        <v>142</v>
      </c>
      <c r="J171" s="2" t="s">
        <v>630</v>
      </c>
      <c r="K171" s="2" t="s">
        <v>473</v>
      </c>
      <c r="L171" s="2" t="s">
        <v>474</v>
      </c>
      <c r="M171" s="2" t="s">
        <v>475</v>
      </c>
      <c r="N171" s="2" t="s">
        <v>476</v>
      </c>
      <c r="O171" s="2" t="s">
        <v>477</v>
      </c>
      <c r="P171" s="2" t="s">
        <v>478</v>
      </c>
      <c r="Q171" s="2" t="s">
        <v>479</v>
      </c>
      <c r="R171" s="2" t="s">
        <v>94</v>
      </c>
      <c r="S171" s="2" t="s">
        <v>46</v>
      </c>
      <c r="T171">
        <v>889</v>
      </c>
      <c r="U171">
        <f>VLOOKUP(Auto_Sales_data___Copy[[#This Row],[CUSTOMER_NAME]],$AF$2:$AH$90,2,FALSE)</f>
        <v>31</v>
      </c>
      <c r="V171">
        <f>VLOOKUP(Auto_Sales_data___Copy[[#This Row],[CUSTOMER_NAME]],$AF$2:$AH$90,3,FALSE)</f>
        <v>117713.56000000001</v>
      </c>
      <c r="W171" s="2">
        <f>6-MATCH(Auto_Sales_data___Copy[[#This Row],[DAYS_SINCE_LAST_ORDER]],Table2[R-Cutoff],1)</f>
        <v>5</v>
      </c>
      <c r="X171" s="2">
        <f>MATCH(Auto_Sales_data___Copy[[#This Row],[Total_Orders_Per_Customer]],Table2[F-Cutoff],1)</f>
        <v>4</v>
      </c>
      <c r="Y171" s="2">
        <f>MATCH(Auto_Sales_data___Copy[[#This Row],[Total_Sales_Per_Customer]],Table2[M-Cutoff],1)</f>
        <v>4</v>
      </c>
      <c r="Z171" s="2" t="str">
        <f>Auto_Sales_data___Copy[[#This Row],[R-Score(1-5)]]&amp;Auto_Sales_data___Copy[[#This Row],[F-Score(1-5)]]&amp;Auto_Sales_data___Copy[[#This Row],[M-Score(1-5)]]</f>
        <v>544</v>
      </c>
      <c r="AA171" s="2" t="str" cm="1">
        <f t="array" ref="AA1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1" s="2" t="str">
        <f>VLOOKUP(Auto_Sales_data___Copy[[#This Row],[Segment Name]],Table3[],2,FALSE)</f>
        <v>VIP Recognitioon &amp; Inclusivity</v>
      </c>
    </row>
    <row r="172" spans="1:28" x14ac:dyDescent="0.25">
      <c r="A172">
        <v>10288</v>
      </c>
      <c r="B172">
        <v>20</v>
      </c>
      <c r="C172">
        <v>146.84</v>
      </c>
      <c r="D172">
        <v>14</v>
      </c>
      <c r="E172">
        <v>2936.8</v>
      </c>
      <c r="F172" s="1">
        <v>43709</v>
      </c>
      <c r="G172" s="2" t="s">
        <v>19</v>
      </c>
      <c r="H172" s="2" t="s">
        <v>183</v>
      </c>
      <c r="I172">
        <v>124</v>
      </c>
      <c r="J172" s="2" t="s">
        <v>606</v>
      </c>
      <c r="K172" s="2" t="s">
        <v>443</v>
      </c>
      <c r="L172" s="2" t="s">
        <v>444</v>
      </c>
      <c r="M172" s="2" t="s">
        <v>445</v>
      </c>
      <c r="N172" s="2" t="s">
        <v>202</v>
      </c>
      <c r="O172" s="2" t="s">
        <v>446</v>
      </c>
      <c r="P172" s="2" t="s">
        <v>202</v>
      </c>
      <c r="Q172" s="2" t="s">
        <v>447</v>
      </c>
      <c r="R172" s="2" t="s">
        <v>448</v>
      </c>
      <c r="S172" s="2" t="s">
        <v>30</v>
      </c>
      <c r="T172">
        <v>790</v>
      </c>
      <c r="U172">
        <f>VLOOKUP(Auto_Sales_data___Copy[[#This Row],[CUSTOMER_NAME]],$AF$2:$AH$90,2,FALSE)</f>
        <v>36</v>
      </c>
      <c r="V172">
        <f>VLOOKUP(Auto_Sales_data___Copy[[#This Row],[CUSTOMER_NAME]],$AF$2:$AH$90,3,FALSE)</f>
        <v>115498.72999999998</v>
      </c>
      <c r="W172" s="2">
        <f>6-MATCH(Auto_Sales_data___Copy[[#This Row],[DAYS_SINCE_LAST_ORDER]],Table2[R-Cutoff],1)</f>
        <v>5</v>
      </c>
      <c r="X172" s="2">
        <f>MATCH(Auto_Sales_data___Copy[[#This Row],[Total_Orders_Per_Customer]],Table2[F-Cutoff],1)</f>
        <v>4</v>
      </c>
      <c r="Y172" s="2">
        <f>MATCH(Auto_Sales_data___Copy[[#This Row],[Total_Sales_Per_Customer]],Table2[M-Cutoff],1)</f>
        <v>4</v>
      </c>
      <c r="Z172" s="2" t="str">
        <f>Auto_Sales_data___Copy[[#This Row],[R-Score(1-5)]]&amp;Auto_Sales_data___Copy[[#This Row],[F-Score(1-5)]]&amp;Auto_Sales_data___Copy[[#This Row],[M-Score(1-5)]]</f>
        <v>544</v>
      </c>
      <c r="AA172" s="2" t="str" cm="1">
        <f t="array" ref="AA1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2" s="2" t="str">
        <f>VLOOKUP(Auto_Sales_data___Copy[[#This Row],[Segment Name]],Table3[],2,FALSE)</f>
        <v>VIP Recognitioon &amp; Inclusivity</v>
      </c>
    </row>
    <row r="173" spans="1:28" x14ac:dyDescent="0.25">
      <c r="A173">
        <v>10288</v>
      </c>
      <c r="B173">
        <v>32</v>
      </c>
      <c r="C173">
        <v>183.6</v>
      </c>
      <c r="D173">
        <v>5</v>
      </c>
      <c r="E173">
        <v>5875.2</v>
      </c>
      <c r="F173" s="1">
        <v>43709</v>
      </c>
      <c r="G173" s="2" t="s">
        <v>19</v>
      </c>
      <c r="H173" s="2" t="s">
        <v>589</v>
      </c>
      <c r="I173">
        <v>170</v>
      </c>
      <c r="J173" s="2" t="s">
        <v>628</v>
      </c>
      <c r="K173" s="2" t="s">
        <v>443</v>
      </c>
      <c r="L173" s="2" t="s">
        <v>444</v>
      </c>
      <c r="M173" s="2" t="s">
        <v>445</v>
      </c>
      <c r="N173" s="2" t="s">
        <v>202</v>
      </c>
      <c r="O173" s="2" t="s">
        <v>446</v>
      </c>
      <c r="P173" s="2" t="s">
        <v>202</v>
      </c>
      <c r="Q173" s="2" t="s">
        <v>447</v>
      </c>
      <c r="R173" s="2" t="s">
        <v>448</v>
      </c>
      <c r="S173" s="2" t="s">
        <v>46</v>
      </c>
      <c r="T173">
        <v>838</v>
      </c>
      <c r="U173">
        <f>VLOOKUP(Auto_Sales_data___Copy[[#This Row],[CUSTOMER_NAME]],$AF$2:$AH$90,2,FALSE)</f>
        <v>36</v>
      </c>
      <c r="V173">
        <f>VLOOKUP(Auto_Sales_data___Copy[[#This Row],[CUSTOMER_NAME]],$AF$2:$AH$90,3,FALSE)</f>
        <v>115498.72999999998</v>
      </c>
      <c r="W173" s="2">
        <f>6-MATCH(Auto_Sales_data___Copy[[#This Row],[DAYS_SINCE_LAST_ORDER]],Table2[R-Cutoff],1)</f>
        <v>5</v>
      </c>
      <c r="X173" s="2">
        <f>MATCH(Auto_Sales_data___Copy[[#This Row],[Total_Orders_Per_Customer]],Table2[F-Cutoff],1)</f>
        <v>4</v>
      </c>
      <c r="Y173" s="2">
        <f>MATCH(Auto_Sales_data___Copy[[#This Row],[Total_Sales_Per_Customer]],Table2[M-Cutoff],1)</f>
        <v>4</v>
      </c>
      <c r="Z173" s="2" t="str">
        <f>Auto_Sales_data___Copy[[#This Row],[R-Score(1-5)]]&amp;Auto_Sales_data___Copy[[#This Row],[F-Score(1-5)]]&amp;Auto_Sales_data___Copy[[#This Row],[M-Score(1-5)]]</f>
        <v>544</v>
      </c>
      <c r="AA173" s="2" t="str" cm="1">
        <f t="array" ref="AA1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3" s="2" t="str">
        <f>VLOOKUP(Auto_Sales_data___Copy[[#This Row],[Segment Name]],Table3[],2,FALSE)</f>
        <v>VIP Recognitioon &amp; Inclusivity</v>
      </c>
    </row>
    <row r="174" spans="1:28" x14ac:dyDescent="0.25">
      <c r="A174">
        <v>10288</v>
      </c>
      <c r="B174">
        <v>28</v>
      </c>
      <c r="C174">
        <v>61.75</v>
      </c>
      <c r="D174">
        <v>4</v>
      </c>
      <c r="E174">
        <v>1729</v>
      </c>
      <c r="F174" s="1">
        <v>43709</v>
      </c>
      <c r="G174" s="2" t="s">
        <v>19</v>
      </c>
      <c r="H174" s="2" t="s">
        <v>589</v>
      </c>
      <c r="I174">
        <v>60</v>
      </c>
      <c r="J174" s="2" t="s">
        <v>632</v>
      </c>
      <c r="K174" s="2" t="s">
        <v>443</v>
      </c>
      <c r="L174" s="2" t="s">
        <v>444</v>
      </c>
      <c r="M174" s="2" t="s">
        <v>445</v>
      </c>
      <c r="N174" s="2" t="s">
        <v>202</v>
      </c>
      <c r="O174" s="2" t="s">
        <v>446</v>
      </c>
      <c r="P174" s="2" t="s">
        <v>202</v>
      </c>
      <c r="Q174" s="2" t="s">
        <v>447</v>
      </c>
      <c r="R174" s="2" t="s">
        <v>448</v>
      </c>
      <c r="S174" s="2" t="s">
        <v>30</v>
      </c>
      <c r="T174">
        <v>938</v>
      </c>
      <c r="U174">
        <f>VLOOKUP(Auto_Sales_data___Copy[[#This Row],[CUSTOMER_NAME]],$AF$2:$AH$90,2,FALSE)</f>
        <v>36</v>
      </c>
      <c r="V174">
        <f>VLOOKUP(Auto_Sales_data___Copy[[#This Row],[CUSTOMER_NAME]],$AF$2:$AH$90,3,FALSE)</f>
        <v>115498.72999999998</v>
      </c>
      <c r="W174" s="2">
        <f>6-MATCH(Auto_Sales_data___Copy[[#This Row],[DAYS_SINCE_LAST_ORDER]],Table2[R-Cutoff],1)</f>
        <v>5</v>
      </c>
      <c r="X174" s="2">
        <f>MATCH(Auto_Sales_data___Copy[[#This Row],[Total_Orders_Per_Customer]],Table2[F-Cutoff],1)</f>
        <v>4</v>
      </c>
      <c r="Y174" s="2">
        <f>MATCH(Auto_Sales_data___Copy[[#This Row],[Total_Sales_Per_Customer]],Table2[M-Cutoff],1)</f>
        <v>4</v>
      </c>
      <c r="Z174" s="2" t="str">
        <f>Auto_Sales_data___Copy[[#This Row],[R-Score(1-5)]]&amp;Auto_Sales_data___Copy[[#This Row],[F-Score(1-5)]]&amp;Auto_Sales_data___Copy[[#This Row],[M-Score(1-5)]]</f>
        <v>544</v>
      </c>
      <c r="AA174" s="2" t="str" cm="1">
        <f t="array" ref="AA1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4" s="2" t="str">
        <f>VLOOKUP(Auto_Sales_data___Copy[[#This Row],[Segment Name]],Table3[],2,FALSE)</f>
        <v>VIP Recognitioon &amp; Inclusivity</v>
      </c>
    </row>
    <row r="175" spans="1:28" x14ac:dyDescent="0.25">
      <c r="A175">
        <v>10289</v>
      </c>
      <c r="B175">
        <v>38</v>
      </c>
      <c r="C175">
        <v>120.21</v>
      </c>
      <c r="D175">
        <v>2</v>
      </c>
      <c r="E175">
        <v>4567.9799999999996</v>
      </c>
      <c r="F175" s="1">
        <v>43711</v>
      </c>
      <c r="G175" s="2" t="s">
        <v>19</v>
      </c>
      <c r="H175" s="2" t="s">
        <v>589</v>
      </c>
      <c r="I175">
        <v>102</v>
      </c>
      <c r="J175" s="2" t="s">
        <v>590</v>
      </c>
      <c r="K175" s="2" t="s">
        <v>68</v>
      </c>
      <c r="L175" s="2" t="s">
        <v>69</v>
      </c>
      <c r="M175" s="2" t="s">
        <v>70</v>
      </c>
      <c r="N175" s="2" t="s">
        <v>71</v>
      </c>
      <c r="O175" s="2" t="s">
        <v>72</v>
      </c>
      <c r="P175" s="2" t="s">
        <v>73</v>
      </c>
      <c r="Q175" s="2" t="s">
        <v>74</v>
      </c>
      <c r="R175" s="2" t="s">
        <v>75</v>
      </c>
      <c r="S175" s="2" t="s">
        <v>46</v>
      </c>
      <c r="T175">
        <v>739</v>
      </c>
      <c r="U175">
        <f>VLOOKUP(Auto_Sales_data___Copy[[#This Row],[CUSTOMER_NAME]],$AF$2:$AH$90,2,FALSE)</f>
        <v>29</v>
      </c>
      <c r="V175">
        <f>VLOOKUP(Auto_Sales_data___Copy[[#This Row],[CUSTOMER_NAME]],$AF$2:$AH$90,3,FALSE)</f>
        <v>111640.28</v>
      </c>
      <c r="W175" s="2">
        <f>6-MATCH(Auto_Sales_data___Copy[[#This Row],[DAYS_SINCE_LAST_ORDER]],Table2[R-Cutoff],1)</f>
        <v>5</v>
      </c>
      <c r="X175" s="2">
        <f>MATCH(Auto_Sales_data___Copy[[#This Row],[Total_Orders_Per_Customer]],Table2[F-Cutoff],1)</f>
        <v>4</v>
      </c>
      <c r="Y175" s="2">
        <f>MATCH(Auto_Sales_data___Copy[[#This Row],[Total_Sales_Per_Customer]],Table2[M-Cutoff],1)</f>
        <v>4</v>
      </c>
      <c r="Z175" s="2" t="str">
        <f>Auto_Sales_data___Copy[[#This Row],[R-Score(1-5)]]&amp;Auto_Sales_data___Copy[[#This Row],[F-Score(1-5)]]&amp;Auto_Sales_data___Copy[[#This Row],[M-Score(1-5)]]</f>
        <v>544</v>
      </c>
      <c r="AA175" s="2" t="str" cm="1">
        <f t="array" ref="AA1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5" s="2" t="str">
        <f>VLOOKUP(Auto_Sales_data___Copy[[#This Row],[Segment Name]],Table3[],2,FALSE)</f>
        <v>VIP Recognitioon &amp; Inclusivity</v>
      </c>
    </row>
    <row r="176" spans="1:28" x14ac:dyDescent="0.25">
      <c r="A176">
        <v>10289</v>
      </c>
      <c r="B176">
        <v>24</v>
      </c>
      <c r="C176">
        <v>56.07</v>
      </c>
      <c r="D176">
        <v>1</v>
      </c>
      <c r="E176">
        <v>1345.68</v>
      </c>
      <c r="F176" s="1">
        <v>43711</v>
      </c>
      <c r="G176" s="2" t="s">
        <v>19</v>
      </c>
      <c r="H176" s="2" t="s">
        <v>589</v>
      </c>
      <c r="I176">
        <v>53</v>
      </c>
      <c r="J176" s="2" t="s">
        <v>605</v>
      </c>
      <c r="K176" s="2" t="s">
        <v>68</v>
      </c>
      <c r="L176" s="2" t="s">
        <v>69</v>
      </c>
      <c r="M176" s="2" t="s">
        <v>70</v>
      </c>
      <c r="N176" s="2" t="s">
        <v>71</v>
      </c>
      <c r="O176" s="2" t="s">
        <v>72</v>
      </c>
      <c r="P176" s="2" t="s">
        <v>73</v>
      </c>
      <c r="Q176" s="2" t="s">
        <v>74</v>
      </c>
      <c r="R176" s="2" t="s">
        <v>75</v>
      </c>
      <c r="S176" s="2" t="s">
        <v>30</v>
      </c>
      <c r="T176">
        <v>763</v>
      </c>
      <c r="U176">
        <f>VLOOKUP(Auto_Sales_data___Copy[[#This Row],[CUSTOMER_NAME]],$AF$2:$AH$90,2,FALSE)</f>
        <v>29</v>
      </c>
      <c r="V176">
        <f>VLOOKUP(Auto_Sales_data___Copy[[#This Row],[CUSTOMER_NAME]],$AF$2:$AH$90,3,FALSE)</f>
        <v>111640.28</v>
      </c>
      <c r="W176" s="2">
        <f>6-MATCH(Auto_Sales_data___Copy[[#This Row],[DAYS_SINCE_LAST_ORDER]],Table2[R-Cutoff],1)</f>
        <v>5</v>
      </c>
      <c r="X176" s="2">
        <f>MATCH(Auto_Sales_data___Copy[[#This Row],[Total_Orders_Per_Customer]],Table2[F-Cutoff],1)</f>
        <v>4</v>
      </c>
      <c r="Y176" s="2">
        <f>MATCH(Auto_Sales_data___Copy[[#This Row],[Total_Sales_Per_Customer]],Table2[M-Cutoff],1)</f>
        <v>4</v>
      </c>
      <c r="Z176" s="2" t="str">
        <f>Auto_Sales_data___Copy[[#This Row],[R-Score(1-5)]]&amp;Auto_Sales_data___Copy[[#This Row],[F-Score(1-5)]]&amp;Auto_Sales_data___Copy[[#This Row],[M-Score(1-5)]]</f>
        <v>544</v>
      </c>
      <c r="AA176" s="2" t="str" cm="1">
        <f t="array" ref="AA1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6" s="2" t="str">
        <f>VLOOKUP(Auto_Sales_data___Copy[[#This Row],[Segment Name]],Table3[],2,FALSE)</f>
        <v>VIP Recognitioon &amp; Inclusivity</v>
      </c>
    </row>
    <row r="177" spans="1:28" x14ac:dyDescent="0.25">
      <c r="A177">
        <v>10291</v>
      </c>
      <c r="B177">
        <v>37</v>
      </c>
      <c r="C177">
        <v>192.87</v>
      </c>
      <c r="D177">
        <v>11</v>
      </c>
      <c r="E177">
        <v>7136.19</v>
      </c>
      <c r="F177" s="1">
        <v>43716</v>
      </c>
      <c r="G177" s="2" t="s">
        <v>19</v>
      </c>
      <c r="H177" s="2" t="s">
        <v>183</v>
      </c>
      <c r="I177">
        <v>214</v>
      </c>
      <c r="J177" s="2" t="s">
        <v>184</v>
      </c>
      <c r="K177" s="2" t="s">
        <v>272</v>
      </c>
      <c r="L177" s="2" t="s">
        <v>273</v>
      </c>
      <c r="M177" s="2" t="s">
        <v>274</v>
      </c>
      <c r="N177" s="2" t="s">
        <v>275</v>
      </c>
      <c r="O177" s="2" t="s">
        <v>276</v>
      </c>
      <c r="P177" s="2" t="s">
        <v>190</v>
      </c>
      <c r="Q177" s="2" t="s">
        <v>277</v>
      </c>
      <c r="R177" s="2" t="s">
        <v>209</v>
      </c>
      <c r="S177" s="2" t="s">
        <v>151</v>
      </c>
      <c r="T177">
        <v>307</v>
      </c>
      <c r="U177">
        <f>VLOOKUP(Auto_Sales_data___Copy[[#This Row],[CUSTOMER_NAME]],$AF$2:$AH$90,2,FALSE)</f>
        <v>38</v>
      </c>
      <c r="V177">
        <f>VLOOKUP(Auto_Sales_data___Copy[[#This Row],[CUSTOMER_NAME]],$AF$2:$AH$90,3,FALSE)</f>
        <v>134259.32999999996</v>
      </c>
      <c r="W177" s="2">
        <f>6-MATCH(Auto_Sales_data___Copy[[#This Row],[DAYS_SINCE_LAST_ORDER]],Table2[R-Cutoff],1)</f>
        <v>5</v>
      </c>
      <c r="X177" s="2">
        <f>MATCH(Auto_Sales_data___Copy[[#This Row],[Total_Orders_Per_Customer]],Table2[F-Cutoff],1)</f>
        <v>4</v>
      </c>
      <c r="Y177" s="2">
        <f>MATCH(Auto_Sales_data___Copy[[#This Row],[Total_Sales_Per_Customer]],Table2[M-Cutoff],1)</f>
        <v>4</v>
      </c>
      <c r="Z177" s="2" t="str">
        <f>Auto_Sales_data___Copy[[#This Row],[R-Score(1-5)]]&amp;Auto_Sales_data___Copy[[#This Row],[F-Score(1-5)]]&amp;Auto_Sales_data___Copy[[#This Row],[M-Score(1-5)]]</f>
        <v>544</v>
      </c>
      <c r="AA177" s="2" t="str" cm="1">
        <f t="array" ref="AA1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7" s="2" t="str">
        <f>VLOOKUP(Auto_Sales_data___Copy[[#This Row],[Segment Name]],Table3[],2,FALSE)</f>
        <v>VIP Recognitioon &amp; Inclusivity</v>
      </c>
    </row>
    <row r="178" spans="1:28" x14ac:dyDescent="0.25">
      <c r="A178">
        <v>10291</v>
      </c>
      <c r="B178">
        <v>30</v>
      </c>
      <c r="C178">
        <v>128.53</v>
      </c>
      <c r="D178">
        <v>4</v>
      </c>
      <c r="E178">
        <v>3855.9</v>
      </c>
      <c r="F178" s="1">
        <v>43716</v>
      </c>
      <c r="G178" s="2" t="s">
        <v>19</v>
      </c>
      <c r="H178" s="2" t="s">
        <v>183</v>
      </c>
      <c r="I178">
        <v>147</v>
      </c>
      <c r="J178" s="2" t="s">
        <v>424</v>
      </c>
      <c r="K178" s="2" t="s">
        <v>272</v>
      </c>
      <c r="L178" s="2" t="s">
        <v>273</v>
      </c>
      <c r="M178" s="2" t="s">
        <v>274</v>
      </c>
      <c r="N178" s="2" t="s">
        <v>275</v>
      </c>
      <c r="O178" s="2" t="s">
        <v>276</v>
      </c>
      <c r="P178" s="2" t="s">
        <v>190</v>
      </c>
      <c r="Q178" s="2" t="s">
        <v>277</v>
      </c>
      <c r="R178" s="2" t="s">
        <v>209</v>
      </c>
      <c r="S178" s="2" t="s">
        <v>46</v>
      </c>
      <c r="T178">
        <v>406</v>
      </c>
      <c r="U178">
        <f>VLOOKUP(Auto_Sales_data___Copy[[#This Row],[CUSTOMER_NAME]],$AF$2:$AH$90,2,FALSE)</f>
        <v>38</v>
      </c>
      <c r="V178">
        <f>VLOOKUP(Auto_Sales_data___Copy[[#This Row],[CUSTOMER_NAME]],$AF$2:$AH$90,3,FALSE)</f>
        <v>134259.32999999996</v>
      </c>
      <c r="W178" s="2">
        <f>6-MATCH(Auto_Sales_data___Copy[[#This Row],[DAYS_SINCE_LAST_ORDER]],Table2[R-Cutoff],1)</f>
        <v>5</v>
      </c>
      <c r="X178" s="2">
        <f>MATCH(Auto_Sales_data___Copy[[#This Row],[Total_Orders_Per_Customer]],Table2[F-Cutoff],1)</f>
        <v>4</v>
      </c>
      <c r="Y178" s="2">
        <f>MATCH(Auto_Sales_data___Copy[[#This Row],[Total_Sales_Per_Customer]],Table2[M-Cutoff],1)</f>
        <v>4</v>
      </c>
      <c r="Z178" s="2" t="str">
        <f>Auto_Sales_data___Copy[[#This Row],[R-Score(1-5)]]&amp;Auto_Sales_data___Copy[[#This Row],[F-Score(1-5)]]&amp;Auto_Sales_data___Copy[[#This Row],[M-Score(1-5)]]</f>
        <v>544</v>
      </c>
      <c r="AA178" s="2" t="str" cm="1">
        <f t="array" ref="AA1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8" s="2" t="str">
        <f>VLOOKUP(Auto_Sales_data___Copy[[#This Row],[Segment Name]],Table3[],2,FALSE)</f>
        <v>VIP Recognitioon &amp; Inclusivity</v>
      </c>
    </row>
    <row r="179" spans="1:28" x14ac:dyDescent="0.25">
      <c r="A179">
        <v>10291</v>
      </c>
      <c r="B179">
        <v>41</v>
      </c>
      <c r="C179">
        <v>155.80000000000001</v>
      </c>
      <c r="D179">
        <v>8</v>
      </c>
      <c r="E179">
        <v>6387.8</v>
      </c>
      <c r="F179" s="1">
        <v>43716</v>
      </c>
      <c r="G179" s="2" t="s">
        <v>19</v>
      </c>
      <c r="H179" s="2" t="s">
        <v>537</v>
      </c>
      <c r="I179">
        <v>136</v>
      </c>
      <c r="J179" s="2" t="s">
        <v>538</v>
      </c>
      <c r="K179" s="2" t="s">
        <v>272</v>
      </c>
      <c r="L179" s="2" t="s">
        <v>273</v>
      </c>
      <c r="M179" s="2" t="s">
        <v>274</v>
      </c>
      <c r="N179" s="2" t="s">
        <v>275</v>
      </c>
      <c r="O179" s="2" t="s">
        <v>276</v>
      </c>
      <c r="P179" s="2" t="s">
        <v>190</v>
      </c>
      <c r="Q179" s="2" t="s">
        <v>277</v>
      </c>
      <c r="R179" s="2" t="s">
        <v>209</v>
      </c>
      <c r="S179" s="2" t="s">
        <v>46</v>
      </c>
      <c r="T179">
        <v>483</v>
      </c>
      <c r="U179">
        <f>VLOOKUP(Auto_Sales_data___Copy[[#This Row],[CUSTOMER_NAME]],$AF$2:$AH$90,2,FALSE)</f>
        <v>38</v>
      </c>
      <c r="V179">
        <f>VLOOKUP(Auto_Sales_data___Copy[[#This Row],[CUSTOMER_NAME]],$AF$2:$AH$90,3,FALSE)</f>
        <v>134259.32999999996</v>
      </c>
      <c r="W179" s="2">
        <f>6-MATCH(Auto_Sales_data___Copy[[#This Row],[DAYS_SINCE_LAST_ORDER]],Table2[R-Cutoff],1)</f>
        <v>5</v>
      </c>
      <c r="X179" s="2">
        <f>MATCH(Auto_Sales_data___Copy[[#This Row],[Total_Orders_Per_Customer]],Table2[F-Cutoff],1)</f>
        <v>4</v>
      </c>
      <c r="Y179" s="2">
        <f>MATCH(Auto_Sales_data___Copy[[#This Row],[Total_Sales_Per_Customer]],Table2[M-Cutoff],1)</f>
        <v>4</v>
      </c>
      <c r="Z179" s="2" t="str">
        <f>Auto_Sales_data___Copy[[#This Row],[R-Score(1-5)]]&amp;Auto_Sales_data___Copy[[#This Row],[F-Score(1-5)]]&amp;Auto_Sales_data___Copy[[#This Row],[M-Score(1-5)]]</f>
        <v>544</v>
      </c>
      <c r="AA179" s="2" t="str" cm="1">
        <f t="array" ref="AA1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9" s="2" t="str">
        <f>VLOOKUP(Auto_Sales_data___Copy[[#This Row],[Segment Name]],Table3[],2,FALSE)</f>
        <v>VIP Recognitioon &amp; Inclusivity</v>
      </c>
    </row>
    <row r="180" spans="1:28" x14ac:dyDescent="0.25">
      <c r="A180">
        <v>10292</v>
      </c>
      <c r="B180">
        <v>21</v>
      </c>
      <c r="C180">
        <v>105.47</v>
      </c>
      <c r="D180">
        <v>8</v>
      </c>
      <c r="E180">
        <v>2214.87</v>
      </c>
      <c r="F180" s="1">
        <v>43716</v>
      </c>
      <c r="G180" s="2" t="s">
        <v>19</v>
      </c>
      <c r="H180" s="2" t="s">
        <v>537</v>
      </c>
      <c r="I180">
        <v>118</v>
      </c>
      <c r="J180" s="2" t="s">
        <v>554</v>
      </c>
      <c r="K180" s="2" t="s">
        <v>22</v>
      </c>
      <c r="L180" s="2" t="s">
        <v>23</v>
      </c>
      <c r="M180" s="2" t="s">
        <v>24</v>
      </c>
      <c r="N180" s="2" t="s">
        <v>25</v>
      </c>
      <c r="O180" s="2" t="s">
        <v>26</v>
      </c>
      <c r="P180" s="2" t="s">
        <v>27</v>
      </c>
      <c r="Q180" s="2" t="s">
        <v>28</v>
      </c>
      <c r="R180" s="2" t="s">
        <v>29</v>
      </c>
      <c r="S180" s="2" t="s">
        <v>30</v>
      </c>
      <c r="T180">
        <v>632</v>
      </c>
      <c r="U180">
        <f>VLOOKUP(Auto_Sales_data___Copy[[#This Row],[CUSTOMER_NAME]],$AF$2:$AH$90,2,FALSE)</f>
        <v>49</v>
      </c>
      <c r="V180">
        <f>VLOOKUP(Auto_Sales_data___Copy[[#This Row],[CUSTOMER_NAME]],$AF$2:$AH$90,3,FALSE)</f>
        <v>164069.43999999997</v>
      </c>
      <c r="W180" s="2">
        <f>6-MATCH(Auto_Sales_data___Copy[[#This Row],[DAYS_SINCE_LAST_ORDER]],Table2[R-Cutoff],1)</f>
        <v>5</v>
      </c>
      <c r="X180" s="2">
        <f>MATCH(Auto_Sales_data___Copy[[#This Row],[Total_Orders_Per_Customer]],Table2[F-Cutoff],1)</f>
        <v>4</v>
      </c>
      <c r="Y180" s="2">
        <f>MATCH(Auto_Sales_data___Copy[[#This Row],[Total_Sales_Per_Customer]],Table2[M-Cutoff],1)</f>
        <v>4</v>
      </c>
      <c r="Z180" s="2" t="str">
        <f>Auto_Sales_data___Copy[[#This Row],[R-Score(1-5)]]&amp;Auto_Sales_data___Copy[[#This Row],[F-Score(1-5)]]&amp;Auto_Sales_data___Copy[[#This Row],[M-Score(1-5)]]</f>
        <v>544</v>
      </c>
      <c r="AA180" s="2" t="str" cm="1">
        <f t="array" ref="AA1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0" s="2" t="str">
        <f>VLOOKUP(Auto_Sales_data___Copy[[#This Row],[Segment Name]],Table3[],2,FALSE)</f>
        <v>VIP Recognitioon &amp; Inclusivity</v>
      </c>
    </row>
    <row r="181" spans="1:28" x14ac:dyDescent="0.25">
      <c r="A181">
        <v>10291</v>
      </c>
      <c r="B181">
        <v>41</v>
      </c>
      <c r="C181">
        <v>114.34</v>
      </c>
      <c r="D181">
        <v>10</v>
      </c>
      <c r="E181">
        <v>4687.9399999999996</v>
      </c>
      <c r="F181" s="1">
        <v>43716</v>
      </c>
      <c r="G181" s="2" t="s">
        <v>19</v>
      </c>
      <c r="H181" s="2" t="s">
        <v>537</v>
      </c>
      <c r="I181">
        <v>116</v>
      </c>
      <c r="J181" s="2" t="s">
        <v>575</v>
      </c>
      <c r="K181" s="2" t="s">
        <v>272</v>
      </c>
      <c r="L181" s="2" t="s">
        <v>273</v>
      </c>
      <c r="M181" s="2" t="s">
        <v>274</v>
      </c>
      <c r="N181" s="2" t="s">
        <v>275</v>
      </c>
      <c r="O181" s="2" t="s">
        <v>276</v>
      </c>
      <c r="P181" s="2" t="s">
        <v>190</v>
      </c>
      <c r="Q181" s="2" t="s">
        <v>277</v>
      </c>
      <c r="R181" s="2" t="s">
        <v>209</v>
      </c>
      <c r="S181" s="2" t="s">
        <v>46</v>
      </c>
      <c r="T181">
        <v>684</v>
      </c>
      <c r="U181">
        <f>VLOOKUP(Auto_Sales_data___Copy[[#This Row],[CUSTOMER_NAME]],$AF$2:$AH$90,2,FALSE)</f>
        <v>38</v>
      </c>
      <c r="V181">
        <f>VLOOKUP(Auto_Sales_data___Copy[[#This Row],[CUSTOMER_NAME]],$AF$2:$AH$90,3,FALSE)</f>
        <v>134259.32999999996</v>
      </c>
      <c r="W181" s="2">
        <f>6-MATCH(Auto_Sales_data___Copy[[#This Row],[DAYS_SINCE_LAST_ORDER]],Table2[R-Cutoff],1)</f>
        <v>5</v>
      </c>
      <c r="X181" s="2">
        <f>MATCH(Auto_Sales_data___Copy[[#This Row],[Total_Orders_Per_Customer]],Table2[F-Cutoff],1)</f>
        <v>4</v>
      </c>
      <c r="Y181" s="2">
        <f>MATCH(Auto_Sales_data___Copy[[#This Row],[Total_Sales_Per_Customer]],Table2[M-Cutoff],1)</f>
        <v>4</v>
      </c>
      <c r="Z181" s="2" t="str">
        <f>Auto_Sales_data___Copy[[#This Row],[R-Score(1-5)]]&amp;Auto_Sales_data___Copy[[#This Row],[F-Score(1-5)]]&amp;Auto_Sales_data___Copy[[#This Row],[M-Score(1-5)]]</f>
        <v>544</v>
      </c>
      <c r="AA181" s="2" t="str" cm="1">
        <f t="array" ref="AA1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1" s="2" t="str">
        <f>VLOOKUP(Auto_Sales_data___Copy[[#This Row],[Segment Name]],Table3[],2,FALSE)</f>
        <v>VIP Recognitioon &amp; Inclusivity</v>
      </c>
    </row>
    <row r="182" spans="1:28" x14ac:dyDescent="0.25">
      <c r="A182">
        <v>10292</v>
      </c>
      <c r="B182">
        <v>26</v>
      </c>
      <c r="C182">
        <v>175.19</v>
      </c>
      <c r="D182">
        <v>7</v>
      </c>
      <c r="E182">
        <v>4554.9399999999996</v>
      </c>
      <c r="F182" s="1">
        <v>43716</v>
      </c>
      <c r="G182" s="2" t="s">
        <v>19</v>
      </c>
      <c r="H182" s="2" t="s">
        <v>183</v>
      </c>
      <c r="I182">
        <v>163</v>
      </c>
      <c r="J182" s="2" t="s">
        <v>631</v>
      </c>
      <c r="K182" s="2" t="s">
        <v>22</v>
      </c>
      <c r="L182" s="2" t="s">
        <v>23</v>
      </c>
      <c r="M182" s="2" t="s">
        <v>24</v>
      </c>
      <c r="N182" s="2" t="s">
        <v>25</v>
      </c>
      <c r="O182" s="2" t="s">
        <v>26</v>
      </c>
      <c r="P182" s="2" t="s">
        <v>27</v>
      </c>
      <c r="Q182" s="2" t="s">
        <v>28</v>
      </c>
      <c r="R182" s="2" t="s">
        <v>29</v>
      </c>
      <c r="S182" s="2" t="s">
        <v>46</v>
      </c>
      <c r="T182">
        <v>908</v>
      </c>
      <c r="U182">
        <f>VLOOKUP(Auto_Sales_data___Copy[[#This Row],[CUSTOMER_NAME]],$AF$2:$AH$90,2,FALSE)</f>
        <v>49</v>
      </c>
      <c r="V182">
        <f>VLOOKUP(Auto_Sales_data___Copy[[#This Row],[CUSTOMER_NAME]],$AF$2:$AH$90,3,FALSE)</f>
        <v>164069.43999999997</v>
      </c>
      <c r="W182" s="2">
        <f>6-MATCH(Auto_Sales_data___Copy[[#This Row],[DAYS_SINCE_LAST_ORDER]],Table2[R-Cutoff],1)</f>
        <v>5</v>
      </c>
      <c r="X182" s="2">
        <f>MATCH(Auto_Sales_data___Copy[[#This Row],[Total_Orders_Per_Customer]],Table2[F-Cutoff],1)</f>
        <v>4</v>
      </c>
      <c r="Y182" s="2">
        <f>MATCH(Auto_Sales_data___Copy[[#This Row],[Total_Sales_Per_Customer]],Table2[M-Cutoff],1)</f>
        <v>4</v>
      </c>
      <c r="Z182" s="2" t="str">
        <f>Auto_Sales_data___Copy[[#This Row],[R-Score(1-5)]]&amp;Auto_Sales_data___Copy[[#This Row],[F-Score(1-5)]]&amp;Auto_Sales_data___Copy[[#This Row],[M-Score(1-5)]]</f>
        <v>544</v>
      </c>
      <c r="AA182" s="2" t="str" cm="1">
        <f t="array" ref="AA1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2" s="2" t="str">
        <f>VLOOKUP(Auto_Sales_data___Copy[[#This Row],[Segment Name]],Table3[],2,FALSE)</f>
        <v>VIP Recognitioon &amp; Inclusivity</v>
      </c>
    </row>
    <row r="183" spans="1:28" x14ac:dyDescent="0.25">
      <c r="A183">
        <v>10299</v>
      </c>
      <c r="B183">
        <v>23</v>
      </c>
      <c r="C183">
        <v>112.93</v>
      </c>
      <c r="D183">
        <v>9</v>
      </c>
      <c r="E183">
        <v>2597.39</v>
      </c>
      <c r="F183" s="1">
        <v>43738</v>
      </c>
      <c r="G183" s="2" t="s">
        <v>19</v>
      </c>
      <c r="H183" s="2" t="s">
        <v>20</v>
      </c>
      <c r="I183">
        <v>95</v>
      </c>
      <c r="J183" s="2" t="s">
        <v>21</v>
      </c>
      <c r="K183" s="2" t="s">
        <v>122</v>
      </c>
      <c r="L183" s="2" t="s">
        <v>123</v>
      </c>
      <c r="M183" s="2" t="s">
        <v>124</v>
      </c>
      <c r="N183" s="2" t="s">
        <v>125</v>
      </c>
      <c r="O183" s="2" t="s">
        <v>126</v>
      </c>
      <c r="P183" s="2" t="s">
        <v>127</v>
      </c>
      <c r="Q183" s="2" t="s">
        <v>128</v>
      </c>
      <c r="R183" s="2" t="s">
        <v>129</v>
      </c>
      <c r="S183" s="2" t="s">
        <v>30</v>
      </c>
      <c r="T183">
        <v>259</v>
      </c>
      <c r="U183">
        <f>VLOOKUP(Auto_Sales_data___Copy[[#This Row],[CUSTOMER_NAME]],$AF$2:$AH$90,2,FALSE)</f>
        <v>30</v>
      </c>
      <c r="V183">
        <f>VLOOKUP(Auto_Sales_data___Copy[[#This Row],[CUSTOMER_NAME]],$AF$2:$AH$90,3,FALSE)</f>
        <v>111250.37999999999</v>
      </c>
      <c r="W183" s="2">
        <f>6-MATCH(Auto_Sales_data___Copy[[#This Row],[DAYS_SINCE_LAST_ORDER]],Table2[R-Cutoff],1)</f>
        <v>5</v>
      </c>
      <c r="X183" s="2">
        <f>MATCH(Auto_Sales_data___Copy[[#This Row],[Total_Orders_Per_Customer]],Table2[F-Cutoff],1)</f>
        <v>4</v>
      </c>
      <c r="Y183" s="2">
        <f>MATCH(Auto_Sales_data___Copy[[#This Row],[Total_Sales_Per_Customer]],Table2[M-Cutoff],1)</f>
        <v>4</v>
      </c>
      <c r="Z183" s="2" t="str">
        <f>Auto_Sales_data___Copy[[#This Row],[R-Score(1-5)]]&amp;Auto_Sales_data___Copy[[#This Row],[F-Score(1-5)]]&amp;Auto_Sales_data___Copy[[#This Row],[M-Score(1-5)]]</f>
        <v>544</v>
      </c>
      <c r="AA183" s="2" t="str" cm="1">
        <f t="array" ref="AA1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3" s="2" t="str">
        <f>VLOOKUP(Auto_Sales_data___Copy[[#This Row],[Segment Name]],Table3[],2,FALSE)</f>
        <v>VIP Recognitioon &amp; Inclusivity</v>
      </c>
    </row>
    <row r="184" spans="1:28" x14ac:dyDescent="0.25">
      <c r="A184">
        <v>10299</v>
      </c>
      <c r="B184">
        <v>29</v>
      </c>
      <c r="C184">
        <v>230.46</v>
      </c>
      <c r="D184">
        <v>11</v>
      </c>
      <c r="E184">
        <v>6683.34</v>
      </c>
      <c r="F184" s="1">
        <v>43738</v>
      </c>
      <c r="G184" s="2" t="s">
        <v>19</v>
      </c>
      <c r="H184" s="2" t="s">
        <v>20</v>
      </c>
      <c r="I184">
        <v>193</v>
      </c>
      <c r="J184" s="2" t="s">
        <v>337</v>
      </c>
      <c r="K184" s="2" t="s">
        <v>122</v>
      </c>
      <c r="L184" s="2" t="s">
        <v>123</v>
      </c>
      <c r="M184" s="2" t="s">
        <v>124</v>
      </c>
      <c r="N184" s="2" t="s">
        <v>125</v>
      </c>
      <c r="O184" s="2" t="s">
        <v>126</v>
      </c>
      <c r="P184" s="2" t="s">
        <v>127</v>
      </c>
      <c r="Q184" s="2" t="s">
        <v>128</v>
      </c>
      <c r="R184" s="2" t="s">
        <v>129</v>
      </c>
      <c r="S184" s="2" t="s">
        <v>46</v>
      </c>
      <c r="T184">
        <v>333</v>
      </c>
      <c r="U184">
        <f>VLOOKUP(Auto_Sales_data___Copy[[#This Row],[CUSTOMER_NAME]],$AF$2:$AH$90,2,FALSE)</f>
        <v>30</v>
      </c>
      <c r="V184">
        <f>VLOOKUP(Auto_Sales_data___Copy[[#This Row],[CUSTOMER_NAME]],$AF$2:$AH$90,3,FALSE)</f>
        <v>111250.37999999999</v>
      </c>
      <c r="W184" s="2">
        <f>6-MATCH(Auto_Sales_data___Copy[[#This Row],[DAYS_SINCE_LAST_ORDER]],Table2[R-Cutoff],1)</f>
        <v>5</v>
      </c>
      <c r="X184" s="2">
        <f>MATCH(Auto_Sales_data___Copy[[#This Row],[Total_Orders_Per_Customer]],Table2[F-Cutoff],1)</f>
        <v>4</v>
      </c>
      <c r="Y184" s="2">
        <f>MATCH(Auto_Sales_data___Copy[[#This Row],[Total_Sales_Per_Customer]],Table2[M-Cutoff],1)</f>
        <v>4</v>
      </c>
      <c r="Z184" s="2" t="str">
        <f>Auto_Sales_data___Copy[[#This Row],[R-Score(1-5)]]&amp;Auto_Sales_data___Copy[[#This Row],[F-Score(1-5)]]&amp;Auto_Sales_data___Copy[[#This Row],[M-Score(1-5)]]</f>
        <v>544</v>
      </c>
      <c r="AA184" s="2" t="str" cm="1">
        <f t="array" ref="AA1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4" s="2" t="str">
        <f>VLOOKUP(Auto_Sales_data___Copy[[#This Row],[Segment Name]],Table3[],2,FALSE)</f>
        <v>VIP Recognitioon &amp; Inclusivity</v>
      </c>
    </row>
    <row r="185" spans="1:28" x14ac:dyDescent="0.25">
      <c r="A185">
        <v>10299</v>
      </c>
      <c r="B185">
        <v>24</v>
      </c>
      <c r="C185">
        <v>173.21</v>
      </c>
      <c r="D185">
        <v>8</v>
      </c>
      <c r="E185">
        <v>4157.04</v>
      </c>
      <c r="F185" s="1">
        <v>43738</v>
      </c>
      <c r="G185" s="2" t="s">
        <v>19</v>
      </c>
      <c r="H185" s="2" t="s">
        <v>20</v>
      </c>
      <c r="I185">
        <v>150</v>
      </c>
      <c r="J185" s="2" t="s">
        <v>539</v>
      </c>
      <c r="K185" s="2" t="s">
        <v>122</v>
      </c>
      <c r="L185" s="2" t="s">
        <v>123</v>
      </c>
      <c r="M185" s="2" t="s">
        <v>124</v>
      </c>
      <c r="N185" s="2" t="s">
        <v>125</v>
      </c>
      <c r="O185" s="2" t="s">
        <v>126</v>
      </c>
      <c r="P185" s="2" t="s">
        <v>127</v>
      </c>
      <c r="Q185" s="2" t="s">
        <v>128</v>
      </c>
      <c r="R185" s="2" t="s">
        <v>129</v>
      </c>
      <c r="S185" s="2" t="s">
        <v>46</v>
      </c>
      <c r="T185">
        <v>485</v>
      </c>
      <c r="U185">
        <f>VLOOKUP(Auto_Sales_data___Copy[[#This Row],[CUSTOMER_NAME]],$AF$2:$AH$90,2,FALSE)</f>
        <v>30</v>
      </c>
      <c r="V185">
        <f>VLOOKUP(Auto_Sales_data___Copy[[#This Row],[CUSTOMER_NAME]],$AF$2:$AH$90,3,FALSE)</f>
        <v>111250.37999999999</v>
      </c>
      <c r="W185" s="2">
        <f>6-MATCH(Auto_Sales_data___Copy[[#This Row],[DAYS_SINCE_LAST_ORDER]],Table2[R-Cutoff],1)</f>
        <v>5</v>
      </c>
      <c r="X185" s="2">
        <f>MATCH(Auto_Sales_data___Copy[[#This Row],[Total_Orders_Per_Customer]],Table2[F-Cutoff],1)</f>
        <v>4</v>
      </c>
      <c r="Y185" s="2">
        <f>MATCH(Auto_Sales_data___Copy[[#This Row],[Total_Sales_Per_Customer]],Table2[M-Cutoff],1)</f>
        <v>4</v>
      </c>
      <c r="Z185" s="2" t="str">
        <f>Auto_Sales_data___Copy[[#This Row],[R-Score(1-5)]]&amp;Auto_Sales_data___Copy[[#This Row],[F-Score(1-5)]]&amp;Auto_Sales_data___Copy[[#This Row],[M-Score(1-5)]]</f>
        <v>544</v>
      </c>
      <c r="AA185" s="2" t="str" cm="1">
        <f t="array" ref="AA1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5" s="2" t="str">
        <f>VLOOKUP(Auto_Sales_data___Copy[[#This Row],[Segment Name]],Table3[],2,FALSE)</f>
        <v>VIP Recognitioon &amp; Inclusivity</v>
      </c>
    </row>
    <row r="186" spans="1:28" x14ac:dyDescent="0.25">
      <c r="A186">
        <v>10305</v>
      </c>
      <c r="B186">
        <v>38</v>
      </c>
      <c r="C186">
        <v>175.81</v>
      </c>
      <c r="D186">
        <v>13</v>
      </c>
      <c r="E186">
        <v>6680.78</v>
      </c>
      <c r="F186" s="1">
        <v>43751</v>
      </c>
      <c r="G186" s="2" t="s">
        <v>19</v>
      </c>
      <c r="H186" s="2" t="s">
        <v>183</v>
      </c>
      <c r="I186">
        <v>147</v>
      </c>
      <c r="J186" s="2" t="s">
        <v>424</v>
      </c>
      <c r="K186" s="2" t="s">
        <v>115</v>
      </c>
      <c r="L186" s="2" t="s">
        <v>116</v>
      </c>
      <c r="M186" s="2" t="s">
        <v>117</v>
      </c>
      <c r="N186" s="2" t="s">
        <v>118</v>
      </c>
      <c r="O186" s="2" t="s">
        <v>119</v>
      </c>
      <c r="P186" s="2" t="s">
        <v>27</v>
      </c>
      <c r="Q186" s="2" t="s">
        <v>120</v>
      </c>
      <c r="R186" s="2" t="s">
        <v>121</v>
      </c>
      <c r="S186" s="2" t="s">
        <v>46</v>
      </c>
      <c r="T186">
        <v>372</v>
      </c>
      <c r="U186">
        <f>VLOOKUP(Auto_Sales_data___Copy[[#This Row],[CUSTOMER_NAME]],$AF$2:$AH$90,2,FALSE)</f>
        <v>27</v>
      </c>
      <c r="V186">
        <f>VLOOKUP(Auto_Sales_data___Copy[[#This Row],[CUSTOMER_NAME]],$AF$2:$AH$90,3,FALSE)</f>
        <v>103080.37999999998</v>
      </c>
      <c r="W186" s="2">
        <f>6-MATCH(Auto_Sales_data___Copy[[#This Row],[DAYS_SINCE_LAST_ORDER]],Table2[R-Cutoff],1)</f>
        <v>5</v>
      </c>
      <c r="X186" s="2">
        <f>MATCH(Auto_Sales_data___Copy[[#This Row],[Total_Orders_Per_Customer]],Table2[F-Cutoff],1)</f>
        <v>4</v>
      </c>
      <c r="Y186" s="2">
        <f>MATCH(Auto_Sales_data___Copy[[#This Row],[Total_Sales_Per_Customer]],Table2[M-Cutoff],1)</f>
        <v>4</v>
      </c>
      <c r="Z186" s="2" t="str">
        <f>Auto_Sales_data___Copy[[#This Row],[R-Score(1-5)]]&amp;Auto_Sales_data___Copy[[#This Row],[F-Score(1-5)]]&amp;Auto_Sales_data___Copy[[#This Row],[M-Score(1-5)]]</f>
        <v>544</v>
      </c>
      <c r="AA186" s="2" t="str" cm="1">
        <f t="array" ref="AA1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6" s="2" t="str">
        <f>VLOOKUP(Auto_Sales_data___Copy[[#This Row],[Segment Name]],Table3[],2,FALSE)</f>
        <v>VIP Recognitioon &amp; Inclusivity</v>
      </c>
    </row>
    <row r="187" spans="1:28" x14ac:dyDescent="0.25">
      <c r="A187">
        <v>10305</v>
      </c>
      <c r="B187">
        <v>38</v>
      </c>
      <c r="C187">
        <v>125.61</v>
      </c>
      <c r="D187">
        <v>5</v>
      </c>
      <c r="E187">
        <v>4773.18</v>
      </c>
      <c r="F187" s="1">
        <v>43751</v>
      </c>
      <c r="G187" s="2" t="s">
        <v>19</v>
      </c>
      <c r="H187" s="2" t="s">
        <v>537</v>
      </c>
      <c r="I187">
        <v>118</v>
      </c>
      <c r="J187" s="2" t="s">
        <v>554</v>
      </c>
      <c r="K187" s="2" t="s">
        <v>115</v>
      </c>
      <c r="L187" s="2" t="s">
        <v>116</v>
      </c>
      <c r="M187" s="2" t="s">
        <v>117</v>
      </c>
      <c r="N187" s="2" t="s">
        <v>118</v>
      </c>
      <c r="O187" s="2" t="s">
        <v>119</v>
      </c>
      <c r="P187" s="2" t="s">
        <v>27</v>
      </c>
      <c r="Q187" s="2" t="s">
        <v>120</v>
      </c>
      <c r="R187" s="2" t="s">
        <v>121</v>
      </c>
      <c r="S187" s="2" t="s">
        <v>46</v>
      </c>
      <c r="T187">
        <v>598</v>
      </c>
      <c r="U187">
        <f>VLOOKUP(Auto_Sales_data___Copy[[#This Row],[CUSTOMER_NAME]],$AF$2:$AH$90,2,FALSE)</f>
        <v>27</v>
      </c>
      <c r="V187">
        <f>VLOOKUP(Auto_Sales_data___Copy[[#This Row],[CUSTOMER_NAME]],$AF$2:$AH$90,3,FALSE)</f>
        <v>103080.37999999998</v>
      </c>
      <c r="W187" s="2">
        <f>6-MATCH(Auto_Sales_data___Copy[[#This Row],[DAYS_SINCE_LAST_ORDER]],Table2[R-Cutoff],1)</f>
        <v>5</v>
      </c>
      <c r="X187" s="2">
        <f>MATCH(Auto_Sales_data___Copy[[#This Row],[Total_Orders_Per_Customer]],Table2[F-Cutoff],1)</f>
        <v>4</v>
      </c>
      <c r="Y187" s="2">
        <f>MATCH(Auto_Sales_data___Copy[[#This Row],[Total_Sales_Per_Customer]],Table2[M-Cutoff],1)</f>
        <v>4</v>
      </c>
      <c r="Z187" s="2" t="str">
        <f>Auto_Sales_data___Copy[[#This Row],[R-Score(1-5)]]&amp;Auto_Sales_data___Copy[[#This Row],[F-Score(1-5)]]&amp;Auto_Sales_data___Copy[[#This Row],[M-Score(1-5)]]</f>
        <v>544</v>
      </c>
      <c r="AA187" s="2" t="str" cm="1">
        <f t="array" ref="AA1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7" s="2" t="str">
        <f>VLOOKUP(Auto_Sales_data___Copy[[#This Row],[Segment Name]],Table3[],2,FALSE)</f>
        <v>VIP Recognitioon &amp; Inclusivity</v>
      </c>
    </row>
    <row r="188" spans="1:28" x14ac:dyDescent="0.25">
      <c r="A188">
        <v>10305</v>
      </c>
      <c r="B188">
        <v>27</v>
      </c>
      <c r="C188">
        <v>145.72</v>
      </c>
      <c r="D188">
        <v>4</v>
      </c>
      <c r="E188">
        <v>3934.44</v>
      </c>
      <c r="F188" s="1">
        <v>43751</v>
      </c>
      <c r="G188" s="2" t="s">
        <v>19</v>
      </c>
      <c r="H188" s="2" t="s">
        <v>183</v>
      </c>
      <c r="I188">
        <v>163</v>
      </c>
      <c r="J188" s="2" t="s">
        <v>631</v>
      </c>
      <c r="K188" s="2" t="s">
        <v>115</v>
      </c>
      <c r="L188" s="2" t="s">
        <v>116</v>
      </c>
      <c r="M188" s="2" t="s">
        <v>117</v>
      </c>
      <c r="N188" s="2" t="s">
        <v>118</v>
      </c>
      <c r="O188" s="2" t="s">
        <v>119</v>
      </c>
      <c r="P188" s="2" t="s">
        <v>27</v>
      </c>
      <c r="Q188" s="2" t="s">
        <v>120</v>
      </c>
      <c r="R188" s="2" t="s">
        <v>121</v>
      </c>
      <c r="S188" s="2" t="s">
        <v>46</v>
      </c>
      <c r="T188">
        <v>874</v>
      </c>
      <c r="U188">
        <f>VLOOKUP(Auto_Sales_data___Copy[[#This Row],[CUSTOMER_NAME]],$AF$2:$AH$90,2,FALSE)</f>
        <v>27</v>
      </c>
      <c r="V188">
        <f>VLOOKUP(Auto_Sales_data___Copy[[#This Row],[CUSTOMER_NAME]],$AF$2:$AH$90,3,FALSE)</f>
        <v>103080.37999999998</v>
      </c>
      <c r="W188" s="2">
        <f>6-MATCH(Auto_Sales_data___Copy[[#This Row],[DAYS_SINCE_LAST_ORDER]],Table2[R-Cutoff],1)</f>
        <v>5</v>
      </c>
      <c r="X188" s="2">
        <f>MATCH(Auto_Sales_data___Copy[[#This Row],[Total_Orders_Per_Customer]],Table2[F-Cutoff],1)</f>
        <v>4</v>
      </c>
      <c r="Y188" s="2">
        <f>MATCH(Auto_Sales_data___Copy[[#This Row],[Total_Sales_Per_Customer]],Table2[M-Cutoff],1)</f>
        <v>4</v>
      </c>
      <c r="Z188" s="2" t="str">
        <f>Auto_Sales_data___Copy[[#This Row],[R-Score(1-5)]]&amp;Auto_Sales_data___Copy[[#This Row],[F-Score(1-5)]]&amp;Auto_Sales_data___Copy[[#This Row],[M-Score(1-5)]]</f>
        <v>544</v>
      </c>
      <c r="AA188" s="2" t="str" cm="1">
        <f t="array" ref="AA1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8" s="2" t="str">
        <f>VLOOKUP(Auto_Sales_data___Copy[[#This Row],[Segment Name]],Table3[],2,FALSE)</f>
        <v>VIP Recognitioon &amp; Inclusivity</v>
      </c>
    </row>
    <row r="189" spans="1:28" x14ac:dyDescent="0.25">
      <c r="A189">
        <v>10305</v>
      </c>
      <c r="B189">
        <v>36</v>
      </c>
      <c r="C189">
        <v>133.78</v>
      </c>
      <c r="D189">
        <v>8</v>
      </c>
      <c r="E189">
        <v>4816.08</v>
      </c>
      <c r="F189" s="1">
        <v>43751</v>
      </c>
      <c r="G189" s="2" t="s">
        <v>19</v>
      </c>
      <c r="H189" s="2" t="s">
        <v>537</v>
      </c>
      <c r="I189">
        <v>122</v>
      </c>
      <c r="J189" s="2" t="s">
        <v>633</v>
      </c>
      <c r="K189" s="2" t="s">
        <v>115</v>
      </c>
      <c r="L189" s="2" t="s">
        <v>116</v>
      </c>
      <c r="M189" s="2" t="s">
        <v>117</v>
      </c>
      <c r="N189" s="2" t="s">
        <v>118</v>
      </c>
      <c r="O189" s="2" t="s">
        <v>119</v>
      </c>
      <c r="P189" s="2" t="s">
        <v>27</v>
      </c>
      <c r="Q189" s="2" t="s">
        <v>120</v>
      </c>
      <c r="R189" s="2" t="s">
        <v>121</v>
      </c>
      <c r="S189" s="2" t="s">
        <v>46</v>
      </c>
      <c r="T189">
        <v>921</v>
      </c>
      <c r="U189">
        <f>VLOOKUP(Auto_Sales_data___Copy[[#This Row],[CUSTOMER_NAME]],$AF$2:$AH$90,2,FALSE)</f>
        <v>27</v>
      </c>
      <c r="V189">
        <f>VLOOKUP(Auto_Sales_data___Copy[[#This Row],[CUSTOMER_NAME]],$AF$2:$AH$90,3,FALSE)</f>
        <v>103080.37999999998</v>
      </c>
      <c r="W189" s="2">
        <f>6-MATCH(Auto_Sales_data___Copy[[#This Row],[DAYS_SINCE_LAST_ORDER]],Table2[R-Cutoff],1)</f>
        <v>5</v>
      </c>
      <c r="X189" s="2">
        <f>MATCH(Auto_Sales_data___Copy[[#This Row],[Total_Orders_Per_Customer]],Table2[F-Cutoff],1)</f>
        <v>4</v>
      </c>
      <c r="Y189" s="2">
        <f>MATCH(Auto_Sales_data___Copy[[#This Row],[Total_Sales_Per_Customer]],Table2[M-Cutoff],1)</f>
        <v>4</v>
      </c>
      <c r="Z189" s="2" t="str">
        <f>Auto_Sales_data___Copy[[#This Row],[R-Score(1-5)]]&amp;Auto_Sales_data___Copy[[#This Row],[F-Score(1-5)]]&amp;Auto_Sales_data___Copy[[#This Row],[M-Score(1-5)]]</f>
        <v>544</v>
      </c>
      <c r="AA189" s="2" t="str" cm="1">
        <f t="array" ref="AA1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9" s="2" t="str">
        <f>VLOOKUP(Auto_Sales_data___Copy[[#This Row],[Segment Name]],Table3[],2,FALSE)</f>
        <v>VIP Recognitioon &amp; Inclusivity</v>
      </c>
    </row>
    <row r="190" spans="1:28" x14ac:dyDescent="0.25">
      <c r="A190">
        <v>10306</v>
      </c>
      <c r="B190">
        <v>31</v>
      </c>
      <c r="C190">
        <v>211.96</v>
      </c>
      <c r="D190">
        <v>13</v>
      </c>
      <c r="E190">
        <v>6570.76</v>
      </c>
      <c r="F190" s="1">
        <v>43752</v>
      </c>
      <c r="G190" s="2" t="s">
        <v>19</v>
      </c>
      <c r="H190" s="2" t="s">
        <v>183</v>
      </c>
      <c r="I190">
        <v>207</v>
      </c>
      <c r="J190" s="2" t="s">
        <v>505</v>
      </c>
      <c r="K190" s="2" t="s">
        <v>523</v>
      </c>
      <c r="L190" s="2" t="s">
        <v>524</v>
      </c>
      <c r="M190" s="2" t="s">
        <v>525</v>
      </c>
      <c r="N190" s="2" t="s">
        <v>526</v>
      </c>
      <c r="O190" s="2" t="s">
        <v>527</v>
      </c>
      <c r="P190" s="2" t="s">
        <v>171</v>
      </c>
      <c r="Q190" s="2" t="s">
        <v>528</v>
      </c>
      <c r="R190" s="2" t="s">
        <v>529</v>
      </c>
      <c r="S190" s="2" t="s">
        <v>46</v>
      </c>
      <c r="T190">
        <v>421</v>
      </c>
      <c r="U190">
        <f>VLOOKUP(Auto_Sales_data___Copy[[#This Row],[CUSTOMER_NAME]],$AF$2:$AH$90,2,FALSE)</f>
        <v>51</v>
      </c>
      <c r="V190">
        <f>VLOOKUP(Auto_Sales_data___Copy[[#This Row],[CUSTOMER_NAME]],$AF$2:$AH$90,3,FALSE)</f>
        <v>157807.80999999994</v>
      </c>
      <c r="W190" s="2">
        <f>6-MATCH(Auto_Sales_data___Copy[[#This Row],[DAYS_SINCE_LAST_ORDER]],Table2[R-Cutoff],1)</f>
        <v>5</v>
      </c>
      <c r="X190" s="2">
        <f>MATCH(Auto_Sales_data___Copy[[#This Row],[Total_Orders_Per_Customer]],Table2[F-Cutoff],1)</f>
        <v>4</v>
      </c>
      <c r="Y190" s="2">
        <f>MATCH(Auto_Sales_data___Copy[[#This Row],[Total_Sales_Per_Customer]],Table2[M-Cutoff],1)</f>
        <v>4</v>
      </c>
      <c r="Z190" s="2" t="str">
        <f>Auto_Sales_data___Copy[[#This Row],[R-Score(1-5)]]&amp;Auto_Sales_data___Copy[[#This Row],[F-Score(1-5)]]&amp;Auto_Sales_data___Copy[[#This Row],[M-Score(1-5)]]</f>
        <v>544</v>
      </c>
      <c r="AA190" s="2" t="str" cm="1">
        <f t="array" ref="AA1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0" s="2" t="str">
        <f>VLOOKUP(Auto_Sales_data___Copy[[#This Row],[Segment Name]],Table3[],2,FALSE)</f>
        <v>VIP Recognitioon &amp; Inclusivity</v>
      </c>
    </row>
    <row r="191" spans="1:28" x14ac:dyDescent="0.25">
      <c r="A191">
        <v>10306</v>
      </c>
      <c r="B191">
        <v>34</v>
      </c>
      <c r="C191">
        <v>146.55000000000001</v>
      </c>
      <c r="D191">
        <v>14</v>
      </c>
      <c r="E191">
        <v>4982.7</v>
      </c>
      <c r="F191" s="1">
        <v>43752</v>
      </c>
      <c r="G191" s="2" t="s">
        <v>19</v>
      </c>
      <c r="H191" s="2" t="s">
        <v>183</v>
      </c>
      <c r="I191">
        <v>151</v>
      </c>
      <c r="J191" s="2" t="s">
        <v>545</v>
      </c>
      <c r="K191" s="2" t="s">
        <v>523</v>
      </c>
      <c r="L191" s="2" t="s">
        <v>524</v>
      </c>
      <c r="M191" s="2" t="s">
        <v>525</v>
      </c>
      <c r="N191" s="2" t="s">
        <v>526</v>
      </c>
      <c r="O191" s="2" t="s">
        <v>527</v>
      </c>
      <c r="P191" s="2" t="s">
        <v>171</v>
      </c>
      <c r="Q191" s="2" t="s">
        <v>528</v>
      </c>
      <c r="R191" s="2" t="s">
        <v>529</v>
      </c>
      <c r="S191" s="2" t="s">
        <v>46</v>
      </c>
      <c r="T191">
        <v>497</v>
      </c>
      <c r="U191">
        <f>VLOOKUP(Auto_Sales_data___Copy[[#This Row],[CUSTOMER_NAME]],$AF$2:$AH$90,2,FALSE)</f>
        <v>51</v>
      </c>
      <c r="V191">
        <f>VLOOKUP(Auto_Sales_data___Copy[[#This Row],[CUSTOMER_NAME]],$AF$2:$AH$90,3,FALSE)</f>
        <v>157807.80999999994</v>
      </c>
      <c r="W191" s="2">
        <f>6-MATCH(Auto_Sales_data___Copy[[#This Row],[DAYS_SINCE_LAST_ORDER]],Table2[R-Cutoff],1)</f>
        <v>5</v>
      </c>
      <c r="X191" s="2">
        <f>MATCH(Auto_Sales_data___Copy[[#This Row],[Total_Orders_Per_Customer]],Table2[F-Cutoff],1)</f>
        <v>4</v>
      </c>
      <c r="Y191" s="2">
        <f>MATCH(Auto_Sales_data___Copy[[#This Row],[Total_Sales_Per_Customer]],Table2[M-Cutoff],1)</f>
        <v>4</v>
      </c>
      <c r="Z191" s="2" t="str">
        <f>Auto_Sales_data___Copy[[#This Row],[R-Score(1-5)]]&amp;Auto_Sales_data___Copy[[#This Row],[F-Score(1-5)]]&amp;Auto_Sales_data___Copy[[#This Row],[M-Score(1-5)]]</f>
        <v>544</v>
      </c>
      <c r="AA191" s="2" t="str" cm="1">
        <f t="array" ref="AA1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1" s="2" t="str">
        <f>VLOOKUP(Auto_Sales_data___Copy[[#This Row],[Segment Name]],Table3[],2,FALSE)</f>
        <v>VIP Recognitioon &amp; Inclusivity</v>
      </c>
    </row>
    <row r="192" spans="1:28" x14ac:dyDescent="0.25">
      <c r="A192">
        <v>10306</v>
      </c>
      <c r="B192">
        <v>20</v>
      </c>
      <c r="C192">
        <v>181.67</v>
      </c>
      <c r="D192">
        <v>12</v>
      </c>
      <c r="E192">
        <v>3633.4</v>
      </c>
      <c r="F192" s="1">
        <v>43752</v>
      </c>
      <c r="G192" s="2" t="s">
        <v>19</v>
      </c>
      <c r="H192" s="2" t="s">
        <v>183</v>
      </c>
      <c r="I192">
        <v>173</v>
      </c>
      <c r="J192" s="2" t="s">
        <v>552</v>
      </c>
      <c r="K192" s="2" t="s">
        <v>523</v>
      </c>
      <c r="L192" s="2" t="s">
        <v>524</v>
      </c>
      <c r="M192" s="2" t="s">
        <v>525</v>
      </c>
      <c r="N192" s="2" t="s">
        <v>526</v>
      </c>
      <c r="O192" s="2" t="s">
        <v>527</v>
      </c>
      <c r="P192" s="2" t="s">
        <v>171</v>
      </c>
      <c r="Q192" s="2" t="s">
        <v>528</v>
      </c>
      <c r="R192" s="2" t="s">
        <v>529</v>
      </c>
      <c r="S192" s="2" t="s">
        <v>46</v>
      </c>
      <c r="T192">
        <v>546</v>
      </c>
      <c r="U192">
        <f>VLOOKUP(Auto_Sales_data___Copy[[#This Row],[CUSTOMER_NAME]],$AF$2:$AH$90,2,FALSE)</f>
        <v>51</v>
      </c>
      <c r="V192">
        <f>VLOOKUP(Auto_Sales_data___Copy[[#This Row],[CUSTOMER_NAME]],$AF$2:$AH$90,3,FALSE)</f>
        <v>157807.80999999994</v>
      </c>
      <c r="W192" s="2">
        <f>6-MATCH(Auto_Sales_data___Copy[[#This Row],[DAYS_SINCE_LAST_ORDER]],Table2[R-Cutoff],1)</f>
        <v>5</v>
      </c>
      <c r="X192" s="2">
        <f>MATCH(Auto_Sales_data___Copy[[#This Row],[Total_Orders_Per_Customer]],Table2[F-Cutoff],1)</f>
        <v>4</v>
      </c>
      <c r="Y192" s="2">
        <f>MATCH(Auto_Sales_data___Copy[[#This Row],[Total_Sales_Per_Customer]],Table2[M-Cutoff],1)</f>
        <v>4</v>
      </c>
      <c r="Z192" s="2" t="str">
        <f>Auto_Sales_data___Copy[[#This Row],[R-Score(1-5)]]&amp;Auto_Sales_data___Copy[[#This Row],[F-Score(1-5)]]&amp;Auto_Sales_data___Copy[[#This Row],[M-Score(1-5)]]</f>
        <v>544</v>
      </c>
      <c r="AA192" s="2" t="str" cm="1">
        <f t="array" ref="AA1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2" s="2" t="str">
        <f>VLOOKUP(Auto_Sales_data___Copy[[#This Row],[Segment Name]],Table3[],2,FALSE)</f>
        <v>VIP Recognitioon &amp; Inclusivity</v>
      </c>
    </row>
    <row r="193" spans="1:28" x14ac:dyDescent="0.25">
      <c r="A193">
        <v>10309</v>
      </c>
      <c r="B193">
        <v>41</v>
      </c>
      <c r="C193">
        <v>107.18</v>
      </c>
      <c r="D193">
        <v>5</v>
      </c>
      <c r="E193">
        <v>4394.38</v>
      </c>
      <c r="F193" s="1">
        <v>43753</v>
      </c>
      <c r="G193" s="2" t="s">
        <v>19</v>
      </c>
      <c r="H193" s="2" t="s">
        <v>20</v>
      </c>
      <c r="I193">
        <v>95</v>
      </c>
      <c r="J193" s="2" t="s">
        <v>21</v>
      </c>
      <c r="K193" s="2" t="s">
        <v>130</v>
      </c>
      <c r="L193" s="2" t="s">
        <v>131</v>
      </c>
      <c r="M193" s="2" t="s">
        <v>132</v>
      </c>
      <c r="N193" s="2" t="s">
        <v>133</v>
      </c>
      <c r="O193" s="2" t="s">
        <v>134</v>
      </c>
      <c r="P193" s="2" t="s">
        <v>73</v>
      </c>
      <c r="Q193" s="2" t="s">
        <v>135</v>
      </c>
      <c r="R193" s="2" t="s">
        <v>136</v>
      </c>
      <c r="S193" s="2" t="s">
        <v>46</v>
      </c>
      <c r="T193">
        <v>245</v>
      </c>
      <c r="U193">
        <f>VLOOKUP(Auto_Sales_data___Copy[[#This Row],[CUSTOMER_NAME]],$AF$2:$AH$90,2,FALSE)</f>
        <v>32</v>
      </c>
      <c r="V193">
        <f>VLOOKUP(Auto_Sales_data___Copy[[#This Row],[CUSTOMER_NAME]],$AF$2:$AH$90,3,FALSE)</f>
        <v>116599.18999999999</v>
      </c>
      <c r="W193" s="2">
        <f>6-MATCH(Auto_Sales_data___Copy[[#This Row],[DAYS_SINCE_LAST_ORDER]],Table2[R-Cutoff],1)</f>
        <v>5</v>
      </c>
      <c r="X193" s="2">
        <f>MATCH(Auto_Sales_data___Copy[[#This Row],[Total_Orders_Per_Customer]],Table2[F-Cutoff],1)</f>
        <v>4</v>
      </c>
      <c r="Y193" s="2">
        <f>MATCH(Auto_Sales_data___Copy[[#This Row],[Total_Sales_Per_Customer]],Table2[M-Cutoff],1)</f>
        <v>4</v>
      </c>
      <c r="Z193" s="2" t="str">
        <f>Auto_Sales_data___Copy[[#This Row],[R-Score(1-5)]]&amp;Auto_Sales_data___Copy[[#This Row],[F-Score(1-5)]]&amp;Auto_Sales_data___Copy[[#This Row],[M-Score(1-5)]]</f>
        <v>544</v>
      </c>
      <c r="AA193" s="2" t="str" cm="1">
        <f t="array" ref="AA1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3" s="2" t="str">
        <f>VLOOKUP(Auto_Sales_data___Copy[[#This Row],[Segment Name]],Table3[],2,FALSE)</f>
        <v>VIP Recognitioon &amp; Inclusivity</v>
      </c>
    </row>
    <row r="194" spans="1:28" x14ac:dyDescent="0.25">
      <c r="A194">
        <v>10309</v>
      </c>
      <c r="B194">
        <v>26</v>
      </c>
      <c r="C194">
        <v>179.24</v>
      </c>
      <c r="D194">
        <v>4</v>
      </c>
      <c r="E194">
        <v>4660.24</v>
      </c>
      <c r="F194" s="1">
        <v>43753</v>
      </c>
      <c r="G194" s="2" t="s">
        <v>19</v>
      </c>
      <c r="H194" s="2" t="s">
        <v>20</v>
      </c>
      <c r="I194">
        <v>150</v>
      </c>
      <c r="J194" s="2" t="s">
        <v>539</v>
      </c>
      <c r="K194" s="2" t="s">
        <v>130</v>
      </c>
      <c r="L194" s="2" t="s">
        <v>131</v>
      </c>
      <c r="M194" s="2" t="s">
        <v>132</v>
      </c>
      <c r="N194" s="2" t="s">
        <v>133</v>
      </c>
      <c r="O194" s="2" t="s">
        <v>134</v>
      </c>
      <c r="P194" s="2" t="s">
        <v>73</v>
      </c>
      <c r="Q194" s="2" t="s">
        <v>135</v>
      </c>
      <c r="R194" s="2" t="s">
        <v>136</v>
      </c>
      <c r="S194" s="2" t="s">
        <v>46</v>
      </c>
      <c r="T194">
        <v>471</v>
      </c>
      <c r="U194">
        <f>VLOOKUP(Auto_Sales_data___Copy[[#This Row],[CUSTOMER_NAME]],$AF$2:$AH$90,2,FALSE)</f>
        <v>32</v>
      </c>
      <c r="V194">
        <f>VLOOKUP(Auto_Sales_data___Copy[[#This Row],[CUSTOMER_NAME]],$AF$2:$AH$90,3,FALSE)</f>
        <v>116599.18999999999</v>
      </c>
      <c r="W194" s="2">
        <f>6-MATCH(Auto_Sales_data___Copy[[#This Row],[DAYS_SINCE_LAST_ORDER]],Table2[R-Cutoff],1)</f>
        <v>5</v>
      </c>
      <c r="X194" s="2">
        <f>MATCH(Auto_Sales_data___Copy[[#This Row],[Total_Orders_Per_Customer]],Table2[F-Cutoff],1)</f>
        <v>4</v>
      </c>
      <c r="Y194" s="2">
        <f>MATCH(Auto_Sales_data___Copy[[#This Row],[Total_Sales_Per_Customer]],Table2[M-Cutoff],1)</f>
        <v>4</v>
      </c>
      <c r="Z194" s="2" t="str">
        <f>Auto_Sales_data___Copy[[#This Row],[R-Score(1-5)]]&amp;Auto_Sales_data___Copy[[#This Row],[F-Score(1-5)]]&amp;Auto_Sales_data___Copy[[#This Row],[M-Score(1-5)]]</f>
        <v>544</v>
      </c>
      <c r="AA194" s="2" t="str" cm="1">
        <f t="array" ref="AA1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4" s="2" t="str">
        <f>VLOOKUP(Auto_Sales_data___Copy[[#This Row],[Segment Name]],Table3[],2,FALSE)</f>
        <v>VIP Recognitioon &amp; Inclusivity</v>
      </c>
    </row>
    <row r="195" spans="1:28" x14ac:dyDescent="0.25">
      <c r="A195">
        <v>10312</v>
      </c>
      <c r="B195">
        <v>48</v>
      </c>
      <c r="C195">
        <v>242.16</v>
      </c>
      <c r="D195">
        <v>3</v>
      </c>
      <c r="E195">
        <v>11623.7</v>
      </c>
      <c r="F195" s="1">
        <v>43759</v>
      </c>
      <c r="G195" s="2" t="s">
        <v>19</v>
      </c>
      <c r="H195" s="2" t="s">
        <v>183</v>
      </c>
      <c r="I195">
        <v>214</v>
      </c>
      <c r="J195" s="2" t="s">
        <v>184</v>
      </c>
      <c r="K195" s="2" t="s">
        <v>284</v>
      </c>
      <c r="L195" s="2" t="s">
        <v>285</v>
      </c>
      <c r="M195" s="2" t="s">
        <v>286</v>
      </c>
      <c r="N195" s="2" t="s">
        <v>287</v>
      </c>
      <c r="O195" s="2" t="s">
        <v>106</v>
      </c>
      <c r="P195" s="2" t="s">
        <v>27</v>
      </c>
      <c r="Q195" s="2" t="s">
        <v>288</v>
      </c>
      <c r="R195" s="2" t="s">
        <v>289</v>
      </c>
      <c r="S195" s="2" t="s">
        <v>151</v>
      </c>
      <c r="T195">
        <v>266</v>
      </c>
      <c r="U195">
        <f>VLOOKUP(Auto_Sales_data___Copy[[#This Row],[CUSTOMER_NAME]],$AF$2:$AH$90,2,FALSE)</f>
        <v>180</v>
      </c>
      <c r="V195">
        <f>VLOOKUP(Auto_Sales_data___Copy[[#This Row],[CUSTOMER_NAME]],$AF$2:$AH$90,3,FALSE)</f>
        <v>654858.06000000017</v>
      </c>
      <c r="W195" s="2">
        <f>6-MATCH(Auto_Sales_data___Copy[[#This Row],[DAYS_SINCE_LAST_ORDER]],Table2[R-Cutoff],1)</f>
        <v>5</v>
      </c>
      <c r="X195" s="2">
        <f>MATCH(Auto_Sales_data___Copy[[#This Row],[Total_Orders_Per_Customer]],Table2[F-Cutoff],1)</f>
        <v>4</v>
      </c>
      <c r="Y195" s="2">
        <f>MATCH(Auto_Sales_data___Copy[[#This Row],[Total_Sales_Per_Customer]],Table2[M-Cutoff],1)</f>
        <v>4</v>
      </c>
      <c r="Z195" s="2" t="str">
        <f>Auto_Sales_data___Copy[[#This Row],[R-Score(1-5)]]&amp;Auto_Sales_data___Copy[[#This Row],[F-Score(1-5)]]&amp;Auto_Sales_data___Copy[[#This Row],[M-Score(1-5)]]</f>
        <v>544</v>
      </c>
      <c r="AA195" s="2" t="str" cm="1">
        <f t="array" ref="AA1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5" s="2" t="str">
        <f>VLOOKUP(Auto_Sales_data___Copy[[#This Row],[Segment Name]],Table3[],2,FALSE)</f>
        <v>VIP Recognitioon &amp; Inclusivity</v>
      </c>
    </row>
    <row r="196" spans="1:28" x14ac:dyDescent="0.25">
      <c r="A196">
        <v>10312</v>
      </c>
      <c r="B196">
        <v>32</v>
      </c>
      <c r="C196">
        <v>130.66999999999999</v>
      </c>
      <c r="D196">
        <v>2</v>
      </c>
      <c r="E196">
        <v>4181.4399999999996</v>
      </c>
      <c r="F196" s="1">
        <v>43759</v>
      </c>
      <c r="G196" s="2" t="s">
        <v>19</v>
      </c>
      <c r="H196" s="2" t="s">
        <v>537</v>
      </c>
      <c r="I196">
        <v>116</v>
      </c>
      <c r="J196" s="2" t="s">
        <v>575</v>
      </c>
      <c r="K196" s="2" t="s">
        <v>284</v>
      </c>
      <c r="L196" s="2" t="s">
        <v>285</v>
      </c>
      <c r="M196" s="2" t="s">
        <v>286</v>
      </c>
      <c r="N196" s="2" t="s">
        <v>287</v>
      </c>
      <c r="O196" s="2" t="s">
        <v>106</v>
      </c>
      <c r="P196" s="2" t="s">
        <v>27</v>
      </c>
      <c r="Q196" s="2" t="s">
        <v>288</v>
      </c>
      <c r="R196" s="2" t="s">
        <v>289</v>
      </c>
      <c r="S196" s="2" t="s">
        <v>46</v>
      </c>
      <c r="T196">
        <v>643</v>
      </c>
      <c r="U196">
        <f>VLOOKUP(Auto_Sales_data___Copy[[#This Row],[CUSTOMER_NAME]],$AF$2:$AH$90,2,FALSE)</f>
        <v>180</v>
      </c>
      <c r="V196">
        <f>VLOOKUP(Auto_Sales_data___Copy[[#This Row],[CUSTOMER_NAME]],$AF$2:$AH$90,3,FALSE)</f>
        <v>654858.06000000017</v>
      </c>
      <c r="W196" s="2">
        <f>6-MATCH(Auto_Sales_data___Copy[[#This Row],[DAYS_SINCE_LAST_ORDER]],Table2[R-Cutoff],1)</f>
        <v>5</v>
      </c>
      <c r="X196" s="2">
        <f>MATCH(Auto_Sales_data___Copy[[#This Row],[Total_Orders_Per_Customer]],Table2[F-Cutoff],1)</f>
        <v>4</v>
      </c>
      <c r="Y196" s="2">
        <f>MATCH(Auto_Sales_data___Copy[[#This Row],[Total_Sales_Per_Customer]],Table2[M-Cutoff],1)</f>
        <v>4</v>
      </c>
      <c r="Z196" s="2" t="str">
        <f>Auto_Sales_data___Copy[[#This Row],[R-Score(1-5)]]&amp;Auto_Sales_data___Copy[[#This Row],[F-Score(1-5)]]&amp;Auto_Sales_data___Copy[[#This Row],[M-Score(1-5)]]</f>
        <v>544</v>
      </c>
      <c r="AA196" s="2" t="str" cm="1">
        <f t="array" ref="AA1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6" s="2" t="str">
        <f>VLOOKUP(Auto_Sales_data___Copy[[#This Row],[Segment Name]],Table3[],2,FALSE)</f>
        <v>VIP Recognitioon &amp; Inclusivity</v>
      </c>
    </row>
    <row r="197" spans="1:28" x14ac:dyDescent="0.25">
      <c r="A197">
        <v>10312</v>
      </c>
      <c r="B197">
        <v>43</v>
      </c>
      <c r="C197">
        <v>89.38</v>
      </c>
      <c r="D197">
        <v>10</v>
      </c>
      <c r="E197">
        <v>3843.34</v>
      </c>
      <c r="F197" s="1">
        <v>43759</v>
      </c>
      <c r="G197" s="2" t="s">
        <v>19</v>
      </c>
      <c r="H197" s="2" t="s">
        <v>589</v>
      </c>
      <c r="I197">
        <v>102</v>
      </c>
      <c r="J197" s="2" t="s">
        <v>590</v>
      </c>
      <c r="K197" s="2" t="s">
        <v>284</v>
      </c>
      <c r="L197" s="2" t="s">
        <v>285</v>
      </c>
      <c r="M197" s="2" t="s">
        <v>286</v>
      </c>
      <c r="N197" s="2" t="s">
        <v>287</v>
      </c>
      <c r="O197" s="2" t="s">
        <v>106</v>
      </c>
      <c r="P197" s="2" t="s">
        <v>27</v>
      </c>
      <c r="Q197" s="2" t="s">
        <v>288</v>
      </c>
      <c r="R197" s="2" t="s">
        <v>289</v>
      </c>
      <c r="S197" s="2" t="s">
        <v>46</v>
      </c>
      <c r="T197">
        <v>693</v>
      </c>
      <c r="U197">
        <f>VLOOKUP(Auto_Sales_data___Copy[[#This Row],[CUSTOMER_NAME]],$AF$2:$AH$90,2,FALSE)</f>
        <v>180</v>
      </c>
      <c r="V197">
        <f>VLOOKUP(Auto_Sales_data___Copy[[#This Row],[CUSTOMER_NAME]],$AF$2:$AH$90,3,FALSE)</f>
        <v>654858.06000000017</v>
      </c>
      <c r="W197" s="2">
        <f>6-MATCH(Auto_Sales_data___Copy[[#This Row],[DAYS_SINCE_LAST_ORDER]],Table2[R-Cutoff],1)</f>
        <v>5</v>
      </c>
      <c r="X197" s="2">
        <f>MATCH(Auto_Sales_data___Copy[[#This Row],[Total_Orders_Per_Customer]],Table2[F-Cutoff],1)</f>
        <v>4</v>
      </c>
      <c r="Y197" s="2">
        <f>MATCH(Auto_Sales_data___Copy[[#This Row],[Total_Sales_Per_Customer]],Table2[M-Cutoff],1)</f>
        <v>4</v>
      </c>
      <c r="Z197" s="2" t="str">
        <f>Auto_Sales_data___Copy[[#This Row],[R-Score(1-5)]]&amp;Auto_Sales_data___Copy[[#This Row],[F-Score(1-5)]]&amp;Auto_Sales_data___Copy[[#This Row],[M-Score(1-5)]]</f>
        <v>544</v>
      </c>
      <c r="AA197" s="2" t="str" cm="1">
        <f t="array" ref="AA1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7" s="2" t="str">
        <f>VLOOKUP(Auto_Sales_data___Copy[[#This Row],[Segment Name]],Table3[],2,FALSE)</f>
        <v>VIP Recognitioon &amp; Inclusivity</v>
      </c>
    </row>
    <row r="198" spans="1:28" x14ac:dyDescent="0.25">
      <c r="A198">
        <v>10312</v>
      </c>
      <c r="B198">
        <v>25</v>
      </c>
      <c r="C198">
        <v>44.21</v>
      </c>
      <c r="D198">
        <v>9</v>
      </c>
      <c r="E198">
        <v>1105.25</v>
      </c>
      <c r="F198" s="1">
        <v>43759</v>
      </c>
      <c r="G198" s="2" t="s">
        <v>19</v>
      </c>
      <c r="H198" s="2" t="s">
        <v>589</v>
      </c>
      <c r="I198">
        <v>53</v>
      </c>
      <c r="J198" s="2" t="s">
        <v>605</v>
      </c>
      <c r="K198" s="2" t="s">
        <v>284</v>
      </c>
      <c r="L198" s="2" t="s">
        <v>285</v>
      </c>
      <c r="M198" s="2" t="s">
        <v>286</v>
      </c>
      <c r="N198" s="2" t="s">
        <v>287</v>
      </c>
      <c r="O198" s="2" t="s">
        <v>106</v>
      </c>
      <c r="P198" s="2" t="s">
        <v>27</v>
      </c>
      <c r="Q198" s="2" t="s">
        <v>288</v>
      </c>
      <c r="R198" s="2" t="s">
        <v>289</v>
      </c>
      <c r="S198" s="2" t="s">
        <v>30</v>
      </c>
      <c r="T198">
        <v>717</v>
      </c>
      <c r="U198">
        <f>VLOOKUP(Auto_Sales_data___Copy[[#This Row],[CUSTOMER_NAME]],$AF$2:$AH$90,2,FALSE)</f>
        <v>180</v>
      </c>
      <c r="V198">
        <f>VLOOKUP(Auto_Sales_data___Copy[[#This Row],[CUSTOMER_NAME]],$AF$2:$AH$90,3,FALSE)</f>
        <v>654858.06000000017</v>
      </c>
      <c r="W198" s="2">
        <f>6-MATCH(Auto_Sales_data___Copy[[#This Row],[DAYS_SINCE_LAST_ORDER]],Table2[R-Cutoff],1)</f>
        <v>5</v>
      </c>
      <c r="X198" s="2">
        <f>MATCH(Auto_Sales_data___Copy[[#This Row],[Total_Orders_Per_Customer]],Table2[F-Cutoff],1)</f>
        <v>4</v>
      </c>
      <c r="Y198" s="2">
        <f>MATCH(Auto_Sales_data___Copy[[#This Row],[Total_Sales_Per_Customer]],Table2[M-Cutoff],1)</f>
        <v>4</v>
      </c>
      <c r="Z198" s="2" t="str">
        <f>Auto_Sales_data___Copy[[#This Row],[R-Score(1-5)]]&amp;Auto_Sales_data___Copy[[#This Row],[F-Score(1-5)]]&amp;Auto_Sales_data___Copy[[#This Row],[M-Score(1-5)]]</f>
        <v>544</v>
      </c>
      <c r="AA198" s="2" t="str" cm="1">
        <f t="array" ref="AA1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8" s="2" t="str">
        <f>VLOOKUP(Auto_Sales_data___Copy[[#This Row],[Segment Name]],Table3[],2,FALSE)</f>
        <v>VIP Recognitioon &amp; Inclusivity</v>
      </c>
    </row>
    <row r="199" spans="1:28" x14ac:dyDescent="0.25">
      <c r="A199">
        <v>10312</v>
      </c>
      <c r="B199">
        <v>48</v>
      </c>
      <c r="C199">
        <v>168.3</v>
      </c>
      <c r="D199">
        <v>17</v>
      </c>
      <c r="E199">
        <v>8078.4</v>
      </c>
      <c r="F199" s="1">
        <v>43759</v>
      </c>
      <c r="G199" s="2" t="s">
        <v>19</v>
      </c>
      <c r="H199" s="2" t="s">
        <v>589</v>
      </c>
      <c r="I199">
        <v>170</v>
      </c>
      <c r="J199" s="2" t="s">
        <v>628</v>
      </c>
      <c r="K199" s="2" t="s">
        <v>284</v>
      </c>
      <c r="L199" s="2" t="s">
        <v>285</v>
      </c>
      <c r="M199" s="2" t="s">
        <v>286</v>
      </c>
      <c r="N199" s="2" t="s">
        <v>287</v>
      </c>
      <c r="O199" s="2" t="s">
        <v>106</v>
      </c>
      <c r="P199" s="2" t="s">
        <v>27</v>
      </c>
      <c r="Q199" s="2" t="s">
        <v>288</v>
      </c>
      <c r="R199" s="2" t="s">
        <v>289</v>
      </c>
      <c r="S199" s="2" t="s">
        <v>151</v>
      </c>
      <c r="T199">
        <v>790</v>
      </c>
      <c r="U199">
        <f>VLOOKUP(Auto_Sales_data___Copy[[#This Row],[CUSTOMER_NAME]],$AF$2:$AH$90,2,FALSE)</f>
        <v>180</v>
      </c>
      <c r="V199">
        <f>VLOOKUP(Auto_Sales_data___Copy[[#This Row],[CUSTOMER_NAME]],$AF$2:$AH$90,3,FALSE)</f>
        <v>654858.06000000017</v>
      </c>
      <c r="W199" s="2">
        <f>6-MATCH(Auto_Sales_data___Copy[[#This Row],[DAYS_SINCE_LAST_ORDER]],Table2[R-Cutoff],1)</f>
        <v>5</v>
      </c>
      <c r="X199" s="2">
        <f>MATCH(Auto_Sales_data___Copy[[#This Row],[Total_Orders_Per_Customer]],Table2[F-Cutoff],1)</f>
        <v>4</v>
      </c>
      <c r="Y199" s="2">
        <f>MATCH(Auto_Sales_data___Copy[[#This Row],[Total_Sales_Per_Customer]],Table2[M-Cutoff],1)</f>
        <v>4</v>
      </c>
      <c r="Z199" s="2" t="str">
        <f>Auto_Sales_data___Copy[[#This Row],[R-Score(1-5)]]&amp;Auto_Sales_data___Copy[[#This Row],[F-Score(1-5)]]&amp;Auto_Sales_data___Copy[[#This Row],[M-Score(1-5)]]</f>
        <v>544</v>
      </c>
      <c r="AA199" s="2" t="str" cm="1">
        <f t="array" ref="AA1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9" s="2" t="str">
        <f>VLOOKUP(Auto_Sales_data___Copy[[#This Row],[Segment Name]],Table3[],2,FALSE)</f>
        <v>VIP Recognitioon &amp; Inclusivity</v>
      </c>
    </row>
    <row r="200" spans="1:28" x14ac:dyDescent="0.25">
      <c r="A200">
        <v>10312</v>
      </c>
      <c r="B200">
        <v>30</v>
      </c>
      <c r="C200">
        <v>61.15</v>
      </c>
      <c r="D200">
        <v>16</v>
      </c>
      <c r="E200">
        <v>1834.5</v>
      </c>
      <c r="F200" s="1">
        <v>43759</v>
      </c>
      <c r="G200" s="2" t="s">
        <v>19</v>
      </c>
      <c r="H200" s="2" t="s">
        <v>589</v>
      </c>
      <c r="I200">
        <v>60</v>
      </c>
      <c r="J200" s="2" t="s">
        <v>632</v>
      </c>
      <c r="K200" s="2" t="s">
        <v>284</v>
      </c>
      <c r="L200" s="2" t="s">
        <v>285</v>
      </c>
      <c r="M200" s="2" t="s">
        <v>286</v>
      </c>
      <c r="N200" s="2" t="s">
        <v>287</v>
      </c>
      <c r="O200" s="2" t="s">
        <v>106</v>
      </c>
      <c r="P200" s="2" t="s">
        <v>27</v>
      </c>
      <c r="Q200" s="2" t="s">
        <v>288</v>
      </c>
      <c r="R200" s="2" t="s">
        <v>289</v>
      </c>
      <c r="S200" s="2" t="s">
        <v>30</v>
      </c>
      <c r="T200">
        <v>890</v>
      </c>
      <c r="U200">
        <f>VLOOKUP(Auto_Sales_data___Copy[[#This Row],[CUSTOMER_NAME]],$AF$2:$AH$90,2,FALSE)</f>
        <v>180</v>
      </c>
      <c r="V200">
        <f>VLOOKUP(Auto_Sales_data___Copy[[#This Row],[CUSTOMER_NAME]],$AF$2:$AH$90,3,FALSE)</f>
        <v>654858.06000000017</v>
      </c>
      <c r="W200" s="2">
        <f>6-MATCH(Auto_Sales_data___Copy[[#This Row],[DAYS_SINCE_LAST_ORDER]],Table2[R-Cutoff],1)</f>
        <v>5</v>
      </c>
      <c r="X200" s="2">
        <f>MATCH(Auto_Sales_data___Copy[[#This Row],[Total_Orders_Per_Customer]],Table2[F-Cutoff],1)</f>
        <v>4</v>
      </c>
      <c r="Y200" s="2">
        <f>MATCH(Auto_Sales_data___Copy[[#This Row],[Total_Sales_Per_Customer]],Table2[M-Cutoff],1)</f>
        <v>4</v>
      </c>
      <c r="Z200" s="2" t="str">
        <f>Auto_Sales_data___Copy[[#This Row],[R-Score(1-5)]]&amp;Auto_Sales_data___Copy[[#This Row],[F-Score(1-5)]]&amp;Auto_Sales_data___Copy[[#This Row],[M-Score(1-5)]]</f>
        <v>544</v>
      </c>
      <c r="AA200" s="2" t="str" cm="1">
        <f t="array" ref="AA2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0" s="2" t="str">
        <f>VLOOKUP(Auto_Sales_data___Copy[[#This Row],[Segment Name]],Table3[],2,FALSE)</f>
        <v>VIP Recognitioon &amp; Inclusivity</v>
      </c>
    </row>
    <row r="201" spans="1:28" x14ac:dyDescent="0.25">
      <c r="A201">
        <v>10312</v>
      </c>
      <c r="B201">
        <v>31</v>
      </c>
      <c r="C201">
        <v>152.56</v>
      </c>
      <c r="D201">
        <v>14</v>
      </c>
      <c r="E201">
        <v>4729.3599999999997</v>
      </c>
      <c r="F201" s="1">
        <v>43759</v>
      </c>
      <c r="G201" s="2" t="s">
        <v>19</v>
      </c>
      <c r="H201" s="2" t="s">
        <v>589</v>
      </c>
      <c r="I201">
        <v>127</v>
      </c>
      <c r="J201" s="2" t="s">
        <v>634</v>
      </c>
      <c r="K201" s="2" t="s">
        <v>284</v>
      </c>
      <c r="L201" s="2" t="s">
        <v>285</v>
      </c>
      <c r="M201" s="2" t="s">
        <v>286</v>
      </c>
      <c r="N201" s="2" t="s">
        <v>287</v>
      </c>
      <c r="O201" s="2" t="s">
        <v>106</v>
      </c>
      <c r="P201" s="2" t="s">
        <v>27</v>
      </c>
      <c r="Q201" s="2" t="s">
        <v>288</v>
      </c>
      <c r="R201" s="2" t="s">
        <v>289</v>
      </c>
      <c r="S201" s="2" t="s">
        <v>46</v>
      </c>
      <c r="T201">
        <v>937</v>
      </c>
      <c r="U201">
        <f>VLOOKUP(Auto_Sales_data___Copy[[#This Row],[CUSTOMER_NAME]],$AF$2:$AH$90,2,FALSE)</f>
        <v>180</v>
      </c>
      <c r="V201">
        <f>VLOOKUP(Auto_Sales_data___Copy[[#This Row],[CUSTOMER_NAME]],$AF$2:$AH$90,3,FALSE)</f>
        <v>654858.06000000017</v>
      </c>
      <c r="W201" s="2">
        <f>6-MATCH(Auto_Sales_data___Copy[[#This Row],[DAYS_SINCE_LAST_ORDER]],Table2[R-Cutoff],1)</f>
        <v>5</v>
      </c>
      <c r="X201" s="2">
        <f>MATCH(Auto_Sales_data___Copy[[#This Row],[Total_Orders_Per_Customer]],Table2[F-Cutoff],1)</f>
        <v>4</v>
      </c>
      <c r="Y201" s="2">
        <f>MATCH(Auto_Sales_data___Copy[[#This Row],[Total_Sales_Per_Customer]],Table2[M-Cutoff],1)</f>
        <v>4</v>
      </c>
      <c r="Z201" s="2" t="str">
        <f>Auto_Sales_data___Copy[[#This Row],[R-Score(1-5)]]&amp;Auto_Sales_data___Copy[[#This Row],[F-Score(1-5)]]&amp;Auto_Sales_data___Copy[[#This Row],[M-Score(1-5)]]</f>
        <v>544</v>
      </c>
      <c r="AA201" s="2" t="str" cm="1">
        <f t="array" ref="AA2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1" s="2" t="str">
        <f>VLOOKUP(Auto_Sales_data___Copy[[#This Row],[Segment Name]],Table3[],2,FALSE)</f>
        <v>VIP Recognitioon &amp; Inclusivity</v>
      </c>
    </row>
    <row r="202" spans="1:28" x14ac:dyDescent="0.25">
      <c r="A202">
        <v>10314</v>
      </c>
      <c r="B202">
        <v>38</v>
      </c>
      <c r="C202">
        <v>209.88</v>
      </c>
      <c r="D202">
        <v>5</v>
      </c>
      <c r="E202">
        <v>7975.44</v>
      </c>
      <c r="F202" s="1">
        <v>43760</v>
      </c>
      <c r="G202" s="2" t="s">
        <v>19</v>
      </c>
      <c r="H202" s="2" t="s">
        <v>183</v>
      </c>
      <c r="I202">
        <v>207</v>
      </c>
      <c r="J202" s="2" t="s">
        <v>505</v>
      </c>
      <c r="K202" s="2" t="s">
        <v>530</v>
      </c>
      <c r="L202" s="2" t="s">
        <v>531</v>
      </c>
      <c r="M202" s="2" t="s">
        <v>532</v>
      </c>
      <c r="N202" s="2" t="s">
        <v>533</v>
      </c>
      <c r="O202" s="2" t="s">
        <v>534</v>
      </c>
      <c r="P202" s="2" t="s">
        <v>344</v>
      </c>
      <c r="Q202" s="2" t="s">
        <v>535</v>
      </c>
      <c r="R202" s="2" t="s">
        <v>536</v>
      </c>
      <c r="S202" s="2" t="s">
        <v>151</v>
      </c>
      <c r="T202">
        <v>414</v>
      </c>
      <c r="U202">
        <f>VLOOKUP(Auto_Sales_data___Copy[[#This Row],[CUSTOMER_NAME]],$AF$2:$AH$90,2,FALSE)</f>
        <v>27</v>
      </c>
      <c r="V202">
        <f>VLOOKUP(Auto_Sales_data___Copy[[#This Row],[CUSTOMER_NAME]],$AF$2:$AH$90,3,FALSE)</f>
        <v>100595.54999999999</v>
      </c>
      <c r="W202" s="2">
        <f>6-MATCH(Auto_Sales_data___Copy[[#This Row],[DAYS_SINCE_LAST_ORDER]],Table2[R-Cutoff],1)</f>
        <v>5</v>
      </c>
      <c r="X202" s="2">
        <f>MATCH(Auto_Sales_data___Copy[[#This Row],[Total_Orders_Per_Customer]],Table2[F-Cutoff],1)</f>
        <v>4</v>
      </c>
      <c r="Y202" s="2">
        <f>MATCH(Auto_Sales_data___Copy[[#This Row],[Total_Sales_Per_Customer]],Table2[M-Cutoff],1)</f>
        <v>4</v>
      </c>
      <c r="Z202" s="2" t="str">
        <f>Auto_Sales_data___Copy[[#This Row],[R-Score(1-5)]]&amp;Auto_Sales_data___Copy[[#This Row],[F-Score(1-5)]]&amp;Auto_Sales_data___Copy[[#This Row],[M-Score(1-5)]]</f>
        <v>544</v>
      </c>
      <c r="AA202" s="2" t="str" cm="1">
        <f t="array" ref="AA2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2" s="2" t="str">
        <f>VLOOKUP(Auto_Sales_data___Copy[[#This Row],[Segment Name]],Table3[],2,FALSE)</f>
        <v>VIP Recognitioon &amp; Inclusivity</v>
      </c>
    </row>
    <row r="203" spans="1:28" x14ac:dyDescent="0.25">
      <c r="A203">
        <v>10314</v>
      </c>
      <c r="B203">
        <v>46</v>
      </c>
      <c r="C203">
        <v>138.99</v>
      </c>
      <c r="D203">
        <v>6</v>
      </c>
      <c r="E203">
        <v>6393.54</v>
      </c>
      <c r="F203" s="1">
        <v>43760</v>
      </c>
      <c r="G203" s="2" t="s">
        <v>19</v>
      </c>
      <c r="H203" s="2" t="s">
        <v>183</v>
      </c>
      <c r="I203">
        <v>151</v>
      </c>
      <c r="J203" s="2" t="s">
        <v>545</v>
      </c>
      <c r="K203" s="2" t="s">
        <v>530</v>
      </c>
      <c r="L203" s="2" t="s">
        <v>531</v>
      </c>
      <c r="M203" s="2" t="s">
        <v>532</v>
      </c>
      <c r="N203" s="2" t="s">
        <v>533</v>
      </c>
      <c r="O203" s="2" t="s">
        <v>534</v>
      </c>
      <c r="P203" s="2" t="s">
        <v>344</v>
      </c>
      <c r="Q203" s="2" t="s">
        <v>535</v>
      </c>
      <c r="R203" s="2" t="s">
        <v>536</v>
      </c>
      <c r="S203" s="2" t="s">
        <v>46</v>
      </c>
      <c r="T203">
        <v>490</v>
      </c>
      <c r="U203">
        <f>VLOOKUP(Auto_Sales_data___Copy[[#This Row],[CUSTOMER_NAME]],$AF$2:$AH$90,2,FALSE)</f>
        <v>27</v>
      </c>
      <c r="V203">
        <f>VLOOKUP(Auto_Sales_data___Copy[[#This Row],[CUSTOMER_NAME]],$AF$2:$AH$90,3,FALSE)</f>
        <v>100595.54999999999</v>
      </c>
      <c r="W203" s="2">
        <f>6-MATCH(Auto_Sales_data___Copy[[#This Row],[DAYS_SINCE_LAST_ORDER]],Table2[R-Cutoff],1)</f>
        <v>5</v>
      </c>
      <c r="X203" s="2">
        <f>MATCH(Auto_Sales_data___Copy[[#This Row],[Total_Orders_Per_Customer]],Table2[F-Cutoff],1)</f>
        <v>4</v>
      </c>
      <c r="Y203" s="2">
        <f>MATCH(Auto_Sales_data___Copy[[#This Row],[Total_Sales_Per_Customer]],Table2[M-Cutoff],1)</f>
        <v>4</v>
      </c>
      <c r="Z203" s="2" t="str">
        <f>Auto_Sales_data___Copy[[#This Row],[R-Score(1-5)]]&amp;Auto_Sales_data___Copy[[#This Row],[F-Score(1-5)]]&amp;Auto_Sales_data___Copy[[#This Row],[M-Score(1-5)]]</f>
        <v>544</v>
      </c>
      <c r="AA203" s="2" t="str" cm="1">
        <f t="array" ref="AA2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3" s="2" t="str">
        <f>VLOOKUP(Auto_Sales_data___Copy[[#This Row],[Segment Name]],Table3[],2,FALSE)</f>
        <v>VIP Recognitioon &amp; Inclusivity</v>
      </c>
    </row>
    <row r="204" spans="1:28" x14ac:dyDescent="0.25">
      <c r="A204">
        <v>10314</v>
      </c>
      <c r="B204">
        <v>36</v>
      </c>
      <c r="C204">
        <v>192.05</v>
      </c>
      <c r="D204">
        <v>4</v>
      </c>
      <c r="E204">
        <v>6913.8</v>
      </c>
      <c r="F204" s="1">
        <v>43760</v>
      </c>
      <c r="G204" s="2" t="s">
        <v>19</v>
      </c>
      <c r="H204" s="2" t="s">
        <v>183</v>
      </c>
      <c r="I204">
        <v>173</v>
      </c>
      <c r="J204" s="2" t="s">
        <v>552</v>
      </c>
      <c r="K204" s="2" t="s">
        <v>530</v>
      </c>
      <c r="L204" s="2" t="s">
        <v>531</v>
      </c>
      <c r="M204" s="2" t="s">
        <v>532</v>
      </c>
      <c r="N204" s="2" t="s">
        <v>533</v>
      </c>
      <c r="O204" s="2" t="s">
        <v>534</v>
      </c>
      <c r="P204" s="2" t="s">
        <v>344</v>
      </c>
      <c r="Q204" s="2" t="s">
        <v>535</v>
      </c>
      <c r="R204" s="2" t="s">
        <v>536</v>
      </c>
      <c r="S204" s="2" t="s">
        <v>46</v>
      </c>
      <c r="T204">
        <v>539</v>
      </c>
      <c r="U204">
        <f>VLOOKUP(Auto_Sales_data___Copy[[#This Row],[CUSTOMER_NAME]],$AF$2:$AH$90,2,FALSE)</f>
        <v>27</v>
      </c>
      <c r="V204">
        <f>VLOOKUP(Auto_Sales_data___Copy[[#This Row],[CUSTOMER_NAME]],$AF$2:$AH$90,3,FALSE)</f>
        <v>100595.54999999999</v>
      </c>
      <c r="W204" s="2">
        <f>6-MATCH(Auto_Sales_data___Copy[[#This Row],[DAYS_SINCE_LAST_ORDER]],Table2[R-Cutoff],1)</f>
        <v>5</v>
      </c>
      <c r="X204" s="2">
        <f>MATCH(Auto_Sales_data___Copy[[#This Row],[Total_Orders_Per_Customer]],Table2[F-Cutoff],1)</f>
        <v>4</v>
      </c>
      <c r="Y204" s="2">
        <f>MATCH(Auto_Sales_data___Copy[[#This Row],[Total_Sales_Per_Customer]],Table2[M-Cutoff],1)</f>
        <v>4</v>
      </c>
      <c r="Z204" s="2" t="str">
        <f>Auto_Sales_data___Copy[[#This Row],[R-Score(1-5)]]&amp;Auto_Sales_data___Copy[[#This Row],[F-Score(1-5)]]&amp;Auto_Sales_data___Copy[[#This Row],[M-Score(1-5)]]</f>
        <v>544</v>
      </c>
      <c r="AA204" s="2" t="str" cm="1">
        <f t="array" ref="AA2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4" s="2" t="str">
        <f>VLOOKUP(Auto_Sales_data___Copy[[#This Row],[Segment Name]],Table3[],2,FALSE)</f>
        <v>VIP Recognitioon &amp; Inclusivity</v>
      </c>
    </row>
    <row r="205" spans="1:28" x14ac:dyDescent="0.25">
      <c r="A205">
        <v>10314</v>
      </c>
      <c r="B205">
        <v>45</v>
      </c>
      <c r="C205">
        <v>137.46</v>
      </c>
      <c r="D205">
        <v>14</v>
      </c>
      <c r="E205">
        <v>6185.7</v>
      </c>
      <c r="F205" s="1">
        <v>43760</v>
      </c>
      <c r="G205" s="2" t="s">
        <v>19</v>
      </c>
      <c r="H205" s="2" t="s">
        <v>537</v>
      </c>
      <c r="I205">
        <v>118</v>
      </c>
      <c r="J205" s="2" t="s">
        <v>554</v>
      </c>
      <c r="K205" s="2" t="s">
        <v>530</v>
      </c>
      <c r="L205" s="2" t="s">
        <v>531</v>
      </c>
      <c r="M205" s="2" t="s">
        <v>532</v>
      </c>
      <c r="N205" s="2" t="s">
        <v>533</v>
      </c>
      <c r="O205" s="2" t="s">
        <v>534</v>
      </c>
      <c r="P205" s="2" t="s">
        <v>344</v>
      </c>
      <c r="Q205" s="2" t="s">
        <v>535</v>
      </c>
      <c r="R205" s="2" t="s">
        <v>536</v>
      </c>
      <c r="S205" s="2" t="s">
        <v>46</v>
      </c>
      <c r="T205">
        <v>590</v>
      </c>
      <c r="U205">
        <f>VLOOKUP(Auto_Sales_data___Copy[[#This Row],[CUSTOMER_NAME]],$AF$2:$AH$90,2,FALSE)</f>
        <v>27</v>
      </c>
      <c r="V205">
        <f>VLOOKUP(Auto_Sales_data___Copy[[#This Row],[CUSTOMER_NAME]],$AF$2:$AH$90,3,FALSE)</f>
        <v>100595.54999999999</v>
      </c>
      <c r="W205" s="2">
        <f>6-MATCH(Auto_Sales_data___Copy[[#This Row],[DAYS_SINCE_LAST_ORDER]],Table2[R-Cutoff],1)</f>
        <v>5</v>
      </c>
      <c r="X205" s="2">
        <f>MATCH(Auto_Sales_data___Copy[[#This Row],[Total_Orders_Per_Customer]],Table2[F-Cutoff],1)</f>
        <v>4</v>
      </c>
      <c r="Y205" s="2">
        <f>MATCH(Auto_Sales_data___Copy[[#This Row],[Total_Sales_Per_Customer]],Table2[M-Cutoff],1)</f>
        <v>4</v>
      </c>
      <c r="Z205" s="2" t="str">
        <f>Auto_Sales_data___Copy[[#This Row],[R-Score(1-5)]]&amp;Auto_Sales_data___Copy[[#This Row],[F-Score(1-5)]]&amp;Auto_Sales_data___Copy[[#This Row],[M-Score(1-5)]]</f>
        <v>544</v>
      </c>
      <c r="AA205" s="2" t="str" cm="1">
        <f t="array" ref="AA2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5" s="2" t="str">
        <f>VLOOKUP(Auto_Sales_data___Copy[[#This Row],[Segment Name]],Table3[],2,FALSE)</f>
        <v>VIP Recognitioon &amp; Inclusivity</v>
      </c>
    </row>
    <row r="206" spans="1:28" x14ac:dyDescent="0.25">
      <c r="A206">
        <v>10314</v>
      </c>
      <c r="B206">
        <v>42</v>
      </c>
      <c r="C206">
        <v>137.53</v>
      </c>
      <c r="D206">
        <v>13</v>
      </c>
      <c r="E206">
        <v>5776.26</v>
      </c>
      <c r="F206" s="1">
        <v>43760</v>
      </c>
      <c r="G206" s="2" t="s">
        <v>19</v>
      </c>
      <c r="H206" s="2" t="s">
        <v>183</v>
      </c>
      <c r="I206">
        <v>163</v>
      </c>
      <c r="J206" s="2" t="s">
        <v>631</v>
      </c>
      <c r="K206" s="2" t="s">
        <v>530</v>
      </c>
      <c r="L206" s="2" t="s">
        <v>531</v>
      </c>
      <c r="M206" s="2" t="s">
        <v>532</v>
      </c>
      <c r="N206" s="2" t="s">
        <v>533</v>
      </c>
      <c r="O206" s="2" t="s">
        <v>534</v>
      </c>
      <c r="P206" s="2" t="s">
        <v>344</v>
      </c>
      <c r="Q206" s="2" t="s">
        <v>535</v>
      </c>
      <c r="R206" s="2" t="s">
        <v>536</v>
      </c>
      <c r="S206" s="2" t="s">
        <v>46</v>
      </c>
      <c r="T206">
        <v>866</v>
      </c>
      <c r="U206">
        <f>VLOOKUP(Auto_Sales_data___Copy[[#This Row],[CUSTOMER_NAME]],$AF$2:$AH$90,2,FALSE)</f>
        <v>27</v>
      </c>
      <c r="V206">
        <f>VLOOKUP(Auto_Sales_data___Copy[[#This Row],[CUSTOMER_NAME]],$AF$2:$AH$90,3,FALSE)</f>
        <v>100595.54999999999</v>
      </c>
      <c r="W206" s="2">
        <f>6-MATCH(Auto_Sales_data___Copy[[#This Row],[DAYS_SINCE_LAST_ORDER]],Table2[R-Cutoff],1)</f>
        <v>5</v>
      </c>
      <c r="X206" s="2">
        <f>MATCH(Auto_Sales_data___Copy[[#This Row],[Total_Orders_Per_Customer]],Table2[F-Cutoff],1)</f>
        <v>4</v>
      </c>
      <c r="Y206" s="2">
        <f>MATCH(Auto_Sales_data___Copy[[#This Row],[Total_Sales_Per_Customer]],Table2[M-Cutoff],1)</f>
        <v>4</v>
      </c>
      <c r="Z206" s="2" t="str">
        <f>Auto_Sales_data___Copy[[#This Row],[R-Score(1-5)]]&amp;Auto_Sales_data___Copy[[#This Row],[F-Score(1-5)]]&amp;Auto_Sales_data___Copy[[#This Row],[M-Score(1-5)]]</f>
        <v>544</v>
      </c>
      <c r="AA206" s="2" t="str" cm="1">
        <f t="array" ref="AA2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6" s="2" t="str">
        <f>VLOOKUP(Auto_Sales_data___Copy[[#This Row],[Segment Name]],Table3[],2,FALSE)</f>
        <v>VIP Recognitioon &amp; Inclusivity</v>
      </c>
    </row>
    <row r="207" spans="1:28" x14ac:dyDescent="0.25">
      <c r="A207">
        <v>10348</v>
      </c>
      <c r="B207">
        <v>48</v>
      </c>
      <c r="C207">
        <v>52.36</v>
      </c>
      <c r="D207">
        <v>8</v>
      </c>
      <c r="E207">
        <v>2513.2800000000002</v>
      </c>
      <c r="F207" s="1">
        <v>43770</v>
      </c>
      <c r="G207" s="2" t="s">
        <v>19</v>
      </c>
      <c r="H207" s="2" t="s">
        <v>183</v>
      </c>
      <c r="I207">
        <v>207</v>
      </c>
      <c r="J207" s="2" t="s">
        <v>505</v>
      </c>
      <c r="K207" s="2" t="s">
        <v>193</v>
      </c>
      <c r="L207" s="2" t="s">
        <v>194</v>
      </c>
      <c r="M207" s="2" t="s">
        <v>195</v>
      </c>
      <c r="N207" s="2" t="s">
        <v>178</v>
      </c>
      <c r="O207" s="2" t="s">
        <v>196</v>
      </c>
      <c r="P207" s="2" t="s">
        <v>180</v>
      </c>
      <c r="Q207" s="2" t="s">
        <v>197</v>
      </c>
      <c r="R207" s="2" t="s">
        <v>198</v>
      </c>
      <c r="S207" s="2" t="s">
        <v>30</v>
      </c>
      <c r="T207">
        <v>407</v>
      </c>
      <c r="U207">
        <f>VLOOKUP(Auto_Sales_data___Copy[[#This Row],[CUSTOMER_NAME]],$AF$2:$AH$90,2,FALSE)</f>
        <v>32</v>
      </c>
      <c r="V207">
        <f>VLOOKUP(Auto_Sales_data___Copy[[#This Row],[CUSTOMER_NAME]],$AF$2:$AH$90,3,FALSE)</f>
        <v>120615.28</v>
      </c>
      <c r="W207" s="2">
        <f>6-MATCH(Auto_Sales_data___Copy[[#This Row],[DAYS_SINCE_LAST_ORDER]],Table2[R-Cutoff],1)</f>
        <v>5</v>
      </c>
      <c r="X207" s="2">
        <f>MATCH(Auto_Sales_data___Copy[[#This Row],[Total_Orders_Per_Customer]],Table2[F-Cutoff],1)</f>
        <v>4</v>
      </c>
      <c r="Y207" s="2">
        <f>MATCH(Auto_Sales_data___Copy[[#This Row],[Total_Sales_Per_Customer]],Table2[M-Cutoff],1)</f>
        <v>4</v>
      </c>
      <c r="Z207" s="2" t="str">
        <f>Auto_Sales_data___Copy[[#This Row],[R-Score(1-5)]]&amp;Auto_Sales_data___Copy[[#This Row],[F-Score(1-5)]]&amp;Auto_Sales_data___Copy[[#This Row],[M-Score(1-5)]]</f>
        <v>544</v>
      </c>
      <c r="AA207" s="2" t="str" cm="1">
        <f t="array" ref="AA2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7" s="2" t="str">
        <f>VLOOKUP(Auto_Sales_data___Copy[[#This Row],[Segment Name]],Table3[],2,FALSE)</f>
        <v>VIP Recognitioon &amp; Inclusivity</v>
      </c>
    </row>
    <row r="208" spans="1:28" x14ac:dyDescent="0.25">
      <c r="A208">
        <v>10348</v>
      </c>
      <c r="B208">
        <v>47</v>
      </c>
      <c r="C208">
        <v>102.16</v>
      </c>
      <c r="D208">
        <v>4</v>
      </c>
      <c r="E208">
        <v>4801.5200000000004</v>
      </c>
      <c r="F208" s="1">
        <v>43770</v>
      </c>
      <c r="G208" s="2" t="s">
        <v>19</v>
      </c>
      <c r="H208" s="2" t="s">
        <v>183</v>
      </c>
      <c r="I208">
        <v>151</v>
      </c>
      <c r="J208" s="2" t="s">
        <v>545</v>
      </c>
      <c r="K208" s="2" t="s">
        <v>193</v>
      </c>
      <c r="L208" s="2" t="s">
        <v>194</v>
      </c>
      <c r="M208" s="2" t="s">
        <v>195</v>
      </c>
      <c r="N208" s="2" t="s">
        <v>178</v>
      </c>
      <c r="O208" s="2" t="s">
        <v>196</v>
      </c>
      <c r="P208" s="2" t="s">
        <v>180</v>
      </c>
      <c r="Q208" s="2" t="s">
        <v>197</v>
      </c>
      <c r="R208" s="2" t="s">
        <v>198</v>
      </c>
      <c r="S208" s="2" t="s">
        <v>46</v>
      </c>
      <c r="T208">
        <v>483</v>
      </c>
      <c r="U208">
        <f>VLOOKUP(Auto_Sales_data___Copy[[#This Row],[CUSTOMER_NAME]],$AF$2:$AH$90,2,FALSE)</f>
        <v>32</v>
      </c>
      <c r="V208">
        <f>VLOOKUP(Auto_Sales_data___Copy[[#This Row],[CUSTOMER_NAME]],$AF$2:$AH$90,3,FALSE)</f>
        <v>120615.28</v>
      </c>
      <c r="W208" s="2">
        <f>6-MATCH(Auto_Sales_data___Copy[[#This Row],[DAYS_SINCE_LAST_ORDER]],Table2[R-Cutoff],1)</f>
        <v>5</v>
      </c>
      <c r="X208" s="2">
        <f>MATCH(Auto_Sales_data___Copy[[#This Row],[Total_Orders_Per_Customer]],Table2[F-Cutoff],1)</f>
        <v>4</v>
      </c>
      <c r="Y208" s="2">
        <f>MATCH(Auto_Sales_data___Copy[[#This Row],[Total_Sales_Per_Customer]],Table2[M-Cutoff],1)</f>
        <v>4</v>
      </c>
      <c r="Z208" s="2" t="str">
        <f>Auto_Sales_data___Copy[[#This Row],[R-Score(1-5)]]&amp;Auto_Sales_data___Copy[[#This Row],[F-Score(1-5)]]&amp;Auto_Sales_data___Copy[[#This Row],[M-Score(1-5)]]</f>
        <v>544</v>
      </c>
      <c r="AA208" s="2" t="str" cm="1">
        <f t="array" ref="AA2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8" s="2" t="str">
        <f>VLOOKUP(Auto_Sales_data___Copy[[#This Row],[Segment Name]],Table3[],2,FALSE)</f>
        <v>VIP Recognitioon &amp; Inclusivity</v>
      </c>
    </row>
    <row r="209" spans="1:28" x14ac:dyDescent="0.25">
      <c r="A209">
        <v>10318</v>
      </c>
      <c r="B209">
        <v>46</v>
      </c>
      <c r="C209">
        <v>94.74</v>
      </c>
      <c r="D209">
        <v>1</v>
      </c>
      <c r="E209">
        <v>4358.04</v>
      </c>
      <c r="F209" s="1">
        <v>43771</v>
      </c>
      <c r="G209" s="2" t="s">
        <v>19</v>
      </c>
      <c r="H209" s="2" t="s">
        <v>20</v>
      </c>
      <c r="I209">
        <v>95</v>
      </c>
      <c r="J209" s="2" t="s">
        <v>21</v>
      </c>
      <c r="K209" s="2" t="s">
        <v>137</v>
      </c>
      <c r="L209" s="2" t="s">
        <v>138</v>
      </c>
      <c r="M209" s="2" t="s">
        <v>139</v>
      </c>
      <c r="N209" s="2" t="s">
        <v>140</v>
      </c>
      <c r="O209" s="2" t="s">
        <v>141</v>
      </c>
      <c r="P209" s="2" t="s">
        <v>27</v>
      </c>
      <c r="Q209" s="2" t="s">
        <v>28</v>
      </c>
      <c r="R209" s="2" t="s">
        <v>142</v>
      </c>
      <c r="S209" s="2" t="s">
        <v>46</v>
      </c>
      <c r="T209">
        <v>228</v>
      </c>
      <c r="U209">
        <f>VLOOKUP(Auto_Sales_data___Copy[[#This Row],[CUSTOMER_NAME]],$AF$2:$AH$90,2,FALSE)</f>
        <v>31</v>
      </c>
      <c r="V209">
        <f>VLOOKUP(Auto_Sales_data___Copy[[#This Row],[CUSTOMER_NAME]],$AF$2:$AH$90,3,FALSE)</f>
        <v>122138.14</v>
      </c>
      <c r="W209" s="2">
        <f>6-MATCH(Auto_Sales_data___Copy[[#This Row],[DAYS_SINCE_LAST_ORDER]],Table2[R-Cutoff],1)</f>
        <v>5</v>
      </c>
      <c r="X209" s="2">
        <f>MATCH(Auto_Sales_data___Copy[[#This Row],[Total_Orders_Per_Customer]],Table2[F-Cutoff],1)</f>
        <v>4</v>
      </c>
      <c r="Y209" s="2">
        <f>MATCH(Auto_Sales_data___Copy[[#This Row],[Total_Sales_Per_Customer]],Table2[M-Cutoff],1)</f>
        <v>4</v>
      </c>
      <c r="Z209" s="2" t="str">
        <f>Auto_Sales_data___Copy[[#This Row],[R-Score(1-5)]]&amp;Auto_Sales_data___Copy[[#This Row],[F-Score(1-5)]]&amp;Auto_Sales_data___Copy[[#This Row],[M-Score(1-5)]]</f>
        <v>544</v>
      </c>
      <c r="AA209" s="2" t="str" cm="1">
        <f t="array" ref="AA2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9" s="2" t="str">
        <f>VLOOKUP(Auto_Sales_data___Copy[[#This Row],[Segment Name]],Table3[],2,FALSE)</f>
        <v>VIP Recognitioon &amp; Inclusivity</v>
      </c>
    </row>
    <row r="210" spans="1:28" x14ac:dyDescent="0.25">
      <c r="A210">
        <v>10318</v>
      </c>
      <c r="B210">
        <v>45</v>
      </c>
      <c r="C210">
        <v>123.7</v>
      </c>
      <c r="D210">
        <v>4</v>
      </c>
      <c r="E210">
        <v>5566.5</v>
      </c>
      <c r="F210" s="1">
        <v>43771</v>
      </c>
      <c r="G210" s="2" t="s">
        <v>19</v>
      </c>
      <c r="H210" s="2" t="s">
        <v>20</v>
      </c>
      <c r="I210">
        <v>118</v>
      </c>
      <c r="J210" s="2" t="s">
        <v>315</v>
      </c>
      <c r="K210" s="2" t="s">
        <v>137</v>
      </c>
      <c r="L210" s="2" t="s">
        <v>138</v>
      </c>
      <c r="M210" s="2" t="s">
        <v>139</v>
      </c>
      <c r="N210" s="2" t="s">
        <v>140</v>
      </c>
      <c r="O210" s="2" t="s">
        <v>141</v>
      </c>
      <c r="P210" s="2" t="s">
        <v>27</v>
      </c>
      <c r="Q210" s="2" t="s">
        <v>28</v>
      </c>
      <c r="R210" s="2" t="s">
        <v>142</v>
      </c>
      <c r="S210" s="2" t="s">
        <v>46</v>
      </c>
      <c r="T210">
        <v>278</v>
      </c>
      <c r="U210">
        <f>VLOOKUP(Auto_Sales_data___Copy[[#This Row],[CUSTOMER_NAME]],$AF$2:$AH$90,2,FALSE)</f>
        <v>31</v>
      </c>
      <c r="V210">
        <f>VLOOKUP(Auto_Sales_data___Copy[[#This Row],[CUSTOMER_NAME]],$AF$2:$AH$90,3,FALSE)</f>
        <v>122138.14</v>
      </c>
      <c r="W210" s="2">
        <f>6-MATCH(Auto_Sales_data___Copy[[#This Row],[DAYS_SINCE_LAST_ORDER]],Table2[R-Cutoff],1)</f>
        <v>5</v>
      </c>
      <c r="X210" s="2">
        <f>MATCH(Auto_Sales_data___Copy[[#This Row],[Total_Orders_Per_Customer]],Table2[F-Cutoff],1)</f>
        <v>4</v>
      </c>
      <c r="Y210" s="2">
        <f>MATCH(Auto_Sales_data___Copy[[#This Row],[Total_Sales_Per_Customer]],Table2[M-Cutoff],1)</f>
        <v>4</v>
      </c>
      <c r="Z210" s="2" t="str">
        <f>Auto_Sales_data___Copy[[#This Row],[R-Score(1-5)]]&amp;Auto_Sales_data___Copy[[#This Row],[F-Score(1-5)]]&amp;Auto_Sales_data___Copy[[#This Row],[M-Score(1-5)]]</f>
        <v>544</v>
      </c>
      <c r="AA210" s="2" t="str" cm="1">
        <f t="array" ref="AA2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0" s="2" t="str">
        <f>VLOOKUP(Auto_Sales_data___Copy[[#This Row],[Segment Name]],Table3[],2,FALSE)</f>
        <v>VIP Recognitioon &amp; Inclusivity</v>
      </c>
    </row>
    <row r="211" spans="1:28" x14ac:dyDescent="0.25">
      <c r="A211">
        <v>10318</v>
      </c>
      <c r="B211">
        <v>37</v>
      </c>
      <c r="C211">
        <v>207.22</v>
      </c>
      <c r="D211">
        <v>3</v>
      </c>
      <c r="E211">
        <v>7667.14</v>
      </c>
      <c r="F211" s="1">
        <v>43771</v>
      </c>
      <c r="G211" s="2" t="s">
        <v>19</v>
      </c>
      <c r="H211" s="2" t="s">
        <v>20</v>
      </c>
      <c r="I211">
        <v>193</v>
      </c>
      <c r="J211" s="2" t="s">
        <v>337</v>
      </c>
      <c r="K211" s="2" t="s">
        <v>137</v>
      </c>
      <c r="L211" s="2" t="s">
        <v>138</v>
      </c>
      <c r="M211" s="2" t="s">
        <v>139</v>
      </c>
      <c r="N211" s="2" t="s">
        <v>140</v>
      </c>
      <c r="O211" s="2" t="s">
        <v>141</v>
      </c>
      <c r="P211" s="2" t="s">
        <v>27</v>
      </c>
      <c r="Q211" s="2" t="s">
        <v>28</v>
      </c>
      <c r="R211" s="2" t="s">
        <v>142</v>
      </c>
      <c r="S211" s="2" t="s">
        <v>151</v>
      </c>
      <c r="T211">
        <v>302</v>
      </c>
      <c r="U211">
        <f>VLOOKUP(Auto_Sales_data___Copy[[#This Row],[CUSTOMER_NAME]],$AF$2:$AH$90,2,FALSE)</f>
        <v>31</v>
      </c>
      <c r="V211">
        <f>VLOOKUP(Auto_Sales_data___Copy[[#This Row],[CUSTOMER_NAME]],$AF$2:$AH$90,3,FALSE)</f>
        <v>122138.14</v>
      </c>
      <c r="W211" s="2">
        <f>6-MATCH(Auto_Sales_data___Copy[[#This Row],[DAYS_SINCE_LAST_ORDER]],Table2[R-Cutoff],1)</f>
        <v>5</v>
      </c>
      <c r="X211" s="2">
        <f>MATCH(Auto_Sales_data___Copy[[#This Row],[Total_Orders_Per_Customer]],Table2[F-Cutoff],1)</f>
        <v>4</v>
      </c>
      <c r="Y211" s="2">
        <f>MATCH(Auto_Sales_data___Copy[[#This Row],[Total_Sales_Per_Customer]],Table2[M-Cutoff],1)</f>
        <v>4</v>
      </c>
      <c r="Z211" s="2" t="str">
        <f>Auto_Sales_data___Copy[[#This Row],[R-Score(1-5)]]&amp;Auto_Sales_data___Copy[[#This Row],[F-Score(1-5)]]&amp;Auto_Sales_data___Copy[[#This Row],[M-Score(1-5)]]</f>
        <v>544</v>
      </c>
      <c r="AA211" s="2" t="str" cm="1">
        <f t="array" ref="AA2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1" s="2" t="str">
        <f>VLOOKUP(Auto_Sales_data___Copy[[#This Row],[Segment Name]],Table3[],2,FALSE)</f>
        <v>VIP Recognitioon &amp; Inclusivity</v>
      </c>
    </row>
    <row r="212" spans="1:28" x14ac:dyDescent="0.25">
      <c r="A212">
        <v>10322</v>
      </c>
      <c r="B212">
        <v>40</v>
      </c>
      <c r="C212">
        <v>150.01</v>
      </c>
      <c r="D212">
        <v>1</v>
      </c>
      <c r="E212">
        <v>6000.4</v>
      </c>
      <c r="F212" s="1">
        <v>43773</v>
      </c>
      <c r="G212" s="2" t="s">
        <v>19</v>
      </c>
      <c r="H212" s="2" t="s">
        <v>183</v>
      </c>
      <c r="I212">
        <v>214</v>
      </c>
      <c r="J212" s="2" t="s">
        <v>184</v>
      </c>
      <c r="K212" s="2" t="s">
        <v>290</v>
      </c>
      <c r="L212" s="2" t="s">
        <v>291</v>
      </c>
      <c r="M212" s="2" t="s">
        <v>292</v>
      </c>
      <c r="N212" s="2" t="s">
        <v>293</v>
      </c>
      <c r="O212" s="2" t="s">
        <v>294</v>
      </c>
      <c r="P212" s="2" t="s">
        <v>27</v>
      </c>
      <c r="Q212" s="2" t="s">
        <v>52</v>
      </c>
      <c r="R212" s="2" t="s">
        <v>289</v>
      </c>
      <c r="S212" s="2" t="s">
        <v>46</v>
      </c>
      <c r="T212">
        <v>253</v>
      </c>
      <c r="U212">
        <f>VLOOKUP(Auto_Sales_data___Copy[[#This Row],[CUSTOMER_NAME]],$AF$2:$AH$90,2,FALSE)</f>
        <v>34</v>
      </c>
      <c r="V212">
        <f>VLOOKUP(Auto_Sales_data___Copy[[#This Row],[CUSTOMER_NAME]],$AF$2:$AH$90,3,FALSE)</f>
        <v>131685.29999999999</v>
      </c>
      <c r="W212" s="2">
        <f>6-MATCH(Auto_Sales_data___Copy[[#This Row],[DAYS_SINCE_LAST_ORDER]],Table2[R-Cutoff],1)</f>
        <v>5</v>
      </c>
      <c r="X212" s="2">
        <f>MATCH(Auto_Sales_data___Copy[[#This Row],[Total_Orders_Per_Customer]],Table2[F-Cutoff],1)</f>
        <v>4</v>
      </c>
      <c r="Y212" s="2">
        <f>MATCH(Auto_Sales_data___Copy[[#This Row],[Total_Sales_Per_Customer]],Table2[M-Cutoff],1)</f>
        <v>4</v>
      </c>
      <c r="Z212" s="2" t="str">
        <f>Auto_Sales_data___Copy[[#This Row],[R-Score(1-5)]]&amp;Auto_Sales_data___Copy[[#This Row],[F-Score(1-5)]]&amp;Auto_Sales_data___Copy[[#This Row],[M-Score(1-5)]]</f>
        <v>544</v>
      </c>
      <c r="AA212" s="2" t="str" cm="1">
        <f t="array" ref="AA2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2" s="2" t="str">
        <f>VLOOKUP(Auto_Sales_data___Copy[[#This Row],[Segment Name]],Table3[],2,FALSE)</f>
        <v>VIP Recognitioon &amp; Inclusivity</v>
      </c>
    </row>
    <row r="213" spans="1:28" x14ac:dyDescent="0.25">
      <c r="A213">
        <v>10322</v>
      </c>
      <c r="B213">
        <v>46</v>
      </c>
      <c r="C213">
        <v>61.99</v>
      </c>
      <c r="D213">
        <v>8</v>
      </c>
      <c r="E213">
        <v>2851.54</v>
      </c>
      <c r="F213" s="1">
        <v>43773</v>
      </c>
      <c r="G213" s="2" t="s">
        <v>19</v>
      </c>
      <c r="H213" s="2" t="s">
        <v>183</v>
      </c>
      <c r="I213">
        <v>147</v>
      </c>
      <c r="J213" s="2" t="s">
        <v>424</v>
      </c>
      <c r="K213" s="2" t="s">
        <v>290</v>
      </c>
      <c r="L213" s="2" t="s">
        <v>291</v>
      </c>
      <c r="M213" s="2" t="s">
        <v>292</v>
      </c>
      <c r="N213" s="2" t="s">
        <v>293</v>
      </c>
      <c r="O213" s="2" t="s">
        <v>294</v>
      </c>
      <c r="P213" s="2" t="s">
        <v>27</v>
      </c>
      <c r="Q213" s="2" t="s">
        <v>52</v>
      </c>
      <c r="R213" s="2" t="s">
        <v>289</v>
      </c>
      <c r="S213" s="2" t="s">
        <v>30</v>
      </c>
      <c r="T213">
        <v>352</v>
      </c>
      <c r="U213">
        <f>VLOOKUP(Auto_Sales_data___Copy[[#This Row],[CUSTOMER_NAME]],$AF$2:$AH$90,2,FALSE)</f>
        <v>34</v>
      </c>
      <c r="V213">
        <f>VLOOKUP(Auto_Sales_data___Copy[[#This Row],[CUSTOMER_NAME]],$AF$2:$AH$90,3,FALSE)</f>
        <v>131685.29999999999</v>
      </c>
      <c r="W213" s="2">
        <f>6-MATCH(Auto_Sales_data___Copy[[#This Row],[DAYS_SINCE_LAST_ORDER]],Table2[R-Cutoff],1)</f>
        <v>5</v>
      </c>
      <c r="X213" s="2">
        <f>MATCH(Auto_Sales_data___Copy[[#This Row],[Total_Orders_Per_Customer]],Table2[F-Cutoff],1)</f>
        <v>4</v>
      </c>
      <c r="Y213" s="2">
        <f>MATCH(Auto_Sales_data___Copy[[#This Row],[Total_Sales_Per_Customer]],Table2[M-Cutoff],1)</f>
        <v>4</v>
      </c>
      <c r="Z213" s="2" t="str">
        <f>Auto_Sales_data___Copy[[#This Row],[R-Score(1-5)]]&amp;Auto_Sales_data___Copy[[#This Row],[F-Score(1-5)]]&amp;Auto_Sales_data___Copy[[#This Row],[M-Score(1-5)]]</f>
        <v>544</v>
      </c>
      <c r="AA213" s="2" t="str" cm="1">
        <f t="array" ref="AA2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3" s="2" t="str">
        <f>VLOOKUP(Auto_Sales_data___Copy[[#This Row],[Segment Name]],Table3[],2,FALSE)</f>
        <v>VIP Recognitioon &amp; Inclusivity</v>
      </c>
    </row>
    <row r="214" spans="1:28" x14ac:dyDescent="0.25">
      <c r="A214">
        <v>10322</v>
      </c>
      <c r="B214">
        <v>27</v>
      </c>
      <c r="C214">
        <v>177.19</v>
      </c>
      <c r="D214">
        <v>9</v>
      </c>
      <c r="E214">
        <v>4784.13</v>
      </c>
      <c r="F214" s="1">
        <v>43773</v>
      </c>
      <c r="G214" s="2" t="s">
        <v>19</v>
      </c>
      <c r="H214" s="2" t="s">
        <v>537</v>
      </c>
      <c r="I214">
        <v>136</v>
      </c>
      <c r="J214" s="2" t="s">
        <v>538</v>
      </c>
      <c r="K214" s="2" t="s">
        <v>290</v>
      </c>
      <c r="L214" s="2" t="s">
        <v>291</v>
      </c>
      <c r="M214" s="2" t="s">
        <v>292</v>
      </c>
      <c r="N214" s="2" t="s">
        <v>293</v>
      </c>
      <c r="O214" s="2" t="s">
        <v>294</v>
      </c>
      <c r="P214" s="2" t="s">
        <v>27</v>
      </c>
      <c r="Q214" s="2" t="s">
        <v>52</v>
      </c>
      <c r="R214" s="2" t="s">
        <v>289</v>
      </c>
      <c r="S214" s="2" t="s">
        <v>46</v>
      </c>
      <c r="T214">
        <v>429</v>
      </c>
      <c r="U214">
        <f>VLOOKUP(Auto_Sales_data___Copy[[#This Row],[CUSTOMER_NAME]],$AF$2:$AH$90,2,FALSE)</f>
        <v>34</v>
      </c>
      <c r="V214">
        <f>VLOOKUP(Auto_Sales_data___Copy[[#This Row],[CUSTOMER_NAME]],$AF$2:$AH$90,3,FALSE)</f>
        <v>131685.29999999999</v>
      </c>
      <c r="W214" s="2">
        <f>6-MATCH(Auto_Sales_data___Copy[[#This Row],[DAYS_SINCE_LAST_ORDER]],Table2[R-Cutoff],1)</f>
        <v>5</v>
      </c>
      <c r="X214" s="2">
        <f>MATCH(Auto_Sales_data___Copy[[#This Row],[Total_Orders_Per_Customer]],Table2[F-Cutoff],1)</f>
        <v>4</v>
      </c>
      <c r="Y214" s="2">
        <f>MATCH(Auto_Sales_data___Copy[[#This Row],[Total_Sales_Per_Customer]],Table2[M-Cutoff],1)</f>
        <v>4</v>
      </c>
      <c r="Z214" s="2" t="str">
        <f>Auto_Sales_data___Copy[[#This Row],[R-Score(1-5)]]&amp;Auto_Sales_data___Copy[[#This Row],[F-Score(1-5)]]&amp;Auto_Sales_data___Copy[[#This Row],[M-Score(1-5)]]</f>
        <v>544</v>
      </c>
      <c r="AA214" s="2" t="str" cm="1">
        <f t="array" ref="AA2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4" s="2" t="str">
        <f>VLOOKUP(Auto_Sales_data___Copy[[#This Row],[Segment Name]],Table3[],2,FALSE)</f>
        <v>VIP Recognitioon &amp; Inclusivity</v>
      </c>
    </row>
    <row r="215" spans="1:28" x14ac:dyDescent="0.25">
      <c r="A215">
        <v>10322</v>
      </c>
      <c r="B215">
        <v>22</v>
      </c>
      <c r="C215">
        <v>102.32</v>
      </c>
      <c r="D215">
        <v>10</v>
      </c>
      <c r="E215">
        <v>2251.04</v>
      </c>
      <c r="F215" s="1">
        <v>43773</v>
      </c>
      <c r="G215" s="2" t="s">
        <v>19</v>
      </c>
      <c r="H215" s="2" t="s">
        <v>537</v>
      </c>
      <c r="I215">
        <v>116</v>
      </c>
      <c r="J215" s="2" t="s">
        <v>575</v>
      </c>
      <c r="K215" s="2" t="s">
        <v>290</v>
      </c>
      <c r="L215" s="2" t="s">
        <v>291</v>
      </c>
      <c r="M215" s="2" t="s">
        <v>292</v>
      </c>
      <c r="N215" s="2" t="s">
        <v>293</v>
      </c>
      <c r="O215" s="2" t="s">
        <v>294</v>
      </c>
      <c r="P215" s="2" t="s">
        <v>27</v>
      </c>
      <c r="Q215" s="2" t="s">
        <v>52</v>
      </c>
      <c r="R215" s="2" t="s">
        <v>289</v>
      </c>
      <c r="S215" s="2" t="s">
        <v>30</v>
      </c>
      <c r="T215">
        <v>630</v>
      </c>
      <c r="U215">
        <f>VLOOKUP(Auto_Sales_data___Copy[[#This Row],[CUSTOMER_NAME]],$AF$2:$AH$90,2,FALSE)</f>
        <v>34</v>
      </c>
      <c r="V215">
        <f>VLOOKUP(Auto_Sales_data___Copy[[#This Row],[CUSTOMER_NAME]],$AF$2:$AH$90,3,FALSE)</f>
        <v>131685.29999999999</v>
      </c>
      <c r="W215" s="2">
        <f>6-MATCH(Auto_Sales_data___Copy[[#This Row],[DAYS_SINCE_LAST_ORDER]],Table2[R-Cutoff],1)</f>
        <v>5</v>
      </c>
      <c r="X215" s="2">
        <f>MATCH(Auto_Sales_data___Copy[[#This Row],[Total_Orders_Per_Customer]],Table2[F-Cutoff],1)</f>
        <v>4</v>
      </c>
      <c r="Y215" s="2">
        <f>MATCH(Auto_Sales_data___Copy[[#This Row],[Total_Sales_Per_Customer]],Table2[M-Cutoff],1)</f>
        <v>4</v>
      </c>
      <c r="Z215" s="2" t="str">
        <f>Auto_Sales_data___Copy[[#This Row],[R-Score(1-5)]]&amp;Auto_Sales_data___Copy[[#This Row],[F-Score(1-5)]]&amp;Auto_Sales_data___Copy[[#This Row],[M-Score(1-5)]]</f>
        <v>544</v>
      </c>
      <c r="AA215" s="2" t="str" cm="1">
        <f t="array" ref="AA2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5" s="2" t="str">
        <f>VLOOKUP(Auto_Sales_data___Copy[[#This Row],[Segment Name]],Table3[],2,FALSE)</f>
        <v>VIP Recognitioon &amp; Inclusivity</v>
      </c>
    </row>
    <row r="216" spans="1:28" x14ac:dyDescent="0.25">
      <c r="A216">
        <v>10322</v>
      </c>
      <c r="B216">
        <v>43</v>
      </c>
      <c r="C216">
        <v>86.3</v>
      </c>
      <c r="D216">
        <v>14</v>
      </c>
      <c r="E216">
        <v>3710.9</v>
      </c>
      <c r="F216" s="1">
        <v>43773</v>
      </c>
      <c r="G216" s="2" t="s">
        <v>19</v>
      </c>
      <c r="H216" s="2" t="s">
        <v>589</v>
      </c>
      <c r="I216">
        <v>102</v>
      </c>
      <c r="J216" s="2" t="s">
        <v>590</v>
      </c>
      <c r="K216" s="2" t="s">
        <v>290</v>
      </c>
      <c r="L216" s="2" t="s">
        <v>291</v>
      </c>
      <c r="M216" s="2" t="s">
        <v>292</v>
      </c>
      <c r="N216" s="2" t="s">
        <v>293</v>
      </c>
      <c r="O216" s="2" t="s">
        <v>294</v>
      </c>
      <c r="P216" s="2" t="s">
        <v>27</v>
      </c>
      <c r="Q216" s="2" t="s">
        <v>52</v>
      </c>
      <c r="R216" s="2" t="s">
        <v>289</v>
      </c>
      <c r="S216" s="2" t="s">
        <v>46</v>
      </c>
      <c r="T216">
        <v>680</v>
      </c>
      <c r="U216">
        <f>VLOOKUP(Auto_Sales_data___Copy[[#This Row],[CUSTOMER_NAME]],$AF$2:$AH$90,2,FALSE)</f>
        <v>34</v>
      </c>
      <c r="V216">
        <f>VLOOKUP(Auto_Sales_data___Copy[[#This Row],[CUSTOMER_NAME]],$AF$2:$AH$90,3,FALSE)</f>
        <v>131685.29999999999</v>
      </c>
      <c r="W216" s="2">
        <f>6-MATCH(Auto_Sales_data___Copy[[#This Row],[DAYS_SINCE_LAST_ORDER]],Table2[R-Cutoff],1)</f>
        <v>5</v>
      </c>
      <c r="X216" s="2">
        <f>MATCH(Auto_Sales_data___Copy[[#This Row],[Total_Orders_Per_Customer]],Table2[F-Cutoff],1)</f>
        <v>4</v>
      </c>
      <c r="Y216" s="2">
        <f>MATCH(Auto_Sales_data___Copy[[#This Row],[Total_Sales_Per_Customer]],Table2[M-Cutoff],1)</f>
        <v>4</v>
      </c>
      <c r="Z216" s="2" t="str">
        <f>Auto_Sales_data___Copy[[#This Row],[R-Score(1-5)]]&amp;Auto_Sales_data___Copy[[#This Row],[F-Score(1-5)]]&amp;Auto_Sales_data___Copy[[#This Row],[M-Score(1-5)]]</f>
        <v>544</v>
      </c>
      <c r="AA216" s="2" t="str" cm="1">
        <f t="array" ref="AA2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6" s="2" t="str">
        <f>VLOOKUP(Auto_Sales_data___Copy[[#This Row],[Segment Name]],Table3[],2,FALSE)</f>
        <v>VIP Recognitioon &amp; Inclusivity</v>
      </c>
    </row>
    <row r="217" spans="1:28" x14ac:dyDescent="0.25">
      <c r="A217">
        <v>10322</v>
      </c>
      <c r="B217">
        <v>41</v>
      </c>
      <c r="C217">
        <v>57.68</v>
      </c>
      <c r="D217">
        <v>5</v>
      </c>
      <c r="E217">
        <v>2364.88</v>
      </c>
      <c r="F217" s="1">
        <v>43773</v>
      </c>
      <c r="G217" s="2" t="s">
        <v>19</v>
      </c>
      <c r="H217" s="2" t="s">
        <v>589</v>
      </c>
      <c r="I217">
        <v>53</v>
      </c>
      <c r="J217" s="2" t="s">
        <v>605</v>
      </c>
      <c r="K217" s="2" t="s">
        <v>290</v>
      </c>
      <c r="L217" s="2" t="s">
        <v>291</v>
      </c>
      <c r="M217" s="2" t="s">
        <v>292</v>
      </c>
      <c r="N217" s="2" t="s">
        <v>293</v>
      </c>
      <c r="O217" s="2" t="s">
        <v>294</v>
      </c>
      <c r="P217" s="2" t="s">
        <v>27</v>
      </c>
      <c r="Q217" s="2" t="s">
        <v>52</v>
      </c>
      <c r="R217" s="2" t="s">
        <v>289</v>
      </c>
      <c r="S217" s="2" t="s">
        <v>30</v>
      </c>
      <c r="T217">
        <v>704</v>
      </c>
      <c r="U217">
        <f>VLOOKUP(Auto_Sales_data___Copy[[#This Row],[CUSTOMER_NAME]],$AF$2:$AH$90,2,FALSE)</f>
        <v>34</v>
      </c>
      <c r="V217">
        <f>VLOOKUP(Auto_Sales_data___Copy[[#This Row],[CUSTOMER_NAME]],$AF$2:$AH$90,3,FALSE)</f>
        <v>131685.29999999999</v>
      </c>
      <c r="W217" s="2">
        <f>6-MATCH(Auto_Sales_data___Copy[[#This Row],[DAYS_SINCE_LAST_ORDER]],Table2[R-Cutoff],1)</f>
        <v>5</v>
      </c>
      <c r="X217" s="2">
        <f>MATCH(Auto_Sales_data___Copy[[#This Row],[Total_Orders_Per_Customer]],Table2[F-Cutoff],1)</f>
        <v>4</v>
      </c>
      <c r="Y217" s="2">
        <f>MATCH(Auto_Sales_data___Copy[[#This Row],[Total_Sales_Per_Customer]],Table2[M-Cutoff],1)</f>
        <v>4</v>
      </c>
      <c r="Z217" s="2" t="str">
        <f>Auto_Sales_data___Copy[[#This Row],[R-Score(1-5)]]&amp;Auto_Sales_data___Copy[[#This Row],[F-Score(1-5)]]&amp;Auto_Sales_data___Copy[[#This Row],[M-Score(1-5)]]</f>
        <v>544</v>
      </c>
      <c r="AA217" s="2" t="str" cm="1">
        <f t="array" ref="AA2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7" s="2" t="str">
        <f>VLOOKUP(Auto_Sales_data___Copy[[#This Row],[Segment Name]],Table3[],2,FALSE)</f>
        <v>VIP Recognitioon &amp; Inclusivity</v>
      </c>
    </row>
    <row r="218" spans="1:28" x14ac:dyDescent="0.25">
      <c r="A218">
        <v>10322</v>
      </c>
      <c r="B218">
        <v>50</v>
      </c>
      <c r="C218">
        <v>250.73</v>
      </c>
      <c r="D218">
        <v>6</v>
      </c>
      <c r="E218">
        <v>12536.5</v>
      </c>
      <c r="F218" s="1">
        <v>43773</v>
      </c>
      <c r="G218" s="2" t="s">
        <v>19</v>
      </c>
      <c r="H218" s="2" t="s">
        <v>589</v>
      </c>
      <c r="I218">
        <v>127</v>
      </c>
      <c r="J218" s="2" t="s">
        <v>634</v>
      </c>
      <c r="K218" s="2" t="s">
        <v>290</v>
      </c>
      <c r="L218" s="2" t="s">
        <v>291</v>
      </c>
      <c r="M218" s="2" t="s">
        <v>292</v>
      </c>
      <c r="N218" s="2" t="s">
        <v>293</v>
      </c>
      <c r="O218" s="2" t="s">
        <v>294</v>
      </c>
      <c r="P218" s="2" t="s">
        <v>27</v>
      </c>
      <c r="Q218" s="2" t="s">
        <v>52</v>
      </c>
      <c r="R218" s="2" t="s">
        <v>289</v>
      </c>
      <c r="S218" s="2" t="s">
        <v>151</v>
      </c>
      <c r="T218">
        <v>924</v>
      </c>
      <c r="U218">
        <f>VLOOKUP(Auto_Sales_data___Copy[[#This Row],[CUSTOMER_NAME]],$AF$2:$AH$90,2,FALSE)</f>
        <v>34</v>
      </c>
      <c r="V218">
        <f>VLOOKUP(Auto_Sales_data___Copy[[#This Row],[CUSTOMER_NAME]],$AF$2:$AH$90,3,FALSE)</f>
        <v>131685.29999999999</v>
      </c>
      <c r="W218" s="2">
        <f>6-MATCH(Auto_Sales_data___Copy[[#This Row],[DAYS_SINCE_LAST_ORDER]],Table2[R-Cutoff],1)</f>
        <v>5</v>
      </c>
      <c r="X218" s="2">
        <f>MATCH(Auto_Sales_data___Copy[[#This Row],[Total_Orders_Per_Customer]],Table2[F-Cutoff],1)</f>
        <v>4</v>
      </c>
      <c r="Y218" s="2">
        <f>MATCH(Auto_Sales_data___Copy[[#This Row],[Total_Sales_Per_Customer]],Table2[M-Cutoff],1)</f>
        <v>4</v>
      </c>
      <c r="Z218" s="2" t="str">
        <f>Auto_Sales_data___Copy[[#This Row],[R-Score(1-5)]]&amp;Auto_Sales_data___Copy[[#This Row],[F-Score(1-5)]]&amp;Auto_Sales_data___Copy[[#This Row],[M-Score(1-5)]]</f>
        <v>544</v>
      </c>
      <c r="AA218" s="2" t="str" cm="1">
        <f t="array" ref="AA2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8" s="2" t="str">
        <f>VLOOKUP(Auto_Sales_data___Copy[[#This Row],[Segment Name]],Table3[],2,FALSE)</f>
        <v>VIP Recognitioon &amp; Inclusivity</v>
      </c>
    </row>
    <row r="219" spans="1:28" x14ac:dyDescent="0.25">
      <c r="A219">
        <v>10325</v>
      </c>
      <c r="B219">
        <v>47</v>
      </c>
      <c r="C219">
        <v>64.930000000000007</v>
      </c>
      <c r="D219">
        <v>6</v>
      </c>
      <c r="E219">
        <v>3051.71</v>
      </c>
      <c r="F219" s="1">
        <v>43774</v>
      </c>
      <c r="G219" s="2" t="s">
        <v>19</v>
      </c>
      <c r="H219" s="2" t="s">
        <v>183</v>
      </c>
      <c r="I219">
        <v>136</v>
      </c>
      <c r="J219" s="2" t="s">
        <v>338</v>
      </c>
      <c r="K219" s="2" t="s">
        <v>130</v>
      </c>
      <c r="L219" s="2" t="s">
        <v>131</v>
      </c>
      <c r="M219" s="2" t="s">
        <v>132</v>
      </c>
      <c r="N219" s="2" t="s">
        <v>133</v>
      </c>
      <c r="O219" s="2" t="s">
        <v>134</v>
      </c>
      <c r="P219" s="2" t="s">
        <v>73</v>
      </c>
      <c r="Q219" s="2" t="s">
        <v>135</v>
      </c>
      <c r="R219" s="2" t="s">
        <v>136</v>
      </c>
      <c r="S219" s="2" t="s">
        <v>46</v>
      </c>
      <c r="T219">
        <v>324</v>
      </c>
      <c r="U219">
        <f>VLOOKUP(Auto_Sales_data___Copy[[#This Row],[CUSTOMER_NAME]],$AF$2:$AH$90,2,FALSE)</f>
        <v>32</v>
      </c>
      <c r="V219">
        <f>VLOOKUP(Auto_Sales_data___Copy[[#This Row],[CUSTOMER_NAME]],$AF$2:$AH$90,3,FALSE)</f>
        <v>116599.18999999999</v>
      </c>
      <c r="W219" s="2">
        <f>6-MATCH(Auto_Sales_data___Copy[[#This Row],[DAYS_SINCE_LAST_ORDER]],Table2[R-Cutoff],1)</f>
        <v>5</v>
      </c>
      <c r="X219" s="2">
        <f>MATCH(Auto_Sales_data___Copy[[#This Row],[Total_Orders_Per_Customer]],Table2[F-Cutoff],1)</f>
        <v>4</v>
      </c>
      <c r="Y219" s="2">
        <f>MATCH(Auto_Sales_data___Copy[[#This Row],[Total_Sales_Per_Customer]],Table2[M-Cutoff],1)</f>
        <v>4</v>
      </c>
      <c r="Z219" s="2" t="str">
        <f>Auto_Sales_data___Copy[[#This Row],[R-Score(1-5)]]&amp;Auto_Sales_data___Copy[[#This Row],[F-Score(1-5)]]&amp;Auto_Sales_data___Copy[[#This Row],[M-Score(1-5)]]</f>
        <v>544</v>
      </c>
      <c r="AA219" s="2" t="str" cm="1">
        <f t="array" ref="AA2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9" s="2" t="str">
        <f>VLOOKUP(Auto_Sales_data___Copy[[#This Row],[Segment Name]],Table3[],2,FALSE)</f>
        <v>VIP Recognitioon &amp; Inclusivity</v>
      </c>
    </row>
    <row r="220" spans="1:28" x14ac:dyDescent="0.25">
      <c r="A220">
        <v>10325</v>
      </c>
      <c r="B220">
        <v>42</v>
      </c>
      <c r="C220">
        <v>64</v>
      </c>
      <c r="D220">
        <v>8</v>
      </c>
      <c r="E220">
        <v>2688</v>
      </c>
      <c r="F220" s="1">
        <v>43774</v>
      </c>
      <c r="G220" s="2" t="s">
        <v>19</v>
      </c>
      <c r="H220" s="2" t="s">
        <v>183</v>
      </c>
      <c r="I220">
        <v>207</v>
      </c>
      <c r="J220" s="2" t="s">
        <v>505</v>
      </c>
      <c r="K220" s="2" t="s">
        <v>130</v>
      </c>
      <c r="L220" s="2" t="s">
        <v>131</v>
      </c>
      <c r="M220" s="2" t="s">
        <v>132</v>
      </c>
      <c r="N220" s="2" t="s">
        <v>133</v>
      </c>
      <c r="O220" s="2" t="s">
        <v>134</v>
      </c>
      <c r="P220" s="2" t="s">
        <v>73</v>
      </c>
      <c r="Q220" s="2" t="s">
        <v>135</v>
      </c>
      <c r="R220" s="2" t="s">
        <v>136</v>
      </c>
      <c r="S220" s="2" t="s">
        <v>30</v>
      </c>
      <c r="T220">
        <v>401</v>
      </c>
      <c r="U220">
        <f>VLOOKUP(Auto_Sales_data___Copy[[#This Row],[CUSTOMER_NAME]],$AF$2:$AH$90,2,FALSE)</f>
        <v>32</v>
      </c>
      <c r="V220">
        <f>VLOOKUP(Auto_Sales_data___Copy[[#This Row],[CUSTOMER_NAME]],$AF$2:$AH$90,3,FALSE)</f>
        <v>116599.18999999999</v>
      </c>
      <c r="W220" s="2">
        <f>6-MATCH(Auto_Sales_data___Copy[[#This Row],[DAYS_SINCE_LAST_ORDER]],Table2[R-Cutoff],1)</f>
        <v>5</v>
      </c>
      <c r="X220" s="2">
        <f>MATCH(Auto_Sales_data___Copy[[#This Row],[Total_Orders_Per_Customer]],Table2[F-Cutoff],1)</f>
        <v>4</v>
      </c>
      <c r="Y220" s="2">
        <f>MATCH(Auto_Sales_data___Copy[[#This Row],[Total_Sales_Per_Customer]],Table2[M-Cutoff],1)</f>
        <v>4</v>
      </c>
      <c r="Z220" s="2" t="str">
        <f>Auto_Sales_data___Copy[[#This Row],[R-Score(1-5)]]&amp;Auto_Sales_data___Copy[[#This Row],[F-Score(1-5)]]&amp;Auto_Sales_data___Copy[[#This Row],[M-Score(1-5)]]</f>
        <v>544</v>
      </c>
      <c r="AA220" s="2" t="str" cm="1">
        <f t="array" ref="AA2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0" s="2" t="str">
        <f>VLOOKUP(Auto_Sales_data___Copy[[#This Row],[Segment Name]],Table3[],2,FALSE)</f>
        <v>VIP Recognitioon &amp; Inclusivity</v>
      </c>
    </row>
    <row r="221" spans="1:28" x14ac:dyDescent="0.25">
      <c r="A221">
        <v>10325</v>
      </c>
      <c r="B221">
        <v>24</v>
      </c>
      <c r="C221">
        <v>107.65</v>
      </c>
      <c r="D221">
        <v>1</v>
      </c>
      <c r="E221">
        <v>2583.6</v>
      </c>
      <c r="F221" s="1">
        <v>43774</v>
      </c>
      <c r="G221" s="2" t="s">
        <v>19</v>
      </c>
      <c r="H221" s="2" t="s">
        <v>183</v>
      </c>
      <c r="I221">
        <v>173</v>
      </c>
      <c r="J221" s="2" t="s">
        <v>552</v>
      </c>
      <c r="K221" s="2" t="s">
        <v>130</v>
      </c>
      <c r="L221" s="2" t="s">
        <v>131</v>
      </c>
      <c r="M221" s="2" t="s">
        <v>132</v>
      </c>
      <c r="N221" s="2" t="s">
        <v>133</v>
      </c>
      <c r="O221" s="2" t="s">
        <v>134</v>
      </c>
      <c r="P221" s="2" t="s">
        <v>73</v>
      </c>
      <c r="Q221" s="2" t="s">
        <v>135</v>
      </c>
      <c r="R221" s="2" t="s">
        <v>136</v>
      </c>
      <c r="S221" s="2" t="s">
        <v>30</v>
      </c>
      <c r="T221">
        <v>526</v>
      </c>
      <c r="U221">
        <f>VLOOKUP(Auto_Sales_data___Copy[[#This Row],[CUSTOMER_NAME]],$AF$2:$AH$90,2,FALSE)</f>
        <v>32</v>
      </c>
      <c r="V221">
        <f>VLOOKUP(Auto_Sales_data___Copy[[#This Row],[CUSTOMER_NAME]],$AF$2:$AH$90,3,FALSE)</f>
        <v>116599.18999999999</v>
      </c>
      <c r="W221" s="2">
        <f>6-MATCH(Auto_Sales_data___Copy[[#This Row],[DAYS_SINCE_LAST_ORDER]],Table2[R-Cutoff],1)</f>
        <v>5</v>
      </c>
      <c r="X221" s="2">
        <f>MATCH(Auto_Sales_data___Copy[[#This Row],[Total_Orders_Per_Customer]],Table2[F-Cutoff],1)</f>
        <v>4</v>
      </c>
      <c r="Y221" s="2">
        <f>MATCH(Auto_Sales_data___Copy[[#This Row],[Total_Sales_Per_Customer]],Table2[M-Cutoff],1)</f>
        <v>4</v>
      </c>
      <c r="Z221" s="2" t="str">
        <f>Auto_Sales_data___Copy[[#This Row],[R-Score(1-5)]]&amp;Auto_Sales_data___Copy[[#This Row],[F-Score(1-5)]]&amp;Auto_Sales_data___Copy[[#This Row],[M-Score(1-5)]]</f>
        <v>544</v>
      </c>
      <c r="AA221" s="2" t="str" cm="1">
        <f t="array" ref="AA2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1" s="2" t="str">
        <f>VLOOKUP(Auto_Sales_data___Copy[[#This Row],[Segment Name]],Table3[],2,FALSE)</f>
        <v>VIP Recognitioon &amp; Inclusivity</v>
      </c>
    </row>
    <row r="222" spans="1:28" x14ac:dyDescent="0.25">
      <c r="A222">
        <v>10327</v>
      </c>
      <c r="B222">
        <v>25</v>
      </c>
      <c r="C222">
        <v>112.19</v>
      </c>
      <c r="D222">
        <v>6</v>
      </c>
      <c r="E222">
        <v>2804.75</v>
      </c>
      <c r="F222" s="1">
        <v>43779</v>
      </c>
      <c r="G222" s="2" t="s">
        <v>431</v>
      </c>
      <c r="H222" s="2" t="s">
        <v>607</v>
      </c>
      <c r="I222">
        <v>157</v>
      </c>
      <c r="J222" s="2" t="s">
        <v>608</v>
      </c>
      <c r="K222" s="2" t="s">
        <v>339</v>
      </c>
      <c r="L222" s="2" t="s">
        <v>340</v>
      </c>
      <c r="M222" s="2" t="s">
        <v>341</v>
      </c>
      <c r="N222" s="2" t="s">
        <v>342</v>
      </c>
      <c r="O222" s="2" t="s">
        <v>343</v>
      </c>
      <c r="P222" s="2" t="s">
        <v>344</v>
      </c>
      <c r="Q222" s="2" t="s">
        <v>345</v>
      </c>
      <c r="R222" s="2" t="s">
        <v>346</v>
      </c>
      <c r="S222" s="2" t="s">
        <v>30</v>
      </c>
      <c r="T222">
        <v>748</v>
      </c>
      <c r="U222">
        <f>VLOOKUP(Auto_Sales_data___Copy[[#This Row],[CUSTOMER_NAME]],$AF$2:$AH$90,2,FALSE)</f>
        <v>36</v>
      </c>
      <c r="V222">
        <f>VLOOKUP(Auto_Sales_data___Copy[[#This Row],[CUSTOMER_NAME]],$AF$2:$AH$90,3,FALSE)</f>
        <v>145041.60000000001</v>
      </c>
      <c r="W222" s="2">
        <f>6-MATCH(Auto_Sales_data___Copy[[#This Row],[DAYS_SINCE_LAST_ORDER]],Table2[R-Cutoff],1)</f>
        <v>5</v>
      </c>
      <c r="X222" s="2">
        <f>MATCH(Auto_Sales_data___Copy[[#This Row],[Total_Orders_Per_Customer]],Table2[F-Cutoff],1)</f>
        <v>4</v>
      </c>
      <c r="Y222" s="2">
        <f>MATCH(Auto_Sales_data___Copy[[#This Row],[Total_Sales_Per_Customer]],Table2[M-Cutoff],1)</f>
        <v>4</v>
      </c>
      <c r="Z222" s="2" t="str">
        <f>Auto_Sales_data___Copy[[#This Row],[R-Score(1-5)]]&amp;Auto_Sales_data___Copy[[#This Row],[F-Score(1-5)]]&amp;Auto_Sales_data___Copy[[#This Row],[M-Score(1-5)]]</f>
        <v>544</v>
      </c>
      <c r="AA222" s="2" t="str" cm="1">
        <f t="array" ref="AA2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2" s="2" t="str">
        <f>VLOOKUP(Auto_Sales_data___Copy[[#This Row],[Segment Name]],Table3[],2,FALSE)</f>
        <v>VIP Recognitioon &amp; Inclusivity</v>
      </c>
    </row>
    <row r="223" spans="1:28" x14ac:dyDescent="0.25">
      <c r="A223">
        <v>10329</v>
      </c>
      <c r="B223">
        <v>42</v>
      </c>
      <c r="C223">
        <v>104.67</v>
      </c>
      <c r="D223">
        <v>1</v>
      </c>
      <c r="E223">
        <v>4396.1400000000003</v>
      </c>
      <c r="F223" s="1">
        <v>43784</v>
      </c>
      <c r="G223" s="2" t="s">
        <v>19</v>
      </c>
      <c r="H223" s="2" t="s">
        <v>20</v>
      </c>
      <c r="I223">
        <v>95</v>
      </c>
      <c r="J223" s="2" t="s">
        <v>21</v>
      </c>
      <c r="K223" s="2" t="s">
        <v>22</v>
      </c>
      <c r="L223" s="2" t="s">
        <v>23</v>
      </c>
      <c r="M223" s="2" t="s">
        <v>24</v>
      </c>
      <c r="N223" s="2" t="s">
        <v>25</v>
      </c>
      <c r="O223" s="2" t="s">
        <v>26</v>
      </c>
      <c r="P223" s="2" t="s">
        <v>27</v>
      </c>
      <c r="Q223" s="2" t="s">
        <v>28</v>
      </c>
      <c r="R223" s="2" t="s">
        <v>29</v>
      </c>
      <c r="S223" s="2" t="s">
        <v>46</v>
      </c>
      <c r="T223">
        <v>216</v>
      </c>
      <c r="U223">
        <f>VLOOKUP(Auto_Sales_data___Copy[[#This Row],[CUSTOMER_NAME]],$AF$2:$AH$90,2,FALSE)</f>
        <v>49</v>
      </c>
      <c r="V223">
        <f>VLOOKUP(Auto_Sales_data___Copy[[#This Row],[CUSTOMER_NAME]],$AF$2:$AH$90,3,FALSE)</f>
        <v>164069.43999999997</v>
      </c>
      <c r="W223" s="2">
        <f>6-MATCH(Auto_Sales_data___Copy[[#This Row],[DAYS_SINCE_LAST_ORDER]],Table2[R-Cutoff],1)</f>
        <v>5</v>
      </c>
      <c r="X223" s="2">
        <f>MATCH(Auto_Sales_data___Copy[[#This Row],[Total_Orders_Per_Customer]],Table2[F-Cutoff],1)</f>
        <v>4</v>
      </c>
      <c r="Y223" s="2">
        <f>MATCH(Auto_Sales_data___Copy[[#This Row],[Total_Sales_Per_Customer]],Table2[M-Cutoff],1)</f>
        <v>4</v>
      </c>
      <c r="Z223" s="2" t="str">
        <f>Auto_Sales_data___Copy[[#This Row],[R-Score(1-5)]]&amp;Auto_Sales_data___Copy[[#This Row],[F-Score(1-5)]]&amp;Auto_Sales_data___Copy[[#This Row],[M-Score(1-5)]]</f>
        <v>544</v>
      </c>
      <c r="AA223" s="2" t="str" cm="1">
        <f t="array" ref="AA2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3" s="2" t="str">
        <f>VLOOKUP(Auto_Sales_data___Copy[[#This Row],[Segment Name]],Table3[],2,FALSE)</f>
        <v>VIP Recognitioon &amp; Inclusivity</v>
      </c>
    </row>
    <row r="224" spans="1:28" x14ac:dyDescent="0.25">
      <c r="A224">
        <v>10329</v>
      </c>
      <c r="B224">
        <v>20</v>
      </c>
      <c r="C224">
        <v>158.80000000000001</v>
      </c>
      <c r="D224">
        <v>2</v>
      </c>
      <c r="E224">
        <v>3176</v>
      </c>
      <c r="F224" s="1">
        <v>43784</v>
      </c>
      <c r="G224" s="2" t="s">
        <v>19</v>
      </c>
      <c r="H224" s="2" t="s">
        <v>20</v>
      </c>
      <c r="I224">
        <v>118</v>
      </c>
      <c r="J224" s="2" t="s">
        <v>315</v>
      </c>
      <c r="K224" s="2" t="s">
        <v>22</v>
      </c>
      <c r="L224" s="2" t="s">
        <v>23</v>
      </c>
      <c r="M224" s="2" t="s">
        <v>24</v>
      </c>
      <c r="N224" s="2" t="s">
        <v>25</v>
      </c>
      <c r="O224" s="2" t="s">
        <v>26</v>
      </c>
      <c r="P224" s="2" t="s">
        <v>27</v>
      </c>
      <c r="Q224" s="2" t="s">
        <v>28</v>
      </c>
      <c r="R224" s="2" t="s">
        <v>29</v>
      </c>
      <c r="S224" s="2" t="s">
        <v>46</v>
      </c>
      <c r="T224">
        <v>266</v>
      </c>
      <c r="U224">
        <f>VLOOKUP(Auto_Sales_data___Copy[[#This Row],[CUSTOMER_NAME]],$AF$2:$AH$90,2,FALSE)</f>
        <v>49</v>
      </c>
      <c r="V224">
        <f>VLOOKUP(Auto_Sales_data___Copy[[#This Row],[CUSTOMER_NAME]],$AF$2:$AH$90,3,FALSE)</f>
        <v>164069.43999999997</v>
      </c>
      <c r="W224" s="2">
        <f>6-MATCH(Auto_Sales_data___Copy[[#This Row],[DAYS_SINCE_LAST_ORDER]],Table2[R-Cutoff],1)</f>
        <v>5</v>
      </c>
      <c r="X224" s="2">
        <f>MATCH(Auto_Sales_data___Copy[[#This Row],[Total_Orders_Per_Customer]],Table2[F-Cutoff],1)</f>
        <v>4</v>
      </c>
      <c r="Y224" s="2">
        <f>MATCH(Auto_Sales_data___Copy[[#This Row],[Total_Sales_Per_Customer]],Table2[M-Cutoff],1)</f>
        <v>4</v>
      </c>
      <c r="Z224" s="2" t="str">
        <f>Auto_Sales_data___Copy[[#This Row],[R-Score(1-5)]]&amp;Auto_Sales_data___Copy[[#This Row],[F-Score(1-5)]]&amp;Auto_Sales_data___Copy[[#This Row],[M-Score(1-5)]]</f>
        <v>544</v>
      </c>
      <c r="AA224" s="2" t="str" cm="1">
        <f t="array" ref="AA2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4" s="2" t="str">
        <f>VLOOKUP(Auto_Sales_data___Copy[[#This Row],[Segment Name]],Table3[],2,FALSE)</f>
        <v>VIP Recognitioon &amp; Inclusivity</v>
      </c>
    </row>
    <row r="225" spans="1:28" x14ac:dyDescent="0.25">
      <c r="A225">
        <v>10329</v>
      </c>
      <c r="B225">
        <v>26</v>
      </c>
      <c r="C225">
        <v>225.7</v>
      </c>
      <c r="D225">
        <v>3</v>
      </c>
      <c r="E225">
        <v>5868.2</v>
      </c>
      <c r="F225" s="1">
        <v>43784</v>
      </c>
      <c r="G225" s="2" t="s">
        <v>19</v>
      </c>
      <c r="H225" s="2" t="s">
        <v>20</v>
      </c>
      <c r="I225">
        <v>193</v>
      </c>
      <c r="J225" s="2" t="s">
        <v>337</v>
      </c>
      <c r="K225" s="2" t="s">
        <v>22</v>
      </c>
      <c r="L225" s="2" t="s">
        <v>23</v>
      </c>
      <c r="M225" s="2" t="s">
        <v>24</v>
      </c>
      <c r="N225" s="2" t="s">
        <v>25</v>
      </c>
      <c r="O225" s="2" t="s">
        <v>26</v>
      </c>
      <c r="P225" s="2" t="s">
        <v>27</v>
      </c>
      <c r="Q225" s="2" t="s">
        <v>28</v>
      </c>
      <c r="R225" s="2" t="s">
        <v>29</v>
      </c>
      <c r="S225" s="2" t="s">
        <v>46</v>
      </c>
      <c r="T225">
        <v>290</v>
      </c>
      <c r="U225">
        <f>VLOOKUP(Auto_Sales_data___Copy[[#This Row],[CUSTOMER_NAME]],$AF$2:$AH$90,2,FALSE)</f>
        <v>49</v>
      </c>
      <c r="V225">
        <f>VLOOKUP(Auto_Sales_data___Copy[[#This Row],[CUSTOMER_NAME]],$AF$2:$AH$90,3,FALSE)</f>
        <v>164069.43999999997</v>
      </c>
      <c r="W225" s="2">
        <f>6-MATCH(Auto_Sales_data___Copy[[#This Row],[DAYS_SINCE_LAST_ORDER]],Table2[R-Cutoff],1)</f>
        <v>5</v>
      </c>
      <c r="X225" s="2">
        <f>MATCH(Auto_Sales_data___Copy[[#This Row],[Total_Orders_Per_Customer]],Table2[F-Cutoff],1)</f>
        <v>4</v>
      </c>
      <c r="Y225" s="2">
        <f>MATCH(Auto_Sales_data___Copy[[#This Row],[Total_Sales_Per_Customer]],Table2[M-Cutoff],1)</f>
        <v>4</v>
      </c>
      <c r="Z225" s="2" t="str">
        <f>Auto_Sales_data___Copy[[#This Row],[R-Score(1-5)]]&amp;Auto_Sales_data___Copy[[#This Row],[F-Score(1-5)]]&amp;Auto_Sales_data___Copy[[#This Row],[M-Score(1-5)]]</f>
        <v>544</v>
      </c>
      <c r="AA225" s="2" t="str" cm="1">
        <f t="array" ref="AA2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5" s="2" t="str">
        <f>VLOOKUP(Auto_Sales_data___Copy[[#This Row],[Segment Name]],Table3[],2,FALSE)</f>
        <v>VIP Recognitioon &amp; Inclusivity</v>
      </c>
    </row>
    <row r="226" spans="1:28" x14ac:dyDescent="0.25">
      <c r="A226">
        <v>10329</v>
      </c>
      <c r="B226">
        <v>41</v>
      </c>
      <c r="C226">
        <v>71.47</v>
      </c>
      <c r="D226">
        <v>5</v>
      </c>
      <c r="E226">
        <v>2930.27</v>
      </c>
      <c r="F226" s="1">
        <v>43784</v>
      </c>
      <c r="G226" s="2" t="s">
        <v>19</v>
      </c>
      <c r="H226" s="2" t="s">
        <v>183</v>
      </c>
      <c r="I226">
        <v>194</v>
      </c>
      <c r="J226" s="2" t="s">
        <v>449</v>
      </c>
      <c r="K226" s="2" t="s">
        <v>22</v>
      </c>
      <c r="L226" s="2" t="s">
        <v>23</v>
      </c>
      <c r="M226" s="2" t="s">
        <v>24</v>
      </c>
      <c r="N226" s="2" t="s">
        <v>25</v>
      </c>
      <c r="O226" s="2" t="s">
        <v>26</v>
      </c>
      <c r="P226" s="2" t="s">
        <v>27</v>
      </c>
      <c r="Q226" s="2" t="s">
        <v>28</v>
      </c>
      <c r="R226" s="2" t="s">
        <v>29</v>
      </c>
      <c r="S226" s="2" t="s">
        <v>30</v>
      </c>
      <c r="T226">
        <v>367</v>
      </c>
      <c r="U226">
        <f>VLOOKUP(Auto_Sales_data___Copy[[#This Row],[CUSTOMER_NAME]],$AF$2:$AH$90,2,FALSE)</f>
        <v>49</v>
      </c>
      <c r="V226">
        <f>VLOOKUP(Auto_Sales_data___Copy[[#This Row],[CUSTOMER_NAME]],$AF$2:$AH$90,3,FALSE)</f>
        <v>164069.43999999997</v>
      </c>
      <c r="W226" s="2">
        <f>6-MATCH(Auto_Sales_data___Copy[[#This Row],[DAYS_SINCE_LAST_ORDER]],Table2[R-Cutoff],1)</f>
        <v>5</v>
      </c>
      <c r="X226" s="2">
        <f>MATCH(Auto_Sales_data___Copy[[#This Row],[Total_Orders_Per_Customer]],Table2[F-Cutoff],1)</f>
        <v>4</v>
      </c>
      <c r="Y226" s="2">
        <f>MATCH(Auto_Sales_data___Copy[[#This Row],[Total_Sales_Per_Customer]],Table2[M-Cutoff],1)</f>
        <v>4</v>
      </c>
      <c r="Z226" s="2" t="str">
        <f>Auto_Sales_data___Copy[[#This Row],[R-Score(1-5)]]&amp;Auto_Sales_data___Copy[[#This Row],[F-Score(1-5)]]&amp;Auto_Sales_data___Copy[[#This Row],[M-Score(1-5)]]</f>
        <v>544</v>
      </c>
      <c r="AA226" s="2" t="str" cm="1">
        <f t="array" ref="AA2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6" s="2" t="str">
        <f>VLOOKUP(Auto_Sales_data___Copy[[#This Row],[Segment Name]],Table3[],2,FALSE)</f>
        <v>VIP Recognitioon &amp; Inclusivity</v>
      </c>
    </row>
    <row r="227" spans="1:28" x14ac:dyDescent="0.25">
      <c r="A227">
        <v>10329</v>
      </c>
      <c r="B227">
        <v>24</v>
      </c>
      <c r="C227">
        <v>147.61000000000001</v>
      </c>
      <c r="D227">
        <v>6</v>
      </c>
      <c r="E227">
        <v>3542.64</v>
      </c>
      <c r="F227" s="1">
        <v>43784</v>
      </c>
      <c r="G227" s="2" t="s">
        <v>19</v>
      </c>
      <c r="H227" s="2" t="s">
        <v>20</v>
      </c>
      <c r="I227">
        <v>150</v>
      </c>
      <c r="J227" s="2" t="s">
        <v>539</v>
      </c>
      <c r="K227" s="2" t="s">
        <v>22</v>
      </c>
      <c r="L227" s="2" t="s">
        <v>23</v>
      </c>
      <c r="M227" s="2" t="s">
        <v>24</v>
      </c>
      <c r="N227" s="2" t="s">
        <v>25</v>
      </c>
      <c r="O227" s="2" t="s">
        <v>26</v>
      </c>
      <c r="P227" s="2" t="s">
        <v>27</v>
      </c>
      <c r="Q227" s="2" t="s">
        <v>28</v>
      </c>
      <c r="R227" s="2" t="s">
        <v>29</v>
      </c>
      <c r="S227" s="2" t="s">
        <v>46</v>
      </c>
      <c r="T227">
        <v>442</v>
      </c>
      <c r="U227">
        <f>VLOOKUP(Auto_Sales_data___Copy[[#This Row],[CUSTOMER_NAME]],$AF$2:$AH$90,2,FALSE)</f>
        <v>49</v>
      </c>
      <c r="V227">
        <f>VLOOKUP(Auto_Sales_data___Copy[[#This Row],[CUSTOMER_NAME]],$AF$2:$AH$90,3,FALSE)</f>
        <v>164069.43999999997</v>
      </c>
      <c r="W227" s="2">
        <f>6-MATCH(Auto_Sales_data___Copy[[#This Row],[DAYS_SINCE_LAST_ORDER]],Table2[R-Cutoff],1)</f>
        <v>5</v>
      </c>
      <c r="X227" s="2">
        <f>MATCH(Auto_Sales_data___Copy[[#This Row],[Total_Orders_Per_Customer]],Table2[F-Cutoff],1)</f>
        <v>4</v>
      </c>
      <c r="Y227" s="2">
        <f>MATCH(Auto_Sales_data___Copy[[#This Row],[Total_Sales_Per_Customer]],Table2[M-Cutoff],1)</f>
        <v>4</v>
      </c>
      <c r="Z227" s="2" t="str">
        <f>Auto_Sales_data___Copy[[#This Row],[R-Score(1-5)]]&amp;Auto_Sales_data___Copy[[#This Row],[F-Score(1-5)]]&amp;Auto_Sales_data___Copy[[#This Row],[M-Score(1-5)]]</f>
        <v>544</v>
      </c>
      <c r="AA227" s="2" t="str" cm="1">
        <f t="array" ref="AA2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7" s="2" t="str">
        <f>VLOOKUP(Auto_Sales_data___Copy[[#This Row],[Segment Name]],Table3[],2,FALSE)</f>
        <v>VIP Recognitioon &amp; Inclusivity</v>
      </c>
    </row>
    <row r="228" spans="1:28" x14ac:dyDescent="0.25">
      <c r="A228">
        <v>10329</v>
      </c>
      <c r="B228">
        <v>46</v>
      </c>
      <c r="C228">
        <v>83.63</v>
      </c>
      <c r="D228">
        <v>13</v>
      </c>
      <c r="E228">
        <v>3846.98</v>
      </c>
      <c r="F228" s="1">
        <v>43784</v>
      </c>
      <c r="G228" s="2" t="s">
        <v>19</v>
      </c>
      <c r="H228" s="2" t="s">
        <v>183</v>
      </c>
      <c r="I228">
        <v>117</v>
      </c>
      <c r="J228" s="2" t="s">
        <v>546</v>
      </c>
      <c r="K228" s="2" t="s">
        <v>22</v>
      </c>
      <c r="L228" s="2" t="s">
        <v>23</v>
      </c>
      <c r="M228" s="2" t="s">
        <v>24</v>
      </c>
      <c r="N228" s="2" t="s">
        <v>25</v>
      </c>
      <c r="O228" s="2" t="s">
        <v>26</v>
      </c>
      <c r="P228" s="2" t="s">
        <v>27</v>
      </c>
      <c r="Q228" s="2" t="s">
        <v>28</v>
      </c>
      <c r="R228" s="2" t="s">
        <v>29</v>
      </c>
      <c r="S228" s="2" t="s">
        <v>46</v>
      </c>
      <c r="T228">
        <v>492</v>
      </c>
      <c r="U228">
        <f>VLOOKUP(Auto_Sales_data___Copy[[#This Row],[CUSTOMER_NAME]],$AF$2:$AH$90,2,FALSE)</f>
        <v>49</v>
      </c>
      <c r="V228">
        <f>VLOOKUP(Auto_Sales_data___Copy[[#This Row],[CUSTOMER_NAME]],$AF$2:$AH$90,3,FALSE)</f>
        <v>164069.43999999997</v>
      </c>
      <c r="W228" s="2">
        <f>6-MATCH(Auto_Sales_data___Copy[[#This Row],[DAYS_SINCE_LAST_ORDER]],Table2[R-Cutoff],1)</f>
        <v>5</v>
      </c>
      <c r="X228" s="2">
        <f>MATCH(Auto_Sales_data___Copy[[#This Row],[Total_Orders_Per_Customer]],Table2[F-Cutoff],1)</f>
        <v>4</v>
      </c>
      <c r="Y228" s="2">
        <f>MATCH(Auto_Sales_data___Copy[[#This Row],[Total_Sales_Per_Customer]],Table2[M-Cutoff],1)</f>
        <v>4</v>
      </c>
      <c r="Z228" s="2" t="str">
        <f>Auto_Sales_data___Copy[[#This Row],[R-Score(1-5)]]&amp;Auto_Sales_data___Copy[[#This Row],[F-Score(1-5)]]&amp;Auto_Sales_data___Copy[[#This Row],[M-Score(1-5)]]</f>
        <v>544</v>
      </c>
      <c r="AA228" s="2" t="str" cm="1">
        <f t="array" ref="AA2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8" s="2" t="str">
        <f>VLOOKUP(Auto_Sales_data___Copy[[#This Row],[Segment Name]],Table3[],2,FALSE)</f>
        <v>VIP Recognitioon &amp; Inclusivity</v>
      </c>
    </row>
    <row r="229" spans="1:28" x14ac:dyDescent="0.25">
      <c r="A229">
        <v>10329</v>
      </c>
      <c r="B229">
        <v>33</v>
      </c>
      <c r="C229">
        <v>109.32</v>
      </c>
      <c r="D229">
        <v>14</v>
      </c>
      <c r="E229">
        <v>3607.56</v>
      </c>
      <c r="F229" s="1">
        <v>43784</v>
      </c>
      <c r="G229" s="2" t="s">
        <v>19</v>
      </c>
      <c r="H229" s="2" t="s">
        <v>183</v>
      </c>
      <c r="I229">
        <v>79</v>
      </c>
      <c r="J229" s="2" t="s">
        <v>553</v>
      </c>
      <c r="K229" s="2" t="s">
        <v>22</v>
      </c>
      <c r="L229" s="2" t="s">
        <v>23</v>
      </c>
      <c r="M229" s="2" t="s">
        <v>24</v>
      </c>
      <c r="N229" s="2" t="s">
        <v>25</v>
      </c>
      <c r="O229" s="2" t="s">
        <v>26</v>
      </c>
      <c r="P229" s="2" t="s">
        <v>27</v>
      </c>
      <c r="Q229" s="2" t="s">
        <v>28</v>
      </c>
      <c r="R229" s="2" t="s">
        <v>29</v>
      </c>
      <c r="S229" s="2" t="s">
        <v>46</v>
      </c>
      <c r="T229">
        <v>542</v>
      </c>
      <c r="U229">
        <f>VLOOKUP(Auto_Sales_data___Copy[[#This Row],[CUSTOMER_NAME]],$AF$2:$AH$90,2,FALSE)</f>
        <v>49</v>
      </c>
      <c r="V229">
        <f>VLOOKUP(Auto_Sales_data___Copy[[#This Row],[CUSTOMER_NAME]],$AF$2:$AH$90,3,FALSE)</f>
        <v>164069.43999999997</v>
      </c>
      <c r="W229" s="2">
        <f>6-MATCH(Auto_Sales_data___Copy[[#This Row],[DAYS_SINCE_LAST_ORDER]],Table2[R-Cutoff],1)</f>
        <v>5</v>
      </c>
      <c r="X229" s="2">
        <f>MATCH(Auto_Sales_data___Copy[[#This Row],[Total_Orders_Per_Customer]],Table2[F-Cutoff],1)</f>
        <v>4</v>
      </c>
      <c r="Y229" s="2">
        <f>MATCH(Auto_Sales_data___Copy[[#This Row],[Total_Sales_Per_Customer]],Table2[M-Cutoff],1)</f>
        <v>4</v>
      </c>
      <c r="Z229" s="2" t="str">
        <f>Auto_Sales_data___Copy[[#This Row],[R-Score(1-5)]]&amp;Auto_Sales_data___Copy[[#This Row],[F-Score(1-5)]]&amp;Auto_Sales_data___Copy[[#This Row],[M-Score(1-5)]]</f>
        <v>544</v>
      </c>
      <c r="AA229" s="2" t="str" cm="1">
        <f t="array" ref="AA2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9" s="2" t="str">
        <f>VLOOKUP(Auto_Sales_data___Copy[[#This Row],[Segment Name]],Table3[],2,FALSE)</f>
        <v>VIP Recognitioon &amp; Inclusivity</v>
      </c>
    </row>
    <row r="230" spans="1:28" x14ac:dyDescent="0.25">
      <c r="A230">
        <v>10329</v>
      </c>
      <c r="B230">
        <v>39</v>
      </c>
      <c r="C230">
        <v>64.739999999999995</v>
      </c>
      <c r="D230">
        <v>15</v>
      </c>
      <c r="E230">
        <v>2524.86</v>
      </c>
      <c r="F230" s="1">
        <v>43784</v>
      </c>
      <c r="G230" s="2" t="s">
        <v>19</v>
      </c>
      <c r="H230" s="2" t="s">
        <v>183</v>
      </c>
      <c r="I230">
        <v>115</v>
      </c>
      <c r="J230" s="2" t="s">
        <v>567</v>
      </c>
      <c r="K230" s="2" t="s">
        <v>22</v>
      </c>
      <c r="L230" s="2" t="s">
        <v>23</v>
      </c>
      <c r="M230" s="2" t="s">
        <v>24</v>
      </c>
      <c r="N230" s="2" t="s">
        <v>25</v>
      </c>
      <c r="O230" s="2" t="s">
        <v>26</v>
      </c>
      <c r="P230" s="2" t="s">
        <v>27</v>
      </c>
      <c r="Q230" s="2" t="s">
        <v>28</v>
      </c>
      <c r="R230" s="2" t="s">
        <v>29</v>
      </c>
      <c r="S230" s="2" t="s">
        <v>30</v>
      </c>
      <c r="T230">
        <v>593</v>
      </c>
      <c r="U230">
        <f>VLOOKUP(Auto_Sales_data___Copy[[#This Row],[CUSTOMER_NAME]],$AF$2:$AH$90,2,FALSE)</f>
        <v>49</v>
      </c>
      <c r="V230">
        <f>VLOOKUP(Auto_Sales_data___Copy[[#This Row],[CUSTOMER_NAME]],$AF$2:$AH$90,3,FALSE)</f>
        <v>164069.43999999997</v>
      </c>
      <c r="W230" s="2">
        <f>6-MATCH(Auto_Sales_data___Copy[[#This Row],[DAYS_SINCE_LAST_ORDER]],Table2[R-Cutoff],1)</f>
        <v>5</v>
      </c>
      <c r="X230" s="2">
        <f>MATCH(Auto_Sales_data___Copy[[#This Row],[Total_Orders_Per_Customer]],Table2[F-Cutoff],1)</f>
        <v>4</v>
      </c>
      <c r="Y230" s="2">
        <f>MATCH(Auto_Sales_data___Copy[[#This Row],[Total_Sales_Per_Customer]],Table2[M-Cutoff],1)</f>
        <v>4</v>
      </c>
      <c r="Z230" s="2" t="str">
        <f>Auto_Sales_data___Copy[[#This Row],[R-Score(1-5)]]&amp;Auto_Sales_data___Copy[[#This Row],[F-Score(1-5)]]&amp;Auto_Sales_data___Copy[[#This Row],[M-Score(1-5)]]</f>
        <v>544</v>
      </c>
      <c r="AA230" s="2" t="str" cm="1">
        <f t="array" ref="AA2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0" s="2" t="str">
        <f>VLOOKUP(Auto_Sales_data___Copy[[#This Row],[Segment Name]],Table3[],2,FALSE)</f>
        <v>VIP Recognitioon &amp; Inclusivity</v>
      </c>
    </row>
    <row r="231" spans="1:28" x14ac:dyDescent="0.25">
      <c r="A231">
        <v>10329</v>
      </c>
      <c r="B231">
        <v>29</v>
      </c>
      <c r="C231">
        <v>101.89</v>
      </c>
      <c r="D231">
        <v>9</v>
      </c>
      <c r="E231">
        <v>2954.81</v>
      </c>
      <c r="F231" s="1">
        <v>43784</v>
      </c>
      <c r="G231" s="2" t="s">
        <v>19</v>
      </c>
      <c r="H231" s="2" t="s">
        <v>183</v>
      </c>
      <c r="I231">
        <v>77</v>
      </c>
      <c r="J231" s="2" t="s">
        <v>629</v>
      </c>
      <c r="K231" s="2" t="s">
        <v>22</v>
      </c>
      <c r="L231" s="2" t="s">
        <v>23</v>
      </c>
      <c r="M231" s="2" t="s">
        <v>24</v>
      </c>
      <c r="N231" s="2" t="s">
        <v>25</v>
      </c>
      <c r="O231" s="2" t="s">
        <v>26</v>
      </c>
      <c r="P231" s="2" t="s">
        <v>27</v>
      </c>
      <c r="Q231" s="2" t="s">
        <v>28</v>
      </c>
      <c r="R231" s="2" t="s">
        <v>29</v>
      </c>
      <c r="S231" s="2" t="s">
        <v>30</v>
      </c>
      <c r="T231">
        <v>790</v>
      </c>
      <c r="U231">
        <f>VLOOKUP(Auto_Sales_data___Copy[[#This Row],[CUSTOMER_NAME]],$AF$2:$AH$90,2,FALSE)</f>
        <v>49</v>
      </c>
      <c r="V231">
        <f>VLOOKUP(Auto_Sales_data___Copy[[#This Row],[CUSTOMER_NAME]],$AF$2:$AH$90,3,FALSE)</f>
        <v>164069.43999999997</v>
      </c>
      <c r="W231" s="2">
        <f>6-MATCH(Auto_Sales_data___Copy[[#This Row],[DAYS_SINCE_LAST_ORDER]],Table2[R-Cutoff],1)</f>
        <v>5</v>
      </c>
      <c r="X231" s="2">
        <f>MATCH(Auto_Sales_data___Copy[[#This Row],[Total_Orders_Per_Customer]],Table2[F-Cutoff],1)</f>
        <v>4</v>
      </c>
      <c r="Y231" s="2">
        <f>MATCH(Auto_Sales_data___Copy[[#This Row],[Total_Sales_Per_Customer]],Table2[M-Cutoff],1)</f>
        <v>4</v>
      </c>
      <c r="Z231" s="2" t="str">
        <f>Auto_Sales_data___Copy[[#This Row],[R-Score(1-5)]]&amp;Auto_Sales_data___Copy[[#This Row],[F-Score(1-5)]]&amp;Auto_Sales_data___Copy[[#This Row],[M-Score(1-5)]]</f>
        <v>544</v>
      </c>
      <c r="AA231" s="2" t="str" cm="1">
        <f t="array" ref="AA2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1" s="2" t="str">
        <f>VLOOKUP(Auto_Sales_data___Copy[[#This Row],[Segment Name]],Table3[],2,FALSE)</f>
        <v>VIP Recognitioon &amp; Inclusivity</v>
      </c>
    </row>
    <row r="232" spans="1:28" x14ac:dyDescent="0.25">
      <c r="A232">
        <v>10332</v>
      </c>
      <c r="B232">
        <v>46</v>
      </c>
      <c r="C232">
        <v>95.13</v>
      </c>
      <c r="D232">
        <v>15</v>
      </c>
      <c r="E232">
        <v>4375.9799999999996</v>
      </c>
      <c r="F232" s="1">
        <v>43786</v>
      </c>
      <c r="G232" s="2" t="s">
        <v>19</v>
      </c>
      <c r="H232" s="2" t="s">
        <v>589</v>
      </c>
      <c r="I232">
        <v>102</v>
      </c>
      <c r="J232" s="2" t="s">
        <v>590</v>
      </c>
      <c r="K232" s="2" t="s">
        <v>523</v>
      </c>
      <c r="L232" s="2" t="s">
        <v>524</v>
      </c>
      <c r="M232" s="2" t="s">
        <v>525</v>
      </c>
      <c r="N232" s="2" t="s">
        <v>526</v>
      </c>
      <c r="O232" s="2" t="s">
        <v>527</v>
      </c>
      <c r="P232" s="2" t="s">
        <v>171</v>
      </c>
      <c r="Q232" s="2" t="s">
        <v>528</v>
      </c>
      <c r="R232" s="2" t="s">
        <v>529</v>
      </c>
      <c r="S232" s="2" t="s">
        <v>46</v>
      </c>
      <c r="T232">
        <v>668</v>
      </c>
      <c r="U232">
        <f>VLOOKUP(Auto_Sales_data___Copy[[#This Row],[CUSTOMER_NAME]],$AF$2:$AH$90,2,FALSE)</f>
        <v>51</v>
      </c>
      <c r="V232">
        <f>VLOOKUP(Auto_Sales_data___Copy[[#This Row],[CUSTOMER_NAME]],$AF$2:$AH$90,3,FALSE)</f>
        <v>157807.80999999994</v>
      </c>
      <c r="W232" s="2">
        <f>6-MATCH(Auto_Sales_data___Copy[[#This Row],[DAYS_SINCE_LAST_ORDER]],Table2[R-Cutoff],1)</f>
        <v>5</v>
      </c>
      <c r="X232" s="2">
        <f>MATCH(Auto_Sales_data___Copy[[#This Row],[Total_Orders_Per_Customer]],Table2[F-Cutoff],1)</f>
        <v>4</v>
      </c>
      <c r="Y232" s="2">
        <f>MATCH(Auto_Sales_data___Copy[[#This Row],[Total_Sales_Per_Customer]],Table2[M-Cutoff],1)</f>
        <v>4</v>
      </c>
      <c r="Z232" s="2" t="str">
        <f>Auto_Sales_data___Copy[[#This Row],[R-Score(1-5)]]&amp;Auto_Sales_data___Copy[[#This Row],[F-Score(1-5)]]&amp;Auto_Sales_data___Copy[[#This Row],[M-Score(1-5)]]</f>
        <v>544</v>
      </c>
      <c r="AA232" s="2" t="str" cm="1">
        <f t="array" ref="AA2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2" s="2" t="str">
        <f>VLOOKUP(Auto_Sales_data___Copy[[#This Row],[Segment Name]],Table3[],2,FALSE)</f>
        <v>VIP Recognitioon &amp; Inclusivity</v>
      </c>
    </row>
    <row r="233" spans="1:28" x14ac:dyDescent="0.25">
      <c r="A233">
        <v>10332</v>
      </c>
      <c r="B233">
        <v>27</v>
      </c>
      <c r="C233">
        <v>89.89</v>
      </c>
      <c r="D233">
        <v>16</v>
      </c>
      <c r="E233">
        <v>2427.0300000000002</v>
      </c>
      <c r="F233" s="1">
        <v>43786</v>
      </c>
      <c r="G233" s="2" t="s">
        <v>19</v>
      </c>
      <c r="H233" s="2" t="s">
        <v>589</v>
      </c>
      <c r="I233">
        <v>53</v>
      </c>
      <c r="J233" s="2" t="s">
        <v>605</v>
      </c>
      <c r="K233" s="2" t="s">
        <v>523</v>
      </c>
      <c r="L233" s="2" t="s">
        <v>524</v>
      </c>
      <c r="M233" s="2" t="s">
        <v>525</v>
      </c>
      <c r="N233" s="2" t="s">
        <v>526</v>
      </c>
      <c r="O233" s="2" t="s">
        <v>527</v>
      </c>
      <c r="P233" s="2" t="s">
        <v>171</v>
      </c>
      <c r="Q233" s="2" t="s">
        <v>528</v>
      </c>
      <c r="R233" s="2" t="s">
        <v>529</v>
      </c>
      <c r="S233" s="2" t="s">
        <v>30</v>
      </c>
      <c r="T233">
        <v>692</v>
      </c>
      <c r="U233">
        <f>VLOOKUP(Auto_Sales_data___Copy[[#This Row],[CUSTOMER_NAME]],$AF$2:$AH$90,2,FALSE)</f>
        <v>51</v>
      </c>
      <c r="V233">
        <f>VLOOKUP(Auto_Sales_data___Copy[[#This Row],[CUSTOMER_NAME]],$AF$2:$AH$90,3,FALSE)</f>
        <v>157807.80999999994</v>
      </c>
      <c r="W233" s="2">
        <f>6-MATCH(Auto_Sales_data___Copy[[#This Row],[DAYS_SINCE_LAST_ORDER]],Table2[R-Cutoff],1)</f>
        <v>5</v>
      </c>
      <c r="X233" s="2">
        <f>MATCH(Auto_Sales_data___Copy[[#This Row],[Total_Orders_Per_Customer]],Table2[F-Cutoff],1)</f>
        <v>4</v>
      </c>
      <c r="Y233" s="2">
        <f>MATCH(Auto_Sales_data___Copy[[#This Row],[Total_Sales_Per_Customer]],Table2[M-Cutoff],1)</f>
        <v>4</v>
      </c>
      <c r="Z233" s="2" t="str">
        <f>Auto_Sales_data___Copy[[#This Row],[R-Score(1-5)]]&amp;Auto_Sales_data___Copy[[#This Row],[F-Score(1-5)]]&amp;Auto_Sales_data___Copy[[#This Row],[M-Score(1-5)]]</f>
        <v>544</v>
      </c>
      <c r="AA233" s="2" t="str" cm="1">
        <f t="array" ref="AA2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3" s="2" t="str">
        <f>VLOOKUP(Auto_Sales_data___Copy[[#This Row],[Segment Name]],Table3[],2,FALSE)</f>
        <v>VIP Recognitioon &amp; Inclusivity</v>
      </c>
    </row>
    <row r="234" spans="1:28" x14ac:dyDescent="0.25">
      <c r="A234">
        <v>10332</v>
      </c>
      <c r="B234">
        <v>38</v>
      </c>
      <c r="C234">
        <v>84.25</v>
      </c>
      <c r="D234">
        <v>9</v>
      </c>
      <c r="E234">
        <v>3201.5</v>
      </c>
      <c r="F234" s="1">
        <v>43786</v>
      </c>
      <c r="G234" s="2" t="s">
        <v>19</v>
      </c>
      <c r="H234" s="2" t="s">
        <v>589</v>
      </c>
      <c r="I234">
        <v>60</v>
      </c>
      <c r="J234" s="2" t="s">
        <v>632</v>
      </c>
      <c r="K234" s="2" t="s">
        <v>523</v>
      </c>
      <c r="L234" s="2" t="s">
        <v>524</v>
      </c>
      <c r="M234" s="2" t="s">
        <v>525</v>
      </c>
      <c r="N234" s="2" t="s">
        <v>526</v>
      </c>
      <c r="O234" s="2" t="s">
        <v>527</v>
      </c>
      <c r="P234" s="2" t="s">
        <v>171</v>
      </c>
      <c r="Q234" s="2" t="s">
        <v>528</v>
      </c>
      <c r="R234" s="2" t="s">
        <v>529</v>
      </c>
      <c r="S234" s="2" t="s">
        <v>46</v>
      </c>
      <c r="T234">
        <v>864</v>
      </c>
      <c r="U234">
        <f>VLOOKUP(Auto_Sales_data___Copy[[#This Row],[CUSTOMER_NAME]],$AF$2:$AH$90,2,FALSE)</f>
        <v>51</v>
      </c>
      <c r="V234">
        <f>VLOOKUP(Auto_Sales_data___Copy[[#This Row],[CUSTOMER_NAME]],$AF$2:$AH$90,3,FALSE)</f>
        <v>157807.80999999994</v>
      </c>
      <c r="W234" s="2">
        <f>6-MATCH(Auto_Sales_data___Copy[[#This Row],[DAYS_SINCE_LAST_ORDER]],Table2[R-Cutoff],1)</f>
        <v>5</v>
      </c>
      <c r="X234" s="2">
        <f>MATCH(Auto_Sales_data___Copy[[#This Row],[Total_Orders_Per_Customer]],Table2[F-Cutoff],1)</f>
        <v>4</v>
      </c>
      <c r="Y234" s="2">
        <f>MATCH(Auto_Sales_data___Copy[[#This Row],[Total_Sales_Per_Customer]],Table2[M-Cutoff],1)</f>
        <v>4</v>
      </c>
      <c r="Z234" s="2" t="str">
        <f>Auto_Sales_data___Copy[[#This Row],[R-Score(1-5)]]&amp;Auto_Sales_data___Copy[[#This Row],[F-Score(1-5)]]&amp;Auto_Sales_data___Copy[[#This Row],[M-Score(1-5)]]</f>
        <v>544</v>
      </c>
      <c r="AA234" s="2" t="str" cm="1">
        <f t="array" ref="AA2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4" s="2" t="str">
        <f>VLOOKUP(Auto_Sales_data___Copy[[#This Row],[Segment Name]],Table3[],2,FALSE)</f>
        <v>VIP Recognitioon &amp; Inclusivity</v>
      </c>
    </row>
    <row r="235" spans="1:28" x14ac:dyDescent="0.25">
      <c r="A235">
        <v>10332</v>
      </c>
      <c r="B235">
        <v>35</v>
      </c>
      <c r="C235">
        <v>64.69</v>
      </c>
      <c r="D235">
        <v>8</v>
      </c>
      <c r="E235">
        <v>2264.15</v>
      </c>
      <c r="F235" s="1">
        <v>43786</v>
      </c>
      <c r="G235" s="2" t="s">
        <v>19</v>
      </c>
      <c r="H235" s="2" t="s">
        <v>589</v>
      </c>
      <c r="I235">
        <v>127</v>
      </c>
      <c r="J235" s="2" t="s">
        <v>634</v>
      </c>
      <c r="K235" s="2" t="s">
        <v>523</v>
      </c>
      <c r="L235" s="2" t="s">
        <v>524</v>
      </c>
      <c r="M235" s="2" t="s">
        <v>525</v>
      </c>
      <c r="N235" s="2" t="s">
        <v>526</v>
      </c>
      <c r="O235" s="2" t="s">
        <v>527</v>
      </c>
      <c r="P235" s="2" t="s">
        <v>171</v>
      </c>
      <c r="Q235" s="2" t="s">
        <v>528</v>
      </c>
      <c r="R235" s="2" t="s">
        <v>529</v>
      </c>
      <c r="S235" s="2" t="s">
        <v>30</v>
      </c>
      <c r="T235">
        <v>912</v>
      </c>
      <c r="U235">
        <f>VLOOKUP(Auto_Sales_data___Copy[[#This Row],[CUSTOMER_NAME]],$AF$2:$AH$90,2,FALSE)</f>
        <v>51</v>
      </c>
      <c r="V235">
        <f>VLOOKUP(Auto_Sales_data___Copy[[#This Row],[CUSTOMER_NAME]],$AF$2:$AH$90,3,FALSE)</f>
        <v>157807.80999999994</v>
      </c>
      <c r="W235" s="2">
        <f>6-MATCH(Auto_Sales_data___Copy[[#This Row],[DAYS_SINCE_LAST_ORDER]],Table2[R-Cutoff],1)</f>
        <v>5</v>
      </c>
      <c r="X235" s="2">
        <f>MATCH(Auto_Sales_data___Copy[[#This Row],[Total_Orders_Per_Customer]],Table2[F-Cutoff],1)</f>
        <v>4</v>
      </c>
      <c r="Y235" s="2">
        <f>MATCH(Auto_Sales_data___Copy[[#This Row],[Total_Sales_Per_Customer]],Table2[M-Cutoff],1)</f>
        <v>4</v>
      </c>
      <c r="Z235" s="2" t="str">
        <f>Auto_Sales_data___Copy[[#This Row],[R-Score(1-5)]]&amp;Auto_Sales_data___Copy[[#This Row],[F-Score(1-5)]]&amp;Auto_Sales_data___Copy[[#This Row],[M-Score(1-5)]]</f>
        <v>544</v>
      </c>
      <c r="AA235" s="2" t="str" cm="1">
        <f t="array" ref="AA2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5" s="2" t="str">
        <f>VLOOKUP(Auto_Sales_data___Copy[[#This Row],[Segment Name]],Table3[],2,FALSE)</f>
        <v>VIP Recognitioon &amp; Inclusivity</v>
      </c>
    </row>
    <row r="236" spans="1:28" x14ac:dyDescent="0.25">
      <c r="A236">
        <v>10339</v>
      </c>
      <c r="B236">
        <v>40</v>
      </c>
      <c r="C236">
        <v>68.92</v>
      </c>
      <c r="D236">
        <v>4</v>
      </c>
      <c r="E236">
        <v>2756.8</v>
      </c>
      <c r="F236" s="1">
        <v>43792</v>
      </c>
      <c r="G236" s="2" t="s">
        <v>19</v>
      </c>
      <c r="H236" s="2" t="s">
        <v>20</v>
      </c>
      <c r="I236">
        <v>118</v>
      </c>
      <c r="J236" s="2" t="s">
        <v>315</v>
      </c>
      <c r="K236" s="2" t="s">
        <v>256</v>
      </c>
      <c r="L236" s="2" t="s">
        <v>257</v>
      </c>
      <c r="M236" s="2" t="s">
        <v>258</v>
      </c>
      <c r="N236" s="2" t="s">
        <v>259</v>
      </c>
      <c r="O236" s="2" t="s">
        <v>260</v>
      </c>
      <c r="P236" s="2" t="s">
        <v>261</v>
      </c>
      <c r="Q236" s="2" t="s">
        <v>262</v>
      </c>
      <c r="R236" s="2" t="s">
        <v>263</v>
      </c>
      <c r="S236" s="2" t="s">
        <v>30</v>
      </c>
      <c r="T236">
        <v>259</v>
      </c>
      <c r="U236">
        <f>VLOOKUP(Auto_Sales_data___Copy[[#This Row],[CUSTOMER_NAME]],$AF$2:$AH$90,2,FALSE)</f>
        <v>32</v>
      </c>
      <c r="V236">
        <f>VLOOKUP(Auto_Sales_data___Copy[[#This Row],[CUSTOMER_NAME]],$AF$2:$AH$90,3,FALSE)</f>
        <v>120562.74000000002</v>
      </c>
      <c r="W236" s="2">
        <f>6-MATCH(Auto_Sales_data___Copy[[#This Row],[DAYS_SINCE_LAST_ORDER]],Table2[R-Cutoff],1)</f>
        <v>5</v>
      </c>
      <c r="X236" s="2">
        <f>MATCH(Auto_Sales_data___Copy[[#This Row],[Total_Orders_Per_Customer]],Table2[F-Cutoff],1)</f>
        <v>4</v>
      </c>
      <c r="Y236" s="2">
        <f>MATCH(Auto_Sales_data___Copy[[#This Row],[Total_Sales_Per_Customer]],Table2[M-Cutoff],1)</f>
        <v>4</v>
      </c>
      <c r="Z236" s="2" t="str">
        <f>Auto_Sales_data___Copy[[#This Row],[R-Score(1-5)]]&amp;Auto_Sales_data___Copy[[#This Row],[F-Score(1-5)]]&amp;Auto_Sales_data___Copy[[#This Row],[M-Score(1-5)]]</f>
        <v>544</v>
      </c>
      <c r="AA236" s="2" t="str" cm="1">
        <f t="array" ref="AA2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6" s="2" t="str">
        <f>VLOOKUP(Auto_Sales_data___Copy[[#This Row],[Segment Name]],Table3[],2,FALSE)</f>
        <v>VIP Recognitioon &amp; Inclusivity</v>
      </c>
    </row>
    <row r="237" spans="1:28" x14ac:dyDescent="0.25">
      <c r="A237">
        <v>10339</v>
      </c>
      <c r="B237">
        <v>39</v>
      </c>
      <c r="C237">
        <v>76.67</v>
      </c>
      <c r="D237">
        <v>3</v>
      </c>
      <c r="E237">
        <v>2990.13</v>
      </c>
      <c r="F237" s="1">
        <v>43792</v>
      </c>
      <c r="G237" s="2" t="s">
        <v>19</v>
      </c>
      <c r="H237" s="2" t="s">
        <v>20</v>
      </c>
      <c r="I237">
        <v>193</v>
      </c>
      <c r="J237" s="2" t="s">
        <v>337</v>
      </c>
      <c r="K237" s="2" t="s">
        <v>256</v>
      </c>
      <c r="L237" s="2" t="s">
        <v>257</v>
      </c>
      <c r="M237" s="2" t="s">
        <v>258</v>
      </c>
      <c r="N237" s="2" t="s">
        <v>259</v>
      </c>
      <c r="O237" s="2" t="s">
        <v>260</v>
      </c>
      <c r="P237" s="2" t="s">
        <v>261</v>
      </c>
      <c r="Q237" s="2" t="s">
        <v>262</v>
      </c>
      <c r="R237" s="2" t="s">
        <v>263</v>
      </c>
      <c r="S237" s="2" t="s">
        <v>30</v>
      </c>
      <c r="T237">
        <v>283</v>
      </c>
      <c r="U237">
        <f>VLOOKUP(Auto_Sales_data___Copy[[#This Row],[CUSTOMER_NAME]],$AF$2:$AH$90,2,FALSE)</f>
        <v>32</v>
      </c>
      <c r="V237">
        <f>VLOOKUP(Auto_Sales_data___Copy[[#This Row],[CUSTOMER_NAME]],$AF$2:$AH$90,3,FALSE)</f>
        <v>120562.74000000002</v>
      </c>
      <c r="W237" s="2">
        <f>6-MATCH(Auto_Sales_data___Copy[[#This Row],[DAYS_SINCE_LAST_ORDER]],Table2[R-Cutoff],1)</f>
        <v>5</v>
      </c>
      <c r="X237" s="2">
        <f>MATCH(Auto_Sales_data___Copy[[#This Row],[Total_Orders_Per_Customer]],Table2[F-Cutoff],1)</f>
        <v>4</v>
      </c>
      <c r="Y237" s="2">
        <f>MATCH(Auto_Sales_data___Copy[[#This Row],[Total_Sales_Per_Customer]],Table2[M-Cutoff],1)</f>
        <v>4</v>
      </c>
      <c r="Z237" s="2" t="str">
        <f>Auto_Sales_data___Copy[[#This Row],[R-Score(1-5)]]&amp;Auto_Sales_data___Copy[[#This Row],[F-Score(1-5)]]&amp;Auto_Sales_data___Copy[[#This Row],[M-Score(1-5)]]</f>
        <v>544</v>
      </c>
      <c r="AA237" s="2" t="str" cm="1">
        <f t="array" ref="AA2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7" s="2" t="str">
        <f>VLOOKUP(Auto_Sales_data___Copy[[#This Row],[Segment Name]],Table3[],2,FALSE)</f>
        <v>VIP Recognitioon &amp; Inclusivity</v>
      </c>
    </row>
    <row r="238" spans="1:28" x14ac:dyDescent="0.25">
      <c r="A238">
        <v>10341</v>
      </c>
      <c r="B238">
        <v>41</v>
      </c>
      <c r="C238">
        <v>188.73</v>
      </c>
      <c r="D238">
        <v>9</v>
      </c>
      <c r="E238">
        <v>7737.93</v>
      </c>
      <c r="F238" s="1">
        <v>43793</v>
      </c>
      <c r="G238" s="2" t="s">
        <v>19</v>
      </c>
      <c r="H238" s="2" t="s">
        <v>20</v>
      </c>
      <c r="I238">
        <v>95</v>
      </c>
      <c r="J238" s="2" t="s">
        <v>21</v>
      </c>
      <c r="K238" s="2" t="s">
        <v>143</v>
      </c>
      <c r="L238" s="2" t="s">
        <v>144</v>
      </c>
      <c r="M238" s="2" t="s">
        <v>145</v>
      </c>
      <c r="N238" s="2" t="s">
        <v>146</v>
      </c>
      <c r="O238" s="2" t="s">
        <v>147</v>
      </c>
      <c r="P238" s="2" t="s">
        <v>148</v>
      </c>
      <c r="Q238" s="2" t="s">
        <v>149</v>
      </c>
      <c r="R238" s="2" t="s">
        <v>150</v>
      </c>
      <c r="S238" s="2" t="s">
        <v>151</v>
      </c>
      <c r="T238">
        <v>208</v>
      </c>
      <c r="U238">
        <f>VLOOKUP(Auto_Sales_data___Copy[[#This Row],[CUSTOMER_NAME]],$AF$2:$AH$90,2,FALSE)</f>
        <v>40</v>
      </c>
      <c r="V238">
        <f>VLOOKUP(Auto_Sales_data___Copy[[#This Row],[CUSTOMER_NAME]],$AF$2:$AH$90,3,FALSE)</f>
        <v>149798.63</v>
      </c>
      <c r="W238" s="2">
        <f>6-MATCH(Auto_Sales_data___Copy[[#This Row],[DAYS_SINCE_LAST_ORDER]],Table2[R-Cutoff],1)</f>
        <v>5</v>
      </c>
      <c r="X238" s="2">
        <f>MATCH(Auto_Sales_data___Copy[[#This Row],[Total_Orders_Per_Customer]],Table2[F-Cutoff],1)</f>
        <v>4</v>
      </c>
      <c r="Y238" s="2">
        <f>MATCH(Auto_Sales_data___Copy[[#This Row],[Total_Sales_Per_Customer]],Table2[M-Cutoff],1)</f>
        <v>4</v>
      </c>
      <c r="Z238" s="2" t="str">
        <f>Auto_Sales_data___Copy[[#This Row],[R-Score(1-5)]]&amp;Auto_Sales_data___Copy[[#This Row],[F-Score(1-5)]]&amp;Auto_Sales_data___Copy[[#This Row],[M-Score(1-5)]]</f>
        <v>544</v>
      </c>
      <c r="AA238" s="2" t="str" cm="1">
        <f t="array" ref="AA2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8" s="2" t="str">
        <f>VLOOKUP(Auto_Sales_data___Copy[[#This Row],[Segment Name]],Table3[],2,FALSE)</f>
        <v>VIP Recognitioon &amp; Inclusivity</v>
      </c>
    </row>
    <row r="239" spans="1:28" x14ac:dyDescent="0.25">
      <c r="A239">
        <v>10341</v>
      </c>
      <c r="B239">
        <v>45</v>
      </c>
      <c r="C239">
        <v>79.650000000000006</v>
      </c>
      <c r="D239">
        <v>2</v>
      </c>
      <c r="E239">
        <v>3584.25</v>
      </c>
      <c r="F239" s="1">
        <v>43793</v>
      </c>
      <c r="G239" s="2" t="s">
        <v>19</v>
      </c>
      <c r="H239" s="2" t="s">
        <v>183</v>
      </c>
      <c r="I239">
        <v>194</v>
      </c>
      <c r="J239" s="2" t="s">
        <v>449</v>
      </c>
      <c r="K239" s="2" t="s">
        <v>143</v>
      </c>
      <c r="L239" s="2" t="s">
        <v>144</v>
      </c>
      <c r="M239" s="2" t="s">
        <v>145</v>
      </c>
      <c r="N239" s="2" t="s">
        <v>146</v>
      </c>
      <c r="O239" s="2" t="s">
        <v>147</v>
      </c>
      <c r="P239" s="2" t="s">
        <v>148</v>
      </c>
      <c r="Q239" s="2" t="s">
        <v>149</v>
      </c>
      <c r="R239" s="2" t="s">
        <v>150</v>
      </c>
      <c r="S239" s="2" t="s">
        <v>46</v>
      </c>
      <c r="T239">
        <v>359</v>
      </c>
      <c r="U239">
        <f>VLOOKUP(Auto_Sales_data___Copy[[#This Row],[CUSTOMER_NAME]],$AF$2:$AH$90,2,FALSE)</f>
        <v>40</v>
      </c>
      <c r="V239">
        <f>VLOOKUP(Auto_Sales_data___Copy[[#This Row],[CUSTOMER_NAME]],$AF$2:$AH$90,3,FALSE)</f>
        <v>149798.63</v>
      </c>
      <c r="W239" s="2">
        <f>6-MATCH(Auto_Sales_data___Copy[[#This Row],[DAYS_SINCE_LAST_ORDER]],Table2[R-Cutoff],1)</f>
        <v>5</v>
      </c>
      <c r="X239" s="2">
        <f>MATCH(Auto_Sales_data___Copy[[#This Row],[Total_Orders_Per_Customer]],Table2[F-Cutoff],1)</f>
        <v>4</v>
      </c>
      <c r="Y239" s="2">
        <f>MATCH(Auto_Sales_data___Copy[[#This Row],[Total_Sales_Per_Customer]],Table2[M-Cutoff],1)</f>
        <v>4</v>
      </c>
      <c r="Z239" s="2" t="str">
        <f>Auto_Sales_data___Copy[[#This Row],[R-Score(1-5)]]&amp;Auto_Sales_data___Copy[[#This Row],[F-Score(1-5)]]&amp;Auto_Sales_data___Copy[[#This Row],[M-Score(1-5)]]</f>
        <v>544</v>
      </c>
      <c r="AA239" s="2" t="str" cm="1">
        <f t="array" ref="AA2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9" s="2" t="str">
        <f>VLOOKUP(Auto_Sales_data___Copy[[#This Row],[Segment Name]],Table3[],2,FALSE)</f>
        <v>VIP Recognitioon &amp; Inclusivity</v>
      </c>
    </row>
    <row r="240" spans="1:28" x14ac:dyDescent="0.25">
      <c r="A240">
        <v>10341</v>
      </c>
      <c r="B240">
        <v>55</v>
      </c>
      <c r="C240">
        <v>147.61000000000001</v>
      </c>
      <c r="D240">
        <v>8</v>
      </c>
      <c r="E240">
        <v>8118.55</v>
      </c>
      <c r="F240" s="1">
        <v>43793</v>
      </c>
      <c r="G240" s="2" t="s">
        <v>19</v>
      </c>
      <c r="H240" s="2" t="s">
        <v>20</v>
      </c>
      <c r="I240">
        <v>150</v>
      </c>
      <c r="J240" s="2" t="s">
        <v>539</v>
      </c>
      <c r="K240" s="2" t="s">
        <v>143</v>
      </c>
      <c r="L240" s="2" t="s">
        <v>144</v>
      </c>
      <c r="M240" s="2" t="s">
        <v>145</v>
      </c>
      <c r="N240" s="2" t="s">
        <v>146</v>
      </c>
      <c r="O240" s="2" t="s">
        <v>147</v>
      </c>
      <c r="P240" s="2" t="s">
        <v>148</v>
      </c>
      <c r="Q240" s="2" t="s">
        <v>149</v>
      </c>
      <c r="R240" s="2" t="s">
        <v>150</v>
      </c>
      <c r="S240" s="2" t="s">
        <v>151</v>
      </c>
      <c r="T240">
        <v>434</v>
      </c>
      <c r="U240">
        <f>VLOOKUP(Auto_Sales_data___Copy[[#This Row],[CUSTOMER_NAME]],$AF$2:$AH$90,2,FALSE)</f>
        <v>40</v>
      </c>
      <c r="V240">
        <f>VLOOKUP(Auto_Sales_data___Copy[[#This Row],[CUSTOMER_NAME]],$AF$2:$AH$90,3,FALSE)</f>
        <v>149798.63</v>
      </c>
      <c r="W240" s="2">
        <f>6-MATCH(Auto_Sales_data___Copy[[#This Row],[DAYS_SINCE_LAST_ORDER]],Table2[R-Cutoff],1)</f>
        <v>5</v>
      </c>
      <c r="X240" s="2">
        <f>MATCH(Auto_Sales_data___Copy[[#This Row],[Total_Orders_Per_Customer]],Table2[F-Cutoff],1)</f>
        <v>4</v>
      </c>
      <c r="Y240" s="2">
        <f>MATCH(Auto_Sales_data___Copy[[#This Row],[Total_Sales_Per_Customer]],Table2[M-Cutoff],1)</f>
        <v>4</v>
      </c>
      <c r="Z240" s="2" t="str">
        <f>Auto_Sales_data___Copy[[#This Row],[R-Score(1-5)]]&amp;Auto_Sales_data___Copy[[#This Row],[F-Score(1-5)]]&amp;Auto_Sales_data___Copy[[#This Row],[M-Score(1-5)]]</f>
        <v>544</v>
      </c>
      <c r="AA240" s="2" t="str" cm="1">
        <f t="array" ref="AA2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0" s="2" t="str">
        <f>VLOOKUP(Auto_Sales_data___Copy[[#This Row],[Segment Name]],Table3[],2,FALSE)</f>
        <v>VIP Recognitioon &amp; Inclusivity</v>
      </c>
    </row>
    <row r="241" spans="1:28" x14ac:dyDescent="0.25">
      <c r="A241">
        <v>10341</v>
      </c>
      <c r="B241">
        <v>44</v>
      </c>
      <c r="C241">
        <v>95.93</v>
      </c>
      <c r="D241">
        <v>1</v>
      </c>
      <c r="E241">
        <v>4220.92</v>
      </c>
      <c r="F241" s="1">
        <v>43793</v>
      </c>
      <c r="G241" s="2" t="s">
        <v>19</v>
      </c>
      <c r="H241" s="2" t="s">
        <v>183</v>
      </c>
      <c r="I241">
        <v>117</v>
      </c>
      <c r="J241" s="2" t="s">
        <v>546</v>
      </c>
      <c r="K241" s="2" t="s">
        <v>143</v>
      </c>
      <c r="L241" s="2" t="s">
        <v>144</v>
      </c>
      <c r="M241" s="2" t="s">
        <v>145</v>
      </c>
      <c r="N241" s="2" t="s">
        <v>146</v>
      </c>
      <c r="O241" s="2" t="s">
        <v>147</v>
      </c>
      <c r="P241" s="2" t="s">
        <v>148</v>
      </c>
      <c r="Q241" s="2" t="s">
        <v>149</v>
      </c>
      <c r="R241" s="2" t="s">
        <v>150</v>
      </c>
      <c r="S241" s="2" t="s">
        <v>46</v>
      </c>
      <c r="T241">
        <v>484</v>
      </c>
      <c r="U241">
        <f>VLOOKUP(Auto_Sales_data___Copy[[#This Row],[CUSTOMER_NAME]],$AF$2:$AH$90,2,FALSE)</f>
        <v>40</v>
      </c>
      <c r="V241">
        <f>VLOOKUP(Auto_Sales_data___Copy[[#This Row],[CUSTOMER_NAME]],$AF$2:$AH$90,3,FALSE)</f>
        <v>149798.63</v>
      </c>
      <c r="W241" s="2">
        <f>6-MATCH(Auto_Sales_data___Copy[[#This Row],[DAYS_SINCE_LAST_ORDER]],Table2[R-Cutoff],1)</f>
        <v>5</v>
      </c>
      <c r="X241" s="2">
        <f>MATCH(Auto_Sales_data___Copy[[#This Row],[Total_Orders_Per_Customer]],Table2[F-Cutoff],1)</f>
        <v>4</v>
      </c>
      <c r="Y241" s="2">
        <f>MATCH(Auto_Sales_data___Copy[[#This Row],[Total_Sales_Per_Customer]],Table2[M-Cutoff],1)</f>
        <v>4</v>
      </c>
      <c r="Z241" s="2" t="str">
        <f>Auto_Sales_data___Copy[[#This Row],[R-Score(1-5)]]&amp;Auto_Sales_data___Copy[[#This Row],[F-Score(1-5)]]&amp;Auto_Sales_data___Copy[[#This Row],[M-Score(1-5)]]</f>
        <v>544</v>
      </c>
      <c r="AA241" s="2" t="str" cm="1">
        <f t="array" ref="AA2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1" s="2" t="str">
        <f>VLOOKUP(Auto_Sales_data___Copy[[#This Row],[Segment Name]],Table3[],2,FALSE)</f>
        <v>VIP Recognitioon &amp; Inclusivity</v>
      </c>
    </row>
    <row r="242" spans="1:28" x14ac:dyDescent="0.25">
      <c r="A242">
        <v>10341</v>
      </c>
      <c r="B242">
        <v>36</v>
      </c>
      <c r="C242">
        <v>93.56</v>
      </c>
      <c r="D242">
        <v>10</v>
      </c>
      <c r="E242">
        <v>3368.16</v>
      </c>
      <c r="F242" s="1">
        <v>43793</v>
      </c>
      <c r="G242" s="2" t="s">
        <v>19</v>
      </c>
      <c r="H242" s="2" t="s">
        <v>183</v>
      </c>
      <c r="I242">
        <v>79</v>
      </c>
      <c r="J242" s="2" t="s">
        <v>553</v>
      </c>
      <c r="K242" s="2" t="s">
        <v>143</v>
      </c>
      <c r="L242" s="2" t="s">
        <v>144</v>
      </c>
      <c r="M242" s="2" t="s">
        <v>145</v>
      </c>
      <c r="N242" s="2" t="s">
        <v>146</v>
      </c>
      <c r="O242" s="2" t="s">
        <v>147</v>
      </c>
      <c r="P242" s="2" t="s">
        <v>148</v>
      </c>
      <c r="Q242" s="2" t="s">
        <v>149</v>
      </c>
      <c r="R242" s="2" t="s">
        <v>150</v>
      </c>
      <c r="S242" s="2" t="s">
        <v>46</v>
      </c>
      <c r="T242">
        <v>534</v>
      </c>
      <c r="U242">
        <f>VLOOKUP(Auto_Sales_data___Copy[[#This Row],[CUSTOMER_NAME]],$AF$2:$AH$90,2,FALSE)</f>
        <v>40</v>
      </c>
      <c r="V242">
        <f>VLOOKUP(Auto_Sales_data___Copy[[#This Row],[CUSTOMER_NAME]],$AF$2:$AH$90,3,FALSE)</f>
        <v>149798.63</v>
      </c>
      <c r="W242" s="2">
        <f>6-MATCH(Auto_Sales_data___Copy[[#This Row],[DAYS_SINCE_LAST_ORDER]],Table2[R-Cutoff],1)</f>
        <v>5</v>
      </c>
      <c r="X242" s="2">
        <f>MATCH(Auto_Sales_data___Copy[[#This Row],[Total_Orders_Per_Customer]],Table2[F-Cutoff],1)</f>
        <v>4</v>
      </c>
      <c r="Y242" s="2">
        <f>MATCH(Auto_Sales_data___Copy[[#This Row],[Total_Sales_Per_Customer]],Table2[M-Cutoff],1)</f>
        <v>4</v>
      </c>
      <c r="Z242" s="2" t="str">
        <f>Auto_Sales_data___Copy[[#This Row],[R-Score(1-5)]]&amp;Auto_Sales_data___Copy[[#This Row],[F-Score(1-5)]]&amp;Auto_Sales_data___Copy[[#This Row],[M-Score(1-5)]]</f>
        <v>544</v>
      </c>
      <c r="AA242" s="2" t="str" cm="1">
        <f t="array" ref="AA2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2" s="2" t="str">
        <f>VLOOKUP(Auto_Sales_data___Copy[[#This Row],[Segment Name]],Table3[],2,FALSE)</f>
        <v>VIP Recognitioon &amp; Inclusivity</v>
      </c>
    </row>
    <row r="243" spans="1:28" x14ac:dyDescent="0.25">
      <c r="A243">
        <v>10341</v>
      </c>
      <c r="B243">
        <v>55</v>
      </c>
      <c r="C243">
        <v>75.2</v>
      </c>
      <c r="D243">
        <v>7</v>
      </c>
      <c r="E243">
        <v>4136</v>
      </c>
      <c r="F243" s="1">
        <v>43793</v>
      </c>
      <c r="G243" s="2" t="s">
        <v>19</v>
      </c>
      <c r="H243" s="2" t="s">
        <v>183</v>
      </c>
      <c r="I243">
        <v>115</v>
      </c>
      <c r="J243" s="2" t="s">
        <v>567</v>
      </c>
      <c r="K243" s="2" t="s">
        <v>143</v>
      </c>
      <c r="L243" s="2" t="s">
        <v>144</v>
      </c>
      <c r="M243" s="2" t="s">
        <v>145</v>
      </c>
      <c r="N243" s="2" t="s">
        <v>146</v>
      </c>
      <c r="O243" s="2" t="s">
        <v>147</v>
      </c>
      <c r="P243" s="2" t="s">
        <v>148</v>
      </c>
      <c r="Q243" s="2" t="s">
        <v>149</v>
      </c>
      <c r="R243" s="2" t="s">
        <v>150</v>
      </c>
      <c r="S243" s="2" t="s">
        <v>46</v>
      </c>
      <c r="T243">
        <v>585</v>
      </c>
      <c r="U243">
        <f>VLOOKUP(Auto_Sales_data___Copy[[#This Row],[CUSTOMER_NAME]],$AF$2:$AH$90,2,FALSE)</f>
        <v>40</v>
      </c>
      <c r="V243">
        <f>VLOOKUP(Auto_Sales_data___Copy[[#This Row],[CUSTOMER_NAME]],$AF$2:$AH$90,3,FALSE)</f>
        <v>149798.63</v>
      </c>
      <c r="W243" s="2">
        <f>6-MATCH(Auto_Sales_data___Copy[[#This Row],[DAYS_SINCE_LAST_ORDER]],Table2[R-Cutoff],1)</f>
        <v>5</v>
      </c>
      <c r="X243" s="2">
        <f>MATCH(Auto_Sales_data___Copy[[#This Row],[Total_Orders_Per_Customer]],Table2[F-Cutoff],1)</f>
        <v>4</v>
      </c>
      <c r="Y243" s="2">
        <f>MATCH(Auto_Sales_data___Copy[[#This Row],[Total_Sales_Per_Customer]],Table2[M-Cutoff],1)</f>
        <v>4</v>
      </c>
      <c r="Z243" s="2" t="str">
        <f>Auto_Sales_data___Copy[[#This Row],[R-Score(1-5)]]&amp;Auto_Sales_data___Copy[[#This Row],[F-Score(1-5)]]&amp;Auto_Sales_data___Copy[[#This Row],[M-Score(1-5)]]</f>
        <v>544</v>
      </c>
      <c r="AA243" s="2" t="str" cm="1">
        <f t="array" ref="AA2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3" s="2" t="str">
        <f>VLOOKUP(Auto_Sales_data___Copy[[#This Row],[Segment Name]],Table3[],2,FALSE)</f>
        <v>VIP Recognitioon &amp; Inclusivity</v>
      </c>
    </row>
    <row r="244" spans="1:28" x14ac:dyDescent="0.25">
      <c r="A244">
        <v>10342</v>
      </c>
      <c r="B244">
        <v>40</v>
      </c>
      <c r="C244">
        <v>161.36000000000001</v>
      </c>
      <c r="D244">
        <v>2</v>
      </c>
      <c r="E244">
        <v>6454.4</v>
      </c>
      <c r="F244" s="1">
        <v>43793</v>
      </c>
      <c r="G244" s="2" t="s">
        <v>19</v>
      </c>
      <c r="H244" s="2" t="s">
        <v>183</v>
      </c>
      <c r="I244">
        <v>141</v>
      </c>
      <c r="J244" s="2" t="s">
        <v>576</v>
      </c>
      <c r="K244" s="2" t="s">
        <v>82</v>
      </c>
      <c r="L244" s="2" t="s">
        <v>83</v>
      </c>
      <c r="M244" s="2" t="s">
        <v>84</v>
      </c>
      <c r="N244" s="2" t="s">
        <v>85</v>
      </c>
      <c r="O244" s="2" t="s">
        <v>86</v>
      </c>
      <c r="P244" s="2" t="s">
        <v>87</v>
      </c>
      <c r="Q244" s="2" t="s">
        <v>88</v>
      </c>
      <c r="R244" s="2" t="s">
        <v>89</v>
      </c>
      <c r="S244" s="2" t="s">
        <v>46</v>
      </c>
      <c r="T244">
        <v>637</v>
      </c>
      <c r="U244">
        <f>VLOOKUP(Auto_Sales_data___Copy[[#This Row],[CUSTOMER_NAME]],$AF$2:$AH$90,2,FALSE)</f>
        <v>55</v>
      </c>
      <c r="V244">
        <f>VLOOKUP(Auto_Sales_data___Copy[[#This Row],[CUSTOMER_NAME]],$AF$2:$AH$90,3,FALSE)</f>
        <v>200995.41000000006</v>
      </c>
      <c r="W244" s="2">
        <f>6-MATCH(Auto_Sales_data___Copy[[#This Row],[DAYS_SINCE_LAST_ORDER]],Table2[R-Cutoff],1)</f>
        <v>5</v>
      </c>
      <c r="X244" s="2">
        <f>MATCH(Auto_Sales_data___Copy[[#This Row],[Total_Orders_Per_Customer]],Table2[F-Cutoff],1)</f>
        <v>4</v>
      </c>
      <c r="Y244" s="2">
        <f>MATCH(Auto_Sales_data___Copy[[#This Row],[Total_Sales_Per_Customer]],Table2[M-Cutoff],1)</f>
        <v>4</v>
      </c>
      <c r="Z244" s="2" t="str">
        <f>Auto_Sales_data___Copy[[#This Row],[R-Score(1-5)]]&amp;Auto_Sales_data___Copy[[#This Row],[F-Score(1-5)]]&amp;Auto_Sales_data___Copy[[#This Row],[M-Score(1-5)]]</f>
        <v>544</v>
      </c>
      <c r="AA244" s="2" t="str" cm="1">
        <f t="array" ref="AA2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4" s="2" t="str">
        <f>VLOOKUP(Auto_Sales_data___Copy[[#This Row],[Segment Name]],Table3[],2,FALSE)</f>
        <v>VIP Recognitioon &amp; Inclusivity</v>
      </c>
    </row>
    <row r="245" spans="1:28" x14ac:dyDescent="0.25">
      <c r="A245">
        <v>10343</v>
      </c>
      <c r="B245">
        <v>36</v>
      </c>
      <c r="C245">
        <v>162.47</v>
      </c>
      <c r="D245">
        <v>4</v>
      </c>
      <c r="E245">
        <v>5848.92</v>
      </c>
      <c r="F245" s="1">
        <v>43793</v>
      </c>
      <c r="G245" s="2" t="s">
        <v>19</v>
      </c>
      <c r="H245" s="2" t="s">
        <v>183</v>
      </c>
      <c r="I245">
        <v>124</v>
      </c>
      <c r="J245" s="2" t="s">
        <v>606</v>
      </c>
      <c r="K245" s="2" t="s">
        <v>31</v>
      </c>
      <c r="L245" s="2" t="s">
        <v>32</v>
      </c>
      <c r="M245" s="2" t="s">
        <v>33</v>
      </c>
      <c r="N245" s="2" t="s">
        <v>34</v>
      </c>
      <c r="O245" s="2" t="s">
        <v>35</v>
      </c>
      <c r="P245" s="2" t="s">
        <v>36</v>
      </c>
      <c r="Q245" s="2" t="s">
        <v>37</v>
      </c>
      <c r="R245" s="2" t="s">
        <v>38</v>
      </c>
      <c r="S245" s="2" t="s">
        <v>46</v>
      </c>
      <c r="T245">
        <v>711</v>
      </c>
      <c r="U245">
        <f>VLOOKUP(Auto_Sales_data___Copy[[#This Row],[CUSTOMER_NAME]],$AF$2:$AH$90,2,FALSE)</f>
        <v>41</v>
      </c>
      <c r="V245">
        <f>VLOOKUP(Auto_Sales_data___Copy[[#This Row],[CUSTOMER_NAME]],$AF$2:$AH$90,3,FALSE)</f>
        <v>135042.94</v>
      </c>
      <c r="W245" s="2">
        <f>6-MATCH(Auto_Sales_data___Copy[[#This Row],[DAYS_SINCE_LAST_ORDER]],Table2[R-Cutoff],1)</f>
        <v>5</v>
      </c>
      <c r="X245" s="2">
        <f>MATCH(Auto_Sales_data___Copy[[#This Row],[Total_Orders_Per_Customer]],Table2[F-Cutoff],1)</f>
        <v>4</v>
      </c>
      <c r="Y245" s="2">
        <f>MATCH(Auto_Sales_data___Copy[[#This Row],[Total_Sales_Per_Customer]],Table2[M-Cutoff],1)</f>
        <v>4</v>
      </c>
      <c r="Z245" s="2" t="str">
        <f>Auto_Sales_data___Copy[[#This Row],[R-Score(1-5)]]&amp;Auto_Sales_data___Copy[[#This Row],[F-Score(1-5)]]&amp;Auto_Sales_data___Copy[[#This Row],[M-Score(1-5)]]</f>
        <v>544</v>
      </c>
      <c r="AA245" s="2" t="str" cm="1">
        <f t="array" ref="AA2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5" s="2" t="str">
        <f>VLOOKUP(Auto_Sales_data___Copy[[#This Row],[Segment Name]],Table3[],2,FALSE)</f>
        <v>VIP Recognitioon &amp; Inclusivity</v>
      </c>
    </row>
    <row r="246" spans="1:28" x14ac:dyDescent="0.25">
      <c r="A246">
        <v>10342</v>
      </c>
      <c r="B246">
        <v>55</v>
      </c>
      <c r="C246">
        <v>65.45</v>
      </c>
      <c r="D246">
        <v>1</v>
      </c>
      <c r="E246">
        <v>3599.75</v>
      </c>
      <c r="F246" s="1">
        <v>43793</v>
      </c>
      <c r="G246" s="2" t="s">
        <v>19</v>
      </c>
      <c r="H246" s="2" t="s">
        <v>183</v>
      </c>
      <c r="I246">
        <v>77</v>
      </c>
      <c r="J246" s="2" t="s">
        <v>629</v>
      </c>
      <c r="K246" s="2" t="s">
        <v>82</v>
      </c>
      <c r="L246" s="2" t="s">
        <v>83</v>
      </c>
      <c r="M246" s="2" t="s">
        <v>84</v>
      </c>
      <c r="N246" s="2" t="s">
        <v>85</v>
      </c>
      <c r="O246" s="2" t="s">
        <v>86</v>
      </c>
      <c r="P246" s="2" t="s">
        <v>87</v>
      </c>
      <c r="Q246" s="2" t="s">
        <v>88</v>
      </c>
      <c r="R246" s="2" t="s">
        <v>89</v>
      </c>
      <c r="S246" s="2" t="s">
        <v>46</v>
      </c>
      <c r="T246">
        <v>782</v>
      </c>
      <c r="U246">
        <f>VLOOKUP(Auto_Sales_data___Copy[[#This Row],[CUSTOMER_NAME]],$AF$2:$AH$90,2,FALSE)</f>
        <v>55</v>
      </c>
      <c r="V246">
        <f>VLOOKUP(Auto_Sales_data___Copy[[#This Row],[CUSTOMER_NAME]],$AF$2:$AH$90,3,FALSE)</f>
        <v>200995.41000000006</v>
      </c>
      <c r="W246" s="2">
        <f>6-MATCH(Auto_Sales_data___Copy[[#This Row],[DAYS_SINCE_LAST_ORDER]],Table2[R-Cutoff],1)</f>
        <v>5</v>
      </c>
      <c r="X246" s="2">
        <f>MATCH(Auto_Sales_data___Copy[[#This Row],[Total_Orders_Per_Customer]],Table2[F-Cutoff],1)</f>
        <v>4</v>
      </c>
      <c r="Y246" s="2">
        <f>MATCH(Auto_Sales_data___Copy[[#This Row],[Total_Sales_Per_Customer]],Table2[M-Cutoff],1)</f>
        <v>4</v>
      </c>
      <c r="Z246" s="2" t="str">
        <f>Auto_Sales_data___Copy[[#This Row],[R-Score(1-5)]]&amp;Auto_Sales_data___Copy[[#This Row],[F-Score(1-5)]]&amp;Auto_Sales_data___Copy[[#This Row],[M-Score(1-5)]]</f>
        <v>544</v>
      </c>
      <c r="AA246" s="2" t="str" cm="1">
        <f t="array" ref="AA2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6" s="2" t="str">
        <f>VLOOKUP(Auto_Sales_data___Copy[[#This Row],[Segment Name]],Table3[],2,FALSE)</f>
        <v>VIP Recognitioon &amp; Inclusivity</v>
      </c>
    </row>
    <row r="247" spans="1:28" x14ac:dyDescent="0.25">
      <c r="A247">
        <v>10342</v>
      </c>
      <c r="B247">
        <v>22</v>
      </c>
      <c r="C247">
        <v>143.66999999999999</v>
      </c>
      <c r="D247">
        <v>3</v>
      </c>
      <c r="E247">
        <v>3160.74</v>
      </c>
      <c r="F247" s="1">
        <v>43793</v>
      </c>
      <c r="G247" s="2" t="s">
        <v>19</v>
      </c>
      <c r="H247" s="2" t="s">
        <v>183</v>
      </c>
      <c r="I247">
        <v>142</v>
      </c>
      <c r="J247" s="2" t="s">
        <v>630</v>
      </c>
      <c r="K247" s="2" t="s">
        <v>82</v>
      </c>
      <c r="L247" s="2" t="s">
        <v>83</v>
      </c>
      <c r="M247" s="2" t="s">
        <v>84</v>
      </c>
      <c r="N247" s="2" t="s">
        <v>85</v>
      </c>
      <c r="O247" s="2" t="s">
        <v>86</v>
      </c>
      <c r="P247" s="2" t="s">
        <v>87</v>
      </c>
      <c r="Q247" s="2" t="s">
        <v>88</v>
      </c>
      <c r="R247" s="2" t="s">
        <v>89</v>
      </c>
      <c r="S247" s="2" t="s">
        <v>46</v>
      </c>
      <c r="T247">
        <v>808</v>
      </c>
      <c r="U247">
        <f>VLOOKUP(Auto_Sales_data___Copy[[#This Row],[CUSTOMER_NAME]],$AF$2:$AH$90,2,FALSE)</f>
        <v>55</v>
      </c>
      <c r="V247">
        <f>VLOOKUP(Auto_Sales_data___Copy[[#This Row],[CUSTOMER_NAME]],$AF$2:$AH$90,3,FALSE)</f>
        <v>200995.41000000006</v>
      </c>
      <c r="W247" s="2">
        <f>6-MATCH(Auto_Sales_data___Copy[[#This Row],[DAYS_SINCE_LAST_ORDER]],Table2[R-Cutoff],1)</f>
        <v>5</v>
      </c>
      <c r="X247" s="2">
        <f>MATCH(Auto_Sales_data___Copy[[#This Row],[Total_Orders_Per_Customer]],Table2[F-Cutoff],1)</f>
        <v>4</v>
      </c>
      <c r="Y247" s="2">
        <f>MATCH(Auto_Sales_data___Copy[[#This Row],[Total_Sales_Per_Customer]],Table2[M-Cutoff],1)</f>
        <v>4</v>
      </c>
      <c r="Z247" s="2" t="str">
        <f>Auto_Sales_data___Copy[[#This Row],[R-Score(1-5)]]&amp;Auto_Sales_data___Copy[[#This Row],[F-Score(1-5)]]&amp;Auto_Sales_data___Copy[[#This Row],[M-Score(1-5)]]</f>
        <v>544</v>
      </c>
      <c r="AA247" s="2" t="str" cm="1">
        <f t="array" ref="AA2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7" s="2" t="str">
        <f>VLOOKUP(Auto_Sales_data___Copy[[#This Row],[Segment Name]],Table3[],2,FALSE)</f>
        <v>VIP Recognitioon &amp; Inclusivity</v>
      </c>
    </row>
    <row r="248" spans="1:28" x14ac:dyDescent="0.25">
      <c r="A248">
        <v>10347</v>
      </c>
      <c r="B248">
        <v>30</v>
      </c>
      <c r="C248">
        <v>131.49</v>
      </c>
      <c r="D248">
        <v>1</v>
      </c>
      <c r="E248">
        <v>3944.7</v>
      </c>
      <c r="F248" s="1">
        <v>43798</v>
      </c>
      <c r="G248" s="2" t="s">
        <v>19</v>
      </c>
      <c r="H248" s="2" t="s">
        <v>183</v>
      </c>
      <c r="I248">
        <v>214</v>
      </c>
      <c r="J248" s="2" t="s">
        <v>184</v>
      </c>
      <c r="K248" s="2" t="s">
        <v>82</v>
      </c>
      <c r="L248" s="2" t="s">
        <v>83</v>
      </c>
      <c r="M248" s="2" t="s">
        <v>84</v>
      </c>
      <c r="N248" s="2" t="s">
        <v>85</v>
      </c>
      <c r="O248" s="2" t="s">
        <v>86</v>
      </c>
      <c r="P248" s="2" t="s">
        <v>87</v>
      </c>
      <c r="Q248" s="2" t="s">
        <v>88</v>
      </c>
      <c r="R248" s="2" t="s">
        <v>89</v>
      </c>
      <c r="S248" s="2" t="s">
        <v>46</v>
      </c>
      <c r="T248">
        <v>229</v>
      </c>
      <c r="U248">
        <f>VLOOKUP(Auto_Sales_data___Copy[[#This Row],[CUSTOMER_NAME]],$AF$2:$AH$90,2,FALSE)</f>
        <v>55</v>
      </c>
      <c r="V248">
        <f>VLOOKUP(Auto_Sales_data___Copy[[#This Row],[CUSTOMER_NAME]],$AF$2:$AH$90,3,FALSE)</f>
        <v>200995.41000000006</v>
      </c>
      <c r="W248" s="2">
        <f>6-MATCH(Auto_Sales_data___Copy[[#This Row],[DAYS_SINCE_LAST_ORDER]],Table2[R-Cutoff],1)</f>
        <v>5</v>
      </c>
      <c r="X248" s="2">
        <f>MATCH(Auto_Sales_data___Copy[[#This Row],[Total_Orders_Per_Customer]],Table2[F-Cutoff],1)</f>
        <v>4</v>
      </c>
      <c r="Y248" s="2">
        <f>MATCH(Auto_Sales_data___Copy[[#This Row],[Total_Sales_Per_Customer]],Table2[M-Cutoff],1)</f>
        <v>4</v>
      </c>
      <c r="Z248" s="2" t="str">
        <f>Auto_Sales_data___Copy[[#This Row],[R-Score(1-5)]]&amp;Auto_Sales_data___Copy[[#This Row],[F-Score(1-5)]]&amp;Auto_Sales_data___Copy[[#This Row],[M-Score(1-5)]]</f>
        <v>544</v>
      </c>
      <c r="AA248" s="2" t="str" cm="1">
        <f t="array" ref="AA2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8" s="2" t="str">
        <f>VLOOKUP(Auto_Sales_data___Copy[[#This Row],[Segment Name]],Table3[],2,FALSE)</f>
        <v>VIP Recognitioon &amp; Inclusivity</v>
      </c>
    </row>
    <row r="249" spans="1:28" x14ac:dyDescent="0.25">
      <c r="A249">
        <v>10347</v>
      </c>
      <c r="B249">
        <v>27</v>
      </c>
      <c r="C249">
        <v>164</v>
      </c>
      <c r="D249">
        <v>2</v>
      </c>
      <c r="E249">
        <v>4428</v>
      </c>
      <c r="F249" s="1">
        <v>43798</v>
      </c>
      <c r="G249" s="2" t="s">
        <v>19</v>
      </c>
      <c r="H249" s="2" t="s">
        <v>183</v>
      </c>
      <c r="I249">
        <v>147</v>
      </c>
      <c r="J249" s="2" t="s">
        <v>424</v>
      </c>
      <c r="K249" s="2" t="s">
        <v>82</v>
      </c>
      <c r="L249" s="2" t="s">
        <v>83</v>
      </c>
      <c r="M249" s="2" t="s">
        <v>84</v>
      </c>
      <c r="N249" s="2" t="s">
        <v>85</v>
      </c>
      <c r="O249" s="2" t="s">
        <v>86</v>
      </c>
      <c r="P249" s="2" t="s">
        <v>87</v>
      </c>
      <c r="Q249" s="2" t="s">
        <v>88</v>
      </c>
      <c r="R249" s="2" t="s">
        <v>89</v>
      </c>
      <c r="S249" s="2" t="s">
        <v>46</v>
      </c>
      <c r="T249">
        <v>329</v>
      </c>
      <c r="U249">
        <f>VLOOKUP(Auto_Sales_data___Copy[[#This Row],[CUSTOMER_NAME]],$AF$2:$AH$90,2,FALSE)</f>
        <v>55</v>
      </c>
      <c r="V249">
        <f>VLOOKUP(Auto_Sales_data___Copy[[#This Row],[CUSTOMER_NAME]],$AF$2:$AH$90,3,FALSE)</f>
        <v>200995.41000000006</v>
      </c>
      <c r="W249" s="2">
        <f>6-MATCH(Auto_Sales_data___Copy[[#This Row],[DAYS_SINCE_LAST_ORDER]],Table2[R-Cutoff],1)</f>
        <v>5</v>
      </c>
      <c r="X249" s="2">
        <f>MATCH(Auto_Sales_data___Copy[[#This Row],[Total_Orders_Per_Customer]],Table2[F-Cutoff],1)</f>
        <v>4</v>
      </c>
      <c r="Y249" s="2">
        <f>MATCH(Auto_Sales_data___Copy[[#This Row],[Total_Sales_Per_Customer]],Table2[M-Cutoff],1)</f>
        <v>4</v>
      </c>
      <c r="Z249" s="2" t="str">
        <f>Auto_Sales_data___Copy[[#This Row],[R-Score(1-5)]]&amp;Auto_Sales_data___Copy[[#This Row],[F-Score(1-5)]]&amp;Auto_Sales_data___Copy[[#This Row],[M-Score(1-5)]]</f>
        <v>544</v>
      </c>
      <c r="AA249" s="2" t="str" cm="1">
        <f t="array" ref="AA2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9" s="2" t="str">
        <f>VLOOKUP(Auto_Sales_data___Copy[[#This Row],[Segment Name]],Table3[],2,FALSE)</f>
        <v>VIP Recognitioon &amp; Inclusivity</v>
      </c>
    </row>
    <row r="250" spans="1:28" x14ac:dyDescent="0.25">
      <c r="A250">
        <v>10347</v>
      </c>
      <c r="B250">
        <v>29</v>
      </c>
      <c r="C250">
        <v>123.67</v>
      </c>
      <c r="D250">
        <v>3</v>
      </c>
      <c r="E250">
        <v>3586.43</v>
      </c>
      <c r="F250" s="1">
        <v>43798</v>
      </c>
      <c r="G250" s="2" t="s">
        <v>19</v>
      </c>
      <c r="H250" s="2" t="s">
        <v>537</v>
      </c>
      <c r="I250">
        <v>136</v>
      </c>
      <c r="J250" s="2" t="s">
        <v>538</v>
      </c>
      <c r="K250" s="2" t="s">
        <v>82</v>
      </c>
      <c r="L250" s="2" t="s">
        <v>83</v>
      </c>
      <c r="M250" s="2" t="s">
        <v>84</v>
      </c>
      <c r="N250" s="2" t="s">
        <v>85</v>
      </c>
      <c r="O250" s="2" t="s">
        <v>86</v>
      </c>
      <c r="P250" s="2" t="s">
        <v>87</v>
      </c>
      <c r="Q250" s="2" t="s">
        <v>88</v>
      </c>
      <c r="R250" s="2" t="s">
        <v>89</v>
      </c>
      <c r="S250" s="2" t="s">
        <v>46</v>
      </c>
      <c r="T250">
        <v>405</v>
      </c>
      <c r="U250">
        <f>VLOOKUP(Auto_Sales_data___Copy[[#This Row],[CUSTOMER_NAME]],$AF$2:$AH$90,2,FALSE)</f>
        <v>55</v>
      </c>
      <c r="V250">
        <f>VLOOKUP(Auto_Sales_data___Copy[[#This Row],[CUSTOMER_NAME]],$AF$2:$AH$90,3,FALSE)</f>
        <v>200995.41000000006</v>
      </c>
      <c r="W250" s="2">
        <f>6-MATCH(Auto_Sales_data___Copy[[#This Row],[DAYS_SINCE_LAST_ORDER]],Table2[R-Cutoff],1)</f>
        <v>5</v>
      </c>
      <c r="X250" s="2">
        <f>MATCH(Auto_Sales_data___Copy[[#This Row],[Total_Orders_Per_Customer]],Table2[F-Cutoff],1)</f>
        <v>4</v>
      </c>
      <c r="Y250" s="2">
        <f>MATCH(Auto_Sales_data___Copy[[#This Row],[Total_Sales_Per_Customer]],Table2[M-Cutoff],1)</f>
        <v>4</v>
      </c>
      <c r="Z250" s="2" t="str">
        <f>Auto_Sales_data___Copy[[#This Row],[R-Score(1-5)]]&amp;Auto_Sales_data___Copy[[#This Row],[F-Score(1-5)]]&amp;Auto_Sales_data___Copy[[#This Row],[M-Score(1-5)]]</f>
        <v>544</v>
      </c>
      <c r="AA250" s="2" t="str" cm="1">
        <f t="array" ref="AA2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0" s="2" t="str">
        <f>VLOOKUP(Auto_Sales_data___Copy[[#This Row],[Segment Name]],Table3[],2,FALSE)</f>
        <v>VIP Recognitioon &amp; Inclusivity</v>
      </c>
    </row>
    <row r="251" spans="1:28" x14ac:dyDescent="0.25">
      <c r="A251">
        <v>10347</v>
      </c>
      <c r="B251">
        <v>42</v>
      </c>
      <c r="C251">
        <v>49.6</v>
      </c>
      <c r="D251">
        <v>5</v>
      </c>
      <c r="E251">
        <v>2083.1999999999998</v>
      </c>
      <c r="F251" s="1">
        <v>43798</v>
      </c>
      <c r="G251" s="2" t="s">
        <v>19</v>
      </c>
      <c r="H251" s="2" t="s">
        <v>537</v>
      </c>
      <c r="I251">
        <v>116</v>
      </c>
      <c r="J251" s="2" t="s">
        <v>575</v>
      </c>
      <c r="K251" s="2" t="s">
        <v>82</v>
      </c>
      <c r="L251" s="2" t="s">
        <v>83</v>
      </c>
      <c r="M251" s="2" t="s">
        <v>84</v>
      </c>
      <c r="N251" s="2" t="s">
        <v>85</v>
      </c>
      <c r="O251" s="2" t="s">
        <v>86</v>
      </c>
      <c r="P251" s="2" t="s">
        <v>87</v>
      </c>
      <c r="Q251" s="2" t="s">
        <v>88</v>
      </c>
      <c r="R251" s="2" t="s">
        <v>89</v>
      </c>
      <c r="S251" s="2" t="s">
        <v>30</v>
      </c>
      <c r="T251">
        <v>606</v>
      </c>
      <c r="U251">
        <f>VLOOKUP(Auto_Sales_data___Copy[[#This Row],[CUSTOMER_NAME]],$AF$2:$AH$90,2,FALSE)</f>
        <v>55</v>
      </c>
      <c r="V251">
        <f>VLOOKUP(Auto_Sales_data___Copy[[#This Row],[CUSTOMER_NAME]],$AF$2:$AH$90,3,FALSE)</f>
        <v>200995.41000000006</v>
      </c>
      <c r="W251" s="2">
        <f>6-MATCH(Auto_Sales_data___Copy[[#This Row],[DAYS_SINCE_LAST_ORDER]],Table2[R-Cutoff],1)</f>
        <v>5</v>
      </c>
      <c r="X251" s="2">
        <f>MATCH(Auto_Sales_data___Copy[[#This Row],[Total_Orders_Per_Customer]],Table2[F-Cutoff],1)</f>
        <v>4</v>
      </c>
      <c r="Y251" s="2">
        <f>MATCH(Auto_Sales_data___Copy[[#This Row],[Total_Sales_Per_Customer]],Table2[M-Cutoff],1)</f>
        <v>4</v>
      </c>
      <c r="Z251" s="2" t="str">
        <f>Auto_Sales_data___Copy[[#This Row],[R-Score(1-5)]]&amp;Auto_Sales_data___Copy[[#This Row],[F-Score(1-5)]]&amp;Auto_Sales_data___Copy[[#This Row],[M-Score(1-5)]]</f>
        <v>544</v>
      </c>
      <c r="AA251" s="2" t="str" cm="1">
        <f t="array" ref="AA2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1" s="2" t="str">
        <f>VLOOKUP(Auto_Sales_data___Copy[[#This Row],[Segment Name]],Table3[],2,FALSE)</f>
        <v>VIP Recognitioon &amp; Inclusivity</v>
      </c>
    </row>
    <row r="252" spans="1:28" x14ac:dyDescent="0.25">
      <c r="A252">
        <v>10347</v>
      </c>
      <c r="B252">
        <v>21</v>
      </c>
      <c r="C252">
        <v>58.95</v>
      </c>
      <c r="D252">
        <v>7</v>
      </c>
      <c r="E252">
        <v>1237.95</v>
      </c>
      <c r="F252" s="1">
        <v>43798</v>
      </c>
      <c r="G252" s="2" t="s">
        <v>19</v>
      </c>
      <c r="H252" s="2" t="s">
        <v>589</v>
      </c>
      <c r="I252">
        <v>53</v>
      </c>
      <c r="J252" s="2" t="s">
        <v>605</v>
      </c>
      <c r="K252" s="2" t="s">
        <v>82</v>
      </c>
      <c r="L252" s="2" t="s">
        <v>83</v>
      </c>
      <c r="M252" s="2" t="s">
        <v>84</v>
      </c>
      <c r="N252" s="2" t="s">
        <v>85</v>
      </c>
      <c r="O252" s="2" t="s">
        <v>86</v>
      </c>
      <c r="P252" s="2" t="s">
        <v>87</v>
      </c>
      <c r="Q252" s="2" t="s">
        <v>88</v>
      </c>
      <c r="R252" s="2" t="s">
        <v>89</v>
      </c>
      <c r="S252" s="2" t="s">
        <v>30</v>
      </c>
      <c r="T252">
        <v>681</v>
      </c>
      <c r="U252">
        <f>VLOOKUP(Auto_Sales_data___Copy[[#This Row],[CUSTOMER_NAME]],$AF$2:$AH$90,2,FALSE)</f>
        <v>55</v>
      </c>
      <c r="V252">
        <f>VLOOKUP(Auto_Sales_data___Copy[[#This Row],[CUSTOMER_NAME]],$AF$2:$AH$90,3,FALSE)</f>
        <v>200995.41000000006</v>
      </c>
      <c r="W252" s="2">
        <f>6-MATCH(Auto_Sales_data___Copy[[#This Row],[DAYS_SINCE_LAST_ORDER]],Table2[R-Cutoff],1)</f>
        <v>5</v>
      </c>
      <c r="X252" s="2">
        <f>MATCH(Auto_Sales_data___Copy[[#This Row],[Total_Orders_Per_Customer]],Table2[F-Cutoff],1)</f>
        <v>4</v>
      </c>
      <c r="Y252" s="2">
        <f>MATCH(Auto_Sales_data___Copy[[#This Row],[Total_Sales_Per_Customer]],Table2[M-Cutoff],1)</f>
        <v>4</v>
      </c>
      <c r="Z252" s="2" t="str">
        <f>Auto_Sales_data___Copy[[#This Row],[R-Score(1-5)]]&amp;Auto_Sales_data___Copy[[#This Row],[F-Score(1-5)]]&amp;Auto_Sales_data___Copy[[#This Row],[M-Score(1-5)]]</f>
        <v>544</v>
      </c>
      <c r="AA252" s="2" t="str" cm="1">
        <f t="array" ref="AA2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2" s="2" t="str">
        <f>VLOOKUP(Auto_Sales_data___Copy[[#This Row],[Segment Name]],Table3[],2,FALSE)</f>
        <v>VIP Recognitioon &amp; Inclusivity</v>
      </c>
    </row>
    <row r="253" spans="1:28" x14ac:dyDescent="0.25">
      <c r="A253">
        <v>10347</v>
      </c>
      <c r="B253">
        <v>50</v>
      </c>
      <c r="C253">
        <v>136.69</v>
      </c>
      <c r="D253">
        <v>8</v>
      </c>
      <c r="E253">
        <v>6834.5</v>
      </c>
      <c r="F253" s="1">
        <v>43798</v>
      </c>
      <c r="G253" s="2" t="s">
        <v>19</v>
      </c>
      <c r="H253" s="2" t="s">
        <v>537</v>
      </c>
      <c r="I253">
        <v>60</v>
      </c>
      <c r="J253" s="2" t="s">
        <v>635</v>
      </c>
      <c r="K253" s="2" t="s">
        <v>82</v>
      </c>
      <c r="L253" s="2" t="s">
        <v>83</v>
      </c>
      <c r="M253" s="2" t="s">
        <v>84</v>
      </c>
      <c r="N253" s="2" t="s">
        <v>85</v>
      </c>
      <c r="O253" s="2" t="s">
        <v>86</v>
      </c>
      <c r="P253" s="2" t="s">
        <v>87</v>
      </c>
      <c r="Q253" s="2" t="s">
        <v>88</v>
      </c>
      <c r="R253" s="2" t="s">
        <v>89</v>
      </c>
      <c r="S253" s="2" t="s">
        <v>46</v>
      </c>
      <c r="T253">
        <v>929</v>
      </c>
      <c r="U253">
        <f>VLOOKUP(Auto_Sales_data___Copy[[#This Row],[CUSTOMER_NAME]],$AF$2:$AH$90,2,FALSE)</f>
        <v>55</v>
      </c>
      <c r="V253">
        <f>VLOOKUP(Auto_Sales_data___Copy[[#This Row],[CUSTOMER_NAME]],$AF$2:$AH$90,3,FALSE)</f>
        <v>200995.41000000006</v>
      </c>
      <c r="W253" s="2">
        <f>6-MATCH(Auto_Sales_data___Copy[[#This Row],[DAYS_SINCE_LAST_ORDER]],Table2[R-Cutoff],1)</f>
        <v>5</v>
      </c>
      <c r="X253" s="2">
        <f>MATCH(Auto_Sales_data___Copy[[#This Row],[Total_Orders_Per_Customer]],Table2[F-Cutoff],1)</f>
        <v>4</v>
      </c>
      <c r="Y253" s="2">
        <f>MATCH(Auto_Sales_data___Copy[[#This Row],[Total_Sales_Per_Customer]],Table2[M-Cutoff],1)</f>
        <v>4</v>
      </c>
      <c r="Z253" s="2" t="str">
        <f>Auto_Sales_data___Copy[[#This Row],[R-Score(1-5)]]&amp;Auto_Sales_data___Copy[[#This Row],[F-Score(1-5)]]&amp;Auto_Sales_data___Copy[[#This Row],[M-Score(1-5)]]</f>
        <v>544</v>
      </c>
      <c r="AA253" s="2" t="str" cm="1">
        <f t="array" ref="AA2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3" s="2" t="str">
        <f>VLOOKUP(Auto_Sales_data___Copy[[#This Row],[Segment Name]],Table3[],2,FALSE)</f>
        <v>VIP Recognitioon &amp; Inclusivity</v>
      </c>
    </row>
    <row r="254" spans="1:28" x14ac:dyDescent="0.25">
      <c r="A254">
        <v>10349</v>
      </c>
      <c r="B254">
        <v>26</v>
      </c>
      <c r="C254">
        <v>169.56</v>
      </c>
      <c r="D254">
        <v>10</v>
      </c>
      <c r="E254">
        <v>4408.5600000000004</v>
      </c>
      <c r="F254" s="1">
        <v>43800</v>
      </c>
      <c r="G254" s="2" t="s">
        <v>19</v>
      </c>
      <c r="H254" s="2" t="s">
        <v>183</v>
      </c>
      <c r="I254">
        <v>173</v>
      </c>
      <c r="J254" s="2" t="s">
        <v>552</v>
      </c>
      <c r="K254" s="2" t="s">
        <v>506</v>
      </c>
      <c r="L254" s="2" t="s">
        <v>507</v>
      </c>
      <c r="M254" s="2" t="s">
        <v>508</v>
      </c>
      <c r="N254" s="2" t="s">
        <v>25</v>
      </c>
      <c r="O254" s="2" t="s">
        <v>26</v>
      </c>
      <c r="P254" s="2" t="s">
        <v>27</v>
      </c>
      <c r="Q254" s="2" t="s">
        <v>52</v>
      </c>
      <c r="R254" s="2" t="s">
        <v>509</v>
      </c>
      <c r="S254" s="2" t="s">
        <v>46</v>
      </c>
      <c r="T254">
        <v>502</v>
      </c>
      <c r="U254">
        <f>VLOOKUP(Auto_Sales_data___Copy[[#This Row],[CUSTOMER_NAME]],$AF$2:$AH$90,2,FALSE)</f>
        <v>48</v>
      </c>
      <c r="V254">
        <f>VLOOKUP(Auto_Sales_data___Copy[[#This Row],[CUSTOMER_NAME]],$AF$2:$AH$90,3,FALSE)</f>
        <v>197736.93999999997</v>
      </c>
      <c r="W254" s="2">
        <f>6-MATCH(Auto_Sales_data___Copy[[#This Row],[DAYS_SINCE_LAST_ORDER]],Table2[R-Cutoff],1)</f>
        <v>5</v>
      </c>
      <c r="X254" s="2">
        <f>MATCH(Auto_Sales_data___Copy[[#This Row],[Total_Orders_Per_Customer]],Table2[F-Cutoff],1)</f>
        <v>4</v>
      </c>
      <c r="Y254" s="2">
        <f>MATCH(Auto_Sales_data___Copy[[#This Row],[Total_Sales_Per_Customer]],Table2[M-Cutoff],1)</f>
        <v>4</v>
      </c>
      <c r="Z254" s="2" t="str">
        <f>Auto_Sales_data___Copy[[#This Row],[R-Score(1-5)]]&amp;Auto_Sales_data___Copy[[#This Row],[F-Score(1-5)]]&amp;Auto_Sales_data___Copy[[#This Row],[M-Score(1-5)]]</f>
        <v>544</v>
      </c>
      <c r="AA254" s="2" t="str" cm="1">
        <f t="array" ref="AA2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4" s="2" t="str">
        <f>VLOOKUP(Auto_Sales_data___Copy[[#This Row],[Segment Name]],Table3[],2,FALSE)</f>
        <v>VIP Recognitioon &amp; Inclusivity</v>
      </c>
    </row>
    <row r="255" spans="1:28" x14ac:dyDescent="0.25">
      <c r="A255">
        <v>10349</v>
      </c>
      <c r="B255">
        <v>48</v>
      </c>
      <c r="C255">
        <v>109.02</v>
      </c>
      <c r="D255">
        <v>9</v>
      </c>
      <c r="E255">
        <v>5232.96</v>
      </c>
      <c r="F255" s="1">
        <v>43800</v>
      </c>
      <c r="G255" s="2" t="s">
        <v>19</v>
      </c>
      <c r="H255" s="2" t="s">
        <v>537</v>
      </c>
      <c r="I255">
        <v>118</v>
      </c>
      <c r="J255" s="2" t="s">
        <v>554</v>
      </c>
      <c r="K255" s="2" t="s">
        <v>506</v>
      </c>
      <c r="L255" s="2" t="s">
        <v>507</v>
      </c>
      <c r="M255" s="2" t="s">
        <v>508</v>
      </c>
      <c r="N255" s="2" t="s">
        <v>25</v>
      </c>
      <c r="O255" s="2" t="s">
        <v>26</v>
      </c>
      <c r="P255" s="2" t="s">
        <v>27</v>
      </c>
      <c r="Q255" s="2" t="s">
        <v>52</v>
      </c>
      <c r="R255" s="2" t="s">
        <v>509</v>
      </c>
      <c r="S255" s="2" t="s">
        <v>46</v>
      </c>
      <c r="T255">
        <v>553</v>
      </c>
      <c r="U255">
        <f>VLOOKUP(Auto_Sales_data___Copy[[#This Row],[CUSTOMER_NAME]],$AF$2:$AH$90,2,FALSE)</f>
        <v>48</v>
      </c>
      <c r="V255">
        <f>VLOOKUP(Auto_Sales_data___Copy[[#This Row],[CUSTOMER_NAME]],$AF$2:$AH$90,3,FALSE)</f>
        <v>197736.93999999997</v>
      </c>
      <c r="W255" s="2">
        <f>6-MATCH(Auto_Sales_data___Copy[[#This Row],[DAYS_SINCE_LAST_ORDER]],Table2[R-Cutoff],1)</f>
        <v>5</v>
      </c>
      <c r="X255" s="2">
        <f>MATCH(Auto_Sales_data___Copy[[#This Row],[Total_Orders_Per_Customer]],Table2[F-Cutoff],1)</f>
        <v>4</v>
      </c>
      <c r="Y255" s="2">
        <f>MATCH(Auto_Sales_data___Copy[[#This Row],[Total_Sales_Per_Customer]],Table2[M-Cutoff],1)</f>
        <v>4</v>
      </c>
      <c r="Z255" s="2" t="str">
        <f>Auto_Sales_data___Copy[[#This Row],[R-Score(1-5)]]&amp;Auto_Sales_data___Copy[[#This Row],[F-Score(1-5)]]&amp;Auto_Sales_data___Copy[[#This Row],[M-Score(1-5)]]</f>
        <v>544</v>
      </c>
      <c r="AA255" s="2" t="str" cm="1">
        <f t="array" ref="AA2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5" s="2" t="str">
        <f>VLOOKUP(Auto_Sales_data___Copy[[#This Row],[Segment Name]],Table3[],2,FALSE)</f>
        <v>VIP Recognitioon &amp; Inclusivity</v>
      </c>
    </row>
    <row r="256" spans="1:28" x14ac:dyDescent="0.25">
      <c r="A256">
        <v>10349</v>
      </c>
      <c r="B256">
        <v>38</v>
      </c>
      <c r="C256">
        <v>176.83</v>
      </c>
      <c r="D256">
        <v>8</v>
      </c>
      <c r="E256">
        <v>6719.54</v>
      </c>
      <c r="F256" s="1">
        <v>43800</v>
      </c>
      <c r="G256" s="2" t="s">
        <v>19</v>
      </c>
      <c r="H256" s="2" t="s">
        <v>183</v>
      </c>
      <c r="I256">
        <v>163</v>
      </c>
      <c r="J256" s="2" t="s">
        <v>631</v>
      </c>
      <c r="K256" s="2" t="s">
        <v>506</v>
      </c>
      <c r="L256" s="2" t="s">
        <v>507</v>
      </c>
      <c r="M256" s="2" t="s">
        <v>508</v>
      </c>
      <c r="N256" s="2" t="s">
        <v>25</v>
      </c>
      <c r="O256" s="2" t="s">
        <v>26</v>
      </c>
      <c r="P256" s="2" t="s">
        <v>27</v>
      </c>
      <c r="Q256" s="2" t="s">
        <v>52</v>
      </c>
      <c r="R256" s="2" t="s">
        <v>509</v>
      </c>
      <c r="S256" s="2" t="s">
        <v>46</v>
      </c>
      <c r="T256">
        <v>829</v>
      </c>
      <c r="U256">
        <f>VLOOKUP(Auto_Sales_data___Copy[[#This Row],[CUSTOMER_NAME]],$AF$2:$AH$90,2,FALSE)</f>
        <v>48</v>
      </c>
      <c r="V256">
        <f>VLOOKUP(Auto_Sales_data___Copy[[#This Row],[CUSTOMER_NAME]],$AF$2:$AH$90,3,FALSE)</f>
        <v>197736.93999999997</v>
      </c>
      <c r="W256" s="2">
        <f>6-MATCH(Auto_Sales_data___Copy[[#This Row],[DAYS_SINCE_LAST_ORDER]],Table2[R-Cutoff],1)</f>
        <v>5</v>
      </c>
      <c r="X256" s="2">
        <f>MATCH(Auto_Sales_data___Copy[[#This Row],[Total_Orders_Per_Customer]],Table2[F-Cutoff],1)</f>
        <v>4</v>
      </c>
      <c r="Y256" s="2">
        <f>MATCH(Auto_Sales_data___Copy[[#This Row],[Total_Sales_Per_Customer]],Table2[M-Cutoff],1)</f>
        <v>4</v>
      </c>
      <c r="Z256" s="2" t="str">
        <f>Auto_Sales_data___Copy[[#This Row],[R-Score(1-5)]]&amp;Auto_Sales_data___Copy[[#This Row],[F-Score(1-5)]]&amp;Auto_Sales_data___Copy[[#This Row],[M-Score(1-5)]]</f>
        <v>544</v>
      </c>
      <c r="AA256" s="2" t="str" cm="1">
        <f t="array" ref="AA2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6" s="2" t="str">
        <f>VLOOKUP(Auto_Sales_data___Copy[[#This Row],[Segment Name]],Table3[],2,FALSE)</f>
        <v>VIP Recognitioon &amp; Inclusivity</v>
      </c>
    </row>
    <row r="257" spans="1:28" x14ac:dyDescent="0.25">
      <c r="A257">
        <v>10349</v>
      </c>
      <c r="B257">
        <v>38</v>
      </c>
      <c r="C257">
        <v>137.46</v>
      </c>
      <c r="D257">
        <v>7</v>
      </c>
      <c r="E257">
        <v>5223.4799999999996</v>
      </c>
      <c r="F257" s="1">
        <v>43800</v>
      </c>
      <c r="G257" s="2" t="s">
        <v>19</v>
      </c>
      <c r="H257" s="2" t="s">
        <v>537</v>
      </c>
      <c r="I257">
        <v>122</v>
      </c>
      <c r="J257" s="2" t="s">
        <v>633</v>
      </c>
      <c r="K257" s="2" t="s">
        <v>506</v>
      </c>
      <c r="L257" s="2" t="s">
        <v>507</v>
      </c>
      <c r="M257" s="2" t="s">
        <v>508</v>
      </c>
      <c r="N257" s="2" t="s">
        <v>25</v>
      </c>
      <c r="O257" s="2" t="s">
        <v>26</v>
      </c>
      <c r="P257" s="2" t="s">
        <v>27</v>
      </c>
      <c r="Q257" s="2" t="s">
        <v>52</v>
      </c>
      <c r="R257" s="2" t="s">
        <v>509</v>
      </c>
      <c r="S257" s="2" t="s">
        <v>46</v>
      </c>
      <c r="T257">
        <v>876</v>
      </c>
      <c r="U257">
        <f>VLOOKUP(Auto_Sales_data___Copy[[#This Row],[CUSTOMER_NAME]],$AF$2:$AH$90,2,FALSE)</f>
        <v>48</v>
      </c>
      <c r="V257">
        <f>VLOOKUP(Auto_Sales_data___Copy[[#This Row],[CUSTOMER_NAME]],$AF$2:$AH$90,3,FALSE)</f>
        <v>197736.93999999997</v>
      </c>
      <c r="W257" s="2">
        <f>6-MATCH(Auto_Sales_data___Copy[[#This Row],[DAYS_SINCE_LAST_ORDER]],Table2[R-Cutoff],1)</f>
        <v>5</v>
      </c>
      <c r="X257" s="2">
        <f>MATCH(Auto_Sales_data___Copy[[#This Row],[Total_Orders_Per_Customer]],Table2[F-Cutoff],1)</f>
        <v>4</v>
      </c>
      <c r="Y257" s="2">
        <f>MATCH(Auto_Sales_data___Copy[[#This Row],[Total_Sales_Per_Customer]],Table2[M-Cutoff],1)</f>
        <v>4</v>
      </c>
      <c r="Z257" s="2" t="str">
        <f>Auto_Sales_data___Copy[[#This Row],[R-Score(1-5)]]&amp;Auto_Sales_data___Copy[[#This Row],[F-Score(1-5)]]&amp;Auto_Sales_data___Copy[[#This Row],[M-Score(1-5)]]</f>
        <v>544</v>
      </c>
      <c r="AA257" s="2" t="str" cm="1">
        <f t="array" ref="AA2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7" s="2" t="str">
        <f>VLOOKUP(Auto_Sales_data___Copy[[#This Row],[Segment Name]],Table3[],2,FALSE)</f>
        <v>VIP Recognitioon &amp; Inclusivity</v>
      </c>
    </row>
    <row r="258" spans="1:28" x14ac:dyDescent="0.25">
      <c r="A258">
        <v>10357</v>
      </c>
      <c r="B258">
        <v>32</v>
      </c>
      <c r="C258">
        <v>177.87</v>
      </c>
      <c r="D258">
        <v>10</v>
      </c>
      <c r="E258">
        <v>5691.84</v>
      </c>
      <c r="F258" s="1">
        <v>43809</v>
      </c>
      <c r="G258" s="2" t="s">
        <v>19</v>
      </c>
      <c r="H258" s="2" t="s">
        <v>183</v>
      </c>
      <c r="I258">
        <v>214</v>
      </c>
      <c r="J258" s="2" t="s">
        <v>184</v>
      </c>
      <c r="K258" s="2" t="s">
        <v>284</v>
      </c>
      <c r="L258" s="2" t="s">
        <v>285</v>
      </c>
      <c r="M258" s="2" t="s">
        <v>286</v>
      </c>
      <c r="N258" s="2" t="s">
        <v>287</v>
      </c>
      <c r="O258" s="2" t="s">
        <v>106</v>
      </c>
      <c r="P258" s="2" t="s">
        <v>27</v>
      </c>
      <c r="Q258" s="2" t="s">
        <v>288</v>
      </c>
      <c r="R258" s="2" t="s">
        <v>289</v>
      </c>
      <c r="S258" s="2" t="s">
        <v>46</v>
      </c>
      <c r="T258">
        <v>219</v>
      </c>
      <c r="U258">
        <f>VLOOKUP(Auto_Sales_data___Copy[[#This Row],[CUSTOMER_NAME]],$AF$2:$AH$90,2,FALSE)</f>
        <v>180</v>
      </c>
      <c r="V258">
        <f>VLOOKUP(Auto_Sales_data___Copy[[#This Row],[CUSTOMER_NAME]],$AF$2:$AH$90,3,FALSE)</f>
        <v>654858.06000000017</v>
      </c>
      <c r="W258" s="2">
        <f>6-MATCH(Auto_Sales_data___Copy[[#This Row],[DAYS_SINCE_LAST_ORDER]],Table2[R-Cutoff],1)</f>
        <v>5</v>
      </c>
      <c r="X258" s="2">
        <f>MATCH(Auto_Sales_data___Copy[[#This Row],[Total_Orders_Per_Customer]],Table2[F-Cutoff],1)</f>
        <v>4</v>
      </c>
      <c r="Y258" s="2">
        <f>MATCH(Auto_Sales_data___Copy[[#This Row],[Total_Sales_Per_Customer]],Table2[M-Cutoff],1)</f>
        <v>4</v>
      </c>
      <c r="Z258" s="2" t="str">
        <f>Auto_Sales_data___Copy[[#This Row],[R-Score(1-5)]]&amp;Auto_Sales_data___Copy[[#This Row],[F-Score(1-5)]]&amp;Auto_Sales_data___Copy[[#This Row],[M-Score(1-5)]]</f>
        <v>544</v>
      </c>
      <c r="AA258" s="2" t="str" cm="1">
        <f t="array" ref="AA2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8" s="2" t="str">
        <f>VLOOKUP(Auto_Sales_data___Copy[[#This Row],[Segment Name]],Table3[],2,FALSE)</f>
        <v>VIP Recognitioon &amp; Inclusivity</v>
      </c>
    </row>
    <row r="259" spans="1:28" x14ac:dyDescent="0.25">
      <c r="A259">
        <v>10357</v>
      </c>
      <c r="B259">
        <v>43</v>
      </c>
      <c r="C259">
        <v>134.44</v>
      </c>
      <c r="D259">
        <v>9</v>
      </c>
      <c r="E259">
        <v>5780.92</v>
      </c>
      <c r="F259" s="1">
        <v>43809</v>
      </c>
      <c r="G259" s="2" t="s">
        <v>19</v>
      </c>
      <c r="H259" s="2" t="s">
        <v>183</v>
      </c>
      <c r="I259">
        <v>147</v>
      </c>
      <c r="J259" s="2" t="s">
        <v>424</v>
      </c>
      <c r="K259" s="2" t="s">
        <v>284</v>
      </c>
      <c r="L259" s="2" t="s">
        <v>285</v>
      </c>
      <c r="M259" s="2" t="s">
        <v>286</v>
      </c>
      <c r="N259" s="2" t="s">
        <v>287</v>
      </c>
      <c r="O259" s="2" t="s">
        <v>106</v>
      </c>
      <c r="P259" s="2" t="s">
        <v>27</v>
      </c>
      <c r="Q259" s="2" t="s">
        <v>288</v>
      </c>
      <c r="R259" s="2" t="s">
        <v>289</v>
      </c>
      <c r="S259" s="2" t="s">
        <v>46</v>
      </c>
      <c r="T259">
        <v>319</v>
      </c>
      <c r="U259">
        <f>VLOOKUP(Auto_Sales_data___Copy[[#This Row],[CUSTOMER_NAME]],$AF$2:$AH$90,2,FALSE)</f>
        <v>180</v>
      </c>
      <c r="V259">
        <f>VLOOKUP(Auto_Sales_data___Copy[[#This Row],[CUSTOMER_NAME]],$AF$2:$AH$90,3,FALSE)</f>
        <v>654858.06000000017</v>
      </c>
      <c r="W259" s="2">
        <f>6-MATCH(Auto_Sales_data___Copy[[#This Row],[DAYS_SINCE_LAST_ORDER]],Table2[R-Cutoff],1)</f>
        <v>5</v>
      </c>
      <c r="X259" s="2">
        <f>MATCH(Auto_Sales_data___Copy[[#This Row],[Total_Orders_Per_Customer]],Table2[F-Cutoff],1)</f>
        <v>4</v>
      </c>
      <c r="Y259" s="2">
        <f>MATCH(Auto_Sales_data___Copy[[#This Row],[Total_Sales_Per_Customer]],Table2[M-Cutoff],1)</f>
        <v>4</v>
      </c>
      <c r="Z259" s="2" t="str">
        <f>Auto_Sales_data___Copy[[#This Row],[R-Score(1-5)]]&amp;Auto_Sales_data___Copy[[#This Row],[F-Score(1-5)]]&amp;Auto_Sales_data___Copy[[#This Row],[M-Score(1-5)]]</f>
        <v>544</v>
      </c>
      <c r="AA259" s="2" t="str" cm="1">
        <f t="array" ref="AA2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9" s="2" t="str">
        <f>VLOOKUP(Auto_Sales_data___Copy[[#This Row],[Segment Name]],Table3[],2,FALSE)</f>
        <v>VIP Recognitioon &amp; Inclusivity</v>
      </c>
    </row>
    <row r="260" spans="1:28" x14ac:dyDescent="0.25">
      <c r="A260">
        <v>10357</v>
      </c>
      <c r="B260">
        <v>49</v>
      </c>
      <c r="C260">
        <v>121.64</v>
      </c>
      <c r="D260">
        <v>8</v>
      </c>
      <c r="E260">
        <v>5960.36</v>
      </c>
      <c r="F260" s="1">
        <v>43809</v>
      </c>
      <c r="G260" s="2" t="s">
        <v>19</v>
      </c>
      <c r="H260" s="2" t="s">
        <v>537</v>
      </c>
      <c r="I260">
        <v>136</v>
      </c>
      <c r="J260" s="2" t="s">
        <v>538</v>
      </c>
      <c r="K260" s="2" t="s">
        <v>284</v>
      </c>
      <c r="L260" s="2" t="s">
        <v>285</v>
      </c>
      <c r="M260" s="2" t="s">
        <v>286</v>
      </c>
      <c r="N260" s="2" t="s">
        <v>287</v>
      </c>
      <c r="O260" s="2" t="s">
        <v>106</v>
      </c>
      <c r="P260" s="2" t="s">
        <v>27</v>
      </c>
      <c r="Q260" s="2" t="s">
        <v>288</v>
      </c>
      <c r="R260" s="2" t="s">
        <v>289</v>
      </c>
      <c r="S260" s="2" t="s">
        <v>46</v>
      </c>
      <c r="T260">
        <v>395</v>
      </c>
      <c r="U260">
        <f>VLOOKUP(Auto_Sales_data___Copy[[#This Row],[CUSTOMER_NAME]],$AF$2:$AH$90,2,FALSE)</f>
        <v>180</v>
      </c>
      <c r="V260">
        <f>VLOOKUP(Auto_Sales_data___Copy[[#This Row],[CUSTOMER_NAME]],$AF$2:$AH$90,3,FALSE)</f>
        <v>654858.06000000017</v>
      </c>
      <c r="W260" s="2">
        <f>6-MATCH(Auto_Sales_data___Copy[[#This Row],[DAYS_SINCE_LAST_ORDER]],Table2[R-Cutoff],1)</f>
        <v>5</v>
      </c>
      <c r="X260" s="2">
        <f>MATCH(Auto_Sales_data___Copy[[#This Row],[Total_Orders_Per_Customer]],Table2[F-Cutoff],1)</f>
        <v>4</v>
      </c>
      <c r="Y260" s="2">
        <f>MATCH(Auto_Sales_data___Copy[[#This Row],[Total_Sales_Per_Customer]],Table2[M-Cutoff],1)</f>
        <v>4</v>
      </c>
      <c r="Z260" s="2" t="str">
        <f>Auto_Sales_data___Copy[[#This Row],[R-Score(1-5)]]&amp;Auto_Sales_data___Copy[[#This Row],[F-Score(1-5)]]&amp;Auto_Sales_data___Copy[[#This Row],[M-Score(1-5)]]</f>
        <v>544</v>
      </c>
      <c r="AA260" s="2" t="str" cm="1">
        <f t="array" ref="AA2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0" s="2" t="str">
        <f>VLOOKUP(Auto_Sales_data___Copy[[#This Row],[Segment Name]],Table3[],2,FALSE)</f>
        <v>VIP Recognitioon &amp; Inclusivity</v>
      </c>
    </row>
    <row r="261" spans="1:28" x14ac:dyDescent="0.25">
      <c r="A261">
        <v>10357</v>
      </c>
      <c r="B261">
        <v>39</v>
      </c>
      <c r="C261">
        <v>98</v>
      </c>
      <c r="D261">
        <v>1</v>
      </c>
      <c r="E261">
        <v>3822</v>
      </c>
      <c r="F261" s="1">
        <v>43809</v>
      </c>
      <c r="G261" s="2" t="s">
        <v>19</v>
      </c>
      <c r="H261" s="2" t="s">
        <v>537</v>
      </c>
      <c r="I261">
        <v>116</v>
      </c>
      <c r="J261" s="2" t="s">
        <v>575</v>
      </c>
      <c r="K261" s="2" t="s">
        <v>284</v>
      </c>
      <c r="L261" s="2" t="s">
        <v>285</v>
      </c>
      <c r="M261" s="2" t="s">
        <v>286</v>
      </c>
      <c r="N261" s="2" t="s">
        <v>287</v>
      </c>
      <c r="O261" s="2" t="s">
        <v>106</v>
      </c>
      <c r="P261" s="2" t="s">
        <v>27</v>
      </c>
      <c r="Q261" s="2" t="s">
        <v>288</v>
      </c>
      <c r="R261" s="2" t="s">
        <v>289</v>
      </c>
      <c r="S261" s="2" t="s">
        <v>46</v>
      </c>
      <c r="T261">
        <v>596</v>
      </c>
      <c r="U261">
        <f>VLOOKUP(Auto_Sales_data___Copy[[#This Row],[CUSTOMER_NAME]],$AF$2:$AH$90,2,FALSE)</f>
        <v>180</v>
      </c>
      <c r="V261">
        <f>VLOOKUP(Auto_Sales_data___Copy[[#This Row],[CUSTOMER_NAME]],$AF$2:$AH$90,3,FALSE)</f>
        <v>654858.06000000017</v>
      </c>
      <c r="W261" s="2">
        <f>6-MATCH(Auto_Sales_data___Copy[[#This Row],[DAYS_SINCE_LAST_ORDER]],Table2[R-Cutoff],1)</f>
        <v>5</v>
      </c>
      <c r="X261" s="2">
        <f>MATCH(Auto_Sales_data___Copy[[#This Row],[Total_Orders_Per_Customer]],Table2[F-Cutoff],1)</f>
        <v>4</v>
      </c>
      <c r="Y261" s="2">
        <f>MATCH(Auto_Sales_data___Copy[[#This Row],[Total_Sales_Per_Customer]],Table2[M-Cutoff],1)</f>
        <v>4</v>
      </c>
      <c r="Z261" s="2" t="str">
        <f>Auto_Sales_data___Copy[[#This Row],[R-Score(1-5)]]&amp;Auto_Sales_data___Copy[[#This Row],[F-Score(1-5)]]&amp;Auto_Sales_data___Copy[[#This Row],[M-Score(1-5)]]</f>
        <v>544</v>
      </c>
      <c r="AA261" s="2" t="str" cm="1">
        <f t="array" ref="AA2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1" s="2" t="str">
        <f>VLOOKUP(Auto_Sales_data___Copy[[#This Row],[Segment Name]],Table3[],2,FALSE)</f>
        <v>VIP Recognitioon &amp; Inclusivity</v>
      </c>
    </row>
    <row r="262" spans="1:28" x14ac:dyDescent="0.25">
      <c r="A262">
        <v>10357</v>
      </c>
      <c r="B262">
        <v>41</v>
      </c>
      <c r="C262">
        <v>61.99</v>
      </c>
      <c r="D262">
        <v>7</v>
      </c>
      <c r="E262">
        <v>2541.59</v>
      </c>
      <c r="F262" s="1">
        <v>43809</v>
      </c>
      <c r="G262" s="2" t="s">
        <v>19</v>
      </c>
      <c r="H262" s="2" t="s">
        <v>537</v>
      </c>
      <c r="I262">
        <v>60</v>
      </c>
      <c r="J262" s="2" t="s">
        <v>635</v>
      </c>
      <c r="K262" s="2" t="s">
        <v>284</v>
      </c>
      <c r="L262" s="2" t="s">
        <v>285</v>
      </c>
      <c r="M262" s="2" t="s">
        <v>286</v>
      </c>
      <c r="N262" s="2" t="s">
        <v>287</v>
      </c>
      <c r="O262" s="2" t="s">
        <v>106</v>
      </c>
      <c r="P262" s="2" t="s">
        <v>27</v>
      </c>
      <c r="Q262" s="2" t="s">
        <v>288</v>
      </c>
      <c r="R262" s="2" t="s">
        <v>289</v>
      </c>
      <c r="S262" s="2" t="s">
        <v>30</v>
      </c>
      <c r="T262">
        <v>919</v>
      </c>
      <c r="U262">
        <f>VLOOKUP(Auto_Sales_data___Copy[[#This Row],[CUSTOMER_NAME]],$AF$2:$AH$90,2,FALSE)</f>
        <v>180</v>
      </c>
      <c r="V262">
        <f>VLOOKUP(Auto_Sales_data___Copy[[#This Row],[CUSTOMER_NAME]],$AF$2:$AH$90,3,FALSE)</f>
        <v>654858.06000000017</v>
      </c>
      <c r="W262" s="2">
        <f>6-MATCH(Auto_Sales_data___Copy[[#This Row],[DAYS_SINCE_LAST_ORDER]],Table2[R-Cutoff],1)</f>
        <v>5</v>
      </c>
      <c r="X262" s="2">
        <f>MATCH(Auto_Sales_data___Copy[[#This Row],[Total_Orders_Per_Customer]],Table2[F-Cutoff],1)</f>
        <v>4</v>
      </c>
      <c r="Y262" s="2">
        <f>MATCH(Auto_Sales_data___Copy[[#This Row],[Total_Sales_Per_Customer]],Table2[M-Cutoff],1)</f>
        <v>4</v>
      </c>
      <c r="Z262" s="2" t="str">
        <f>Auto_Sales_data___Copy[[#This Row],[R-Score(1-5)]]&amp;Auto_Sales_data___Copy[[#This Row],[F-Score(1-5)]]&amp;Auto_Sales_data___Copy[[#This Row],[M-Score(1-5)]]</f>
        <v>544</v>
      </c>
      <c r="AA262" s="2" t="str" cm="1">
        <f t="array" ref="AA2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2" s="2" t="str">
        <f>VLOOKUP(Auto_Sales_data___Copy[[#This Row],[Segment Name]],Table3[],2,FALSE)</f>
        <v>VIP Recognitioon &amp; Inclusivity</v>
      </c>
    </row>
    <row r="263" spans="1:28" x14ac:dyDescent="0.25">
      <c r="A263">
        <v>10359</v>
      </c>
      <c r="B263">
        <v>48</v>
      </c>
      <c r="C263">
        <v>54.68</v>
      </c>
      <c r="D263">
        <v>6</v>
      </c>
      <c r="E263">
        <v>2624.64</v>
      </c>
      <c r="F263" s="1">
        <v>43814</v>
      </c>
      <c r="G263" s="2" t="s">
        <v>19</v>
      </c>
      <c r="H263" s="2" t="s">
        <v>183</v>
      </c>
      <c r="I263">
        <v>136</v>
      </c>
      <c r="J263" s="2" t="s">
        <v>338</v>
      </c>
      <c r="K263" s="2" t="s">
        <v>31</v>
      </c>
      <c r="L263" s="2" t="s">
        <v>32</v>
      </c>
      <c r="M263" s="2" t="s">
        <v>33</v>
      </c>
      <c r="N263" s="2" t="s">
        <v>34</v>
      </c>
      <c r="O263" s="2" t="s">
        <v>35</v>
      </c>
      <c r="P263" s="2" t="s">
        <v>36</v>
      </c>
      <c r="Q263" s="2" t="s">
        <v>37</v>
      </c>
      <c r="R263" s="2" t="s">
        <v>38</v>
      </c>
      <c r="S263" s="2" t="s">
        <v>30</v>
      </c>
      <c r="T263">
        <v>287</v>
      </c>
      <c r="U263">
        <f>VLOOKUP(Auto_Sales_data___Copy[[#This Row],[CUSTOMER_NAME]],$AF$2:$AH$90,2,FALSE)</f>
        <v>41</v>
      </c>
      <c r="V263">
        <f>VLOOKUP(Auto_Sales_data___Copy[[#This Row],[CUSTOMER_NAME]],$AF$2:$AH$90,3,FALSE)</f>
        <v>135042.94</v>
      </c>
      <c r="W263" s="2">
        <f>6-MATCH(Auto_Sales_data___Copy[[#This Row],[DAYS_SINCE_LAST_ORDER]],Table2[R-Cutoff],1)</f>
        <v>5</v>
      </c>
      <c r="X263" s="2">
        <f>MATCH(Auto_Sales_data___Copy[[#This Row],[Total_Orders_Per_Customer]],Table2[F-Cutoff],1)</f>
        <v>4</v>
      </c>
      <c r="Y263" s="2">
        <f>MATCH(Auto_Sales_data___Copy[[#This Row],[Total_Sales_Per_Customer]],Table2[M-Cutoff],1)</f>
        <v>4</v>
      </c>
      <c r="Z263" s="2" t="str">
        <f>Auto_Sales_data___Copy[[#This Row],[R-Score(1-5)]]&amp;Auto_Sales_data___Copy[[#This Row],[F-Score(1-5)]]&amp;Auto_Sales_data___Copy[[#This Row],[M-Score(1-5)]]</f>
        <v>544</v>
      </c>
      <c r="AA263" s="2" t="str" cm="1">
        <f t="array" ref="AA2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3" s="2" t="str">
        <f>VLOOKUP(Auto_Sales_data___Copy[[#This Row],[Segment Name]],Table3[],2,FALSE)</f>
        <v>VIP Recognitioon &amp; Inclusivity</v>
      </c>
    </row>
    <row r="264" spans="1:28" x14ac:dyDescent="0.25">
      <c r="A264">
        <v>10359</v>
      </c>
      <c r="B264">
        <v>42</v>
      </c>
      <c r="C264">
        <v>113.44</v>
      </c>
      <c r="D264">
        <v>8</v>
      </c>
      <c r="E264">
        <v>4764.4799999999996</v>
      </c>
      <c r="F264" s="1">
        <v>43814</v>
      </c>
      <c r="G264" s="2" t="s">
        <v>19</v>
      </c>
      <c r="H264" s="2" t="s">
        <v>183</v>
      </c>
      <c r="I264">
        <v>207</v>
      </c>
      <c r="J264" s="2" t="s">
        <v>505</v>
      </c>
      <c r="K264" s="2" t="s">
        <v>31</v>
      </c>
      <c r="L264" s="2" t="s">
        <v>32</v>
      </c>
      <c r="M264" s="2" t="s">
        <v>33</v>
      </c>
      <c r="N264" s="2" t="s">
        <v>34</v>
      </c>
      <c r="O264" s="2" t="s">
        <v>35</v>
      </c>
      <c r="P264" s="2" t="s">
        <v>36</v>
      </c>
      <c r="Q264" s="2" t="s">
        <v>37</v>
      </c>
      <c r="R264" s="2" t="s">
        <v>38</v>
      </c>
      <c r="S264" s="2" t="s">
        <v>46</v>
      </c>
      <c r="T264">
        <v>364</v>
      </c>
      <c r="U264">
        <f>VLOOKUP(Auto_Sales_data___Copy[[#This Row],[CUSTOMER_NAME]],$AF$2:$AH$90,2,FALSE)</f>
        <v>41</v>
      </c>
      <c r="V264">
        <f>VLOOKUP(Auto_Sales_data___Copy[[#This Row],[CUSTOMER_NAME]],$AF$2:$AH$90,3,FALSE)</f>
        <v>135042.94</v>
      </c>
      <c r="W264" s="2">
        <f>6-MATCH(Auto_Sales_data___Copy[[#This Row],[DAYS_SINCE_LAST_ORDER]],Table2[R-Cutoff],1)</f>
        <v>5</v>
      </c>
      <c r="X264" s="2">
        <f>MATCH(Auto_Sales_data___Copy[[#This Row],[Total_Orders_Per_Customer]],Table2[F-Cutoff],1)</f>
        <v>4</v>
      </c>
      <c r="Y264" s="2">
        <f>MATCH(Auto_Sales_data___Copy[[#This Row],[Total_Sales_Per_Customer]],Table2[M-Cutoff],1)</f>
        <v>4</v>
      </c>
      <c r="Z264" s="2" t="str">
        <f>Auto_Sales_data___Copy[[#This Row],[R-Score(1-5)]]&amp;Auto_Sales_data___Copy[[#This Row],[F-Score(1-5)]]&amp;Auto_Sales_data___Copy[[#This Row],[M-Score(1-5)]]</f>
        <v>544</v>
      </c>
      <c r="AA264" s="2" t="str" cm="1">
        <f t="array" ref="AA2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4" s="2" t="str">
        <f>VLOOKUP(Auto_Sales_data___Copy[[#This Row],[Segment Name]],Table3[],2,FALSE)</f>
        <v>VIP Recognitioon &amp; Inclusivity</v>
      </c>
    </row>
    <row r="265" spans="1:28" x14ac:dyDescent="0.25">
      <c r="A265">
        <v>10359</v>
      </c>
      <c r="B265">
        <v>49</v>
      </c>
      <c r="C265">
        <v>62.09</v>
      </c>
      <c r="D265">
        <v>5</v>
      </c>
      <c r="E265">
        <v>3042.41</v>
      </c>
      <c r="F265" s="1">
        <v>43814</v>
      </c>
      <c r="G265" s="2" t="s">
        <v>19</v>
      </c>
      <c r="H265" s="2" t="s">
        <v>183</v>
      </c>
      <c r="I265">
        <v>173</v>
      </c>
      <c r="J265" s="2" t="s">
        <v>552</v>
      </c>
      <c r="K265" s="2" t="s">
        <v>31</v>
      </c>
      <c r="L265" s="2" t="s">
        <v>32</v>
      </c>
      <c r="M265" s="2" t="s">
        <v>33</v>
      </c>
      <c r="N265" s="2" t="s">
        <v>34</v>
      </c>
      <c r="O265" s="2" t="s">
        <v>35</v>
      </c>
      <c r="P265" s="2" t="s">
        <v>36</v>
      </c>
      <c r="Q265" s="2" t="s">
        <v>37</v>
      </c>
      <c r="R265" s="2" t="s">
        <v>38</v>
      </c>
      <c r="S265" s="2" t="s">
        <v>46</v>
      </c>
      <c r="T265">
        <v>489</v>
      </c>
      <c r="U265">
        <f>VLOOKUP(Auto_Sales_data___Copy[[#This Row],[CUSTOMER_NAME]],$AF$2:$AH$90,2,FALSE)</f>
        <v>41</v>
      </c>
      <c r="V265">
        <f>VLOOKUP(Auto_Sales_data___Copy[[#This Row],[CUSTOMER_NAME]],$AF$2:$AH$90,3,FALSE)</f>
        <v>135042.94</v>
      </c>
      <c r="W265" s="2">
        <f>6-MATCH(Auto_Sales_data___Copy[[#This Row],[DAYS_SINCE_LAST_ORDER]],Table2[R-Cutoff],1)</f>
        <v>5</v>
      </c>
      <c r="X265" s="2">
        <f>MATCH(Auto_Sales_data___Copy[[#This Row],[Total_Orders_Per_Customer]],Table2[F-Cutoff],1)</f>
        <v>4</v>
      </c>
      <c r="Y265" s="2">
        <f>MATCH(Auto_Sales_data___Copy[[#This Row],[Total_Sales_Per_Customer]],Table2[M-Cutoff],1)</f>
        <v>4</v>
      </c>
      <c r="Z265" s="2" t="str">
        <f>Auto_Sales_data___Copy[[#This Row],[R-Score(1-5)]]&amp;Auto_Sales_data___Copy[[#This Row],[F-Score(1-5)]]&amp;Auto_Sales_data___Copy[[#This Row],[M-Score(1-5)]]</f>
        <v>544</v>
      </c>
      <c r="AA265" s="2" t="str" cm="1">
        <f t="array" ref="AA2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5" s="2" t="str">
        <f>VLOOKUP(Auto_Sales_data___Copy[[#This Row],[Segment Name]],Table3[],2,FALSE)</f>
        <v>VIP Recognitioon &amp; Inclusivity</v>
      </c>
    </row>
    <row r="266" spans="1:28" x14ac:dyDescent="0.25">
      <c r="A266">
        <v>10361</v>
      </c>
      <c r="B266">
        <v>20</v>
      </c>
      <c r="C266">
        <v>72.55</v>
      </c>
      <c r="D266">
        <v>13</v>
      </c>
      <c r="E266">
        <v>1451</v>
      </c>
      <c r="F266" s="1">
        <v>43816</v>
      </c>
      <c r="G266" s="2" t="s">
        <v>19</v>
      </c>
      <c r="H266" s="2" t="s">
        <v>20</v>
      </c>
      <c r="I266">
        <v>95</v>
      </c>
      <c r="J266" s="2" t="s">
        <v>21</v>
      </c>
      <c r="K266" s="2" t="s">
        <v>152</v>
      </c>
      <c r="L266" s="2" t="s">
        <v>153</v>
      </c>
      <c r="M266" s="2" t="s">
        <v>154</v>
      </c>
      <c r="N266" s="2" t="s">
        <v>155</v>
      </c>
      <c r="O266" s="2" t="s">
        <v>156</v>
      </c>
      <c r="P266" s="2" t="s">
        <v>87</v>
      </c>
      <c r="Q266" s="2" t="s">
        <v>157</v>
      </c>
      <c r="R266" s="2" t="s">
        <v>158</v>
      </c>
      <c r="S266" s="2" t="s">
        <v>30</v>
      </c>
      <c r="T266">
        <v>186</v>
      </c>
      <c r="U266">
        <f>VLOOKUP(Auto_Sales_data___Copy[[#This Row],[CUSTOMER_NAME]],$AF$2:$AH$90,2,FALSE)</f>
        <v>46</v>
      </c>
      <c r="V266">
        <f>VLOOKUP(Auto_Sales_data___Copy[[#This Row],[CUSTOMER_NAME]],$AF$2:$AH$90,3,FALSE)</f>
        <v>151570.98000000001</v>
      </c>
      <c r="W266" s="2">
        <f>6-MATCH(Auto_Sales_data___Copy[[#This Row],[DAYS_SINCE_LAST_ORDER]],Table2[R-Cutoff],1)</f>
        <v>5</v>
      </c>
      <c r="X266" s="2">
        <f>MATCH(Auto_Sales_data___Copy[[#This Row],[Total_Orders_Per_Customer]],Table2[F-Cutoff],1)</f>
        <v>4</v>
      </c>
      <c r="Y266" s="2">
        <f>MATCH(Auto_Sales_data___Copy[[#This Row],[Total_Sales_Per_Customer]],Table2[M-Cutoff],1)</f>
        <v>4</v>
      </c>
      <c r="Z266" s="2" t="str">
        <f>Auto_Sales_data___Copy[[#This Row],[R-Score(1-5)]]&amp;Auto_Sales_data___Copy[[#This Row],[F-Score(1-5)]]&amp;Auto_Sales_data___Copy[[#This Row],[M-Score(1-5)]]</f>
        <v>544</v>
      </c>
      <c r="AA266" s="2" t="str" cm="1">
        <f t="array" ref="AA2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6" s="2" t="str">
        <f>VLOOKUP(Auto_Sales_data___Copy[[#This Row],[Segment Name]],Table3[],2,FALSE)</f>
        <v>VIP Recognitioon &amp; Inclusivity</v>
      </c>
    </row>
    <row r="267" spans="1:28" x14ac:dyDescent="0.25">
      <c r="A267">
        <v>10361</v>
      </c>
      <c r="B267">
        <v>26</v>
      </c>
      <c r="C267">
        <v>51.15</v>
      </c>
      <c r="D267">
        <v>8</v>
      </c>
      <c r="E267">
        <v>1329.9</v>
      </c>
      <c r="F267" s="1">
        <v>43816</v>
      </c>
      <c r="G267" s="2" t="s">
        <v>19</v>
      </c>
      <c r="H267" s="2" t="s">
        <v>20</v>
      </c>
      <c r="I267">
        <v>118</v>
      </c>
      <c r="J267" s="2" t="s">
        <v>315</v>
      </c>
      <c r="K267" s="2" t="s">
        <v>152</v>
      </c>
      <c r="L267" s="2" t="s">
        <v>153</v>
      </c>
      <c r="M267" s="2" t="s">
        <v>154</v>
      </c>
      <c r="N267" s="2" t="s">
        <v>155</v>
      </c>
      <c r="O267" s="2" t="s">
        <v>156</v>
      </c>
      <c r="P267" s="2" t="s">
        <v>87</v>
      </c>
      <c r="Q267" s="2" t="s">
        <v>157</v>
      </c>
      <c r="R267" s="2" t="s">
        <v>158</v>
      </c>
      <c r="S267" s="2" t="s">
        <v>30</v>
      </c>
      <c r="T267">
        <v>236</v>
      </c>
      <c r="U267">
        <f>VLOOKUP(Auto_Sales_data___Copy[[#This Row],[CUSTOMER_NAME]],$AF$2:$AH$90,2,FALSE)</f>
        <v>46</v>
      </c>
      <c r="V267">
        <f>VLOOKUP(Auto_Sales_data___Copy[[#This Row],[CUSTOMER_NAME]],$AF$2:$AH$90,3,FALSE)</f>
        <v>151570.98000000001</v>
      </c>
      <c r="W267" s="2">
        <f>6-MATCH(Auto_Sales_data___Copy[[#This Row],[DAYS_SINCE_LAST_ORDER]],Table2[R-Cutoff],1)</f>
        <v>5</v>
      </c>
      <c r="X267" s="2">
        <f>MATCH(Auto_Sales_data___Copy[[#This Row],[Total_Orders_Per_Customer]],Table2[F-Cutoff],1)</f>
        <v>4</v>
      </c>
      <c r="Y267" s="2">
        <f>MATCH(Auto_Sales_data___Copy[[#This Row],[Total_Sales_Per_Customer]],Table2[M-Cutoff],1)</f>
        <v>4</v>
      </c>
      <c r="Z267" s="2" t="str">
        <f>Auto_Sales_data___Copy[[#This Row],[R-Score(1-5)]]&amp;Auto_Sales_data___Copy[[#This Row],[F-Score(1-5)]]&amp;Auto_Sales_data___Copy[[#This Row],[M-Score(1-5)]]</f>
        <v>544</v>
      </c>
      <c r="AA267" s="2" t="str" cm="1">
        <f t="array" ref="AA2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7" s="2" t="str">
        <f>VLOOKUP(Auto_Sales_data___Copy[[#This Row],[Segment Name]],Table3[],2,FALSE)</f>
        <v>VIP Recognitioon &amp; Inclusivity</v>
      </c>
    </row>
    <row r="268" spans="1:28" x14ac:dyDescent="0.25">
      <c r="A268">
        <v>10362</v>
      </c>
      <c r="B268">
        <v>22</v>
      </c>
      <c r="C268">
        <v>166.55</v>
      </c>
      <c r="D268">
        <v>4</v>
      </c>
      <c r="E268">
        <v>3664.1</v>
      </c>
      <c r="F268" s="1">
        <v>43835</v>
      </c>
      <c r="G268" s="2" t="s">
        <v>19</v>
      </c>
      <c r="H268" s="2" t="s">
        <v>20</v>
      </c>
      <c r="I268">
        <v>193</v>
      </c>
      <c r="J268" s="2" t="s">
        <v>337</v>
      </c>
      <c r="K268" s="2" t="s">
        <v>54</v>
      </c>
      <c r="L268" s="2" t="s">
        <v>55</v>
      </c>
      <c r="M268" s="2" t="s">
        <v>56</v>
      </c>
      <c r="N268" s="2" t="s">
        <v>57</v>
      </c>
      <c r="O268" s="2" t="s">
        <v>58</v>
      </c>
      <c r="P268" s="2" t="s">
        <v>27</v>
      </c>
      <c r="Q268" s="2" t="s">
        <v>59</v>
      </c>
      <c r="R268" s="2" t="s">
        <v>60</v>
      </c>
      <c r="S268" s="2" t="s">
        <v>46</v>
      </c>
      <c r="T268">
        <v>241</v>
      </c>
      <c r="U268">
        <f>VLOOKUP(Auto_Sales_data___Copy[[#This Row],[CUSTOMER_NAME]],$AF$2:$AH$90,2,FALSE)</f>
        <v>34</v>
      </c>
      <c r="V268">
        <f>VLOOKUP(Auto_Sales_data___Copy[[#This Row],[CUSTOMER_NAME]],$AF$2:$AH$90,3,FALSE)</f>
        <v>120783.07</v>
      </c>
      <c r="W268" s="2">
        <f>6-MATCH(Auto_Sales_data___Copy[[#This Row],[DAYS_SINCE_LAST_ORDER]],Table2[R-Cutoff],1)</f>
        <v>5</v>
      </c>
      <c r="X268" s="2">
        <f>MATCH(Auto_Sales_data___Copy[[#This Row],[Total_Orders_Per_Customer]],Table2[F-Cutoff],1)</f>
        <v>4</v>
      </c>
      <c r="Y268" s="2">
        <f>MATCH(Auto_Sales_data___Copy[[#This Row],[Total_Sales_Per_Customer]],Table2[M-Cutoff],1)</f>
        <v>4</v>
      </c>
      <c r="Z268" s="2" t="str">
        <f>Auto_Sales_data___Copy[[#This Row],[R-Score(1-5)]]&amp;Auto_Sales_data___Copy[[#This Row],[F-Score(1-5)]]&amp;Auto_Sales_data___Copy[[#This Row],[M-Score(1-5)]]</f>
        <v>544</v>
      </c>
      <c r="AA268" s="2" t="str" cm="1">
        <f t="array" ref="AA2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8" s="2" t="str">
        <f>VLOOKUP(Auto_Sales_data___Copy[[#This Row],[Segment Name]],Table3[],2,FALSE)</f>
        <v>VIP Recognitioon &amp; Inclusivity</v>
      </c>
    </row>
    <row r="269" spans="1:28" x14ac:dyDescent="0.25">
      <c r="A269">
        <v>10362</v>
      </c>
      <c r="B269">
        <v>22</v>
      </c>
      <c r="C269">
        <v>176.23</v>
      </c>
      <c r="D269">
        <v>1</v>
      </c>
      <c r="E269">
        <v>3877.06</v>
      </c>
      <c r="F269" s="1">
        <v>43835</v>
      </c>
      <c r="G269" s="2" t="s">
        <v>19</v>
      </c>
      <c r="H269" s="2" t="s">
        <v>20</v>
      </c>
      <c r="I269">
        <v>150</v>
      </c>
      <c r="J269" s="2" t="s">
        <v>539</v>
      </c>
      <c r="K269" s="2" t="s">
        <v>54</v>
      </c>
      <c r="L269" s="2" t="s">
        <v>55</v>
      </c>
      <c r="M269" s="2" t="s">
        <v>56</v>
      </c>
      <c r="N269" s="2" t="s">
        <v>57</v>
      </c>
      <c r="O269" s="2" t="s">
        <v>58</v>
      </c>
      <c r="P269" s="2" t="s">
        <v>27</v>
      </c>
      <c r="Q269" s="2" t="s">
        <v>59</v>
      </c>
      <c r="R269" s="2" t="s">
        <v>60</v>
      </c>
      <c r="S269" s="2" t="s">
        <v>46</v>
      </c>
      <c r="T269">
        <v>393</v>
      </c>
      <c r="U269">
        <f>VLOOKUP(Auto_Sales_data___Copy[[#This Row],[CUSTOMER_NAME]],$AF$2:$AH$90,2,FALSE)</f>
        <v>34</v>
      </c>
      <c r="V269">
        <f>VLOOKUP(Auto_Sales_data___Copy[[#This Row],[CUSTOMER_NAME]],$AF$2:$AH$90,3,FALSE)</f>
        <v>120783.07</v>
      </c>
      <c r="W269" s="2">
        <f>6-MATCH(Auto_Sales_data___Copy[[#This Row],[DAYS_SINCE_LAST_ORDER]],Table2[R-Cutoff],1)</f>
        <v>5</v>
      </c>
      <c r="X269" s="2">
        <f>MATCH(Auto_Sales_data___Copy[[#This Row],[Total_Orders_Per_Customer]],Table2[F-Cutoff],1)</f>
        <v>4</v>
      </c>
      <c r="Y269" s="2">
        <f>MATCH(Auto_Sales_data___Copy[[#This Row],[Total_Sales_Per_Customer]],Table2[M-Cutoff],1)</f>
        <v>4</v>
      </c>
      <c r="Z269" s="2" t="str">
        <f>Auto_Sales_data___Copy[[#This Row],[R-Score(1-5)]]&amp;Auto_Sales_data___Copy[[#This Row],[F-Score(1-5)]]&amp;Auto_Sales_data___Copy[[#This Row],[M-Score(1-5)]]</f>
        <v>544</v>
      </c>
      <c r="AA269" s="2" t="str" cm="1">
        <f t="array" ref="AA2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9" s="2" t="str">
        <f>VLOOKUP(Auto_Sales_data___Copy[[#This Row],[Segment Name]],Table3[],2,FALSE)</f>
        <v>VIP Recognitioon &amp; Inclusivity</v>
      </c>
    </row>
    <row r="270" spans="1:28" x14ac:dyDescent="0.25">
      <c r="A270">
        <v>10363</v>
      </c>
      <c r="B270">
        <v>33</v>
      </c>
      <c r="C270">
        <v>85.39</v>
      </c>
      <c r="D270">
        <v>3</v>
      </c>
      <c r="E270">
        <v>2817.87</v>
      </c>
      <c r="F270" s="1">
        <v>43836</v>
      </c>
      <c r="G270" s="2" t="s">
        <v>19</v>
      </c>
      <c r="H270" s="2" t="s">
        <v>183</v>
      </c>
      <c r="I270">
        <v>194</v>
      </c>
      <c r="J270" s="2" t="s">
        <v>449</v>
      </c>
      <c r="K270" s="2" t="s">
        <v>498</v>
      </c>
      <c r="L270" s="2" t="s">
        <v>499</v>
      </c>
      <c r="M270" s="2" t="s">
        <v>500</v>
      </c>
      <c r="N270" s="2" t="s">
        <v>501</v>
      </c>
      <c r="O270" s="2" t="s">
        <v>502</v>
      </c>
      <c r="P270" s="2" t="s">
        <v>127</v>
      </c>
      <c r="Q270" s="2" t="s">
        <v>503</v>
      </c>
      <c r="R270" s="2" t="s">
        <v>504</v>
      </c>
      <c r="S270" s="2" t="s">
        <v>30</v>
      </c>
      <c r="T270">
        <v>317</v>
      </c>
      <c r="U270">
        <f>VLOOKUP(Auto_Sales_data___Copy[[#This Row],[CUSTOMER_NAME]],$AF$2:$AH$90,2,FALSE)</f>
        <v>30</v>
      </c>
      <c r="V270">
        <f>VLOOKUP(Auto_Sales_data___Copy[[#This Row],[CUSTOMER_NAME]],$AF$2:$AH$90,3,FALSE)</f>
        <v>113961.14999999997</v>
      </c>
      <c r="W270" s="2">
        <f>6-MATCH(Auto_Sales_data___Copy[[#This Row],[DAYS_SINCE_LAST_ORDER]],Table2[R-Cutoff],1)</f>
        <v>5</v>
      </c>
      <c r="X270" s="2">
        <f>MATCH(Auto_Sales_data___Copy[[#This Row],[Total_Orders_Per_Customer]],Table2[F-Cutoff],1)</f>
        <v>4</v>
      </c>
      <c r="Y270" s="2">
        <f>MATCH(Auto_Sales_data___Copy[[#This Row],[Total_Sales_Per_Customer]],Table2[M-Cutoff],1)</f>
        <v>4</v>
      </c>
      <c r="Z270" s="2" t="str">
        <f>Auto_Sales_data___Copy[[#This Row],[R-Score(1-5)]]&amp;Auto_Sales_data___Copy[[#This Row],[F-Score(1-5)]]&amp;Auto_Sales_data___Copy[[#This Row],[M-Score(1-5)]]</f>
        <v>544</v>
      </c>
      <c r="AA270" s="2" t="str" cm="1">
        <f t="array" ref="AA2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0" s="2" t="str">
        <f>VLOOKUP(Auto_Sales_data___Copy[[#This Row],[Segment Name]],Table3[],2,FALSE)</f>
        <v>VIP Recognitioon &amp; Inclusivity</v>
      </c>
    </row>
    <row r="271" spans="1:28" x14ac:dyDescent="0.25">
      <c r="A271">
        <v>10363</v>
      </c>
      <c r="B271">
        <v>34</v>
      </c>
      <c r="C271">
        <v>96.73</v>
      </c>
      <c r="D271">
        <v>4</v>
      </c>
      <c r="E271">
        <v>3288.82</v>
      </c>
      <c r="F271" s="1">
        <v>43836</v>
      </c>
      <c r="G271" s="2" t="s">
        <v>19</v>
      </c>
      <c r="H271" s="2" t="s">
        <v>183</v>
      </c>
      <c r="I271">
        <v>117</v>
      </c>
      <c r="J271" s="2" t="s">
        <v>546</v>
      </c>
      <c r="K271" s="2" t="s">
        <v>498</v>
      </c>
      <c r="L271" s="2" t="s">
        <v>499</v>
      </c>
      <c r="M271" s="2" t="s">
        <v>500</v>
      </c>
      <c r="N271" s="2" t="s">
        <v>501</v>
      </c>
      <c r="O271" s="2" t="s">
        <v>502</v>
      </c>
      <c r="P271" s="2" t="s">
        <v>127</v>
      </c>
      <c r="Q271" s="2" t="s">
        <v>503</v>
      </c>
      <c r="R271" s="2" t="s">
        <v>504</v>
      </c>
      <c r="S271" s="2" t="s">
        <v>46</v>
      </c>
      <c r="T271">
        <v>442</v>
      </c>
      <c r="U271">
        <f>VLOOKUP(Auto_Sales_data___Copy[[#This Row],[CUSTOMER_NAME]],$AF$2:$AH$90,2,FALSE)</f>
        <v>30</v>
      </c>
      <c r="V271">
        <f>VLOOKUP(Auto_Sales_data___Copy[[#This Row],[CUSTOMER_NAME]],$AF$2:$AH$90,3,FALSE)</f>
        <v>113961.14999999997</v>
      </c>
      <c r="W271" s="2">
        <f>6-MATCH(Auto_Sales_data___Copy[[#This Row],[DAYS_SINCE_LAST_ORDER]],Table2[R-Cutoff],1)</f>
        <v>5</v>
      </c>
      <c r="X271" s="2">
        <f>MATCH(Auto_Sales_data___Copy[[#This Row],[Total_Orders_Per_Customer]],Table2[F-Cutoff],1)</f>
        <v>4</v>
      </c>
      <c r="Y271" s="2">
        <f>MATCH(Auto_Sales_data___Copy[[#This Row],[Total_Sales_Per_Customer]],Table2[M-Cutoff],1)</f>
        <v>4</v>
      </c>
      <c r="Z271" s="2" t="str">
        <f>Auto_Sales_data___Copy[[#This Row],[R-Score(1-5)]]&amp;Auto_Sales_data___Copy[[#This Row],[F-Score(1-5)]]&amp;Auto_Sales_data___Copy[[#This Row],[M-Score(1-5)]]</f>
        <v>544</v>
      </c>
      <c r="AA271" s="2" t="str" cm="1">
        <f t="array" ref="AA2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1" s="2" t="str">
        <f>VLOOKUP(Auto_Sales_data___Copy[[#This Row],[Segment Name]],Table3[],2,FALSE)</f>
        <v>VIP Recognitioon &amp; Inclusivity</v>
      </c>
    </row>
    <row r="272" spans="1:28" x14ac:dyDescent="0.25">
      <c r="A272">
        <v>10363</v>
      </c>
      <c r="B272">
        <v>34</v>
      </c>
      <c r="C272">
        <v>81.62</v>
      </c>
      <c r="D272">
        <v>5</v>
      </c>
      <c r="E272">
        <v>2775.08</v>
      </c>
      <c r="F272" s="1">
        <v>43836</v>
      </c>
      <c r="G272" s="2" t="s">
        <v>19</v>
      </c>
      <c r="H272" s="2" t="s">
        <v>183</v>
      </c>
      <c r="I272">
        <v>79</v>
      </c>
      <c r="J272" s="2" t="s">
        <v>553</v>
      </c>
      <c r="K272" s="2" t="s">
        <v>498</v>
      </c>
      <c r="L272" s="2" t="s">
        <v>499</v>
      </c>
      <c r="M272" s="2" t="s">
        <v>500</v>
      </c>
      <c r="N272" s="2" t="s">
        <v>501</v>
      </c>
      <c r="O272" s="2" t="s">
        <v>502</v>
      </c>
      <c r="P272" s="2" t="s">
        <v>127</v>
      </c>
      <c r="Q272" s="2" t="s">
        <v>503</v>
      </c>
      <c r="R272" s="2" t="s">
        <v>504</v>
      </c>
      <c r="S272" s="2" t="s">
        <v>30</v>
      </c>
      <c r="T272">
        <v>492</v>
      </c>
      <c r="U272">
        <f>VLOOKUP(Auto_Sales_data___Copy[[#This Row],[CUSTOMER_NAME]],$AF$2:$AH$90,2,FALSE)</f>
        <v>30</v>
      </c>
      <c r="V272">
        <f>VLOOKUP(Auto_Sales_data___Copy[[#This Row],[CUSTOMER_NAME]],$AF$2:$AH$90,3,FALSE)</f>
        <v>113961.14999999997</v>
      </c>
      <c r="W272" s="2">
        <f>6-MATCH(Auto_Sales_data___Copy[[#This Row],[DAYS_SINCE_LAST_ORDER]],Table2[R-Cutoff],1)</f>
        <v>5</v>
      </c>
      <c r="X272" s="2">
        <f>MATCH(Auto_Sales_data___Copy[[#This Row],[Total_Orders_Per_Customer]],Table2[F-Cutoff],1)</f>
        <v>4</v>
      </c>
      <c r="Y272" s="2">
        <f>MATCH(Auto_Sales_data___Copy[[#This Row],[Total_Sales_Per_Customer]],Table2[M-Cutoff],1)</f>
        <v>4</v>
      </c>
      <c r="Z272" s="2" t="str">
        <f>Auto_Sales_data___Copy[[#This Row],[R-Score(1-5)]]&amp;Auto_Sales_data___Copy[[#This Row],[F-Score(1-5)]]&amp;Auto_Sales_data___Copy[[#This Row],[M-Score(1-5)]]</f>
        <v>544</v>
      </c>
      <c r="AA272" s="2" t="str" cm="1">
        <f t="array" ref="AA2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2" s="2" t="str">
        <f>VLOOKUP(Auto_Sales_data___Copy[[#This Row],[Segment Name]],Table3[],2,FALSE)</f>
        <v>VIP Recognitioon &amp; Inclusivity</v>
      </c>
    </row>
    <row r="273" spans="1:28" x14ac:dyDescent="0.25">
      <c r="A273">
        <v>10363</v>
      </c>
      <c r="B273">
        <v>46</v>
      </c>
      <c r="C273">
        <v>88.45</v>
      </c>
      <c r="D273">
        <v>6</v>
      </c>
      <c r="E273">
        <v>4068.7</v>
      </c>
      <c r="F273" s="1">
        <v>43836</v>
      </c>
      <c r="G273" s="2" t="s">
        <v>19</v>
      </c>
      <c r="H273" s="2" t="s">
        <v>183</v>
      </c>
      <c r="I273">
        <v>115</v>
      </c>
      <c r="J273" s="2" t="s">
        <v>567</v>
      </c>
      <c r="K273" s="2" t="s">
        <v>498</v>
      </c>
      <c r="L273" s="2" t="s">
        <v>499</v>
      </c>
      <c r="M273" s="2" t="s">
        <v>500</v>
      </c>
      <c r="N273" s="2" t="s">
        <v>501</v>
      </c>
      <c r="O273" s="2" t="s">
        <v>502</v>
      </c>
      <c r="P273" s="2" t="s">
        <v>127</v>
      </c>
      <c r="Q273" s="2" t="s">
        <v>503</v>
      </c>
      <c r="R273" s="2" t="s">
        <v>504</v>
      </c>
      <c r="S273" s="2" t="s">
        <v>46</v>
      </c>
      <c r="T273">
        <v>543</v>
      </c>
      <c r="U273">
        <f>VLOOKUP(Auto_Sales_data___Copy[[#This Row],[CUSTOMER_NAME]],$AF$2:$AH$90,2,FALSE)</f>
        <v>30</v>
      </c>
      <c r="V273">
        <f>VLOOKUP(Auto_Sales_data___Copy[[#This Row],[CUSTOMER_NAME]],$AF$2:$AH$90,3,FALSE)</f>
        <v>113961.14999999997</v>
      </c>
      <c r="W273" s="2">
        <f>6-MATCH(Auto_Sales_data___Copy[[#This Row],[DAYS_SINCE_LAST_ORDER]],Table2[R-Cutoff],1)</f>
        <v>5</v>
      </c>
      <c r="X273" s="2">
        <f>MATCH(Auto_Sales_data___Copy[[#This Row],[Total_Orders_Per_Customer]],Table2[F-Cutoff],1)</f>
        <v>4</v>
      </c>
      <c r="Y273" s="2">
        <f>MATCH(Auto_Sales_data___Copy[[#This Row],[Total_Sales_Per_Customer]],Table2[M-Cutoff],1)</f>
        <v>4</v>
      </c>
      <c r="Z273" s="2" t="str">
        <f>Auto_Sales_data___Copy[[#This Row],[R-Score(1-5)]]&amp;Auto_Sales_data___Copy[[#This Row],[F-Score(1-5)]]&amp;Auto_Sales_data___Copy[[#This Row],[M-Score(1-5)]]</f>
        <v>544</v>
      </c>
      <c r="AA273" s="2" t="str" cm="1">
        <f t="array" ref="AA2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3" s="2" t="str">
        <f>VLOOKUP(Auto_Sales_data___Copy[[#This Row],[Segment Name]],Table3[],2,FALSE)</f>
        <v>VIP Recognitioon &amp; Inclusivity</v>
      </c>
    </row>
    <row r="274" spans="1:28" x14ac:dyDescent="0.25">
      <c r="A274">
        <v>10363</v>
      </c>
      <c r="B274">
        <v>22</v>
      </c>
      <c r="C274">
        <v>167.57</v>
      </c>
      <c r="D274">
        <v>7</v>
      </c>
      <c r="E274">
        <v>3686.54</v>
      </c>
      <c r="F274" s="1">
        <v>43836</v>
      </c>
      <c r="G274" s="2" t="s">
        <v>19</v>
      </c>
      <c r="H274" s="2" t="s">
        <v>183</v>
      </c>
      <c r="I274">
        <v>77</v>
      </c>
      <c r="J274" s="2" t="s">
        <v>629</v>
      </c>
      <c r="K274" s="2" t="s">
        <v>498</v>
      </c>
      <c r="L274" s="2" t="s">
        <v>499</v>
      </c>
      <c r="M274" s="2" t="s">
        <v>500</v>
      </c>
      <c r="N274" s="2" t="s">
        <v>501</v>
      </c>
      <c r="O274" s="2" t="s">
        <v>502</v>
      </c>
      <c r="P274" s="2" t="s">
        <v>127</v>
      </c>
      <c r="Q274" s="2" t="s">
        <v>503</v>
      </c>
      <c r="R274" s="2" t="s">
        <v>504</v>
      </c>
      <c r="S274" s="2" t="s">
        <v>46</v>
      </c>
      <c r="T274">
        <v>740</v>
      </c>
      <c r="U274">
        <f>VLOOKUP(Auto_Sales_data___Copy[[#This Row],[CUSTOMER_NAME]],$AF$2:$AH$90,2,FALSE)</f>
        <v>30</v>
      </c>
      <c r="V274">
        <f>VLOOKUP(Auto_Sales_data___Copy[[#This Row],[CUSTOMER_NAME]],$AF$2:$AH$90,3,FALSE)</f>
        <v>113961.14999999997</v>
      </c>
      <c r="W274" s="2">
        <f>6-MATCH(Auto_Sales_data___Copy[[#This Row],[DAYS_SINCE_LAST_ORDER]],Table2[R-Cutoff],1)</f>
        <v>5</v>
      </c>
      <c r="X274" s="2">
        <f>MATCH(Auto_Sales_data___Copy[[#This Row],[Total_Orders_Per_Customer]],Table2[F-Cutoff],1)</f>
        <v>4</v>
      </c>
      <c r="Y274" s="2">
        <f>MATCH(Auto_Sales_data___Copy[[#This Row],[Total_Sales_Per_Customer]],Table2[M-Cutoff],1)</f>
        <v>4</v>
      </c>
      <c r="Z274" s="2" t="str">
        <f>Auto_Sales_data___Copy[[#This Row],[R-Score(1-5)]]&amp;Auto_Sales_data___Copy[[#This Row],[F-Score(1-5)]]&amp;Auto_Sales_data___Copy[[#This Row],[M-Score(1-5)]]</f>
        <v>544</v>
      </c>
      <c r="AA274" s="2" t="str" cm="1">
        <f t="array" ref="AA2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4" s="2" t="str">
        <f>VLOOKUP(Auto_Sales_data___Copy[[#This Row],[Segment Name]],Table3[],2,FALSE)</f>
        <v>VIP Recognitioon &amp; Inclusivity</v>
      </c>
    </row>
    <row r="275" spans="1:28" x14ac:dyDescent="0.25">
      <c r="A275">
        <v>10365</v>
      </c>
      <c r="B275">
        <v>30</v>
      </c>
      <c r="C275">
        <v>87.06</v>
      </c>
      <c r="D275">
        <v>1</v>
      </c>
      <c r="E275">
        <v>2611.8000000000002</v>
      </c>
      <c r="F275" s="1">
        <v>43837</v>
      </c>
      <c r="G275" s="2" t="s">
        <v>19</v>
      </c>
      <c r="H275" s="2" t="s">
        <v>183</v>
      </c>
      <c r="I275">
        <v>141</v>
      </c>
      <c r="J275" s="2" t="s">
        <v>576</v>
      </c>
      <c r="K275" s="2" t="s">
        <v>353</v>
      </c>
      <c r="L275" s="2" t="s">
        <v>354</v>
      </c>
      <c r="M275" s="2" t="s">
        <v>355</v>
      </c>
      <c r="N275" s="2" t="s">
        <v>162</v>
      </c>
      <c r="O275" s="2" t="s">
        <v>163</v>
      </c>
      <c r="P275" s="2" t="s">
        <v>27</v>
      </c>
      <c r="Q275" s="2" t="s">
        <v>356</v>
      </c>
      <c r="R275" s="2" t="s">
        <v>357</v>
      </c>
      <c r="S275" s="2" t="s">
        <v>30</v>
      </c>
      <c r="T275">
        <v>595</v>
      </c>
      <c r="U275">
        <f>VLOOKUP(Auto_Sales_data___Copy[[#This Row],[CUSTOMER_NAME]],$AF$2:$AH$90,2,FALSE)</f>
        <v>35</v>
      </c>
      <c r="V275">
        <f>VLOOKUP(Auto_Sales_data___Copy[[#This Row],[CUSTOMER_NAME]],$AF$2:$AH$90,3,FALSE)</f>
        <v>108951.12999999998</v>
      </c>
      <c r="W275" s="2">
        <f>6-MATCH(Auto_Sales_data___Copy[[#This Row],[DAYS_SINCE_LAST_ORDER]],Table2[R-Cutoff],1)</f>
        <v>5</v>
      </c>
      <c r="X275" s="2">
        <f>MATCH(Auto_Sales_data___Copy[[#This Row],[Total_Orders_Per_Customer]],Table2[F-Cutoff],1)</f>
        <v>4</v>
      </c>
      <c r="Y275" s="2">
        <f>MATCH(Auto_Sales_data___Copy[[#This Row],[Total_Sales_Per_Customer]],Table2[M-Cutoff],1)</f>
        <v>4</v>
      </c>
      <c r="Z275" s="2" t="str">
        <f>Auto_Sales_data___Copy[[#This Row],[R-Score(1-5)]]&amp;Auto_Sales_data___Copy[[#This Row],[F-Score(1-5)]]&amp;Auto_Sales_data___Copy[[#This Row],[M-Score(1-5)]]</f>
        <v>544</v>
      </c>
      <c r="AA275" s="2" t="str" cm="1">
        <f t="array" ref="AA2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5" s="2" t="str">
        <f>VLOOKUP(Auto_Sales_data___Copy[[#This Row],[Segment Name]],Table3[],2,FALSE)</f>
        <v>VIP Recognitioon &amp; Inclusivity</v>
      </c>
    </row>
    <row r="276" spans="1:28" x14ac:dyDescent="0.25">
      <c r="A276">
        <v>10367</v>
      </c>
      <c r="B276">
        <v>49</v>
      </c>
      <c r="C276">
        <v>56.3</v>
      </c>
      <c r="D276">
        <v>1</v>
      </c>
      <c r="E276">
        <v>2758.7</v>
      </c>
      <c r="F276" s="1">
        <v>43842</v>
      </c>
      <c r="G276" s="2" t="s">
        <v>431</v>
      </c>
      <c r="H276" s="2" t="s">
        <v>183</v>
      </c>
      <c r="I276">
        <v>124</v>
      </c>
      <c r="J276" s="2" t="s">
        <v>606</v>
      </c>
      <c r="K276" s="2" t="s">
        <v>47</v>
      </c>
      <c r="L276" s="2" t="s">
        <v>48</v>
      </c>
      <c r="M276" s="2" t="s">
        <v>49</v>
      </c>
      <c r="N276" s="2" t="s">
        <v>50</v>
      </c>
      <c r="O276" s="2" t="s">
        <v>51</v>
      </c>
      <c r="P276" s="2" t="s">
        <v>27</v>
      </c>
      <c r="Q276" s="2" t="s">
        <v>52</v>
      </c>
      <c r="R276" s="2" t="s">
        <v>53</v>
      </c>
      <c r="S276" s="2" t="s">
        <v>30</v>
      </c>
      <c r="T276">
        <v>663</v>
      </c>
      <c r="U276">
        <f>VLOOKUP(Auto_Sales_data___Copy[[#This Row],[CUSTOMER_NAME]],$AF$2:$AH$90,2,FALSE)</f>
        <v>30</v>
      </c>
      <c r="V276">
        <f>VLOOKUP(Auto_Sales_data___Copy[[#This Row],[CUSTOMER_NAME]],$AF$2:$AH$90,3,FALSE)</f>
        <v>104561.95999999999</v>
      </c>
      <c r="W276" s="2">
        <f>6-MATCH(Auto_Sales_data___Copy[[#This Row],[DAYS_SINCE_LAST_ORDER]],Table2[R-Cutoff],1)</f>
        <v>5</v>
      </c>
      <c r="X276" s="2">
        <f>MATCH(Auto_Sales_data___Copy[[#This Row],[Total_Orders_Per_Customer]],Table2[F-Cutoff],1)</f>
        <v>4</v>
      </c>
      <c r="Y276" s="2">
        <f>MATCH(Auto_Sales_data___Copy[[#This Row],[Total_Sales_Per_Customer]],Table2[M-Cutoff],1)</f>
        <v>4</v>
      </c>
      <c r="Z276" s="2" t="str">
        <f>Auto_Sales_data___Copy[[#This Row],[R-Score(1-5)]]&amp;Auto_Sales_data___Copy[[#This Row],[F-Score(1-5)]]&amp;Auto_Sales_data___Copy[[#This Row],[M-Score(1-5)]]</f>
        <v>544</v>
      </c>
      <c r="AA276" s="2" t="str" cm="1">
        <f t="array" ref="AA2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6" s="2" t="str">
        <f>VLOOKUP(Auto_Sales_data___Copy[[#This Row],[Segment Name]],Table3[],2,FALSE)</f>
        <v>VIP Recognitioon &amp; Inclusivity</v>
      </c>
    </row>
    <row r="277" spans="1:28" x14ac:dyDescent="0.25">
      <c r="A277">
        <v>10367</v>
      </c>
      <c r="B277">
        <v>37</v>
      </c>
      <c r="C277">
        <v>127.13</v>
      </c>
      <c r="D277">
        <v>3</v>
      </c>
      <c r="E277">
        <v>4703.8100000000004</v>
      </c>
      <c r="F277" s="1">
        <v>43842</v>
      </c>
      <c r="G277" s="2" t="s">
        <v>431</v>
      </c>
      <c r="H277" s="2" t="s">
        <v>589</v>
      </c>
      <c r="I277">
        <v>170</v>
      </c>
      <c r="J277" s="2" t="s">
        <v>628</v>
      </c>
      <c r="K277" s="2" t="s">
        <v>47</v>
      </c>
      <c r="L277" s="2" t="s">
        <v>48</v>
      </c>
      <c r="M277" s="2" t="s">
        <v>49</v>
      </c>
      <c r="N277" s="2" t="s">
        <v>50</v>
      </c>
      <c r="O277" s="2" t="s">
        <v>51</v>
      </c>
      <c r="P277" s="2" t="s">
        <v>27</v>
      </c>
      <c r="Q277" s="2" t="s">
        <v>52</v>
      </c>
      <c r="R277" s="2" t="s">
        <v>53</v>
      </c>
      <c r="S277" s="2" t="s">
        <v>46</v>
      </c>
      <c r="T277">
        <v>710</v>
      </c>
      <c r="U277">
        <f>VLOOKUP(Auto_Sales_data___Copy[[#This Row],[CUSTOMER_NAME]],$AF$2:$AH$90,2,FALSE)</f>
        <v>30</v>
      </c>
      <c r="V277">
        <f>VLOOKUP(Auto_Sales_data___Copy[[#This Row],[CUSTOMER_NAME]],$AF$2:$AH$90,3,FALSE)</f>
        <v>104561.95999999999</v>
      </c>
      <c r="W277" s="2">
        <f>6-MATCH(Auto_Sales_data___Copy[[#This Row],[DAYS_SINCE_LAST_ORDER]],Table2[R-Cutoff],1)</f>
        <v>5</v>
      </c>
      <c r="X277" s="2">
        <f>MATCH(Auto_Sales_data___Copy[[#This Row],[Total_Orders_Per_Customer]],Table2[F-Cutoff],1)</f>
        <v>4</v>
      </c>
      <c r="Y277" s="2">
        <f>MATCH(Auto_Sales_data___Copy[[#This Row],[Total_Sales_Per_Customer]],Table2[M-Cutoff],1)</f>
        <v>4</v>
      </c>
      <c r="Z277" s="2" t="str">
        <f>Auto_Sales_data___Copy[[#This Row],[R-Score(1-5)]]&amp;Auto_Sales_data___Copy[[#This Row],[F-Score(1-5)]]&amp;Auto_Sales_data___Copy[[#This Row],[M-Score(1-5)]]</f>
        <v>544</v>
      </c>
      <c r="AA277" s="2" t="str" cm="1">
        <f t="array" ref="AA2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7" s="2" t="str">
        <f>VLOOKUP(Auto_Sales_data___Copy[[#This Row],[Segment Name]],Table3[],2,FALSE)</f>
        <v>VIP Recognitioon &amp; Inclusivity</v>
      </c>
    </row>
    <row r="278" spans="1:28" x14ac:dyDescent="0.25">
      <c r="A278">
        <v>10367</v>
      </c>
      <c r="B278">
        <v>45</v>
      </c>
      <c r="C278">
        <v>197.44</v>
      </c>
      <c r="D278">
        <v>4</v>
      </c>
      <c r="E278">
        <v>8884.7999999999993</v>
      </c>
      <c r="F278" s="1">
        <v>43842</v>
      </c>
      <c r="G278" s="2" t="s">
        <v>431</v>
      </c>
      <c r="H278" s="2" t="s">
        <v>589</v>
      </c>
      <c r="I278">
        <v>60</v>
      </c>
      <c r="J278" s="2" t="s">
        <v>632</v>
      </c>
      <c r="K278" s="2" t="s">
        <v>47</v>
      </c>
      <c r="L278" s="2" t="s">
        <v>48</v>
      </c>
      <c r="M278" s="2" t="s">
        <v>49</v>
      </c>
      <c r="N278" s="2" t="s">
        <v>50</v>
      </c>
      <c r="O278" s="2" t="s">
        <v>51</v>
      </c>
      <c r="P278" s="2" t="s">
        <v>27</v>
      </c>
      <c r="Q278" s="2" t="s">
        <v>52</v>
      </c>
      <c r="R278" s="2" t="s">
        <v>53</v>
      </c>
      <c r="S278" s="2" t="s">
        <v>151</v>
      </c>
      <c r="T278">
        <v>810</v>
      </c>
      <c r="U278">
        <f>VLOOKUP(Auto_Sales_data___Copy[[#This Row],[CUSTOMER_NAME]],$AF$2:$AH$90,2,FALSE)</f>
        <v>30</v>
      </c>
      <c r="V278">
        <f>VLOOKUP(Auto_Sales_data___Copy[[#This Row],[CUSTOMER_NAME]],$AF$2:$AH$90,3,FALSE)</f>
        <v>104561.95999999999</v>
      </c>
      <c r="W278" s="2">
        <f>6-MATCH(Auto_Sales_data___Copy[[#This Row],[DAYS_SINCE_LAST_ORDER]],Table2[R-Cutoff],1)</f>
        <v>5</v>
      </c>
      <c r="X278" s="2">
        <f>MATCH(Auto_Sales_data___Copy[[#This Row],[Total_Orders_Per_Customer]],Table2[F-Cutoff],1)</f>
        <v>4</v>
      </c>
      <c r="Y278" s="2">
        <f>MATCH(Auto_Sales_data___Copy[[#This Row],[Total_Sales_Per_Customer]],Table2[M-Cutoff],1)</f>
        <v>4</v>
      </c>
      <c r="Z278" s="2" t="str">
        <f>Auto_Sales_data___Copy[[#This Row],[R-Score(1-5)]]&amp;Auto_Sales_data___Copy[[#This Row],[F-Score(1-5)]]&amp;Auto_Sales_data___Copy[[#This Row],[M-Score(1-5)]]</f>
        <v>544</v>
      </c>
      <c r="AA278" s="2" t="str" cm="1">
        <f t="array" ref="AA2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8" s="2" t="str">
        <f>VLOOKUP(Auto_Sales_data___Copy[[#This Row],[Segment Name]],Table3[],2,FALSE)</f>
        <v>VIP Recognitioon &amp; Inclusivity</v>
      </c>
    </row>
    <row r="279" spans="1:28" x14ac:dyDescent="0.25">
      <c r="A279">
        <v>10367</v>
      </c>
      <c r="B279">
        <v>27</v>
      </c>
      <c r="C279">
        <v>155.41</v>
      </c>
      <c r="D279">
        <v>5</v>
      </c>
      <c r="E279">
        <v>4196.07</v>
      </c>
      <c r="F279" s="1">
        <v>43842</v>
      </c>
      <c r="G279" s="2" t="s">
        <v>431</v>
      </c>
      <c r="H279" s="2" t="s">
        <v>589</v>
      </c>
      <c r="I279">
        <v>127</v>
      </c>
      <c r="J279" s="2" t="s">
        <v>634</v>
      </c>
      <c r="K279" s="2" t="s">
        <v>47</v>
      </c>
      <c r="L279" s="2" t="s">
        <v>48</v>
      </c>
      <c r="M279" s="2" t="s">
        <v>49</v>
      </c>
      <c r="N279" s="2" t="s">
        <v>50</v>
      </c>
      <c r="O279" s="2" t="s">
        <v>51</v>
      </c>
      <c r="P279" s="2" t="s">
        <v>27</v>
      </c>
      <c r="Q279" s="2" t="s">
        <v>52</v>
      </c>
      <c r="R279" s="2" t="s">
        <v>53</v>
      </c>
      <c r="S279" s="2" t="s">
        <v>46</v>
      </c>
      <c r="T279">
        <v>859</v>
      </c>
      <c r="U279">
        <f>VLOOKUP(Auto_Sales_data___Copy[[#This Row],[CUSTOMER_NAME]],$AF$2:$AH$90,2,FALSE)</f>
        <v>30</v>
      </c>
      <c r="V279">
        <f>VLOOKUP(Auto_Sales_data___Copy[[#This Row],[CUSTOMER_NAME]],$AF$2:$AH$90,3,FALSE)</f>
        <v>104561.95999999999</v>
      </c>
      <c r="W279" s="2">
        <f>6-MATCH(Auto_Sales_data___Copy[[#This Row],[DAYS_SINCE_LAST_ORDER]],Table2[R-Cutoff],1)</f>
        <v>5</v>
      </c>
      <c r="X279" s="2">
        <f>MATCH(Auto_Sales_data___Copy[[#This Row],[Total_Orders_Per_Customer]],Table2[F-Cutoff],1)</f>
        <v>4</v>
      </c>
      <c r="Y279" s="2">
        <f>MATCH(Auto_Sales_data___Copy[[#This Row],[Total_Sales_Per_Customer]],Table2[M-Cutoff],1)</f>
        <v>4</v>
      </c>
      <c r="Z279" s="2" t="str">
        <f>Auto_Sales_data___Copy[[#This Row],[R-Score(1-5)]]&amp;Auto_Sales_data___Copy[[#This Row],[F-Score(1-5)]]&amp;Auto_Sales_data___Copy[[#This Row],[M-Score(1-5)]]</f>
        <v>544</v>
      </c>
      <c r="AA279" s="2" t="str" cm="1">
        <f t="array" ref="AA2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9" s="2" t="str">
        <f>VLOOKUP(Auto_Sales_data___Copy[[#This Row],[Segment Name]],Table3[],2,FALSE)</f>
        <v>VIP Recognitioon &amp; Inclusivity</v>
      </c>
    </row>
    <row r="280" spans="1:28" x14ac:dyDescent="0.25">
      <c r="A280">
        <v>10370</v>
      </c>
      <c r="B280">
        <v>35</v>
      </c>
      <c r="C280">
        <v>65.63</v>
      </c>
      <c r="D280">
        <v>4</v>
      </c>
      <c r="E280">
        <v>2297.0500000000002</v>
      </c>
      <c r="F280" s="1">
        <v>43850</v>
      </c>
      <c r="G280" s="2" t="s">
        <v>19</v>
      </c>
      <c r="H280" s="2" t="s">
        <v>183</v>
      </c>
      <c r="I280">
        <v>147</v>
      </c>
      <c r="J280" s="2" t="s">
        <v>424</v>
      </c>
      <c r="K280" s="2" t="s">
        <v>300</v>
      </c>
      <c r="L280" s="2" t="s">
        <v>301</v>
      </c>
      <c r="M280" s="2" t="s">
        <v>302</v>
      </c>
      <c r="N280" s="2" t="s">
        <v>303</v>
      </c>
      <c r="O280" s="2" t="s">
        <v>304</v>
      </c>
      <c r="P280" s="2" t="s">
        <v>87</v>
      </c>
      <c r="Q280" s="2" t="s">
        <v>305</v>
      </c>
      <c r="R280" s="2" t="s">
        <v>306</v>
      </c>
      <c r="S280" s="2" t="s">
        <v>30</v>
      </c>
      <c r="T280">
        <v>279</v>
      </c>
      <c r="U280">
        <f>VLOOKUP(Auto_Sales_data___Copy[[#This Row],[CUSTOMER_NAME]],$AF$2:$AH$90,2,FALSE)</f>
        <v>46</v>
      </c>
      <c r="V280">
        <f>VLOOKUP(Auto_Sales_data___Copy[[#This Row],[CUSTOMER_NAME]],$AF$2:$AH$90,3,FALSE)</f>
        <v>153996.12999999998</v>
      </c>
      <c r="W280" s="2">
        <f>6-MATCH(Auto_Sales_data___Copy[[#This Row],[DAYS_SINCE_LAST_ORDER]],Table2[R-Cutoff],1)</f>
        <v>5</v>
      </c>
      <c r="X280" s="2">
        <f>MATCH(Auto_Sales_data___Copy[[#This Row],[Total_Orders_Per_Customer]],Table2[F-Cutoff],1)</f>
        <v>4</v>
      </c>
      <c r="Y280" s="2">
        <f>MATCH(Auto_Sales_data___Copy[[#This Row],[Total_Sales_Per_Customer]],Table2[M-Cutoff],1)</f>
        <v>4</v>
      </c>
      <c r="Z280" s="2" t="str">
        <f>Auto_Sales_data___Copy[[#This Row],[R-Score(1-5)]]&amp;Auto_Sales_data___Copy[[#This Row],[F-Score(1-5)]]&amp;Auto_Sales_data___Copy[[#This Row],[M-Score(1-5)]]</f>
        <v>544</v>
      </c>
      <c r="AA280" s="2" t="str" cm="1">
        <f t="array" ref="AA2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0" s="2" t="str">
        <f>VLOOKUP(Auto_Sales_data___Copy[[#This Row],[Segment Name]],Table3[],2,FALSE)</f>
        <v>VIP Recognitioon &amp; Inclusivity</v>
      </c>
    </row>
    <row r="281" spans="1:28" x14ac:dyDescent="0.25">
      <c r="A281">
        <v>10370</v>
      </c>
      <c r="B281">
        <v>49</v>
      </c>
      <c r="C281">
        <v>172.86</v>
      </c>
      <c r="D281">
        <v>8</v>
      </c>
      <c r="E281">
        <v>8470.14</v>
      </c>
      <c r="F281" s="1">
        <v>43850</v>
      </c>
      <c r="G281" s="2" t="s">
        <v>19</v>
      </c>
      <c r="H281" s="2" t="s">
        <v>537</v>
      </c>
      <c r="I281">
        <v>136</v>
      </c>
      <c r="J281" s="2" t="s">
        <v>538</v>
      </c>
      <c r="K281" s="2" t="s">
        <v>300</v>
      </c>
      <c r="L281" s="2" t="s">
        <v>301</v>
      </c>
      <c r="M281" s="2" t="s">
        <v>302</v>
      </c>
      <c r="N281" s="2" t="s">
        <v>303</v>
      </c>
      <c r="O281" s="2" t="s">
        <v>304</v>
      </c>
      <c r="P281" s="2" t="s">
        <v>87</v>
      </c>
      <c r="Q281" s="2" t="s">
        <v>305</v>
      </c>
      <c r="R281" s="2" t="s">
        <v>306</v>
      </c>
      <c r="S281" s="2" t="s">
        <v>151</v>
      </c>
      <c r="T281">
        <v>355</v>
      </c>
      <c r="U281">
        <f>VLOOKUP(Auto_Sales_data___Copy[[#This Row],[CUSTOMER_NAME]],$AF$2:$AH$90,2,FALSE)</f>
        <v>46</v>
      </c>
      <c r="V281">
        <f>VLOOKUP(Auto_Sales_data___Copy[[#This Row],[CUSTOMER_NAME]],$AF$2:$AH$90,3,FALSE)</f>
        <v>153996.12999999998</v>
      </c>
      <c r="W281" s="2">
        <f>6-MATCH(Auto_Sales_data___Copy[[#This Row],[DAYS_SINCE_LAST_ORDER]],Table2[R-Cutoff],1)</f>
        <v>5</v>
      </c>
      <c r="X281" s="2">
        <f>MATCH(Auto_Sales_data___Copy[[#This Row],[Total_Orders_Per_Customer]],Table2[F-Cutoff],1)</f>
        <v>4</v>
      </c>
      <c r="Y281" s="2">
        <f>MATCH(Auto_Sales_data___Copy[[#This Row],[Total_Sales_Per_Customer]],Table2[M-Cutoff],1)</f>
        <v>4</v>
      </c>
      <c r="Z281" s="2" t="str">
        <f>Auto_Sales_data___Copy[[#This Row],[R-Score(1-5)]]&amp;Auto_Sales_data___Copy[[#This Row],[F-Score(1-5)]]&amp;Auto_Sales_data___Copy[[#This Row],[M-Score(1-5)]]</f>
        <v>544</v>
      </c>
      <c r="AA281" s="2" t="str" cm="1">
        <f t="array" ref="AA2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1" s="2" t="str">
        <f>VLOOKUP(Auto_Sales_data___Copy[[#This Row],[Segment Name]],Table3[],2,FALSE)</f>
        <v>VIP Recognitioon &amp; Inclusivity</v>
      </c>
    </row>
    <row r="282" spans="1:28" x14ac:dyDescent="0.25">
      <c r="A282">
        <v>10370</v>
      </c>
      <c r="B282">
        <v>27</v>
      </c>
      <c r="C282">
        <v>144.87</v>
      </c>
      <c r="D282">
        <v>1</v>
      </c>
      <c r="E282">
        <v>3911.49</v>
      </c>
      <c r="F282" s="1">
        <v>43850</v>
      </c>
      <c r="G282" s="2" t="s">
        <v>19</v>
      </c>
      <c r="H282" s="2" t="s">
        <v>537</v>
      </c>
      <c r="I282">
        <v>116</v>
      </c>
      <c r="J282" s="2" t="s">
        <v>575</v>
      </c>
      <c r="K282" s="2" t="s">
        <v>300</v>
      </c>
      <c r="L282" s="2" t="s">
        <v>301</v>
      </c>
      <c r="M282" s="2" t="s">
        <v>302</v>
      </c>
      <c r="N282" s="2" t="s">
        <v>303</v>
      </c>
      <c r="O282" s="2" t="s">
        <v>304</v>
      </c>
      <c r="P282" s="2" t="s">
        <v>87</v>
      </c>
      <c r="Q282" s="2" t="s">
        <v>305</v>
      </c>
      <c r="R282" s="2" t="s">
        <v>306</v>
      </c>
      <c r="S282" s="2" t="s">
        <v>46</v>
      </c>
      <c r="T282">
        <v>556</v>
      </c>
      <c r="U282">
        <f>VLOOKUP(Auto_Sales_data___Copy[[#This Row],[CUSTOMER_NAME]],$AF$2:$AH$90,2,FALSE)</f>
        <v>46</v>
      </c>
      <c r="V282">
        <f>VLOOKUP(Auto_Sales_data___Copy[[#This Row],[CUSTOMER_NAME]],$AF$2:$AH$90,3,FALSE)</f>
        <v>153996.12999999998</v>
      </c>
      <c r="W282" s="2">
        <f>6-MATCH(Auto_Sales_data___Copy[[#This Row],[DAYS_SINCE_LAST_ORDER]],Table2[R-Cutoff],1)</f>
        <v>5</v>
      </c>
      <c r="X282" s="2">
        <f>MATCH(Auto_Sales_data___Copy[[#This Row],[Total_Orders_Per_Customer]],Table2[F-Cutoff],1)</f>
        <v>4</v>
      </c>
      <c r="Y282" s="2">
        <f>MATCH(Auto_Sales_data___Copy[[#This Row],[Total_Sales_Per_Customer]],Table2[M-Cutoff],1)</f>
        <v>4</v>
      </c>
      <c r="Z282" s="2" t="str">
        <f>Auto_Sales_data___Copy[[#This Row],[R-Score(1-5)]]&amp;Auto_Sales_data___Copy[[#This Row],[F-Score(1-5)]]&amp;Auto_Sales_data___Copy[[#This Row],[M-Score(1-5)]]</f>
        <v>544</v>
      </c>
      <c r="AA282" s="2" t="str" cm="1">
        <f t="array" ref="AA2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2" s="2" t="str">
        <f>VLOOKUP(Auto_Sales_data___Copy[[#This Row],[Segment Name]],Table3[],2,FALSE)</f>
        <v>VIP Recognitioon &amp; Inclusivity</v>
      </c>
    </row>
    <row r="283" spans="1:28" x14ac:dyDescent="0.25">
      <c r="A283">
        <v>10370</v>
      </c>
      <c r="B283">
        <v>22</v>
      </c>
      <c r="C283">
        <v>179.5</v>
      </c>
      <c r="D283">
        <v>5</v>
      </c>
      <c r="E283">
        <v>3949</v>
      </c>
      <c r="F283" s="1">
        <v>43850</v>
      </c>
      <c r="G283" s="2" t="s">
        <v>19</v>
      </c>
      <c r="H283" s="2" t="s">
        <v>537</v>
      </c>
      <c r="I283">
        <v>122</v>
      </c>
      <c r="J283" s="2" t="s">
        <v>633</v>
      </c>
      <c r="K283" s="2" t="s">
        <v>300</v>
      </c>
      <c r="L283" s="2" t="s">
        <v>301</v>
      </c>
      <c r="M283" s="2" t="s">
        <v>302</v>
      </c>
      <c r="N283" s="2" t="s">
        <v>303</v>
      </c>
      <c r="O283" s="2" t="s">
        <v>304</v>
      </c>
      <c r="P283" s="2" t="s">
        <v>87</v>
      </c>
      <c r="Q283" s="2" t="s">
        <v>305</v>
      </c>
      <c r="R283" s="2" t="s">
        <v>306</v>
      </c>
      <c r="S283" s="2" t="s">
        <v>46</v>
      </c>
      <c r="T283">
        <v>828</v>
      </c>
      <c r="U283">
        <f>VLOOKUP(Auto_Sales_data___Copy[[#This Row],[CUSTOMER_NAME]],$AF$2:$AH$90,2,FALSE)</f>
        <v>46</v>
      </c>
      <c r="V283">
        <f>VLOOKUP(Auto_Sales_data___Copy[[#This Row],[CUSTOMER_NAME]],$AF$2:$AH$90,3,FALSE)</f>
        <v>153996.12999999998</v>
      </c>
      <c r="W283" s="2">
        <f>6-MATCH(Auto_Sales_data___Copy[[#This Row],[DAYS_SINCE_LAST_ORDER]],Table2[R-Cutoff],1)</f>
        <v>5</v>
      </c>
      <c r="X283" s="2">
        <f>MATCH(Auto_Sales_data___Copy[[#This Row],[Total_Orders_Per_Customer]],Table2[F-Cutoff],1)</f>
        <v>4</v>
      </c>
      <c r="Y283" s="2">
        <f>MATCH(Auto_Sales_data___Copy[[#This Row],[Total_Sales_Per_Customer]],Table2[M-Cutoff],1)</f>
        <v>4</v>
      </c>
      <c r="Z283" s="2" t="str">
        <f>Auto_Sales_data___Copy[[#This Row],[R-Score(1-5)]]&amp;Auto_Sales_data___Copy[[#This Row],[F-Score(1-5)]]&amp;Auto_Sales_data___Copy[[#This Row],[M-Score(1-5)]]</f>
        <v>544</v>
      </c>
      <c r="AA283" s="2" t="str" cm="1">
        <f t="array" ref="AA2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3" s="2" t="str">
        <f>VLOOKUP(Auto_Sales_data___Copy[[#This Row],[Segment Name]],Table3[],2,FALSE)</f>
        <v>VIP Recognitioon &amp; Inclusivity</v>
      </c>
    </row>
    <row r="284" spans="1:28" x14ac:dyDescent="0.25">
      <c r="A284">
        <v>10370</v>
      </c>
      <c r="B284">
        <v>22</v>
      </c>
      <c r="C284">
        <v>96.86</v>
      </c>
      <c r="D284">
        <v>7</v>
      </c>
      <c r="E284">
        <v>2130.92</v>
      </c>
      <c r="F284" s="1">
        <v>43850</v>
      </c>
      <c r="G284" s="2" t="s">
        <v>19</v>
      </c>
      <c r="H284" s="2" t="s">
        <v>537</v>
      </c>
      <c r="I284">
        <v>60</v>
      </c>
      <c r="J284" s="2" t="s">
        <v>635</v>
      </c>
      <c r="K284" s="2" t="s">
        <v>300</v>
      </c>
      <c r="L284" s="2" t="s">
        <v>301</v>
      </c>
      <c r="M284" s="2" t="s">
        <v>302</v>
      </c>
      <c r="N284" s="2" t="s">
        <v>303</v>
      </c>
      <c r="O284" s="2" t="s">
        <v>304</v>
      </c>
      <c r="P284" s="2" t="s">
        <v>87</v>
      </c>
      <c r="Q284" s="2" t="s">
        <v>305</v>
      </c>
      <c r="R284" s="2" t="s">
        <v>306</v>
      </c>
      <c r="S284" s="2" t="s">
        <v>30</v>
      </c>
      <c r="T284">
        <v>879</v>
      </c>
      <c r="U284">
        <f>VLOOKUP(Auto_Sales_data___Copy[[#This Row],[CUSTOMER_NAME]],$AF$2:$AH$90,2,FALSE)</f>
        <v>46</v>
      </c>
      <c r="V284">
        <f>VLOOKUP(Auto_Sales_data___Copy[[#This Row],[CUSTOMER_NAME]],$AF$2:$AH$90,3,FALSE)</f>
        <v>153996.12999999998</v>
      </c>
      <c r="W284" s="2">
        <f>6-MATCH(Auto_Sales_data___Copy[[#This Row],[DAYS_SINCE_LAST_ORDER]],Table2[R-Cutoff],1)</f>
        <v>5</v>
      </c>
      <c r="X284" s="2">
        <f>MATCH(Auto_Sales_data___Copy[[#This Row],[Total_Orders_Per_Customer]],Table2[F-Cutoff],1)</f>
        <v>4</v>
      </c>
      <c r="Y284" s="2">
        <f>MATCH(Auto_Sales_data___Copy[[#This Row],[Total_Sales_Per_Customer]],Table2[M-Cutoff],1)</f>
        <v>4</v>
      </c>
      <c r="Z284" s="2" t="str">
        <f>Auto_Sales_data___Copy[[#This Row],[R-Score(1-5)]]&amp;Auto_Sales_data___Copy[[#This Row],[F-Score(1-5)]]&amp;Auto_Sales_data___Copy[[#This Row],[M-Score(1-5)]]</f>
        <v>544</v>
      </c>
      <c r="AA284" s="2" t="str" cm="1">
        <f t="array" ref="AA2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4" s="2" t="str">
        <f>VLOOKUP(Auto_Sales_data___Copy[[#This Row],[Segment Name]],Table3[],2,FALSE)</f>
        <v>VIP Recognitioon &amp; Inclusivity</v>
      </c>
    </row>
    <row r="285" spans="1:28" x14ac:dyDescent="0.25">
      <c r="A285">
        <v>10371</v>
      </c>
      <c r="B285">
        <v>32</v>
      </c>
      <c r="C285">
        <v>111.27</v>
      </c>
      <c r="D285">
        <v>6</v>
      </c>
      <c r="E285">
        <v>3560.64</v>
      </c>
      <c r="F285" s="1">
        <v>43853</v>
      </c>
      <c r="G285" s="2" t="s">
        <v>19</v>
      </c>
      <c r="H285" s="2" t="s">
        <v>183</v>
      </c>
      <c r="I285">
        <v>207</v>
      </c>
      <c r="J285" s="2" t="s">
        <v>505</v>
      </c>
      <c r="K285" s="2" t="s">
        <v>284</v>
      </c>
      <c r="L285" s="2" t="s">
        <v>285</v>
      </c>
      <c r="M285" s="2" t="s">
        <v>286</v>
      </c>
      <c r="N285" s="2" t="s">
        <v>287</v>
      </c>
      <c r="O285" s="2" t="s">
        <v>106</v>
      </c>
      <c r="P285" s="2" t="s">
        <v>27</v>
      </c>
      <c r="Q285" s="2" t="s">
        <v>288</v>
      </c>
      <c r="R285" s="2" t="s">
        <v>289</v>
      </c>
      <c r="S285" s="2" t="s">
        <v>46</v>
      </c>
      <c r="T285">
        <v>326</v>
      </c>
      <c r="U285">
        <f>VLOOKUP(Auto_Sales_data___Copy[[#This Row],[CUSTOMER_NAME]],$AF$2:$AH$90,2,FALSE)</f>
        <v>180</v>
      </c>
      <c r="V285">
        <f>VLOOKUP(Auto_Sales_data___Copy[[#This Row],[CUSTOMER_NAME]],$AF$2:$AH$90,3,FALSE)</f>
        <v>654858.06000000017</v>
      </c>
      <c r="W285" s="2">
        <f>6-MATCH(Auto_Sales_data___Copy[[#This Row],[DAYS_SINCE_LAST_ORDER]],Table2[R-Cutoff],1)</f>
        <v>5</v>
      </c>
      <c r="X285" s="2">
        <f>MATCH(Auto_Sales_data___Copy[[#This Row],[Total_Orders_Per_Customer]],Table2[F-Cutoff],1)</f>
        <v>4</v>
      </c>
      <c r="Y285" s="2">
        <f>MATCH(Auto_Sales_data___Copy[[#This Row],[Total_Sales_Per_Customer]],Table2[M-Cutoff],1)</f>
        <v>4</v>
      </c>
      <c r="Z285" s="2" t="str">
        <f>Auto_Sales_data___Copy[[#This Row],[R-Score(1-5)]]&amp;Auto_Sales_data___Copy[[#This Row],[F-Score(1-5)]]&amp;Auto_Sales_data___Copy[[#This Row],[M-Score(1-5)]]</f>
        <v>544</v>
      </c>
      <c r="AA285" s="2" t="str" cm="1">
        <f t="array" ref="AA2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5" s="2" t="str">
        <f>VLOOKUP(Auto_Sales_data___Copy[[#This Row],[Segment Name]],Table3[],2,FALSE)</f>
        <v>VIP Recognitioon &amp; Inclusivity</v>
      </c>
    </row>
    <row r="286" spans="1:28" x14ac:dyDescent="0.25">
      <c r="A286">
        <v>10371</v>
      </c>
      <c r="B286">
        <v>49</v>
      </c>
      <c r="C286">
        <v>35.71</v>
      </c>
      <c r="D286">
        <v>4</v>
      </c>
      <c r="E286">
        <v>1749.79</v>
      </c>
      <c r="F286" s="1">
        <v>43853</v>
      </c>
      <c r="G286" s="2" t="s">
        <v>19</v>
      </c>
      <c r="H286" s="2" t="s">
        <v>537</v>
      </c>
      <c r="I286">
        <v>118</v>
      </c>
      <c r="J286" s="2" t="s">
        <v>554</v>
      </c>
      <c r="K286" s="2" t="s">
        <v>284</v>
      </c>
      <c r="L286" s="2" t="s">
        <v>285</v>
      </c>
      <c r="M286" s="2" t="s">
        <v>286</v>
      </c>
      <c r="N286" s="2" t="s">
        <v>287</v>
      </c>
      <c r="O286" s="2" t="s">
        <v>106</v>
      </c>
      <c r="P286" s="2" t="s">
        <v>27</v>
      </c>
      <c r="Q286" s="2" t="s">
        <v>288</v>
      </c>
      <c r="R286" s="2" t="s">
        <v>289</v>
      </c>
      <c r="S286" s="2" t="s">
        <v>30</v>
      </c>
      <c r="T286">
        <v>502</v>
      </c>
      <c r="U286">
        <f>VLOOKUP(Auto_Sales_data___Copy[[#This Row],[CUSTOMER_NAME]],$AF$2:$AH$90,2,FALSE)</f>
        <v>180</v>
      </c>
      <c r="V286">
        <f>VLOOKUP(Auto_Sales_data___Copy[[#This Row],[CUSTOMER_NAME]],$AF$2:$AH$90,3,FALSE)</f>
        <v>654858.06000000017</v>
      </c>
      <c r="W286" s="2">
        <f>6-MATCH(Auto_Sales_data___Copy[[#This Row],[DAYS_SINCE_LAST_ORDER]],Table2[R-Cutoff],1)</f>
        <v>5</v>
      </c>
      <c r="X286" s="2">
        <f>MATCH(Auto_Sales_data___Copy[[#This Row],[Total_Orders_Per_Customer]],Table2[F-Cutoff],1)</f>
        <v>4</v>
      </c>
      <c r="Y286" s="2">
        <f>MATCH(Auto_Sales_data___Copy[[#This Row],[Total_Sales_Per_Customer]],Table2[M-Cutoff],1)</f>
        <v>4</v>
      </c>
      <c r="Z286" s="2" t="str">
        <f>Auto_Sales_data___Copy[[#This Row],[R-Score(1-5)]]&amp;Auto_Sales_data___Copy[[#This Row],[F-Score(1-5)]]&amp;Auto_Sales_data___Copy[[#This Row],[M-Score(1-5)]]</f>
        <v>544</v>
      </c>
      <c r="AA286" s="2" t="str" cm="1">
        <f t="array" ref="AA2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6" s="2" t="str">
        <f>VLOOKUP(Auto_Sales_data___Copy[[#This Row],[Segment Name]],Table3[],2,FALSE)</f>
        <v>VIP Recognitioon &amp; Inclusivity</v>
      </c>
    </row>
    <row r="287" spans="1:28" x14ac:dyDescent="0.25">
      <c r="A287">
        <v>10371</v>
      </c>
      <c r="B287">
        <v>25</v>
      </c>
      <c r="C287">
        <v>104.09</v>
      </c>
      <c r="D287">
        <v>7</v>
      </c>
      <c r="E287">
        <v>2602.25</v>
      </c>
      <c r="F287" s="1">
        <v>43853</v>
      </c>
      <c r="G287" s="2" t="s">
        <v>19</v>
      </c>
      <c r="H287" s="2" t="s">
        <v>183</v>
      </c>
      <c r="I287">
        <v>163</v>
      </c>
      <c r="J287" s="2" t="s">
        <v>631</v>
      </c>
      <c r="K287" s="2" t="s">
        <v>284</v>
      </c>
      <c r="L287" s="2" t="s">
        <v>285</v>
      </c>
      <c r="M287" s="2" t="s">
        <v>286</v>
      </c>
      <c r="N287" s="2" t="s">
        <v>287</v>
      </c>
      <c r="O287" s="2" t="s">
        <v>106</v>
      </c>
      <c r="P287" s="2" t="s">
        <v>27</v>
      </c>
      <c r="Q287" s="2" t="s">
        <v>288</v>
      </c>
      <c r="R287" s="2" t="s">
        <v>289</v>
      </c>
      <c r="S287" s="2" t="s">
        <v>30</v>
      </c>
      <c r="T287">
        <v>778</v>
      </c>
      <c r="U287">
        <f>VLOOKUP(Auto_Sales_data___Copy[[#This Row],[CUSTOMER_NAME]],$AF$2:$AH$90,2,FALSE)</f>
        <v>180</v>
      </c>
      <c r="V287">
        <f>VLOOKUP(Auto_Sales_data___Copy[[#This Row],[CUSTOMER_NAME]],$AF$2:$AH$90,3,FALSE)</f>
        <v>654858.06000000017</v>
      </c>
      <c r="W287" s="2">
        <f>6-MATCH(Auto_Sales_data___Copy[[#This Row],[DAYS_SINCE_LAST_ORDER]],Table2[R-Cutoff],1)</f>
        <v>5</v>
      </c>
      <c r="X287" s="2">
        <f>MATCH(Auto_Sales_data___Copy[[#This Row],[Total_Orders_Per_Customer]],Table2[F-Cutoff],1)</f>
        <v>4</v>
      </c>
      <c r="Y287" s="2">
        <f>MATCH(Auto_Sales_data___Copy[[#This Row],[Total_Sales_Per_Customer]],Table2[M-Cutoff],1)</f>
        <v>4</v>
      </c>
      <c r="Z287" s="2" t="str">
        <f>Auto_Sales_data___Copy[[#This Row],[R-Score(1-5)]]&amp;Auto_Sales_data___Copy[[#This Row],[F-Score(1-5)]]&amp;Auto_Sales_data___Copy[[#This Row],[M-Score(1-5)]]</f>
        <v>544</v>
      </c>
      <c r="AA287" s="2" t="str" cm="1">
        <f t="array" ref="AA2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7" s="2" t="str">
        <f>VLOOKUP(Auto_Sales_data___Copy[[#This Row],[Segment Name]],Table3[],2,FALSE)</f>
        <v>VIP Recognitioon &amp; Inclusivity</v>
      </c>
    </row>
    <row r="288" spans="1:28" x14ac:dyDescent="0.25">
      <c r="A288">
        <v>10372</v>
      </c>
      <c r="B288">
        <v>40</v>
      </c>
      <c r="C288">
        <v>146.55000000000001</v>
      </c>
      <c r="D288">
        <v>4</v>
      </c>
      <c r="E288">
        <v>5862</v>
      </c>
      <c r="F288" s="1">
        <v>43856</v>
      </c>
      <c r="G288" s="2" t="s">
        <v>19</v>
      </c>
      <c r="H288" s="2" t="s">
        <v>183</v>
      </c>
      <c r="I288">
        <v>151</v>
      </c>
      <c r="J288" s="2" t="s">
        <v>545</v>
      </c>
      <c r="K288" s="2" t="s">
        <v>256</v>
      </c>
      <c r="L288" s="2" t="s">
        <v>257</v>
      </c>
      <c r="M288" s="2" t="s">
        <v>258</v>
      </c>
      <c r="N288" s="2" t="s">
        <v>259</v>
      </c>
      <c r="O288" s="2" t="s">
        <v>260</v>
      </c>
      <c r="P288" s="2" t="s">
        <v>261</v>
      </c>
      <c r="Q288" s="2" t="s">
        <v>262</v>
      </c>
      <c r="R288" s="2" t="s">
        <v>263</v>
      </c>
      <c r="S288" s="2" t="s">
        <v>46</v>
      </c>
      <c r="T288">
        <v>399</v>
      </c>
      <c r="U288">
        <f>VLOOKUP(Auto_Sales_data___Copy[[#This Row],[CUSTOMER_NAME]],$AF$2:$AH$90,2,FALSE)</f>
        <v>32</v>
      </c>
      <c r="V288">
        <f>VLOOKUP(Auto_Sales_data___Copy[[#This Row],[CUSTOMER_NAME]],$AF$2:$AH$90,3,FALSE)</f>
        <v>120562.74000000002</v>
      </c>
      <c r="W288" s="2">
        <f>6-MATCH(Auto_Sales_data___Copy[[#This Row],[DAYS_SINCE_LAST_ORDER]],Table2[R-Cutoff],1)</f>
        <v>5</v>
      </c>
      <c r="X288" s="2">
        <f>MATCH(Auto_Sales_data___Copy[[#This Row],[Total_Orders_Per_Customer]],Table2[F-Cutoff],1)</f>
        <v>4</v>
      </c>
      <c r="Y288" s="2">
        <f>MATCH(Auto_Sales_data___Copy[[#This Row],[Total_Sales_Per_Customer]],Table2[M-Cutoff],1)</f>
        <v>4</v>
      </c>
      <c r="Z288" s="2" t="str">
        <f>Auto_Sales_data___Copy[[#This Row],[R-Score(1-5)]]&amp;Auto_Sales_data___Copy[[#This Row],[F-Score(1-5)]]&amp;Auto_Sales_data___Copy[[#This Row],[M-Score(1-5)]]</f>
        <v>544</v>
      </c>
      <c r="AA288" s="2" t="str" cm="1">
        <f t="array" ref="AA2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8" s="2" t="str">
        <f>VLOOKUP(Auto_Sales_data___Copy[[#This Row],[Segment Name]],Table3[],2,FALSE)</f>
        <v>VIP Recognitioon &amp; Inclusivity</v>
      </c>
    </row>
    <row r="289" spans="1:28" x14ac:dyDescent="0.25">
      <c r="A289">
        <v>10372</v>
      </c>
      <c r="B289">
        <v>34</v>
      </c>
      <c r="C289">
        <v>174.75</v>
      </c>
      <c r="D289">
        <v>1</v>
      </c>
      <c r="E289">
        <v>5941.5</v>
      </c>
      <c r="F289" s="1">
        <v>43856</v>
      </c>
      <c r="G289" s="2" t="s">
        <v>19</v>
      </c>
      <c r="H289" s="2" t="s">
        <v>183</v>
      </c>
      <c r="I289">
        <v>173</v>
      </c>
      <c r="J289" s="2" t="s">
        <v>552</v>
      </c>
      <c r="K289" s="2" t="s">
        <v>256</v>
      </c>
      <c r="L289" s="2" t="s">
        <v>257</v>
      </c>
      <c r="M289" s="2" t="s">
        <v>258</v>
      </c>
      <c r="N289" s="2" t="s">
        <v>259</v>
      </c>
      <c r="O289" s="2" t="s">
        <v>260</v>
      </c>
      <c r="P289" s="2" t="s">
        <v>261</v>
      </c>
      <c r="Q289" s="2" t="s">
        <v>262</v>
      </c>
      <c r="R289" s="2" t="s">
        <v>263</v>
      </c>
      <c r="S289" s="2" t="s">
        <v>46</v>
      </c>
      <c r="T289">
        <v>448</v>
      </c>
      <c r="U289">
        <f>VLOOKUP(Auto_Sales_data___Copy[[#This Row],[CUSTOMER_NAME]],$AF$2:$AH$90,2,FALSE)</f>
        <v>32</v>
      </c>
      <c r="V289">
        <f>VLOOKUP(Auto_Sales_data___Copy[[#This Row],[CUSTOMER_NAME]],$AF$2:$AH$90,3,FALSE)</f>
        <v>120562.74000000002</v>
      </c>
      <c r="W289" s="2">
        <f>6-MATCH(Auto_Sales_data___Copy[[#This Row],[DAYS_SINCE_LAST_ORDER]],Table2[R-Cutoff],1)</f>
        <v>5</v>
      </c>
      <c r="X289" s="2">
        <f>MATCH(Auto_Sales_data___Copy[[#This Row],[Total_Orders_Per_Customer]],Table2[F-Cutoff],1)</f>
        <v>4</v>
      </c>
      <c r="Y289" s="2">
        <f>MATCH(Auto_Sales_data___Copy[[#This Row],[Total_Sales_Per_Customer]],Table2[M-Cutoff],1)</f>
        <v>4</v>
      </c>
      <c r="Z289" s="2" t="str">
        <f>Auto_Sales_data___Copy[[#This Row],[R-Score(1-5)]]&amp;Auto_Sales_data___Copy[[#This Row],[F-Score(1-5)]]&amp;Auto_Sales_data___Copy[[#This Row],[M-Score(1-5)]]</f>
        <v>544</v>
      </c>
      <c r="AA289" s="2" t="str" cm="1">
        <f t="array" ref="AA2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9" s="2" t="str">
        <f>VLOOKUP(Auto_Sales_data___Copy[[#This Row],[Segment Name]],Table3[],2,FALSE)</f>
        <v>VIP Recognitioon &amp; Inclusivity</v>
      </c>
    </row>
    <row r="290" spans="1:28" x14ac:dyDescent="0.25">
      <c r="A290">
        <v>10373</v>
      </c>
      <c r="B290">
        <v>39</v>
      </c>
      <c r="C290">
        <v>103.75</v>
      </c>
      <c r="D290">
        <v>3</v>
      </c>
      <c r="E290">
        <v>4046.25</v>
      </c>
      <c r="F290" s="1">
        <v>43861</v>
      </c>
      <c r="G290" s="2" t="s">
        <v>19</v>
      </c>
      <c r="H290" s="2" t="s">
        <v>183</v>
      </c>
      <c r="I290">
        <v>136</v>
      </c>
      <c r="J290" s="2" t="s">
        <v>338</v>
      </c>
      <c r="K290" s="2" t="s">
        <v>411</v>
      </c>
      <c r="L290" s="2" t="s">
        <v>412</v>
      </c>
      <c r="M290" s="2" t="s">
        <v>413</v>
      </c>
      <c r="N290" s="2" t="s">
        <v>414</v>
      </c>
      <c r="O290" s="2" t="s">
        <v>415</v>
      </c>
      <c r="P290" s="2" t="s">
        <v>127</v>
      </c>
      <c r="Q290" s="2" t="s">
        <v>416</v>
      </c>
      <c r="R290" s="2" t="s">
        <v>417</v>
      </c>
      <c r="S290" s="2" t="s">
        <v>46</v>
      </c>
      <c r="T290">
        <v>241</v>
      </c>
      <c r="U290">
        <f>VLOOKUP(Auto_Sales_data___Copy[[#This Row],[CUSTOMER_NAME]],$AF$2:$AH$90,2,FALSE)</f>
        <v>32</v>
      </c>
      <c r="V290">
        <f>VLOOKUP(Auto_Sales_data___Copy[[#This Row],[CUSTOMER_NAME]],$AF$2:$AH$90,3,FALSE)</f>
        <v>104370.37999999999</v>
      </c>
      <c r="W290" s="2">
        <f>6-MATCH(Auto_Sales_data___Copy[[#This Row],[DAYS_SINCE_LAST_ORDER]],Table2[R-Cutoff],1)</f>
        <v>5</v>
      </c>
      <c r="X290" s="2">
        <f>MATCH(Auto_Sales_data___Copy[[#This Row],[Total_Orders_Per_Customer]],Table2[F-Cutoff],1)</f>
        <v>4</v>
      </c>
      <c r="Y290" s="2">
        <f>MATCH(Auto_Sales_data___Copy[[#This Row],[Total_Sales_Per_Customer]],Table2[M-Cutoff],1)</f>
        <v>4</v>
      </c>
      <c r="Z290" s="2" t="str">
        <f>Auto_Sales_data___Copy[[#This Row],[R-Score(1-5)]]&amp;Auto_Sales_data___Copy[[#This Row],[F-Score(1-5)]]&amp;Auto_Sales_data___Copy[[#This Row],[M-Score(1-5)]]</f>
        <v>544</v>
      </c>
      <c r="AA290" s="2" t="str" cm="1">
        <f t="array" ref="AA2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0" s="2" t="str">
        <f>VLOOKUP(Auto_Sales_data___Copy[[#This Row],[Segment Name]],Table3[],2,FALSE)</f>
        <v>VIP Recognitioon &amp; Inclusivity</v>
      </c>
    </row>
    <row r="291" spans="1:28" x14ac:dyDescent="0.25">
      <c r="A291">
        <v>10373</v>
      </c>
      <c r="B291">
        <v>28</v>
      </c>
      <c r="C291">
        <v>57.55</v>
      </c>
      <c r="D291">
        <v>4</v>
      </c>
      <c r="E291">
        <v>1611.4</v>
      </c>
      <c r="F291" s="1">
        <v>43861</v>
      </c>
      <c r="G291" s="2" t="s">
        <v>19</v>
      </c>
      <c r="H291" s="2" t="s">
        <v>607</v>
      </c>
      <c r="I291">
        <v>157</v>
      </c>
      <c r="J291" s="2" t="s">
        <v>608</v>
      </c>
      <c r="K291" s="2" t="s">
        <v>411</v>
      </c>
      <c r="L291" s="2" t="s">
        <v>412</v>
      </c>
      <c r="M291" s="2" t="s">
        <v>413</v>
      </c>
      <c r="N291" s="2" t="s">
        <v>414</v>
      </c>
      <c r="O291" s="2" t="s">
        <v>415</v>
      </c>
      <c r="P291" s="2" t="s">
        <v>127</v>
      </c>
      <c r="Q291" s="2" t="s">
        <v>416</v>
      </c>
      <c r="R291" s="2" t="s">
        <v>417</v>
      </c>
      <c r="S291" s="2" t="s">
        <v>30</v>
      </c>
      <c r="T291">
        <v>669</v>
      </c>
      <c r="U291">
        <f>VLOOKUP(Auto_Sales_data___Copy[[#This Row],[CUSTOMER_NAME]],$AF$2:$AH$90,2,FALSE)</f>
        <v>32</v>
      </c>
      <c r="V291">
        <f>VLOOKUP(Auto_Sales_data___Copy[[#This Row],[CUSTOMER_NAME]],$AF$2:$AH$90,3,FALSE)</f>
        <v>104370.37999999999</v>
      </c>
      <c r="W291" s="2">
        <f>6-MATCH(Auto_Sales_data___Copy[[#This Row],[DAYS_SINCE_LAST_ORDER]],Table2[R-Cutoff],1)</f>
        <v>5</v>
      </c>
      <c r="X291" s="2">
        <f>MATCH(Auto_Sales_data___Copy[[#This Row],[Total_Orders_Per_Customer]],Table2[F-Cutoff],1)</f>
        <v>4</v>
      </c>
      <c r="Y291" s="2">
        <f>MATCH(Auto_Sales_data___Copy[[#This Row],[Total_Sales_Per_Customer]],Table2[M-Cutoff],1)</f>
        <v>4</v>
      </c>
      <c r="Z291" s="2" t="str">
        <f>Auto_Sales_data___Copy[[#This Row],[R-Score(1-5)]]&amp;Auto_Sales_data___Copy[[#This Row],[F-Score(1-5)]]&amp;Auto_Sales_data___Copy[[#This Row],[M-Score(1-5)]]</f>
        <v>544</v>
      </c>
      <c r="AA291" s="2" t="str" cm="1">
        <f t="array" ref="AA2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1" s="2" t="str">
        <f>VLOOKUP(Auto_Sales_data___Copy[[#This Row],[Segment Name]],Table3[],2,FALSE)</f>
        <v>VIP Recognitioon &amp; Inclusivity</v>
      </c>
    </row>
    <row r="292" spans="1:28" x14ac:dyDescent="0.25">
      <c r="A292">
        <v>10375</v>
      </c>
      <c r="B292">
        <v>21</v>
      </c>
      <c r="C292">
        <v>34.909999999999997</v>
      </c>
      <c r="D292">
        <v>12</v>
      </c>
      <c r="E292">
        <v>733.11</v>
      </c>
      <c r="F292" s="1">
        <v>43864</v>
      </c>
      <c r="G292" s="2" t="s">
        <v>19</v>
      </c>
      <c r="H292" s="2" t="s">
        <v>20</v>
      </c>
      <c r="I292">
        <v>95</v>
      </c>
      <c r="J292" s="2" t="s">
        <v>21</v>
      </c>
      <c r="K292" s="2" t="s">
        <v>108</v>
      </c>
      <c r="L292" s="2" t="s">
        <v>109</v>
      </c>
      <c r="M292" s="2" t="s">
        <v>110</v>
      </c>
      <c r="N292" s="2" t="s">
        <v>111</v>
      </c>
      <c r="O292" s="2" t="s">
        <v>112</v>
      </c>
      <c r="P292" s="2" t="s">
        <v>36</v>
      </c>
      <c r="Q292" s="2" t="s">
        <v>113</v>
      </c>
      <c r="R292" s="2" t="s">
        <v>114</v>
      </c>
      <c r="S292" s="2" t="s">
        <v>30</v>
      </c>
      <c r="T292">
        <v>139</v>
      </c>
      <c r="U292">
        <f>VLOOKUP(Auto_Sales_data___Copy[[#This Row],[CUSTOMER_NAME]],$AF$2:$AH$90,2,FALSE)</f>
        <v>53</v>
      </c>
      <c r="V292">
        <f>VLOOKUP(Auto_Sales_data___Copy[[#This Row],[CUSTOMER_NAME]],$AF$2:$AH$90,3,FALSE)</f>
        <v>180124.90000000008</v>
      </c>
      <c r="W292" s="2">
        <f>6-MATCH(Auto_Sales_data___Copy[[#This Row],[DAYS_SINCE_LAST_ORDER]],Table2[R-Cutoff],1)</f>
        <v>5</v>
      </c>
      <c r="X292" s="2">
        <f>MATCH(Auto_Sales_data___Copy[[#This Row],[Total_Orders_Per_Customer]],Table2[F-Cutoff],1)</f>
        <v>4</v>
      </c>
      <c r="Y292" s="2">
        <f>MATCH(Auto_Sales_data___Copy[[#This Row],[Total_Sales_Per_Customer]],Table2[M-Cutoff],1)</f>
        <v>4</v>
      </c>
      <c r="Z292" s="2" t="str">
        <f>Auto_Sales_data___Copy[[#This Row],[R-Score(1-5)]]&amp;Auto_Sales_data___Copy[[#This Row],[F-Score(1-5)]]&amp;Auto_Sales_data___Copy[[#This Row],[M-Score(1-5)]]</f>
        <v>544</v>
      </c>
      <c r="AA292" s="2" t="str" cm="1">
        <f t="array" ref="AA2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2" s="2" t="str">
        <f>VLOOKUP(Auto_Sales_data___Copy[[#This Row],[Segment Name]],Table3[],2,FALSE)</f>
        <v>VIP Recognitioon &amp; Inclusivity</v>
      </c>
    </row>
    <row r="293" spans="1:28" x14ac:dyDescent="0.25">
      <c r="A293">
        <v>10375</v>
      </c>
      <c r="B293">
        <v>45</v>
      </c>
      <c r="C293">
        <v>76</v>
      </c>
      <c r="D293">
        <v>7</v>
      </c>
      <c r="E293">
        <v>3420</v>
      </c>
      <c r="F293" s="1">
        <v>43864</v>
      </c>
      <c r="G293" s="2" t="s">
        <v>19</v>
      </c>
      <c r="H293" s="2" t="s">
        <v>183</v>
      </c>
      <c r="I293">
        <v>194</v>
      </c>
      <c r="J293" s="2" t="s">
        <v>449</v>
      </c>
      <c r="K293" s="2" t="s">
        <v>108</v>
      </c>
      <c r="L293" s="2" t="s">
        <v>109</v>
      </c>
      <c r="M293" s="2" t="s">
        <v>110</v>
      </c>
      <c r="N293" s="2" t="s">
        <v>111</v>
      </c>
      <c r="O293" s="2" t="s">
        <v>112</v>
      </c>
      <c r="P293" s="2" t="s">
        <v>36</v>
      </c>
      <c r="Q293" s="2" t="s">
        <v>113</v>
      </c>
      <c r="R293" s="2" t="s">
        <v>114</v>
      </c>
      <c r="S293" s="2" t="s">
        <v>46</v>
      </c>
      <c r="T293">
        <v>290</v>
      </c>
      <c r="U293">
        <f>VLOOKUP(Auto_Sales_data___Copy[[#This Row],[CUSTOMER_NAME]],$AF$2:$AH$90,2,FALSE)</f>
        <v>53</v>
      </c>
      <c r="V293">
        <f>VLOOKUP(Auto_Sales_data___Copy[[#This Row],[CUSTOMER_NAME]],$AF$2:$AH$90,3,FALSE)</f>
        <v>180124.90000000008</v>
      </c>
      <c r="W293" s="2">
        <f>6-MATCH(Auto_Sales_data___Copy[[#This Row],[DAYS_SINCE_LAST_ORDER]],Table2[R-Cutoff],1)</f>
        <v>5</v>
      </c>
      <c r="X293" s="2">
        <f>MATCH(Auto_Sales_data___Copy[[#This Row],[Total_Orders_Per_Customer]],Table2[F-Cutoff],1)</f>
        <v>4</v>
      </c>
      <c r="Y293" s="2">
        <f>MATCH(Auto_Sales_data___Copy[[#This Row],[Total_Sales_Per_Customer]],Table2[M-Cutoff],1)</f>
        <v>4</v>
      </c>
      <c r="Z293" s="2" t="str">
        <f>Auto_Sales_data___Copy[[#This Row],[R-Score(1-5)]]&amp;Auto_Sales_data___Copy[[#This Row],[F-Score(1-5)]]&amp;Auto_Sales_data___Copy[[#This Row],[M-Score(1-5)]]</f>
        <v>544</v>
      </c>
      <c r="AA293" s="2" t="str" cm="1">
        <f t="array" ref="AA2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3" s="2" t="str">
        <f>VLOOKUP(Auto_Sales_data___Copy[[#This Row],[Segment Name]],Table3[],2,FALSE)</f>
        <v>VIP Recognitioon &amp; Inclusivity</v>
      </c>
    </row>
    <row r="294" spans="1:28" x14ac:dyDescent="0.25">
      <c r="A294">
        <v>10375</v>
      </c>
      <c r="B294">
        <v>49</v>
      </c>
      <c r="C294">
        <v>78.92</v>
      </c>
      <c r="D294">
        <v>13</v>
      </c>
      <c r="E294">
        <v>3867.08</v>
      </c>
      <c r="F294" s="1">
        <v>43864</v>
      </c>
      <c r="G294" s="2" t="s">
        <v>19</v>
      </c>
      <c r="H294" s="2" t="s">
        <v>20</v>
      </c>
      <c r="I294">
        <v>150</v>
      </c>
      <c r="J294" s="2" t="s">
        <v>539</v>
      </c>
      <c r="K294" s="2" t="s">
        <v>108</v>
      </c>
      <c r="L294" s="2" t="s">
        <v>109</v>
      </c>
      <c r="M294" s="2" t="s">
        <v>110</v>
      </c>
      <c r="N294" s="2" t="s">
        <v>111</v>
      </c>
      <c r="O294" s="2" t="s">
        <v>112</v>
      </c>
      <c r="P294" s="2" t="s">
        <v>36</v>
      </c>
      <c r="Q294" s="2" t="s">
        <v>113</v>
      </c>
      <c r="R294" s="2" t="s">
        <v>114</v>
      </c>
      <c r="S294" s="2" t="s">
        <v>46</v>
      </c>
      <c r="T294">
        <v>365</v>
      </c>
      <c r="U294">
        <f>VLOOKUP(Auto_Sales_data___Copy[[#This Row],[CUSTOMER_NAME]],$AF$2:$AH$90,2,FALSE)</f>
        <v>53</v>
      </c>
      <c r="V294">
        <f>VLOOKUP(Auto_Sales_data___Copy[[#This Row],[CUSTOMER_NAME]],$AF$2:$AH$90,3,FALSE)</f>
        <v>180124.90000000008</v>
      </c>
      <c r="W294" s="2">
        <f>6-MATCH(Auto_Sales_data___Copy[[#This Row],[DAYS_SINCE_LAST_ORDER]],Table2[R-Cutoff],1)</f>
        <v>5</v>
      </c>
      <c r="X294" s="2">
        <f>MATCH(Auto_Sales_data___Copy[[#This Row],[Total_Orders_Per_Customer]],Table2[F-Cutoff],1)</f>
        <v>4</v>
      </c>
      <c r="Y294" s="2">
        <f>MATCH(Auto_Sales_data___Copy[[#This Row],[Total_Sales_Per_Customer]],Table2[M-Cutoff],1)</f>
        <v>4</v>
      </c>
      <c r="Z294" s="2" t="str">
        <f>Auto_Sales_data___Copy[[#This Row],[R-Score(1-5)]]&amp;Auto_Sales_data___Copy[[#This Row],[F-Score(1-5)]]&amp;Auto_Sales_data___Copy[[#This Row],[M-Score(1-5)]]</f>
        <v>544</v>
      </c>
      <c r="AA294" s="2" t="str" cm="1">
        <f t="array" ref="AA2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4" s="2" t="str">
        <f>VLOOKUP(Auto_Sales_data___Copy[[#This Row],[Segment Name]],Table3[],2,FALSE)</f>
        <v>VIP Recognitioon &amp; Inclusivity</v>
      </c>
    </row>
    <row r="295" spans="1:28" x14ac:dyDescent="0.25">
      <c r="A295">
        <v>10377</v>
      </c>
      <c r="B295">
        <v>24</v>
      </c>
      <c r="C295">
        <v>67.83</v>
      </c>
      <c r="D295">
        <v>5</v>
      </c>
      <c r="E295">
        <v>1627.92</v>
      </c>
      <c r="F295" s="1">
        <v>43870</v>
      </c>
      <c r="G295" s="2" t="s">
        <v>19</v>
      </c>
      <c r="H295" s="2" t="s">
        <v>183</v>
      </c>
      <c r="I295">
        <v>79</v>
      </c>
      <c r="J295" s="2" t="s">
        <v>553</v>
      </c>
      <c r="K295" s="2" t="s">
        <v>122</v>
      </c>
      <c r="L295" s="2" t="s">
        <v>123</v>
      </c>
      <c r="M295" s="2" t="s">
        <v>124</v>
      </c>
      <c r="N295" s="2" t="s">
        <v>125</v>
      </c>
      <c r="O295" s="2" t="s">
        <v>126</v>
      </c>
      <c r="P295" s="2" t="s">
        <v>127</v>
      </c>
      <c r="Q295" s="2" t="s">
        <v>128</v>
      </c>
      <c r="R295" s="2" t="s">
        <v>129</v>
      </c>
      <c r="S295" s="2" t="s">
        <v>30</v>
      </c>
      <c r="T295">
        <v>459</v>
      </c>
      <c r="U295">
        <f>VLOOKUP(Auto_Sales_data___Copy[[#This Row],[CUSTOMER_NAME]],$AF$2:$AH$90,2,FALSE)</f>
        <v>30</v>
      </c>
      <c r="V295">
        <f>VLOOKUP(Auto_Sales_data___Copy[[#This Row],[CUSTOMER_NAME]],$AF$2:$AH$90,3,FALSE)</f>
        <v>111250.37999999999</v>
      </c>
      <c r="W295" s="2">
        <f>6-MATCH(Auto_Sales_data___Copy[[#This Row],[DAYS_SINCE_LAST_ORDER]],Table2[R-Cutoff],1)</f>
        <v>5</v>
      </c>
      <c r="X295" s="2">
        <f>MATCH(Auto_Sales_data___Copy[[#This Row],[Total_Orders_Per_Customer]],Table2[F-Cutoff],1)</f>
        <v>4</v>
      </c>
      <c r="Y295" s="2">
        <f>MATCH(Auto_Sales_data___Copy[[#This Row],[Total_Sales_Per_Customer]],Table2[M-Cutoff],1)</f>
        <v>4</v>
      </c>
      <c r="Z295" s="2" t="str">
        <f>Auto_Sales_data___Copy[[#This Row],[R-Score(1-5)]]&amp;Auto_Sales_data___Copy[[#This Row],[F-Score(1-5)]]&amp;Auto_Sales_data___Copy[[#This Row],[M-Score(1-5)]]</f>
        <v>544</v>
      </c>
      <c r="AA295" s="2" t="str" cm="1">
        <f t="array" ref="AA2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5" s="2" t="str">
        <f>VLOOKUP(Auto_Sales_data___Copy[[#This Row],[Segment Name]],Table3[],2,FALSE)</f>
        <v>VIP Recognitioon &amp; Inclusivity</v>
      </c>
    </row>
    <row r="296" spans="1:28" x14ac:dyDescent="0.25">
      <c r="A296">
        <v>10377</v>
      </c>
      <c r="B296">
        <v>50</v>
      </c>
      <c r="C296">
        <v>103.64</v>
      </c>
      <c r="D296">
        <v>1</v>
      </c>
      <c r="E296">
        <v>5182</v>
      </c>
      <c r="F296" s="1">
        <v>43870</v>
      </c>
      <c r="G296" s="2" t="s">
        <v>19</v>
      </c>
      <c r="H296" s="2" t="s">
        <v>183</v>
      </c>
      <c r="I296">
        <v>115</v>
      </c>
      <c r="J296" s="2" t="s">
        <v>567</v>
      </c>
      <c r="K296" s="2" t="s">
        <v>122</v>
      </c>
      <c r="L296" s="2" t="s">
        <v>123</v>
      </c>
      <c r="M296" s="2" t="s">
        <v>124</v>
      </c>
      <c r="N296" s="2" t="s">
        <v>125</v>
      </c>
      <c r="O296" s="2" t="s">
        <v>126</v>
      </c>
      <c r="P296" s="2" t="s">
        <v>127</v>
      </c>
      <c r="Q296" s="2" t="s">
        <v>128</v>
      </c>
      <c r="R296" s="2" t="s">
        <v>129</v>
      </c>
      <c r="S296" s="2" t="s">
        <v>46</v>
      </c>
      <c r="T296">
        <v>510</v>
      </c>
      <c r="U296">
        <f>VLOOKUP(Auto_Sales_data___Copy[[#This Row],[CUSTOMER_NAME]],$AF$2:$AH$90,2,FALSE)</f>
        <v>30</v>
      </c>
      <c r="V296">
        <f>VLOOKUP(Auto_Sales_data___Copy[[#This Row],[CUSTOMER_NAME]],$AF$2:$AH$90,3,FALSE)</f>
        <v>111250.37999999999</v>
      </c>
      <c r="W296" s="2">
        <f>6-MATCH(Auto_Sales_data___Copy[[#This Row],[DAYS_SINCE_LAST_ORDER]],Table2[R-Cutoff],1)</f>
        <v>5</v>
      </c>
      <c r="X296" s="2">
        <f>MATCH(Auto_Sales_data___Copy[[#This Row],[Total_Orders_Per_Customer]],Table2[F-Cutoff],1)</f>
        <v>4</v>
      </c>
      <c r="Y296" s="2">
        <f>MATCH(Auto_Sales_data___Copy[[#This Row],[Total_Sales_Per_Customer]],Table2[M-Cutoff],1)</f>
        <v>4</v>
      </c>
      <c r="Z296" s="2" t="str">
        <f>Auto_Sales_data___Copy[[#This Row],[R-Score(1-5)]]&amp;Auto_Sales_data___Copy[[#This Row],[F-Score(1-5)]]&amp;Auto_Sales_data___Copy[[#This Row],[M-Score(1-5)]]</f>
        <v>544</v>
      </c>
      <c r="AA296" s="2" t="str" cm="1">
        <f t="array" ref="AA2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6" s="2" t="str">
        <f>VLOOKUP(Auto_Sales_data___Copy[[#This Row],[Segment Name]],Table3[],2,FALSE)</f>
        <v>VIP Recognitioon &amp; Inclusivity</v>
      </c>
    </row>
    <row r="297" spans="1:28" x14ac:dyDescent="0.25">
      <c r="A297">
        <v>10377</v>
      </c>
      <c r="B297">
        <v>35</v>
      </c>
      <c r="C297">
        <v>168.43</v>
      </c>
      <c r="D297">
        <v>2</v>
      </c>
      <c r="E297">
        <v>5895.05</v>
      </c>
      <c r="F297" s="1">
        <v>43870</v>
      </c>
      <c r="G297" s="2" t="s">
        <v>19</v>
      </c>
      <c r="H297" s="2" t="s">
        <v>183</v>
      </c>
      <c r="I297">
        <v>141</v>
      </c>
      <c r="J297" s="2" t="s">
        <v>576</v>
      </c>
      <c r="K297" s="2" t="s">
        <v>122</v>
      </c>
      <c r="L297" s="2" t="s">
        <v>123</v>
      </c>
      <c r="M297" s="2" t="s">
        <v>124</v>
      </c>
      <c r="N297" s="2" t="s">
        <v>125</v>
      </c>
      <c r="O297" s="2" t="s">
        <v>126</v>
      </c>
      <c r="P297" s="2" t="s">
        <v>127</v>
      </c>
      <c r="Q297" s="2" t="s">
        <v>128</v>
      </c>
      <c r="R297" s="2" t="s">
        <v>129</v>
      </c>
      <c r="S297" s="2" t="s">
        <v>46</v>
      </c>
      <c r="T297">
        <v>563</v>
      </c>
      <c r="U297">
        <f>VLOOKUP(Auto_Sales_data___Copy[[#This Row],[CUSTOMER_NAME]],$AF$2:$AH$90,2,FALSE)</f>
        <v>30</v>
      </c>
      <c r="V297">
        <f>VLOOKUP(Auto_Sales_data___Copy[[#This Row],[CUSTOMER_NAME]],$AF$2:$AH$90,3,FALSE)</f>
        <v>111250.37999999999</v>
      </c>
      <c r="W297" s="2">
        <f>6-MATCH(Auto_Sales_data___Copy[[#This Row],[DAYS_SINCE_LAST_ORDER]],Table2[R-Cutoff],1)</f>
        <v>5</v>
      </c>
      <c r="X297" s="2">
        <f>MATCH(Auto_Sales_data___Copy[[#This Row],[Total_Orders_Per_Customer]],Table2[F-Cutoff],1)</f>
        <v>4</v>
      </c>
      <c r="Y297" s="2">
        <f>MATCH(Auto_Sales_data___Copy[[#This Row],[Total_Sales_Per_Customer]],Table2[M-Cutoff],1)</f>
        <v>4</v>
      </c>
      <c r="Z297" s="2" t="str">
        <f>Auto_Sales_data___Copy[[#This Row],[R-Score(1-5)]]&amp;Auto_Sales_data___Copy[[#This Row],[F-Score(1-5)]]&amp;Auto_Sales_data___Copy[[#This Row],[M-Score(1-5)]]</f>
        <v>544</v>
      </c>
      <c r="AA297" s="2" t="str" cm="1">
        <f t="array" ref="AA2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7" s="2" t="str">
        <f>VLOOKUP(Auto_Sales_data___Copy[[#This Row],[Segment Name]],Table3[],2,FALSE)</f>
        <v>VIP Recognitioon &amp; Inclusivity</v>
      </c>
    </row>
    <row r="298" spans="1:28" x14ac:dyDescent="0.25">
      <c r="A298">
        <v>10377</v>
      </c>
      <c r="B298">
        <v>31</v>
      </c>
      <c r="C298">
        <v>67.760000000000005</v>
      </c>
      <c r="D298">
        <v>4</v>
      </c>
      <c r="E298">
        <v>2100.56</v>
      </c>
      <c r="F298" s="1">
        <v>43870</v>
      </c>
      <c r="G298" s="2" t="s">
        <v>19</v>
      </c>
      <c r="H298" s="2" t="s">
        <v>183</v>
      </c>
      <c r="I298">
        <v>77</v>
      </c>
      <c r="J298" s="2" t="s">
        <v>629</v>
      </c>
      <c r="K298" s="2" t="s">
        <v>122</v>
      </c>
      <c r="L298" s="2" t="s">
        <v>123</v>
      </c>
      <c r="M298" s="2" t="s">
        <v>124</v>
      </c>
      <c r="N298" s="2" t="s">
        <v>125</v>
      </c>
      <c r="O298" s="2" t="s">
        <v>126</v>
      </c>
      <c r="P298" s="2" t="s">
        <v>127</v>
      </c>
      <c r="Q298" s="2" t="s">
        <v>128</v>
      </c>
      <c r="R298" s="2" t="s">
        <v>129</v>
      </c>
      <c r="S298" s="2" t="s">
        <v>30</v>
      </c>
      <c r="T298">
        <v>707</v>
      </c>
      <c r="U298">
        <f>VLOOKUP(Auto_Sales_data___Copy[[#This Row],[CUSTOMER_NAME]],$AF$2:$AH$90,2,FALSE)</f>
        <v>30</v>
      </c>
      <c r="V298">
        <f>VLOOKUP(Auto_Sales_data___Copy[[#This Row],[CUSTOMER_NAME]],$AF$2:$AH$90,3,FALSE)</f>
        <v>111250.37999999999</v>
      </c>
      <c r="W298" s="2">
        <f>6-MATCH(Auto_Sales_data___Copy[[#This Row],[DAYS_SINCE_LAST_ORDER]],Table2[R-Cutoff],1)</f>
        <v>5</v>
      </c>
      <c r="X298" s="2">
        <f>MATCH(Auto_Sales_data___Copy[[#This Row],[Total_Orders_Per_Customer]],Table2[F-Cutoff],1)</f>
        <v>4</v>
      </c>
      <c r="Y298" s="2">
        <f>MATCH(Auto_Sales_data___Copy[[#This Row],[Total_Sales_Per_Customer]],Table2[M-Cutoff],1)</f>
        <v>4</v>
      </c>
      <c r="Z298" s="2" t="str">
        <f>Auto_Sales_data___Copy[[#This Row],[R-Score(1-5)]]&amp;Auto_Sales_data___Copy[[#This Row],[F-Score(1-5)]]&amp;Auto_Sales_data___Copy[[#This Row],[M-Score(1-5)]]</f>
        <v>544</v>
      </c>
      <c r="AA298" s="2" t="str" cm="1">
        <f t="array" ref="AA2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8" s="2" t="str">
        <f>VLOOKUP(Auto_Sales_data___Copy[[#This Row],[Segment Name]],Table3[],2,FALSE)</f>
        <v>VIP Recognitioon &amp; Inclusivity</v>
      </c>
    </row>
    <row r="299" spans="1:28" x14ac:dyDescent="0.25">
      <c r="A299">
        <v>10377</v>
      </c>
      <c r="B299">
        <v>36</v>
      </c>
      <c r="C299">
        <v>120.91</v>
      </c>
      <c r="D299">
        <v>6</v>
      </c>
      <c r="E299">
        <v>4352.76</v>
      </c>
      <c r="F299" s="1">
        <v>43870</v>
      </c>
      <c r="G299" s="2" t="s">
        <v>19</v>
      </c>
      <c r="H299" s="2" t="s">
        <v>183</v>
      </c>
      <c r="I299">
        <v>142</v>
      </c>
      <c r="J299" s="2" t="s">
        <v>630</v>
      </c>
      <c r="K299" s="2" t="s">
        <v>122</v>
      </c>
      <c r="L299" s="2" t="s">
        <v>123</v>
      </c>
      <c r="M299" s="2" t="s">
        <v>124</v>
      </c>
      <c r="N299" s="2" t="s">
        <v>125</v>
      </c>
      <c r="O299" s="2" t="s">
        <v>126</v>
      </c>
      <c r="P299" s="2" t="s">
        <v>127</v>
      </c>
      <c r="Q299" s="2" t="s">
        <v>128</v>
      </c>
      <c r="R299" s="2" t="s">
        <v>129</v>
      </c>
      <c r="S299" s="2" t="s">
        <v>46</v>
      </c>
      <c r="T299">
        <v>734</v>
      </c>
      <c r="U299">
        <f>VLOOKUP(Auto_Sales_data___Copy[[#This Row],[CUSTOMER_NAME]],$AF$2:$AH$90,2,FALSE)</f>
        <v>30</v>
      </c>
      <c r="V299">
        <f>VLOOKUP(Auto_Sales_data___Copy[[#This Row],[CUSTOMER_NAME]],$AF$2:$AH$90,3,FALSE)</f>
        <v>111250.37999999999</v>
      </c>
      <c r="W299" s="2">
        <f>6-MATCH(Auto_Sales_data___Copy[[#This Row],[DAYS_SINCE_LAST_ORDER]],Table2[R-Cutoff],1)</f>
        <v>5</v>
      </c>
      <c r="X299" s="2">
        <f>MATCH(Auto_Sales_data___Copy[[#This Row],[Total_Orders_Per_Customer]],Table2[F-Cutoff],1)</f>
        <v>4</v>
      </c>
      <c r="Y299" s="2">
        <f>MATCH(Auto_Sales_data___Copy[[#This Row],[Total_Sales_Per_Customer]],Table2[M-Cutoff],1)</f>
        <v>4</v>
      </c>
      <c r="Z299" s="2" t="str">
        <f>Auto_Sales_data___Copy[[#This Row],[R-Score(1-5)]]&amp;Auto_Sales_data___Copy[[#This Row],[F-Score(1-5)]]&amp;Auto_Sales_data___Copy[[#This Row],[M-Score(1-5)]]</f>
        <v>544</v>
      </c>
      <c r="AA299" s="2" t="str" cm="1">
        <f t="array" ref="AA2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9" s="2" t="str">
        <f>VLOOKUP(Auto_Sales_data___Copy[[#This Row],[Segment Name]],Table3[],2,FALSE)</f>
        <v>VIP Recognitioon &amp; Inclusivity</v>
      </c>
    </row>
    <row r="300" spans="1:28" x14ac:dyDescent="0.25">
      <c r="A300">
        <v>10382</v>
      </c>
      <c r="B300">
        <v>34</v>
      </c>
      <c r="C300">
        <v>112.46</v>
      </c>
      <c r="D300">
        <v>10</v>
      </c>
      <c r="E300">
        <v>3823.64</v>
      </c>
      <c r="F300" s="1">
        <v>43878</v>
      </c>
      <c r="G300" s="2" t="s">
        <v>19</v>
      </c>
      <c r="H300" s="2" t="s">
        <v>183</v>
      </c>
      <c r="I300">
        <v>207</v>
      </c>
      <c r="J300" s="2" t="s">
        <v>505</v>
      </c>
      <c r="K300" s="2" t="s">
        <v>284</v>
      </c>
      <c r="L300" s="2" t="s">
        <v>285</v>
      </c>
      <c r="M300" s="2" t="s">
        <v>286</v>
      </c>
      <c r="N300" s="2" t="s">
        <v>287</v>
      </c>
      <c r="O300" s="2" t="s">
        <v>106</v>
      </c>
      <c r="P300" s="2" t="s">
        <v>27</v>
      </c>
      <c r="Q300" s="2" t="s">
        <v>288</v>
      </c>
      <c r="R300" s="2" t="s">
        <v>289</v>
      </c>
      <c r="S300" s="2" t="s">
        <v>46</v>
      </c>
      <c r="T300">
        <v>302</v>
      </c>
      <c r="U300">
        <f>VLOOKUP(Auto_Sales_data___Copy[[#This Row],[CUSTOMER_NAME]],$AF$2:$AH$90,2,FALSE)</f>
        <v>180</v>
      </c>
      <c r="V300">
        <f>VLOOKUP(Auto_Sales_data___Copy[[#This Row],[CUSTOMER_NAME]],$AF$2:$AH$90,3,FALSE)</f>
        <v>654858.06000000017</v>
      </c>
      <c r="W300" s="2">
        <f>6-MATCH(Auto_Sales_data___Copy[[#This Row],[DAYS_SINCE_LAST_ORDER]],Table2[R-Cutoff],1)</f>
        <v>5</v>
      </c>
      <c r="X300" s="2">
        <f>MATCH(Auto_Sales_data___Copy[[#This Row],[Total_Orders_Per_Customer]],Table2[F-Cutoff],1)</f>
        <v>4</v>
      </c>
      <c r="Y300" s="2">
        <f>MATCH(Auto_Sales_data___Copy[[#This Row],[Total_Sales_Per_Customer]],Table2[M-Cutoff],1)</f>
        <v>4</v>
      </c>
      <c r="Z300" s="2" t="str">
        <f>Auto_Sales_data___Copy[[#This Row],[R-Score(1-5)]]&amp;Auto_Sales_data___Copy[[#This Row],[F-Score(1-5)]]&amp;Auto_Sales_data___Copy[[#This Row],[M-Score(1-5)]]</f>
        <v>544</v>
      </c>
      <c r="AA300" s="2" t="str" cm="1">
        <f t="array" ref="AA3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0" s="2" t="str">
        <f>VLOOKUP(Auto_Sales_data___Copy[[#This Row],[Segment Name]],Table3[],2,FALSE)</f>
        <v>VIP Recognitioon &amp; Inclusivity</v>
      </c>
    </row>
    <row r="301" spans="1:28" x14ac:dyDescent="0.25">
      <c r="A301">
        <v>10382</v>
      </c>
      <c r="B301">
        <v>37</v>
      </c>
      <c r="C301">
        <v>110.05</v>
      </c>
      <c r="D301">
        <v>11</v>
      </c>
      <c r="E301">
        <v>4071.85</v>
      </c>
      <c r="F301" s="1">
        <v>43878</v>
      </c>
      <c r="G301" s="2" t="s">
        <v>19</v>
      </c>
      <c r="H301" s="2" t="s">
        <v>183</v>
      </c>
      <c r="I301">
        <v>151</v>
      </c>
      <c r="J301" s="2" t="s">
        <v>545</v>
      </c>
      <c r="K301" s="2" t="s">
        <v>284</v>
      </c>
      <c r="L301" s="2" t="s">
        <v>285</v>
      </c>
      <c r="M301" s="2" t="s">
        <v>286</v>
      </c>
      <c r="N301" s="2" t="s">
        <v>287</v>
      </c>
      <c r="O301" s="2" t="s">
        <v>106</v>
      </c>
      <c r="P301" s="2" t="s">
        <v>27</v>
      </c>
      <c r="Q301" s="2" t="s">
        <v>288</v>
      </c>
      <c r="R301" s="2" t="s">
        <v>289</v>
      </c>
      <c r="S301" s="2" t="s">
        <v>46</v>
      </c>
      <c r="T301">
        <v>378</v>
      </c>
      <c r="U301">
        <f>VLOOKUP(Auto_Sales_data___Copy[[#This Row],[CUSTOMER_NAME]],$AF$2:$AH$90,2,FALSE)</f>
        <v>180</v>
      </c>
      <c r="V301">
        <f>VLOOKUP(Auto_Sales_data___Copy[[#This Row],[CUSTOMER_NAME]],$AF$2:$AH$90,3,FALSE)</f>
        <v>654858.06000000017</v>
      </c>
      <c r="W301" s="2">
        <f>6-MATCH(Auto_Sales_data___Copy[[#This Row],[DAYS_SINCE_LAST_ORDER]],Table2[R-Cutoff],1)</f>
        <v>5</v>
      </c>
      <c r="X301" s="2">
        <f>MATCH(Auto_Sales_data___Copy[[#This Row],[Total_Orders_Per_Customer]],Table2[F-Cutoff],1)</f>
        <v>4</v>
      </c>
      <c r="Y301" s="2">
        <f>MATCH(Auto_Sales_data___Copy[[#This Row],[Total_Sales_Per_Customer]],Table2[M-Cutoff],1)</f>
        <v>4</v>
      </c>
      <c r="Z301" s="2" t="str">
        <f>Auto_Sales_data___Copy[[#This Row],[R-Score(1-5)]]&amp;Auto_Sales_data___Copy[[#This Row],[F-Score(1-5)]]&amp;Auto_Sales_data___Copy[[#This Row],[M-Score(1-5)]]</f>
        <v>544</v>
      </c>
      <c r="AA301" s="2" t="str" cm="1">
        <f t="array" ref="AA3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1" s="2" t="str">
        <f>VLOOKUP(Auto_Sales_data___Copy[[#This Row],[Segment Name]],Table3[],2,FALSE)</f>
        <v>VIP Recognitioon &amp; Inclusivity</v>
      </c>
    </row>
    <row r="302" spans="1:28" x14ac:dyDescent="0.25">
      <c r="A302">
        <v>10382</v>
      </c>
      <c r="B302">
        <v>34</v>
      </c>
      <c r="C302">
        <v>95.35</v>
      </c>
      <c r="D302">
        <v>12</v>
      </c>
      <c r="E302">
        <v>3241.9</v>
      </c>
      <c r="F302" s="1">
        <v>43878</v>
      </c>
      <c r="G302" s="2" t="s">
        <v>19</v>
      </c>
      <c r="H302" s="2" t="s">
        <v>183</v>
      </c>
      <c r="I302">
        <v>173</v>
      </c>
      <c r="J302" s="2" t="s">
        <v>552</v>
      </c>
      <c r="K302" s="2" t="s">
        <v>284</v>
      </c>
      <c r="L302" s="2" t="s">
        <v>285</v>
      </c>
      <c r="M302" s="2" t="s">
        <v>286</v>
      </c>
      <c r="N302" s="2" t="s">
        <v>287</v>
      </c>
      <c r="O302" s="2" t="s">
        <v>106</v>
      </c>
      <c r="P302" s="2" t="s">
        <v>27</v>
      </c>
      <c r="Q302" s="2" t="s">
        <v>288</v>
      </c>
      <c r="R302" s="2" t="s">
        <v>289</v>
      </c>
      <c r="S302" s="2" t="s">
        <v>46</v>
      </c>
      <c r="T302">
        <v>427</v>
      </c>
      <c r="U302">
        <f>VLOOKUP(Auto_Sales_data___Copy[[#This Row],[CUSTOMER_NAME]],$AF$2:$AH$90,2,FALSE)</f>
        <v>180</v>
      </c>
      <c r="V302">
        <f>VLOOKUP(Auto_Sales_data___Copy[[#This Row],[CUSTOMER_NAME]],$AF$2:$AH$90,3,FALSE)</f>
        <v>654858.06000000017</v>
      </c>
      <c r="W302" s="2">
        <f>6-MATCH(Auto_Sales_data___Copy[[#This Row],[DAYS_SINCE_LAST_ORDER]],Table2[R-Cutoff],1)</f>
        <v>5</v>
      </c>
      <c r="X302" s="2">
        <f>MATCH(Auto_Sales_data___Copy[[#This Row],[Total_Orders_Per_Customer]],Table2[F-Cutoff],1)</f>
        <v>4</v>
      </c>
      <c r="Y302" s="2">
        <f>MATCH(Auto_Sales_data___Copy[[#This Row],[Total_Sales_Per_Customer]],Table2[M-Cutoff],1)</f>
        <v>4</v>
      </c>
      <c r="Z302" s="2" t="str">
        <f>Auto_Sales_data___Copy[[#This Row],[R-Score(1-5)]]&amp;Auto_Sales_data___Copy[[#This Row],[F-Score(1-5)]]&amp;Auto_Sales_data___Copy[[#This Row],[M-Score(1-5)]]</f>
        <v>544</v>
      </c>
      <c r="AA302" s="2" t="str" cm="1">
        <f t="array" ref="AA3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2" s="2" t="str">
        <f>VLOOKUP(Auto_Sales_data___Copy[[#This Row],[Segment Name]],Table3[],2,FALSE)</f>
        <v>VIP Recognitioon &amp; Inclusivity</v>
      </c>
    </row>
    <row r="303" spans="1:28" x14ac:dyDescent="0.25">
      <c r="A303">
        <v>10382</v>
      </c>
      <c r="B303">
        <v>32</v>
      </c>
      <c r="C303">
        <v>66.58</v>
      </c>
      <c r="D303">
        <v>13</v>
      </c>
      <c r="E303">
        <v>2130.56</v>
      </c>
      <c r="F303" s="1">
        <v>43878</v>
      </c>
      <c r="G303" s="2" t="s">
        <v>19</v>
      </c>
      <c r="H303" s="2" t="s">
        <v>537</v>
      </c>
      <c r="I303">
        <v>118</v>
      </c>
      <c r="J303" s="2" t="s">
        <v>554</v>
      </c>
      <c r="K303" s="2" t="s">
        <v>284</v>
      </c>
      <c r="L303" s="2" t="s">
        <v>285</v>
      </c>
      <c r="M303" s="2" t="s">
        <v>286</v>
      </c>
      <c r="N303" s="2" t="s">
        <v>287</v>
      </c>
      <c r="O303" s="2" t="s">
        <v>106</v>
      </c>
      <c r="P303" s="2" t="s">
        <v>27</v>
      </c>
      <c r="Q303" s="2" t="s">
        <v>288</v>
      </c>
      <c r="R303" s="2" t="s">
        <v>289</v>
      </c>
      <c r="S303" s="2" t="s">
        <v>30</v>
      </c>
      <c r="T303">
        <v>478</v>
      </c>
      <c r="U303">
        <f>VLOOKUP(Auto_Sales_data___Copy[[#This Row],[CUSTOMER_NAME]],$AF$2:$AH$90,2,FALSE)</f>
        <v>180</v>
      </c>
      <c r="V303">
        <f>VLOOKUP(Auto_Sales_data___Copy[[#This Row],[CUSTOMER_NAME]],$AF$2:$AH$90,3,FALSE)</f>
        <v>654858.06000000017</v>
      </c>
      <c r="W303" s="2">
        <f>6-MATCH(Auto_Sales_data___Copy[[#This Row],[DAYS_SINCE_LAST_ORDER]],Table2[R-Cutoff],1)</f>
        <v>5</v>
      </c>
      <c r="X303" s="2">
        <f>MATCH(Auto_Sales_data___Copy[[#This Row],[Total_Orders_Per_Customer]],Table2[F-Cutoff],1)</f>
        <v>4</v>
      </c>
      <c r="Y303" s="2">
        <f>MATCH(Auto_Sales_data___Copy[[#This Row],[Total_Sales_Per_Customer]],Table2[M-Cutoff],1)</f>
        <v>4</v>
      </c>
      <c r="Z303" s="2" t="str">
        <f>Auto_Sales_data___Copy[[#This Row],[R-Score(1-5)]]&amp;Auto_Sales_data___Copy[[#This Row],[F-Score(1-5)]]&amp;Auto_Sales_data___Copy[[#This Row],[M-Score(1-5)]]</f>
        <v>544</v>
      </c>
      <c r="AA303" s="2" t="str" cm="1">
        <f t="array" ref="AA3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3" s="2" t="str">
        <f>VLOOKUP(Auto_Sales_data___Copy[[#This Row],[Segment Name]],Table3[],2,FALSE)</f>
        <v>VIP Recognitioon &amp; Inclusivity</v>
      </c>
    </row>
    <row r="304" spans="1:28" x14ac:dyDescent="0.25">
      <c r="A304">
        <v>10382</v>
      </c>
      <c r="B304">
        <v>25</v>
      </c>
      <c r="C304">
        <v>88</v>
      </c>
      <c r="D304">
        <v>5</v>
      </c>
      <c r="E304">
        <v>2200</v>
      </c>
      <c r="F304" s="1">
        <v>43878</v>
      </c>
      <c r="G304" s="2" t="s">
        <v>19</v>
      </c>
      <c r="H304" s="2" t="s">
        <v>183</v>
      </c>
      <c r="I304">
        <v>163</v>
      </c>
      <c r="J304" s="2" t="s">
        <v>631</v>
      </c>
      <c r="K304" s="2" t="s">
        <v>284</v>
      </c>
      <c r="L304" s="2" t="s">
        <v>285</v>
      </c>
      <c r="M304" s="2" t="s">
        <v>286</v>
      </c>
      <c r="N304" s="2" t="s">
        <v>287</v>
      </c>
      <c r="O304" s="2" t="s">
        <v>106</v>
      </c>
      <c r="P304" s="2" t="s">
        <v>27</v>
      </c>
      <c r="Q304" s="2" t="s">
        <v>288</v>
      </c>
      <c r="R304" s="2" t="s">
        <v>289</v>
      </c>
      <c r="S304" s="2" t="s">
        <v>30</v>
      </c>
      <c r="T304">
        <v>754</v>
      </c>
      <c r="U304">
        <f>VLOOKUP(Auto_Sales_data___Copy[[#This Row],[CUSTOMER_NAME]],$AF$2:$AH$90,2,FALSE)</f>
        <v>180</v>
      </c>
      <c r="V304">
        <f>VLOOKUP(Auto_Sales_data___Copy[[#This Row],[CUSTOMER_NAME]],$AF$2:$AH$90,3,FALSE)</f>
        <v>654858.06000000017</v>
      </c>
      <c r="W304" s="2">
        <f>6-MATCH(Auto_Sales_data___Copy[[#This Row],[DAYS_SINCE_LAST_ORDER]],Table2[R-Cutoff],1)</f>
        <v>5</v>
      </c>
      <c r="X304" s="2">
        <f>MATCH(Auto_Sales_data___Copy[[#This Row],[Total_Orders_Per_Customer]],Table2[F-Cutoff],1)</f>
        <v>4</v>
      </c>
      <c r="Y304" s="2">
        <f>MATCH(Auto_Sales_data___Copy[[#This Row],[Total_Sales_Per_Customer]],Table2[M-Cutoff],1)</f>
        <v>4</v>
      </c>
      <c r="Z304" s="2" t="str">
        <f>Auto_Sales_data___Copy[[#This Row],[R-Score(1-5)]]&amp;Auto_Sales_data___Copy[[#This Row],[F-Score(1-5)]]&amp;Auto_Sales_data___Copy[[#This Row],[M-Score(1-5)]]</f>
        <v>544</v>
      </c>
      <c r="AA304" s="2" t="str" cm="1">
        <f t="array" ref="AA3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4" s="2" t="str">
        <f>VLOOKUP(Auto_Sales_data___Copy[[#This Row],[Segment Name]],Table3[],2,FALSE)</f>
        <v>VIP Recognitioon &amp; Inclusivity</v>
      </c>
    </row>
    <row r="305" spans="1:28" x14ac:dyDescent="0.25">
      <c r="A305">
        <v>10389</v>
      </c>
      <c r="B305">
        <v>26</v>
      </c>
      <c r="C305">
        <v>99.04</v>
      </c>
      <c r="D305">
        <v>4</v>
      </c>
      <c r="E305">
        <v>2575.04</v>
      </c>
      <c r="F305" s="1">
        <v>43893</v>
      </c>
      <c r="G305" s="2" t="s">
        <v>19</v>
      </c>
      <c r="H305" s="2" t="s">
        <v>183</v>
      </c>
      <c r="I305">
        <v>194</v>
      </c>
      <c r="J305" s="2" t="s">
        <v>449</v>
      </c>
      <c r="K305" s="2" t="s">
        <v>272</v>
      </c>
      <c r="L305" s="2" t="s">
        <v>273</v>
      </c>
      <c r="M305" s="2" t="s">
        <v>274</v>
      </c>
      <c r="N305" s="2" t="s">
        <v>275</v>
      </c>
      <c r="O305" s="2" t="s">
        <v>276</v>
      </c>
      <c r="P305" s="2" t="s">
        <v>190</v>
      </c>
      <c r="Q305" s="2" t="s">
        <v>277</v>
      </c>
      <c r="R305" s="2" t="s">
        <v>209</v>
      </c>
      <c r="S305" s="2" t="s">
        <v>30</v>
      </c>
      <c r="T305">
        <v>262</v>
      </c>
      <c r="U305">
        <f>VLOOKUP(Auto_Sales_data___Copy[[#This Row],[CUSTOMER_NAME]],$AF$2:$AH$90,2,FALSE)</f>
        <v>38</v>
      </c>
      <c r="V305">
        <f>VLOOKUP(Auto_Sales_data___Copy[[#This Row],[CUSTOMER_NAME]],$AF$2:$AH$90,3,FALSE)</f>
        <v>134259.32999999996</v>
      </c>
      <c r="W305" s="2">
        <f>6-MATCH(Auto_Sales_data___Copy[[#This Row],[DAYS_SINCE_LAST_ORDER]],Table2[R-Cutoff],1)</f>
        <v>5</v>
      </c>
      <c r="X305" s="2">
        <f>MATCH(Auto_Sales_data___Copy[[#This Row],[Total_Orders_Per_Customer]],Table2[F-Cutoff],1)</f>
        <v>4</v>
      </c>
      <c r="Y305" s="2">
        <f>MATCH(Auto_Sales_data___Copy[[#This Row],[Total_Sales_Per_Customer]],Table2[M-Cutoff],1)</f>
        <v>4</v>
      </c>
      <c r="Z305" s="2" t="str">
        <f>Auto_Sales_data___Copy[[#This Row],[R-Score(1-5)]]&amp;Auto_Sales_data___Copy[[#This Row],[F-Score(1-5)]]&amp;Auto_Sales_data___Copy[[#This Row],[M-Score(1-5)]]</f>
        <v>544</v>
      </c>
      <c r="AA305" s="2" t="str" cm="1">
        <f t="array" ref="AA3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5" s="2" t="str">
        <f>VLOOKUP(Auto_Sales_data___Copy[[#This Row],[Segment Name]],Table3[],2,FALSE)</f>
        <v>VIP Recognitioon &amp; Inclusivity</v>
      </c>
    </row>
    <row r="306" spans="1:28" x14ac:dyDescent="0.25">
      <c r="A306">
        <v>10389</v>
      </c>
      <c r="B306">
        <v>25</v>
      </c>
      <c r="C306">
        <v>72.38</v>
      </c>
      <c r="D306">
        <v>6</v>
      </c>
      <c r="E306">
        <v>1809.5</v>
      </c>
      <c r="F306" s="1">
        <v>43893</v>
      </c>
      <c r="G306" s="2" t="s">
        <v>19</v>
      </c>
      <c r="H306" s="2" t="s">
        <v>183</v>
      </c>
      <c r="I306">
        <v>117</v>
      </c>
      <c r="J306" s="2" t="s">
        <v>546</v>
      </c>
      <c r="K306" s="2" t="s">
        <v>272</v>
      </c>
      <c r="L306" s="2" t="s">
        <v>273</v>
      </c>
      <c r="M306" s="2" t="s">
        <v>274</v>
      </c>
      <c r="N306" s="2" t="s">
        <v>275</v>
      </c>
      <c r="O306" s="2" t="s">
        <v>276</v>
      </c>
      <c r="P306" s="2" t="s">
        <v>190</v>
      </c>
      <c r="Q306" s="2" t="s">
        <v>277</v>
      </c>
      <c r="R306" s="2" t="s">
        <v>209</v>
      </c>
      <c r="S306" s="2" t="s">
        <v>30</v>
      </c>
      <c r="T306">
        <v>387</v>
      </c>
      <c r="U306">
        <f>VLOOKUP(Auto_Sales_data___Copy[[#This Row],[CUSTOMER_NAME]],$AF$2:$AH$90,2,FALSE)</f>
        <v>38</v>
      </c>
      <c r="V306">
        <f>VLOOKUP(Auto_Sales_data___Copy[[#This Row],[CUSTOMER_NAME]],$AF$2:$AH$90,3,FALSE)</f>
        <v>134259.32999999996</v>
      </c>
      <c r="W306" s="2">
        <f>6-MATCH(Auto_Sales_data___Copy[[#This Row],[DAYS_SINCE_LAST_ORDER]],Table2[R-Cutoff],1)</f>
        <v>5</v>
      </c>
      <c r="X306" s="2">
        <f>MATCH(Auto_Sales_data___Copy[[#This Row],[Total_Orders_Per_Customer]],Table2[F-Cutoff],1)</f>
        <v>4</v>
      </c>
      <c r="Y306" s="2">
        <f>MATCH(Auto_Sales_data___Copy[[#This Row],[Total_Sales_Per_Customer]],Table2[M-Cutoff],1)</f>
        <v>4</v>
      </c>
      <c r="Z306" s="2" t="str">
        <f>Auto_Sales_data___Copy[[#This Row],[R-Score(1-5)]]&amp;Auto_Sales_data___Copy[[#This Row],[F-Score(1-5)]]&amp;Auto_Sales_data___Copy[[#This Row],[M-Score(1-5)]]</f>
        <v>544</v>
      </c>
      <c r="AA306" s="2" t="str" cm="1">
        <f t="array" ref="AA3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6" s="2" t="str">
        <f>VLOOKUP(Auto_Sales_data___Copy[[#This Row],[Segment Name]],Table3[],2,FALSE)</f>
        <v>VIP Recognitioon &amp; Inclusivity</v>
      </c>
    </row>
    <row r="307" spans="1:28" x14ac:dyDescent="0.25">
      <c r="A307">
        <v>10389</v>
      </c>
      <c r="B307">
        <v>36</v>
      </c>
      <c r="C307">
        <v>70.260000000000005</v>
      </c>
      <c r="D307">
        <v>7</v>
      </c>
      <c r="E307">
        <v>2529.36</v>
      </c>
      <c r="F307" s="1">
        <v>43893</v>
      </c>
      <c r="G307" s="2" t="s">
        <v>19</v>
      </c>
      <c r="H307" s="2" t="s">
        <v>183</v>
      </c>
      <c r="I307">
        <v>79</v>
      </c>
      <c r="J307" s="2" t="s">
        <v>553</v>
      </c>
      <c r="K307" s="2" t="s">
        <v>272</v>
      </c>
      <c r="L307" s="2" t="s">
        <v>273</v>
      </c>
      <c r="M307" s="2" t="s">
        <v>274</v>
      </c>
      <c r="N307" s="2" t="s">
        <v>275</v>
      </c>
      <c r="O307" s="2" t="s">
        <v>276</v>
      </c>
      <c r="P307" s="2" t="s">
        <v>190</v>
      </c>
      <c r="Q307" s="2" t="s">
        <v>277</v>
      </c>
      <c r="R307" s="2" t="s">
        <v>209</v>
      </c>
      <c r="S307" s="2" t="s">
        <v>30</v>
      </c>
      <c r="T307">
        <v>437</v>
      </c>
      <c r="U307">
        <f>VLOOKUP(Auto_Sales_data___Copy[[#This Row],[CUSTOMER_NAME]],$AF$2:$AH$90,2,FALSE)</f>
        <v>38</v>
      </c>
      <c r="V307">
        <f>VLOOKUP(Auto_Sales_data___Copy[[#This Row],[CUSTOMER_NAME]],$AF$2:$AH$90,3,FALSE)</f>
        <v>134259.32999999996</v>
      </c>
      <c r="W307" s="2">
        <f>6-MATCH(Auto_Sales_data___Copy[[#This Row],[DAYS_SINCE_LAST_ORDER]],Table2[R-Cutoff],1)</f>
        <v>5</v>
      </c>
      <c r="X307" s="2">
        <f>MATCH(Auto_Sales_data___Copy[[#This Row],[Total_Orders_Per_Customer]],Table2[F-Cutoff],1)</f>
        <v>4</v>
      </c>
      <c r="Y307" s="2">
        <f>MATCH(Auto_Sales_data___Copy[[#This Row],[Total_Sales_Per_Customer]],Table2[M-Cutoff],1)</f>
        <v>4</v>
      </c>
      <c r="Z307" s="2" t="str">
        <f>Auto_Sales_data___Copy[[#This Row],[R-Score(1-5)]]&amp;Auto_Sales_data___Copy[[#This Row],[F-Score(1-5)]]&amp;Auto_Sales_data___Copy[[#This Row],[M-Score(1-5)]]</f>
        <v>544</v>
      </c>
      <c r="AA307" s="2" t="str" cm="1">
        <f t="array" ref="AA3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7" s="2" t="str">
        <f>VLOOKUP(Auto_Sales_data___Copy[[#This Row],[Segment Name]],Table3[],2,FALSE)</f>
        <v>VIP Recognitioon &amp; Inclusivity</v>
      </c>
    </row>
    <row r="308" spans="1:28" x14ac:dyDescent="0.25">
      <c r="A308">
        <v>10389</v>
      </c>
      <c r="B308">
        <v>47</v>
      </c>
      <c r="C308">
        <v>111.57</v>
      </c>
      <c r="D308">
        <v>8</v>
      </c>
      <c r="E308">
        <v>5243.79</v>
      </c>
      <c r="F308" s="1">
        <v>43893</v>
      </c>
      <c r="G308" s="2" t="s">
        <v>19</v>
      </c>
      <c r="H308" s="2" t="s">
        <v>183</v>
      </c>
      <c r="I308">
        <v>115</v>
      </c>
      <c r="J308" s="2" t="s">
        <v>567</v>
      </c>
      <c r="K308" s="2" t="s">
        <v>272</v>
      </c>
      <c r="L308" s="2" t="s">
        <v>273</v>
      </c>
      <c r="M308" s="2" t="s">
        <v>274</v>
      </c>
      <c r="N308" s="2" t="s">
        <v>275</v>
      </c>
      <c r="O308" s="2" t="s">
        <v>276</v>
      </c>
      <c r="P308" s="2" t="s">
        <v>190</v>
      </c>
      <c r="Q308" s="2" t="s">
        <v>277</v>
      </c>
      <c r="R308" s="2" t="s">
        <v>209</v>
      </c>
      <c r="S308" s="2" t="s">
        <v>46</v>
      </c>
      <c r="T308">
        <v>488</v>
      </c>
      <c r="U308">
        <f>VLOOKUP(Auto_Sales_data___Copy[[#This Row],[CUSTOMER_NAME]],$AF$2:$AH$90,2,FALSE)</f>
        <v>38</v>
      </c>
      <c r="V308">
        <f>VLOOKUP(Auto_Sales_data___Copy[[#This Row],[CUSTOMER_NAME]],$AF$2:$AH$90,3,FALSE)</f>
        <v>134259.32999999996</v>
      </c>
      <c r="W308" s="2">
        <f>6-MATCH(Auto_Sales_data___Copy[[#This Row],[DAYS_SINCE_LAST_ORDER]],Table2[R-Cutoff],1)</f>
        <v>5</v>
      </c>
      <c r="X308" s="2">
        <f>MATCH(Auto_Sales_data___Copy[[#This Row],[Total_Orders_Per_Customer]],Table2[F-Cutoff],1)</f>
        <v>4</v>
      </c>
      <c r="Y308" s="2">
        <f>MATCH(Auto_Sales_data___Copy[[#This Row],[Total_Sales_Per_Customer]],Table2[M-Cutoff],1)</f>
        <v>4</v>
      </c>
      <c r="Z308" s="2" t="str">
        <f>Auto_Sales_data___Copy[[#This Row],[R-Score(1-5)]]&amp;Auto_Sales_data___Copy[[#This Row],[F-Score(1-5)]]&amp;Auto_Sales_data___Copy[[#This Row],[M-Score(1-5)]]</f>
        <v>544</v>
      </c>
      <c r="AA308" s="2" t="str" cm="1">
        <f t="array" ref="AA3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8" s="2" t="str">
        <f>VLOOKUP(Auto_Sales_data___Copy[[#This Row],[Segment Name]],Table3[],2,FALSE)</f>
        <v>VIP Recognitioon &amp; Inclusivity</v>
      </c>
    </row>
    <row r="309" spans="1:28" x14ac:dyDescent="0.25">
      <c r="A309">
        <v>10389</v>
      </c>
      <c r="B309">
        <v>49</v>
      </c>
      <c r="C309">
        <v>79.22</v>
      </c>
      <c r="D309">
        <v>3</v>
      </c>
      <c r="E309">
        <v>3881.78</v>
      </c>
      <c r="F309" s="1">
        <v>43893</v>
      </c>
      <c r="G309" s="2" t="s">
        <v>19</v>
      </c>
      <c r="H309" s="2" t="s">
        <v>183</v>
      </c>
      <c r="I309">
        <v>77</v>
      </c>
      <c r="J309" s="2" t="s">
        <v>629</v>
      </c>
      <c r="K309" s="2" t="s">
        <v>272</v>
      </c>
      <c r="L309" s="2" t="s">
        <v>273</v>
      </c>
      <c r="M309" s="2" t="s">
        <v>274</v>
      </c>
      <c r="N309" s="2" t="s">
        <v>275</v>
      </c>
      <c r="O309" s="2" t="s">
        <v>276</v>
      </c>
      <c r="P309" s="2" t="s">
        <v>190</v>
      </c>
      <c r="Q309" s="2" t="s">
        <v>277</v>
      </c>
      <c r="R309" s="2" t="s">
        <v>209</v>
      </c>
      <c r="S309" s="2" t="s">
        <v>46</v>
      </c>
      <c r="T309">
        <v>685</v>
      </c>
      <c r="U309">
        <f>VLOOKUP(Auto_Sales_data___Copy[[#This Row],[CUSTOMER_NAME]],$AF$2:$AH$90,2,FALSE)</f>
        <v>38</v>
      </c>
      <c r="V309">
        <f>VLOOKUP(Auto_Sales_data___Copy[[#This Row],[CUSTOMER_NAME]],$AF$2:$AH$90,3,FALSE)</f>
        <v>134259.32999999996</v>
      </c>
      <c r="W309" s="2">
        <f>6-MATCH(Auto_Sales_data___Copy[[#This Row],[DAYS_SINCE_LAST_ORDER]],Table2[R-Cutoff],1)</f>
        <v>5</v>
      </c>
      <c r="X309" s="2">
        <f>MATCH(Auto_Sales_data___Copy[[#This Row],[Total_Orders_Per_Customer]],Table2[F-Cutoff],1)</f>
        <v>4</v>
      </c>
      <c r="Y309" s="2">
        <f>MATCH(Auto_Sales_data___Copy[[#This Row],[Total_Sales_Per_Customer]],Table2[M-Cutoff],1)</f>
        <v>4</v>
      </c>
      <c r="Z309" s="2" t="str">
        <f>Auto_Sales_data___Copy[[#This Row],[R-Score(1-5)]]&amp;Auto_Sales_data___Copy[[#This Row],[F-Score(1-5)]]&amp;Auto_Sales_data___Copy[[#This Row],[M-Score(1-5)]]</f>
        <v>544</v>
      </c>
      <c r="AA309" s="2" t="str" cm="1">
        <f t="array" ref="AA3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9" s="2" t="str">
        <f>VLOOKUP(Auto_Sales_data___Copy[[#This Row],[Segment Name]],Table3[],2,FALSE)</f>
        <v>VIP Recognitioon &amp; Inclusivity</v>
      </c>
    </row>
    <row r="310" spans="1:28" x14ac:dyDescent="0.25">
      <c r="A310">
        <v>10389</v>
      </c>
      <c r="B310">
        <v>39</v>
      </c>
      <c r="C310">
        <v>179</v>
      </c>
      <c r="D310">
        <v>5</v>
      </c>
      <c r="E310">
        <v>6981</v>
      </c>
      <c r="F310" s="1">
        <v>43893</v>
      </c>
      <c r="G310" s="2" t="s">
        <v>19</v>
      </c>
      <c r="H310" s="2" t="s">
        <v>20</v>
      </c>
      <c r="I310">
        <v>60</v>
      </c>
      <c r="J310" s="2" t="s">
        <v>637</v>
      </c>
      <c r="K310" s="2" t="s">
        <v>272</v>
      </c>
      <c r="L310" s="2" t="s">
        <v>273</v>
      </c>
      <c r="M310" s="2" t="s">
        <v>274</v>
      </c>
      <c r="N310" s="2" t="s">
        <v>275</v>
      </c>
      <c r="O310" s="2" t="s">
        <v>276</v>
      </c>
      <c r="P310" s="2" t="s">
        <v>190</v>
      </c>
      <c r="Q310" s="2" t="s">
        <v>277</v>
      </c>
      <c r="R310" s="2" t="s">
        <v>209</v>
      </c>
      <c r="S310" s="2" t="s">
        <v>46</v>
      </c>
      <c r="T310">
        <v>884</v>
      </c>
      <c r="U310">
        <f>VLOOKUP(Auto_Sales_data___Copy[[#This Row],[CUSTOMER_NAME]],$AF$2:$AH$90,2,FALSE)</f>
        <v>38</v>
      </c>
      <c r="V310">
        <f>VLOOKUP(Auto_Sales_data___Copy[[#This Row],[CUSTOMER_NAME]],$AF$2:$AH$90,3,FALSE)</f>
        <v>134259.32999999996</v>
      </c>
      <c r="W310" s="2">
        <f>6-MATCH(Auto_Sales_data___Copy[[#This Row],[DAYS_SINCE_LAST_ORDER]],Table2[R-Cutoff],1)</f>
        <v>5</v>
      </c>
      <c r="X310" s="2">
        <f>MATCH(Auto_Sales_data___Copy[[#This Row],[Total_Orders_Per_Customer]],Table2[F-Cutoff],1)</f>
        <v>4</v>
      </c>
      <c r="Y310" s="2">
        <f>MATCH(Auto_Sales_data___Copy[[#This Row],[Total_Sales_Per_Customer]],Table2[M-Cutoff],1)</f>
        <v>4</v>
      </c>
      <c r="Z310" s="2" t="str">
        <f>Auto_Sales_data___Copy[[#This Row],[R-Score(1-5)]]&amp;Auto_Sales_data___Copy[[#This Row],[F-Score(1-5)]]&amp;Auto_Sales_data___Copy[[#This Row],[M-Score(1-5)]]</f>
        <v>544</v>
      </c>
      <c r="AA310" s="2" t="str" cm="1">
        <f t="array" ref="AA3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0" s="2" t="str">
        <f>VLOOKUP(Auto_Sales_data___Copy[[#This Row],[Segment Name]],Table3[],2,FALSE)</f>
        <v>VIP Recognitioon &amp; Inclusivity</v>
      </c>
    </row>
    <row r="311" spans="1:28" x14ac:dyDescent="0.25">
      <c r="A311">
        <v>10390</v>
      </c>
      <c r="B311">
        <v>36</v>
      </c>
      <c r="C311">
        <v>93.77</v>
      </c>
      <c r="D311">
        <v>14</v>
      </c>
      <c r="E311">
        <v>3375.72</v>
      </c>
      <c r="F311" s="1">
        <v>43894</v>
      </c>
      <c r="G311" s="2" t="s">
        <v>19</v>
      </c>
      <c r="H311" s="2" t="s">
        <v>183</v>
      </c>
      <c r="I311">
        <v>141</v>
      </c>
      <c r="J311" s="2" t="s">
        <v>576</v>
      </c>
      <c r="K311" s="2" t="s">
        <v>284</v>
      </c>
      <c r="L311" s="2" t="s">
        <v>285</v>
      </c>
      <c r="M311" s="2" t="s">
        <v>286</v>
      </c>
      <c r="N311" s="2" t="s">
        <v>287</v>
      </c>
      <c r="O311" s="2" t="s">
        <v>106</v>
      </c>
      <c r="P311" s="2" t="s">
        <v>27</v>
      </c>
      <c r="Q311" s="2" t="s">
        <v>288</v>
      </c>
      <c r="R311" s="2" t="s">
        <v>289</v>
      </c>
      <c r="S311" s="2" t="s">
        <v>46</v>
      </c>
      <c r="T311">
        <v>540</v>
      </c>
      <c r="U311">
        <f>VLOOKUP(Auto_Sales_data___Copy[[#This Row],[CUSTOMER_NAME]],$AF$2:$AH$90,2,FALSE)</f>
        <v>180</v>
      </c>
      <c r="V311">
        <f>VLOOKUP(Auto_Sales_data___Copy[[#This Row],[CUSTOMER_NAME]],$AF$2:$AH$90,3,FALSE)</f>
        <v>654858.06000000017</v>
      </c>
      <c r="W311" s="2">
        <f>6-MATCH(Auto_Sales_data___Copy[[#This Row],[DAYS_SINCE_LAST_ORDER]],Table2[R-Cutoff],1)</f>
        <v>5</v>
      </c>
      <c r="X311" s="2">
        <f>MATCH(Auto_Sales_data___Copy[[#This Row],[Total_Orders_Per_Customer]],Table2[F-Cutoff],1)</f>
        <v>4</v>
      </c>
      <c r="Y311" s="2">
        <f>MATCH(Auto_Sales_data___Copy[[#This Row],[Total_Sales_Per_Customer]],Table2[M-Cutoff],1)</f>
        <v>4</v>
      </c>
      <c r="Z311" s="2" t="str">
        <f>Auto_Sales_data___Copy[[#This Row],[R-Score(1-5)]]&amp;Auto_Sales_data___Copy[[#This Row],[F-Score(1-5)]]&amp;Auto_Sales_data___Copy[[#This Row],[M-Score(1-5)]]</f>
        <v>544</v>
      </c>
      <c r="AA311" s="2" t="str" cm="1">
        <f t="array" ref="AA3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1" s="2" t="str">
        <f>VLOOKUP(Auto_Sales_data___Copy[[#This Row],[Segment Name]],Table3[],2,FALSE)</f>
        <v>VIP Recognitioon &amp; Inclusivity</v>
      </c>
    </row>
    <row r="312" spans="1:28" x14ac:dyDescent="0.25">
      <c r="A312">
        <v>10390</v>
      </c>
      <c r="B312">
        <v>34</v>
      </c>
      <c r="C312">
        <v>43.05</v>
      </c>
      <c r="D312">
        <v>15</v>
      </c>
      <c r="E312">
        <v>1463.7</v>
      </c>
      <c r="F312" s="1">
        <v>43894</v>
      </c>
      <c r="G312" s="2" t="s">
        <v>19</v>
      </c>
      <c r="H312" s="2" t="s">
        <v>183</v>
      </c>
      <c r="I312">
        <v>142</v>
      </c>
      <c r="J312" s="2" t="s">
        <v>630</v>
      </c>
      <c r="K312" s="2" t="s">
        <v>284</v>
      </c>
      <c r="L312" s="2" t="s">
        <v>285</v>
      </c>
      <c r="M312" s="2" t="s">
        <v>286</v>
      </c>
      <c r="N312" s="2" t="s">
        <v>287</v>
      </c>
      <c r="O312" s="2" t="s">
        <v>106</v>
      </c>
      <c r="P312" s="2" t="s">
        <v>27</v>
      </c>
      <c r="Q312" s="2" t="s">
        <v>288</v>
      </c>
      <c r="R312" s="2" t="s">
        <v>289</v>
      </c>
      <c r="S312" s="2" t="s">
        <v>30</v>
      </c>
      <c r="T312">
        <v>711</v>
      </c>
      <c r="U312">
        <f>VLOOKUP(Auto_Sales_data___Copy[[#This Row],[CUSTOMER_NAME]],$AF$2:$AH$90,2,FALSE)</f>
        <v>180</v>
      </c>
      <c r="V312">
        <f>VLOOKUP(Auto_Sales_data___Copy[[#This Row],[CUSTOMER_NAME]],$AF$2:$AH$90,3,FALSE)</f>
        <v>654858.06000000017</v>
      </c>
      <c r="W312" s="2">
        <f>6-MATCH(Auto_Sales_data___Copy[[#This Row],[DAYS_SINCE_LAST_ORDER]],Table2[R-Cutoff],1)</f>
        <v>5</v>
      </c>
      <c r="X312" s="2">
        <f>MATCH(Auto_Sales_data___Copy[[#This Row],[Total_Orders_Per_Customer]],Table2[F-Cutoff],1)</f>
        <v>4</v>
      </c>
      <c r="Y312" s="2">
        <f>MATCH(Auto_Sales_data___Copy[[#This Row],[Total_Sales_Per_Customer]],Table2[M-Cutoff],1)</f>
        <v>4</v>
      </c>
      <c r="Z312" s="2" t="str">
        <f>Auto_Sales_data___Copy[[#This Row],[R-Score(1-5)]]&amp;Auto_Sales_data___Copy[[#This Row],[F-Score(1-5)]]&amp;Auto_Sales_data___Copy[[#This Row],[M-Score(1-5)]]</f>
        <v>544</v>
      </c>
      <c r="AA312" s="2" t="str" cm="1">
        <f t="array" ref="AA3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2" s="2" t="str">
        <f>VLOOKUP(Auto_Sales_data___Copy[[#This Row],[Segment Name]],Table3[],2,FALSE)</f>
        <v>VIP Recognitioon &amp; Inclusivity</v>
      </c>
    </row>
    <row r="313" spans="1:28" x14ac:dyDescent="0.25">
      <c r="A313">
        <v>10390</v>
      </c>
      <c r="B313">
        <v>31</v>
      </c>
      <c r="C313">
        <v>98.99</v>
      </c>
      <c r="D313">
        <v>16</v>
      </c>
      <c r="E313">
        <v>3068.69</v>
      </c>
      <c r="F313" s="1">
        <v>43894</v>
      </c>
      <c r="G313" s="2" t="s">
        <v>19</v>
      </c>
      <c r="H313" s="2" t="s">
        <v>589</v>
      </c>
      <c r="I313">
        <v>127</v>
      </c>
      <c r="J313" s="2" t="s">
        <v>634</v>
      </c>
      <c r="K313" s="2" t="s">
        <v>284</v>
      </c>
      <c r="L313" s="2" t="s">
        <v>285</v>
      </c>
      <c r="M313" s="2" t="s">
        <v>286</v>
      </c>
      <c r="N313" s="2" t="s">
        <v>287</v>
      </c>
      <c r="O313" s="2" t="s">
        <v>106</v>
      </c>
      <c r="P313" s="2" t="s">
        <v>27</v>
      </c>
      <c r="Q313" s="2" t="s">
        <v>288</v>
      </c>
      <c r="R313" s="2" t="s">
        <v>289</v>
      </c>
      <c r="S313" s="2" t="s">
        <v>46</v>
      </c>
      <c r="T313">
        <v>809</v>
      </c>
      <c r="U313">
        <f>VLOOKUP(Auto_Sales_data___Copy[[#This Row],[CUSTOMER_NAME]],$AF$2:$AH$90,2,FALSE)</f>
        <v>180</v>
      </c>
      <c r="V313">
        <f>VLOOKUP(Auto_Sales_data___Copy[[#This Row],[CUSTOMER_NAME]],$AF$2:$AH$90,3,FALSE)</f>
        <v>654858.06000000017</v>
      </c>
      <c r="W313" s="2">
        <f>6-MATCH(Auto_Sales_data___Copy[[#This Row],[DAYS_SINCE_LAST_ORDER]],Table2[R-Cutoff],1)</f>
        <v>5</v>
      </c>
      <c r="X313" s="2">
        <f>MATCH(Auto_Sales_data___Copy[[#This Row],[Total_Orders_Per_Customer]],Table2[F-Cutoff],1)</f>
        <v>4</v>
      </c>
      <c r="Y313" s="2">
        <f>MATCH(Auto_Sales_data___Copy[[#This Row],[Total_Sales_Per_Customer]],Table2[M-Cutoff],1)</f>
        <v>4</v>
      </c>
      <c r="Z313" s="2" t="str">
        <f>Auto_Sales_data___Copy[[#This Row],[R-Score(1-5)]]&amp;Auto_Sales_data___Copy[[#This Row],[F-Score(1-5)]]&amp;Auto_Sales_data___Copy[[#This Row],[M-Score(1-5)]]</f>
        <v>544</v>
      </c>
      <c r="AA313" s="2" t="str" cm="1">
        <f t="array" ref="AA3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3" s="2" t="str">
        <f>VLOOKUP(Auto_Sales_data___Copy[[#This Row],[Segment Name]],Table3[],2,FALSE)</f>
        <v>VIP Recognitioon &amp; Inclusivity</v>
      </c>
    </row>
    <row r="314" spans="1:28" x14ac:dyDescent="0.25">
      <c r="A314">
        <v>10390</v>
      </c>
      <c r="B314">
        <v>26</v>
      </c>
      <c r="C314">
        <v>78.11</v>
      </c>
      <c r="D314">
        <v>7</v>
      </c>
      <c r="E314">
        <v>2030.86</v>
      </c>
      <c r="F314" s="1">
        <v>43894</v>
      </c>
      <c r="G314" s="2" t="s">
        <v>19</v>
      </c>
      <c r="H314" s="2" t="s">
        <v>589</v>
      </c>
      <c r="I314">
        <v>168</v>
      </c>
      <c r="J314" s="2" t="s">
        <v>638</v>
      </c>
      <c r="K314" s="2" t="s">
        <v>284</v>
      </c>
      <c r="L314" s="2" t="s">
        <v>285</v>
      </c>
      <c r="M314" s="2" t="s">
        <v>286</v>
      </c>
      <c r="N314" s="2" t="s">
        <v>287</v>
      </c>
      <c r="O314" s="2" t="s">
        <v>106</v>
      </c>
      <c r="P314" s="2" t="s">
        <v>27</v>
      </c>
      <c r="Q314" s="2" t="s">
        <v>288</v>
      </c>
      <c r="R314" s="2" t="s">
        <v>289</v>
      </c>
      <c r="S314" s="2" t="s">
        <v>30</v>
      </c>
      <c r="T314">
        <v>909</v>
      </c>
      <c r="U314">
        <f>VLOOKUP(Auto_Sales_data___Copy[[#This Row],[CUSTOMER_NAME]],$AF$2:$AH$90,2,FALSE)</f>
        <v>180</v>
      </c>
      <c r="V314">
        <f>VLOOKUP(Auto_Sales_data___Copy[[#This Row],[CUSTOMER_NAME]],$AF$2:$AH$90,3,FALSE)</f>
        <v>654858.06000000017</v>
      </c>
      <c r="W314" s="2">
        <f>6-MATCH(Auto_Sales_data___Copy[[#This Row],[DAYS_SINCE_LAST_ORDER]],Table2[R-Cutoff],1)</f>
        <v>5</v>
      </c>
      <c r="X314" s="2">
        <f>MATCH(Auto_Sales_data___Copy[[#This Row],[Total_Orders_Per_Customer]],Table2[F-Cutoff],1)</f>
        <v>4</v>
      </c>
      <c r="Y314" s="2">
        <f>MATCH(Auto_Sales_data___Copy[[#This Row],[Total_Sales_Per_Customer]],Table2[M-Cutoff],1)</f>
        <v>4</v>
      </c>
      <c r="Z314" s="2" t="str">
        <f>Auto_Sales_data___Copy[[#This Row],[R-Score(1-5)]]&amp;Auto_Sales_data___Copy[[#This Row],[F-Score(1-5)]]&amp;Auto_Sales_data___Copy[[#This Row],[M-Score(1-5)]]</f>
        <v>544</v>
      </c>
      <c r="AA314" s="2" t="str" cm="1">
        <f t="array" ref="AA3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4" s="2" t="str">
        <f>VLOOKUP(Auto_Sales_data___Copy[[#This Row],[Segment Name]],Table3[],2,FALSE)</f>
        <v>VIP Recognitioon &amp; Inclusivity</v>
      </c>
    </row>
    <row r="315" spans="1:28" x14ac:dyDescent="0.25">
      <c r="A315">
        <v>10391</v>
      </c>
      <c r="B315">
        <v>24</v>
      </c>
      <c r="C315">
        <v>100.69</v>
      </c>
      <c r="D315">
        <v>4</v>
      </c>
      <c r="E315">
        <v>2416.56</v>
      </c>
      <c r="F315" s="1">
        <v>43899</v>
      </c>
      <c r="G315" s="2" t="s">
        <v>19</v>
      </c>
      <c r="H315" s="2" t="s">
        <v>183</v>
      </c>
      <c r="I315">
        <v>214</v>
      </c>
      <c r="J315" s="2" t="s">
        <v>184</v>
      </c>
      <c r="K315" s="2" t="s">
        <v>300</v>
      </c>
      <c r="L315" s="2" t="s">
        <v>301</v>
      </c>
      <c r="M315" s="2" t="s">
        <v>302</v>
      </c>
      <c r="N315" s="2" t="s">
        <v>303</v>
      </c>
      <c r="O315" s="2" t="s">
        <v>304</v>
      </c>
      <c r="P315" s="2" t="s">
        <v>87</v>
      </c>
      <c r="Q315" s="2" t="s">
        <v>305</v>
      </c>
      <c r="R315" s="2" t="s">
        <v>306</v>
      </c>
      <c r="S315" s="2" t="s">
        <v>30</v>
      </c>
      <c r="T315">
        <v>131</v>
      </c>
      <c r="U315">
        <f>VLOOKUP(Auto_Sales_data___Copy[[#This Row],[CUSTOMER_NAME]],$AF$2:$AH$90,2,FALSE)</f>
        <v>46</v>
      </c>
      <c r="V315">
        <f>VLOOKUP(Auto_Sales_data___Copy[[#This Row],[CUSTOMER_NAME]],$AF$2:$AH$90,3,FALSE)</f>
        <v>153996.12999999998</v>
      </c>
      <c r="W315" s="2">
        <f>6-MATCH(Auto_Sales_data___Copy[[#This Row],[DAYS_SINCE_LAST_ORDER]],Table2[R-Cutoff],1)</f>
        <v>5</v>
      </c>
      <c r="X315" s="2">
        <f>MATCH(Auto_Sales_data___Copy[[#This Row],[Total_Orders_Per_Customer]],Table2[F-Cutoff],1)</f>
        <v>4</v>
      </c>
      <c r="Y315" s="2">
        <f>MATCH(Auto_Sales_data___Copy[[#This Row],[Total_Sales_Per_Customer]],Table2[M-Cutoff],1)</f>
        <v>4</v>
      </c>
      <c r="Z315" s="2" t="str">
        <f>Auto_Sales_data___Copy[[#This Row],[R-Score(1-5)]]&amp;Auto_Sales_data___Copy[[#This Row],[F-Score(1-5)]]&amp;Auto_Sales_data___Copy[[#This Row],[M-Score(1-5)]]</f>
        <v>544</v>
      </c>
      <c r="AA315" s="2" t="str" cm="1">
        <f t="array" ref="AA3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5" s="2" t="str">
        <f>VLOOKUP(Auto_Sales_data___Copy[[#This Row],[Segment Name]],Table3[],2,FALSE)</f>
        <v>VIP Recognitioon &amp; Inclusivity</v>
      </c>
    </row>
    <row r="316" spans="1:28" x14ac:dyDescent="0.25">
      <c r="A316">
        <v>10391</v>
      </c>
      <c r="B316">
        <v>37</v>
      </c>
      <c r="C316">
        <v>46.9</v>
      </c>
      <c r="D316">
        <v>7</v>
      </c>
      <c r="E316">
        <v>1735.3</v>
      </c>
      <c r="F316" s="1">
        <v>43899</v>
      </c>
      <c r="G316" s="2" t="s">
        <v>19</v>
      </c>
      <c r="H316" s="2" t="s">
        <v>183</v>
      </c>
      <c r="I316">
        <v>147</v>
      </c>
      <c r="J316" s="2" t="s">
        <v>424</v>
      </c>
      <c r="K316" s="2" t="s">
        <v>300</v>
      </c>
      <c r="L316" s="2" t="s">
        <v>301</v>
      </c>
      <c r="M316" s="2" t="s">
        <v>302</v>
      </c>
      <c r="N316" s="2" t="s">
        <v>303</v>
      </c>
      <c r="O316" s="2" t="s">
        <v>304</v>
      </c>
      <c r="P316" s="2" t="s">
        <v>87</v>
      </c>
      <c r="Q316" s="2" t="s">
        <v>305</v>
      </c>
      <c r="R316" s="2" t="s">
        <v>306</v>
      </c>
      <c r="S316" s="2" t="s">
        <v>30</v>
      </c>
      <c r="T316">
        <v>231</v>
      </c>
      <c r="U316">
        <f>VLOOKUP(Auto_Sales_data___Copy[[#This Row],[CUSTOMER_NAME]],$AF$2:$AH$90,2,FALSE)</f>
        <v>46</v>
      </c>
      <c r="V316">
        <f>VLOOKUP(Auto_Sales_data___Copy[[#This Row],[CUSTOMER_NAME]],$AF$2:$AH$90,3,FALSE)</f>
        <v>153996.12999999998</v>
      </c>
      <c r="W316" s="2">
        <f>6-MATCH(Auto_Sales_data___Copy[[#This Row],[DAYS_SINCE_LAST_ORDER]],Table2[R-Cutoff],1)</f>
        <v>5</v>
      </c>
      <c r="X316" s="2">
        <f>MATCH(Auto_Sales_data___Copy[[#This Row],[Total_Orders_Per_Customer]],Table2[F-Cutoff],1)</f>
        <v>4</v>
      </c>
      <c r="Y316" s="2">
        <f>MATCH(Auto_Sales_data___Copy[[#This Row],[Total_Sales_Per_Customer]],Table2[M-Cutoff],1)</f>
        <v>4</v>
      </c>
      <c r="Z316" s="2" t="str">
        <f>Auto_Sales_data___Copy[[#This Row],[R-Score(1-5)]]&amp;Auto_Sales_data___Copy[[#This Row],[F-Score(1-5)]]&amp;Auto_Sales_data___Copy[[#This Row],[M-Score(1-5)]]</f>
        <v>544</v>
      </c>
      <c r="AA316" s="2" t="str" cm="1">
        <f t="array" ref="AA3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6" s="2" t="str">
        <f>VLOOKUP(Auto_Sales_data___Copy[[#This Row],[Segment Name]],Table3[],2,FALSE)</f>
        <v>VIP Recognitioon &amp; Inclusivity</v>
      </c>
    </row>
    <row r="317" spans="1:28" x14ac:dyDescent="0.25">
      <c r="A317">
        <v>10391</v>
      </c>
      <c r="B317">
        <v>39</v>
      </c>
      <c r="C317">
        <v>63.2</v>
      </c>
      <c r="D317">
        <v>9</v>
      </c>
      <c r="E317">
        <v>2464.8000000000002</v>
      </c>
      <c r="F317" s="1">
        <v>43899</v>
      </c>
      <c r="G317" s="2" t="s">
        <v>19</v>
      </c>
      <c r="H317" s="2" t="s">
        <v>537</v>
      </c>
      <c r="I317">
        <v>136</v>
      </c>
      <c r="J317" s="2" t="s">
        <v>538</v>
      </c>
      <c r="K317" s="2" t="s">
        <v>300</v>
      </c>
      <c r="L317" s="2" t="s">
        <v>301</v>
      </c>
      <c r="M317" s="2" t="s">
        <v>302</v>
      </c>
      <c r="N317" s="2" t="s">
        <v>303</v>
      </c>
      <c r="O317" s="2" t="s">
        <v>304</v>
      </c>
      <c r="P317" s="2" t="s">
        <v>87</v>
      </c>
      <c r="Q317" s="2" t="s">
        <v>305</v>
      </c>
      <c r="R317" s="2" t="s">
        <v>306</v>
      </c>
      <c r="S317" s="2" t="s">
        <v>30</v>
      </c>
      <c r="T317">
        <v>307</v>
      </c>
      <c r="U317">
        <f>VLOOKUP(Auto_Sales_data___Copy[[#This Row],[CUSTOMER_NAME]],$AF$2:$AH$90,2,FALSE)</f>
        <v>46</v>
      </c>
      <c r="V317">
        <f>VLOOKUP(Auto_Sales_data___Copy[[#This Row],[CUSTOMER_NAME]],$AF$2:$AH$90,3,FALSE)</f>
        <v>153996.12999999998</v>
      </c>
      <c r="W317" s="2">
        <f>6-MATCH(Auto_Sales_data___Copy[[#This Row],[DAYS_SINCE_LAST_ORDER]],Table2[R-Cutoff],1)</f>
        <v>5</v>
      </c>
      <c r="X317" s="2">
        <f>MATCH(Auto_Sales_data___Copy[[#This Row],[Total_Orders_Per_Customer]],Table2[F-Cutoff],1)</f>
        <v>4</v>
      </c>
      <c r="Y317" s="2">
        <f>MATCH(Auto_Sales_data___Copy[[#This Row],[Total_Sales_Per_Customer]],Table2[M-Cutoff],1)</f>
        <v>4</v>
      </c>
      <c r="Z317" s="2" t="str">
        <f>Auto_Sales_data___Copy[[#This Row],[R-Score(1-5)]]&amp;Auto_Sales_data___Copy[[#This Row],[F-Score(1-5)]]&amp;Auto_Sales_data___Copy[[#This Row],[M-Score(1-5)]]</f>
        <v>544</v>
      </c>
      <c r="AA317" s="2" t="str" cm="1">
        <f t="array" ref="AA3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7" s="2" t="str">
        <f>VLOOKUP(Auto_Sales_data___Copy[[#This Row],[Segment Name]],Table3[],2,FALSE)</f>
        <v>VIP Recognitioon &amp; Inclusivity</v>
      </c>
    </row>
    <row r="318" spans="1:28" x14ac:dyDescent="0.25">
      <c r="A318">
        <v>10391</v>
      </c>
      <c r="B318">
        <v>29</v>
      </c>
      <c r="C318">
        <v>85.1</v>
      </c>
      <c r="D318">
        <v>10</v>
      </c>
      <c r="E318">
        <v>2467.9</v>
      </c>
      <c r="F318" s="1">
        <v>43899</v>
      </c>
      <c r="G318" s="2" t="s">
        <v>19</v>
      </c>
      <c r="H318" s="2" t="s">
        <v>537</v>
      </c>
      <c r="I318">
        <v>116</v>
      </c>
      <c r="J318" s="2" t="s">
        <v>575</v>
      </c>
      <c r="K318" s="2" t="s">
        <v>300</v>
      </c>
      <c r="L318" s="2" t="s">
        <v>301</v>
      </c>
      <c r="M318" s="2" t="s">
        <v>302</v>
      </c>
      <c r="N318" s="2" t="s">
        <v>303</v>
      </c>
      <c r="O318" s="2" t="s">
        <v>304</v>
      </c>
      <c r="P318" s="2" t="s">
        <v>87</v>
      </c>
      <c r="Q318" s="2" t="s">
        <v>305</v>
      </c>
      <c r="R318" s="2" t="s">
        <v>306</v>
      </c>
      <c r="S318" s="2" t="s">
        <v>30</v>
      </c>
      <c r="T318">
        <v>508</v>
      </c>
      <c r="U318">
        <f>VLOOKUP(Auto_Sales_data___Copy[[#This Row],[CUSTOMER_NAME]],$AF$2:$AH$90,2,FALSE)</f>
        <v>46</v>
      </c>
      <c r="V318">
        <f>VLOOKUP(Auto_Sales_data___Copy[[#This Row],[CUSTOMER_NAME]],$AF$2:$AH$90,3,FALSE)</f>
        <v>153996.12999999998</v>
      </c>
      <c r="W318" s="2">
        <f>6-MATCH(Auto_Sales_data___Copy[[#This Row],[DAYS_SINCE_LAST_ORDER]],Table2[R-Cutoff],1)</f>
        <v>5</v>
      </c>
      <c r="X318" s="2">
        <f>MATCH(Auto_Sales_data___Copy[[#This Row],[Total_Orders_Per_Customer]],Table2[F-Cutoff],1)</f>
        <v>4</v>
      </c>
      <c r="Y318" s="2">
        <f>MATCH(Auto_Sales_data___Copy[[#This Row],[Total_Sales_Per_Customer]],Table2[M-Cutoff],1)</f>
        <v>4</v>
      </c>
      <c r="Z318" s="2" t="str">
        <f>Auto_Sales_data___Copy[[#This Row],[R-Score(1-5)]]&amp;Auto_Sales_data___Copy[[#This Row],[F-Score(1-5)]]&amp;Auto_Sales_data___Copy[[#This Row],[M-Score(1-5)]]</f>
        <v>544</v>
      </c>
      <c r="AA318" s="2" t="str" cm="1">
        <f t="array" ref="AA3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8" s="2" t="str">
        <f>VLOOKUP(Auto_Sales_data___Copy[[#This Row],[Segment Name]],Table3[],2,FALSE)</f>
        <v>VIP Recognitioon &amp; Inclusivity</v>
      </c>
    </row>
    <row r="319" spans="1:28" x14ac:dyDescent="0.25">
      <c r="A319">
        <v>10391</v>
      </c>
      <c r="B319">
        <v>35</v>
      </c>
      <c r="C319">
        <v>158.54</v>
      </c>
      <c r="D319">
        <v>2</v>
      </c>
      <c r="E319">
        <v>5548.9</v>
      </c>
      <c r="F319" s="1">
        <v>43899</v>
      </c>
      <c r="G319" s="2" t="s">
        <v>19</v>
      </c>
      <c r="H319" s="2" t="s">
        <v>589</v>
      </c>
      <c r="I319">
        <v>102</v>
      </c>
      <c r="J319" s="2" t="s">
        <v>590</v>
      </c>
      <c r="K319" s="2" t="s">
        <v>300</v>
      </c>
      <c r="L319" s="2" t="s">
        <v>301</v>
      </c>
      <c r="M319" s="2" t="s">
        <v>302</v>
      </c>
      <c r="N319" s="2" t="s">
        <v>303</v>
      </c>
      <c r="O319" s="2" t="s">
        <v>304</v>
      </c>
      <c r="P319" s="2" t="s">
        <v>87</v>
      </c>
      <c r="Q319" s="2" t="s">
        <v>305</v>
      </c>
      <c r="R319" s="2" t="s">
        <v>306</v>
      </c>
      <c r="S319" s="2" t="s">
        <v>46</v>
      </c>
      <c r="T319">
        <v>560</v>
      </c>
      <c r="U319">
        <f>VLOOKUP(Auto_Sales_data___Copy[[#This Row],[CUSTOMER_NAME]],$AF$2:$AH$90,2,FALSE)</f>
        <v>46</v>
      </c>
      <c r="V319">
        <f>VLOOKUP(Auto_Sales_data___Copy[[#This Row],[CUSTOMER_NAME]],$AF$2:$AH$90,3,FALSE)</f>
        <v>153996.12999999998</v>
      </c>
      <c r="W319" s="2">
        <f>6-MATCH(Auto_Sales_data___Copy[[#This Row],[DAYS_SINCE_LAST_ORDER]],Table2[R-Cutoff],1)</f>
        <v>5</v>
      </c>
      <c r="X319" s="2">
        <f>MATCH(Auto_Sales_data___Copy[[#This Row],[Total_Orders_Per_Customer]],Table2[F-Cutoff],1)</f>
        <v>4</v>
      </c>
      <c r="Y319" s="2">
        <f>MATCH(Auto_Sales_data___Copy[[#This Row],[Total_Sales_Per_Customer]],Table2[M-Cutoff],1)</f>
        <v>4</v>
      </c>
      <c r="Z319" s="2" t="str">
        <f>Auto_Sales_data___Copy[[#This Row],[R-Score(1-5)]]&amp;Auto_Sales_data___Copy[[#This Row],[F-Score(1-5)]]&amp;Auto_Sales_data___Copy[[#This Row],[M-Score(1-5)]]</f>
        <v>544</v>
      </c>
      <c r="AA319" s="2" t="str" cm="1">
        <f t="array" ref="AA3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9" s="2" t="str">
        <f>VLOOKUP(Auto_Sales_data___Copy[[#This Row],[Segment Name]],Table3[],2,FALSE)</f>
        <v>VIP Recognitioon &amp; Inclusivity</v>
      </c>
    </row>
    <row r="320" spans="1:28" x14ac:dyDescent="0.25">
      <c r="A320">
        <v>10391</v>
      </c>
      <c r="B320">
        <v>42</v>
      </c>
      <c r="C320">
        <v>119</v>
      </c>
      <c r="D320">
        <v>3</v>
      </c>
      <c r="E320">
        <v>4998</v>
      </c>
      <c r="F320" s="1">
        <v>43899</v>
      </c>
      <c r="G320" s="2" t="s">
        <v>19</v>
      </c>
      <c r="H320" s="2" t="s">
        <v>589</v>
      </c>
      <c r="I320">
        <v>53</v>
      </c>
      <c r="J320" s="2" t="s">
        <v>605</v>
      </c>
      <c r="K320" s="2" t="s">
        <v>300</v>
      </c>
      <c r="L320" s="2" t="s">
        <v>301</v>
      </c>
      <c r="M320" s="2" t="s">
        <v>302</v>
      </c>
      <c r="N320" s="2" t="s">
        <v>303</v>
      </c>
      <c r="O320" s="2" t="s">
        <v>304</v>
      </c>
      <c r="P320" s="2" t="s">
        <v>87</v>
      </c>
      <c r="Q320" s="2" t="s">
        <v>305</v>
      </c>
      <c r="R320" s="2" t="s">
        <v>306</v>
      </c>
      <c r="S320" s="2" t="s">
        <v>46</v>
      </c>
      <c r="T320">
        <v>583</v>
      </c>
      <c r="U320">
        <f>VLOOKUP(Auto_Sales_data___Copy[[#This Row],[CUSTOMER_NAME]],$AF$2:$AH$90,2,FALSE)</f>
        <v>46</v>
      </c>
      <c r="V320">
        <f>VLOOKUP(Auto_Sales_data___Copy[[#This Row],[CUSTOMER_NAME]],$AF$2:$AH$90,3,FALSE)</f>
        <v>153996.12999999998</v>
      </c>
      <c r="W320" s="2">
        <f>6-MATCH(Auto_Sales_data___Copy[[#This Row],[DAYS_SINCE_LAST_ORDER]],Table2[R-Cutoff],1)</f>
        <v>5</v>
      </c>
      <c r="X320" s="2">
        <f>MATCH(Auto_Sales_data___Copy[[#This Row],[Total_Orders_Per_Customer]],Table2[F-Cutoff],1)</f>
        <v>4</v>
      </c>
      <c r="Y320" s="2">
        <f>MATCH(Auto_Sales_data___Copy[[#This Row],[Total_Sales_Per_Customer]],Table2[M-Cutoff],1)</f>
        <v>4</v>
      </c>
      <c r="Z320" s="2" t="str">
        <f>Auto_Sales_data___Copy[[#This Row],[R-Score(1-5)]]&amp;Auto_Sales_data___Copy[[#This Row],[F-Score(1-5)]]&amp;Auto_Sales_data___Copy[[#This Row],[M-Score(1-5)]]</f>
        <v>544</v>
      </c>
      <c r="AA320" s="2" t="str" cm="1">
        <f t="array" ref="AA3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0" s="2" t="str">
        <f>VLOOKUP(Auto_Sales_data___Copy[[#This Row],[Segment Name]],Table3[],2,FALSE)</f>
        <v>VIP Recognitioon &amp; Inclusivity</v>
      </c>
    </row>
    <row r="321" spans="1:28" x14ac:dyDescent="0.25">
      <c r="A321">
        <v>10391</v>
      </c>
      <c r="B321">
        <v>44</v>
      </c>
      <c r="C321">
        <v>38.5</v>
      </c>
      <c r="D321">
        <v>5</v>
      </c>
      <c r="E321">
        <v>1694</v>
      </c>
      <c r="F321" s="1">
        <v>43899</v>
      </c>
      <c r="G321" s="2" t="s">
        <v>19</v>
      </c>
      <c r="H321" s="2" t="s">
        <v>537</v>
      </c>
      <c r="I321">
        <v>60</v>
      </c>
      <c r="J321" s="2" t="s">
        <v>635</v>
      </c>
      <c r="K321" s="2" t="s">
        <v>300</v>
      </c>
      <c r="L321" s="2" t="s">
        <v>301</v>
      </c>
      <c r="M321" s="2" t="s">
        <v>302</v>
      </c>
      <c r="N321" s="2" t="s">
        <v>303</v>
      </c>
      <c r="O321" s="2" t="s">
        <v>304</v>
      </c>
      <c r="P321" s="2" t="s">
        <v>87</v>
      </c>
      <c r="Q321" s="2" t="s">
        <v>305</v>
      </c>
      <c r="R321" s="2" t="s">
        <v>306</v>
      </c>
      <c r="S321" s="2" t="s">
        <v>30</v>
      </c>
      <c r="T321">
        <v>831</v>
      </c>
      <c r="U321">
        <f>VLOOKUP(Auto_Sales_data___Copy[[#This Row],[CUSTOMER_NAME]],$AF$2:$AH$90,2,FALSE)</f>
        <v>46</v>
      </c>
      <c r="V321">
        <f>VLOOKUP(Auto_Sales_data___Copy[[#This Row],[CUSTOMER_NAME]],$AF$2:$AH$90,3,FALSE)</f>
        <v>153996.12999999998</v>
      </c>
      <c r="W321" s="2">
        <f>6-MATCH(Auto_Sales_data___Copy[[#This Row],[DAYS_SINCE_LAST_ORDER]],Table2[R-Cutoff],1)</f>
        <v>5</v>
      </c>
      <c r="X321" s="2">
        <f>MATCH(Auto_Sales_data___Copy[[#This Row],[Total_Orders_Per_Customer]],Table2[F-Cutoff],1)</f>
        <v>4</v>
      </c>
      <c r="Y321" s="2">
        <f>MATCH(Auto_Sales_data___Copy[[#This Row],[Total_Sales_Per_Customer]],Table2[M-Cutoff],1)</f>
        <v>4</v>
      </c>
      <c r="Z321" s="2" t="str">
        <f>Auto_Sales_data___Copy[[#This Row],[R-Score(1-5)]]&amp;Auto_Sales_data___Copy[[#This Row],[F-Score(1-5)]]&amp;Auto_Sales_data___Copy[[#This Row],[M-Score(1-5)]]</f>
        <v>544</v>
      </c>
      <c r="AA321" s="2" t="str" cm="1">
        <f t="array" ref="AA3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1" s="2" t="str">
        <f>VLOOKUP(Auto_Sales_data___Copy[[#This Row],[Segment Name]],Table3[],2,FALSE)</f>
        <v>VIP Recognitioon &amp; Inclusivity</v>
      </c>
    </row>
    <row r="322" spans="1:28" x14ac:dyDescent="0.25">
      <c r="A322">
        <v>10396</v>
      </c>
      <c r="B322">
        <v>33</v>
      </c>
      <c r="C322">
        <v>185.13</v>
      </c>
      <c r="D322">
        <v>3</v>
      </c>
      <c r="E322">
        <v>6109.29</v>
      </c>
      <c r="F322" s="1">
        <v>43913</v>
      </c>
      <c r="G322" s="2" t="s">
        <v>19</v>
      </c>
      <c r="H322" s="2" t="s">
        <v>183</v>
      </c>
      <c r="I322">
        <v>173</v>
      </c>
      <c r="J322" s="2" t="s">
        <v>552</v>
      </c>
      <c r="K322" s="2" t="s">
        <v>284</v>
      </c>
      <c r="L322" s="2" t="s">
        <v>285</v>
      </c>
      <c r="M322" s="2" t="s">
        <v>286</v>
      </c>
      <c r="N322" s="2" t="s">
        <v>287</v>
      </c>
      <c r="O322" s="2" t="s">
        <v>106</v>
      </c>
      <c r="P322" s="2" t="s">
        <v>27</v>
      </c>
      <c r="Q322" s="2" t="s">
        <v>288</v>
      </c>
      <c r="R322" s="2" t="s">
        <v>289</v>
      </c>
      <c r="S322" s="2" t="s">
        <v>46</v>
      </c>
      <c r="T322">
        <v>393</v>
      </c>
      <c r="U322">
        <f>VLOOKUP(Auto_Sales_data___Copy[[#This Row],[CUSTOMER_NAME]],$AF$2:$AH$90,2,FALSE)</f>
        <v>180</v>
      </c>
      <c r="V322">
        <f>VLOOKUP(Auto_Sales_data___Copy[[#This Row],[CUSTOMER_NAME]],$AF$2:$AH$90,3,FALSE)</f>
        <v>654858.06000000017</v>
      </c>
      <c r="W322" s="2">
        <f>6-MATCH(Auto_Sales_data___Copy[[#This Row],[DAYS_SINCE_LAST_ORDER]],Table2[R-Cutoff],1)</f>
        <v>5</v>
      </c>
      <c r="X322" s="2">
        <f>MATCH(Auto_Sales_data___Copy[[#This Row],[Total_Orders_Per_Customer]],Table2[F-Cutoff],1)</f>
        <v>4</v>
      </c>
      <c r="Y322" s="2">
        <f>MATCH(Auto_Sales_data___Copy[[#This Row],[Total_Sales_Per_Customer]],Table2[M-Cutoff],1)</f>
        <v>4</v>
      </c>
      <c r="Z322" s="2" t="str">
        <f>Auto_Sales_data___Copy[[#This Row],[R-Score(1-5)]]&amp;Auto_Sales_data___Copy[[#This Row],[F-Score(1-5)]]&amp;Auto_Sales_data___Copy[[#This Row],[M-Score(1-5)]]</f>
        <v>544</v>
      </c>
      <c r="AA322" s="2" t="str" cm="1">
        <f t="array" ref="AA3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2" s="2" t="str">
        <f>VLOOKUP(Auto_Sales_data___Copy[[#This Row],[Segment Name]],Table3[],2,FALSE)</f>
        <v>VIP Recognitioon &amp; Inclusivity</v>
      </c>
    </row>
    <row r="323" spans="1:28" x14ac:dyDescent="0.25">
      <c r="A323">
        <v>10398</v>
      </c>
      <c r="B323">
        <v>33</v>
      </c>
      <c r="C323">
        <v>127.73</v>
      </c>
      <c r="D323">
        <v>11</v>
      </c>
      <c r="E323">
        <v>4215.09</v>
      </c>
      <c r="F323" s="1">
        <v>43920</v>
      </c>
      <c r="G323" s="2" t="s">
        <v>19</v>
      </c>
      <c r="H323" s="2" t="s">
        <v>607</v>
      </c>
      <c r="I323">
        <v>157</v>
      </c>
      <c r="J323" s="2" t="s">
        <v>608</v>
      </c>
      <c r="K323" s="2" t="s">
        <v>31</v>
      </c>
      <c r="L323" s="2" t="s">
        <v>32</v>
      </c>
      <c r="M323" s="2" t="s">
        <v>33</v>
      </c>
      <c r="N323" s="2" t="s">
        <v>34</v>
      </c>
      <c r="O323" s="2" t="s">
        <v>35</v>
      </c>
      <c r="P323" s="2" t="s">
        <v>36</v>
      </c>
      <c r="Q323" s="2" t="s">
        <v>37</v>
      </c>
      <c r="R323" s="2" t="s">
        <v>38</v>
      </c>
      <c r="S323" s="2" t="s">
        <v>46</v>
      </c>
      <c r="T323">
        <v>612</v>
      </c>
      <c r="U323">
        <f>VLOOKUP(Auto_Sales_data___Copy[[#This Row],[CUSTOMER_NAME]],$AF$2:$AH$90,2,FALSE)</f>
        <v>41</v>
      </c>
      <c r="V323">
        <f>VLOOKUP(Auto_Sales_data___Copy[[#This Row],[CUSTOMER_NAME]],$AF$2:$AH$90,3,FALSE)</f>
        <v>135042.94</v>
      </c>
      <c r="W323" s="2">
        <f>6-MATCH(Auto_Sales_data___Copy[[#This Row],[DAYS_SINCE_LAST_ORDER]],Table2[R-Cutoff],1)</f>
        <v>5</v>
      </c>
      <c r="X323" s="2">
        <f>MATCH(Auto_Sales_data___Copy[[#This Row],[Total_Orders_Per_Customer]],Table2[F-Cutoff],1)</f>
        <v>4</v>
      </c>
      <c r="Y323" s="2">
        <f>MATCH(Auto_Sales_data___Copy[[#This Row],[Total_Sales_Per_Customer]],Table2[M-Cutoff],1)</f>
        <v>4</v>
      </c>
      <c r="Z323" s="2" t="str">
        <f>Auto_Sales_data___Copy[[#This Row],[R-Score(1-5)]]&amp;Auto_Sales_data___Copy[[#This Row],[F-Score(1-5)]]&amp;Auto_Sales_data___Copy[[#This Row],[M-Score(1-5)]]</f>
        <v>544</v>
      </c>
      <c r="AA323" s="2" t="str" cm="1">
        <f t="array" ref="AA3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3" s="2" t="str">
        <f>VLOOKUP(Auto_Sales_data___Copy[[#This Row],[Segment Name]],Table3[],2,FALSE)</f>
        <v>VIP Recognitioon &amp; Inclusivity</v>
      </c>
    </row>
    <row r="324" spans="1:28" x14ac:dyDescent="0.25">
      <c r="A324">
        <v>10398</v>
      </c>
      <c r="B324">
        <v>34</v>
      </c>
      <c r="C324">
        <v>76.88</v>
      </c>
      <c r="D324">
        <v>15</v>
      </c>
      <c r="E324">
        <v>2613.92</v>
      </c>
      <c r="F324" s="1">
        <v>43920</v>
      </c>
      <c r="G324" s="2" t="s">
        <v>19</v>
      </c>
      <c r="H324" s="2" t="s">
        <v>607</v>
      </c>
      <c r="I324">
        <v>84</v>
      </c>
      <c r="J324" s="2" t="s">
        <v>636</v>
      </c>
      <c r="K324" s="2" t="s">
        <v>31</v>
      </c>
      <c r="L324" s="2" t="s">
        <v>32</v>
      </c>
      <c r="M324" s="2" t="s">
        <v>33</v>
      </c>
      <c r="N324" s="2" t="s">
        <v>34</v>
      </c>
      <c r="O324" s="2" t="s">
        <v>35</v>
      </c>
      <c r="P324" s="2" t="s">
        <v>36</v>
      </c>
      <c r="Q324" s="2" t="s">
        <v>37</v>
      </c>
      <c r="R324" s="2" t="s">
        <v>38</v>
      </c>
      <c r="S324" s="2" t="s">
        <v>30</v>
      </c>
      <c r="T324">
        <v>833</v>
      </c>
      <c r="U324">
        <f>VLOOKUP(Auto_Sales_data___Copy[[#This Row],[CUSTOMER_NAME]],$AF$2:$AH$90,2,FALSE)</f>
        <v>41</v>
      </c>
      <c r="V324">
        <f>VLOOKUP(Auto_Sales_data___Copy[[#This Row],[CUSTOMER_NAME]],$AF$2:$AH$90,3,FALSE)</f>
        <v>135042.94</v>
      </c>
      <c r="W324" s="2">
        <f>6-MATCH(Auto_Sales_data___Copy[[#This Row],[DAYS_SINCE_LAST_ORDER]],Table2[R-Cutoff],1)</f>
        <v>5</v>
      </c>
      <c r="X324" s="2">
        <f>MATCH(Auto_Sales_data___Copy[[#This Row],[Total_Orders_Per_Customer]],Table2[F-Cutoff],1)</f>
        <v>4</v>
      </c>
      <c r="Y324" s="2">
        <f>MATCH(Auto_Sales_data___Copy[[#This Row],[Total_Sales_Per_Customer]],Table2[M-Cutoff],1)</f>
        <v>4</v>
      </c>
      <c r="Z324" s="2" t="str">
        <f>Auto_Sales_data___Copy[[#This Row],[R-Score(1-5)]]&amp;Auto_Sales_data___Copy[[#This Row],[F-Score(1-5)]]&amp;Auto_Sales_data___Copy[[#This Row],[M-Score(1-5)]]</f>
        <v>544</v>
      </c>
      <c r="AA324" s="2" t="str" cm="1">
        <f t="array" ref="AA3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4" s="2" t="str">
        <f>VLOOKUP(Auto_Sales_data___Copy[[#This Row],[Segment Name]],Table3[],2,FALSE)</f>
        <v>VIP Recognitioon &amp; Inclusivity</v>
      </c>
    </row>
    <row r="325" spans="1:28" x14ac:dyDescent="0.25">
      <c r="A325">
        <v>10400</v>
      </c>
      <c r="B325">
        <v>64</v>
      </c>
      <c r="C325">
        <v>150.96</v>
      </c>
      <c r="D325">
        <v>9</v>
      </c>
      <c r="E325">
        <v>9661.44</v>
      </c>
      <c r="F325" s="1">
        <v>43922</v>
      </c>
      <c r="G325" s="2" t="s">
        <v>19</v>
      </c>
      <c r="H325" s="2" t="s">
        <v>183</v>
      </c>
      <c r="I325">
        <v>136</v>
      </c>
      <c r="J325" s="2" t="s">
        <v>338</v>
      </c>
      <c r="K325" s="2" t="s">
        <v>418</v>
      </c>
      <c r="L325" s="2" t="s">
        <v>419</v>
      </c>
      <c r="M325" s="2" t="s">
        <v>420</v>
      </c>
      <c r="N325" s="2" t="s">
        <v>421</v>
      </c>
      <c r="O325" s="2" t="s">
        <v>58</v>
      </c>
      <c r="P325" s="2" t="s">
        <v>27</v>
      </c>
      <c r="Q325" s="2" t="s">
        <v>93</v>
      </c>
      <c r="R325" s="2" t="s">
        <v>422</v>
      </c>
      <c r="S325" s="2" t="s">
        <v>151</v>
      </c>
      <c r="T325">
        <v>182</v>
      </c>
      <c r="U325">
        <f>VLOOKUP(Auto_Sales_data___Copy[[#This Row],[CUSTOMER_NAME]],$AF$2:$AH$90,2,FALSE)</f>
        <v>40</v>
      </c>
      <c r="V325">
        <f>VLOOKUP(Auto_Sales_data___Copy[[#This Row],[CUSTOMER_NAME]],$AF$2:$AH$90,3,FALSE)</f>
        <v>160010.27000000005</v>
      </c>
      <c r="W325" s="2">
        <f>6-MATCH(Auto_Sales_data___Copy[[#This Row],[DAYS_SINCE_LAST_ORDER]],Table2[R-Cutoff],1)</f>
        <v>5</v>
      </c>
      <c r="X325" s="2">
        <f>MATCH(Auto_Sales_data___Copy[[#This Row],[Total_Orders_Per_Customer]],Table2[F-Cutoff],1)</f>
        <v>4</v>
      </c>
      <c r="Y325" s="2">
        <f>MATCH(Auto_Sales_data___Copy[[#This Row],[Total_Sales_Per_Customer]],Table2[M-Cutoff],1)</f>
        <v>4</v>
      </c>
      <c r="Z325" s="2" t="str">
        <f>Auto_Sales_data___Copy[[#This Row],[R-Score(1-5)]]&amp;Auto_Sales_data___Copy[[#This Row],[F-Score(1-5)]]&amp;Auto_Sales_data___Copy[[#This Row],[M-Score(1-5)]]</f>
        <v>544</v>
      </c>
      <c r="AA325" s="2" t="str" cm="1">
        <f t="array" ref="AA3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5" s="2" t="str">
        <f>VLOOKUP(Auto_Sales_data___Copy[[#This Row],[Segment Name]],Table3[],2,FALSE)</f>
        <v>VIP Recognitioon &amp; Inclusivity</v>
      </c>
    </row>
    <row r="326" spans="1:28" x14ac:dyDescent="0.25">
      <c r="A326">
        <v>10400</v>
      </c>
      <c r="B326">
        <v>34</v>
      </c>
      <c r="C326">
        <v>189.23</v>
      </c>
      <c r="D326">
        <v>1</v>
      </c>
      <c r="E326">
        <v>6433.82</v>
      </c>
      <c r="F326" s="1">
        <v>43922</v>
      </c>
      <c r="G326" s="2" t="s">
        <v>19</v>
      </c>
      <c r="H326" s="2" t="s">
        <v>607</v>
      </c>
      <c r="I326">
        <v>157</v>
      </c>
      <c r="J326" s="2" t="s">
        <v>608</v>
      </c>
      <c r="K326" s="2" t="s">
        <v>418</v>
      </c>
      <c r="L326" s="2" t="s">
        <v>419</v>
      </c>
      <c r="M326" s="2" t="s">
        <v>420</v>
      </c>
      <c r="N326" s="2" t="s">
        <v>421</v>
      </c>
      <c r="O326" s="2" t="s">
        <v>58</v>
      </c>
      <c r="P326" s="2" t="s">
        <v>27</v>
      </c>
      <c r="Q326" s="2" t="s">
        <v>93</v>
      </c>
      <c r="R326" s="2" t="s">
        <v>422</v>
      </c>
      <c r="S326" s="2" t="s">
        <v>46</v>
      </c>
      <c r="T326">
        <v>611</v>
      </c>
      <c r="U326">
        <f>VLOOKUP(Auto_Sales_data___Copy[[#This Row],[CUSTOMER_NAME]],$AF$2:$AH$90,2,FALSE)</f>
        <v>40</v>
      </c>
      <c r="V326">
        <f>VLOOKUP(Auto_Sales_data___Copy[[#This Row],[CUSTOMER_NAME]],$AF$2:$AH$90,3,FALSE)</f>
        <v>160010.27000000005</v>
      </c>
      <c r="W326" s="2">
        <f>6-MATCH(Auto_Sales_data___Copy[[#This Row],[DAYS_SINCE_LAST_ORDER]],Table2[R-Cutoff],1)</f>
        <v>5</v>
      </c>
      <c r="X326" s="2">
        <f>MATCH(Auto_Sales_data___Copy[[#This Row],[Total_Orders_Per_Customer]],Table2[F-Cutoff],1)</f>
        <v>4</v>
      </c>
      <c r="Y326" s="2">
        <f>MATCH(Auto_Sales_data___Copy[[#This Row],[Total_Sales_Per_Customer]],Table2[M-Cutoff],1)</f>
        <v>4</v>
      </c>
      <c r="Z326" s="2" t="str">
        <f>Auto_Sales_data___Copy[[#This Row],[R-Score(1-5)]]&amp;Auto_Sales_data___Copy[[#This Row],[F-Score(1-5)]]&amp;Auto_Sales_data___Copy[[#This Row],[M-Score(1-5)]]</f>
        <v>544</v>
      </c>
      <c r="AA326" s="2" t="str" cm="1">
        <f t="array" ref="AA3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6" s="2" t="str">
        <f>VLOOKUP(Auto_Sales_data___Copy[[#This Row],[Segment Name]],Table3[],2,FALSE)</f>
        <v>VIP Recognitioon &amp; Inclusivity</v>
      </c>
    </row>
    <row r="327" spans="1:28" x14ac:dyDescent="0.25">
      <c r="A327">
        <v>10403</v>
      </c>
      <c r="B327">
        <v>24</v>
      </c>
      <c r="C327">
        <v>101.44</v>
      </c>
      <c r="D327">
        <v>7</v>
      </c>
      <c r="E327">
        <v>2434.56</v>
      </c>
      <c r="F327" s="1">
        <v>43929</v>
      </c>
      <c r="G327" s="2" t="s">
        <v>19</v>
      </c>
      <c r="H327" s="2" t="s">
        <v>20</v>
      </c>
      <c r="I327">
        <v>95</v>
      </c>
      <c r="J327" s="2" t="s">
        <v>21</v>
      </c>
      <c r="K327" s="2" t="s">
        <v>166</v>
      </c>
      <c r="L327" s="2" t="s">
        <v>167</v>
      </c>
      <c r="M327" s="2" t="s">
        <v>168</v>
      </c>
      <c r="N327" s="2" t="s">
        <v>169</v>
      </c>
      <c r="O327" s="2" t="s">
        <v>170</v>
      </c>
      <c r="P327" s="2" t="s">
        <v>171</v>
      </c>
      <c r="Q327" s="2" t="s">
        <v>172</v>
      </c>
      <c r="R327" s="2" t="s">
        <v>173</v>
      </c>
      <c r="S327" s="2" t="s">
        <v>30</v>
      </c>
      <c r="T327">
        <v>76</v>
      </c>
      <c r="U327">
        <f>VLOOKUP(Auto_Sales_data___Copy[[#This Row],[CUSTOMER_NAME]],$AF$2:$AH$90,2,FALSE)</f>
        <v>29</v>
      </c>
      <c r="V327">
        <f>VLOOKUP(Auto_Sales_data___Copy[[#This Row],[CUSTOMER_NAME]],$AF$2:$AH$90,3,FALSE)</f>
        <v>118008.26999999999</v>
      </c>
      <c r="W327" s="2">
        <f>6-MATCH(Auto_Sales_data___Copy[[#This Row],[DAYS_SINCE_LAST_ORDER]],Table2[R-Cutoff],1)</f>
        <v>5</v>
      </c>
      <c r="X327" s="2">
        <f>MATCH(Auto_Sales_data___Copy[[#This Row],[Total_Orders_Per_Customer]],Table2[F-Cutoff],1)</f>
        <v>4</v>
      </c>
      <c r="Y327" s="2">
        <f>MATCH(Auto_Sales_data___Copy[[#This Row],[Total_Sales_Per_Customer]],Table2[M-Cutoff],1)</f>
        <v>4</v>
      </c>
      <c r="Z327" s="2" t="str">
        <f>Auto_Sales_data___Copy[[#This Row],[R-Score(1-5)]]&amp;Auto_Sales_data___Copy[[#This Row],[F-Score(1-5)]]&amp;Auto_Sales_data___Copy[[#This Row],[M-Score(1-5)]]</f>
        <v>544</v>
      </c>
      <c r="AA327" s="2" t="str" cm="1">
        <f t="array" ref="AA3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7" s="2" t="str">
        <f>VLOOKUP(Auto_Sales_data___Copy[[#This Row],[Segment Name]],Table3[],2,FALSE)</f>
        <v>VIP Recognitioon &amp; Inclusivity</v>
      </c>
    </row>
    <row r="328" spans="1:28" x14ac:dyDescent="0.25">
      <c r="A328">
        <v>10403</v>
      </c>
      <c r="B328">
        <v>66</v>
      </c>
      <c r="C328">
        <v>180.1</v>
      </c>
      <c r="D328">
        <v>9</v>
      </c>
      <c r="E328">
        <v>11886.6</v>
      </c>
      <c r="F328" s="1">
        <v>43929</v>
      </c>
      <c r="G328" s="2" t="s">
        <v>19</v>
      </c>
      <c r="H328" s="2" t="s">
        <v>20</v>
      </c>
      <c r="I328">
        <v>193</v>
      </c>
      <c r="J328" s="2" t="s">
        <v>337</v>
      </c>
      <c r="K328" s="2" t="s">
        <v>166</v>
      </c>
      <c r="L328" s="2" t="s">
        <v>167</v>
      </c>
      <c r="M328" s="2" t="s">
        <v>168</v>
      </c>
      <c r="N328" s="2" t="s">
        <v>169</v>
      </c>
      <c r="O328" s="2" t="s">
        <v>170</v>
      </c>
      <c r="P328" s="2" t="s">
        <v>171</v>
      </c>
      <c r="Q328" s="2" t="s">
        <v>172</v>
      </c>
      <c r="R328" s="2" t="s">
        <v>173</v>
      </c>
      <c r="S328" s="2" t="s">
        <v>151</v>
      </c>
      <c r="T328">
        <v>150</v>
      </c>
      <c r="U328">
        <f>VLOOKUP(Auto_Sales_data___Copy[[#This Row],[CUSTOMER_NAME]],$AF$2:$AH$90,2,FALSE)</f>
        <v>29</v>
      </c>
      <c r="V328">
        <f>VLOOKUP(Auto_Sales_data___Copy[[#This Row],[CUSTOMER_NAME]],$AF$2:$AH$90,3,FALSE)</f>
        <v>118008.26999999999</v>
      </c>
      <c r="W328" s="2">
        <f>6-MATCH(Auto_Sales_data___Copy[[#This Row],[DAYS_SINCE_LAST_ORDER]],Table2[R-Cutoff],1)</f>
        <v>5</v>
      </c>
      <c r="X328" s="2">
        <f>MATCH(Auto_Sales_data___Copy[[#This Row],[Total_Orders_Per_Customer]],Table2[F-Cutoff],1)</f>
        <v>4</v>
      </c>
      <c r="Y328" s="2">
        <f>MATCH(Auto_Sales_data___Copy[[#This Row],[Total_Sales_Per_Customer]],Table2[M-Cutoff],1)</f>
        <v>4</v>
      </c>
      <c r="Z328" s="2" t="str">
        <f>Auto_Sales_data___Copy[[#This Row],[R-Score(1-5)]]&amp;Auto_Sales_data___Copy[[#This Row],[F-Score(1-5)]]&amp;Auto_Sales_data___Copy[[#This Row],[M-Score(1-5)]]</f>
        <v>544</v>
      </c>
      <c r="AA328" s="2" t="str" cm="1">
        <f t="array" ref="AA3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8" s="2" t="str">
        <f>VLOOKUP(Auto_Sales_data___Copy[[#This Row],[Segment Name]],Table3[],2,FALSE)</f>
        <v>VIP Recognitioon &amp; Inclusivity</v>
      </c>
    </row>
    <row r="329" spans="1:28" x14ac:dyDescent="0.25">
      <c r="A329">
        <v>10403</v>
      </c>
      <c r="B329">
        <v>66</v>
      </c>
      <c r="C329">
        <v>131.04</v>
      </c>
      <c r="D329">
        <v>6</v>
      </c>
      <c r="E329">
        <v>8648.64</v>
      </c>
      <c r="F329" s="1">
        <v>43929</v>
      </c>
      <c r="G329" s="2" t="s">
        <v>19</v>
      </c>
      <c r="H329" s="2" t="s">
        <v>20</v>
      </c>
      <c r="I329">
        <v>150</v>
      </c>
      <c r="J329" s="2" t="s">
        <v>539</v>
      </c>
      <c r="K329" s="2" t="s">
        <v>166</v>
      </c>
      <c r="L329" s="2" t="s">
        <v>167</v>
      </c>
      <c r="M329" s="2" t="s">
        <v>168</v>
      </c>
      <c r="N329" s="2" t="s">
        <v>169</v>
      </c>
      <c r="O329" s="2" t="s">
        <v>170</v>
      </c>
      <c r="P329" s="2" t="s">
        <v>171</v>
      </c>
      <c r="Q329" s="2" t="s">
        <v>172</v>
      </c>
      <c r="R329" s="2" t="s">
        <v>173</v>
      </c>
      <c r="S329" s="2" t="s">
        <v>151</v>
      </c>
      <c r="T329">
        <v>302</v>
      </c>
      <c r="U329">
        <f>VLOOKUP(Auto_Sales_data___Copy[[#This Row],[CUSTOMER_NAME]],$AF$2:$AH$90,2,FALSE)</f>
        <v>29</v>
      </c>
      <c r="V329">
        <f>VLOOKUP(Auto_Sales_data___Copy[[#This Row],[CUSTOMER_NAME]],$AF$2:$AH$90,3,FALSE)</f>
        <v>118008.26999999999</v>
      </c>
      <c r="W329" s="2">
        <f>6-MATCH(Auto_Sales_data___Copy[[#This Row],[DAYS_SINCE_LAST_ORDER]],Table2[R-Cutoff],1)</f>
        <v>5</v>
      </c>
      <c r="X329" s="2">
        <f>MATCH(Auto_Sales_data___Copy[[#This Row],[Total_Orders_Per_Customer]],Table2[F-Cutoff],1)</f>
        <v>4</v>
      </c>
      <c r="Y329" s="2">
        <f>MATCH(Auto_Sales_data___Copy[[#This Row],[Total_Sales_Per_Customer]],Table2[M-Cutoff],1)</f>
        <v>4</v>
      </c>
      <c r="Z329" s="2" t="str">
        <f>Auto_Sales_data___Copy[[#This Row],[R-Score(1-5)]]&amp;Auto_Sales_data___Copy[[#This Row],[F-Score(1-5)]]&amp;Auto_Sales_data___Copy[[#This Row],[M-Score(1-5)]]</f>
        <v>544</v>
      </c>
      <c r="AA329" s="2" t="str" cm="1">
        <f t="array" ref="AA3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9" s="2" t="str">
        <f>VLOOKUP(Auto_Sales_data___Copy[[#This Row],[Segment Name]],Table3[],2,FALSE)</f>
        <v>VIP Recognitioon &amp; Inclusivity</v>
      </c>
    </row>
    <row r="330" spans="1:28" x14ac:dyDescent="0.25">
      <c r="A330">
        <v>10406</v>
      </c>
      <c r="B330">
        <v>61</v>
      </c>
      <c r="C330">
        <v>137.29</v>
      </c>
      <c r="D330">
        <v>3</v>
      </c>
      <c r="E330">
        <v>8374.69</v>
      </c>
      <c r="F330" s="1">
        <v>43936</v>
      </c>
      <c r="G330" s="2" t="s">
        <v>174</v>
      </c>
      <c r="H330" s="2" t="s">
        <v>183</v>
      </c>
      <c r="I330">
        <v>141</v>
      </c>
      <c r="J330" s="2" t="s">
        <v>576</v>
      </c>
      <c r="K330" s="2" t="s">
        <v>339</v>
      </c>
      <c r="L330" s="2" t="s">
        <v>340</v>
      </c>
      <c r="M330" s="2" t="s">
        <v>341</v>
      </c>
      <c r="N330" s="2" t="s">
        <v>342</v>
      </c>
      <c r="O330" s="2" t="s">
        <v>343</v>
      </c>
      <c r="P330" s="2" t="s">
        <v>344</v>
      </c>
      <c r="Q330" s="2" t="s">
        <v>345</v>
      </c>
      <c r="R330" s="2" t="s">
        <v>346</v>
      </c>
      <c r="S330" s="2" t="s">
        <v>151</v>
      </c>
      <c r="T330">
        <v>499</v>
      </c>
      <c r="U330">
        <f>VLOOKUP(Auto_Sales_data___Copy[[#This Row],[CUSTOMER_NAME]],$AF$2:$AH$90,2,FALSE)</f>
        <v>36</v>
      </c>
      <c r="V330">
        <f>VLOOKUP(Auto_Sales_data___Copy[[#This Row],[CUSTOMER_NAME]],$AF$2:$AH$90,3,FALSE)</f>
        <v>145041.60000000001</v>
      </c>
      <c r="W330" s="2">
        <f>6-MATCH(Auto_Sales_data___Copy[[#This Row],[DAYS_SINCE_LAST_ORDER]],Table2[R-Cutoff],1)</f>
        <v>5</v>
      </c>
      <c r="X330" s="2">
        <f>MATCH(Auto_Sales_data___Copy[[#This Row],[Total_Orders_Per_Customer]],Table2[F-Cutoff],1)</f>
        <v>4</v>
      </c>
      <c r="Y330" s="2">
        <f>MATCH(Auto_Sales_data___Copy[[#This Row],[Total_Sales_Per_Customer]],Table2[M-Cutoff],1)</f>
        <v>4</v>
      </c>
      <c r="Z330" s="2" t="str">
        <f>Auto_Sales_data___Copy[[#This Row],[R-Score(1-5)]]&amp;Auto_Sales_data___Copy[[#This Row],[F-Score(1-5)]]&amp;Auto_Sales_data___Copy[[#This Row],[M-Score(1-5)]]</f>
        <v>544</v>
      </c>
      <c r="AA330" s="2" t="str" cm="1">
        <f t="array" ref="AA3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0" s="2" t="str">
        <f>VLOOKUP(Auto_Sales_data___Copy[[#This Row],[Segment Name]],Table3[],2,FALSE)</f>
        <v>VIP Recognitioon &amp; Inclusivity</v>
      </c>
    </row>
    <row r="331" spans="1:28" x14ac:dyDescent="0.25">
      <c r="A331">
        <v>10406</v>
      </c>
      <c r="B331">
        <v>48</v>
      </c>
      <c r="C331">
        <v>149.36000000000001</v>
      </c>
      <c r="D331">
        <v>2</v>
      </c>
      <c r="E331">
        <v>7169.28</v>
      </c>
      <c r="F331" s="1">
        <v>43936</v>
      </c>
      <c r="G331" s="2" t="s">
        <v>174</v>
      </c>
      <c r="H331" s="2" t="s">
        <v>183</v>
      </c>
      <c r="I331">
        <v>142</v>
      </c>
      <c r="J331" s="2" t="s">
        <v>630</v>
      </c>
      <c r="K331" s="2" t="s">
        <v>339</v>
      </c>
      <c r="L331" s="2" t="s">
        <v>340</v>
      </c>
      <c r="M331" s="2" t="s">
        <v>341</v>
      </c>
      <c r="N331" s="2" t="s">
        <v>342</v>
      </c>
      <c r="O331" s="2" t="s">
        <v>343</v>
      </c>
      <c r="P331" s="2" t="s">
        <v>344</v>
      </c>
      <c r="Q331" s="2" t="s">
        <v>345</v>
      </c>
      <c r="R331" s="2" t="s">
        <v>346</v>
      </c>
      <c r="S331" s="2" t="s">
        <v>151</v>
      </c>
      <c r="T331">
        <v>670</v>
      </c>
      <c r="U331">
        <f>VLOOKUP(Auto_Sales_data___Copy[[#This Row],[CUSTOMER_NAME]],$AF$2:$AH$90,2,FALSE)</f>
        <v>36</v>
      </c>
      <c r="V331">
        <f>VLOOKUP(Auto_Sales_data___Copy[[#This Row],[CUSTOMER_NAME]],$AF$2:$AH$90,3,FALSE)</f>
        <v>145041.60000000001</v>
      </c>
      <c r="W331" s="2">
        <f>6-MATCH(Auto_Sales_data___Copy[[#This Row],[DAYS_SINCE_LAST_ORDER]],Table2[R-Cutoff],1)</f>
        <v>5</v>
      </c>
      <c r="X331" s="2">
        <f>MATCH(Auto_Sales_data___Copy[[#This Row],[Total_Orders_Per_Customer]],Table2[F-Cutoff],1)</f>
        <v>4</v>
      </c>
      <c r="Y331" s="2">
        <f>MATCH(Auto_Sales_data___Copy[[#This Row],[Total_Sales_Per_Customer]],Table2[M-Cutoff],1)</f>
        <v>4</v>
      </c>
      <c r="Z331" s="2" t="str">
        <f>Auto_Sales_data___Copy[[#This Row],[R-Score(1-5)]]&amp;Auto_Sales_data___Copy[[#This Row],[F-Score(1-5)]]&amp;Auto_Sales_data___Copy[[#This Row],[M-Score(1-5)]]</f>
        <v>544</v>
      </c>
      <c r="AA331" s="2" t="str" cm="1">
        <f t="array" ref="AA3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1" s="2" t="str">
        <f>VLOOKUP(Auto_Sales_data___Copy[[#This Row],[Segment Name]],Table3[],2,FALSE)</f>
        <v>VIP Recognitioon &amp; Inclusivity</v>
      </c>
    </row>
    <row r="332" spans="1:28" x14ac:dyDescent="0.25">
      <c r="A332">
        <v>10407</v>
      </c>
      <c r="B332">
        <v>59</v>
      </c>
      <c r="C332">
        <v>119.46</v>
      </c>
      <c r="D332">
        <v>11</v>
      </c>
      <c r="E332">
        <v>7048.14</v>
      </c>
      <c r="F332" s="1">
        <v>43943</v>
      </c>
      <c r="G332" s="2" t="s">
        <v>423</v>
      </c>
      <c r="H332" s="2" t="s">
        <v>183</v>
      </c>
      <c r="I332">
        <v>124</v>
      </c>
      <c r="J332" s="2" t="s">
        <v>606</v>
      </c>
      <c r="K332" s="2" t="s">
        <v>418</v>
      </c>
      <c r="L332" s="2" t="s">
        <v>419</v>
      </c>
      <c r="M332" s="2" t="s">
        <v>420</v>
      </c>
      <c r="N332" s="2" t="s">
        <v>421</v>
      </c>
      <c r="O332" s="2" t="s">
        <v>58</v>
      </c>
      <c r="P332" s="2" t="s">
        <v>27</v>
      </c>
      <c r="Q332" s="2" t="s">
        <v>93</v>
      </c>
      <c r="R332" s="2" t="s">
        <v>422</v>
      </c>
      <c r="S332" s="2" t="s">
        <v>151</v>
      </c>
      <c r="T332">
        <v>564</v>
      </c>
      <c r="U332">
        <f>VLOOKUP(Auto_Sales_data___Copy[[#This Row],[CUSTOMER_NAME]],$AF$2:$AH$90,2,FALSE)</f>
        <v>40</v>
      </c>
      <c r="V332">
        <f>VLOOKUP(Auto_Sales_data___Copy[[#This Row],[CUSTOMER_NAME]],$AF$2:$AH$90,3,FALSE)</f>
        <v>160010.27000000005</v>
      </c>
      <c r="W332" s="2">
        <f>6-MATCH(Auto_Sales_data___Copy[[#This Row],[DAYS_SINCE_LAST_ORDER]],Table2[R-Cutoff],1)</f>
        <v>5</v>
      </c>
      <c r="X332" s="2">
        <f>MATCH(Auto_Sales_data___Copy[[#This Row],[Total_Orders_Per_Customer]],Table2[F-Cutoff],1)</f>
        <v>4</v>
      </c>
      <c r="Y332" s="2">
        <f>MATCH(Auto_Sales_data___Copy[[#This Row],[Total_Sales_Per_Customer]],Table2[M-Cutoff],1)</f>
        <v>4</v>
      </c>
      <c r="Z332" s="2" t="str">
        <f>Auto_Sales_data___Copy[[#This Row],[R-Score(1-5)]]&amp;Auto_Sales_data___Copy[[#This Row],[F-Score(1-5)]]&amp;Auto_Sales_data___Copy[[#This Row],[M-Score(1-5)]]</f>
        <v>544</v>
      </c>
      <c r="AA332" s="2" t="str" cm="1">
        <f t="array" ref="AA3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2" s="2" t="str">
        <f>VLOOKUP(Auto_Sales_data___Copy[[#This Row],[Segment Name]],Table3[],2,FALSE)</f>
        <v>VIP Recognitioon &amp; Inclusivity</v>
      </c>
    </row>
    <row r="333" spans="1:28" x14ac:dyDescent="0.25">
      <c r="A333">
        <v>10407</v>
      </c>
      <c r="B333">
        <v>76</v>
      </c>
      <c r="C333">
        <v>185.3</v>
      </c>
      <c r="D333">
        <v>2</v>
      </c>
      <c r="E333">
        <v>14082.8</v>
      </c>
      <c r="F333" s="1">
        <v>43943</v>
      </c>
      <c r="G333" s="2" t="s">
        <v>423</v>
      </c>
      <c r="H333" s="2" t="s">
        <v>589</v>
      </c>
      <c r="I333">
        <v>170</v>
      </c>
      <c r="J333" s="2" t="s">
        <v>628</v>
      </c>
      <c r="K333" s="2" t="s">
        <v>418</v>
      </c>
      <c r="L333" s="2" t="s">
        <v>419</v>
      </c>
      <c r="M333" s="2" t="s">
        <v>420</v>
      </c>
      <c r="N333" s="2" t="s">
        <v>421</v>
      </c>
      <c r="O333" s="2" t="s">
        <v>58</v>
      </c>
      <c r="P333" s="2" t="s">
        <v>27</v>
      </c>
      <c r="Q333" s="2" t="s">
        <v>93</v>
      </c>
      <c r="R333" s="2" t="s">
        <v>422</v>
      </c>
      <c r="S333" s="2" t="s">
        <v>151</v>
      </c>
      <c r="T333">
        <v>611</v>
      </c>
      <c r="U333">
        <f>VLOOKUP(Auto_Sales_data___Copy[[#This Row],[CUSTOMER_NAME]],$AF$2:$AH$90,2,FALSE)</f>
        <v>40</v>
      </c>
      <c r="V333">
        <f>VLOOKUP(Auto_Sales_data___Copy[[#This Row],[CUSTOMER_NAME]],$AF$2:$AH$90,3,FALSE)</f>
        <v>160010.27000000005</v>
      </c>
      <c r="W333" s="2">
        <f>6-MATCH(Auto_Sales_data___Copy[[#This Row],[DAYS_SINCE_LAST_ORDER]],Table2[R-Cutoff],1)</f>
        <v>5</v>
      </c>
      <c r="X333" s="2">
        <f>MATCH(Auto_Sales_data___Copy[[#This Row],[Total_Orders_Per_Customer]],Table2[F-Cutoff],1)</f>
        <v>4</v>
      </c>
      <c r="Y333" s="2">
        <f>MATCH(Auto_Sales_data___Copy[[#This Row],[Total_Sales_Per_Customer]],Table2[M-Cutoff],1)</f>
        <v>4</v>
      </c>
      <c r="Z333" s="2" t="str">
        <f>Auto_Sales_data___Copy[[#This Row],[R-Score(1-5)]]&amp;Auto_Sales_data___Copy[[#This Row],[F-Score(1-5)]]&amp;Auto_Sales_data___Copy[[#This Row],[M-Score(1-5)]]</f>
        <v>544</v>
      </c>
      <c r="AA333" s="2" t="str" cm="1">
        <f t="array" ref="AA3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3" s="2" t="str">
        <f>VLOOKUP(Auto_Sales_data___Copy[[#This Row],[Segment Name]],Table3[],2,FALSE)</f>
        <v>VIP Recognitioon &amp; Inclusivity</v>
      </c>
    </row>
    <row r="334" spans="1:28" x14ac:dyDescent="0.25">
      <c r="A334">
        <v>10407</v>
      </c>
      <c r="B334">
        <v>42</v>
      </c>
      <c r="C334">
        <v>72.650000000000006</v>
      </c>
      <c r="D334">
        <v>1</v>
      </c>
      <c r="E334">
        <v>3051.3</v>
      </c>
      <c r="F334" s="1">
        <v>43943</v>
      </c>
      <c r="G334" s="2" t="s">
        <v>423</v>
      </c>
      <c r="H334" s="2" t="s">
        <v>589</v>
      </c>
      <c r="I334">
        <v>60</v>
      </c>
      <c r="J334" s="2" t="s">
        <v>632</v>
      </c>
      <c r="K334" s="2" t="s">
        <v>418</v>
      </c>
      <c r="L334" s="2" t="s">
        <v>419</v>
      </c>
      <c r="M334" s="2" t="s">
        <v>420</v>
      </c>
      <c r="N334" s="2" t="s">
        <v>421</v>
      </c>
      <c r="O334" s="2" t="s">
        <v>58</v>
      </c>
      <c r="P334" s="2" t="s">
        <v>27</v>
      </c>
      <c r="Q334" s="2" t="s">
        <v>93</v>
      </c>
      <c r="R334" s="2" t="s">
        <v>422</v>
      </c>
      <c r="S334" s="2" t="s">
        <v>46</v>
      </c>
      <c r="T334">
        <v>711</v>
      </c>
      <c r="U334">
        <f>VLOOKUP(Auto_Sales_data___Copy[[#This Row],[CUSTOMER_NAME]],$AF$2:$AH$90,2,FALSE)</f>
        <v>40</v>
      </c>
      <c r="V334">
        <f>VLOOKUP(Auto_Sales_data___Copy[[#This Row],[CUSTOMER_NAME]],$AF$2:$AH$90,3,FALSE)</f>
        <v>160010.27000000005</v>
      </c>
      <c r="W334" s="2">
        <f>6-MATCH(Auto_Sales_data___Copy[[#This Row],[DAYS_SINCE_LAST_ORDER]],Table2[R-Cutoff],1)</f>
        <v>5</v>
      </c>
      <c r="X334" s="2">
        <f>MATCH(Auto_Sales_data___Copy[[#This Row],[Total_Orders_Per_Customer]],Table2[F-Cutoff],1)</f>
        <v>4</v>
      </c>
      <c r="Y334" s="2">
        <f>MATCH(Auto_Sales_data___Copy[[#This Row],[Total_Sales_Per_Customer]],Table2[M-Cutoff],1)</f>
        <v>4</v>
      </c>
      <c r="Z334" s="2" t="str">
        <f>Auto_Sales_data___Copy[[#This Row],[R-Score(1-5)]]&amp;Auto_Sales_data___Copy[[#This Row],[F-Score(1-5)]]&amp;Auto_Sales_data___Copy[[#This Row],[M-Score(1-5)]]</f>
        <v>544</v>
      </c>
      <c r="AA334" s="2" t="str" cm="1">
        <f t="array" ref="AA3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4" s="2" t="str">
        <f>VLOOKUP(Auto_Sales_data___Copy[[#This Row],[Segment Name]],Table3[],2,FALSE)</f>
        <v>VIP Recognitioon &amp; Inclusivity</v>
      </c>
    </row>
    <row r="335" spans="1:28" x14ac:dyDescent="0.25">
      <c r="A335">
        <v>10407</v>
      </c>
      <c r="B335">
        <v>41</v>
      </c>
      <c r="C335">
        <v>155.76</v>
      </c>
      <c r="D335">
        <v>12</v>
      </c>
      <c r="E335">
        <v>6386.16</v>
      </c>
      <c r="F335" s="1">
        <v>43943</v>
      </c>
      <c r="G335" s="2" t="s">
        <v>423</v>
      </c>
      <c r="H335" s="2" t="s">
        <v>183</v>
      </c>
      <c r="I335">
        <v>132</v>
      </c>
      <c r="J335" s="2" t="s">
        <v>639</v>
      </c>
      <c r="K335" s="2" t="s">
        <v>418</v>
      </c>
      <c r="L335" s="2" t="s">
        <v>419</v>
      </c>
      <c r="M335" s="2" t="s">
        <v>420</v>
      </c>
      <c r="N335" s="2" t="s">
        <v>421</v>
      </c>
      <c r="O335" s="2" t="s">
        <v>58</v>
      </c>
      <c r="P335" s="2" t="s">
        <v>27</v>
      </c>
      <c r="Q335" s="2" t="s">
        <v>93</v>
      </c>
      <c r="R335" s="2" t="s">
        <v>422</v>
      </c>
      <c r="S335" s="2" t="s">
        <v>46</v>
      </c>
      <c r="T335">
        <v>885</v>
      </c>
      <c r="U335">
        <f>VLOOKUP(Auto_Sales_data___Copy[[#This Row],[CUSTOMER_NAME]],$AF$2:$AH$90,2,FALSE)</f>
        <v>40</v>
      </c>
      <c r="V335">
        <f>VLOOKUP(Auto_Sales_data___Copy[[#This Row],[CUSTOMER_NAME]],$AF$2:$AH$90,3,FALSE)</f>
        <v>160010.27000000005</v>
      </c>
      <c r="W335" s="2">
        <f>6-MATCH(Auto_Sales_data___Copy[[#This Row],[DAYS_SINCE_LAST_ORDER]],Table2[R-Cutoff],1)</f>
        <v>5</v>
      </c>
      <c r="X335" s="2">
        <f>MATCH(Auto_Sales_data___Copy[[#This Row],[Total_Orders_Per_Customer]],Table2[F-Cutoff],1)</f>
        <v>4</v>
      </c>
      <c r="Y335" s="2">
        <f>MATCH(Auto_Sales_data___Copy[[#This Row],[Total_Sales_Per_Customer]],Table2[M-Cutoff],1)</f>
        <v>4</v>
      </c>
      <c r="Z335" s="2" t="str">
        <f>Auto_Sales_data___Copy[[#This Row],[R-Score(1-5)]]&amp;Auto_Sales_data___Copy[[#This Row],[F-Score(1-5)]]&amp;Auto_Sales_data___Copy[[#This Row],[M-Score(1-5)]]</f>
        <v>544</v>
      </c>
      <c r="AA335" s="2" t="str" cm="1">
        <f t="array" ref="AA3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5" s="2" t="str">
        <f>VLOOKUP(Auto_Sales_data___Copy[[#This Row],[Segment Name]],Table3[],2,FALSE)</f>
        <v>VIP Recognitioon &amp; Inclusivity</v>
      </c>
    </row>
    <row r="336" spans="1:28" x14ac:dyDescent="0.25">
      <c r="A336">
        <v>10409</v>
      </c>
      <c r="B336">
        <v>6</v>
      </c>
      <c r="C336">
        <v>130.94</v>
      </c>
      <c r="D336">
        <v>2</v>
      </c>
      <c r="E336">
        <v>785.64</v>
      </c>
      <c r="F336" s="1">
        <v>43944</v>
      </c>
      <c r="G336" s="2" t="s">
        <v>19</v>
      </c>
      <c r="H336" s="2" t="s">
        <v>589</v>
      </c>
      <c r="I336">
        <v>127</v>
      </c>
      <c r="J336" s="2" t="s">
        <v>634</v>
      </c>
      <c r="K336" s="2" t="s">
        <v>443</v>
      </c>
      <c r="L336" s="2" t="s">
        <v>444</v>
      </c>
      <c r="M336" s="2" t="s">
        <v>445</v>
      </c>
      <c r="N336" s="2" t="s">
        <v>202</v>
      </c>
      <c r="O336" s="2" t="s">
        <v>446</v>
      </c>
      <c r="P336" s="2" t="s">
        <v>202</v>
      </c>
      <c r="Q336" s="2" t="s">
        <v>447</v>
      </c>
      <c r="R336" s="2" t="s">
        <v>448</v>
      </c>
      <c r="S336" s="2" t="s">
        <v>30</v>
      </c>
      <c r="T336">
        <v>760</v>
      </c>
      <c r="U336">
        <f>VLOOKUP(Auto_Sales_data___Copy[[#This Row],[CUSTOMER_NAME]],$AF$2:$AH$90,2,FALSE)</f>
        <v>36</v>
      </c>
      <c r="V336">
        <f>VLOOKUP(Auto_Sales_data___Copy[[#This Row],[CUSTOMER_NAME]],$AF$2:$AH$90,3,FALSE)</f>
        <v>115498.72999999998</v>
      </c>
      <c r="W336" s="2">
        <f>6-MATCH(Auto_Sales_data___Copy[[#This Row],[DAYS_SINCE_LAST_ORDER]],Table2[R-Cutoff],1)</f>
        <v>5</v>
      </c>
      <c r="X336" s="2">
        <f>MATCH(Auto_Sales_data___Copy[[#This Row],[Total_Orders_Per_Customer]],Table2[F-Cutoff],1)</f>
        <v>4</v>
      </c>
      <c r="Y336" s="2">
        <f>MATCH(Auto_Sales_data___Copy[[#This Row],[Total_Sales_Per_Customer]],Table2[M-Cutoff],1)</f>
        <v>4</v>
      </c>
      <c r="Z336" s="2" t="str">
        <f>Auto_Sales_data___Copy[[#This Row],[R-Score(1-5)]]&amp;Auto_Sales_data___Copy[[#This Row],[F-Score(1-5)]]&amp;Auto_Sales_data___Copy[[#This Row],[M-Score(1-5)]]</f>
        <v>544</v>
      </c>
      <c r="AA336" s="2" t="str" cm="1">
        <f t="array" ref="AA3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6" s="2" t="str">
        <f>VLOOKUP(Auto_Sales_data___Copy[[#This Row],[Segment Name]],Table3[],2,FALSE)</f>
        <v>VIP Recognitioon &amp; Inclusivity</v>
      </c>
    </row>
    <row r="337" spans="1:28" x14ac:dyDescent="0.25">
      <c r="A337">
        <v>10416</v>
      </c>
      <c r="B337">
        <v>24</v>
      </c>
      <c r="C337">
        <v>181.34</v>
      </c>
      <c r="D337">
        <v>14</v>
      </c>
      <c r="E337">
        <v>4352.16</v>
      </c>
      <c r="F337" s="1">
        <v>43961</v>
      </c>
      <c r="G337" s="2" t="s">
        <v>19</v>
      </c>
      <c r="H337" s="2" t="s">
        <v>607</v>
      </c>
      <c r="I337">
        <v>157</v>
      </c>
      <c r="J337" s="2" t="s">
        <v>608</v>
      </c>
      <c r="K337" s="2" t="s">
        <v>480</v>
      </c>
      <c r="L337" s="2" t="s">
        <v>481</v>
      </c>
      <c r="M337" s="2" t="s">
        <v>482</v>
      </c>
      <c r="N337" s="2" t="s">
        <v>483</v>
      </c>
      <c r="O337" s="2" t="s">
        <v>484</v>
      </c>
      <c r="P337" s="2" t="s">
        <v>269</v>
      </c>
      <c r="Q337" s="2" t="s">
        <v>485</v>
      </c>
      <c r="R337" s="2" t="s">
        <v>486</v>
      </c>
      <c r="S337" s="2" t="s">
        <v>46</v>
      </c>
      <c r="T337">
        <v>573</v>
      </c>
      <c r="U337">
        <f>VLOOKUP(Auto_Sales_data___Copy[[#This Row],[CUSTOMER_NAME]],$AF$2:$AH$90,2,FALSE)</f>
        <v>39</v>
      </c>
      <c r="V337">
        <f>VLOOKUP(Auto_Sales_data___Copy[[#This Row],[CUSTOMER_NAME]],$AF$2:$AH$90,3,FALSE)</f>
        <v>142601.33000000002</v>
      </c>
      <c r="W337" s="2">
        <f>6-MATCH(Auto_Sales_data___Copy[[#This Row],[DAYS_SINCE_LAST_ORDER]],Table2[R-Cutoff],1)</f>
        <v>5</v>
      </c>
      <c r="X337" s="2">
        <f>MATCH(Auto_Sales_data___Copy[[#This Row],[Total_Orders_Per_Customer]],Table2[F-Cutoff],1)</f>
        <v>4</v>
      </c>
      <c r="Y337" s="2">
        <f>MATCH(Auto_Sales_data___Copy[[#This Row],[Total_Sales_Per_Customer]],Table2[M-Cutoff],1)</f>
        <v>4</v>
      </c>
      <c r="Z337" s="2" t="str">
        <f>Auto_Sales_data___Copy[[#This Row],[R-Score(1-5)]]&amp;Auto_Sales_data___Copy[[#This Row],[F-Score(1-5)]]&amp;Auto_Sales_data___Copy[[#This Row],[M-Score(1-5)]]</f>
        <v>544</v>
      </c>
      <c r="AA337" s="2" t="str" cm="1">
        <f t="array" ref="AA3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7" s="2" t="str">
        <f>VLOOKUP(Auto_Sales_data___Copy[[#This Row],[Segment Name]],Table3[],2,FALSE)</f>
        <v>VIP Recognitioon &amp; Inclusivity</v>
      </c>
    </row>
    <row r="338" spans="1:28" x14ac:dyDescent="0.25">
      <c r="A338">
        <v>10416</v>
      </c>
      <c r="B338">
        <v>15</v>
      </c>
      <c r="C338">
        <v>98.84</v>
      </c>
      <c r="D338">
        <v>4</v>
      </c>
      <c r="E338">
        <v>1482.6</v>
      </c>
      <c r="F338" s="1">
        <v>43961</v>
      </c>
      <c r="G338" s="2" t="s">
        <v>19</v>
      </c>
      <c r="H338" s="2" t="s">
        <v>607</v>
      </c>
      <c r="I338">
        <v>84</v>
      </c>
      <c r="J338" s="2" t="s">
        <v>636</v>
      </c>
      <c r="K338" s="2" t="s">
        <v>480</v>
      </c>
      <c r="L338" s="2" t="s">
        <v>481</v>
      </c>
      <c r="M338" s="2" t="s">
        <v>482</v>
      </c>
      <c r="N338" s="2" t="s">
        <v>483</v>
      </c>
      <c r="O338" s="2" t="s">
        <v>484</v>
      </c>
      <c r="P338" s="2" t="s">
        <v>269</v>
      </c>
      <c r="Q338" s="2" t="s">
        <v>485</v>
      </c>
      <c r="R338" s="2" t="s">
        <v>486</v>
      </c>
      <c r="S338" s="2" t="s">
        <v>30</v>
      </c>
      <c r="T338">
        <v>794</v>
      </c>
      <c r="U338">
        <f>VLOOKUP(Auto_Sales_data___Copy[[#This Row],[CUSTOMER_NAME]],$AF$2:$AH$90,2,FALSE)</f>
        <v>39</v>
      </c>
      <c r="V338">
        <f>VLOOKUP(Auto_Sales_data___Copy[[#This Row],[CUSTOMER_NAME]],$AF$2:$AH$90,3,FALSE)</f>
        <v>142601.33000000002</v>
      </c>
      <c r="W338" s="2">
        <f>6-MATCH(Auto_Sales_data___Copy[[#This Row],[DAYS_SINCE_LAST_ORDER]],Table2[R-Cutoff],1)</f>
        <v>5</v>
      </c>
      <c r="X338" s="2">
        <f>MATCH(Auto_Sales_data___Copy[[#This Row],[Total_Orders_Per_Customer]],Table2[F-Cutoff],1)</f>
        <v>4</v>
      </c>
      <c r="Y338" s="2">
        <f>MATCH(Auto_Sales_data___Copy[[#This Row],[Total_Sales_Per_Customer]],Table2[M-Cutoff],1)</f>
        <v>4</v>
      </c>
      <c r="Z338" s="2" t="str">
        <f>Auto_Sales_data___Copy[[#This Row],[R-Score(1-5)]]&amp;Auto_Sales_data___Copy[[#This Row],[F-Score(1-5)]]&amp;Auto_Sales_data___Copy[[#This Row],[M-Score(1-5)]]</f>
        <v>544</v>
      </c>
      <c r="AA338" s="2" t="str" cm="1">
        <f t="array" ref="AA3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8" s="2" t="str">
        <f>VLOOKUP(Auto_Sales_data___Copy[[#This Row],[Segment Name]],Table3[],2,FALSE)</f>
        <v>VIP Recognitioon &amp; Inclusivity</v>
      </c>
    </row>
    <row r="339" spans="1:28" x14ac:dyDescent="0.25">
      <c r="A339">
        <v>10419</v>
      </c>
      <c r="B339">
        <v>12</v>
      </c>
      <c r="C339">
        <v>163.44</v>
      </c>
      <c r="D339">
        <v>13</v>
      </c>
      <c r="E339">
        <v>1961.28</v>
      </c>
      <c r="F339" s="1">
        <v>43968</v>
      </c>
      <c r="G339" s="2" t="s">
        <v>19</v>
      </c>
      <c r="H339" s="2" t="s">
        <v>183</v>
      </c>
      <c r="I339">
        <v>194</v>
      </c>
      <c r="J339" s="2" t="s">
        <v>449</v>
      </c>
      <c r="K339" s="2" t="s">
        <v>143</v>
      </c>
      <c r="L339" s="2" t="s">
        <v>144</v>
      </c>
      <c r="M339" s="2" t="s">
        <v>145</v>
      </c>
      <c r="N339" s="2" t="s">
        <v>146</v>
      </c>
      <c r="O339" s="2" t="s">
        <v>147</v>
      </c>
      <c r="P339" s="2" t="s">
        <v>148</v>
      </c>
      <c r="Q339" s="2" t="s">
        <v>149</v>
      </c>
      <c r="R339" s="2" t="s">
        <v>150</v>
      </c>
      <c r="S339" s="2" t="s">
        <v>30</v>
      </c>
      <c r="T339">
        <v>188</v>
      </c>
      <c r="U339">
        <f>VLOOKUP(Auto_Sales_data___Copy[[#This Row],[CUSTOMER_NAME]],$AF$2:$AH$90,2,FALSE)</f>
        <v>40</v>
      </c>
      <c r="V339">
        <f>VLOOKUP(Auto_Sales_data___Copy[[#This Row],[CUSTOMER_NAME]],$AF$2:$AH$90,3,FALSE)</f>
        <v>149798.63</v>
      </c>
      <c r="W339" s="2">
        <f>6-MATCH(Auto_Sales_data___Copy[[#This Row],[DAYS_SINCE_LAST_ORDER]],Table2[R-Cutoff],1)</f>
        <v>5</v>
      </c>
      <c r="X339" s="2">
        <f>MATCH(Auto_Sales_data___Copy[[#This Row],[Total_Orders_Per_Customer]],Table2[F-Cutoff],1)</f>
        <v>4</v>
      </c>
      <c r="Y339" s="2">
        <f>MATCH(Auto_Sales_data___Copy[[#This Row],[Total_Sales_Per_Customer]],Table2[M-Cutoff],1)</f>
        <v>4</v>
      </c>
      <c r="Z339" s="2" t="str">
        <f>Auto_Sales_data___Copy[[#This Row],[R-Score(1-5)]]&amp;Auto_Sales_data___Copy[[#This Row],[F-Score(1-5)]]&amp;Auto_Sales_data___Copy[[#This Row],[M-Score(1-5)]]</f>
        <v>544</v>
      </c>
      <c r="AA339" s="2" t="str" cm="1">
        <f t="array" ref="AA3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9" s="2" t="str">
        <f>VLOOKUP(Auto_Sales_data___Copy[[#This Row],[Segment Name]],Table3[],2,FALSE)</f>
        <v>VIP Recognitioon &amp; Inclusivity</v>
      </c>
    </row>
    <row r="340" spans="1:28" x14ac:dyDescent="0.25">
      <c r="A340">
        <v>10419</v>
      </c>
      <c r="B340">
        <v>10</v>
      </c>
      <c r="C340">
        <v>109.22</v>
      </c>
      <c r="D340">
        <v>11</v>
      </c>
      <c r="E340">
        <v>1092.2</v>
      </c>
      <c r="F340" s="1">
        <v>43968</v>
      </c>
      <c r="G340" s="2" t="s">
        <v>19</v>
      </c>
      <c r="H340" s="2" t="s">
        <v>183</v>
      </c>
      <c r="I340">
        <v>117</v>
      </c>
      <c r="J340" s="2" t="s">
        <v>546</v>
      </c>
      <c r="K340" s="2" t="s">
        <v>143</v>
      </c>
      <c r="L340" s="2" t="s">
        <v>144</v>
      </c>
      <c r="M340" s="2" t="s">
        <v>145</v>
      </c>
      <c r="N340" s="2" t="s">
        <v>146</v>
      </c>
      <c r="O340" s="2" t="s">
        <v>147</v>
      </c>
      <c r="P340" s="2" t="s">
        <v>148</v>
      </c>
      <c r="Q340" s="2" t="s">
        <v>149</v>
      </c>
      <c r="R340" s="2" t="s">
        <v>150</v>
      </c>
      <c r="S340" s="2" t="s">
        <v>30</v>
      </c>
      <c r="T340">
        <v>313</v>
      </c>
      <c r="U340">
        <f>VLOOKUP(Auto_Sales_data___Copy[[#This Row],[CUSTOMER_NAME]],$AF$2:$AH$90,2,FALSE)</f>
        <v>40</v>
      </c>
      <c r="V340">
        <f>VLOOKUP(Auto_Sales_data___Copy[[#This Row],[CUSTOMER_NAME]],$AF$2:$AH$90,3,FALSE)</f>
        <v>149798.63</v>
      </c>
      <c r="W340" s="2">
        <f>6-MATCH(Auto_Sales_data___Copy[[#This Row],[DAYS_SINCE_LAST_ORDER]],Table2[R-Cutoff],1)</f>
        <v>5</v>
      </c>
      <c r="X340" s="2">
        <f>MATCH(Auto_Sales_data___Copy[[#This Row],[Total_Orders_Per_Customer]],Table2[F-Cutoff],1)</f>
        <v>4</v>
      </c>
      <c r="Y340" s="2">
        <f>MATCH(Auto_Sales_data___Copy[[#This Row],[Total_Sales_Per_Customer]],Table2[M-Cutoff],1)</f>
        <v>4</v>
      </c>
      <c r="Z340" s="2" t="str">
        <f>Auto_Sales_data___Copy[[#This Row],[R-Score(1-5)]]&amp;Auto_Sales_data___Copy[[#This Row],[F-Score(1-5)]]&amp;Auto_Sales_data___Copy[[#This Row],[M-Score(1-5)]]</f>
        <v>544</v>
      </c>
      <c r="AA340" s="2" t="str" cm="1">
        <f t="array" ref="AA3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0" s="2" t="str">
        <f>VLOOKUP(Auto_Sales_data___Copy[[#This Row],[Segment Name]],Table3[],2,FALSE)</f>
        <v>VIP Recognitioon &amp; Inclusivity</v>
      </c>
    </row>
    <row r="341" spans="1:28" x14ac:dyDescent="0.25">
      <c r="A341">
        <v>10419</v>
      </c>
      <c r="B341">
        <v>34</v>
      </c>
      <c r="C341">
        <v>90.17</v>
      </c>
      <c r="D341">
        <v>14</v>
      </c>
      <c r="E341">
        <v>3065.78</v>
      </c>
      <c r="F341" s="1">
        <v>43968</v>
      </c>
      <c r="G341" s="2" t="s">
        <v>19</v>
      </c>
      <c r="H341" s="2" t="s">
        <v>183</v>
      </c>
      <c r="I341">
        <v>79</v>
      </c>
      <c r="J341" s="2" t="s">
        <v>553</v>
      </c>
      <c r="K341" s="2" t="s">
        <v>143</v>
      </c>
      <c r="L341" s="2" t="s">
        <v>144</v>
      </c>
      <c r="M341" s="2" t="s">
        <v>145</v>
      </c>
      <c r="N341" s="2" t="s">
        <v>146</v>
      </c>
      <c r="O341" s="2" t="s">
        <v>147</v>
      </c>
      <c r="P341" s="2" t="s">
        <v>148</v>
      </c>
      <c r="Q341" s="2" t="s">
        <v>149</v>
      </c>
      <c r="R341" s="2" t="s">
        <v>150</v>
      </c>
      <c r="S341" s="2" t="s">
        <v>46</v>
      </c>
      <c r="T341">
        <v>363</v>
      </c>
      <c r="U341">
        <f>VLOOKUP(Auto_Sales_data___Copy[[#This Row],[CUSTOMER_NAME]],$AF$2:$AH$90,2,FALSE)</f>
        <v>40</v>
      </c>
      <c r="V341">
        <f>VLOOKUP(Auto_Sales_data___Copy[[#This Row],[CUSTOMER_NAME]],$AF$2:$AH$90,3,FALSE)</f>
        <v>149798.63</v>
      </c>
      <c r="W341" s="2">
        <f>6-MATCH(Auto_Sales_data___Copy[[#This Row],[DAYS_SINCE_LAST_ORDER]],Table2[R-Cutoff],1)</f>
        <v>5</v>
      </c>
      <c r="X341" s="2">
        <f>MATCH(Auto_Sales_data___Copy[[#This Row],[Total_Orders_Per_Customer]],Table2[F-Cutoff],1)</f>
        <v>4</v>
      </c>
      <c r="Y341" s="2">
        <f>MATCH(Auto_Sales_data___Copy[[#This Row],[Total_Sales_Per_Customer]],Table2[M-Cutoff],1)</f>
        <v>4</v>
      </c>
      <c r="Z341" s="2" t="str">
        <f>Auto_Sales_data___Copy[[#This Row],[R-Score(1-5)]]&amp;Auto_Sales_data___Copy[[#This Row],[F-Score(1-5)]]&amp;Auto_Sales_data___Copy[[#This Row],[M-Score(1-5)]]</f>
        <v>544</v>
      </c>
      <c r="AA341" s="2" t="str" cm="1">
        <f t="array" ref="AA3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1" s="2" t="str">
        <f>VLOOKUP(Auto_Sales_data___Copy[[#This Row],[Segment Name]],Table3[],2,FALSE)</f>
        <v>VIP Recognitioon &amp; Inclusivity</v>
      </c>
    </row>
    <row r="342" spans="1:28" x14ac:dyDescent="0.25">
      <c r="A342">
        <v>10419</v>
      </c>
      <c r="B342">
        <v>32</v>
      </c>
      <c r="C342">
        <v>119.77</v>
      </c>
      <c r="D342">
        <v>10</v>
      </c>
      <c r="E342">
        <v>3832.64</v>
      </c>
      <c r="F342" s="1">
        <v>43968</v>
      </c>
      <c r="G342" s="2" t="s">
        <v>19</v>
      </c>
      <c r="H342" s="2" t="s">
        <v>183</v>
      </c>
      <c r="I342">
        <v>115</v>
      </c>
      <c r="J342" s="2" t="s">
        <v>567</v>
      </c>
      <c r="K342" s="2" t="s">
        <v>143</v>
      </c>
      <c r="L342" s="2" t="s">
        <v>144</v>
      </c>
      <c r="M342" s="2" t="s">
        <v>145</v>
      </c>
      <c r="N342" s="2" t="s">
        <v>146</v>
      </c>
      <c r="O342" s="2" t="s">
        <v>147</v>
      </c>
      <c r="P342" s="2" t="s">
        <v>148</v>
      </c>
      <c r="Q342" s="2" t="s">
        <v>149</v>
      </c>
      <c r="R342" s="2" t="s">
        <v>150</v>
      </c>
      <c r="S342" s="2" t="s">
        <v>46</v>
      </c>
      <c r="T342">
        <v>415</v>
      </c>
      <c r="U342">
        <f>VLOOKUP(Auto_Sales_data___Copy[[#This Row],[CUSTOMER_NAME]],$AF$2:$AH$90,2,FALSE)</f>
        <v>40</v>
      </c>
      <c r="V342">
        <f>VLOOKUP(Auto_Sales_data___Copy[[#This Row],[CUSTOMER_NAME]],$AF$2:$AH$90,3,FALSE)</f>
        <v>149798.63</v>
      </c>
      <c r="W342" s="2">
        <f>6-MATCH(Auto_Sales_data___Copy[[#This Row],[DAYS_SINCE_LAST_ORDER]],Table2[R-Cutoff],1)</f>
        <v>5</v>
      </c>
      <c r="X342" s="2">
        <f>MATCH(Auto_Sales_data___Copy[[#This Row],[Total_Orders_Per_Customer]],Table2[F-Cutoff],1)</f>
        <v>4</v>
      </c>
      <c r="Y342" s="2">
        <f>MATCH(Auto_Sales_data___Copy[[#This Row],[Total_Sales_Per_Customer]],Table2[M-Cutoff],1)</f>
        <v>4</v>
      </c>
      <c r="Z342" s="2" t="str">
        <f>Auto_Sales_data___Copy[[#This Row],[R-Score(1-5)]]&amp;Auto_Sales_data___Copy[[#This Row],[F-Score(1-5)]]&amp;Auto_Sales_data___Copy[[#This Row],[M-Score(1-5)]]</f>
        <v>544</v>
      </c>
      <c r="AA342" s="2" t="str" cm="1">
        <f t="array" ref="AA3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2" s="2" t="str">
        <f>VLOOKUP(Auto_Sales_data___Copy[[#This Row],[Segment Name]],Table3[],2,FALSE)</f>
        <v>VIP Recognitioon &amp; Inclusivity</v>
      </c>
    </row>
    <row r="343" spans="1:28" x14ac:dyDescent="0.25">
      <c r="A343">
        <v>10419</v>
      </c>
      <c r="B343">
        <v>38</v>
      </c>
      <c r="C343">
        <v>117.48</v>
      </c>
      <c r="D343">
        <v>5</v>
      </c>
      <c r="E343">
        <v>4464.24</v>
      </c>
      <c r="F343" s="1">
        <v>43968</v>
      </c>
      <c r="G343" s="2" t="s">
        <v>19</v>
      </c>
      <c r="H343" s="2" t="s">
        <v>183</v>
      </c>
      <c r="I343">
        <v>141</v>
      </c>
      <c r="J343" s="2" t="s">
        <v>576</v>
      </c>
      <c r="K343" s="2" t="s">
        <v>143</v>
      </c>
      <c r="L343" s="2" t="s">
        <v>144</v>
      </c>
      <c r="M343" s="2" t="s">
        <v>145</v>
      </c>
      <c r="N343" s="2" t="s">
        <v>146</v>
      </c>
      <c r="O343" s="2" t="s">
        <v>147</v>
      </c>
      <c r="P343" s="2" t="s">
        <v>148</v>
      </c>
      <c r="Q343" s="2" t="s">
        <v>149</v>
      </c>
      <c r="R343" s="2" t="s">
        <v>150</v>
      </c>
      <c r="S343" s="2" t="s">
        <v>46</v>
      </c>
      <c r="T343">
        <v>468</v>
      </c>
      <c r="U343">
        <f>VLOOKUP(Auto_Sales_data___Copy[[#This Row],[CUSTOMER_NAME]],$AF$2:$AH$90,2,FALSE)</f>
        <v>40</v>
      </c>
      <c r="V343">
        <f>VLOOKUP(Auto_Sales_data___Copy[[#This Row],[CUSTOMER_NAME]],$AF$2:$AH$90,3,FALSE)</f>
        <v>149798.63</v>
      </c>
      <c r="W343" s="2">
        <f>6-MATCH(Auto_Sales_data___Copy[[#This Row],[DAYS_SINCE_LAST_ORDER]],Table2[R-Cutoff],1)</f>
        <v>5</v>
      </c>
      <c r="X343" s="2">
        <f>MATCH(Auto_Sales_data___Copy[[#This Row],[Total_Orders_Per_Customer]],Table2[F-Cutoff],1)</f>
        <v>4</v>
      </c>
      <c r="Y343" s="2">
        <f>MATCH(Auto_Sales_data___Copy[[#This Row],[Total_Sales_Per_Customer]],Table2[M-Cutoff],1)</f>
        <v>4</v>
      </c>
      <c r="Z343" s="2" t="str">
        <f>Auto_Sales_data___Copy[[#This Row],[R-Score(1-5)]]&amp;Auto_Sales_data___Copy[[#This Row],[F-Score(1-5)]]&amp;Auto_Sales_data___Copy[[#This Row],[M-Score(1-5)]]</f>
        <v>544</v>
      </c>
      <c r="AA343" s="2" t="str" cm="1">
        <f t="array" ref="AA3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3" s="2" t="str">
        <f>VLOOKUP(Auto_Sales_data___Copy[[#This Row],[Segment Name]],Table3[],2,FALSE)</f>
        <v>VIP Recognitioon &amp; Inclusivity</v>
      </c>
    </row>
    <row r="344" spans="1:28" x14ac:dyDescent="0.25">
      <c r="A344">
        <v>10419</v>
      </c>
      <c r="B344">
        <v>37</v>
      </c>
      <c r="C344">
        <v>140.62</v>
      </c>
      <c r="D344">
        <v>1</v>
      </c>
      <c r="E344">
        <v>5202.9399999999996</v>
      </c>
      <c r="F344" s="1">
        <v>43968</v>
      </c>
      <c r="G344" s="2" t="s">
        <v>19</v>
      </c>
      <c r="H344" s="2" t="s">
        <v>183</v>
      </c>
      <c r="I344">
        <v>124</v>
      </c>
      <c r="J344" s="2" t="s">
        <v>606</v>
      </c>
      <c r="K344" s="2" t="s">
        <v>143</v>
      </c>
      <c r="L344" s="2" t="s">
        <v>144</v>
      </c>
      <c r="M344" s="2" t="s">
        <v>145</v>
      </c>
      <c r="N344" s="2" t="s">
        <v>146</v>
      </c>
      <c r="O344" s="2" t="s">
        <v>147</v>
      </c>
      <c r="P344" s="2" t="s">
        <v>148</v>
      </c>
      <c r="Q344" s="2" t="s">
        <v>149</v>
      </c>
      <c r="R344" s="2" t="s">
        <v>150</v>
      </c>
      <c r="S344" s="2" t="s">
        <v>46</v>
      </c>
      <c r="T344">
        <v>540</v>
      </c>
      <c r="U344">
        <f>VLOOKUP(Auto_Sales_data___Copy[[#This Row],[CUSTOMER_NAME]],$AF$2:$AH$90,2,FALSE)</f>
        <v>40</v>
      </c>
      <c r="V344">
        <f>VLOOKUP(Auto_Sales_data___Copy[[#This Row],[CUSTOMER_NAME]],$AF$2:$AH$90,3,FALSE)</f>
        <v>149798.63</v>
      </c>
      <c r="W344" s="2">
        <f>6-MATCH(Auto_Sales_data___Copy[[#This Row],[DAYS_SINCE_LAST_ORDER]],Table2[R-Cutoff],1)</f>
        <v>5</v>
      </c>
      <c r="X344" s="2">
        <f>MATCH(Auto_Sales_data___Copy[[#This Row],[Total_Orders_Per_Customer]],Table2[F-Cutoff],1)</f>
        <v>4</v>
      </c>
      <c r="Y344" s="2">
        <f>MATCH(Auto_Sales_data___Copy[[#This Row],[Total_Sales_Per_Customer]],Table2[M-Cutoff],1)</f>
        <v>4</v>
      </c>
      <c r="Z344" s="2" t="str">
        <f>Auto_Sales_data___Copy[[#This Row],[R-Score(1-5)]]&amp;Auto_Sales_data___Copy[[#This Row],[F-Score(1-5)]]&amp;Auto_Sales_data___Copy[[#This Row],[M-Score(1-5)]]</f>
        <v>544</v>
      </c>
      <c r="AA344" s="2" t="str" cm="1">
        <f t="array" ref="AA3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4" s="2" t="str">
        <f>VLOOKUP(Auto_Sales_data___Copy[[#This Row],[Segment Name]],Table3[],2,FALSE)</f>
        <v>VIP Recognitioon &amp; Inclusivity</v>
      </c>
    </row>
    <row r="345" spans="1:28" x14ac:dyDescent="0.25">
      <c r="A345">
        <v>10419</v>
      </c>
      <c r="B345">
        <v>39</v>
      </c>
      <c r="C345">
        <v>83.93</v>
      </c>
      <c r="D345">
        <v>9</v>
      </c>
      <c r="E345">
        <v>3273.27</v>
      </c>
      <c r="F345" s="1">
        <v>43968</v>
      </c>
      <c r="G345" s="2" t="s">
        <v>19</v>
      </c>
      <c r="H345" s="2" t="s">
        <v>183</v>
      </c>
      <c r="I345">
        <v>77</v>
      </c>
      <c r="J345" s="2" t="s">
        <v>629</v>
      </c>
      <c r="K345" s="2" t="s">
        <v>143</v>
      </c>
      <c r="L345" s="2" t="s">
        <v>144</v>
      </c>
      <c r="M345" s="2" t="s">
        <v>145</v>
      </c>
      <c r="N345" s="2" t="s">
        <v>146</v>
      </c>
      <c r="O345" s="2" t="s">
        <v>147</v>
      </c>
      <c r="P345" s="2" t="s">
        <v>148</v>
      </c>
      <c r="Q345" s="2" t="s">
        <v>149</v>
      </c>
      <c r="R345" s="2" t="s">
        <v>150</v>
      </c>
      <c r="S345" s="2" t="s">
        <v>46</v>
      </c>
      <c r="T345">
        <v>612</v>
      </c>
      <c r="U345">
        <f>VLOOKUP(Auto_Sales_data___Copy[[#This Row],[CUSTOMER_NAME]],$AF$2:$AH$90,2,FALSE)</f>
        <v>40</v>
      </c>
      <c r="V345">
        <f>VLOOKUP(Auto_Sales_data___Copy[[#This Row],[CUSTOMER_NAME]],$AF$2:$AH$90,3,FALSE)</f>
        <v>149798.63</v>
      </c>
      <c r="W345" s="2">
        <f>6-MATCH(Auto_Sales_data___Copy[[#This Row],[DAYS_SINCE_LAST_ORDER]],Table2[R-Cutoff],1)</f>
        <v>5</v>
      </c>
      <c r="X345" s="2">
        <f>MATCH(Auto_Sales_data___Copy[[#This Row],[Total_Orders_Per_Customer]],Table2[F-Cutoff],1)</f>
        <v>4</v>
      </c>
      <c r="Y345" s="2">
        <f>MATCH(Auto_Sales_data___Copy[[#This Row],[Total_Sales_Per_Customer]],Table2[M-Cutoff],1)</f>
        <v>4</v>
      </c>
      <c r="Z345" s="2" t="str">
        <f>Auto_Sales_data___Copy[[#This Row],[R-Score(1-5)]]&amp;Auto_Sales_data___Copy[[#This Row],[F-Score(1-5)]]&amp;Auto_Sales_data___Copy[[#This Row],[M-Score(1-5)]]</f>
        <v>544</v>
      </c>
      <c r="AA345" s="2" t="str" cm="1">
        <f t="array" ref="AA3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5" s="2" t="str">
        <f>VLOOKUP(Auto_Sales_data___Copy[[#This Row],[Segment Name]],Table3[],2,FALSE)</f>
        <v>VIP Recognitioon &amp; Inclusivity</v>
      </c>
    </row>
    <row r="346" spans="1:28" x14ac:dyDescent="0.25">
      <c r="A346">
        <v>10419</v>
      </c>
      <c r="B346">
        <v>34</v>
      </c>
      <c r="C346">
        <v>135.13999999999999</v>
      </c>
      <c r="D346">
        <v>4</v>
      </c>
      <c r="E346">
        <v>4594.76</v>
      </c>
      <c r="F346" s="1">
        <v>43968</v>
      </c>
      <c r="G346" s="2" t="s">
        <v>19</v>
      </c>
      <c r="H346" s="2" t="s">
        <v>183</v>
      </c>
      <c r="I346">
        <v>142</v>
      </c>
      <c r="J346" s="2" t="s">
        <v>630</v>
      </c>
      <c r="K346" s="2" t="s">
        <v>143</v>
      </c>
      <c r="L346" s="2" t="s">
        <v>144</v>
      </c>
      <c r="M346" s="2" t="s">
        <v>145</v>
      </c>
      <c r="N346" s="2" t="s">
        <v>146</v>
      </c>
      <c r="O346" s="2" t="s">
        <v>147</v>
      </c>
      <c r="P346" s="2" t="s">
        <v>148</v>
      </c>
      <c r="Q346" s="2" t="s">
        <v>149</v>
      </c>
      <c r="R346" s="2" t="s">
        <v>150</v>
      </c>
      <c r="S346" s="2" t="s">
        <v>46</v>
      </c>
      <c r="T346">
        <v>639</v>
      </c>
      <c r="U346">
        <f>VLOOKUP(Auto_Sales_data___Copy[[#This Row],[CUSTOMER_NAME]],$AF$2:$AH$90,2,FALSE)</f>
        <v>40</v>
      </c>
      <c r="V346">
        <f>VLOOKUP(Auto_Sales_data___Copy[[#This Row],[CUSTOMER_NAME]],$AF$2:$AH$90,3,FALSE)</f>
        <v>149798.63</v>
      </c>
      <c r="W346" s="2">
        <f>6-MATCH(Auto_Sales_data___Copy[[#This Row],[DAYS_SINCE_LAST_ORDER]],Table2[R-Cutoff],1)</f>
        <v>5</v>
      </c>
      <c r="X346" s="2">
        <f>MATCH(Auto_Sales_data___Copy[[#This Row],[Total_Orders_Per_Customer]],Table2[F-Cutoff],1)</f>
        <v>4</v>
      </c>
      <c r="Y346" s="2">
        <f>MATCH(Auto_Sales_data___Copy[[#This Row],[Total_Sales_Per_Customer]],Table2[M-Cutoff],1)</f>
        <v>4</v>
      </c>
      <c r="Z346" s="2" t="str">
        <f>Auto_Sales_data___Copy[[#This Row],[R-Score(1-5)]]&amp;Auto_Sales_data___Copy[[#This Row],[F-Score(1-5)]]&amp;Auto_Sales_data___Copy[[#This Row],[M-Score(1-5)]]</f>
        <v>544</v>
      </c>
      <c r="AA346" s="2" t="str" cm="1">
        <f t="array" ref="AA3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6" s="2" t="str">
        <f>VLOOKUP(Auto_Sales_data___Copy[[#This Row],[Segment Name]],Table3[],2,FALSE)</f>
        <v>VIP Recognitioon &amp; Inclusivity</v>
      </c>
    </row>
    <row r="347" spans="1:28" x14ac:dyDescent="0.25">
      <c r="A347">
        <v>10419</v>
      </c>
      <c r="B347">
        <v>55</v>
      </c>
      <c r="C347">
        <v>139.91999999999999</v>
      </c>
      <c r="D347">
        <v>2</v>
      </c>
      <c r="E347">
        <v>7695.6</v>
      </c>
      <c r="F347" s="1">
        <v>43968</v>
      </c>
      <c r="G347" s="2" t="s">
        <v>19</v>
      </c>
      <c r="H347" s="2" t="s">
        <v>183</v>
      </c>
      <c r="I347">
        <v>132</v>
      </c>
      <c r="J347" s="2" t="s">
        <v>639</v>
      </c>
      <c r="K347" s="2" t="s">
        <v>143</v>
      </c>
      <c r="L347" s="2" t="s">
        <v>144</v>
      </c>
      <c r="M347" s="2" t="s">
        <v>145</v>
      </c>
      <c r="N347" s="2" t="s">
        <v>146</v>
      </c>
      <c r="O347" s="2" t="s">
        <v>147</v>
      </c>
      <c r="P347" s="2" t="s">
        <v>148</v>
      </c>
      <c r="Q347" s="2" t="s">
        <v>149</v>
      </c>
      <c r="R347" s="2" t="s">
        <v>150</v>
      </c>
      <c r="S347" s="2" t="s">
        <v>151</v>
      </c>
      <c r="T347">
        <v>861</v>
      </c>
      <c r="U347">
        <f>VLOOKUP(Auto_Sales_data___Copy[[#This Row],[CUSTOMER_NAME]],$AF$2:$AH$90,2,FALSE)</f>
        <v>40</v>
      </c>
      <c r="V347">
        <f>VLOOKUP(Auto_Sales_data___Copy[[#This Row],[CUSTOMER_NAME]],$AF$2:$AH$90,3,FALSE)</f>
        <v>149798.63</v>
      </c>
      <c r="W347" s="2">
        <f>6-MATCH(Auto_Sales_data___Copy[[#This Row],[DAYS_SINCE_LAST_ORDER]],Table2[R-Cutoff],1)</f>
        <v>5</v>
      </c>
      <c r="X347" s="2">
        <f>MATCH(Auto_Sales_data___Copy[[#This Row],[Total_Orders_Per_Customer]],Table2[F-Cutoff],1)</f>
        <v>4</v>
      </c>
      <c r="Y347" s="2">
        <f>MATCH(Auto_Sales_data___Copy[[#This Row],[Total_Sales_Per_Customer]],Table2[M-Cutoff],1)</f>
        <v>4</v>
      </c>
      <c r="Z347" s="2" t="str">
        <f>Auto_Sales_data___Copy[[#This Row],[R-Score(1-5)]]&amp;Auto_Sales_data___Copy[[#This Row],[F-Score(1-5)]]&amp;Auto_Sales_data___Copy[[#This Row],[M-Score(1-5)]]</f>
        <v>544</v>
      </c>
      <c r="AA347" s="2" t="str" cm="1">
        <f t="array" ref="AA3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7" s="2" t="str">
        <f>VLOOKUP(Auto_Sales_data___Copy[[#This Row],[Segment Name]],Table3[],2,FALSE)</f>
        <v>VIP Recognitioon &amp; Inclusivity</v>
      </c>
    </row>
    <row r="348" spans="1:28" x14ac:dyDescent="0.25">
      <c r="A348">
        <v>10420</v>
      </c>
      <c r="B348">
        <v>37</v>
      </c>
      <c r="C348">
        <v>142.80000000000001</v>
      </c>
      <c r="D348">
        <v>5</v>
      </c>
      <c r="E348">
        <v>5283.6</v>
      </c>
      <c r="F348" s="1">
        <v>43980</v>
      </c>
      <c r="G348" s="2" t="s">
        <v>314</v>
      </c>
      <c r="H348" s="2" t="s">
        <v>589</v>
      </c>
      <c r="I348">
        <v>170</v>
      </c>
      <c r="J348" s="2" t="s">
        <v>628</v>
      </c>
      <c r="K348" s="2" t="s">
        <v>152</v>
      </c>
      <c r="L348" s="2" t="s">
        <v>153</v>
      </c>
      <c r="M348" s="2" t="s">
        <v>154</v>
      </c>
      <c r="N348" s="2" t="s">
        <v>155</v>
      </c>
      <c r="O348" s="2" t="s">
        <v>156</v>
      </c>
      <c r="P348" s="2" t="s">
        <v>87</v>
      </c>
      <c r="Q348" s="2" t="s">
        <v>157</v>
      </c>
      <c r="R348" s="2" t="s">
        <v>158</v>
      </c>
      <c r="S348" s="2" t="s">
        <v>46</v>
      </c>
      <c r="T348">
        <v>575</v>
      </c>
      <c r="U348">
        <f>VLOOKUP(Auto_Sales_data___Copy[[#This Row],[CUSTOMER_NAME]],$AF$2:$AH$90,2,FALSE)</f>
        <v>46</v>
      </c>
      <c r="V348">
        <f>VLOOKUP(Auto_Sales_data___Copy[[#This Row],[CUSTOMER_NAME]],$AF$2:$AH$90,3,FALSE)</f>
        <v>151570.98000000001</v>
      </c>
      <c r="W348" s="2">
        <f>6-MATCH(Auto_Sales_data___Copy[[#This Row],[DAYS_SINCE_LAST_ORDER]],Table2[R-Cutoff],1)</f>
        <v>5</v>
      </c>
      <c r="X348" s="2">
        <f>MATCH(Auto_Sales_data___Copy[[#This Row],[Total_Orders_Per_Customer]],Table2[F-Cutoff],1)</f>
        <v>4</v>
      </c>
      <c r="Y348" s="2">
        <f>MATCH(Auto_Sales_data___Copy[[#This Row],[Total_Sales_Per_Customer]],Table2[M-Cutoff],1)</f>
        <v>4</v>
      </c>
      <c r="Z348" s="2" t="str">
        <f>Auto_Sales_data___Copy[[#This Row],[R-Score(1-5)]]&amp;Auto_Sales_data___Copy[[#This Row],[F-Score(1-5)]]&amp;Auto_Sales_data___Copy[[#This Row],[M-Score(1-5)]]</f>
        <v>544</v>
      </c>
      <c r="AA348" s="2" t="str" cm="1">
        <f t="array" ref="AA3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8" s="2" t="str">
        <f>VLOOKUP(Auto_Sales_data___Copy[[#This Row],[Segment Name]],Table3[],2,FALSE)</f>
        <v>VIP Recognitioon &amp; Inclusivity</v>
      </c>
    </row>
    <row r="349" spans="1:28" x14ac:dyDescent="0.25">
      <c r="A349">
        <v>10420</v>
      </c>
      <c r="B349">
        <v>36</v>
      </c>
      <c r="C349">
        <v>63.57</v>
      </c>
      <c r="D349">
        <v>4</v>
      </c>
      <c r="E349">
        <v>2288.52</v>
      </c>
      <c r="F349" s="1">
        <v>43980</v>
      </c>
      <c r="G349" s="2" t="s">
        <v>314</v>
      </c>
      <c r="H349" s="2" t="s">
        <v>589</v>
      </c>
      <c r="I349">
        <v>60</v>
      </c>
      <c r="J349" s="2" t="s">
        <v>632</v>
      </c>
      <c r="K349" s="2" t="s">
        <v>152</v>
      </c>
      <c r="L349" s="2" t="s">
        <v>153</v>
      </c>
      <c r="M349" s="2" t="s">
        <v>154</v>
      </c>
      <c r="N349" s="2" t="s">
        <v>155</v>
      </c>
      <c r="O349" s="2" t="s">
        <v>156</v>
      </c>
      <c r="P349" s="2" t="s">
        <v>87</v>
      </c>
      <c r="Q349" s="2" t="s">
        <v>157</v>
      </c>
      <c r="R349" s="2" t="s">
        <v>158</v>
      </c>
      <c r="S349" s="2" t="s">
        <v>30</v>
      </c>
      <c r="T349">
        <v>675</v>
      </c>
      <c r="U349">
        <f>VLOOKUP(Auto_Sales_data___Copy[[#This Row],[CUSTOMER_NAME]],$AF$2:$AH$90,2,FALSE)</f>
        <v>46</v>
      </c>
      <c r="V349">
        <f>VLOOKUP(Auto_Sales_data___Copy[[#This Row],[CUSTOMER_NAME]],$AF$2:$AH$90,3,FALSE)</f>
        <v>151570.98000000001</v>
      </c>
      <c r="W349" s="2">
        <f>6-MATCH(Auto_Sales_data___Copy[[#This Row],[DAYS_SINCE_LAST_ORDER]],Table2[R-Cutoff],1)</f>
        <v>5</v>
      </c>
      <c r="X349" s="2">
        <f>MATCH(Auto_Sales_data___Copy[[#This Row],[Total_Orders_Per_Customer]],Table2[F-Cutoff],1)</f>
        <v>4</v>
      </c>
      <c r="Y349" s="2">
        <f>MATCH(Auto_Sales_data___Copy[[#This Row],[Total_Sales_Per_Customer]],Table2[M-Cutoff],1)</f>
        <v>4</v>
      </c>
      <c r="Z349" s="2" t="str">
        <f>Auto_Sales_data___Copy[[#This Row],[R-Score(1-5)]]&amp;Auto_Sales_data___Copy[[#This Row],[F-Score(1-5)]]&amp;Auto_Sales_data___Copy[[#This Row],[M-Score(1-5)]]</f>
        <v>544</v>
      </c>
      <c r="AA349" s="2" t="str" cm="1">
        <f t="array" ref="AA3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9" s="2" t="str">
        <f>VLOOKUP(Auto_Sales_data___Copy[[#This Row],[Segment Name]],Table3[],2,FALSE)</f>
        <v>VIP Recognitioon &amp; Inclusivity</v>
      </c>
    </row>
    <row r="350" spans="1:28" x14ac:dyDescent="0.25">
      <c r="A350">
        <v>10420</v>
      </c>
      <c r="B350">
        <v>45</v>
      </c>
      <c r="C350">
        <v>110.6</v>
      </c>
      <c r="D350">
        <v>2</v>
      </c>
      <c r="E350">
        <v>4977</v>
      </c>
      <c r="F350" s="1">
        <v>43980</v>
      </c>
      <c r="G350" s="2" t="s">
        <v>314</v>
      </c>
      <c r="H350" s="2" t="s">
        <v>589</v>
      </c>
      <c r="I350">
        <v>127</v>
      </c>
      <c r="J350" s="2" t="s">
        <v>634</v>
      </c>
      <c r="K350" s="2" t="s">
        <v>152</v>
      </c>
      <c r="L350" s="2" t="s">
        <v>153</v>
      </c>
      <c r="M350" s="2" t="s">
        <v>154</v>
      </c>
      <c r="N350" s="2" t="s">
        <v>155</v>
      </c>
      <c r="O350" s="2" t="s">
        <v>156</v>
      </c>
      <c r="P350" s="2" t="s">
        <v>87</v>
      </c>
      <c r="Q350" s="2" t="s">
        <v>157</v>
      </c>
      <c r="R350" s="2" t="s">
        <v>158</v>
      </c>
      <c r="S350" s="2" t="s">
        <v>46</v>
      </c>
      <c r="T350">
        <v>725</v>
      </c>
      <c r="U350">
        <f>VLOOKUP(Auto_Sales_data___Copy[[#This Row],[CUSTOMER_NAME]],$AF$2:$AH$90,2,FALSE)</f>
        <v>46</v>
      </c>
      <c r="V350">
        <f>VLOOKUP(Auto_Sales_data___Copy[[#This Row],[CUSTOMER_NAME]],$AF$2:$AH$90,3,FALSE)</f>
        <v>151570.98000000001</v>
      </c>
      <c r="W350" s="2">
        <f>6-MATCH(Auto_Sales_data___Copy[[#This Row],[DAYS_SINCE_LAST_ORDER]],Table2[R-Cutoff],1)</f>
        <v>5</v>
      </c>
      <c r="X350" s="2">
        <f>MATCH(Auto_Sales_data___Copy[[#This Row],[Total_Orders_Per_Customer]],Table2[F-Cutoff],1)</f>
        <v>4</v>
      </c>
      <c r="Y350" s="2">
        <f>MATCH(Auto_Sales_data___Copy[[#This Row],[Total_Sales_Per_Customer]],Table2[M-Cutoff],1)</f>
        <v>4</v>
      </c>
      <c r="Z350" s="2" t="str">
        <f>Auto_Sales_data___Copy[[#This Row],[R-Score(1-5)]]&amp;Auto_Sales_data___Copy[[#This Row],[F-Score(1-5)]]&amp;Auto_Sales_data___Copy[[#This Row],[M-Score(1-5)]]</f>
        <v>544</v>
      </c>
      <c r="AA350" s="2" t="str" cm="1">
        <f t="array" ref="AA3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0" s="2" t="str">
        <f>VLOOKUP(Auto_Sales_data___Copy[[#This Row],[Segment Name]],Table3[],2,FALSE)</f>
        <v>VIP Recognitioon &amp; Inclusivity</v>
      </c>
    </row>
    <row r="351" spans="1:28" x14ac:dyDescent="0.25">
      <c r="A351">
        <v>10421</v>
      </c>
      <c r="B351">
        <v>35</v>
      </c>
      <c r="C351">
        <v>155.25</v>
      </c>
      <c r="D351">
        <v>1</v>
      </c>
      <c r="E351">
        <v>5433.75</v>
      </c>
      <c r="F351" s="1">
        <v>43980</v>
      </c>
      <c r="G351" s="2" t="s">
        <v>314</v>
      </c>
      <c r="H351" s="2" t="s">
        <v>589</v>
      </c>
      <c r="I351">
        <v>168</v>
      </c>
      <c r="J351" s="2" t="s">
        <v>638</v>
      </c>
      <c r="K351" s="2" t="s">
        <v>284</v>
      </c>
      <c r="L351" s="2" t="s">
        <v>285</v>
      </c>
      <c r="M351" s="2" t="s">
        <v>286</v>
      </c>
      <c r="N351" s="2" t="s">
        <v>287</v>
      </c>
      <c r="O351" s="2" t="s">
        <v>106</v>
      </c>
      <c r="P351" s="2" t="s">
        <v>27</v>
      </c>
      <c r="Q351" s="2" t="s">
        <v>288</v>
      </c>
      <c r="R351" s="2" t="s">
        <v>289</v>
      </c>
      <c r="S351" s="2" t="s">
        <v>46</v>
      </c>
      <c r="T351">
        <v>824</v>
      </c>
      <c r="U351">
        <f>VLOOKUP(Auto_Sales_data___Copy[[#This Row],[CUSTOMER_NAME]],$AF$2:$AH$90,2,FALSE)</f>
        <v>180</v>
      </c>
      <c r="V351">
        <f>VLOOKUP(Auto_Sales_data___Copy[[#This Row],[CUSTOMER_NAME]],$AF$2:$AH$90,3,FALSE)</f>
        <v>654858.06000000017</v>
      </c>
      <c r="W351" s="2">
        <f>6-MATCH(Auto_Sales_data___Copy[[#This Row],[DAYS_SINCE_LAST_ORDER]],Table2[R-Cutoff],1)</f>
        <v>5</v>
      </c>
      <c r="X351" s="2">
        <f>MATCH(Auto_Sales_data___Copy[[#This Row],[Total_Orders_Per_Customer]],Table2[F-Cutoff],1)</f>
        <v>4</v>
      </c>
      <c r="Y351" s="2">
        <f>MATCH(Auto_Sales_data___Copy[[#This Row],[Total_Sales_Per_Customer]],Table2[M-Cutoff],1)</f>
        <v>4</v>
      </c>
      <c r="Z351" s="2" t="str">
        <f>Auto_Sales_data___Copy[[#This Row],[R-Score(1-5)]]&amp;Auto_Sales_data___Copy[[#This Row],[F-Score(1-5)]]&amp;Auto_Sales_data___Copy[[#This Row],[M-Score(1-5)]]</f>
        <v>544</v>
      </c>
      <c r="AA351" s="2" t="str" cm="1">
        <f t="array" ref="AA3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1" s="2" t="str">
        <f>VLOOKUP(Auto_Sales_data___Copy[[#This Row],[Segment Name]],Table3[],2,FALSE)</f>
        <v>VIP Recognitioon &amp; Inclusivity</v>
      </c>
    </row>
    <row r="352" spans="1:28" x14ac:dyDescent="0.25">
      <c r="A352">
        <v>10422</v>
      </c>
      <c r="B352">
        <v>51</v>
      </c>
      <c r="C352">
        <v>95.55</v>
      </c>
      <c r="D352">
        <v>2</v>
      </c>
      <c r="E352">
        <v>4873.05</v>
      </c>
      <c r="F352" s="1">
        <v>43981</v>
      </c>
      <c r="G352" s="2" t="s">
        <v>314</v>
      </c>
      <c r="H352" s="2" t="s">
        <v>589</v>
      </c>
      <c r="I352">
        <v>102</v>
      </c>
      <c r="J352" s="2" t="s">
        <v>590</v>
      </c>
      <c r="K352" s="2" t="s">
        <v>137</v>
      </c>
      <c r="L352" s="2" t="s">
        <v>138</v>
      </c>
      <c r="M352" s="2" t="s">
        <v>139</v>
      </c>
      <c r="N352" s="2" t="s">
        <v>140</v>
      </c>
      <c r="O352" s="2" t="s">
        <v>141</v>
      </c>
      <c r="P352" s="2" t="s">
        <v>27</v>
      </c>
      <c r="Q352" s="2" t="s">
        <v>28</v>
      </c>
      <c r="R352" s="2" t="s">
        <v>142</v>
      </c>
      <c r="S352" s="2" t="s">
        <v>46</v>
      </c>
      <c r="T352">
        <v>479</v>
      </c>
      <c r="U352">
        <f>VLOOKUP(Auto_Sales_data___Copy[[#This Row],[CUSTOMER_NAME]],$AF$2:$AH$90,2,FALSE)</f>
        <v>31</v>
      </c>
      <c r="V352">
        <f>VLOOKUP(Auto_Sales_data___Copy[[#This Row],[CUSTOMER_NAME]],$AF$2:$AH$90,3,FALSE)</f>
        <v>122138.14</v>
      </c>
      <c r="W352" s="2">
        <f>6-MATCH(Auto_Sales_data___Copy[[#This Row],[DAYS_SINCE_LAST_ORDER]],Table2[R-Cutoff],1)</f>
        <v>5</v>
      </c>
      <c r="X352" s="2">
        <f>MATCH(Auto_Sales_data___Copy[[#This Row],[Total_Orders_Per_Customer]],Table2[F-Cutoff],1)</f>
        <v>4</v>
      </c>
      <c r="Y352" s="2">
        <f>MATCH(Auto_Sales_data___Copy[[#This Row],[Total_Sales_Per_Customer]],Table2[M-Cutoff],1)</f>
        <v>4</v>
      </c>
      <c r="Z352" s="2" t="str">
        <f>Auto_Sales_data___Copy[[#This Row],[R-Score(1-5)]]&amp;Auto_Sales_data___Copy[[#This Row],[F-Score(1-5)]]&amp;Auto_Sales_data___Copy[[#This Row],[M-Score(1-5)]]</f>
        <v>544</v>
      </c>
      <c r="AA352" s="2" t="str" cm="1">
        <f t="array" ref="AA3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2" s="2" t="str">
        <f>VLOOKUP(Auto_Sales_data___Copy[[#This Row],[Segment Name]],Table3[],2,FALSE)</f>
        <v>VIP Recognitioon &amp; Inclusivity</v>
      </c>
    </row>
    <row r="353" spans="1:28" x14ac:dyDescent="0.25">
      <c r="A353">
        <v>10422</v>
      </c>
      <c r="B353">
        <v>25</v>
      </c>
      <c r="C353">
        <v>51.75</v>
      </c>
      <c r="D353">
        <v>1</v>
      </c>
      <c r="E353">
        <v>1293.75</v>
      </c>
      <c r="F353" s="1">
        <v>43981</v>
      </c>
      <c r="G353" s="2" t="s">
        <v>314</v>
      </c>
      <c r="H353" s="2" t="s">
        <v>589</v>
      </c>
      <c r="I353">
        <v>53</v>
      </c>
      <c r="J353" s="2" t="s">
        <v>605</v>
      </c>
      <c r="K353" s="2" t="s">
        <v>137</v>
      </c>
      <c r="L353" s="2" t="s">
        <v>138</v>
      </c>
      <c r="M353" s="2" t="s">
        <v>139</v>
      </c>
      <c r="N353" s="2" t="s">
        <v>140</v>
      </c>
      <c r="O353" s="2" t="s">
        <v>141</v>
      </c>
      <c r="P353" s="2" t="s">
        <v>27</v>
      </c>
      <c r="Q353" s="2" t="s">
        <v>28</v>
      </c>
      <c r="R353" s="2" t="s">
        <v>142</v>
      </c>
      <c r="S353" s="2" t="s">
        <v>30</v>
      </c>
      <c r="T353">
        <v>502</v>
      </c>
      <c r="U353">
        <f>VLOOKUP(Auto_Sales_data___Copy[[#This Row],[CUSTOMER_NAME]],$AF$2:$AH$90,2,FALSE)</f>
        <v>31</v>
      </c>
      <c r="V353">
        <f>VLOOKUP(Auto_Sales_data___Copy[[#This Row],[CUSTOMER_NAME]],$AF$2:$AH$90,3,FALSE)</f>
        <v>122138.14</v>
      </c>
      <c r="W353" s="2">
        <f>6-MATCH(Auto_Sales_data___Copy[[#This Row],[DAYS_SINCE_LAST_ORDER]],Table2[R-Cutoff],1)</f>
        <v>5</v>
      </c>
      <c r="X353" s="2">
        <f>MATCH(Auto_Sales_data___Copy[[#This Row],[Total_Orders_Per_Customer]],Table2[F-Cutoff],1)</f>
        <v>4</v>
      </c>
      <c r="Y353" s="2">
        <f>MATCH(Auto_Sales_data___Copy[[#This Row],[Total_Sales_Per_Customer]],Table2[M-Cutoff],1)</f>
        <v>4</v>
      </c>
      <c r="Z353" s="2" t="str">
        <f>Auto_Sales_data___Copy[[#This Row],[R-Score(1-5)]]&amp;Auto_Sales_data___Copy[[#This Row],[F-Score(1-5)]]&amp;Auto_Sales_data___Copy[[#This Row],[M-Score(1-5)]]</f>
        <v>544</v>
      </c>
      <c r="AA353" s="2" t="str" cm="1">
        <f t="array" ref="AA3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3" s="2" t="str">
        <f>VLOOKUP(Auto_Sales_data___Copy[[#This Row],[Segment Name]],Table3[],2,FALSE)</f>
        <v>VIP Recognitioon &amp; Inclusivity</v>
      </c>
    </row>
    <row r="354" spans="1:28" x14ac:dyDescent="0.25">
      <c r="A354">
        <v>10425</v>
      </c>
      <c r="B354">
        <v>38</v>
      </c>
      <c r="C354">
        <v>155.13</v>
      </c>
      <c r="D354">
        <v>12</v>
      </c>
      <c r="E354">
        <v>5894.94</v>
      </c>
      <c r="F354" s="1">
        <v>43982</v>
      </c>
      <c r="G354" s="2" t="s">
        <v>314</v>
      </c>
      <c r="H354" s="2" t="s">
        <v>183</v>
      </c>
      <c r="I354">
        <v>147</v>
      </c>
      <c r="J354" s="2" t="s">
        <v>424</v>
      </c>
      <c r="K354" s="2" t="s">
        <v>108</v>
      </c>
      <c r="L354" s="2" t="s">
        <v>109</v>
      </c>
      <c r="M354" s="2" t="s">
        <v>110</v>
      </c>
      <c r="N354" s="2" t="s">
        <v>111</v>
      </c>
      <c r="O354" s="2" t="s">
        <v>112</v>
      </c>
      <c r="P354" s="2" t="s">
        <v>36</v>
      </c>
      <c r="Q354" s="2" t="s">
        <v>113</v>
      </c>
      <c r="R354" s="2" t="s">
        <v>114</v>
      </c>
      <c r="S354" s="2" t="s">
        <v>46</v>
      </c>
      <c r="T354">
        <v>150</v>
      </c>
      <c r="U354">
        <f>VLOOKUP(Auto_Sales_data___Copy[[#This Row],[CUSTOMER_NAME]],$AF$2:$AH$90,2,FALSE)</f>
        <v>53</v>
      </c>
      <c r="V354">
        <f>VLOOKUP(Auto_Sales_data___Copy[[#This Row],[CUSTOMER_NAME]],$AF$2:$AH$90,3,FALSE)</f>
        <v>180124.90000000008</v>
      </c>
      <c r="W354" s="2">
        <f>6-MATCH(Auto_Sales_data___Copy[[#This Row],[DAYS_SINCE_LAST_ORDER]],Table2[R-Cutoff],1)</f>
        <v>5</v>
      </c>
      <c r="X354" s="2">
        <f>MATCH(Auto_Sales_data___Copy[[#This Row],[Total_Orders_Per_Customer]],Table2[F-Cutoff],1)</f>
        <v>4</v>
      </c>
      <c r="Y354" s="2">
        <f>MATCH(Auto_Sales_data___Copy[[#This Row],[Total_Sales_Per_Customer]],Table2[M-Cutoff],1)</f>
        <v>4</v>
      </c>
      <c r="Z354" s="2" t="str">
        <f>Auto_Sales_data___Copy[[#This Row],[R-Score(1-5)]]&amp;Auto_Sales_data___Copy[[#This Row],[F-Score(1-5)]]&amp;Auto_Sales_data___Copy[[#This Row],[M-Score(1-5)]]</f>
        <v>544</v>
      </c>
      <c r="AA354" s="2" t="str" cm="1">
        <f t="array" ref="AA3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4" s="2" t="str">
        <f>VLOOKUP(Auto_Sales_data___Copy[[#This Row],[Segment Name]],Table3[],2,FALSE)</f>
        <v>VIP Recognitioon &amp; Inclusivity</v>
      </c>
    </row>
    <row r="355" spans="1:28" x14ac:dyDescent="0.25">
      <c r="A355">
        <v>10425</v>
      </c>
      <c r="B355">
        <v>33</v>
      </c>
      <c r="C355">
        <v>142.19999999999999</v>
      </c>
      <c r="D355">
        <v>4</v>
      </c>
      <c r="E355">
        <v>4692.6000000000004</v>
      </c>
      <c r="F355" s="1">
        <v>43982</v>
      </c>
      <c r="G355" s="2" t="s">
        <v>314</v>
      </c>
      <c r="H355" s="2" t="s">
        <v>537</v>
      </c>
      <c r="I355">
        <v>118</v>
      </c>
      <c r="J355" s="2" t="s">
        <v>554</v>
      </c>
      <c r="K355" s="2" t="s">
        <v>108</v>
      </c>
      <c r="L355" s="2" t="s">
        <v>109</v>
      </c>
      <c r="M355" s="2" t="s">
        <v>110</v>
      </c>
      <c r="N355" s="2" t="s">
        <v>111</v>
      </c>
      <c r="O355" s="2" t="s">
        <v>112</v>
      </c>
      <c r="P355" s="2" t="s">
        <v>36</v>
      </c>
      <c r="Q355" s="2" t="s">
        <v>113</v>
      </c>
      <c r="R355" s="2" t="s">
        <v>114</v>
      </c>
      <c r="S355" s="2" t="s">
        <v>46</v>
      </c>
      <c r="T355">
        <v>376</v>
      </c>
      <c r="U355">
        <f>VLOOKUP(Auto_Sales_data___Copy[[#This Row],[CUSTOMER_NAME]],$AF$2:$AH$90,2,FALSE)</f>
        <v>53</v>
      </c>
      <c r="V355">
        <f>VLOOKUP(Auto_Sales_data___Copy[[#This Row],[CUSTOMER_NAME]],$AF$2:$AH$90,3,FALSE)</f>
        <v>180124.90000000008</v>
      </c>
      <c r="W355" s="2">
        <f>6-MATCH(Auto_Sales_data___Copy[[#This Row],[DAYS_SINCE_LAST_ORDER]],Table2[R-Cutoff],1)</f>
        <v>5</v>
      </c>
      <c r="X355" s="2">
        <f>MATCH(Auto_Sales_data___Copy[[#This Row],[Total_Orders_Per_Customer]],Table2[F-Cutoff],1)</f>
        <v>4</v>
      </c>
      <c r="Y355" s="2">
        <f>MATCH(Auto_Sales_data___Copy[[#This Row],[Total_Sales_Per_Customer]],Table2[M-Cutoff],1)</f>
        <v>4</v>
      </c>
      <c r="Z355" s="2" t="str">
        <f>Auto_Sales_data___Copy[[#This Row],[R-Score(1-5)]]&amp;Auto_Sales_data___Copy[[#This Row],[F-Score(1-5)]]&amp;Auto_Sales_data___Copy[[#This Row],[M-Score(1-5)]]</f>
        <v>544</v>
      </c>
      <c r="AA355" s="2" t="str" cm="1">
        <f t="array" ref="AA3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5" s="2" t="str">
        <f>VLOOKUP(Auto_Sales_data___Copy[[#This Row],[Segment Name]],Table3[],2,FALSE)</f>
        <v>VIP Recognitioon &amp; Inclusivity</v>
      </c>
    </row>
    <row r="356" spans="1:28" x14ac:dyDescent="0.25">
      <c r="A356">
        <v>10425</v>
      </c>
      <c r="B356">
        <v>28</v>
      </c>
      <c r="C356">
        <v>189.93</v>
      </c>
      <c r="D356">
        <v>3</v>
      </c>
      <c r="E356">
        <v>5318.04</v>
      </c>
      <c r="F356" s="1">
        <v>43982</v>
      </c>
      <c r="G356" s="2" t="s">
        <v>314</v>
      </c>
      <c r="H356" s="2" t="s">
        <v>183</v>
      </c>
      <c r="I356">
        <v>163</v>
      </c>
      <c r="J356" s="2" t="s">
        <v>631</v>
      </c>
      <c r="K356" s="2" t="s">
        <v>108</v>
      </c>
      <c r="L356" s="2" t="s">
        <v>109</v>
      </c>
      <c r="M356" s="2" t="s">
        <v>110</v>
      </c>
      <c r="N356" s="2" t="s">
        <v>111</v>
      </c>
      <c r="O356" s="2" t="s">
        <v>112</v>
      </c>
      <c r="P356" s="2" t="s">
        <v>36</v>
      </c>
      <c r="Q356" s="2" t="s">
        <v>113</v>
      </c>
      <c r="R356" s="2" t="s">
        <v>114</v>
      </c>
      <c r="S356" s="2" t="s">
        <v>46</v>
      </c>
      <c r="T356">
        <v>652</v>
      </c>
      <c r="U356">
        <f>VLOOKUP(Auto_Sales_data___Copy[[#This Row],[CUSTOMER_NAME]],$AF$2:$AH$90,2,FALSE)</f>
        <v>53</v>
      </c>
      <c r="V356">
        <f>VLOOKUP(Auto_Sales_data___Copy[[#This Row],[CUSTOMER_NAME]],$AF$2:$AH$90,3,FALSE)</f>
        <v>180124.90000000008</v>
      </c>
      <c r="W356" s="2">
        <f>6-MATCH(Auto_Sales_data___Copy[[#This Row],[DAYS_SINCE_LAST_ORDER]],Table2[R-Cutoff],1)</f>
        <v>5</v>
      </c>
      <c r="X356" s="2">
        <f>MATCH(Auto_Sales_data___Copy[[#This Row],[Total_Orders_Per_Customer]],Table2[F-Cutoff],1)</f>
        <v>4</v>
      </c>
      <c r="Y356" s="2">
        <f>MATCH(Auto_Sales_data___Copy[[#This Row],[Total_Sales_Per_Customer]],Table2[M-Cutoff],1)</f>
        <v>4</v>
      </c>
      <c r="Z356" s="2" t="str">
        <f>Auto_Sales_data___Copy[[#This Row],[R-Score(1-5)]]&amp;Auto_Sales_data___Copy[[#This Row],[F-Score(1-5)]]&amp;Auto_Sales_data___Copy[[#This Row],[M-Score(1-5)]]</f>
        <v>544</v>
      </c>
      <c r="AA356" s="2" t="str" cm="1">
        <f t="array" ref="AA3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6" s="2" t="str">
        <f>VLOOKUP(Auto_Sales_data___Copy[[#This Row],[Segment Name]],Table3[],2,FALSE)</f>
        <v>VIP Recognitioon &amp; Inclusivity</v>
      </c>
    </row>
    <row r="357" spans="1:28" x14ac:dyDescent="0.25">
      <c r="A357">
        <v>10425</v>
      </c>
      <c r="B357">
        <v>38</v>
      </c>
      <c r="C357">
        <v>99.41</v>
      </c>
      <c r="D357">
        <v>7</v>
      </c>
      <c r="E357">
        <v>3777.58</v>
      </c>
      <c r="F357" s="1">
        <v>43982</v>
      </c>
      <c r="G357" s="2" t="s">
        <v>314</v>
      </c>
      <c r="H357" s="2" t="s">
        <v>537</v>
      </c>
      <c r="I357">
        <v>122</v>
      </c>
      <c r="J357" s="2" t="s">
        <v>633</v>
      </c>
      <c r="K357" s="2" t="s">
        <v>108</v>
      </c>
      <c r="L357" s="2" t="s">
        <v>109</v>
      </c>
      <c r="M357" s="2" t="s">
        <v>110</v>
      </c>
      <c r="N357" s="2" t="s">
        <v>111</v>
      </c>
      <c r="O357" s="2" t="s">
        <v>112</v>
      </c>
      <c r="P357" s="2" t="s">
        <v>36</v>
      </c>
      <c r="Q357" s="2" t="s">
        <v>113</v>
      </c>
      <c r="R357" s="2" t="s">
        <v>114</v>
      </c>
      <c r="S357" s="2" t="s">
        <v>46</v>
      </c>
      <c r="T357">
        <v>699</v>
      </c>
      <c r="U357">
        <f>VLOOKUP(Auto_Sales_data___Copy[[#This Row],[CUSTOMER_NAME]],$AF$2:$AH$90,2,FALSE)</f>
        <v>53</v>
      </c>
      <c r="V357">
        <f>VLOOKUP(Auto_Sales_data___Copy[[#This Row],[CUSTOMER_NAME]],$AF$2:$AH$90,3,FALSE)</f>
        <v>180124.90000000008</v>
      </c>
      <c r="W357" s="2">
        <f>6-MATCH(Auto_Sales_data___Copy[[#This Row],[DAYS_SINCE_LAST_ORDER]],Table2[R-Cutoff],1)</f>
        <v>5</v>
      </c>
      <c r="X357" s="2">
        <f>MATCH(Auto_Sales_data___Copy[[#This Row],[Total_Orders_Per_Customer]],Table2[F-Cutoff],1)</f>
        <v>4</v>
      </c>
      <c r="Y357" s="2">
        <f>MATCH(Auto_Sales_data___Copy[[#This Row],[Total_Sales_Per_Customer]],Table2[M-Cutoff],1)</f>
        <v>4</v>
      </c>
      <c r="Z357" s="2" t="str">
        <f>Auto_Sales_data___Copy[[#This Row],[R-Score(1-5)]]&amp;Auto_Sales_data___Copy[[#This Row],[F-Score(1-5)]]&amp;Auto_Sales_data___Copy[[#This Row],[M-Score(1-5)]]</f>
        <v>544</v>
      </c>
      <c r="AA357" s="2" t="str" cm="1">
        <f t="array" ref="AA3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7" s="2" t="str">
        <f>VLOOKUP(Auto_Sales_data___Copy[[#This Row],[Segment Name]],Table3[],2,FALSE)</f>
        <v>VIP Recognitioon &amp; Inclusivity</v>
      </c>
    </row>
    <row r="358" spans="1:28" x14ac:dyDescent="0.25">
      <c r="A358">
        <v>10425</v>
      </c>
      <c r="B358">
        <v>19</v>
      </c>
      <c r="C358">
        <v>49.22</v>
      </c>
      <c r="D358">
        <v>10</v>
      </c>
      <c r="E358">
        <v>935.18</v>
      </c>
      <c r="F358" s="1">
        <v>43982</v>
      </c>
      <c r="G358" s="2" t="s">
        <v>314</v>
      </c>
      <c r="H358" s="2" t="s">
        <v>537</v>
      </c>
      <c r="I358">
        <v>60</v>
      </c>
      <c r="J358" s="2" t="s">
        <v>635</v>
      </c>
      <c r="K358" s="2" t="s">
        <v>108</v>
      </c>
      <c r="L358" s="2" t="s">
        <v>109</v>
      </c>
      <c r="M358" s="2" t="s">
        <v>110</v>
      </c>
      <c r="N358" s="2" t="s">
        <v>111</v>
      </c>
      <c r="O358" s="2" t="s">
        <v>112</v>
      </c>
      <c r="P358" s="2" t="s">
        <v>36</v>
      </c>
      <c r="Q358" s="2" t="s">
        <v>113</v>
      </c>
      <c r="R358" s="2" t="s">
        <v>114</v>
      </c>
      <c r="S358" s="2" t="s">
        <v>30</v>
      </c>
      <c r="T358">
        <v>750</v>
      </c>
      <c r="U358">
        <f>VLOOKUP(Auto_Sales_data___Copy[[#This Row],[CUSTOMER_NAME]],$AF$2:$AH$90,2,FALSE)</f>
        <v>53</v>
      </c>
      <c r="V358">
        <f>VLOOKUP(Auto_Sales_data___Copy[[#This Row],[CUSTOMER_NAME]],$AF$2:$AH$90,3,FALSE)</f>
        <v>180124.90000000008</v>
      </c>
      <c r="W358" s="2">
        <f>6-MATCH(Auto_Sales_data___Copy[[#This Row],[DAYS_SINCE_LAST_ORDER]],Table2[R-Cutoff],1)</f>
        <v>5</v>
      </c>
      <c r="X358" s="2">
        <f>MATCH(Auto_Sales_data___Copy[[#This Row],[Total_Orders_Per_Customer]],Table2[F-Cutoff],1)</f>
        <v>4</v>
      </c>
      <c r="Y358" s="2">
        <f>MATCH(Auto_Sales_data___Copy[[#This Row],[Total_Sales_Per_Customer]],Table2[M-Cutoff],1)</f>
        <v>4</v>
      </c>
      <c r="Z358" s="2" t="str">
        <f>Auto_Sales_data___Copy[[#This Row],[R-Score(1-5)]]&amp;Auto_Sales_data___Copy[[#This Row],[F-Score(1-5)]]&amp;Auto_Sales_data___Copy[[#This Row],[M-Score(1-5)]]</f>
        <v>544</v>
      </c>
      <c r="AA358" s="2" t="str" cm="1">
        <f t="array" ref="AA3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8" s="2" t="str">
        <f>VLOOKUP(Auto_Sales_data___Copy[[#This Row],[Segment Name]],Table3[],2,FALSE)</f>
        <v>VIP Recognitioon &amp; Inclusivity</v>
      </c>
    </row>
    <row r="359" spans="1:28" x14ac:dyDescent="0.25">
      <c r="A359">
        <v>10211</v>
      </c>
      <c r="B359">
        <v>41</v>
      </c>
      <c r="C359">
        <v>114.84</v>
      </c>
      <c r="D359">
        <v>14</v>
      </c>
      <c r="E359">
        <v>4708.4399999999996</v>
      </c>
      <c r="F359" s="1">
        <v>43480</v>
      </c>
      <c r="G359" s="2" t="s">
        <v>19</v>
      </c>
      <c r="H359" s="2" t="s">
        <v>20</v>
      </c>
      <c r="I359">
        <v>95</v>
      </c>
      <c r="J359" s="2" t="s">
        <v>21</v>
      </c>
      <c r="K359" s="2" t="s">
        <v>76</v>
      </c>
      <c r="L359" s="2" t="s">
        <v>77</v>
      </c>
      <c r="M359" s="2" t="s">
        <v>78</v>
      </c>
      <c r="N359" s="2" t="s">
        <v>42</v>
      </c>
      <c r="O359" s="2" t="s">
        <v>79</v>
      </c>
      <c r="P359" s="2" t="s">
        <v>36</v>
      </c>
      <c r="Q359" s="2" t="s">
        <v>80</v>
      </c>
      <c r="R359" s="2" t="s">
        <v>81</v>
      </c>
      <c r="S359" s="2" t="s">
        <v>46</v>
      </c>
      <c r="T359">
        <v>510</v>
      </c>
      <c r="U359">
        <f>VLOOKUP(Auto_Sales_data___Copy[[#This Row],[CUSTOMER_NAME]],$AF$2:$AH$90,2,FALSE)</f>
        <v>27</v>
      </c>
      <c r="V359">
        <f>VLOOKUP(Auto_Sales_data___Copy[[#This Row],[CUSTOMER_NAME]],$AF$2:$AH$90,3,FALSE)</f>
        <v>93170.66</v>
      </c>
      <c r="W359" s="2">
        <f>6-MATCH(Auto_Sales_data___Copy[[#This Row],[DAYS_SINCE_LAST_ORDER]],Table2[R-Cutoff],1)</f>
        <v>5</v>
      </c>
      <c r="X359" s="2">
        <f>MATCH(Auto_Sales_data___Copy[[#This Row],[Total_Orders_Per_Customer]],Table2[F-Cutoff],1)</f>
        <v>4</v>
      </c>
      <c r="Y359" s="2">
        <f>MATCH(Auto_Sales_data___Copy[[#This Row],[Total_Sales_Per_Customer]],Table2[M-Cutoff],1)</f>
        <v>3</v>
      </c>
      <c r="Z359" s="2" t="str">
        <f>Auto_Sales_data___Copy[[#This Row],[R-Score(1-5)]]&amp;Auto_Sales_data___Copy[[#This Row],[F-Score(1-5)]]&amp;Auto_Sales_data___Copy[[#This Row],[M-Score(1-5)]]</f>
        <v>543</v>
      </c>
      <c r="AA359" s="2" t="str" cm="1">
        <f t="array" ref="AA3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59" s="2" t="str">
        <f>VLOOKUP(Auto_Sales_data___Copy[[#This Row],[Segment Name]],Table3[],2,FALSE)</f>
        <v>Brand Awareness &amp; Value Proposition</v>
      </c>
    </row>
    <row r="360" spans="1:28" x14ac:dyDescent="0.25">
      <c r="A360">
        <v>10211</v>
      </c>
      <c r="B360">
        <v>41</v>
      </c>
      <c r="C360">
        <v>182.9</v>
      </c>
      <c r="D360">
        <v>2</v>
      </c>
      <c r="E360">
        <v>7498.9</v>
      </c>
      <c r="F360" s="1">
        <v>43480</v>
      </c>
      <c r="G360" s="2" t="s">
        <v>19</v>
      </c>
      <c r="H360" s="2" t="s">
        <v>183</v>
      </c>
      <c r="I360">
        <v>194</v>
      </c>
      <c r="J360" s="2" t="s">
        <v>449</v>
      </c>
      <c r="K360" s="2" t="s">
        <v>76</v>
      </c>
      <c r="L360" s="2" t="s">
        <v>77</v>
      </c>
      <c r="M360" s="2" t="s">
        <v>78</v>
      </c>
      <c r="N360" s="2" t="s">
        <v>42</v>
      </c>
      <c r="O360" s="2" t="s">
        <v>79</v>
      </c>
      <c r="P360" s="2" t="s">
        <v>36</v>
      </c>
      <c r="Q360" s="2" t="s">
        <v>80</v>
      </c>
      <c r="R360" s="2" t="s">
        <v>81</v>
      </c>
      <c r="S360" s="2" t="s">
        <v>151</v>
      </c>
      <c r="T360">
        <v>661</v>
      </c>
      <c r="U360">
        <f>VLOOKUP(Auto_Sales_data___Copy[[#This Row],[CUSTOMER_NAME]],$AF$2:$AH$90,2,FALSE)</f>
        <v>27</v>
      </c>
      <c r="V360">
        <f>VLOOKUP(Auto_Sales_data___Copy[[#This Row],[CUSTOMER_NAME]],$AF$2:$AH$90,3,FALSE)</f>
        <v>93170.66</v>
      </c>
      <c r="W360" s="2">
        <f>6-MATCH(Auto_Sales_data___Copy[[#This Row],[DAYS_SINCE_LAST_ORDER]],Table2[R-Cutoff],1)</f>
        <v>5</v>
      </c>
      <c r="X360" s="2">
        <f>MATCH(Auto_Sales_data___Copy[[#This Row],[Total_Orders_Per_Customer]],Table2[F-Cutoff],1)</f>
        <v>4</v>
      </c>
      <c r="Y360" s="2">
        <f>MATCH(Auto_Sales_data___Copy[[#This Row],[Total_Sales_Per_Customer]],Table2[M-Cutoff],1)</f>
        <v>3</v>
      </c>
      <c r="Z360" s="2" t="str">
        <f>Auto_Sales_data___Copy[[#This Row],[R-Score(1-5)]]&amp;Auto_Sales_data___Copy[[#This Row],[F-Score(1-5)]]&amp;Auto_Sales_data___Copy[[#This Row],[M-Score(1-5)]]</f>
        <v>543</v>
      </c>
      <c r="AA360" s="2" t="str" cm="1">
        <f t="array" ref="AA3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0" s="2" t="str">
        <f>VLOOKUP(Auto_Sales_data___Copy[[#This Row],[Segment Name]],Table3[],2,FALSE)</f>
        <v>Brand Awareness &amp; Value Proposition</v>
      </c>
    </row>
    <row r="361" spans="1:28" x14ac:dyDescent="0.25">
      <c r="A361">
        <v>10211</v>
      </c>
      <c r="B361">
        <v>36</v>
      </c>
      <c r="C361">
        <v>132.55000000000001</v>
      </c>
      <c r="D361">
        <v>13</v>
      </c>
      <c r="E361">
        <v>4771.8</v>
      </c>
      <c r="F361" s="1">
        <v>43480</v>
      </c>
      <c r="G361" s="2" t="s">
        <v>19</v>
      </c>
      <c r="H361" s="2" t="s">
        <v>20</v>
      </c>
      <c r="I361">
        <v>150</v>
      </c>
      <c r="J361" s="2" t="s">
        <v>539</v>
      </c>
      <c r="K361" s="2" t="s">
        <v>76</v>
      </c>
      <c r="L361" s="2" t="s">
        <v>77</v>
      </c>
      <c r="M361" s="2" t="s">
        <v>78</v>
      </c>
      <c r="N361" s="2" t="s">
        <v>42</v>
      </c>
      <c r="O361" s="2" t="s">
        <v>79</v>
      </c>
      <c r="P361" s="2" t="s">
        <v>36</v>
      </c>
      <c r="Q361" s="2" t="s">
        <v>80</v>
      </c>
      <c r="R361" s="2" t="s">
        <v>81</v>
      </c>
      <c r="S361" s="2" t="s">
        <v>46</v>
      </c>
      <c r="T361">
        <v>736</v>
      </c>
      <c r="U361">
        <f>VLOOKUP(Auto_Sales_data___Copy[[#This Row],[CUSTOMER_NAME]],$AF$2:$AH$90,2,FALSE)</f>
        <v>27</v>
      </c>
      <c r="V361">
        <f>VLOOKUP(Auto_Sales_data___Copy[[#This Row],[CUSTOMER_NAME]],$AF$2:$AH$90,3,FALSE)</f>
        <v>93170.66</v>
      </c>
      <c r="W361" s="2">
        <f>6-MATCH(Auto_Sales_data___Copy[[#This Row],[DAYS_SINCE_LAST_ORDER]],Table2[R-Cutoff],1)</f>
        <v>5</v>
      </c>
      <c r="X361" s="2">
        <f>MATCH(Auto_Sales_data___Copy[[#This Row],[Total_Orders_Per_Customer]],Table2[F-Cutoff],1)</f>
        <v>4</v>
      </c>
      <c r="Y361" s="2">
        <f>MATCH(Auto_Sales_data___Copy[[#This Row],[Total_Sales_Per_Customer]],Table2[M-Cutoff],1)</f>
        <v>3</v>
      </c>
      <c r="Z361" s="2" t="str">
        <f>Auto_Sales_data___Copy[[#This Row],[R-Score(1-5)]]&amp;Auto_Sales_data___Copy[[#This Row],[F-Score(1-5)]]&amp;Auto_Sales_data___Copy[[#This Row],[M-Score(1-5)]]</f>
        <v>543</v>
      </c>
      <c r="AA361" s="2" t="str" cm="1">
        <f t="array" ref="AA3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1" s="2" t="str">
        <f>VLOOKUP(Auto_Sales_data___Copy[[#This Row],[Segment Name]],Table3[],2,FALSE)</f>
        <v>Brand Awareness &amp; Value Proposition</v>
      </c>
    </row>
    <row r="362" spans="1:28" x14ac:dyDescent="0.25">
      <c r="A362">
        <v>10211</v>
      </c>
      <c r="B362">
        <v>28</v>
      </c>
      <c r="C362">
        <v>92.57</v>
      </c>
      <c r="D362">
        <v>3</v>
      </c>
      <c r="E362">
        <v>2591.96</v>
      </c>
      <c r="F362" s="1">
        <v>43480</v>
      </c>
      <c r="G362" s="2" t="s">
        <v>19</v>
      </c>
      <c r="H362" s="2" t="s">
        <v>183</v>
      </c>
      <c r="I362">
        <v>79</v>
      </c>
      <c r="J362" s="2" t="s">
        <v>553</v>
      </c>
      <c r="K362" s="2" t="s">
        <v>76</v>
      </c>
      <c r="L362" s="2" t="s">
        <v>77</v>
      </c>
      <c r="M362" s="2" t="s">
        <v>78</v>
      </c>
      <c r="N362" s="2" t="s">
        <v>42</v>
      </c>
      <c r="O362" s="2" t="s">
        <v>79</v>
      </c>
      <c r="P362" s="2" t="s">
        <v>36</v>
      </c>
      <c r="Q362" s="2" t="s">
        <v>80</v>
      </c>
      <c r="R362" s="2" t="s">
        <v>81</v>
      </c>
      <c r="S362" s="2" t="s">
        <v>30</v>
      </c>
      <c r="T362">
        <v>836</v>
      </c>
      <c r="U362">
        <f>VLOOKUP(Auto_Sales_data___Copy[[#This Row],[CUSTOMER_NAME]],$AF$2:$AH$90,2,FALSE)</f>
        <v>27</v>
      </c>
      <c r="V362">
        <f>VLOOKUP(Auto_Sales_data___Copy[[#This Row],[CUSTOMER_NAME]],$AF$2:$AH$90,3,FALSE)</f>
        <v>93170.66</v>
      </c>
      <c r="W362" s="2">
        <f>6-MATCH(Auto_Sales_data___Copy[[#This Row],[DAYS_SINCE_LAST_ORDER]],Table2[R-Cutoff],1)</f>
        <v>5</v>
      </c>
      <c r="X362" s="2">
        <f>MATCH(Auto_Sales_data___Copy[[#This Row],[Total_Orders_Per_Customer]],Table2[F-Cutoff],1)</f>
        <v>4</v>
      </c>
      <c r="Y362" s="2">
        <f>MATCH(Auto_Sales_data___Copy[[#This Row],[Total_Sales_Per_Customer]],Table2[M-Cutoff],1)</f>
        <v>3</v>
      </c>
      <c r="Z362" s="2" t="str">
        <f>Auto_Sales_data___Copy[[#This Row],[R-Score(1-5)]]&amp;Auto_Sales_data___Copy[[#This Row],[F-Score(1-5)]]&amp;Auto_Sales_data___Copy[[#This Row],[M-Score(1-5)]]</f>
        <v>543</v>
      </c>
      <c r="AA362" s="2" t="str" cm="1">
        <f t="array" ref="AA3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2" s="2" t="str">
        <f>VLOOKUP(Auto_Sales_data___Copy[[#This Row],[Segment Name]],Table3[],2,FALSE)</f>
        <v>Brand Awareness &amp; Value Proposition</v>
      </c>
    </row>
    <row r="363" spans="1:28" x14ac:dyDescent="0.25">
      <c r="A363">
        <v>10278</v>
      </c>
      <c r="B363">
        <v>34</v>
      </c>
      <c r="C363">
        <v>137.29</v>
      </c>
      <c r="D363">
        <v>6</v>
      </c>
      <c r="E363">
        <v>4667.8599999999997</v>
      </c>
      <c r="F363" s="1">
        <v>43683</v>
      </c>
      <c r="G363" s="2" t="s">
        <v>19</v>
      </c>
      <c r="H363" s="2" t="s">
        <v>183</v>
      </c>
      <c r="I363">
        <v>141</v>
      </c>
      <c r="J363" s="2" t="s">
        <v>576</v>
      </c>
      <c r="K363" s="2" t="s">
        <v>577</v>
      </c>
      <c r="L363" s="2" t="s">
        <v>578</v>
      </c>
      <c r="M363" s="2" t="s">
        <v>579</v>
      </c>
      <c r="N363" s="2" t="s">
        <v>580</v>
      </c>
      <c r="O363" s="2" t="s">
        <v>581</v>
      </c>
      <c r="P363" s="2" t="s">
        <v>27</v>
      </c>
      <c r="Q363" s="2" t="s">
        <v>107</v>
      </c>
      <c r="R363" s="2" t="s">
        <v>422</v>
      </c>
      <c r="S363" s="2" t="s">
        <v>46</v>
      </c>
      <c r="T363">
        <v>741</v>
      </c>
      <c r="U363">
        <f>VLOOKUP(Auto_Sales_data___Copy[[#This Row],[CUSTOMER_NAME]],$AF$2:$AH$90,2,FALSE)</f>
        <v>29</v>
      </c>
      <c r="V363">
        <f>VLOOKUP(Auto_Sales_data___Copy[[#This Row],[CUSTOMER_NAME]],$AF$2:$AH$90,3,FALSE)</f>
        <v>82751.079999999987</v>
      </c>
      <c r="W363" s="2">
        <f>6-MATCH(Auto_Sales_data___Copy[[#This Row],[DAYS_SINCE_LAST_ORDER]],Table2[R-Cutoff],1)</f>
        <v>5</v>
      </c>
      <c r="X363" s="2">
        <f>MATCH(Auto_Sales_data___Copy[[#This Row],[Total_Orders_Per_Customer]],Table2[F-Cutoff],1)</f>
        <v>4</v>
      </c>
      <c r="Y363" s="2">
        <f>MATCH(Auto_Sales_data___Copy[[#This Row],[Total_Sales_Per_Customer]],Table2[M-Cutoff],1)</f>
        <v>3</v>
      </c>
      <c r="Z363" s="2" t="str">
        <f>Auto_Sales_data___Copy[[#This Row],[R-Score(1-5)]]&amp;Auto_Sales_data___Copy[[#This Row],[F-Score(1-5)]]&amp;Auto_Sales_data___Copy[[#This Row],[M-Score(1-5)]]</f>
        <v>543</v>
      </c>
      <c r="AA363" s="2" t="str" cm="1">
        <f t="array" ref="AA3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3" s="2" t="str">
        <f>VLOOKUP(Auto_Sales_data___Copy[[#This Row],[Segment Name]],Table3[],2,FALSE)</f>
        <v>Brand Awareness &amp; Value Proposition</v>
      </c>
    </row>
    <row r="364" spans="1:28" x14ac:dyDescent="0.25">
      <c r="A364">
        <v>10278</v>
      </c>
      <c r="B364">
        <v>23</v>
      </c>
      <c r="C364">
        <v>113.24</v>
      </c>
      <c r="D364">
        <v>2</v>
      </c>
      <c r="E364">
        <v>2604.52</v>
      </c>
      <c r="F364" s="1">
        <v>43683</v>
      </c>
      <c r="G364" s="2" t="s">
        <v>19</v>
      </c>
      <c r="H364" s="2" t="s">
        <v>183</v>
      </c>
      <c r="I364">
        <v>124</v>
      </c>
      <c r="J364" s="2" t="s">
        <v>606</v>
      </c>
      <c r="K364" s="2" t="s">
        <v>577</v>
      </c>
      <c r="L364" s="2" t="s">
        <v>578</v>
      </c>
      <c r="M364" s="2" t="s">
        <v>579</v>
      </c>
      <c r="N364" s="2" t="s">
        <v>580</v>
      </c>
      <c r="O364" s="2" t="s">
        <v>581</v>
      </c>
      <c r="P364" s="2" t="s">
        <v>27</v>
      </c>
      <c r="Q364" s="2" t="s">
        <v>107</v>
      </c>
      <c r="R364" s="2" t="s">
        <v>422</v>
      </c>
      <c r="S364" s="2" t="s">
        <v>30</v>
      </c>
      <c r="T364">
        <v>815</v>
      </c>
      <c r="U364">
        <f>VLOOKUP(Auto_Sales_data___Copy[[#This Row],[CUSTOMER_NAME]],$AF$2:$AH$90,2,FALSE)</f>
        <v>29</v>
      </c>
      <c r="V364">
        <f>VLOOKUP(Auto_Sales_data___Copy[[#This Row],[CUSTOMER_NAME]],$AF$2:$AH$90,3,FALSE)</f>
        <v>82751.079999999987</v>
      </c>
      <c r="W364" s="2">
        <f>6-MATCH(Auto_Sales_data___Copy[[#This Row],[DAYS_SINCE_LAST_ORDER]],Table2[R-Cutoff],1)</f>
        <v>5</v>
      </c>
      <c r="X364" s="2">
        <f>MATCH(Auto_Sales_data___Copy[[#This Row],[Total_Orders_Per_Customer]],Table2[F-Cutoff],1)</f>
        <v>4</v>
      </c>
      <c r="Y364" s="2">
        <f>MATCH(Auto_Sales_data___Copy[[#This Row],[Total_Sales_Per_Customer]],Table2[M-Cutoff],1)</f>
        <v>3</v>
      </c>
      <c r="Z364" s="2" t="str">
        <f>Auto_Sales_data___Copy[[#This Row],[R-Score(1-5)]]&amp;Auto_Sales_data___Copy[[#This Row],[F-Score(1-5)]]&amp;Auto_Sales_data___Copy[[#This Row],[M-Score(1-5)]]</f>
        <v>543</v>
      </c>
      <c r="AA364" s="2" t="str" cm="1">
        <f t="array" ref="AA3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4" s="2" t="str">
        <f>VLOOKUP(Auto_Sales_data___Copy[[#This Row],[Segment Name]],Table3[],2,FALSE)</f>
        <v>Brand Awareness &amp; Value Proposition</v>
      </c>
    </row>
    <row r="365" spans="1:28" x14ac:dyDescent="0.25">
      <c r="A365">
        <v>10278</v>
      </c>
      <c r="B365">
        <v>29</v>
      </c>
      <c r="C365">
        <v>90.86</v>
      </c>
      <c r="D365">
        <v>10</v>
      </c>
      <c r="E365">
        <v>2634.94</v>
      </c>
      <c r="F365" s="1">
        <v>43683</v>
      </c>
      <c r="G365" s="2" t="s">
        <v>19</v>
      </c>
      <c r="H365" s="2" t="s">
        <v>183</v>
      </c>
      <c r="I365">
        <v>77</v>
      </c>
      <c r="J365" s="2" t="s">
        <v>629</v>
      </c>
      <c r="K365" s="2" t="s">
        <v>577</v>
      </c>
      <c r="L365" s="2" t="s">
        <v>578</v>
      </c>
      <c r="M365" s="2" t="s">
        <v>579</v>
      </c>
      <c r="N365" s="2" t="s">
        <v>580</v>
      </c>
      <c r="O365" s="2" t="s">
        <v>581</v>
      </c>
      <c r="P365" s="2" t="s">
        <v>27</v>
      </c>
      <c r="Q365" s="2" t="s">
        <v>107</v>
      </c>
      <c r="R365" s="2" t="s">
        <v>422</v>
      </c>
      <c r="S365" s="2" t="s">
        <v>30</v>
      </c>
      <c r="T365">
        <v>886</v>
      </c>
      <c r="U365">
        <f>VLOOKUP(Auto_Sales_data___Copy[[#This Row],[CUSTOMER_NAME]],$AF$2:$AH$90,2,FALSE)</f>
        <v>29</v>
      </c>
      <c r="V365">
        <f>VLOOKUP(Auto_Sales_data___Copy[[#This Row],[CUSTOMER_NAME]],$AF$2:$AH$90,3,FALSE)</f>
        <v>82751.079999999987</v>
      </c>
      <c r="W365" s="2">
        <f>6-MATCH(Auto_Sales_data___Copy[[#This Row],[DAYS_SINCE_LAST_ORDER]],Table2[R-Cutoff],1)</f>
        <v>5</v>
      </c>
      <c r="X365" s="2">
        <f>MATCH(Auto_Sales_data___Copy[[#This Row],[Total_Orders_Per_Customer]],Table2[F-Cutoff],1)</f>
        <v>4</v>
      </c>
      <c r="Y365" s="2">
        <f>MATCH(Auto_Sales_data___Copy[[#This Row],[Total_Sales_Per_Customer]],Table2[M-Cutoff],1)</f>
        <v>3</v>
      </c>
      <c r="Z365" s="2" t="str">
        <f>Auto_Sales_data___Copy[[#This Row],[R-Score(1-5)]]&amp;Auto_Sales_data___Copy[[#This Row],[F-Score(1-5)]]&amp;Auto_Sales_data___Copy[[#This Row],[M-Score(1-5)]]</f>
        <v>543</v>
      </c>
      <c r="AA365" s="2" t="str" cm="1">
        <f t="array" ref="AA3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5" s="2" t="str">
        <f>VLOOKUP(Auto_Sales_data___Copy[[#This Row],[Segment Name]],Table3[],2,FALSE)</f>
        <v>Brand Awareness &amp; Value Proposition</v>
      </c>
    </row>
    <row r="366" spans="1:28" x14ac:dyDescent="0.25">
      <c r="A366">
        <v>10278</v>
      </c>
      <c r="B366">
        <v>29</v>
      </c>
      <c r="C366">
        <v>129.44999999999999</v>
      </c>
      <c r="D366">
        <v>5</v>
      </c>
      <c r="E366">
        <v>3754.05</v>
      </c>
      <c r="F366" s="1">
        <v>43683</v>
      </c>
      <c r="G366" s="2" t="s">
        <v>19</v>
      </c>
      <c r="H366" s="2" t="s">
        <v>183</v>
      </c>
      <c r="I366">
        <v>142</v>
      </c>
      <c r="J366" s="2" t="s">
        <v>630</v>
      </c>
      <c r="K366" s="2" t="s">
        <v>577</v>
      </c>
      <c r="L366" s="2" t="s">
        <v>578</v>
      </c>
      <c r="M366" s="2" t="s">
        <v>579</v>
      </c>
      <c r="N366" s="2" t="s">
        <v>580</v>
      </c>
      <c r="O366" s="2" t="s">
        <v>581</v>
      </c>
      <c r="P366" s="2" t="s">
        <v>27</v>
      </c>
      <c r="Q366" s="2" t="s">
        <v>107</v>
      </c>
      <c r="R366" s="2" t="s">
        <v>422</v>
      </c>
      <c r="S366" s="2" t="s">
        <v>46</v>
      </c>
      <c r="T366">
        <v>912</v>
      </c>
      <c r="U366">
        <f>VLOOKUP(Auto_Sales_data___Copy[[#This Row],[CUSTOMER_NAME]],$AF$2:$AH$90,2,FALSE)</f>
        <v>29</v>
      </c>
      <c r="V366">
        <f>VLOOKUP(Auto_Sales_data___Copy[[#This Row],[CUSTOMER_NAME]],$AF$2:$AH$90,3,FALSE)</f>
        <v>82751.079999999987</v>
      </c>
      <c r="W366" s="2">
        <f>6-MATCH(Auto_Sales_data___Copy[[#This Row],[DAYS_SINCE_LAST_ORDER]],Table2[R-Cutoff],1)</f>
        <v>5</v>
      </c>
      <c r="X366" s="2">
        <f>MATCH(Auto_Sales_data___Copy[[#This Row],[Total_Orders_Per_Customer]],Table2[F-Cutoff],1)</f>
        <v>4</v>
      </c>
      <c r="Y366" s="2">
        <f>MATCH(Auto_Sales_data___Copy[[#This Row],[Total_Sales_Per_Customer]],Table2[M-Cutoff],1)</f>
        <v>3</v>
      </c>
      <c r="Z366" s="2" t="str">
        <f>Auto_Sales_data___Copy[[#This Row],[R-Score(1-5)]]&amp;Auto_Sales_data___Copy[[#This Row],[F-Score(1-5)]]&amp;Auto_Sales_data___Copy[[#This Row],[M-Score(1-5)]]</f>
        <v>543</v>
      </c>
      <c r="AA366" s="2" t="str" cm="1">
        <f t="array" ref="AA3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6" s="2" t="str">
        <f>VLOOKUP(Auto_Sales_data___Copy[[#This Row],[Segment Name]],Table3[],2,FALSE)</f>
        <v>Brand Awareness &amp; Value Proposition</v>
      </c>
    </row>
    <row r="367" spans="1:28" x14ac:dyDescent="0.25">
      <c r="A367">
        <v>10346</v>
      </c>
      <c r="B367">
        <v>42</v>
      </c>
      <c r="C367">
        <v>36.11</v>
      </c>
      <c r="D367">
        <v>3</v>
      </c>
      <c r="E367">
        <v>1516.62</v>
      </c>
      <c r="F367" s="1">
        <v>43798</v>
      </c>
      <c r="G367" s="2" t="s">
        <v>19</v>
      </c>
      <c r="H367" s="2" t="s">
        <v>589</v>
      </c>
      <c r="I367">
        <v>102</v>
      </c>
      <c r="J367" s="2" t="s">
        <v>590</v>
      </c>
      <c r="K367" s="2" t="s">
        <v>577</v>
      </c>
      <c r="L367" s="2" t="s">
        <v>578</v>
      </c>
      <c r="M367" s="2" t="s">
        <v>579</v>
      </c>
      <c r="N367" s="2" t="s">
        <v>580</v>
      </c>
      <c r="O367" s="2" t="s">
        <v>581</v>
      </c>
      <c r="P367" s="2" t="s">
        <v>27</v>
      </c>
      <c r="Q367" s="2" t="s">
        <v>107</v>
      </c>
      <c r="R367" s="2" t="s">
        <v>422</v>
      </c>
      <c r="S367" s="2" t="s">
        <v>30</v>
      </c>
      <c r="T367">
        <v>657</v>
      </c>
      <c r="U367">
        <f>VLOOKUP(Auto_Sales_data___Copy[[#This Row],[CUSTOMER_NAME]],$AF$2:$AH$90,2,FALSE)</f>
        <v>29</v>
      </c>
      <c r="V367">
        <f>VLOOKUP(Auto_Sales_data___Copy[[#This Row],[CUSTOMER_NAME]],$AF$2:$AH$90,3,FALSE)</f>
        <v>82751.079999999987</v>
      </c>
      <c r="W367" s="2">
        <f>6-MATCH(Auto_Sales_data___Copy[[#This Row],[DAYS_SINCE_LAST_ORDER]],Table2[R-Cutoff],1)</f>
        <v>5</v>
      </c>
      <c r="X367" s="2">
        <f>MATCH(Auto_Sales_data___Copy[[#This Row],[Total_Orders_Per_Customer]],Table2[F-Cutoff],1)</f>
        <v>4</v>
      </c>
      <c r="Y367" s="2">
        <f>MATCH(Auto_Sales_data___Copy[[#This Row],[Total_Sales_Per_Customer]],Table2[M-Cutoff],1)</f>
        <v>3</v>
      </c>
      <c r="Z367" s="2" t="str">
        <f>Auto_Sales_data___Copy[[#This Row],[R-Score(1-5)]]&amp;Auto_Sales_data___Copy[[#This Row],[F-Score(1-5)]]&amp;Auto_Sales_data___Copy[[#This Row],[M-Score(1-5)]]</f>
        <v>543</v>
      </c>
      <c r="AA367" s="2" t="str" cm="1">
        <f t="array" ref="AA3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7" s="2" t="str">
        <f>VLOOKUP(Auto_Sales_data___Copy[[#This Row],[Segment Name]],Table3[],2,FALSE)</f>
        <v>Brand Awareness &amp; Value Proposition</v>
      </c>
    </row>
    <row r="368" spans="1:28" x14ac:dyDescent="0.25">
      <c r="A368">
        <v>10402</v>
      </c>
      <c r="B368">
        <v>45</v>
      </c>
      <c r="C368">
        <v>129.63999999999999</v>
      </c>
      <c r="D368">
        <v>1</v>
      </c>
      <c r="E368">
        <v>5833.8</v>
      </c>
      <c r="F368" s="1">
        <v>43928</v>
      </c>
      <c r="G368" s="2" t="s">
        <v>19</v>
      </c>
      <c r="H368" s="2" t="s">
        <v>20</v>
      </c>
      <c r="I368">
        <v>118</v>
      </c>
      <c r="J368" s="2" t="s">
        <v>315</v>
      </c>
      <c r="K368" s="2" t="s">
        <v>76</v>
      </c>
      <c r="L368" s="2" t="s">
        <v>77</v>
      </c>
      <c r="M368" s="2" t="s">
        <v>78</v>
      </c>
      <c r="N368" s="2" t="s">
        <v>42</v>
      </c>
      <c r="O368" s="2" t="s">
        <v>79</v>
      </c>
      <c r="P368" s="2" t="s">
        <v>36</v>
      </c>
      <c r="Q368" s="2" t="s">
        <v>80</v>
      </c>
      <c r="R368" s="2" t="s">
        <v>81</v>
      </c>
      <c r="S368" s="2" t="s">
        <v>46</v>
      </c>
      <c r="T368">
        <v>127</v>
      </c>
      <c r="U368">
        <f>VLOOKUP(Auto_Sales_data___Copy[[#This Row],[CUSTOMER_NAME]],$AF$2:$AH$90,2,FALSE)</f>
        <v>27</v>
      </c>
      <c r="V368">
        <f>VLOOKUP(Auto_Sales_data___Copy[[#This Row],[CUSTOMER_NAME]],$AF$2:$AH$90,3,FALSE)</f>
        <v>93170.66</v>
      </c>
      <c r="W368" s="2">
        <f>6-MATCH(Auto_Sales_data___Copy[[#This Row],[DAYS_SINCE_LAST_ORDER]],Table2[R-Cutoff],1)</f>
        <v>5</v>
      </c>
      <c r="X368" s="2">
        <f>MATCH(Auto_Sales_data___Copy[[#This Row],[Total_Orders_Per_Customer]],Table2[F-Cutoff],1)</f>
        <v>4</v>
      </c>
      <c r="Y368" s="2">
        <f>MATCH(Auto_Sales_data___Copy[[#This Row],[Total_Sales_Per_Customer]],Table2[M-Cutoff],1)</f>
        <v>3</v>
      </c>
      <c r="Z368" s="2" t="str">
        <f>Auto_Sales_data___Copy[[#This Row],[R-Score(1-5)]]&amp;Auto_Sales_data___Copy[[#This Row],[F-Score(1-5)]]&amp;Auto_Sales_data___Copy[[#This Row],[M-Score(1-5)]]</f>
        <v>543</v>
      </c>
      <c r="AA368" s="2" t="str" cm="1">
        <f t="array" ref="AA3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8" s="2" t="str">
        <f>VLOOKUP(Auto_Sales_data___Copy[[#This Row],[Segment Name]],Table3[],2,FALSE)</f>
        <v>Brand Awareness &amp; Value Proposition</v>
      </c>
    </row>
    <row r="369" spans="1:28" x14ac:dyDescent="0.25">
      <c r="A369">
        <v>10402</v>
      </c>
      <c r="B369">
        <v>55</v>
      </c>
      <c r="C369">
        <v>55.72</v>
      </c>
      <c r="D369">
        <v>2</v>
      </c>
      <c r="E369">
        <v>3064.6</v>
      </c>
      <c r="F369" s="1">
        <v>43928</v>
      </c>
      <c r="G369" s="2" t="s">
        <v>19</v>
      </c>
      <c r="H369" s="2" t="s">
        <v>20</v>
      </c>
      <c r="I369">
        <v>60</v>
      </c>
      <c r="J369" s="2" t="s">
        <v>637</v>
      </c>
      <c r="K369" s="2" t="s">
        <v>76</v>
      </c>
      <c r="L369" s="2" t="s">
        <v>77</v>
      </c>
      <c r="M369" s="2" t="s">
        <v>78</v>
      </c>
      <c r="N369" s="2" t="s">
        <v>42</v>
      </c>
      <c r="O369" s="2" t="s">
        <v>79</v>
      </c>
      <c r="P369" s="2" t="s">
        <v>36</v>
      </c>
      <c r="Q369" s="2" t="s">
        <v>80</v>
      </c>
      <c r="R369" s="2" t="s">
        <v>81</v>
      </c>
      <c r="S369" s="2" t="s">
        <v>46</v>
      </c>
      <c r="T369">
        <v>850</v>
      </c>
      <c r="U369">
        <f>VLOOKUP(Auto_Sales_data___Copy[[#This Row],[CUSTOMER_NAME]],$AF$2:$AH$90,2,FALSE)</f>
        <v>27</v>
      </c>
      <c r="V369">
        <f>VLOOKUP(Auto_Sales_data___Copy[[#This Row],[CUSTOMER_NAME]],$AF$2:$AH$90,3,FALSE)</f>
        <v>93170.66</v>
      </c>
      <c r="W369" s="2">
        <f>6-MATCH(Auto_Sales_data___Copy[[#This Row],[DAYS_SINCE_LAST_ORDER]],Table2[R-Cutoff],1)</f>
        <v>5</v>
      </c>
      <c r="X369" s="2">
        <f>MATCH(Auto_Sales_data___Copy[[#This Row],[Total_Orders_Per_Customer]],Table2[F-Cutoff],1)</f>
        <v>4</v>
      </c>
      <c r="Y369" s="2">
        <f>MATCH(Auto_Sales_data___Copy[[#This Row],[Total_Sales_Per_Customer]],Table2[M-Cutoff],1)</f>
        <v>3</v>
      </c>
      <c r="Z369" s="2" t="str">
        <f>Auto_Sales_data___Copy[[#This Row],[R-Score(1-5)]]&amp;Auto_Sales_data___Copy[[#This Row],[F-Score(1-5)]]&amp;Auto_Sales_data___Copy[[#This Row],[M-Score(1-5)]]</f>
        <v>543</v>
      </c>
      <c r="AA369" s="2" t="str" cm="1">
        <f t="array" ref="AA3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9" s="2" t="str">
        <f>VLOOKUP(Auto_Sales_data___Copy[[#This Row],[Segment Name]],Table3[],2,FALSE)</f>
        <v>Brand Awareness &amp; Value Proposition</v>
      </c>
    </row>
    <row r="370" spans="1:28" x14ac:dyDescent="0.25">
      <c r="A370">
        <v>10263</v>
      </c>
      <c r="B370">
        <v>34</v>
      </c>
      <c r="C370">
        <v>108.14</v>
      </c>
      <c r="D370">
        <v>2</v>
      </c>
      <c r="E370">
        <v>3676.76</v>
      </c>
      <c r="F370" s="1">
        <v>43644</v>
      </c>
      <c r="G370" s="2" t="s">
        <v>19</v>
      </c>
      <c r="H370" s="2" t="s">
        <v>20</v>
      </c>
      <c r="I370">
        <v>95</v>
      </c>
      <c r="J370" s="2" t="s">
        <v>21</v>
      </c>
      <c r="K370" s="2" t="s">
        <v>102</v>
      </c>
      <c r="L370" s="2" t="s">
        <v>103</v>
      </c>
      <c r="M370" s="2" t="s">
        <v>104</v>
      </c>
      <c r="N370" s="2" t="s">
        <v>105</v>
      </c>
      <c r="O370" s="2" t="s">
        <v>106</v>
      </c>
      <c r="P370" s="2" t="s">
        <v>27</v>
      </c>
      <c r="Q370" s="2" t="s">
        <v>107</v>
      </c>
      <c r="R370" s="2" t="s">
        <v>53</v>
      </c>
      <c r="S370" s="2" t="s">
        <v>46</v>
      </c>
      <c r="T370">
        <v>350</v>
      </c>
      <c r="U370">
        <f>VLOOKUP(Auto_Sales_data___Copy[[#This Row],[CUSTOMER_NAME]],$AF$2:$AH$90,2,FALSE)</f>
        <v>25</v>
      </c>
      <c r="V370">
        <f>VLOOKUP(Auto_Sales_data___Copy[[#This Row],[CUSTOMER_NAME]],$AF$2:$AH$90,3,FALSE)</f>
        <v>101894.79000000001</v>
      </c>
      <c r="W370" s="2">
        <f>6-MATCH(Auto_Sales_data___Copy[[#This Row],[DAYS_SINCE_LAST_ORDER]],Table2[R-Cutoff],1)</f>
        <v>5</v>
      </c>
      <c r="X370" s="2">
        <f>MATCH(Auto_Sales_data___Copy[[#This Row],[Total_Orders_Per_Customer]],Table2[F-Cutoff],1)</f>
        <v>3</v>
      </c>
      <c r="Y370" s="2">
        <f>MATCH(Auto_Sales_data___Copy[[#This Row],[Total_Sales_Per_Customer]],Table2[M-Cutoff],1)</f>
        <v>4</v>
      </c>
      <c r="Z370" s="2" t="str">
        <f>Auto_Sales_data___Copy[[#This Row],[R-Score(1-5)]]&amp;Auto_Sales_data___Copy[[#This Row],[F-Score(1-5)]]&amp;Auto_Sales_data___Copy[[#This Row],[M-Score(1-5)]]</f>
        <v>534</v>
      </c>
      <c r="AA370" s="2" t="str" cm="1">
        <f t="array" ref="AA3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0" s="2" t="str">
        <f>VLOOKUP(Auto_Sales_data___Copy[[#This Row],[Segment Name]],Table3[],2,FALSE)</f>
        <v>Brand Awareness &amp; Value Proposition</v>
      </c>
    </row>
    <row r="371" spans="1:28" x14ac:dyDescent="0.25">
      <c r="A371">
        <v>10263</v>
      </c>
      <c r="B371">
        <v>40</v>
      </c>
      <c r="C371">
        <v>111.8</v>
      </c>
      <c r="D371">
        <v>5</v>
      </c>
      <c r="E371">
        <v>4472</v>
      </c>
      <c r="F371" s="1">
        <v>43644</v>
      </c>
      <c r="G371" s="2" t="s">
        <v>19</v>
      </c>
      <c r="H371" s="2" t="s">
        <v>20</v>
      </c>
      <c r="I371">
        <v>118</v>
      </c>
      <c r="J371" s="2" t="s">
        <v>315</v>
      </c>
      <c r="K371" s="2" t="s">
        <v>102</v>
      </c>
      <c r="L371" s="2" t="s">
        <v>103</v>
      </c>
      <c r="M371" s="2" t="s">
        <v>104</v>
      </c>
      <c r="N371" s="2" t="s">
        <v>105</v>
      </c>
      <c r="O371" s="2" t="s">
        <v>106</v>
      </c>
      <c r="P371" s="2" t="s">
        <v>27</v>
      </c>
      <c r="Q371" s="2" t="s">
        <v>107</v>
      </c>
      <c r="R371" s="2" t="s">
        <v>53</v>
      </c>
      <c r="S371" s="2" t="s">
        <v>46</v>
      </c>
      <c r="T371">
        <v>400</v>
      </c>
      <c r="U371">
        <f>VLOOKUP(Auto_Sales_data___Copy[[#This Row],[CUSTOMER_NAME]],$AF$2:$AH$90,2,FALSE)</f>
        <v>25</v>
      </c>
      <c r="V371">
        <f>VLOOKUP(Auto_Sales_data___Copy[[#This Row],[CUSTOMER_NAME]],$AF$2:$AH$90,3,FALSE)</f>
        <v>101894.79000000001</v>
      </c>
      <c r="W371" s="2">
        <f>6-MATCH(Auto_Sales_data___Copy[[#This Row],[DAYS_SINCE_LAST_ORDER]],Table2[R-Cutoff],1)</f>
        <v>5</v>
      </c>
      <c r="X371" s="2">
        <f>MATCH(Auto_Sales_data___Copy[[#This Row],[Total_Orders_Per_Customer]],Table2[F-Cutoff],1)</f>
        <v>3</v>
      </c>
      <c r="Y371" s="2">
        <f>MATCH(Auto_Sales_data___Copy[[#This Row],[Total_Sales_Per_Customer]],Table2[M-Cutoff],1)</f>
        <v>4</v>
      </c>
      <c r="Z371" s="2" t="str">
        <f>Auto_Sales_data___Copy[[#This Row],[R-Score(1-5)]]&amp;Auto_Sales_data___Copy[[#This Row],[F-Score(1-5)]]&amp;Auto_Sales_data___Copy[[#This Row],[M-Score(1-5)]]</f>
        <v>534</v>
      </c>
      <c r="AA371" s="2" t="str" cm="1">
        <f t="array" ref="AA3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1" s="2" t="str">
        <f>VLOOKUP(Auto_Sales_data___Copy[[#This Row],[Segment Name]],Table3[],2,FALSE)</f>
        <v>Brand Awareness &amp; Value Proposition</v>
      </c>
    </row>
    <row r="372" spans="1:28" x14ac:dyDescent="0.25">
      <c r="A372">
        <v>10263</v>
      </c>
      <c r="B372">
        <v>41</v>
      </c>
      <c r="C372">
        <v>203.34</v>
      </c>
      <c r="D372">
        <v>4</v>
      </c>
      <c r="E372">
        <v>8336.94</v>
      </c>
      <c r="F372" s="1">
        <v>43644</v>
      </c>
      <c r="G372" s="2" t="s">
        <v>19</v>
      </c>
      <c r="H372" s="2" t="s">
        <v>20</v>
      </c>
      <c r="I372">
        <v>193</v>
      </c>
      <c r="J372" s="2" t="s">
        <v>337</v>
      </c>
      <c r="K372" s="2" t="s">
        <v>102</v>
      </c>
      <c r="L372" s="2" t="s">
        <v>103</v>
      </c>
      <c r="M372" s="2" t="s">
        <v>104</v>
      </c>
      <c r="N372" s="2" t="s">
        <v>105</v>
      </c>
      <c r="O372" s="2" t="s">
        <v>106</v>
      </c>
      <c r="P372" s="2" t="s">
        <v>27</v>
      </c>
      <c r="Q372" s="2" t="s">
        <v>107</v>
      </c>
      <c r="R372" s="2" t="s">
        <v>53</v>
      </c>
      <c r="S372" s="2" t="s">
        <v>151</v>
      </c>
      <c r="T372">
        <v>424</v>
      </c>
      <c r="U372">
        <f>VLOOKUP(Auto_Sales_data___Copy[[#This Row],[CUSTOMER_NAME]],$AF$2:$AH$90,2,FALSE)</f>
        <v>25</v>
      </c>
      <c r="V372">
        <f>VLOOKUP(Auto_Sales_data___Copy[[#This Row],[CUSTOMER_NAME]],$AF$2:$AH$90,3,FALSE)</f>
        <v>101894.79000000001</v>
      </c>
      <c r="W372" s="2">
        <f>6-MATCH(Auto_Sales_data___Copy[[#This Row],[DAYS_SINCE_LAST_ORDER]],Table2[R-Cutoff],1)</f>
        <v>5</v>
      </c>
      <c r="X372" s="2">
        <f>MATCH(Auto_Sales_data___Copy[[#This Row],[Total_Orders_Per_Customer]],Table2[F-Cutoff],1)</f>
        <v>3</v>
      </c>
      <c r="Y372" s="2">
        <f>MATCH(Auto_Sales_data___Copy[[#This Row],[Total_Sales_Per_Customer]],Table2[M-Cutoff],1)</f>
        <v>4</v>
      </c>
      <c r="Z372" s="2" t="str">
        <f>Auto_Sales_data___Copy[[#This Row],[R-Score(1-5)]]&amp;Auto_Sales_data___Copy[[#This Row],[F-Score(1-5)]]&amp;Auto_Sales_data___Copy[[#This Row],[M-Score(1-5)]]</f>
        <v>534</v>
      </c>
      <c r="AA372" s="2" t="str" cm="1">
        <f t="array" ref="AA3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2" s="2" t="str">
        <f>VLOOKUP(Auto_Sales_data___Copy[[#This Row],[Segment Name]],Table3[],2,FALSE)</f>
        <v>Brand Awareness &amp; Value Proposition</v>
      </c>
    </row>
    <row r="373" spans="1:28" x14ac:dyDescent="0.25">
      <c r="A373">
        <v>10263</v>
      </c>
      <c r="B373">
        <v>48</v>
      </c>
      <c r="C373">
        <v>134.05000000000001</v>
      </c>
      <c r="D373">
        <v>1</v>
      </c>
      <c r="E373">
        <v>6434.4</v>
      </c>
      <c r="F373" s="1">
        <v>43644</v>
      </c>
      <c r="G373" s="2" t="s">
        <v>19</v>
      </c>
      <c r="H373" s="2" t="s">
        <v>20</v>
      </c>
      <c r="I373">
        <v>150</v>
      </c>
      <c r="J373" s="2" t="s">
        <v>539</v>
      </c>
      <c r="K373" s="2" t="s">
        <v>102</v>
      </c>
      <c r="L373" s="2" t="s">
        <v>103</v>
      </c>
      <c r="M373" s="2" t="s">
        <v>104</v>
      </c>
      <c r="N373" s="2" t="s">
        <v>105</v>
      </c>
      <c r="O373" s="2" t="s">
        <v>106</v>
      </c>
      <c r="P373" s="2" t="s">
        <v>27</v>
      </c>
      <c r="Q373" s="2" t="s">
        <v>107</v>
      </c>
      <c r="R373" s="2" t="s">
        <v>53</v>
      </c>
      <c r="S373" s="2" t="s">
        <v>46</v>
      </c>
      <c r="T373">
        <v>576</v>
      </c>
      <c r="U373">
        <f>VLOOKUP(Auto_Sales_data___Copy[[#This Row],[CUSTOMER_NAME]],$AF$2:$AH$90,2,FALSE)</f>
        <v>25</v>
      </c>
      <c r="V373">
        <f>VLOOKUP(Auto_Sales_data___Copy[[#This Row],[CUSTOMER_NAME]],$AF$2:$AH$90,3,FALSE)</f>
        <v>101894.79000000001</v>
      </c>
      <c r="W373" s="2">
        <f>6-MATCH(Auto_Sales_data___Copy[[#This Row],[DAYS_SINCE_LAST_ORDER]],Table2[R-Cutoff],1)</f>
        <v>5</v>
      </c>
      <c r="X373" s="2">
        <f>MATCH(Auto_Sales_data___Copy[[#This Row],[Total_Orders_Per_Customer]],Table2[F-Cutoff],1)</f>
        <v>3</v>
      </c>
      <c r="Y373" s="2">
        <f>MATCH(Auto_Sales_data___Copy[[#This Row],[Total_Sales_Per_Customer]],Table2[M-Cutoff],1)</f>
        <v>4</v>
      </c>
      <c r="Z373" s="2" t="str">
        <f>Auto_Sales_data___Copy[[#This Row],[R-Score(1-5)]]&amp;Auto_Sales_data___Copy[[#This Row],[F-Score(1-5)]]&amp;Auto_Sales_data___Copy[[#This Row],[M-Score(1-5)]]</f>
        <v>534</v>
      </c>
      <c r="AA373" s="2" t="str" cm="1">
        <f t="array" ref="AA3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3" s="2" t="str">
        <f>VLOOKUP(Auto_Sales_data___Copy[[#This Row],[Segment Name]],Table3[],2,FALSE)</f>
        <v>Brand Awareness &amp; Value Proposition</v>
      </c>
    </row>
    <row r="374" spans="1:28" x14ac:dyDescent="0.25">
      <c r="A374">
        <v>10413</v>
      </c>
      <c r="B374">
        <v>36</v>
      </c>
      <c r="C374">
        <v>241.05</v>
      </c>
      <c r="D374">
        <v>2</v>
      </c>
      <c r="E374">
        <v>8677.7999999999993</v>
      </c>
      <c r="F374" s="1">
        <v>43956</v>
      </c>
      <c r="G374" s="2" t="s">
        <v>19</v>
      </c>
      <c r="H374" s="2" t="s">
        <v>183</v>
      </c>
      <c r="I374">
        <v>207</v>
      </c>
      <c r="J374" s="2" t="s">
        <v>505</v>
      </c>
      <c r="K374" s="2" t="s">
        <v>102</v>
      </c>
      <c r="L374" s="2" t="s">
        <v>103</v>
      </c>
      <c r="M374" s="2" t="s">
        <v>104</v>
      </c>
      <c r="N374" s="2" t="s">
        <v>105</v>
      </c>
      <c r="O374" s="2" t="s">
        <v>106</v>
      </c>
      <c r="P374" s="2" t="s">
        <v>27</v>
      </c>
      <c r="Q374" s="2" t="s">
        <v>107</v>
      </c>
      <c r="R374" s="2" t="s">
        <v>53</v>
      </c>
      <c r="S374" s="2" t="s">
        <v>151</v>
      </c>
      <c r="T374">
        <v>226</v>
      </c>
      <c r="U374">
        <f>VLOOKUP(Auto_Sales_data___Copy[[#This Row],[CUSTOMER_NAME]],$AF$2:$AH$90,2,FALSE)</f>
        <v>25</v>
      </c>
      <c r="V374">
        <f>VLOOKUP(Auto_Sales_data___Copy[[#This Row],[CUSTOMER_NAME]],$AF$2:$AH$90,3,FALSE)</f>
        <v>101894.79000000001</v>
      </c>
      <c r="W374" s="2">
        <f>6-MATCH(Auto_Sales_data___Copy[[#This Row],[DAYS_SINCE_LAST_ORDER]],Table2[R-Cutoff],1)</f>
        <v>5</v>
      </c>
      <c r="X374" s="2">
        <f>MATCH(Auto_Sales_data___Copy[[#This Row],[Total_Orders_Per_Customer]],Table2[F-Cutoff],1)</f>
        <v>3</v>
      </c>
      <c r="Y374" s="2">
        <f>MATCH(Auto_Sales_data___Copy[[#This Row],[Total_Sales_Per_Customer]],Table2[M-Cutoff],1)</f>
        <v>4</v>
      </c>
      <c r="Z374" s="2" t="str">
        <f>Auto_Sales_data___Copy[[#This Row],[R-Score(1-5)]]&amp;Auto_Sales_data___Copy[[#This Row],[F-Score(1-5)]]&amp;Auto_Sales_data___Copy[[#This Row],[M-Score(1-5)]]</f>
        <v>534</v>
      </c>
      <c r="AA374" s="2" t="str" cm="1">
        <f t="array" ref="AA3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4" s="2" t="str">
        <f>VLOOKUP(Auto_Sales_data___Copy[[#This Row],[Segment Name]],Table3[],2,FALSE)</f>
        <v>Brand Awareness &amp; Value Proposition</v>
      </c>
    </row>
    <row r="375" spans="1:28" x14ac:dyDescent="0.25">
      <c r="A375">
        <v>10413</v>
      </c>
      <c r="B375">
        <v>47</v>
      </c>
      <c r="C375">
        <v>175.25</v>
      </c>
      <c r="D375">
        <v>3</v>
      </c>
      <c r="E375">
        <v>8236.75</v>
      </c>
      <c r="F375" s="1">
        <v>43956</v>
      </c>
      <c r="G375" s="2" t="s">
        <v>19</v>
      </c>
      <c r="H375" s="2" t="s">
        <v>183</v>
      </c>
      <c r="I375">
        <v>151</v>
      </c>
      <c r="J375" s="2" t="s">
        <v>545</v>
      </c>
      <c r="K375" s="2" t="s">
        <v>102</v>
      </c>
      <c r="L375" s="2" t="s">
        <v>103</v>
      </c>
      <c r="M375" s="2" t="s">
        <v>104</v>
      </c>
      <c r="N375" s="2" t="s">
        <v>105</v>
      </c>
      <c r="O375" s="2" t="s">
        <v>106</v>
      </c>
      <c r="P375" s="2" t="s">
        <v>27</v>
      </c>
      <c r="Q375" s="2" t="s">
        <v>107</v>
      </c>
      <c r="R375" s="2" t="s">
        <v>53</v>
      </c>
      <c r="S375" s="2" t="s">
        <v>151</v>
      </c>
      <c r="T375">
        <v>301</v>
      </c>
      <c r="U375">
        <f>VLOOKUP(Auto_Sales_data___Copy[[#This Row],[CUSTOMER_NAME]],$AF$2:$AH$90,2,FALSE)</f>
        <v>25</v>
      </c>
      <c r="V375">
        <f>VLOOKUP(Auto_Sales_data___Copy[[#This Row],[CUSTOMER_NAME]],$AF$2:$AH$90,3,FALSE)</f>
        <v>101894.79000000001</v>
      </c>
      <c r="W375" s="2">
        <f>6-MATCH(Auto_Sales_data___Copy[[#This Row],[DAYS_SINCE_LAST_ORDER]],Table2[R-Cutoff],1)</f>
        <v>5</v>
      </c>
      <c r="X375" s="2">
        <f>MATCH(Auto_Sales_data___Copy[[#This Row],[Total_Orders_Per_Customer]],Table2[F-Cutoff],1)</f>
        <v>3</v>
      </c>
      <c r="Y375" s="2">
        <f>MATCH(Auto_Sales_data___Copy[[#This Row],[Total_Sales_Per_Customer]],Table2[M-Cutoff],1)</f>
        <v>4</v>
      </c>
      <c r="Z375" s="2" t="str">
        <f>Auto_Sales_data___Copy[[#This Row],[R-Score(1-5)]]&amp;Auto_Sales_data___Copy[[#This Row],[F-Score(1-5)]]&amp;Auto_Sales_data___Copy[[#This Row],[M-Score(1-5)]]</f>
        <v>534</v>
      </c>
      <c r="AA375" s="2" t="str" cm="1">
        <f t="array" ref="AA3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5" s="2" t="str">
        <f>VLOOKUP(Auto_Sales_data___Copy[[#This Row],[Segment Name]],Table3[],2,FALSE)</f>
        <v>Brand Awareness &amp; Value Proposition</v>
      </c>
    </row>
    <row r="376" spans="1:28" x14ac:dyDescent="0.25">
      <c r="A376">
        <v>10413</v>
      </c>
      <c r="B376">
        <v>22</v>
      </c>
      <c r="C376">
        <v>153.99</v>
      </c>
      <c r="D376">
        <v>1</v>
      </c>
      <c r="E376">
        <v>3387.78</v>
      </c>
      <c r="F376" s="1">
        <v>43956</v>
      </c>
      <c r="G376" s="2" t="s">
        <v>19</v>
      </c>
      <c r="H376" s="2" t="s">
        <v>183</v>
      </c>
      <c r="I376">
        <v>173</v>
      </c>
      <c r="J376" s="2" t="s">
        <v>552</v>
      </c>
      <c r="K376" s="2" t="s">
        <v>102</v>
      </c>
      <c r="L376" s="2" t="s">
        <v>103</v>
      </c>
      <c r="M376" s="2" t="s">
        <v>104</v>
      </c>
      <c r="N376" s="2" t="s">
        <v>105</v>
      </c>
      <c r="O376" s="2" t="s">
        <v>106</v>
      </c>
      <c r="P376" s="2" t="s">
        <v>27</v>
      </c>
      <c r="Q376" s="2" t="s">
        <v>107</v>
      </c>
      <c r="R376" s="2" t="s">
        <v>53</v>
      </c>
      <c r="S376" s="2" t="s">
        <v>46</v>
      </c>
      <c r="T376">
        <v>351</v>
      </c>
      <c r="U376">
        <f>VLOOKUP(Auto_Sales_data___Copy[[#This Row],[CUSTOMER_NAME]],$AF$2:$AH$90,2,FALSE)</f>
        <v>25</v>
      </c>
      <c r="V376">
        <f>VLOOKUP(Auto_Sales_data___Copy[[#This Row],[CUSTOMER_NAME]],$AF$2:$AH$90,3,FALSE)</f>
        <v>101894.79000000001</v>
      </c>
      <c r="W376" s="2">
        <f>6-MATCH(Auto_Sales_data___Copy[[#This Row],[DAYS_SINCE_LAST_ORDER]],Table2[R-Cutoff],1)</f>
        <v>5</v>
      </c>
      <c r="X376" s="2">
        <f>MATCH(Auto_Sales_data___Copy[[#This Row],[Total_Orders_Per_Customer]],Table2[F-Cutoff],1)</f>
        <v>3</v>
      </c>
      <c r="Y376" s="2">
        <f>MATCH(Auto_Sales_data___Copy[[#This Row],[Total_Sales_Per_Customer]],Table2[M-Cutoff],1)</f>
        <v>4</v>
      </c>
      <c r="Z376" s="2" t="str">
        <f>Auto_Sales_data___Copy[[#This Row],[R-Score(1-5)]]&amp;Auto_Sales_data___Copy[[#This Row],[F-Score(1-5)]]&amp;Auto_Sales_data___Copy[[#This Row],[M-Score(1-5)]]</f>
        <v>534</v>
      </c>
      <c r="AA376" s="2" t="str" cm="1">
        <f t="array" ref="AA3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6" s="2" t="str">
        <f>VLOOKUP(Auto_Sales_data___Copy[[#This Row],[Segment Name]],Table3[],2,FALSE)</f>
        <v>Brand Awareness &amp; Value Proposition</v>
      </c>
    </row>
    <row r="377" spans="1:28" x14ac:dyDescent="0.25">
      <c r="A377">
        <v>10129</v>
      </c>
      <c r="B377">
        <v>33</v>
      </c>
      <c r="C377">
        <v>133.28</v>
      </c>
      <c r="D377">
        <v>2</v>
      </c>
      <c r="E377">
        <v>4398.24</v>
      </c>
      <c r="F377" s="1">
        <v>43263</v>
      </c>
      <c r="G377" s="2" t="s">
        <v>19</v>
      </c>
      <c r="H377" s="2" t="s">
        <v>183</v>
      </c>
      <c r="I377">
        <v>136</v>
      </c>
      <c r="J377" s="2" t="s">
        <v>338</v>
      </c>
      <c r="K377" s="2" t="s">
        <v>347</v>
      </c>
      <c r="L377" s="2" t="s">
        <v>348</v>
      </c>
      <c r="M377" s="2" t="s">
        <v>349</v>
      </c>
      <c r="N377" s="2" t="s">
        <v>350</v>
      </c>
      <c r="O377" s="2" t="s">
        <v>351</v>
      </c>
      <c r="P377" s="2" t="s">
        <v>171</v>
      </c>
      <c r="Q377" s="2" t="s">
        <v>100</v>
      </c>
      <c r="R377" s="2" t="s">
        <v>352</v>
      </c>
      <c r="S377" s="2" t="s">
        <v>46</v>
      </c>
      <c r="T377">
        <v>820</v>
      </c>
      <c r="U377">
        <f>VLOOKUP(Auto_Sales_data___Copy[[#This Row],[CUSTOMER_NAME]],$AF$2:$AH$90,2,FALSE)</f>
        <v>26</v>
      </c>
      <c r="V377">
        <f>VLOOKUP(Auto_Sales_data___Copy[[#This Row],[CUSTOMER_NAME]],$AF$2:$AH$90,3,FALSE)</f>
        <v>88804.5</v>
      </c>
      <c r="W377" s="2">
        <f>6-MATCH(Auto_Sales_data___Copy[[#This Row],[DAYS_SINCE_LAST_ORDER]],Table2[R-Cutoff],1)</f>
        <v>5</v>
      </c>
      <c r="X377" s="2">
        <f>MATCH(Auto_Sales_data___Copy[[#This Row],[Total_Orders_Per_Customer]],Table2[F-Cutoff],1)</f>
        <v>3</v>
      </c>
      <c r="Y377" s="2">
        <f>MATCH(Auto_Sales_data___Copy[[#This Row],[Total_Sales_Per_Customer]],Table2[M-Cutoff],1)</f>
        <v>3</v>
      </c>
      <c r="Z377" s="2" t="str">
        <f>Auto_Sales_data___Copy[[#This Row],[R-Score(1-5)]]&amp;Auto_Sales_data___Copy[[#This Row],[F-Score(1-5)]]&amp;Auto_Sales_data___Copy[[#This Row],[M-Score(1-5)]]</f>
        <v>533</v>
      </c>
      <c r="AA377" s="2" t="str" cm="1">
        <f t="array" ref="AA3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7" s="2" t="str">
        <f>VLOOKUP(Auto_Sales_data___Copy[[#This Row],[Segment Name]],Table3[],2,FALSE)</f>
        <v>Brand Awareness &amp; Value Proposition</v>
      </c>
    </row>
    <row r="378" spans="1:28" x14ac:dyDescent="0.25">
      <c r="A378">
        <v>10147</v>
      </c>
      <c r="B378">
        <v>48</v>
      </c>
      <c r="C378">
        <v>192.62</v>
      </c>
      <c r="D378">
        <v>7</v>
      </c>
      <c r="E378">
        <v>9245.76</v>
      </c>
      <c r="F378" s="1">
        <v>43348</v>
      </c>
      <c r="G378" s="2" t="s">
        <v>19</v>
      </c>
      <c r="H378" s="2" t="s">
        <v>183</v>
      </c>
      <c r="I378">
        <v>194</v>
      </c>
      <c r="J378" s="2" t="s">
        <v>449</v>
      </c>
      <c r="K378" s="2" t="s">
        <v>295</v>
      </c>
      <c r="L378" s="2" t="s">
        <v>116</v>
      </c>
      <c r="M378" s="2" t="s">
        <v>296</v>
      </c>
      <c r="N378" s="2" t="s">
        <v>297</v>
      </c>
      <c r="O378" s="2" t="s">
        <v>298</v>
      </c>
      <c r="P378" s="2" t="s">
        <v>27</v>
      </c>
      <c r="Q378" s="2" t="s">
        <v>288</v>
      </c>
      <c r="R378" s="2" t="s">
        <v>299</v>
      </c>
      <c r="S378" s="2" t="s">
        <v>151</v>
      </c>
      <c r="T378">
        <v>788</v>
      </c>
      <c r="U378">
        <f>VLOOKUP(Auto_Sales_data___Copy[[#This Row],[CUSTOMER_NAME]],$AF$2:$AH$90,2,FALSE)</f>
        <v>24</v>
      </c>
      <c r="V378">
        <f>VLOOKUP(Auto_Sales_data___Copy[[#This Row],[CUSTOMER_NAME]],$AF$2:$AH$90,3,FALSE)</f>
        <v>81577.98</v>
      </c>
      <c r="W378" s="2">
        <f>6-MATCH(Auto_Sales_data___Copy[[#This Row],[DAYS_SINCE_LAST_ORDER]],Table2[R-Cutoff],1)</f>
        <v>5</v>
      </c>
      <c r="X378" s="2">
        <f>MATCH(Auto_Sales_data___Copy[[#This Row],[Total_Orders_Per_Customer]],Table2[F-Cutoff],1)</f>
        <v>3</v>
      </c>
      <c r="Y378" s="2">
        <f>MATCH(Auto_Sales_data___Copy[[#This Row],[Total_Sales_Per_Customer]],Table2[M-Cutoff],1)</f>
        <v>3</v>
      </c>
      <c r="Z378" s="2" t="str">
        <f>Auto_Sales_data___Copy[[#This Row],[R-Score(1-5)]]&amp;Auto_Sales_data___Copy[[#This Row],[F-Score(1-5)]]&amp;Auto_Sales_data___Copy[[#This Row],[M-Score(1-5)]]</f>
        <v>533</v>
      </c>
      <c r="AA378" s="2" t="str" cm="1">
        <f t="array" ref="AA3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8" s="2" t="str">
        <f>VLOOKUP(Auto_Sales_data___Copy[[#This Row],[Segment Name]],Table3[],2,FALSE)</f>
        <v>Brand Awareness &amp; Value Proposition</v>
      </c>
    </row>
    <row r="379" spans="1:28" x14ac:dyDescent="0.25">
      <c r="A379">
        <v>10147</v>
      </c>
      <c r="B379">
        <v>31</v>
      </c>
      <c r="C379">
        <v>112.74</v>
      </c>
      <c r="D379">
        <v>5</v>
      </c>
      <c r="E379">
        <v>3494.94</v>
      </c>
      <c r="F379" s="1">
        <v>43348</v>
      </c>
      <c r="G379" s="2" t="s">
        <v>19</v>
      </c>
      <c r="H379" s="2" t="s">
        <v>183</v>
      </c>
      <c r="I379">
        <v>117</v>
      </c>
      <c r="J379" s="2" t="s">
        <v>546</v>
      </c>
      <c r="K379" s="2" t="s">
        <v>295</v>
      </c>
      <c r="L379" s="2" t="s">
        <v>116</v>
      </c>
      <c r="M379" s="2" t="s">
        <v>296</v>
      </c>
      <c r="N379" s="2" t="s">
        <v>297</v>
      </c>
      <c r="O379" s="2" t="s">
        <v>298</v>
      </c>
      <c r="P379" s="2" t="s">
        <v>27</v>
      </c>
      <c r="Q379" s="2" t="s">
        <v>288</v>
      </c>
      <c r="R379" s="2" t="s">
        <v>299</v>
      </c>
      <c r="S379" s="2" t="s">
        <v>46</v>
      </c>
      <c r="T379">
        <v>913</v>
      </c>
      <c r="U379">
        <f>VLOOKUP(Auto_Sales_data___Copy[[#This Row],[CUSTOMER_NAME]],$AF$2:$AH$90,2,FALSE)</f>
        <v>24</v>
      </c>
      <c r="V379">
        <f>VLOOKUP(Auto_Sales_data___Copy[[#This Row],[CUSTOMER_NAME]],$AF$2:$AH$90,3,FALSE)</f>
        <v>81577.98</v>
      </c>
      <c r="W379" s="2">
        <f>6-MATCH(Auto_Sales_data___Copy[[#This Row],[DAYS_SINCE_LAST_ORDER]],Table2[R-Cutoff],1)</f>
        <v>5</v>
      </c>
      <c r="X379" s="2">
        <f>MATCH(Auto_Sales_data___Copy[[#This Row],[Total_Orders_Per_Customer]],Table2[F-Cutoff],1)</f>
        <v>3</v>
      </c>
      <c r="Y379" s="2">
        <f>MATCH(Auto_Sales_data___Copy[[#This Row],[Total_Sales_Per_Customer]],Table2[M-Cutoff],1)</f>
        <v>3</v>
      </c>
      <c r="Z379" s="2" t="str">
        <f>Auto_Sales_data___Copy[[#This Row],[R-Score(1-5)]]&amp;Auto_Sales_data___Copy[[#This Row],[F-Score(1-5)]]&amp;Auto_Sales_data___Copy[[#This Row],[M-Score(1-5)]]</f>
        <v>533</v>
      </c>
      <c r="AA379" s="2" t="str" cm="1">
        <f t="array" ref="AA3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9" s="2" t="str">
        <f>VLOOKUP(Auto_Sales_data___Copy[[#This Row],[Segment Name]],Table3[],2,FALSE)</f>
        <v>Brand Awareness &amp; Value Proposition</v>
      </c>
    </row>
    <row r="380" spans="1:28" x14ac:dyDescent="0.25">
      <c r="A380">
        <v>10175</v>
      </c>
      <c r="B380">
        <v>33</v>
      </c>
      <c r="C380">
        <v>162.51</v>
      </c>
      <c r="D380">
        <v>9</v>
      </c>
      <c r="E380">
        <v>5362.83</v>
      </c>
      <c r="F380" s="1">
        <v>43410</v>
      </c>
      <c r="G380" s="2" t="s">
        <v>19</v>
      </c>
      <c r="H380" s="2" t="s">
        <v>183</v>
      </c>
      <c r="I380">
        <v>147</v>
      </c>
      <c r="J380" s="2" t="s">
        <v>424</v>
      </c>
      <c r="K380" s="2" t="s">
        <v>347</v>
      </c>
      <c r="L380" s="2" t="s">
        <v>348</v>
      </c>
      <c r="M380" s="2" t="s">
        <v>349</v>
      </c>
      <c r="N380" s="2" t="s">
        <v>350</v>
      </c>
      <c r="O380" s="2" t="s">
        <v>351</v>
      </c>
      <c r="P380" s="2" t="s">
        <v>171</v>
      </c>
      <c r="Q380" s="2" t="s">
        <v>100</v>
      </c>
      <c r="R380" s="2" t="s">
        <v>352</v>
      </c>
      <c r="S380" s="2" t="s">
        <v>46</v>
      </c>
      <c r="T380">
        <v>702</v>
      </c>
      <c r="U380">
        <f>VLOOKUP(Auto_Sales_data___Copy[[#This Row],[CUSTOMER_NAME]],$AF$2:$AH$90,2,FALSE)</f>
        <v>26</v>
      </c>
      <c r="V380">
        <f>VLOOKUP(Auto_Sales_data___Copy[[#This Row],[CUSTOMER_NAME]],$AF$2:$AH$90,3,FALSE)</f>
        <v>88804.5</v>
      </c>
      <c r="W380" s="2">
        <f>6-MATCH(Auto_Sales_data___Copy[[#This Row],[DAYS_SINCE_LAST_ORDER]],Table2[R-Cutoff],1)</f>
        <v>5</v>
      </c>
      <c r="X380" s="2">
        <f>MATCH(Auto_Sales_data___Copy[[#This Row],[Total_Orders_Per_Customer]],Table2[F-Cutoff],1)</f>
        <v>3</v>
      </c>
      <c r="Y380" s="2">
        <f>MATCH(Auto_Sales_data___Copy[[#This Row],[Total_Sales_Per_Customer]],Table2[M-Cutoff],1)</f>
        <v>3</v>
      </c>
      <c r="Z380" s="2" t="str">
        <f>Auto_Sales_data___Copy[[#This Row],[R-Score(1-5)]]&amp;Auto_Sales_data___Copy[[#This Row],[F-Score(1-5)]]&amp;Auto_Sales_data___Copy[[#This Row],[M-Score(1-5)]]</f>
        <v>533</v>
      </c>
      <c r="AA380" s="2" t="str" cm="1">
        <f t="array" ref="AA3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0" s="2" t="str">
        <f>VLOOKUP(Auto_Sales_data___Copy[[#This Row],[Segment Name]],Table3[],2,FALSE)</f>
        <v>Brand Awareness &amp; Value Proposition</v>
      </c>
    </row>
    <row r="381" spans="1:28" x14ac:dyDescent="0.25">
      <c r="A381">
        <v>10175</v>
      </c>
      <c r="B381">
        <v>26</v>
      </c>
      <c r="C381">
        <v>136.28</v>
      </c>
      <c r="D381">
        <v>1</v>
      </c>
      <c r="E381">
        <v>3543.28</v>
      </c>
      <c r="F381" s="1">
        <v>43410</v>
      </c>
      <c r="G381" s="2" t="s">
        <v>19</v>
      </c>
      <c r="H381" s="2" t="s">
        <v>537</v>
      </c>
      <c r="I381">
        <v>118</v>
      </c>
      <c r="J381" s="2" t="s">
        <v>554</v>
      </c>
      <c r="K381" s="2" t="s">
        <v>347</v>
      </c>
      <c r="L381" s="2" t="s">
        <v>348</v>
      </c>
      <c r="M381" s="2" t="s">
        <v>349</v>
      </c>
      <c r="N381" s="2" t="s">
        <v>350</v>
      </c>
      <c r="O381" s="2" t="s">
        <v>351</v>
      </c>
      <c r="P381" s="2" t="s">
        <v>171</v>
      </c>
      <c r="Q381" s="2" t="s">
        <v>100</v>
      </c>
      <c r="R381" s="2" t="s">
        <v>352</v>
      </c>
      <c r="S381" s="2" t="s">
        <v>46</v>
      </c>
      <c r="T381">
        <v>928</v>
      </c>
      <c r="U381">
        <f>VLOOKUP(Auto_Sales_data___Copy[[#This Row],[CUSTOMER_NAME]],$AF$2:$AH$90,2,FALSE)</f>
        <v>26</v>
      </c>
      <c r="V381">
        <f>VLOOKUP(Auto_Sales_data___Copy[[#This Row],[CUSTOMER_NAME]],$AF$2:$AH$90,3,FALSE)</f>
        <v>88804.5</v>
      </c>
      <c r="W381" s="2">
        <f>6-MATCH(Auto_Sales_data___Copy[[#This Row],[DAYS_SINCE_LAST_ORDER]],Table2[R-Cutoff],1)</f>
        <v>5</v>
      </c>
      <c r="X381" s="2">
        <f>MATCH(Auto_Sales_data___Copy[[#This Row],[Total_Orders_Per_Customer]],Table2[F-Cutoff],1)</f>
        <v>3</v>
      </c>
      <c r="Y381" s="2">
        <f>MATCH(Auto_Sales_data___Copy[[#This Row],[Total_Sales_Per_Customer]],Table2[M-Cutoff],1)</f>
        <v>3</v>
      </c>
      <c r="Z381" s="2" t="str">
        <f>Auto_Sales_data___Copy[[#This Row],[R-Score(1-5)]]&amp;Auto_Sales_data___Copy[[#This Row],[F-Score(1-5)]]&amp;Auto_Sales_data___Copy[[#This Row],[M-Score(1-5)]]</f>
        <v>533</v>
      </c>
      <c r="AA381" s="2" t="str" cm="1">
        <f t="array" ref="AA3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1" s="2" t="str">
        <f>VLOOKUP(Auto_Sales_data___Copy[[#This Row],[Segment Name]],Table3[],2,FALSE)</f>
        <v>Brand Awareness &amp; Value Proposition</v>
      </c>
    </row>
    <row r="382" spans="1:28" x14ac:dyDescent="0.25">
      <c r="A382">
        <v>10191</v>
      </c>
      <c r="B382">
        <v>21</v>
      </c>
      <c r="C382">
        <v>182.9</v>
      </c>
      <c r="D382">
        <v>3</v>
      </c>
      <c r="E382">
        <v>3840.9</v>
      </c>
      <c r="F382" s="1">
        <v>43424</v>
      </c>
      <c r="G382" s="2" t="s">
        <v>19</v>
      </c>
      <c r="H382" s="2" t="s">
        <v>183</v>
      </c>
      <c r="I382">
        <v>194</v>
      </c>
      <c r="J382" s="2" t="s">
        <v>449</v>
      </c>
      <c r="K382" s="2" t="s">
        <v>465</v>
      </c>
      <c r="L382" s="2" t="s">
        <v>466</v>
      </c>
      <c r="M382" s="2" t="s">
        <v>467</v>
      </c>
      <c r="N382" s="2" t="s">
        <v>468</v>
      </c>
      <c r="O382" s="2" t="s">
        <v>469</v>
      </c>
      <c r="P382" s="2" t="s">
        <v>470</v>
      </c>
      <c r="Q382" s="2" t="s">
        <v>471</v>
      </c>
      <c r="R382" s="2" t="s">
        <v>472</v>
      </c>
      <c r="S382" s="2" t="s">
        <v>46</v>
      </c>
      <c r="T382">
        <v>715</v>
      </c>
      <c r="U382">
        <f>VLOOKUP(Auto_Sales_data___Copy[[#This Row],[CUSTOMER_NAME]],$AF$2:$AH$90,2,FALSE)</f>
        <v>26</v>
      </c>
      <c r="V382">
        <f>VLOOKUP(Auto_Sales_data___Copy[[#This Row],[CUSTOMER_NAME]],$AF$2:$AH$90,3,FALSE)</f>
        <v>100306.58000000002</v>
      </c>
      <c r="W382" s="2">
        <f>6-MATCH(Auto_Sales_data___Copy[[#This Row],[DAYS_SINCE_LAST_ORDER]],Table2[R-Cutoff],1)</f>
        <v>5</v>
      </c>
      <c r="X382" s="2">
        <f>MATCH(Auto_Sales_data___Copy[[#This Row],[Total_Orders_Per_Customer]],Table2[F-Cutoff],1)</f>
        <v>3</v>
      </c>
      <c r="Y382" s="2">
        <f>MATCH(Auto_Sales_data___Copy[[#This Row],[Total_Sales_Per_Customer]],Table2[M-Cutoff],1)</f>
        <v>3</v>
      </c>
      <c r="Z382" s="2" t="str">
        <f>Auto_Sales_data___Copy[[#This Row],[R-Score(1-5)]]&amp;Auto_Sales_data___Copy[[#This Row],[F-Score(1-5)]]&amp;Auto_Sales_data___Copy[[#This Row],[M-Score(1-5)]]</f>
        <v>533</v>
      </c>
      <c r="AA382" s="2" t="str" cm="1">
        <f t="array" ref="AA3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2" s="2" t="str">
        <f>VLOOKUP(Auto_Sales_data___Copy[[#This Row],[Segment Name]],Table3[],2,FALSE)</f>
        <v>Brand Awareness &amp; Value Proposition</v>
      </c>
    </row>
    <row r="383" spans="1:28" x14ac:dyDescent="0.25">
      <c r="A383">
        <v>10191</v>
      </c>
      <c r="B383">
        <v>40</v>
      </c>
      <c r="C383">
        <v>139.75</v>
      </c>
      <c r="D383">
        <v>1</v>
      </c>
      <c r="E383">
        <v>5590</v>
      </c>
      <c r="F383" s="1">
        <v>43424</v>
      </c>
      <c r="G383" s="2" t="s">
        <v>19</v>
      </c>
      <c r="H383" s="2" t="s">
        <v>183</v>
      </c>
      <c r="I383">
        <v>117</v>
      </c>
      <c r="J383" s="2" t="s">
        <v>546</v>
      </c>
      <c r="K383" s="2" t="s">
        <v>465</v>
      </c>
      <c r="L383" s="2" t="s">
        <v>466</v>
      </c>
      <c r="M383" s="2" t="s">
        <v>467</v>
      </c>
      <c r="N383" s="2" t="s">
        <v>468</v>
      </c>
      <c r="O383" s="2" t="s">
        <v>469</v>
      </c>
      <c r="P383" s="2" t="s">
        <v>470</v>
      </c>
      <c r="Q383" s="2" t="s">
        <v>471</v>
      </c>
      <c r="R383" s="2" t="s">
        <v>472</v>
      </c>
      <c r="S383" s="2" t="s">
        <v>46</v>
      </c>
      <c r="T383">
        <v>840</v>
      </c>
      <c r="U383">
        <f>VLOOKUP(Auto_Sales_data___Copy[[#This Row],[CUSTOMER_NAME]],$AF$2:$AH$90,2,FALSE)</f>
        <v>26</v>
      </c>
      <c r="V383">
        <f>VLOOKUP(Auto_Sales_data___Copy[[#This Row],[CUSTOMER_NAME]],$AF$2:$AH$90,3,FALSE)</f>
        <v>100306.58000000002</v>
      </c>
      <c r="W383" s="2">
        <f>6-MATCH(Auto_Sales_data___Copy[[#This Row],[DAYS_SINCE_LAST_ORDER]],Table2[R-Cutoff],1)</f>
        <v>5</v>
      </c>
      <c r="X383" s="2">
        <f>MATCH(Auto_Sales_data___Copy[[#This Row],[Total_Orders_Per_Customer]],Table2[F-Cutoff],1)</f>
        <v>3</v>
      </c>
      <c r="Y383" s="2">
        <f>MATCH(Auto_Sales_data___Copy[[#This Row],[Total_Sales_Per_Customer]],Table2[M-Cutoff],1)</f>
        <v>3</v>
      </c>
      <c r="Z383" s="2" t="str">
        <f>Auto_Sales_data___Copy[[#This Row],[R-Score(1-5)]]&amp;Auto_Sales_data___Copy[[#This Row],[F-Score(1-5)]]&amp;Auto_Sales_data___Copy[[#This Row],[M-Score(1-5)]]</f>
        <v>533</v>
      </c>
      <c r="AA383" s="2" t="str" cm="1">
        <f t="array" ref="AA3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3" s="2" t="str">
        <f>VLOOKUP(Auto_Sales_data___Copy[[#This Row],[Segment Name]],Table3[],2,FALSE)</f>
        <v>Brand Awareness &amp; Value Proposition</v>
      </c>
    </row>
    <row r="384" spans="1:28" x14ac:dyDescent="0.25">
      <c r="A384">
        <v>10191</v>
      </c>
      <c r="B384">
        <v>30</v>
      </c>
      <c r="C384">
        <v>64.64</v>
      </c>
      <c r="D384">
        <v>4</v>
      </c>
      <c r="E384">
        <v>1939.2</v>
      </c>
      <c r="F384" s="1">
        <v>43424</v>
      </c>
      <c r="G384" s="2" t="s">
        <v>19</v>
      </c>
      <c r="H384" s="2" t="s">
        <v>183</v>
      </c>
      <c r="I384">
        <v>79</v>
      </c>
      <c r="J384" s="2" t="s">
        <v>553</v>
      </c>
      <c r="K384" s="2" t="s">
        <v>465</v>
      </c>
      <c r="L384" s="2" t="s">
        <v>466</v>
      </c>
      <c r="M384" s="2" t="s">
        <v>467</v>
      </c>
      <c r="N384" s="2" t="s">
        <v>468</v>
      </c>
      <c r="O384" s="2" t="s">
        <v>469</v>
      </c>
      <c r="P384" s="2" t="s">
        <v>470</v>
      </c>
      <c r="Q384" s="2" t="s">
        <v>471</v>
      </c>
      <c r="R384" s="2" t="s">
        <v>472</v>
      </c>
      <c r="S384" s="2" t="s">
        <v>30</v>
      </c>
      <c r="T384">
        <v>890</v>
      </c>
      <c r="U384">
        <f>VLOOKUP(Auto_Sales_data___Copy[[#This Row],[CUSTOMER_NAME]],$AF$2:$AH$90,2,FALSE)</f>
        <v>26</v>
      </c>
      <c r="V384">
        <f>VLOOKUP(Auto_Sales_data___Copy[[#This Row],[CUSTOMER_NAME]],$AF$2:$AH$90,3,FALSE)</f>
        <v>100306.58000000002</v>
      </c>
      <c r="W384" s="2">
        <f>6-MATCH(Auto_Sales_data___Copy[[#This Row],[DAYS_SINCE_LAST_ORDER]],Table2[R-Cutoff],1)</f>
        <v>5</v>
      </c>
      <c r="X384" s="2">
        <f>MATCH(Auto_Sales_data___Copy[[#This Row],[Total_Orders_Per_Customer]],Table2[F-Cutoff],1)</f>
        <v>3</v>
      </c>
      <c r="Y384" s="2">
        <f>MATCH(Auto_Sales_data___Copy[[#This Row],[Total_Sales_Per_Customer]],Table2[M-Cutoff],1)</f>
        <v>3</v>
      </c>
      <c r="Z384" s="2" t="str">
        <f>Auto_Sales_data___Copy[[#This Row],[R-Score(1-5)]]&amp;Auto_Sales_data___Copy[[#This Row],[F-Score(1-5)]]&amp;Auto_Sales_data___Copy[[#This Row],[M-Score(1-5)]]</f>
        <v>533</v>
      </c>
      <c r="AA384" s="2" t="str" cm="1">
        <f t="array" ref="AA3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4" s="2" t="str">
        <f>VLOOKUP(Auto_Sales_data___Copy[[#This Row],[Segment Name]],Table3[],2,FALSE)</f>
        <v>Brand Awareness &amp; Value Proposition</v>
      </c>
    </row>
    <row r="385" spans="1:28" x14ac:dyDescent="0.25">
      <c r="A385">
        <v>10195</v>
      </c>
      <c r="B385">
        <v>49</v>
      </c>
      <c r="C385">
        <v>131.54</v>
      </c>
      <c r="D385">
        <v>6</v>
      </c>
      <c r="E385">
        <v>6445.46</v>
      </c>
      <c r="F385" s="1">
        <v>43429</v>
      </c>
      <c r="G385" s="2" t="s">
        <v>19</v>
      </c>
      <c r="H385" s="2" t="s">
        <v>537</v>
      </c>
      <c r="I385">
        <v>118</v>
      </c>
      <c r="J385" s="2" t="s">
        <v>554</v>
      </c>
      <c r="K385" s="2" t="s">
        <v>332</v>
      </c>
      <c r="L385" s="2" t="s">
        <v>333</v>
      </c>
      <c r="M385" s="2" t="s">
        <v>334</v>
      </c>
      <c r="N385" s="2" t="s">
        <v>335</v>
      </c>
      <c r="O385" s="2" t="s">
        <v>336</v>
      </c>
      <c r="P385" s="2" t="s">
        <v>27</v>
      </c>
      <c r="Q385" s="2" t="s">
        <v>93</v>
      </c>
      <c r="R385" s="2" t="s">
        <v>244</v>
      </c>
      <c r="S385" s="2" t="s">
        <v>46</v>
      </c>
      <c r="T385">
        <v>911</v>
      </c>
      <c r="U385">
        <f>VLOOKUP(Auto_Sales_data___Copy[[#This Row],[CUSTOMER_NAME]],$AF$2:$AH$90,2,FALSE)</f>
        <v>26</v>
      </c>
      <c r="V385">
        <f>VLOOKUP(Auto_Sales_data___Copy[[#This Row],[CUSTOMER_NAME]],$AF$2:$AH$90,3,FALSE)</f>
        <v>85555.989999999976</v>
      </c>
      <c r="W385" s="2">
        <f>6-MATCH(Auto_Sales_data___Copy[[#This Row],[DAYS_SINCE_LAST_ORDER]],Table2[R-Cutoff],1)</f>
        <v>5</v>
      </c>
      <c r="X385" s="2">
        <f>MATCH(Auto_Sales_data___Copy[[#This Row],[Total_Orders_Per_Customer]],Table2[F-Cutoff],1)</f>
        <v>3</v>
      </c>
      <c r="Y385" s="2">
        <f>MATCH(Auto_Sales_data___Copy[[#This Row],[Total_Sales_Per_Customer]],Table2[M-Cutoff],1)</f>
        <v>3</v>
      </c>
      <c r="Z385" s="2" t="str">
        <f>Auto_Sales_data___Copy[[#This Row],[R-Score(1-5)]]&amp;Auto_Sales_data___Copy[[#This Row],[F-Score(1-5)]]&amp;Auto_Sales_data___Copy[[#This Row],[M-Score(1-5)]]</f>
        <v>533</v>
      </c>
      <c r="AA385" s="2" t="str" cm="1">
        <f t="array" ref="AA3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5" s="2" t="str">
        <f>VLOOKUP(Auto_Sales_data___Copy[[#This Row],[Segment Name]],Table3[],2,FALSE)</f>
        <v>Brand Awareness &amp; Value Proposition</v>
      </c>
    </row>
    <row r="386" spans="1:28" x14ac:dyDescent="0.25">
      <c r="A386">
        <v>10222</v>
      </c>
      <c r="B386">
        <v>49</v>
      </c>
      <c r="C386">
        <v>122.4</v>
      </c>
      <c r="D386">
        <v>12</v>
      </c>
      <c r="E386">
        <v>5997.6</v>
      </c>
      <c r="F386" s="1">
        <v>43515</v>
      </c>
      <c r="G386" s="2" t="s">
        <v>19</v>
      </c>
      <c r="H386" s="2" t="s">
        <v>183</v>
      </c>
      <c r="I386">
        <v>136</v>
      </c>
      <c r="J386" s="2" t="s">
        <v>338</v>
      </c>
      <c r="K386" s="2" t="s">
        <v>379</v>
      </c>
      <c r="L386" s="2" t="s">
        <v>380</v>
      </c>
      <c r="M386" s="2" t="s">
        <v>381</v>
      </c>
      <c r="N386" s="2" t="s">
        <v>382</v>
      </c>
      <c r="O386" s="2" t="s">
        <v>383</v>
      </c>
      <c r="P386" s="2" t="s">
        <v>27</v>
      </c>
      <c r="Q386" s="2" t="s">
        <v>243</v>
      </c>
      <c r="R386" s="2" t="s">
        <v>289</v>
      </c>
      <c r="S386" s="2" t="s">
        <v>46</v>
      </c>
      <c r="T386">
        <v>575</v>
      </c>
      <c r="U386">
        <f>VLOOKUP(Auto_Sales_data___Copy[[#This Row],[CUSTOMER_NAME]],$AF$2:$AH$90,2,FALSE)</f>
        <v>25</v>
      </c>
      <c r="V386">
        <f>VLOOKUP(Auto_Sales_data___Copy[[#This Row],[CUSTOMER_NAME]],$AF$2:$AH$90,3,FALSE)</f>
        <v>87489.23000000001</v>
      </c>
      <c r="W386" s="2">
        <f>6-MATCH(Auto_Sales_data___Copy[[#This Row],[DAYS_SINCE_LAST_ORDER]],Table2[R-Cutoff],1)</f>
        <v>5</v>
      </c>
      <c r="X386" s="2">
        <f>MATCH(Auto_Sales_data___Copy[[#This Row],[Total_Orders_Per_Customer]],Table2[F-Cutoff],1)</f>
        <v>3</v>
      </c>
      <c r="Y386" s="2">
        <f>MATCH(Auto_Sales_data___Copy[[#This Row],[Total_Sales_Per_Customer]],Table2[M-Cutoff],1)</f>
        <v>3</v>
      </c>
      <c r="Z386" s="2" t="str">
        <f>Auto_Sales_data___Copy[[#This Row],[R-Score(1-5)]]&amp;Auto_Sales_data___Copy[[#This Row],[F-Score(1-5)]]&amp;Auto_Sales_data___Copy[[#This Row],[M-Score(1-5)]]</f>
        <v>533</v>
      </c>
      <c r="AA386" s="2" t="str" cm="1">
        <f t="array" ref="AA3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6" s="2" t="str">
        <f>VLOOKUP(Auto_Sales_data___Copy[[#This Row],[Segment Name]],Table3[],2,FALSE)</f>
        <v>Brand Awareness &amp; Value Proposition</v>
      </c>
    </row>
    <row r="387" spans="1:28" x14ac:dyDescent="0.25">
      <c r="A387">
        <v>10237</v>
      </c>
      <c r="B387">
        <v>23</v>
      </c>
      <c r="C387">
        <v>101.44</v>
      </c>
      <c r="D387">
        <v>7</v>
      </c>
      <c r="E387">
        <v>2333.12</v>
      </c>
      <c r="F387" s="1">
        <v>43560</v>
      </c>
      <c r="G387" s="2" t="s">
        <v>19</v>
      </c>
      <c r="H387" s="2" t="s">
        <v>20</v>
      </c>
      <c r="I387">
        <v>95</v>
      </c>
      <c r="J387" s="2" t="s">
        <v>21</v>
      </c>
      <c r="K387" s="2" t="s">
        <v>90</v>
      </c>
      <c r="L387" s="2" t="s">
        <v>91</v>
      </c>
      <c r="M387" s="2" t="s">
        <v>92</v>
      </c>
      <c r="N387" s="2" t="s">
        <v>25</v>
      </c>
      <c r="O387" s="2" t="s">
        <v>26</v>
      </c>
      <c r="P387" s="2" t="s">
        <v>27</v>
      </c>
      <c r="Q387" s="2" t="s">
        <v>93</v>
      </c>
      <c r="R387" s="2" t="s">
        <v>94</v>
      </c>
      <c r="S387" s="2" t="s">
        <v>30</v>
      </c>
      <c r="T387">
        <v>432</v>
      </c>
      <c r="U387">
        <f>VLOOKUP(Auto_Sales_data___Copy[[#This Row],[CUSTOMER_NAME]],$AF$2:$AH$90,2,FALSE)</f>
        <v>25</v>
      </c>
      <c r="V387">
        <f>VLOOKUP(Auto_Sales_data___Copy[[#This Row],[CUSTOMER_NAME]],$AF$2:$AH$90,3,FALSE)</f>
        <v>88041.260000000009</v>
      </c>
      <c r="W387" s="2">
        <f>6-MATCH(Auto_Sales_data___Copy[[#This Row],[DAYS_SINCE_LAST_ORDER]],Table2[R-Cutoff],1)</f>
        <v>5</v>
      </c>
      <c r="X387" s="2">
        <f>MATCH(Auto_Sales_data___Copy[[#This Row],[Total_Orders_Per_Customer]],Table2[F-Cutoff],1)</f>
        <v>3</v>
      </c>
      <c r="Y387" s="2">
        <f>MATCH(Auto_Sales_data___Copy[[#This Row],[Total_Sales_Per_Customer]],Table2[M-Cutoff],1)</f>
        <v>3</v>
      </c>
      <c r="Z387" s="2" t="str">
        <f>Auto_Sales_data___Copy[[#This Row],[R-Score(1-5)]]&amp;Auto_Sales_data___Copy[[#This Row],[F-Score(1-5)]]&amp;Auto_Sales_data___Copy[[#This Row],[M-Score(1-5)]]</f>
        <v>533</v>
      </c>
      <c r="AA387" s="2" t="str" cm="1">
        <f t="array" ref="AA3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7" s="2" t="str">
        <f>VLOOKUP(Auto_Sales_data___Copy[[#This Row],[Segment Name]],Table3[],2,FALSE)</f>
        <v>Brand Awareness &amp; Value Proposition</v>
      </c>
    </row>
    <row r="388" spans="1:28" x14ac:dyDescent="0.25">
      <c r="A388">
        <v>10237</v>
      </c>
      <c r="B388">
        <v>39</v>
      </c>
      <c r="C388">
        <v>180.1</v>
      </c>
      <c r="D388">
        <v>9</v>
      </c>
      <c r="E388">
        <v>7023.9</v>
      </c>
      <c r="F388" s="1">
        <v>43560</v>
      </c>
      <c r="G388" s="2" t="s">
        <v>19</v>
      </c>
      <c r="H388" s="2" t="s">
        <v>20</v>
      </c>
      <c r="I388">
        <v>193</v>
      </c>
      <c r="J388" s="2" t="s">
        <v>337</v>
      </c>
      <c r="K388" s="2" t="s">
        <v>90</v>
      </c>
      <c r="L388" s="2" t="s">
        <v>91</v>
      </c>
      <c r="M388" s="2" t="s">
        <v>92</v>
      </c>
      <c r="N388" s="2" t="s">
        <v>25</v>
      </c>
      <c r="O388" s="2" t="s">
        <v>26</v>
      </c>
      <c r="P388" s="2" t="s">
        <v>27</v>
      </c>
      <c r="Q388" s="2" t="s">
        <v>93</v>
      </c>
      <c r="R388" s="2" t="s">
        <v>94</v>
      </c>
      <c r="S388" s="2" t="s">
        <v>151</v>
      </c>
      <c r="T388">
        <v>506</v>
      </c>
      <c r="U388">
        <f>VLOOKUP(Auto_Sales_data___Copy[[#This Row],[CUSTOMER_NAME]],$AF$2:$AH$90,2,FALSE)</f>
        <v>25</v>
      </c>
      <c r="V388">
        <f>VLOOKUP(Auto_Sales_data___Copy[[#This Row],[CUSTOMER_NAME]],$AF$2:$AH$90,3,FALSE)</f>
        <v>88041.260000000009</v>
      </c>
      <c r="W388" s="2">
        <f>6-MATCH(Auto_Sales_data___Copy[[#This Row],[DAYS_SINCE_LAST_ORDER]],Table2[R-Cutoff],1)</f>
        <v>5</v>
      </c>
      <c r="X388" s="2">
        <f>MATCH(Auto_Sales_data___Copy[[#This Row],[Total_Orders_Per_Customer]],Table2[F-Cutoff],1)</f>
        <v>3</v>
      </c>
      <c r="Y388" s="2">
        <f>MATCH(Auto_Sales_data___Copy[[#This Row],[Total_Sales_Per_Customer]],Table2[M-Cutoff],1)</f>
        <v>3</v>
      </c>
      <c r="Z388" s="2" t="str">
        <f>Auto_Sales_data___Copy[[#This Row],[R-Score(1-5)]]&amp;Auto_Sales_data___Copy[[#This Row],[F-Score(1-5)]]&amp;Auto_Sales_data___Copy[[#This Row],[M-Score(1-5)]]</f>
        <v>533</v>
      </c>
      <c r="AA388" s="2" t="str" cm="1">
        <f t="array" ref="AA3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8" s="2" t="str">
        <f>VLOOKUP(Auto_Sales_data___Copy[[#This Row],[Segment Name]],Table3[],2,FALSE)</f>
        <v>Brand Awareness &amp; Value Proposition</v>
      </c>
    </row>
    <row r="389" spans="1:28" x14ac:dyDescent="0.25">
      <c r="A389">
        <v>10237</v>
      </c>
      <c r="B389">
        <v>32</v>
      </c>
      <c r="C389">
        <v>131.04</v>
      </c>
      <c r="D389">
        <v>6</v>
      </c>
      <c r="E389">
        <v>4193.28</v>
      </c>
      <c r="F389" s="1">
        <v>43560</v>
      </c>
      <c r="G389" s="2" t="s">
        <v>19</v>
      </c>
      <c r="H389" s="2" t="s">
        <v>20</v>
      </c>
      <c r="I389">
        <v>150</v>
      </c>
      <c r="J389" s="2" t="s">
        <v>539</v>
      </c>
      <c r="K389" s="2" t="s">
        <v>90</v>
      </c>
      <c r="L389" s="2" t="s">
        <v>91</v>
      </c>
      <c r="M389" s="2" t="s">
        <v>92</v>
      </c>
      <c r="N389" s="2" t="s">
        <v>25</v>
      </c>
      <c r="O389" s="2" t="s">
        <v>26</v>
      </c>
      <c r="P389" s="2" t="s">
        <v>27</v>
      </c>
      <c r="Q389" s="2" t="s">
        <v>93</v>
      </c>
      <c r="R389" s="2" t="s">
        <v>94</v>
      </c>
      <c r="S389" s="2" t="s">
        <v>46</v>
      </c>
      <c r="T389">
        <v>658</v>
      </c>
      <c r="U389">
        <f>VLOOKUP(Auto_Sales_data___Copy[[#This Row],[CUSTOMER_NAME]],$AF$2:$AH$90,2,FALSE)</f>
        <v>25</v>
      </c>
      <c r="V389">
        <f>VLOOKUP(Auto_Sales_data___Copy[[#This Row],[CUSTOMER_NAME]],$AF$2:$AH$90,3,FALSE)</f>
        <v>88041.260000000009</v>
      </c>
      <c r="W389" s="2">
        <f>6-MATCH(Auto_Sales_data___Copy[[#This Row],[DAYS_SINCE_LAST_ORDER]],Table2[R-Cutoff],1)</f>
        <v>5</v>
      </c>
      <c r="X389" s="2">
        <f>MATCH(Auto_Sales_data___Copy[[#This Row],[Total_Orders_Per_Customer]],Table2[F-Cutoff],1)</f>
        <v>3</v>
      </c>
      <c r="Y389" s="2">
        <f>MATCH(Auto_Sales_data___Copy[[#This Row],[Total_Sales_Per_Customer]],Table2[M-Cutoff],1)</f>
        <v>3</v>
      </c>
      <c r="Z389" s="2" t="str">
        <f>Auto_Sales_data___Copy[[#This Row],[R-Score(1-5)]]&amp;Auto_Sales_data___Copy[[#This Row],[F-Score(1-5)]]&amp;Auto_Sales_data___Copy[[#This Row],[M-Score(1-5)]]</f>
        <v>533</v>
      </c>
      <c r="AA389" s="2" t="str" cm="1">
        <f t="array" ref="AA3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9" s="2" t="str">
        <f>VLOOKUP(Auto_Sales_data___Copy[[#This Row],[Segment Name]],Table3[],2,FALSE)</f>
        <v>Brand Awareness &amp; Value Proposition</v>
      </c>
    </row>
    <row r="390" spans="1:28" x14ac:dyDescent="0.25">
      <c r="A390">
        <v>10274</v>
      </c>
      <c r="B390">
        <v>41</v>
      </c>
      <c r="C390">
        <v>164</v>
      </c>
      <c r="D390">
        <v>1</v>
      </c>
      <c r="E390">
        <v>6724</v>
      </c>
      <c r="F390" s="1">
        <v>43667</v>
      </c>
      <c r="G390" s="2" t="s">
        <v>19</v>
      </c>
      <c r="H390" s="2" t="s">
        <v>607</v>
      </c>
      <c r="I390">
        <v>157</v>
      </c>
      <c r="J390" s="2" t="s">
        <v>608</v>
      </c>
      <c r="K390" s="2" t="s">
        <v>295</v>
      </c>
      <c r="L390" s="2" t="s">
        <v>116</v>
      </c>
      <c r="M390" s="2" t="s">
        <v>296</v>
      </c>
      <c r="N390" s="2" t="s">
        <v>297</v>
      </c>
      <c r="O390" s="2" t="s">
        <v>298</v>
      </c>
      <c r="P390" s="2" t="s">
        <v>27</v>
      </c>
      <c r="Q390" s="2" t="s">
        <v>288</v>
      </c>
      <c r="R390" s="2" t="s">
        <v>299</v>
      </c>
      <c r="S390" s="2" t="s">
        <v>46</v>
      </c>
      <c r="T390">
        <v>855</v>
      </c>
      <c r="U390">
        <f>VLOOKUP(Auto_Sales_data___Copy[[#This Row],[CUSTOMER_NAME]],$AF$2:$AH$90,2,FALSE)</f>
        <v>24</v>
      </c>
      <c r="V390">
        <f>VLOOKUP(Auto_Sales_data___Copy[[#This Row],[CUSTOMER_NAME]],$AF$2:$AH$90,3,FALSE)</f>
        <v>81577.98</v>
      </c>
      <c r="W390" s="2">
        <f>6-MATCH(Auto_Sales_data___Copy[[#This Row],[DAYS_SINCE_LAST_ORDER]],Table2[R-Cutoff],1)</f>
        <v>5</v>
      </c>
      <c r="X390" s="2">
        <f>MATCH(Auto_Sales_data___Copy[[#This Row],[Total_Orders_Per_Customer]],Table2[F-Cutoff],1)</f>
        <v>3</v>
      </c>
      <c r="Y390" s="2">
        <f>MATCH(Auto_Sales_data___Copy[[#This Row],[Total_Sales_Per_Customer]],Table2[M-Cutoff],1)</f>
        <v>3</v>
      </c>
      <c r="Z390" s="2" t="str">
        <f>Auto_Sales_data___Copy[[#This Row],[R-Score(1-5)]]&amp;Auto_Sales_data___Copy[[#This Row],[F-Score(1-5)]]&amp;Auto_Sales_data___Copy[[#This Row],[M-Score(1-5)]]</f>
        <v>533</v>
      </c>
      <c r="AA390" s="2" t="str" cm="1">
        <f t="array" ref="AA3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0" s="2" t="str">
        <f>VLOOKUP(Auto_Sales_data___Copy[[#This Row],[Segment Name]],Table3[],2,FALSE)</f>
        <v>Brand Awareness &amp; Value Proposition</v>
      </c>
    </row>
    <row r="391" spans="1:28" x14ac:dyDescent="0.25">
      <c r="A391">
        <v>10280</v>
      </c>
      <c r="B391">
        <v>34</v>
      </c>
      <c r="C391">
        <v>235.73</v>
      </c>
      <c r="D391">
        <v>2</v>
      </c>
      <c r="E391">
        <v>8014.82</v>
      </c>
      <c r="F391" s="1">
        <v>43694</v>
      </c>
      <c r="G391" s="2" t="s">
        <v>19</v>
      </c>
      <c r="H391" s="2" t="s">
        <v>183</v>
      </c>
      <c r="I391">
        <v>214</v>
      </c>
      <c r="J391" s="2" t="s">
        <v>184</v>
      </c>
      <c r="K391" s="2" t="s">
        <v>264</v>
      </c>
      <c r="L391" s="2" t="s">
        <v>265</v>
      </c>
      <c r="M391" s="2" t="s">
        <v>266</v>
      </c>
      <c r="N391" s="2" t="s">
        <v>267</v>
      </c>
      <c r="O391" s="2" t="s">
        <v>268</v>
      </c>
      <c r="P391" s="2" t="s">
        <v>269</v>
      </c>
      <c r="Q391" s="2" t="s">
        <v>270</v>
      </c>
      <c r="R391" s="2" t="s">
        <v>271</v>
      </c>
      <c r="S391" s="2" t="s">
        <v>151</v>
      </c>
      <c r="T391">
        <v>328</v>
      </c>
      <c r="U391">
        <f>VLOOKUP(Auto_Sales_data___Copy[[#This Row],[CUSTOMER_NAME]],$AF$2:$AH$90,2,FALSE)</f>
        <v>26</v>
      </c>
      <c r="V391">
        <f>VLOOKUP(Auto_Sales_data___Copy[[#This Row],[CUSTOMER_NAME]],$AF$2:$AH$90,3,FALSE)</f>
        <v>94117.26</v>
      </c>
      <c r="W391" s="2">
        <f>6-MATCH(Auto_Sales_data___Copy[[#This Row],[DAYS_SINCE_LAST_ORDER]],Table2[R-Cutoff],1)</f>
        <v>5</v>
      </c>
      <c r="X391" s="2">
        <f>MATCH(Auto_Sales_data___Copy[[#This Row],[Total_Orders_Per_Customer]],Table2[F-Cutoff],1)</f>
        <v>3</v>
      </c>
      <c r="Y391" s="2">
        <f>MATCH(Auto_Sales_data___Copy[[#This Row],[Total_Sales_Per_Customer]],Table2[M-Cutoff],1)</f>
        <v>3</v>
      </c>
      <c r="Z391" s="2" t="str">
        <f>Auto_Sales_data___Copy[[#This Row],[R-Score(1-5)]]&amp;Auto_Sales_data___Copy[[#This Row],[F-Score(1-5)]]&amp;Auto_Sales_data___Copy[[#This Row],[M-Score(1-5)]]</f>
        <v>533</v>
      </c>
      <c r="AA391" s="2" t="str" cm="1">
        <f t="array" ref="AA3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1" s="2" t="str">
        <f>VLOOKUP(Auto_Sales_data___Copy[[#This Row],[Segment Name]],Table3[],2,FALSE)</f>
        <v>Brand Awareness &amp; Value Proposition</v>
      </c>
    </row>
    <row r="392" spans="1:28" x14ac:dyDescent="0.25">
      <c r="A392">
        <v>10280</v>
      </c>
      <c r="B392">
        <v>24</v>
      </c>
      <c r="C392">
        <v>116.67</v>
      </c>
      <c r="D392">
        <v>1</v>
      </c>
      <c r="E392">
        <v>2800.08</v>
      </c>
      <c r="F392" s="1">
        <v>43694</v>
      </c>
      <c r="G392" s="2" t="s">
        <v>19</v>
      </c>
      <c r="H392" s="2" t="s">
        <v>537</v>
      </c>
      <c r="I392">
        <v>116</v>
      </c>
      <c r="J392" s="2" t="s">
        <v>575</v>
      </c>
      <c r="K392" s="2" t="s">
        <v>264</v>
      </c>
      <c r="L392" s="2" t="s">
        <v>265</v>
      </c>
      <c r="M392" s="2" t="s">
        <v>266</v>
      </c>
      <c r="N392" s="2" t="s">
        <v>267</v>
      </c>
      <c r="O392" s="2" t="s">
        <v>268</v>
      </c>
      <c r="P392" s="2" t="s">
        <v>269</v>
      </c>
      <c r="Q392" s="2" t="s">
        <v>270</v>
      </c>
      <c r="R392" s="2" t="s">
        <v>271</v>
      </c>
      <c r="S392" s="2" t="s">
        <v>30</v>
      </c>
      <c r="T392">
        <v>705</v>
      </c>
      <c r="U392">
        <f>VLOOKUP(Auto_Sales_data___Copy[[#This Row],[CUSTOMER_NAME]],$AF$2:$AH$90,2,FALSE)</f>
        <v>26</v>
      </c>
      <c r="V392">
        <f>VLOOKUP(Auto_Sales_data___Copy[[#This Row],[CUSTOMER_NAME]],$AF$2:$AH$90,3,FALSE)</f>
        <v>94117.26</v>
      </c>
      <c r="W392" s="2">
        <f>6-MATCH(Auto_Sales_data___Copy[[#This Row],[DAYS_SINCE_LAST_ORDER]],Table2[R-Cutoff],1)</f>
        <v>5</v>
      </c>
      <c r="X392" s="2">
        <f>MATCH(Auto_Sales_data___Copy[[#This Row],[Total_Orders_Per_Customer]],Table2[F-Cutoff],1)</f>
        <v>3</v>
      </c>
      <c r="Y392" s="2">
        <f>MATCH(Auto_Sales_data___Copy[[#This Row],[Total_Sales_Per_Customer]],Table2[M-Cutoff],1)</f>
        <v>3</v>
      </c>
      <c r="Z392" s="2" t="str">
        <f>Auto_Sales_data___Copy[[#This Row],[R-Score(1-5)]]&amp;Auto_Sales_data___Copy[[#This Row],[F-Score(1-5)]]&amp;Auto_Sales_data___Copy[[#This Row],[M-Score(1-5)]]</f>
        <v>533</v>
      </c>
      <c r="AA392" s="2" t="str" cm="1">
        <f t="array" ref="AA3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2" s="2" t="str">
        <f>VLOOKUP(Auto_Sales_data___Copy[[#This Row],[Segment Name]],Table3[],2,FALSE)</f>
        <v>Brand Awareness &amp; Value Proposition</v>
      </c>
    </row>
    <row r="393" spans="1:28" x14ac:dyDescent="0.25">
      <c r="A393">
        <v>10280</v>
      </c>
      <c r="B393">
        <v>50</v>
      </c>
      <c r="C393">
        <v>104.79</v>
      </c>
      <c r="D393">
        <v>9</v>
      </c>
      <c r="E393">
        <v>5239.5</v>
      </c>
      <c r="F393" s="1">
        <v>43694</v>
      </c>
      <c r="G393" s="2" t="s">
        <v>19</v>
      </c>
      <c r="H393" s="2" t="s">
        <v>589</v>
      </c>
      <c r="I393">
        <v>102</v>
      </c>
      <c r="J393" s="2" t="s">
        <v>590</v>
      </c>
      <c r="K393" s="2" t="s">
        <v>264</v>
      </c>
      <c r="L393" s="2" t="s">
        <v>265</v>
      </c>
      <c r="M393" s="2" t="s">
        <v>266</v>
      </c>
      <c r="N393" s="2" t="s">
        <v>267</v>
      </c>
      <c r="O393" s="2" t="s">
        <v>268</v>
      </c>
      <c r="P393" s="2" t="s">
        <v>269</v>
      </c>
      <c r="Q393" s="2" t="s">
        <v>270</v>
      </c>
      <c r="R393" s="2" t="s">
        <v>271</v>
      </c>
      <c r="S393" s="2" t="s">
        <v>46</v>
      </c>
      <c r="T393">
        <v>755</v>
      </c>
      <c r="U393">
        <f>VLOOKUP(Auto_Sales_data___Copy[[#This Row],[CUSTOMER_NAME]],$AF$2:$AH$90,2,FALSE)</f>
        <v>26</v>
      </c>
      <c r="V393">
        <f>VLOOKUP(Auto_Sales_data___Copy[[#This Row],[CUSTOMER_NAME]],$AF$2:$AH$90,3,FALSE)</f>
        <v>94117.26</v>
      </c>
      <c r="W393" s="2">
        <f>6-MATCH(Auto_Sales_data___Copy[[#This Row],[DAYS_SINCE_LAST_ORDER]],Table2[R-Cutoff],1)</f>
        <v>5</v>
      </c>
      <c r="X393" s="2">
        <f>MATCH(Auto_Sales_data___Copy[[#This Row],[Total_Orders_Per_Customer]],Table2[F-Cutoff],1)</f>
        <v>3</v>
      </c>
      <c r="Y393" s="2">
        <f>MATCH(Auto_Sales_data___Copy[[#This Row],[Total_Sales_Per_Customer]],Table2[M-Cutoff],1)</f>
        <v>3</v>
      </c>
      <c r="Z393" s="2" t="str">
        <f>Auto_Sales_data___Copy[[#This Row],[R-Score(1-5)]]&amp;Auto_Sales_data___Copy[[#This Row],[F-Score(1-5)]]&amp;Auto_Sales_data___Copy[[#This Row],[M-Score(1-5)]]</f>
        <v>533</v>
      </c>
      <c r="AA393" s="2" t="str" cm="1">
        <f t="array" ref="AA3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3" s="2" t="str">
        <f>VLOOKUP(Auto_Sales_data___Copy[[#This Row],[Segment Name]],Table3[],2,FALSE)</f>
        <v>Brand Awareness &amp; Value Proposition</v>
      </c>
    </row>
    <row r="394" spans="1:28" x14ac:dyDescent="0.25">
      <c r="A394">
        <v>10280</v>
      </c>
      <c r="B394">
        <v>27</v>
      </c>
      <c r="C394">
        <v>57.68</v>
      </c>
      <c r="D394">
        <v>8</v>
      </c>
      <c r="E394">
        <v>1557.36</v>
      </c>
      <c r="F394" s="1">
        <v>43694</v>
      </c>
      <c r="G394" s="2" t="s">
        <v>19</v>
      </c>
      <c r="H394" s="2" t="s">
        <v>589</v>
      </c>
      <c r="I394">
        <v>53</v>
      </c>
      <c r="J394" s="2" t="s">
        <v>605</v>
      </c>
      <c r="K394" s="2" t="s">
        <v>264</v>
      </c>
      <c r="L394" s="2" t="s">
        <v>265</v>
      </c>
      <c r="M394" s="2" t="s">
        <v>266</v>
      </c>
      <c r="N394" s="2" t="s">
        <v>267</v>
      </c>
      <c r="O394" s="2" t="s">
        <v>268</v>
      </c>
      <c r="P394" s="2" t="s">
        <v>269</v>
      </c>
      <c r="Q394" s="2" t="s">
        <v>270</v>
      </c>
      <c r="R394" s="2" t="s">
        <v>271</v>
      </c>
      <c r="S394" s="2" t="s">
        <v>30</v>
      </c>
      <c r="T394">
        <v>779</v>
      </c>
      <c r="U394">
        <f>VLOOKUP(Auto_Sales_data___Copy[[#This Row],[CUSTOMER_NAME]],$AF$2:$AH$90,2,FALSE)</f>
        <v>26</v>
      </c>
      <c r="V394">
        <f>VLOOKUP(Auto_Sales_data___Copy[[#This Row],[CUSTOMER_NAME]],$AF$2:$AH$90,3,FALSE)</f>
        <v>94117.26</v>
      </c>
      <c r="W394" s="2">
        <f>6-MATCH(Auto_Sales_data___Copy[[#This Row],[DAYS_SINCE_LAST_ORDER]],Table2[R-Cutoff],1)</f>
        <v>5</v>
      </c>
      <c r="X394" s="2">
        <f>MATCH(Auto_Sales_data___Copy[[#This Row],[Total_Orders_Per_Customer]],Table2[F-Cutoff],1)</f>
        <v>3</v>
      </c>
      <c r="Y394" s="2">
        <f>MATCH(Auto_Sales_data___Copy[[#This Row],[Total_Sales_Per_Customer]],Table2[M-Cutoff],1)</f>
        <v>3</v>
      </c>
      <c r="Z394" s="2" t="str">
        <f>Auto_Sales_data___Copy[[#This Row],[R-Score(1-5)]]&amp;Auto_Sales_data___Copy[[#This Row],[F-Score(1-5)]]&amp;Auto_Sales_data___Copy[[#This Row],[M-Score(1-5)]]</f>
        <v>533</v>
      </c>
      <c r="AA394" s="2" t="str" cm="1">
        <f t="array" ref="AA3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4" s="2" t="str">
        <f>VLOOKUP(Auto_Sales_data___Copy[[#This Row],[Segment Name]],Table3[],2,FALSE)</f>
        <v>Brand Awareness &amp; Value Proposition</v>
      </c>
    </row>
    <row r="395" spans="1:28" x14ac:dyDescent="0.25">
      <c r="A395">
        <v>10280</v>
      </c>
      <c r="B395">
        <v>26</v>
      </c>
      <c r="C395">
        <v>141.1</v>
      </c>
      <c r="D395">
        <v>16</v>
      </c>
      <c r="E395">
        <v>3668.6</v>
      </c>
      <c r="F395" s="1">
        <v>43694</v>
      </c>
      <c r="G395" s="2" t="s">
        <v>19</v>
      </c>
      <c r="H395" s="2" t="s">
        <v>589</v>
      </c>
      <c r="I395">
        <v>170</v>
      </c>
      <c r="J395" s="2" t="s">
        <v>628</v>
      </c>
      <c r="K395" s="2" t="s">
        <v>264</v>
      </c>
      <c r="L395" s="2" t="s">
        <v>265</v>
      </c>
      <c r="M395" s="2" t="s">
        <v>266</v>
      </c>
      <c r="N395" s="2" t="s">
        <v>267</v>
      </c>
      <c r="O395" s="2" t="s">
        <v>268</v>
      </c>
      <c r="P395" s="2" t="s">
        <v>269</v>
      </c>
      <c r="Q395" s="2" t="s">
        <v>270</v>
      </c>
      <c r="R395" s="2" t="s">
        <v>271</v>
      </c>
      <c r="S395" s="2" t="s">
        <v>46</v>
      </c>
      <c r="T395">
        <v>852</v>
      </c>
      <c r="U395">
        <f>VLOOKUP(Auto_Sales_data___Copy[[#This Row],[CUSTOMER_NAME]],$AF$2:$AH$90,2,FALSE)</f>
        <v>26</v>
      </c>
      <c r="V395">
        <f>VLOOKUP(Auto_Sales_data___Copy[[#This Row],[CUSTOMER_NAME]],$AF$2:$AH$90,3,FALSE)</f>
        <v>94117.26</v>
      </c>
      <c r="W395" s="2">
        <f>6-MATCH(Auto_Sales_data___Copy[[#This Row],[DAYS_SINCE_LAST_ORDER]],Table2[R-Cutoff],1)</f>
        <v>5</v>
      </c>
      <c r="X395" s="2">
        <f>MATCH(Auto_Sales_data___Copy[[#This Row],[Total_Orders_Per_Customer]],Table2[F-Cutoff],1)</f>
        <v>3</v>
      </c>
      <c r="Y395" s="2">
        <f>MATCH(Auto_Sales_data___Copy[[#This Row],[Total_Sales_Per_Customer]],Table2[M-Cutoff],1)</f>
        <v>3</v>
      </c>
      <c r="Z395" s="2" t="str">
        <f>Auto_Sales_data___Copy[[#This Row],[R-Score(1-5)]]&amp;Auto_Sales_data___Copy[[#This Row],[F-Score(1-5)]]&amp;Auto_Sales_data___Copy[[#This Row],[M-Score(1-5)]]</f>
        <v>533</v>
      </c>
      <c r="AA395" s="2" t="str" cm="1">
        <f t="array" ref="AA3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5" s="2" t="str">
        <f>VLOOKUP(Auto_Sales_data___Copy[[#This Row],[Segment Name]],Table3[],2,FALSE)</f>
        <v>Brand Awareness &amp; Value Proposition</v>
      </c>
    </row>
    <row r="396" spans="1:28" x14ac:dyDescent="0.25">
      <c r="A396">
        <v>10293</v>
      </c>
      <c r="B396">
        <v>46</v>
      </c>
      <c r="C396">
        <v>182.86</v>
      </c>
      <c r="D396">
        <v>8</v>
      </c>
      <c r="E396">
        <v>8411.56</v>
      </c>
      <c r="F396" s="1">
        <v>43717</v>
      </c>
      <c r="G396" s="2" t="s">
        <v>19</v>
      </c>
      <c r="H396" s="2" t="s">
        <v>183</v>
      </c>
      <c r="I396">
        <v>207</v>
      </c>
      <c r="J396" s="2" t="s">
        <v>505</v>
      </c>
      <c r="K396" s="2" t="s">
        <v>264</v>
      </c>
      <c r="L396" s="2" t="s">
        <v>265</v>
      </c>
      <c r="M396" s="2" t="s">
        <v>266</v>
      </c>
      <c r="N396" s="2" t="s">
        <v>267</v>
      </c>
      <c r="O396" s="2" t="s">
        <v>268</v>
      </c>
      <c r="P396" s="2" t="s">
        <v>269</v>
      </c>
      <c r="Q396" s="2" t="s">
        <v>270</v>
      </c>
      <c r="R396" s="2" t="s">
        <v>271</v>
      </c>
      <c r="S396" s="2" t="s">
        <v>151</v>
      </c>
      <c r="T396">
        <v>455</v>
      </c>
      <c r="U396">
        <f>VLOOKUP(Auto_Sales_data___Copy[[#This Row],[CUSTOMER_NAME]],$AF$2:$AH$90,2,FALSE)</f>
        <v>26</v>
      </c>
      <c r="V396">
        <f>VLOOKUP(Auto_Sales_data___Copy[[#This Row],[CUSTOMER_NAME]],$AF$2:$AH$90,3,FALSE)</f>
        <v>94117.26</v>
      </c>
      <c r="W396" s="2">
        <f>6-MATCH(Auto_Sales_data___Copy[[#This Row],[DAYS_SINCE_LAST_ORDER]],Table2[R-Cutoff],1)</f>
        <v>5</v>
      </c>
      <c r="X396" s="2">
        <f>MATCH(Auto_Sales_data___Copy[[#This Row],[Total_Orders_Per_Customer]],Table2[F-Cutoff],1)</f>
        <v>3</v>
      </c>
      <c r="Y396" s="2">
        <f>MATCH(Auto_Sales_data___Copy[[#This Row],[Total_Sales_Per_Customer]],Table2[M-Cutoff],1)</f>
        <v>3</v>
      </c>
      <c r="Z396" s="2" t="str">
        <f>Auto_Sales_data___Copy[[#This Row],[R-Score(1-5)]]&amp;Auto_Sales_data___Copy[[#This Row],[F-Score(1-5)]]&amp;Auto_Sales_data___Copy[[#This Row],[M-Score(1-5)]]</f>
        <v>533</v>
      </c>
      <c r="AA396" s="2" t="str" cm="1">
        <f t="array" ref="AA3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6" s="2" t="str">
        <f>VLOOKUP(Auto_Sales_data___Copy[[#This Row],[Segment Name]],Table3[],2,FALSE)</f>
        <v>Brand Awareness &amp; Value Proposition</v>
      </c>
    </row>
    <row r="397" spans="1:28" x14ac:dyDescent="0.25">
      <c r="A397">
        <v>10293</v>
      </c>
      <c r="B397">
        <v>24</v>
      </c>
      <c r="C397">
        <v>176.76</v>
      </c>
      <c r="D397">
        <v>9</v>
      </c>
      <c r="E397">
        <v>4242.24</v>
      </c>
      <c r="F397" s="1">
        <v>43717</v>
      </c>
      <c r="G397" s="2" t="s">
        <v>19</v>
      </c>
      <c r="H397" s="2" t="s">
        <v>183</v>
      </c>
      <c r="I397">
        <v>151</v>
      </c>
      <c r="J397" s="2" t="s">
        <v>545</v>
      </c>
      <c r="K397" s="2" t="s">
        <v>264</v>
      </c>
      <c r="L397" s="2" t="s">
        <v>265</v>
      </c>
      <c r="M397" s="2" t="s">
        <v>266</v>
      </c>
      <c r="N397" s="2" t="s">
        <v>267</v>
      </c>
      <c r="O397" s="2" t="s">
        <v>268</v>
      </c>
      <c r="P397" s="2" t="s">
        <v>269</v>
      </c>
      <c r="Q397" s="2" t="s">
        <v>270</v>
      </c>
      <c r="R397" s="2" t="s">
        <v>271</v>
      </c>
      <c r="S397" s="2" t="s">
        <v>46</v>
      </c>
      <c r="T397">
        <v>531</v>
      </c>
      <c r="U397">
        <f>VLOOKUP(Auto_Sales_data___Copy[[#This Row],[CUSTOMER_NAME]],$AF$2:$AH$90,2,FALSE)</f>
        <v>26</v>
      </c>
      <c r="V397">
        <f>VLOOKUP(Auto_Sales_data___Copy[[#This Row],[CUSTOMER_NAME]],$AF$2:$AH$90,3,FALSE)</f>
        <v>94117.26</v>
      </c>
      <c r="W397" s="2">
        <f>6-MATCH(Auto_Sales_data___Copy[[#This Row],[DAYS_SINCE_LAST_ORDER]],Table2[R-Cutoff],1)</f>
        <v>5</v>
      </c>
      <c r="X397" s="2">
        <f>MATCH(Auto_Sales_data___Copy[[#This Row],[Total_Orders_Per_Customer]],Table2[F-Cutoff],1)</f>
        <v>3</v>
      </c>
      <c r="Y397" s="2">
        <f>MATCH(Auto_Sales_data___Copy[[#This Row],[Total_Sales_Per_Customer]],Table2[M-Cutoff],1)</f>
        <v>3</v>
      </c>
      <c r="Z397" s="2" t="str">
        <f>Auto_Sales_data___Copy[[#This Row],[R-Score(1-5)]]&amp;Auto_Sales_data___Copy[[#This Row],[F-Score(1-5)]]&amp;Auto_Sales_data___Copy[[#This Row],[M-Score(1-5)]]</f>
        <v>533</v>
      </c>
      <c r="AA397" s="2" t="str" cm="1">
        <f t="array" ref="AA3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7" s="2" t="str">
        <f>VLOOKUP(Auto_Sales_data___Copy[[#This Row],[Segment Name]],Table3[],2,FALSE)</f>
        <v>Brand Awareness &amp; Value Proposition</v>
      </c>
    </row>
    <row r="398" spans="1:28" x14ac:dyDescent="0.25">
      <c r="A398">
        <v>10293</v>
      </c>
      <c r="B398">
        <v>45</v>
      </c>
      <c r="C398">
        <v>183.4</v>
      </c>
      <c r="D398">
        <v>7</v>
      </c>
      <c r="E398">
        <v>8253</v>
      </c>
      <c r="F398" s="1">
        <v>43717</v>
      </c>
      <c r="G398" s="2" t="s">
        <v>19</v>
      </c>
      <c r="H398" s="2" t="s">
        <v>183</v>
      </c>
      <c r="I398">
        <v>173</v>
      </c>
      <c r="J398" s="2" t="s">
        <v>552</v>
      </c>
      <c r="K398" s="2" t="s">
        <v>264</v>
      </c>
      <c r="L398" s="2" t="s">
        <v>265</v>
      </c>
      <c r="M398" s="2" t="s">
        <v>266</v>
      </c>
      <c r="N398" s="2" t="s">
        <v>267</v>
      </c>
      <c r="O398" s="2" t="s">
        <v>268</v>
      </c>
      <c r="P398" s="2" t="s">
        <v>269</v>
      </c>
      <c r="Q398" s="2" t="s">
        <v>270</v>
      </c>
      <c r="R398" s="2" t="s">
        <v>271</v>
      </c>
      <c r="S398" s="2" t="s">
        <v>151</v>
      </c>
      <c r="T398">
        <v>580</v>
      </c>
      <c r="U398">
        <f>VLOOKUP(Auto_Sales_data___Copy[[#This Row],[CUSTOMER_NAME]],$AF$2:$AH$90,2,FALSE)</f>
        <v>26</v>
      </c>
      <c r="V398">
        <f>VLOOKUP(Auto_Sales_data___Copy[[#This Row],[CUSTOMER_NAME]],$AF$2:$AH$90,3,FALSE)</f>
        <v>94117.26</v>
      </c>
      <c r="W398" s="2">
        <f>6-MATCH(Auto_Sales_data___Copy[[#This Row],[DAYS_SINCE_LAST_ORDER]],Table2[R-Cutoff],1)</f>
        <v>5</v>
      </c>
      <c r="X398" s="2">
        <f>MATCH(Auto_Sales_data___Copy[[#This Row],[Total_Orders_Per_Customer]],Table2[F-Cutoff],1)</f>
        <v>3</v>
      </c>
      <c r="Y398" s="2">
        <f>MATCH(Auto_Sales_data___Copy[[#This Row],[Total_Sales_Per_Customer]],Table2[M-Cutoff],1)</f>
        <v>3</v>
      </c>
      <c r="Z398" s="2" t="str">
        <f>Auto_Sales_data___Copy[[#This Row],[R-Score(1-5)]]&amp;Auto_Sales_data___Copy[[#This Row],[F-Score(1-5)]]&amp;Auto_Sales_data___Copy[[#This Row],[M-Score(1-5)]]</f>
        <v>533</v>
      </c>
      <c r="AA398" s="2" t="str" cm="1">
        <f t="array" ref="AA3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8" s="2" t="str">
        <f>VLOOKUP(Auto_Sales_data___Copy[[#This Row],[Segment Name]],Table3[],2,FALSE)</f>
        <v>Brand Awareness &amp; Value Proposition</v>
      </c>
    </row>
    <row r="399" spans="1:28" x14ac:dyDescent="0.25">
      <c r="A399">
        <v>10295</v>
      </c>
      <c r="B399">
        <v>24</v>
      </c>
      <c r="C399">
        <v>142.80000000000001</v>
      </c>
      <c r="D399">
        <v>1</v>
      </c>
      <c r="E399">
        <v>3427.2</v>
      </c>
      <c r="F399" s="1">
        <v>43718</v>
      </c>
      <c r="G399" s="2" t="s">
        <v>19</v>
      </c>
      <c r="H399" s="2" t="s">
        <v>183</v>
      </c>
      <c r="I399">
        <v>136</v>
      </c>
      <c r="J399" s="2" t="s">
        <v>338</v>
      </c>
      <c r="K399" s="2" t="s">
        <v>398</v>
      </c>
      <c r="L399" s="2" t="s">
        <v>399</v>
      </c>
      <c r="M399" s="2" t="s">
        <v>400</v>
      </c>
      <c r="N399" s="2" t="s">
        <v>401</v>
      </c>
      <c r="O399" s="2" t="s">
        <v>402</v>
      </c>
      <c r="P399" s="2" t="s">
        <v>27</v>
      </c>
      <c r="Q399" s="2" t="s">
        <v>403</v>
      </c>
      <c r="R399" s="2" t="s">
        <v>60</v>
      </c>
      <c r="S399" s="2" t="s">
        <v>46</v>
      </c>
      <c r="T399">
        <v>377</v>
      </c>
      <c r="U399">
        <f>VLOOKUP(Auto_Sales_data___Copy[[#This Row],[CUSTOMER_NAME]],$AF$2:$AH$90,2,FALSE)</f>
        <v>26</v>
      </c>
      <c r="V399">
        <f>VLOOKUP(Auto_Sales_data___Copy[[#This Row],[CUSTOMER_NAME]],$AF$2:$AH$90,3,FALSE)</f>
        <v>83209.88</v>
      </c>
      <c r="W399" s="2">
        <f>6-MATCH(Auto_Sales_data___Copy[[#This Row],[DAYS_SINCE_LAST_ORDER]],Table2[R-Cutoff],1)</f>
        <v>5</v>
      </c>
      <c r="X399" s="2">
        <f>MATCH(Auto_Sales_data___Copy[[#This Row],[Total_Orders_Per_Customer]],Table2[F-Cutoff],1)</f>
        <v>3</v>
      </c>
      <c r="Y399" s="2">
        <f>MATCH(Auto_Sales_data___Copy[[#This Row],[Total_Sales_Per_Customer]],Table2[M-Cutoff],1)</f>
        <v>3</v>
      </c>
      <c r="Z399" s="2" t="str">
        <f>Auto_Sales_data___Copy[[#This Row],[R-Score(1-5)]]&amp;Auto_Sales_data___Copy[[#This Row],[F-Score(1-5)]]&amp;Auto_Sales_data___Copy[[#This Row],[M-Score(1-5)]]</f>
        <v>533</v>
      </c>
      <c r="AA399" s="2" t="str" cm="1">
        <f t="array" ref="AA3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9" s="2" t="str">
        <f>VLOOKUP(Auto_Sales_data___Copy[[#This Row],[Segment Name]],Table3[],2,FALSE)</f>
        <v>Brand Awareness &amp; Value Proposition</v>
      </c>
    </row>
    <row r="400" spans="1:28" x14ac:dyDescent="0.25">
      <c r="A400">
        <v>10308</v>
      </c>
      <c r="B400">
        <v>34</v>
      </c>
      <c r="C400">
        <v>118.94</v>
      </c>
      <c r="D400">
        <v>2</v>
      </c>
      <c r="E400">
        <v>4043.96</v>
      </c>
      <c r="F400" s="1">
        <v>43753</v>
      </c>
      <c r="G400" s="2" t="s">
        <v>19</v>
      </c>
      <c r="H400" s="2" t="s">
        <v>20</v>
      </c>
      <c r="I400">
        <v>118</v>
      </c>
      <c r="J400" s="2" t="s">
        <v>315</v>
      </c>
      <c r="K400" s="2" t="s">
        <v>332</v>
      </c>
      <c r="L400" s="2" t="s">
        <v>333</v>
      </c>
      <c r="M400" s="2" t="s">
        <v>334</v>
      </c>
      <c r="N400" s="2" t="s">
        <v>335</v>
      </c>
      <c r="O400" s="2" t="s">
        <v>336</v>
      </c>
      <c r="P400" s="2" t="s">
        <v>27</v>
      </c>
      <c r="Q400" s="2" t="s">
        <v>93</v>
      </c>
      <c r="R400" s="2" t="s">
        <v>244</v>
      </c>
      <c r="S400" s="2" t="s">
        <v>46</v>
      </c>
      <c r="T400">
        <v>295</v>
      </c>
      <c r="U400">
        <f>VLOOKUP(Auto_Sales_data___Copy[[#This Row],[CUSTOMER_NAME]],$AF$2:$AH$90,2,FALSE)</f>
        <v>26</v>
      </c>
      <c r="V400">
        <f>VLOOKUP(Auto_Sales_data___Copy[[#This Row],[CUSTOMER_NAME]],$AF$2:$AH$90,3,FALSE)</f>
        <v>85555.989999999976</v>
      </c>
      <c r="W400" s="2">
        <f>6-MATCH(Auto_Sales_data___Copy[[#This Row],[DAYS_SINCE_LAST_ORDER]],Table2[R-Cutoff],1)</f>
        <v>5</v>
      </c>
      <c r="X400" s="2">
        <f>MATCH(Auto_Sales_data___Copy[[#This Row],[Total_Orders_Per_Customer]],Table2[F-Cutoff],1)</f>
        <v>3</v>
      </c>
      <c r="Y400" s="2">
        <f>MATCH(Auto_Sales_data___Copy[[#This Row],[Total_Sales_Per_Customer]],Table2[M-Cutoff],1)</f>
        <v>3</v>
      </c>
      <c r="Z400" s="2" t="str">
        <f>Auto_Sales_data___Copy[[#This Row],[R-Score(1-5)]]&amp;Auto_Sales_data___Copy[[#This Row],[F-Score(1-5)]]&amp;Auto_Sales_data___Copy[[#This Row],[M-Score(1-5)]]</f>
        <v>533</v>
      </c>
      <c r="AA400" s="2" t="str" cm="1">
        <f t="array" ref="AA4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0" s="2" t="str">
        <f>VLOOKUP(Auto_Sales_data___Copy[[#This Row],[Segment Name]],Table3[],2,FALSE)</f>
        <v>Brand Awareness &amp; Value Proposition</v>
      </c>
    </row>
    <row r="401" spans="1:28" x14ac:dyDescent="0.25">
      <c r="A401">
        <v>10308</v>
      </c>
      <c r="B401">
        <v>20</v>
      </c>
      <c r="C401">
        <v>228.52</v>
      </c>
      <c r="D401">
        <v>1</v>
      </c>
      <c r="E401">
        <v>4570.3999999999996</v>
      </c>
      <c r="F401" s="1">
        <v>43753</v>
      </c>
      <c r="G401" s="2" t="s">
        <v>19</v>
      </c>
      <c r="H401" s="2" t="s">
        <v>20</v>
      </c>
      <c r="I401">
        <v>193</v>
      </c>
      <c r="J401" s="2" t="s">
        <v>337</v>
      </c>
      <c r="K401" s="2" t="s">
        <v>332</v>
      </c>
      <c r="L401" s="2" t="s">
        <v>333</v>
      </c>
      <c r="M401" s="2" t="s">
        <v>334</v>
      </c>
      <c r="N401" s="2" t="s">
        <v>335</v>
      </c>
      <c r="O401" s="2" t="s">
        <v>336</v>
      </c>
      <c r="P401" s="2" t="s">
        <v>27</v>
      </c>
      <c r="Q401" s="2" t="s">
        <v>93</v>
      </c>
      <c r="R401" s="2" t="s">
        <v>244</v>
      </c>
      <c r="S401" s="2" t="s">
        <v>46</v>
      </c>
      <c r="T401">
        <v>319</v>
      </c>
      <c r="U401">
        <f>VLOOKUP(Auto_Sales_data___Copy[[#This Row],[CUSTOMER_NAME]],$AF$2:$AH$90,2,FALSE)</f>
        <v>26</v>
      </c>
      <c r="V401">
        <f>VLOOKUP(Auto_Sales_data___Copy[[#This Row],[CUSTOMER_NAME]],$AF$2:$AH$90,3,FALSE)</f>
        <v>85555.989999999976</v>
      </c>
      <c r="W401" s="2">
        <f>6-MATCH(Auto_Sales_data___Copy[[#This Row],[DAYS_SINCE_LAST_ORDER]],Table2[R-Cutoff],1)</f>
        <v>5</v>
      </c>
      <c r="X401" s="2">
        <f>MATCH(Auto_Sales_data___Copy[[#This Row],[Total_Orders_Per_Customer]],Table2[F-Cutoff],1)</f>
        <v>3</v>
      </c>
      <c r="Y401" s="2">
        <f>MATCH(Auto_Sales_data___Copy[[#This Row],[Total_Sales_Per_Customer]],Table2[M-Cutoff],1)</f>
        <v>3</v>
      </c>
      <c r="Z401" s="2" t="str">
        <f>Auto_Sales_data___Copy[[#This Row],[R-Score(1-5)]]&amp;Auto_Sales_data___Copy[[#This Row],[F-Score(1-5)]]&amp;Auto_Sales_data___Copy[[#This Row],[M-Score(1-5)]]</f>
        <v>533</v>
      </c>
      <c r="AA401" s="2" t="str" cm="1">
        <f t="array" ref="AA4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1" s="2" t="str">
        <f>VLOOKUP(Auto_Sales_data___Copy[[#This Row],[Segment Name]],Table3[],2,FALSE)</f>
        <v>Brand Awareness &amp; Value Proposition</v>
      </c>
    </row>
    <row r="402" spans="1:28" x14ac:dyDescent="0.25">
      <c r="A402">
        <v>10310</v>
      </c>
      <c r="B402">
        <v>33</v>
      </c>
      <c r="C402">
        <v>210.14</v>
      </c>
      <c r="D402">
        <v>10</v>
      </c>
      <c r="E402">
        <v>6934.62</v>
      </c>
      <c r="F402" s="1">
        <v>43754</v>
      </c>
      <c r="G402" s="2" t="s">
        <v>19</v>
      </c>
      <c r="H402" s="2" t="s">
        <v>183</v>
      </c>
      <c r="I402">
        <v>194</v>
      </c>
      <c r="J402" s="2" t="s">
        <v>449</v>
      </c>
      <c r="K402" s="2" t="s">
        <v>465</v>
      </c>
      <c r="L402" s="2" t="s">
        <v>466</v>
      </c>
      <c r="M402" s="2" t="s">
        <v>467</v>
      </c>
      <c r="N402" s="2" t="s">
        <v>468</v>
      </c>
      <c r="O402" s="2" t="s">
        <v>469</v>
      </c>
      <c r="P402" s="2" t="s">
        <v>470</v>
      </c>
      <c r="Q402" s="2" t="s">
        <v>471</v>
      </c>
      <c r="R402" s="2" t="s">
        <v>472</v>
      </c>
      <c r="S402" s="2" t="s">
        <v>46</v>
      </c>
      <c r="T402">
        <v>395</v>
      </c>
      <c r="U402">
        <f>VLOOKUP(Auto_Sales_data___Copy[[#This Row],[CUSTOMER_NAME]],$AF$2:$AH$90,2,FALSE)</f>
        <v>26</v>
      </c>
      <c r="V402">
        <f>VLOOKUP(Auto_Sales_data___Copy[[#This Row],[CUSTOMER_NAME]],$AF$2:$AH$90,3,FALSE)</f>
        <v>100306.58000000002</v>
      </c>
      <c r="W402" s="2">
        <f>6-MATCH(Auto_Sales_data___Copy[[#This Row],[DAYS_SINCE_LAST_ORDER]],Table2[R-Cutoff],1)</f>
        <v>5</v>
      </c>
      <c r="X402" s="2">
        <f>MATCH(Auto_Sales_data___Copy[[#This Row],[Total_Orders_Per_Customer]],Table2[F-Cutoff],1)</f>
        <v>3</v>
      </c>
      <c r="Y402" s="2">
        <f>MATCH(Auto_Sales_data___Copy[[#This Row],[Total_Sales_Per_Customer]],Table2[M-Cutoff],1)</f>
        <v>3</v>
      </c>
      <c r="Z402" s="2" t="str">
        <f>Auto_Sales_data___Copy[[#This Row],[R-Score(1-5)]]&amp;Auto_Sales_data___Copy[[#This Row],[F-Score(1-5)]]&amp;Auto_Sales_data___Copy[[#This Row],[M-Score(1-5)]]</f>
        <v>533</v>
      </c>
      <c r="AA402" s="2" t="str" cm="1">
        <f t="array" ref="AA4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2" s="2" t="str">
        <f>VLOOKUP(Auto_Sales_data___Copy[[#This Row],[Segment Name]],Table3[],2,FALSE)</f>
        <v>Brand Awareness &amp; Value Proposition</v>
      </c>
    </row>
    <row r="403" spans="1:28" x14ac:dyDescent="0.25">
      <c r="A403">
        <v>10310</v>
      </c>
      <c r="B403">
        <v>24</v>
      </c>
      <c r="C403">
        <v>129.18</v>
      </c>
      <c r="D403">
        <v>8</v>
      </c>
      <c r="E403">
        <v>3100.32</v>
      </c>
      <c r="F403" s="1">
        <v>43754</v>
      </c>
      <c r="G403" s="2" t="s">
        <v>19</v>
      </c>
      <c r="H403" s="2" t="s">
        <v>183</v>
      </c>
      <c r="I403">
        <v>117</v>
      </c>
      <c r="J403" s="2" t="s">
        <v>546</v>
      </c>
      <c r="K403" s="2" t="s">
        <v>465</v>
      </c>
      <c r="L403" s="2" t="s">
        <v>466</v>
      </c>
      <c r="M403" s="2" t="s">
        <v>467</v>
      </c>
      <c r="N403" s="2" t="s">
        <v>468</v>
      </c>
      <c r="O403" s="2" t="s">
        <v>469</v>
      </c>
      <c r="P403" s="2" t="s">
        <v>470</v>
      </c>
      <c r="Q403" s="2" t="s">
        <v>471</v>
      </c>
      <c r="R403" s="2" t="s">
        <v>472</v>
      </c>
      <c r="S403" s="2" t="s">
        <v>46</v>
      </c>
      <c r="T403">
        <v>520</v>
      </c>
      <c r="U403">
        <f>VLOOKUP(Auto_Sales_data___Copy[[#This Row],[CUSTOMER_NAME]],$AF$2:$AH$90,2,FALSE)</f>
        <v>26</v>
      </c>
      <c r="V403">
        <f>VLOOKUP(Auto_Sales_data___Copy[[#This Row],[CUSTOMER_NAME]],$AF$2:$AH$90,3,FALSE)</f>
        <v>100306.58000000002</v>
      </c>
      <c r="W403" s="2">
        <f>6-MATCH(Auto_Sales_data___Copy[[#This Row],[DAYS_SINCE_LAST_ORDER]],Table2[R-Cutoff],1)</f>
        <v>5</v>
      </c>
      <c r="X403" s="2">
        <f>MATCH(Auto_Sales_data___Copy[[#This Row],[Total_Orders_Per_Customer]],Table2[F-Cutoff],1)</f>
        <v>3</v>
      </c>
      <c r="Y403" s="2">
        <f>MATCH(Auto_Sales_data___Copy[[#This Row],[Total_Sales_Per_Customer]],Table2[M-Cutoff],1)</f>
        <v>3</v>
      </c>
      <c r="Z403" s="2" t="str">
        <f>Auto_Sales_data___Copy[[#This Row],[R-Score(1-5)]]&amp;Auto_Sales_data___Copy[[#This Row],[F-Score(1-5)]]&amp;Auto_Sales_data___Copy[[#This Row],[M-Score(1-5)]]</f>
        <v>533</v>
      </c>
      <c r="AA403" s="2" t="str" cm="1">
        <f t="array" ref="AA4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3" s="2" t="str">
        <f>VLOOKUP(Auto_Sales_data___Copy[[#This Row],[Segment Name]],Table3[],2,FALSE)</f>
        <v>Brand Awareness &amp; Value Proposition</v>
      </c>
    </row>
    <row r="404" spans="1:28" x14ac:dyDescent="0.25">
      <c r="A404">
        <v>10310</v>
      </c>
      <c r="B404">
        <v>49</v>
      </c>
      <c r="C404">
        <v>81.400000000000006</v>
      </c>
      <c r="D404">
        <v>11</v>
      </c>
      <c r="E404">
        <v>3988.6</v>
      </c>
      <c r="F404" s="1">
        <v>43754</v>
      </c>
      <c r="G404" s="2" t="s">
        <v>19</v>
      </c>
      <c r="H404" s="2" t="s">
        <v>183</v>
      </c>
      <c r="I404">
        <v>79</v>
      </c>
      <c r="J404" s="2" t="s">
        <v>553</v>
      </c>
      <c r="K404" s="2" t="s">
        <v>465</v>
      </c>
      <c r="L404" s="2" t="s">
        <v>466</v>
      </c>
      <c r="M404" s="2" t="s">
        <v>467</v>
      </c>
      <c r="N404" s="2" t="s">
        <v>468</v>
      </c>
      <c r="O404" s="2" t="s">
        <v>469</v>
      </c>
      <c r="P404" s="2" t="s">
        <v>470</v>
      </c>
      <c r="Q404" s="2" t="s">
        <v>471</v>
      </c>
      <c r="R404" s="2" t="s">
        <v>472</v>
      </c>
      <c r="S404" s="2" t="s">
        <v>46</v>
      </c>
      <c r="T404">
        <v>570</v>
      </c>
      <c r="U404">
        <f>VLOOKUP(Auto_Sales_data___Copy[[#This Row],[CUSTOMER_NAME]],$AF$2:$AH$90,2,FALSE)</f>
        <v>26</v>
      </c>
      <c r="V404">
        <f>VLOOKUP(Auto_Sales_data___Copy[[#This Row],[CUSTOMER_NAME]],$AF$2:$AH$90,3,FALSE)</f>
        <v>100306.58000000002</v>
      </c>
      <c r="W404" s="2">
        <f>6-MATCH(Auto_Sales_data___Copy[[#This Row],[DAYS_SINCE_LAST_ORDER]],Table2[R-Cutoff],1)</f>
        <v>5</v>
      </c>
      <c r="X404" s="2">
        <f>MATCH(Auto_Sales_data___Copy[[#This Row],[Total_Orders_Per_Customer]],Table2[F-Cutoff],1)</f>
        <v>3</v>
      </c>
      <c r="Y404" s="2">
        <f>MATCH(Auto_Sales_data___Copy[[#This Row],[Total_Sales_Per_Customer]],Table2[M-Cutoff],1)</f>
        <v>3</v>
      </c>
      <c r="Z404" s="2" t="str">
        <f>Auto_Sales_data___Copy[[#This Row],[R-Score(1-5)]]&amp;Auto_Sales_data___Copy[[#This Row],[F-Score(1-5)]]&amp;Auto_Sales_data___Copy[[#This Row],[M-Score(1-5)]]</f>
        <v>533</v>
      </c>
      <c r="AA404" s="2" t="str" cm="1">
        <f t="array" ref="AA4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4" s="2" t="str">
        <f>VLOOKUP(Auto_Sales_data___Copy[[#This Row],[Segment Name]],Table3[],2,FALSE)</f>
        <v>Brand Awareness &amp; Value Proposition</v>
      </c>
    </row>
    <row r="405" spans="1:28" x14ac:dyDescent="0.25">
      <c r="A405">
        <v>10310</v>
      </c>
      <c r="B405">
        <v>25</v>
      </c>
      <c r="C405">
        <v>100.19</v>
      </c>
      <c r="D405">
        <v>7</v>
      </c>
      <c r="E405">
        <v>2504.75</v>
      </c>
      <c r="F405" s="1">
        <v>43754</v>
      </c>
      <c r="G405" s="2" t="s">
        <v>19</v>
      </c>
      <c r="H405" s="2" t="s">
        <v>183</v>
      </c>
      <c r="I405">
        <v>115</v>
      </c>
      <c r="J405" s="2" t="s">
        <v>567</v>
      </c>
      <c r="K405" s="2" t="s">
        <v>465</v>
      </c>
      <c r="L405" s="2" t="s">
        <v>466</v>
      </c>
      <c r="M405" s="2" t="s">
        <v>467</v>
      </c>
      <c r="N405" s="2" t="s">
        <v>468</v>
      </c>
      <c r="O405" s="2" t="s">
        <v>469</v>
      </c>
      <c r="P405" s="2" t="s">
        <v>470</v>
      </c>
      <c r="Q405" s="2" t="s">
        <v>471</v>
      </c>
      <c r="R405" s="2" t="s">
        <v>472</v>
      </c>
      <c r="S405" s="2" t="s">
        <v>30</v>
      </c>
      <c r="T405">
        <v>621</v>
      </c>
      <c r="U405">
        <f>VLOOKUP(Auto_Sales_data___Copy[[#This Row],[CUSTOMER_NAME]],$AF$2:$AH$90,2,FALSE)</f>
        <v>26</v>
      </c>
      <c r="V405">
        <f>VLOOKUP(Auto_Sales_data___Copy[[#This Row],[CUSTOMER_NAME]],$AF$2:$AH$90,3,FALSE)</f>
        <v>100306.58000000002</v>
      </c>
      <c r="W405" s="2">
        <f>6-MATCH(Auto_Sales_data___Copy[[#This Row],[DAYS_SINCE_LAST_ORDER]],Table2[R-Cutoff],1)</f>
        <v>5</v>
      </c>
      <c r="X405" s="2">
        <f>MATCH(Auto_Sales_data___Copy[[#This Row],[Total_Orders_Per_Customer]],Table2[F-Cutoff],1)</f>
        <v>3</v>
      </c>
      <c r="Y405" s="2">
        <f>MATCH(Auto_Sales_data___Copy[[#This Row],[Total_Sales_Per_Customer]],Table2[M-Cutoff],1)</f>
        <v>3</v>
      </c>
      <c r="Z405" s="2" t="str">
        <f>Auto_Sales_data___Copy[[#This Row],[R-Score(1-5)]]&amp;Auto_Sales_data___Copy[[#This Row],[F-Score(1-5)]]&amp;Auto_Sales_data___Copy[[#This Row],[M-Score(1-5)]]</f>
        <v>533</v>
      </c>
      <c r="AA405" s="2" t="str" cm="1">
        <f t="array" ref="AA4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5" s="2" t="str">
        <f>VLOOKUP(Auto_Sales_data___Copy[[#This Row],[Segment Name]],Table3[],2,FALSE)</f>
        <v>Brand Awareness &amp; Value Proposition</v>
      </c>
    </row>
    <row r="406" spans="1:28" x14ac:dyDescent="0.25">
      <c r="A406">
        <v>10310</v>
      </c>
      <c r="B406">
        <v>37</v>
      </c>
      <c r="C406">
        <v>168.43</v>
      </c>
      <c r="D406">
        <v>2</v>
      </c>
      <c r="E406">
        <v>6231.91</v>
      </c>
      <c r="F406" s="1">
        <v>43754</v>
      </c>
      <c r="G406" s="2" t="s">
        <v>19</v>
      </c>
      <c r="H406" s="2" t="s">
        <v>183</v>
      </c>
      <c r="I406">
        <v>141</v>
      </c>
      <c r="J406" s="2" t="s">
        <v>576</v>
      </c>
      <c r="K406" s="2" t="s">
        <v>465</v>
      </c>
      <c r="L406" s="2" t="s">
        <v>466</v>
      </c>
      <c r="M406" s="2" t="s">
        <v>467</v>
      </c>
      <c r="N406" s="2" t="s">
        <v>468</v>
      </c>
      <c r="O406" s="2" t="s">
        <v>469</v>
      </c>
      <c r="P406" s="2" t="s">
        <v>470</v>
      </c>
      <c r="Q406" s="2" t="s">
        <v>471</v>
      </c>
      <c r="R406" s="2" t="s">
        <v>472</v>
      </c>
      <c r="S406" s="2" t="s">
        <v>46</v>
      </c>
      <c r="T406">
        <v>673</v>
      </c>
      <c r="U406">
        <f>VLOOKUP(Auto_Sales_data___Copy[[#This Row],[CUSTOMER_NAME]],$AF$2:$AH$90,2,FALSE)</f>
        <v>26</v>
      </c>
      <c r="V406">
        <f>VLOOKUP(Auto_Sales_data___Copy[[#This Row],[CUSTOMER_NAME]],$AF$2:$AH$90,3,FALSE)</f>
        <v>100306.58000000002</v>
      </c>
      <c r="W406" s="2">
        <f>6-MATCH(Auto_Sales_data___Copy[[#This Row],[DAYS_SINCE_LAST_ORDER]],Table2[R-Cutoff],1)</f>
        <v>5</v>
      </c>
      <c r="X406" s="2">
        <f>MATCH(Auto_Sales_data___Copy[[#This Row],[Total_Orders_Per_Customer]],Table2[F-Cutoff],1)</f>
        <v>3</v>
      </c>
      <c r="Y406" s="2">
        <f>MATCH(Auto_Sales_data___Copy[[#This Row],[Total_Sales_Per_Customer]],Table2[M-Cutoff],1)</f>
        <v>3</v>
      </c>
      <c r="Z406" s="2" t="str">
        <f>Auto_Sales_data___Copy[[#This Row],[R-Score(1-5)]]&amp;Auto_Sales_data___Copy[[#This Row],[F-Score(1-5)]]&amp;Auto_Sales_data___Copy[[#This Row],[M-Score(1-5)]]</f>
        <v>533</v>
      </c>
      <c r="AA406" s="2" t="str" cm="1">
        <f t="array" ref="AA4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6" s="2" t="str">
        <f>VLOOKUP(Auto_Sales_data___Copy[[#This Row],[Segment Name]],Table3[],2,FALSE)</f>
        <v>Brand Awareness &amp; Value Proposition</v>
      </c>
    </row>
    <row r="407" spans="1:28" x14ac:dyDescent="0.25">
      <c r="A407">
        <v>10310</v>
      </c>
      <c r="B407">
        <v>20</v>
      </c>
      <c r="C407">
        <v>91.63</v>
      </c>
      <c r="D407">
        <v>6</v>
      </c>
      <c r="E407">
        <v>1832.6</v>
      </c>
      <c r="F407" s="1">
        <v>43754</v>
      </c>
      <c r="G407" s="2" t="s">
        <v>19</v>
      </c>
      <c r="H407" s="2" t="s">
        <v>183</v>
      </c>
      <c r="I407">
        <v>77</v>
      </c>
      <c r="J407" s="2" t="s">
        <v>629</v>
      </c>
      <c r="K407" s="2" t="s">
        <v>465</v>
      </c>
      <c r="L407" s="2" t="s">
        <v>466</v>
      </c>
      <c r="M407" s="2" t="s">
        <v>467</v>
      </c>
      <c r="N407" s="2" t="s">
        <v>468</v>
      </c>
      <c r="O407" s="2" t="s">
        <v>469</v>
      </c>
      <c r="P407" s="2" t="s">
        <v>470</v>
      </c>
      <c r="Q407" s="2" t="s">
        <v>471</v>
      </c>
      <c r="R407" s="2" t="s">
        <v>472</v>
      </c>
      <c r="S407" s="2" t="s">
        <v>30</v>
      </c>
      <c r="T407">
        <v>818</v>
      </c>
      <c r="U407">
        <f>VLOOKUP(Auto_Sales_data___Copy[[#This Row],[CUSTOMER_NAME]],$AF$2:$AH$90,2,FALSE)</f>
        <v>26</v>
      </c>
      <c r="V407">
        <f>VLOOKUP(Auto_Sales_data___Copy[[#This Row],[CUSTOMER_NAME]],$AF$2:$AH$90,3,FALSE)</f>
        <v>100306.58000000002</v>
      </c>
      <c r="W407" s="2">
        <f>6-MATCH(Auto_Sales_data___Copy[[#This Row],[DAYS_SINCE_LAST_ORDER]],Table2[R-Cutoff],1)</f>
        <v>5</v>
      </c>
      <c r="X407" s="2">
        <f>MATCH(Auto_Sales_data___Copy[[#This Row],[Total_Orders_Per_Customer]],Table2[F-Cutoff],1)</f>
        <v>3</v>
      </c>
      <c r="Y407" s="2">
        <f>MATCH(Auto_Sales_data___Copy[[#This Row],[Total_Sales_Per_Customer]],Table2[M-Cutoff],1)</f>
        <v>3</v>
      </c>
      <c r="Z407" s="2" t="str">
        <f>Auto_Sales_data___Copy[[#This Row],[R-Score(1-5)]]&amp;Auto_Sales_data___Copy[[#This Row],[F-Score(1-5)]]&amp;Auto_Sales_data___Copy[[#This Row],[M-Score(1-5)]]</f>
        <v>533</v>
      </c>
      <c r="AA407" s="2" t="str" cm="1">
        <f t="array" ref="AA4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7" s="2" t="str">
        <f>VLOOKUP(Auto_Sales_data___Copy[[#This Row],[Segment Name]],Table3[],2,FALSE)</f>
        <v>Brand Awareness &amp; Value Proposition</v>
      </c>
    </row>
    <row r="408" spans="1:28" x14ac:dyDescent="0.25">
      <c r="A408">
        <v>10310</v>
      </c>
      <c r="B408">
        <v>24</v>
      </c>
      <c r="C408">
        <v>143.66999999999999</v>
      </c>
      <c r="D408">
        <v>1</v>
      </c>
      <c r="E408">
        <v>3448.08</v>
      </c>
      <c r="F408" s="1">
        <v>43754</v>
      </c>
      <c r="G408" s="2" t="s">
        <v>19</v>
      </c>
      <c r="H408" s="2" t="s">
        <v>183</v>
      </c>
      <c r="I408">
        <v>142</v>
      </c>
      <c r="J408" s="2" t="s">
        <v>630</v>
      </c>
      <c r="K408" s="2" t="s">
        <v>465</v>
      </c>
      <c r="L408" s="2" t="s">
        <v>466</v>
      </c>
      <c r="M408" s="2" t="s">
        <v>467</v>
      </c>
      <c r="N408" s="2" t="s">
        <v>468</v>
      </c>
      <c r="O408" s="2" t="s">
        <v>469</v>
      </c>
      <c r="P408" s="2" t="s">
        <v>470</v>
      </c>
      <c r="Q408" s="2" t="s">
        <v>471</v>
      </c>
      <c r="R408" s="2" t="s">
        <v>472</v>
      </c>
      <c r="S408" s="2" t="s">
        <v>46</v>
      </c>
      <c r="T408">
        <v>844</v>
      </c>
      <c r="U408">
        <f>VLOOKUP(Auto_Sales_data___Copy[[#This Row],[CUSTOMER_NAME]],$AF$2:$AH$90,2,FALSE)</f>
        <v>26</v>
      </c>
      <c r="V408">
        <f>VLOOKUP(Auto_Sales_data___Copy[[#This Row],[CUSTOMER_NAME]],$AF$2:$AH$90,3,FALSE)</f>
        <v>100306.58000000002</v>
      </c>
      <c r="W408" s="2">
        <f>6-MATCH(Auto_Sales_data___Copy[[#This Row],[DAYS_SINCE_LAST_ORDER]],Table2[R-Cutoff],1)</f>
        <v>5</v>
      </c>
      <c r="X408" s="2">
        <f>MATCH(Auto_Sales_data___Copy[[#This Row],[Total_Orders_Per_Customer]],Table2[F-Cutoff],1)</f>
        <v>3</v>
      </c>
      <c r="Y408" s="2">
        <f>MATCH(Auto_Sales_data___Copy[[#This Row],[Total_Sales_Per_Customer]],Table2[M-Cutoff],1)</f>
        <v>3</v>
      </c>
      <c r="Z408" s="2" t="str">
        <f>Auto_Sales_data___Copy[[#This Row],[R-Score(1-5)]]&amp;Auto_Sales_data___Copy[[#This Row],[F-Score(1-5)]]&amp;Auto_Sales_data___Copy[[#This Row],[M-Score(1-5)]]</f>
        <v>533</v>
      </c>
      <c r="AA408" s="2" t="str" cm="1">
        <f t="array" ref="AA4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8" s="2" t="str">
        <f>VLOOKUP(Auto_Sales_data___Copy[[#This Row],[Segment Name]],Table3[],2,FALSE)</f>
        <v>Brand Awareness &amp; Value Proposition</v>
      </c>
    </row>
    <row r="409" spans="1:28" x14ac:dyDescent="0.25">
      <c r="A409">
        <v>10321</v>
      </c>
      <c r="B409">
        <v>24</v>
      </c>
      <c r="C409">
        <v>124.37</v>
      </c>
      <c r="D409">
        <v>15</v>
      </c>
      <c r="E409">
        <v>2984.88</v>
      </c>
      <c r="F409" s="1">
        <v>43773</v>
      </c>
      <c r="G409" s="2" t="s">
        <v>19</v>
      </c>
      <c r="H409" s="2" t="s">
        <v>183</v>
      </c>
      <c r="I409">
        <v>115</v>
      </c>
      <c r="J409" s="2" t="s">
        <v>567</v>
      </c>
      <c r="K409" s="2" t="s">
        <v>159</v>
      </c>
      <c r="L409" s="2" t="s">
        <v>160</v>
      </c>
      <c r="M409" s="2" t="s">
        <v>161</v>
      </c>
      <c r="N409" s="2" t="s">
        <v>162</v>
      </c>
      <c r="O409" s="2" t="s">
        <v>163</v>
      </c>
      <c r="P409" s="2" t="s">
        <v>27</v>
      </c>
      <c r="Q409" s="2" t="s">
        <v>164</v>
      </c>
      <c r="R409" s="2" t="s">
        <v>165</v>
      </c>
      <c r="S409" s="2" t="s">
        <v>30</v>
      </c>
      <c r="T409">
        <v>603</v>
      </c>
      <c r="U409">
        <f>VLOOKUP(Auto_Sales_data___Copy[[#This Row],[CUSTOMER_NAME]],$AF$2:$AH$90,2,FALSE)</f>
        <v>26</v>
      </c>
      <c r="V409">
        <f>VLOOKUP(Auto_Sales_data___Copy[[#This Row],[CUSTOMER_NAME]],$AF$2:$AH$90,3,FALSE)</f>
        <v>98923.73000000001</v>
      </c>
      <c r="W409" s="2">
        <f>6-MATCH(Auto_Sales_data___Copy[[#This Row],[DAYS_SINCE_LAST_ORDER]],Table2[R-Cutoff],1)</f>
        <v>5</v>
      </c>
      <c r="X409" s="2">
        <f>MATCH(Auto_Sales_data___Copy[[#This Row],[Total_Orders_Per_Customer]],Table2[F-Cutoff],1)</f>
        <v>3</v>
      </c>
      <c r="Y409" s="2">
        <f>MATCH(Auto_Sales_data___Copy[[#This Row],[Total_Sales_Per_Customer]],Table2[M-Cutoff],1)</f>
        <v>3</v>
      </c>
      <c r="Z409" s="2" t="str">
        <f>Auto_Sales_data___Copy[[#This Row],[R-Score(1-5)]]&amp;Auto_Sales_data___Copy[[#This Row],[F-Score(1-5)]]&amp;Auto_Sales_data___Copy[[#This Row],[M-Score(1-5)]]</f>
        <v>533</v>
      </c>
      <c r="AA409" s="2" t="str" cm="1">
        <f t="array" ref="AA4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9" s="2" t="str">
        <f>VLOOKUP(Auto_Sales_data___Copy[[#This Row],[Segment Name]],Table3[],2,FALSE)</f>
        <v>Brand Awareness &amp; Value Proposition</v>
      </c>
    </row>
    <row r="410" spans="1:28" x14ac:dyDescent="0.25">
      <c r="A410">
        <v>10321</v>
      </c>
      <c r="B410">
        <v>41</v>
      </c>
      <c r="C410">
        <v>141.54</v>
      </c>
      <c r="D410">
        <v>10</v>
      </c>
      <c r="E410">
        <v>5803.14</v>
      </c>
      <c r="F410" s="1">
        <v>43773</v>
      </c>
      <c r="G410" s="2" t="s">
        <v>19</v>
      </c>
      <c r="H410" s="2" t="s">
        <v>183</v>
      </c>
      <c r="I410">
        <v>141</v>
      </c>
      <c r="J410" s="2" t="s">
        <v>576</v>
      </c>
      <c r="K410" s="2" t="s">
        <v>159</v>
      </c>
      <c r="L410" s="2" t="s">
        <v>160</v>
      </c>
      <c r="M410" s="2" t="s">
        <v>161</v>
      </c>
      <c r="N410" s="2" t="s">
        <v>162</v>
      </c>
      <c r="O410" s="2" t="s">
        <v>163</v>
      </c>
      <c r="P410" s="2" t="s">
        <v>27</v>
      </c>
      <c r="Q410" s="2" t="s">
        <v>164</v>
      </c>
      <c r="R410" s="2" t="s">
        <v>165</v>
      </c>
      <c r="S410" s="2" t="s">
        <v>46</v>
      </c>
      <c r="T410">
        <v>655</v>
      </c>
      <c r="U410">
        <f>VLOOKUP(Auto_Sales_data___Copy[[#This Row],[CUSTOMER_NAME]],$AF$2:$AH$90,2,FALSE)</f>
        <v>26</v>
      </c>
      <c r="V410">
        <f>VLOOKUP(Auto_Sales_data___Copy[[#This Row],[CUSTOMER_NAME]],$AF$2:$AH$90,3,FALSE)</f>
        <v>98923.73000000001</v>
      </c>
      <c r="W410" s="2">
        <f>6-MATCH(Auto_Sales_data___Copy[[#This Row],[DAYS_SINCE_LAST_ORDER]],Table2[R-Cutoff],1)</f>
        <v>5</v>
      </c>
      <c r="X410" s="2">
        <f>MATCH(Auto_Sales_data___Copy[[#This Row],[Total_Orders_Per_Customer]],Table2[F-Cutoff],1)</f>
        <v>3</v>
      </c>
      <c r="Y410" s="2">
        <f>MATCH(Auto_Sales_data___Copy[[#This Row],[Total_Sales_Per_Customer]],Table2[M-Cutoff],1)</f>
        <v>3</v>
      </c>
      <c r="Z410" s="2" t="str">
        <f>Auto_Sales_data___Copy[[#This Row],[R-Score(1-5)]]&amp;Auto_Sales_data___Copy[[#This Row],[F-Score(1-5)]]&amp;Auto_Sales_data___Copy[[#This Row],[M-Score(1-5)]]</f>
        <v>533</v>
      </c>
      <c r="AA410" s="2" t="str" cm="1">
        <f t="array" ref="AA4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0" s="2" t="str">
        <f>VLOOKUP(Auto_Sales_data___Copy[[#This Row],[Segment Name]],Table3[],2,FALSE)</f>
        <v>Brand Awareness &amp; Value Proposition</v>
      </c>
    </row>
    <row r="411" spans="1:28" x14ac:dyDescent="0.25">
      <c r="A411">
        <v>10321</v>
      </c>
      <c r="B411">
        <v>44</v>
      </c>
      <c r="C411">
        <v>102.04</v>
      </c>
      <c r="D411">
        <v>6</v>
      </c>
      <c r="E411">
        <v>4489.76</v>
      </c>
      <c r="F411" s="1">
        <v>43773</v>
      </c>
      <c r="G411" s="2" t="s">
        <v>19</v>
      </c>
      <c r="H411" s="2" t="s">
        <v>183</v>
      </c>
      <c r="I411">
        <v>124</v>
      </c>
      <c r="J411" s="2" t="s">
        <v>606</v>
      </c>
      <c r="K411" s="2" t="s">
        <v>159</v>
      </c>
      <c r="L411" s="2" t="s">
        <v>160</v>
      </c>
      <c r="M411" s="2" t="s">
        <v>161</v>
      </c>
      <c r="N411" s="2" t="s">
        <v>162</v>
      </c>
      <c r="O411" s="2" t="s">
        <v>163</v>
      </c>
      <c r="P411" s="2" t="s">
        <v>27</v>
      </c>
      <c r="Q411" s="2" t="s">
        <v>164</v>
      </c>
      <c r="R411" s="2" t="s">
        <v>165</v>
      </c>
      <c r="S411" s="2" t="s">
        <v>46</v>
      </c>
      <c r="T411">
        <v>729</v>
      </c>
      <c r="U411">
        <f>VLOOKUP(Auto_Sales_data___Copy[[#This Row],[CUSTOMER_NAME]],$AF$2:$AH$90,2,FALSE)</f>
        <v>26</v>
      </c>
      <c r="V411">
        <f>VLOOKUP(Auto_Sales_data___Copy[[#This Row],[CUSTOMER_NAME]],$AF$2:$AH$90,3,FALSE)</f>
        <v>98923.73000000001</v>
      </c>
      <c r="W411" s="2">
        <f>6-MATCH(Auto_Sales_data___Copy[[#This Row],[DAYS_SINCE_LAST_ORDER]],Table2[R-Cutoff],1)</f>
        <v>5</v>
      </c>
      <c r="X411" s="2">
        <f>MATCH(Auto_Sales_data___Copy[[#This Row],[Total_Orders_Per_Customer]],Table2[F-Cutoff],1)</f>
        <v>3</v>
      </c>
      <c r="Y411" s="2">
        <f>MATCH(Auto_Sales_data___Copy[[#This Row],[Total_Sales_Per_Customer]],Table2[M-Cutoff],1)</f>
        <v>3</v>
      </c>
      <c r="Z411" s="2" t="str">
        <f>Auto_Sales_data___Copy[[#This Row],[R-Score(1-5)]]&amp;Auto_Sales_data___Copy[[#This Row],[F-Score(1-5)]]&amp;Auto_Sales_data___Copy[[#This Row],[M-Score(1-5)]]</f>
        <v>533</v>
      </c>
      <c r="AA411" s="2" t="str" cm="1">
        <f t="array" ref="AA4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1" s="2" t="str">
        <f>VLOOKUP(Auto_Sales_data___Copy[[#This Row],[Segment Name]],Table3[],2,FALSE)</f>
        <v>Brand Awareness &amp; Value Proposition</v>
      </c>
    </row>
    <row r="412" spans="1:28" x14ac:dyDescent="0.25">
      <c r="A412">
        <v>10321</v>
      </c>
      <c r="B412">
        <v>37</v>
      </c>
      <c r="C412">
        <v>78.540000000000006</v>
      </c>
      <c r="D412">
        <v>14</v>
      </c>
      <c r="E412">
        <v>2905.98</v>
      </c>
      <c r="F412" s="1">
        <v>43773</v>
      </c>
      <c r="G412" s="2" t="s">
        <v>19</v>
      </c>
      <c r="H412" s="2" t="s">
        <v>183</v>
      </c>
      <c r="I412">
        <v>77</v>
      </c>
      <c r="J412" s="2" t="s">
        <v>629</v>
      </c>
      <c r="K412" s="2" t="s">
        <v>159</v>
      </c>
      <c r="L412" s="2" t="s">
        <v>160</v>
      </c>
      <c r="M412" s="2" t="s">
        <v>161</v>
      </c>
      <c r="N412" s="2" t="s">
        <v>162</v>
      </c>
      <c r="O412" s="2" t="s">
        <v>163</v>
      </c>
      <c r="P412" s="2" t="s">
        <v>27</v>
      </c>
      <c r="Q412" s="2" t="s">
        <v>164</v>
      </c>
      <c r="R412" s="2" t="s">
        <v>165</v>
      </c>
      <c r="S412" s="2" t="s">
        <v>30</v>
      </c>
      <c r="T412">
        <v>800</v>
      </c>
      <c r="U412">
        <f>VLOOKUP(Auto_Sales_data___Copy[[#This Row],[CUSTOMER_NAME]],$AF$2:$AH$90,2,FALSE)</f>
        <v>26</v>
      </c>
      <c r="V412">
        <f>VLOOKUP(Auto_Sales_data___Copy[[#This Row],[CUSTOMER_NAME]],$AF$2:$AH$90,3,FALSE)</f>
        <v>98923.73000000001</v>
      </c>
      <c r="W412" s="2">
        <f>6-MATCH(Auto_Sales_data___Copy[[#This Row],[DAYS_SINCE_LAST_ORDER]],Table2[R-Cutoff],1)</f>
        <v>5</v>
      </c>
      <c r="X412" s="2">
        <f>MATCH(Auto_Sales_data___Copy[[#This Row],[Total_Orders_Per_Customer]],Table2[F-Cutoff],1)</f>
        <v>3</v>
      </c>
      <c r="Y412" s="2">
        <f>MATCH(Auto_Sales_data___Copy[[#This Row],[Total_Sales_Per_Customer]],Table2[M-Cutoff],1)</f>
        <v>3</v>
      </c>
      <c r="Z412" s="2" t="str">
        <f>Auto_Sales_data___Copy[[#This Row],[R-Score(1-5)]]&amp;Auto_Sales_data___Copy[[#This Row],[F-Score(1-5)]]&amp;Auto_Sales_data___Copy[[#This Row],[M-Score(1-5)]]</f>
        <v>533</v>
      </c>
      <c r="AA412" s="2" t="str" cm="1">
        <f t="array" ref="AA4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2" s="2" t="str">
        <f>VLOOKUP(Auto_Sales_data___Copy[[#This Row],[Segment Name]],Table3[],2,FALSE)</f>
        <v>Brand Awareness &amp; Value Proposition</v>
      </c>
    </row>
    <row r="413" spans="1:28" x14ac:dyDescent="0.25">
      <c r="A413">
        <v>10321</v>
      </c>
      <c r="B413">
        <v>25</v>
      </c>
      <c r="C413">
        <v>149.36000000000001</v>
      </c>
      <c r="D413">
        <v>9</v>
      </c>
      <c r="E413">
        <v>3734</v>
      </c>
      <c r="F413" s="1">
        <v>43773</v>
      </c>
      <c r="G413" s="2" t="s">
        <v>19</v>
      </c>
      <c r="H413" s="2" t="s">
        <v>183</v>
      </c>
      <c r="I413">
        <v>142</v>
      </c>
      <c r="J413" s="2" t="s">
        <v>630</v>
      </c>
      <c r="K413" s="2" t="s">
        <v>159</v>
      </c>
      <c r="L413" s="2" t="s">
        <v>160</v>
      </c>
      <c r="M413" s="2" t="s">
        <v>161</v>
      </c>
      <c r="N413" s="2" t="s">
        <v>162</v>
      </c>
      <c r="O413" s="2" t="s">
        <v>163</v>
      </c>
      <c r="P413" s="2" t="s">
        <v>27</v>
      </c>
      <c r="Q413" s="2" t="s">
        <v>164</v>
      </c>
      <c r="R413" s="2" t="s">
        <v>165</v>
      </c>
      <c r="S413" s="2" t="s">
        <v>46</v>
      </c>
      <c r="T413">
        <v>826</v>
      </c>
      <c r="U413">
        <f>VLOOKUP(Auto_Sales_data___Copy[[#This Row],[CUSTOMER_NAME]],$AF$2:$AH$90,2,FALSE)</f>
        <v>26</v>
      </c>
      <c r="V413">
        <f>VLOOKUP(Auto_Sales_data___Copy[[#This Row],[CUSTOMER_NAME]],$AF$2:$AH$90,3,FALSE)</f>
        <v>98923.73000000001</v>
      </c>
      <c r="W413" s="2">
        <f>6-MATCH(Auto_Sales_data___Copy[[#This Row],[DAYS_SINCE_LAST_ORDER]],Table2[R-Cutoff],1)</f>
        <v>5</v>
      </c>
      <c r="X413" s="2">
        <f>MATCH(Auto_Sales_data___Copy[[#This Row],[Total_Orders_Per_Customer]],Table2[F-Cutoff],1)</f>
        <v>3</v>
      </c>
      <c r="Y413" s="2">
        <f>MATCH(Auto_Sales_data___Copy[[#This Row],[Total_Sales_Per_Customer]],Table2[M-Cutoff],1)</f>
        <v>3</v>
      </c>
      <c r="Z413" s="2" t="str">
        <f>Auto_Sales_data___Copy[[#This Row],[R-Score(1-5)]]&amp;Auto_Sales_data___Copy[[#This Row],[F-Score(1-5)]]&amp;Auto_Sales_data___Copy[[#This Row],[M-Score(1-5)]]</f>
        <v>533</v>
      </c>
      <c r="AA413" s="2" t="str" cm="1">
        <f t="array" ref="AA4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3" s="2" t="str">
        <f>VLOOKUP(Auto_Sales_data___Copy[[#This Row],[Segment Name]],Table3[],2,FALSE)</f>
        <v>Brand Awareness &amp; Value Proposition</v>
      </c>
    </row>
    <row r="414" spans="1:28" x14ac:dyDescent="0.25">
      <c r="A414">
        <v>10324</v>
      </c>
      <c r="B414">
        <v>27</v>
      </c>
      <c r="C414">
        <v>54.33</v>
      </c>
      <c r="D414">
        <v>1</v>
      </c>
      <c r="E414">
        <v>1466.91</v>
      </c>
      <c r="F414" s="1">
        <v>43774</v>
      </c>
      <c r="G414" s="2" t="s">
        <v>19</v>
      </c>
      <c r="H414" s="2" t="s">
        <v>183</v>
      </c>
      <c r="I414">
        <v>151</v>
      </c>
      <c r="J414" s="2" t="s">
        <v>545</v>
      </c>
      <c r="K414" s="2" t="s">
        <v>90</v>
      </c>
      <c r="L414" s="2" t="s">
        <v>91</v>
      </c>
      <c r="M414" s="2" t="s">
        <v>92</v>
      </c>
      <c r="N414" s="2" t="s">
        <v>25</v>
      </c>
      <c r="O414" s="2" t="s">
        <v>26</v>
      </c>
      <c r="P414" s="2" t="s">
        <v>27</v>
      </c>
      <c r="Q414" s="2" t="s">
        <v>93</v>
      </c>
      <c r="R414" s="2" t="s">
        <v>94</v>
      </c>
      <c r="S414" s="2" t="s">
        <v>30</v>
      </c>
      <c r="T414">
        <v>477</v>
      </c>
      <c r="U414">
        <f>VLOOKUP(Auto_Sales_data___Copy[[#This Row],[CUSTOMER_NAME]],$AF$2:$AH$90,2,FALSE)</f>
        <v>25</v>
      </c>
      <c r="V414">
        <f>VLOOKUP(Auto_Sales_data___Copy[[#This Row],[CUSTOMER_NAME]],$AF$2:$AH$90,3,FALSE)</f>
        <v>88041.260000000009</v>
      </c>
      <c r="W414" s="2">
        <f>6-MATCH(Auto_Sales_data___Copy[[#This Row],[DAYS_SINCE_LAST_ORDER]],Table2[R-Cutoff],1)</f>
        <v>5</v>
      </c>
      <c r="X414" s="2">
        <f>MATCH(Auto_Sales_data___Copy[[#This Row],[Total_Orders_Per_Customer]],Table2[F-Cutoff],1)</f>
        <v>3</v>
      </c>
      <c r="Y414" s="2">
        <f>MATCH(Auto_Sales_data___Copy[[#This Row],[Total_Sales_Per_Customer]],Table2[M-Cutoff],1)</f>
        <v>3</v>
      </c>
      <c r="Z414" s="2" t="str">
        <f>Auto_Sales_data___Copy[[#This Row],[R-Score(1-5)]]&amp;Auto_Sales_data___Copy[[#This Row],[F-Score(1-5)]]&amp;Auto_Sales_data___Copy[[#This Row],[M-Score(1-5)]]</f>
        <v>533</v>
      </c>
      <c r="AA414" s="2" t="str" cm="1">
        <f t="array" ref="AA4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4" s="2" t="str">
        <f>VLOOKUP(Auto_Sales_data___Copy[[#This Row],[Segment Name]],Table3[],2,FALSE)</f>
        <v>Brand Awareness &amp; Value Proposition</v>
      </c>
    </row>
    <row r="415" spans="1:28" x14ac:dyDescent="0.25">
      <c r="A415">
        <v>10324</v>
      </c>
      <c r="B415">
        <v>26</v>
      </c>
      <c r="C415">
        <v>58.38</v>
      </c>
      <c r="D415">
        <v>7</v>
      </c>
      <c r="E415">
        <v>1517.88</v>
      </c>
      <c r="F415" s="1">
        <v>43774</v>
      </c>
      <c r="G415" s="2" t="s">
        <v>19</v>
      </c>
      <c r="H415" s="2" t="s">
        <v>537</v>
      </c>
      <c r="I415">
        <v>118</v>
      </c>
      <c r="J415" s="2" t="s">
        <v>554</v>
      </c>
      <c r="K415" s="2" t="s">
        <v>90</v>
      </c>
      <c r="L415" s="2" t="s">
        <v>91</v>
      </c>
      <c r="M415" s="2" t="s">
        <v>92</v>
      </c>
      <c r="N415" s="2" t="s">
        <v>25</v>
      </c>
      <c r="O415" s="2" t="s">
        <v>26</v>
      </c>
      <c r="P415" s="2" t="s">
        <v>27</v>
      </c>
      <c r="Q415" s="2" t="s">
        <v>93</v>
      </c>
      <c r="R415" s="2" t="s">
        <v>94</v>
      </c>
      <c r="S415" s="2" t="s">
        <v>30</v>
      </c>
      <c r="T415">
        <v>577</v>
      </c>
      <c r="U415">
        <f>VLOOKUP(Auto_Sales_data___Copy[[#This Row],[CUSTOMER_NAME]],$AF$2:$AH$90,2,FALSE)</f>
        <v>25</v>
      </c>
      <c r="V415">
        <f>VLOOKUP(Auto_Sales_data___Copy[[#This Row],[CUSTOMER_NAME]],$AF$2:$AH$90,3,FALSE)</f>
        <v>88041.260000000009</v>
      </c>
      <c r="W415" s="2">
        <f>6-MATCH(Auto_Sales_data___Copy[[#This Row],[DAYS_SINCE_LAST_ORDER]],Table2[R-Cutoff],1)</f>
        <v>5</v>
      </c>
      <c r="X415" s="2">
        <f>MATCH(Auto_Sales_data___Copy[[#This Row],[Total_Orders_Per_Customer]],Table2[F-Cutoff],1)</f>
        <v>3</v>
      </c>
      <c r="Y415" s="2">
        <f>MATCH(Auto_Sales_data___Copy[[#This Row],[Total_Sales_Per_Customer]],Table2[M-Cutoff],1)</f>
        <v>3</v>
      </c>
      <c r="Z415" s="2" t="str">
        <f>Auto_Sales_data___Copy[[#This Row],[R-Score(1-5)]]&amp;Auto_Sales_data___Copy[[#This Row],[F-Score(1-5)]]&amp;Auto_Sales_data___Copy[[#This Row],[M-Score(1-5)]]</f>
        <v>533</v>
      </c>
      <c r="AA415" s="2" t="str" cm="1">
        <f t="array" ref="AA4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5" s="2" t="str">
        <f>VLOOKUP(Auto_Sales_data___Copy[[#This Row],[Segment Name]],Table3[],2,FALSE)</f>
        <v>Brand Awareness &amp; Value Proposition</v>
      </c>
    </row>
    <row r="416" spans="1:28" x14ac:dyDescent="0.25">
      <c r="A416">
        <v>10324</v>
      </c>
      <c r="B416">
        <v>47</v>
      </c>
      <c r="C416">
        <v>153.35</v>
      </c>
      <c r="D416">
        <v>8</v>
      </c>
      <c r="E416">
        <v>7207.45</v>
      </c>
      <c r="F416" s="1">
        <v>43774</v>
      </c>
      <c r="G416" s="2" t="s">
        <v>19</v>
      </c>
      <c r="H416" s="2" t="s">
        <v>183</v>
      </c>
      <c r="I416">
        <v>163</v>
      </c>
      <c r="J416" s="2" t="s">
        <v>631</v>
      </c>
      <c r="K416" s="2" t="s">
        <v>90</v>
      </c>
      <c r="L416" s="2" t="s">
        <v>91</v>
      </c>
      <c r="M416" s="2" t="s">
        <v>92</v>
      </c>
      <c r="N416" s="2" t="s">
        <v>25</v>
      </c>
      <c r="O416" s="2" t="s">
        <v>26</v>
      </c>
      <c r="P416" s="2" t="s">
        <v>27</v>
      </c>
      <c r="Q416" s="2" t="s">
        <v>93</v>
      </c>
      <c r="R416" s="2" t="s">
        <v>94</v>
      </c>
      <c r="S416" s="2" t="s">
        <v>151</v>
      </c>
      <c r="T416">
        <v>853</v>
      </c>
      <c r="U416">
        <f>VLOOKUP(Auto_Sales_data___Copy[[#This Row],[CUSTOMER_NAME]],$AF$2:$AH$90,2,FALSE)</f>
        <v>25</v>
      </c>
      <c r="V416">
        <f>VLOOKUP(Auto_Sales_data___Copy[[#This Row],[CUSTOMER_NAME]],$AF$2:$AH$90,3,FALSE)</f>
        <v>88041.260000000009</v>
      </c>
      <c r="W416" s="2">
        <f>6-MATCH(Auto_Sales_data___Copy[[#This Row],[DAYS_SINCE_LAST_ORDER]],Table2[R-Cutoff],1)</f>
        <v>5</v>
      </c>
      <c r="X416" s="2">
        <f>MATCH(Auto_Sales_data___Copy[[#This Row],[Total_Orders_Per_Customer]],Table2[F-Cutoff],1)</f>
        <v>3</v>
      </c>
      <c r="Y416" s="2">
        <f>MATCH(Auto_Sales_data___Copy[[#This Row],[Total_Sales_Per_Customer]],Table2[M-Cutoff],1)</f>
        <v>3</v>
      </c>
      <c r="Z416" s="2" t="str">
        <f>Auto_Sales_data___Copy[[#This Row],[R-Score(1-5)]]&amp;Auto_Sales_data___Copy[[#This Row],[F-Score(1-5)]]&amp;Auto_Sales_data___Copy[[#This Row],[M-Score(1-5)]]</f>
        <v>533</v>
      </c>
      <c r="AA416" s="2" t="str" cm="1">
        <f t="array" ref="AA4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6" s="2" t="str">
        <f>VLOOKUP(Auto_Sales_data___Copy[[#This Row],[Segment Name]],Table3[],2,FALSE)</f>
        <v>Brand Awareness &amp; Value Proposition</v>
      </c>
    </row>
    <row r="417" spans="1:28" x14ac:dyDescent="0.25">
      <c r="A417">
        <v>10324</v>
      </c>
      <c r="B417">
        <v>33</v>
      </c>
      <c r="C417">
        <v>37.479999999999997</v>
      </c>
      <c r="D417">
        <v>10</v>
      </c>
      <c r="E417">
        <v>1236.8399999999999</v>
      </c>
      <c r="F417" s="1">
        <v>43774</v>
      </c>
      <c r="G417" s="2" t="s">
        <v>19</v>
      </c>
      <c r="H417" s="2" t="s">
        <v>537</v>
      </c>
      <c r="I417">
        <v>122</v>
      </c>
      <c r="J417" s="2" t="s">
        <v>633</v>
      </c>
      <c r="K417" s="2" t="s">
        <v>90</v>
      </c>
      <c r="L417" s="2" t="s">
        <v>91</v>
      </c>
      <c r="M417" s="2" t="s">
        <v>92</v>
      </c>
      <c r="N417" s="2" t="s">
        <v>25</v>
      </c>
      <c r="O417" s="2" t="s">
        <v>26</v>
      </c>
      <c r="P417" s="2" t="s">
        <v>27</v>
      </c>
      <c r="Q417" s="2" t="s">
        <v>93</v>
      </c>
      <c r="R417" s="2" t="s">
        <v>94</v>
      </c>
      <c r="S417" s="2" t="s">
        <v>30</v>
      </c>
      <c r="T417">
        <v>900</v>
      </c>
      <c r="U417">
        <f>VLOOKUP(Auto_Sales_data___Copy[[#This Row],[CUSTOMER_NAME]],$AF$2:$AH$90,2,FALSE)</f>
        <v>25</v>
      </c>
      <c r="V417">
        <f>VLOOKUP(Auto_Sales_data___Copy[[#This Row],[CUSTOMER_NAME]],$AF$2:$AH$90,3,FALSE)</f>
        <v>88041.260000000009</v>
      </c>
      <c r="W417" s="2">
        <f>6-MATCH(Auto_Sales_data___Copy[[#This Row],[DAYS_SINCE_LAST_ORDER]],Table2[R-Cutoff],1)</f>
        <v>5</v>
      </c>
      <c r="X417" s="2">
        <f>MATCH(Auto_Sales_data___Copy[[#This Row],[Total_Orders_Per_Customer]],Table2[F-Cutoff],1)</f>
        <v>3</v>
      </c>
      <c r="Y417" s="2">
        <f>MATCH(Auto_Sales_data___Copy[[#This Row],[Total_Sales_Per_Customer]],Table2[M-Cutoff],1)</f>
        <v>3</v>
      </c>
      <c r="Z417" s="2" t="str">
        <f>Auto_Sales_data___Copy[[#This Row],[R-Score(1-5)]]&amp;Auto_Sales_data___Copy[[#This Row],[F-Score(1-5)]]&amp;Auto_Sales_data___Copy[[#This Row],[M-Score(1-5)]]</f>
        <v>533</v>
      </c>
      <c r="AA417" s="2" t="str" cm="1">
        <f t="array" ref="AA4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7" s="2" t="str">
        <f>VLOOKUP(Auto_Sales_data___Copy[[#This Row],[Segment Name]],Table3[],2,FALSE)</f>
        <v>Brand Awareness &amp; Value Proposition</v>
      </c>
    </row>
    <row r="418" spans="1:28" x14ac:dyDescent="0.25">
      <c r="A418">
        <v>10351</v>
      </c>
      <c r="B418">
        <v>39</v>
      </c>
      <c r="C418">
        <v>99.52</v>
      </c>
      <c r="D418">
        <v>1</v>
      </c>
      <c r="E418">
        <v>3881.28</v>
      </c>
      <c r="F418" s="1">
        <v>43802</v>
      </c>
      <c r="G418" s="2" t="s">
        <v>19</v>
      </c>
      <c r="H418" s="2" t="s">
        <v>607</v>
      </c>
      <c r="I418">
        <v>157</v>
      </c>
      <c r="J418" s="2" t="s">
        <v>608</v>
      </c>
      <c r="K418" s="2" t="s">
        <v>347</v>
      </c>
      <c r="L418" s="2" t="s">
        <v>348</v>
      </c>
      <c r="M418" s="2" t="s">
        <v>349</v>
      </c>
      <c r="N418" s="2" t="s">
        <v>350</v>
      </c>
      <c r="O418" s="2" t="s">
        <v>351</v>
      </c>
      <c r="P418" s="2" t="s">
        <v>171</v>
      </c>
      <c r="Q418" s="2" t="s">
        <v>100</v>
      </c>
      <c r="R418" s="2" t="s">
        <v>352</v>
      </c>
      <c r="S418" s="2" t="s">
        <v>46</v>
      </c>
      <c r="T418">
        <v>727</v>
      </c>
      <c r="U418">
        <f>VLOOKUP(Auto_Sales_data___Copy[[#This Row],[CUSTOMER_NAME]],$AF$2:$AH$90,2,FALSE)</f>
        <v>26</v>
      </c>
      <c r="V418">
        <f>VLOOKUP(Auto_Sales_data___Copy[[#This Row],[CUSTOMER_NAME]],$AF$2:$AH$90,3,FALSE)</f>
        <v>88804.5</v>
      </c>
      <c r="W418" s="2">
        <f>6-MATCH(Auto_Sales_data___Copy[[#This Row],[DAYS_SINCE_LAST_ORDER]],Table2[R-Cutoff],1)</f>
        <v>5</v>
      </c>
      <c r="X418" s="2">
        <f>MATCH(Auto_Sales_data___Copy[[#This Row],[Total_Orders_Per_Customer]],Table2[F-Cutoff],1)</f>
        <v>3</v>
      </c>
      <c r="Y418" s="2">
        <f>MATCH(Auto_Sales_data___Copy[[#This Row],[Total_Sales_Per_Customer]],Table2[M-Cutoff],1)</f>
        <v>3</v>
      </c>
      <c r="Z418" s="2" t="str">
        <f>Auto_Sales_data___Copy[[#This Row],[R-Score(1-5)]]&amp;Auto_Sales_data___Copy[[#This Row],[F-Score(1-5)]]&amp;Auto_Sales_data___Copy[[#This Row],[M-Score(1-5)]]</f>
        <v>533</v>
      </c>
      <c r="AA418" s="2" t="str" cm="1">
        <f t="array" ref="AA4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8" s="2" t="str">
        <f>VLOOKUP(Auto_Sales_data___Copy[[#This Row],[Segment Name]],Table3[],2,FALSE)</f>
        <v>Brand Awareness &amp; Value Proposition</v>
      </c>
    </row>
    <row r="419" spans="1:28" x14ac:dyDescent="0.25">
      <c r="A419">
        <v>10369</v>
      </c>
      <c r="B419">
        <v>41</v>
      </c>
      <c r="C419">
        <v>110.12</v>
      </c>
      <c r="D419">
        <v>2</v>
      </c>
      <c r="E419">
        <v>4514.92</v>
      </c>
      <c r="F419" s="1">
        <v>43850</v>
      </c>
      <c r="G419" s="2" t="s">
        <v>19</v>
      </c>
      <c r="H419" s="2" t="s">
        <v>183</v>
      </c>
      <c r="I419">
        <v>214</v>
      </c>
      <c r="J419" s="2" t="s">
        <v>184</v>
      </c>
      <c r="K419" s="2" t="s">
        <v>295</v>
      </c>
      <c r="L419" s="2" t="s">
        <v>116</v>
      </c>
      <c r="M419" s="2" t="s">
        <v>296</v>
      </c>
      <c r="N419" s="2" t="s">
        <v>297</v>
      </c>
      <c r="O419" s="2" t="s">
        <v>298</v>
      </c>
      <c r="P419" s="2" t="s">
        <v>27</v>
      </c>
      <c r="Q419" s="2" t="s">
        <v>288</v>
      </c>
      <c r="R419" s="2" t="s">
        <v>299</v>
      </c>
      <c r="S419" s="2" t="s">
        <v>46</v>
      </c>
      <c r="T419">
        <v>179</v>
      </c>
      <c r="U419">
        <f>VLOOKUP(Auto_Sales_data___Copy[[#This Row],[CUSTOMER_NAME]],$AF$2:$AH$90,2,FALSE)</f>
        <v>24</v>
      </c>
      <c r="V419">
        <f>VLOOKUP(Auto_Sales_data___Copy[[#This Row],[CUSTOMER_NAME]],$AF$2:$AH$90,3,FALSE)</f>
        <v>81577.98</v>
      </c>
      <c r="W419" s="2">
        <f>6-MATCH(Auto_Sales_data___Copy[[#This Row],[DAYS_SINCE_LAST_ORDER]],Table2[R-Cutoff],1)</f>
        <v>5</v>
      </c>
      <c r="X419" s="2">
        <f>MATCH(Auto_Sales_data___Copy[[#This Row],[Total_Orders_Per_Customer]],Table2[F-Cutoff],1)</f>
        <v>3</v>
      </c>
      <c r="Y419" s="2">
        <f>MATCH(Auto_Sales_data___Copy[[#This Row],[Total_Sales_Per_Customer]],Table2[M-Cutoff],1)</f>
        <v>3</v>
      </c>
      <c r="Z419" s="2" t="str">
        <f>Auto_Sales_data___Copy[[#This Row],[R-Score(1-5)]]&amp;Auto_Sales_data___Copy[[#This Row],[F-Score(1-5)]]&amp;Auto_Sales_data___Copy[[#This Row],[M-Score(1-5)]]</f>
        <v>533</v>
      </c>
      <c r="AA419" s="2" t="str" cm="1">
        <f t="array" ref="AA4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9" s="2" t="str">
        <f>VLOOKUP(Auto_Sales_data___Copy[[#This Row],[Segment Name]],Table3[],2,FALSE)</f>
        <v>Brand Awareness &amp; Value Proposition</v>
      </c>
    </row>
    <row r="420" spans="1:28" x14ac:dyDescent="0.25">
      <c r="A420">
        <v>10369</v>
      </c>
      <c r="B420">
        <v>44</v>
      </c>
      <c r="C420">
        <v>210.01</v>
      </c>
      <c r="D420">
        <v>8</v>
      </c>
      <c r="E420">
        <v>9240.44</v>
      </c>
      <c r="F420" s="1">
        <v>43850</v>
      </c>
      <c r="G420" s="2" t="s">
        <v>19</v>
      </c>
      <c r="H420" s="2" t="s">
        <v>589</v>
      </c>
      <c r="I420">
        <v>102</v>
      </c>
      <c r="J420" s="2" t="s">
        <v>590</v>
      </c>
      <c r="K420" s="2" t="s">
        <v>295</v>
      </c>
      <c r="L420" s="2" t="s">
        <v>116</v>
      </c>
      <c r="M420" s="2" t="s">
        <v>296</v>
      </c>
      <c r="N420" s="2" t="s">
        <v>297</v>
      </c>
      <c r="O420" s="2" t="s">
        <v>298</v>
      </c>
      <c r="P420" s="2" t="s">
        <v>27</v>
      </c>
      <c r="Q420" s="2" t="s">
        <v>288</v>
      </c>
      <c r="R420" s="2" t="s">
        <v>299</v>
      </c>
      <c r="S420" s="2" t="s">
        <v>151</v>
      </c>
      <c r="T420">
        <v>607</v>
      </c>
      <c r="U420">
        <f>VLOOKUP(Auto_Sales_data___Copy[[#This Row],[CUSTOMER_NAME]],$AF$2:$AH$90,2,FALSE)</f>
        <v>24</v>
      </c>
      <c r="V420">
        <f>VLOOKUP(Auto_Sales_data___Copy[[#This Row],[CUSTOMER_NAME]],$AF$2:$AH$90,3,FALSE)</f>
        <v>81577.98</v>
      </c>
      <c r="W420" s="2">
        <f>6-MATCH(Auto_Sales_data___Copy[[#This Row],[DAYS_SINCE_LAST_ORDER]],Table2[R-Cutoff],1)</f>
        <v>5</v>
      </c>
      <c r="X420" s="2">
        <f>MATCH(Auto_Sales_data___Copy[[#This Row],[Total_Orders_Per_Customer]],Table2[F-Cutoff],1)</f>
        <v>3</v>
      </c>
      <c r="Y420" s="2">
        <f>MATCH(Auto_Sales_data___Copy[[#This Row],[Total_Sales_Per_Customer]],Table2[M-Cutoff],1)</f>
        <v>3</v>
      </c>
      <c r="Z420" s="2" t="str">
        <f>Auto_Sales_data___Copy[[#This Row],[R-Score(1-5)]]&amp;Auto_Sales_data___Copy[[#This Row],[F-Score(1-5)]]&amp;Auto_Sales_data___Copy[[#This Row],[M-Score(1-5)]]</f>
        <v>533</v>
      </c>
      <c r="AA420" s="2" t="str" cm="1">
        <f t="array" ref="AA4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0" s="2" t="str">
        <f>VLOOKUP(Auto_Sales_data___Copy[[#This Row],[Segment Name]],Table3[],2,FALSE)</f>
        <v>Brand Awareness &amp; Value Proposition</v>
      </c>
    </row>
    <row r="421" spans="1:28" x14ac:dyDescent="0.25">
      <c r="A421">
        <v>10369</v>
      </c>
      <c r="B421">
        <v>32</v>
      </c>
      <c r="C421">
        <v>98.63</v>
      </c>
      <c r="D421">
        <v>7</v>
      </c>
      <c r="E421">
        <v>3156.16</v>
      </c>
      <c r="F421" s="1">
        <v>43850</v>
      </c>
      <c r="G421" s="2" t="s">
        <v>19</v>
      </c>
      <c r="H421" s="2" t="s">
        <v>589</v>
      </c>
      <c r="I421">
        <v>53</v>
      </c>
      <c r="J421" s="2" t="s">
        <v>605</v>
      </c>
      <c r="K421" s="2" t="s">
        <v>295</v>
      </c>
      <c r="L421" s="2" t="s">
        <v>116</v>
      </c>
      <c r="M421" s="2" t="s">
        <v>296</v>
      </c>
      <c r="N421" s="2" t="s">
        <v>297</v>
      </c>
      <c r="O421" s="2" t="s">
        <v>298</v>
      </c>
      <c r="P421" s="2" t="s">
        <v>27</v>
      </c>
      <c r="Q421" s="2" t="s">
        <v>288</v>
      </c>
      <c r="R421" s="2" t="s">
        <v>299</v>
      </c>
      <c r="S421" s="2" t="s">
        <v>46</v>
      </c>
      <c r="T421">
        <v>631</v>
      </c>
      <c r="U421">
        <f>VLOOKUP(Auto_Sales_data___Copy[[#This Row],[CUSTOMER_NAME]],$AF$2:$AH$90,2,FALSE)</f>
        <v>24</v>
      </c>
      <c r="V421">
        <f>VLOOKUP(Auto_Sales_data___Copy[[#This Row],[CUSTOMER_NAME]],$AF$2:$AH$90,3,FALSE)</f>
        <v>81577.98</v>
      </c>
      <c r="W421" s="2">
        <f>6-MATCH(Auto_Sales_data___Copy[[#This Row],[DAYS_SINCE_LAST_ORDER]],Table2[R-Cutoff],1)</f>
        <v>5</v>
      </c>
      <c r="X421" s="2">
        <f>MATCH(Auto_Sales_data___Copy[[#This Row],[Total_Orders_Per_Customer]],Table2[F-Cutoff],1)</f>
        <v>3</v>
      </c>
      <c r="Y421" s="2">
        <f>MATCH(Auto_Sales_data___Copy[[#This Row],[Total_Sales_Per_Customer]],Table2[M-Cutoff],1)</f>
        <v>3</v>
      </c>
      <c r="Z421" s="2" t="str">
        <f>Auto_Sales_data___Copy[[#This Row],[R-Score(1-5)]]&amp;Auto_Sales_data___Copy[[#This Row],[F-Score(1-5)]]&amp;Auto_Sales_data___Copy[[#This Row],[M-Score(1-5)]]</f>
        <v>533</v>
      </c>
      <c r="AA421" s="2" t="str" cm="1">
        <f t="array" ref="AA4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1" s="2" t="str">
        <f>VLOOKUP(Auto_Sales_data___Copy[[#This Row],[Segment Name]],Table3[],2,FALSE)</f>
        <v>Brand Awareness &amp; Value Proposition</v>
      </c>
    </row>
    <row r="422" spans="1:28" x14ac:dyDescent="0.25">
      <c r="A422">
        <v>10388</v>
      </c>
      <c r="B422">
        <v>42</v>
      </c>
      <c r="C422">
        <v>76.36</v>
      </c>
      <c r="D422">
        <v>4</v>
      </c>
      <c r="E422">
        <v>3207.12</v>
      </c>
      <c r="F422" s="1">
        <v>43893</v>
      </c>
      <c r="G422" s="2" t="s">
        <v>19</v>
      </c>
      <c r="H422" s="2" t="s">
        <v>20</v>
      </c>
      <c r="I422">
        <v>95</v>
      </c>
      <c r="J422" s="2" t="s">
        <v>21</v>
      </c>
      <c r="K422" s="2" t="s">
        <v>159</v>
      </c>
      <c r="L422" s="2" t="s">
        <v>160</v>
      </c>
      <c r="M422" s="2" t="s">
        <v>161</v>
      </c>
      <c r="N422" s="2" t="s">
        <v>162</v>
      </c>
      <c r="O422" s="2" t="s">
        <v>163</v>
      </c>
      <c r="P422" s="2" t="s">
        <v>27</v>
      </c>
      <c r="Q422" s="2" t="s">
        <v>164</v>
      </c>
      <c r="R422" s="2" t="s">
        <v>165</v>
      </c>
      <c r="S422" s="2" t="s">
        <v>46</v>
      </c>
      <c r="T422">
        <v>111</v>
      </c>
      <c r="U422">
        <f>VLOOKUP(Auto_Sales_data___Copy[[#This Row],[CUSTOMER_NAME]],$AF$2:$AH$90,2,FALSE)</f>
        <v>26</v>
      </c>
      <c r="V422">
        <f>VLOOKUP(Auto_Sales_data___Copy[[#This Row],[CUSTOMER_NAME]],$AF$2:$AH$90,3,FALSE)</f>
        <v>98923.73000000001</v>
      </c>
      <c r="W422" s="2">
        <f>6-MATCH(Auto_Sales_data___Copy[[#This Row],[DAYS_SINCE_LAST_ORDER]],Table2[R-Cutoff],1)</f>
        <v>5</v>
      </c>
      <c r="X422" s="2">
        <f>MATCH(Auto_Sales_data___Copy[[#This Row],[Total_Orders_Per_Customer]],Table2[F-Cutoff],1)</f>
        <v>3</v>
      </c>
      <c r="Y422" s="2">
        <f>MATCH(Auto_Sales_data___Copy[[#This Row],[Total_Sales_Per_Customer]],Table2[M-Cutoff],1)</f>
        <v>3</v>
      </c>
      <c r="Z422" s="2" t="str">
        <f>Auto_Sales_data___Copy[[#This Row],[R-Score(1-5)]]&amp;Auto_Sales_data___Copy[[#This Row],[F-Score(1-5)]]&amp;Auto_Sales_data___Copy[[#This Row],[M-Score(1-5)]]</f>
        <v>533</v>
      </c>
      <c r="AA422" s="2" t="str" cm="1">
        <f t="array" ref="AA4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2" s="2" t="str">
        <f>VLOOKUP(Auto_Sales_data___Copy[[#This Row],[Segment Name]],Table3[],2,FALSE)</f>
        <v>Brand Awareness &amp; Value Proposition</v>
      </c>
    </row>
    <row r="423" spans="1:28" x14ac:dyDescent="0.25">
      <c r="A423">
        <v>10388</v>
      </c>
      <c r="B423">
        <v>50</v>
      </c>
      <c r="C423">
        <v>44.51</v>
      </c>
      <c r="D423">
        <v>5</v>
      </c>
      <c r="E423">
        <v>2225.5</v>
      </c>
      <c r="F423" s="1">
        <v>43893</v>
      </c>
      <c r="G423" s="2" t="s">
        <v>19</v>
      </c>
      <c r="H423" s="2" t="s">
        <v>20</v>
      </c>
      <c r="I423">
        <v>118</v>
      </c>
      <c r="J423" s="2" t="s">
        <v>315</v>
      </c>
      <c r="K423" s="2" t="s">
        <v>159</v>
      </c>
      <c r="L423" s="2" t="s">
        <v>160</v>
      </c>
      <c r="M423" s="2" t="s">
        <v>161</v>
      </c>
      <c r="N423" s="2" t="s">
        <v>162</v>
      </c>
      <c r="O423" s="2" t="s">
        <v>163</v>
      </c>
      <c r="P423" s="2" t="s">
        <v>27</v>
      </c>
      <c r="Q423" s="2" t="s">
        <v>164</v>
      </c>
      <c r="R423" s="2" t="s">
        <v>165</v>
      </c>
      <c r="S423" s="2" t="s">
        <v>30</v>
      </c>
      <c r="T423">
        <v>161</v>
      </c>
      <c r="U423">
        <f>VLOOKUP(Auto_Sales_data___Copy[[#This Row],[CUSTOMER_NAME]],$AF$2:$AH$90,2,FALSE)</f>
        <v>26</v>
      </c>
      <c r="V423">
        <f>VLOOKUP(Auto_Sales_data___Copy[[#This Row],[CUSTOMER_NAME]],$AF$2:$AH$90,3,FALSE)</f>
        <v>98923.73000000001</v>
      </c>
      <c r="W423" s="2">
        <f>6-MATCH(Auto_Sales_data___Copy[[#This Row],[DAYS_SINCE_LAST_ORDER]],Table2[R-Cutoff],1)</f>
        <v>5</v>
      </c>
      <c r="X423" s="2">
        <f>MATCH(Auto_Sales_data___Copy[[#This Row],[Total_Orders_Per_Customer]],Table2[F-Cutoff],1)</f>
        <v>3</v>
      </c>
      <c r="Y423" s="2">
        <f>MATCH(Auto_Sales_data___Copy[[#This Row],[Total_Sales_Per_Customer]],Table2[M-Cutoff],1)</f>
        <v>3</v>
      </c>
      <c r="Z423" s="2" t="str">
        <f>Auto_Sales_data___Copy[[#This Row],[R-Score(1-5)]]&amp;Auto_Sales_data___Copy[[#This Row],[F-Score(1-5)]]&amp;Auto_Sales_data___Copy[[#This Row],[M-Score(1-5)]]</f>
        <v>533</v>
      </c>
      <c r="AA423" s="2" t="str" cm="1">
        <f t="array" ref="AA4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3" s="2" t="str">
        <f>VLOOKUP(Auto_Sales_data___Copy[[#This Row],[Segment Name]],Table3[],2,FALSE)</f>
        <v>Brand Awareness &amp; Value Proposition</v>
      </c>
    </row>
    <row r="424" spans="1:28" x14ac:dyDescent="0.25">
      <c r="A424">
        <v>10388</v>
      </c>
      <c r="B424">
        <v>21</v>
      </c>
      <c r="C424">
        <v>86.77</v>
      </c>
      <c r="D424">
        <v>7</v>
      </c>
      <c r="E424">
        <v>1822.17</v>
      </c>
      <c r="F424" s="1">
        <v>43893</v>
      </c>
      <c r="G424" s="2" t="s">
        <v>19</v>
      </c>
      <c r="H424" s="2" t="s">
        <v>20</v>
      </c>
      <c r="I424">
        <v>193</v>
      </c>
      <c r="J424" s="2" t="s">
        <v>337</v>
      </c>
      <c r="K424" s="2" t="s">
        <v>159</v>
      </c>
      <c r="L424" s="2" t="s">
        <v>160</v>
      </c>
      <c r="M424" s="2" t="s">
        <v>161</v>
      </c>
      <c r="N424" s="2" t="s">
        <v>162</v>
      </c>
      <c r="O424" s="2" t="s">
        <v>163</v>
      </c>
      <c r="P424" s="2" t="s">
        <v>27</v>
      </c>
      <c r="Q424" s="2" t="s">
        <v>164</v>
      </c>
      <c r="R424" s="2" t="s">
        <v>165</v>
      </c>
      <c r="S424" s="2" t="s">
        <v>30</v>
      </c>
      <c r="T424">
        <v>185</v>
      </c>
      <c r="U424">
        <f>VLOOKUP(Auto_Sales_data___Copy[[#This Row],[CUSTOMER_NAME]],$AF$2:$AH$90,2,FALSE)</f>
        <v>26</v>
      </c>
      <c r="V424">
        <f>VLOOKUP(Auto_Sales_data___Copy[[#This Row],[CUSTOMER_NAME]],$AF$2:$AH$90,3,FALSE)</f>
        <v>98923.73000000001</v>
      </c>
      <c r="W424" s="2">
        <f>6-MATCH(Auto_Sales_data___Copy[[#This Row],[DAYS_SINCE_LAST_ORDER]],Table2[R-Cutoff],1)</f>
        <v>5</v>
      </c>
      <c r="X424" s="2">
        <f>MATCH(Auto_Sales_data___Copy[[#This Row],[Total_Orders_Per_Customer]],Table2[F-Cutoff],1)</f>
        <v>3</v>
      </c>
      <c r="Y424" s="2">
        <f>MATCH(Auto_Sales_data___Copy[[#This Row],[Total_Sales_Per_Customer]],Table2[M-Cutoff],1)</f>
        <v>3</v>
      </c>
      <c r="Z424" s="2" t="str">
        <f>Auto_Sales_data___Copy[[#This Row],[R-Score(1-5)]]&amp;Auto_Sales_data___Copy[[#This Row],[F-Score(1-5)]]&amp;Auto_Sales_data___Copy[[#This Row],[M-Score(1-5)]]</f>
        <v>533</v>
      </c>
      <c r="AA424" s="2" t="str" cm="1">
        <f t="array" ref="AA4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4" s="2" t="str">
        <f>VLOOKUP(Auto_Sales_data___Copy[[#This Row],[Segment Name]],Table3[],2,FALSE)</f>
        <v>Brand Awareness &amp; Value Proposition</v>
      </c>
    </row>
    <row r="425" spans="1:28" x14ac:dyDescent="0.25">
      <c r="A425">
        <v>10388</v>
      </c>
      <c r="B425">
        <v>44</v>
      </c>
      <c r="C425">
        <v>135.26</v>
      </c>
      <c r="D425">
        <v>6</v>
      </c>
      <c r="E425">
        <v>5951.44</v>
      </c>
      <c r="F425" s="1">
        <v>43893</v>
      </c>
      <c r="G425" s="2" t="s">
        <v>19</v>
      </c>
      <c r="H425" s="2" t="s">
        <v>20</v>
      </c>
      <c r="I425">
        <v>150</v>
      </c>
      <c r="J425" s="2" t="s">
        <v>539</v>
      </c>
      <c r="K425" s="2" t="s">
        <v>159</v>
      </c>
      <c r="L425" s="2" t="s">
        <v>160</v>
      </c>
      <c r="M425" s="2" t="s">
        <v>161</v>
      </c>
      <c r="N425" s="2" t="s">
        <v>162</v>
      </c>
      <c r="O425" s="2" t="s">
        <v>163</v>
      </c>
      <c r="P425" s="2" t="s">
        <v>27</v>
      </c>
      <c r="Q425" s="2" t="s">
        <v>164</v>
      </c>
      <c r="R425" s="2" t="s">
        <v>165</v>
      </c>
      <c r="S425" s="2" t="s">
        <v>46</v>
      </c>
      <c r="T425">
        <v>337</v>
      </c>
      <c r="U425">
        <f>VLOOKUP(Auto_Sales_data___Copy[[#This Row],[CUSTOMER_NAME]],$AF$2:$AH$90,2,FALSE)</f>
        <v>26</v>
      </c>
      <c r="V425">
        <f>VLOOKUP(Auto_Sales_data___Copy[[#This Row],[CUSTOMER_NAME]],$AF$2:$AH$90,3,FALSE)</f>
        <v>98923.73000000001</v>
      </c>
      <c r="W425" s="2">
        <f>6-MATCH(Auto_Sales_data___Copy[[#This Row],[DAYS_SINCE_LAST_ORDER]],Table2[R-Cutoff],1)</f>
        <v>5</v>
      </c>
      <c r="X425" s="2">
        <f>MATCH(Auto_Sales_data___Copy[[#This Row],[Total_Orders_Per_Customer]],Table2[F-Cutoff],1)</f>
        <v>3</v>
      </c>
      <c r="Y425" s="2">
        <f>MATCH(Auto_Sales_data___Copy[[#This Row],[Total_Sales_Per_Customer]],Table2[M-Cutoff],1)</f>
        <v>3</v>
      </c>
      <c r="Z425" s="2" t="str">
        <f>Auto_Sales_data___Copy[[#This Row],[R-Score(1-5)]]&amp;Auto_Sales_data___Copy[[#This Row],[F-Score(1-5)]]&amp;Auto_Sales_data___Copy[[#This Row],[M-Score(1-5)]]</f>
        <v>533</v>
      </c>
      <c r="AA425" s="2" t="str" cm="1">
        <f t="array" ref="AA4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5" s="2" t="str">
        <f>VLOOKUP(Auto_Sales_data___Copy[[#This Row],[Segment Name]],Table3[],2,FALSE)</f>
        <v>Brand Awareness &amp; Value Proposition</v>
      </c>
    </row>
    <row r="426" spans="1:28" x14ac:dyDescent="0.25">
      <c r="A426">
        <v>10414</v>
      </c>
      <c r="B426">
        <v>19</v>
      </c>
      <c r="C426">
        <v>145.52000000000001</v>
      </c>
      <c r="D426">
        <v>3</v>
      </c>
      <c r="E426">
        <v>2764.88</v>
      </c>
      <c r="F426" s="1">
        <v>43957</v>
      </c>
      <c r="G426" s="2" t="s">
        <v>423</v>
      </c>
      <c r="H426" s="2" t="s">
        <v>183</v>
      </c>
      <c r="I426">
        <v>136</v>
      </c>
      <c r="J426" s="2" t="s">
        <v>338</v>
      </c>
      <c r="K426" s="2" t="s">
        <v>398</v>
      </c>
      <c r="L426" s="2" t="s">
        <v>399</v>
      </c>
      <c r="M426" s="2" t="s">
        <v>400</v>
      </c>
      <c r="N426" s="2" t="s">
        <v>401</v>
      </c>
      <c r="O426" s="2" t="s">
        <v>402</v>
      </c>
      <c r="P426" s="2" t="s">
        <v>27</v>
      </c>
      <c r="Q426" s="2" t="s">
        <v>403</v>
      </c>
      <c r="R426" s="2" t="s">
        <v>60</v>
      </c>
      <c r="S426" s="2" t="s">
        <v>30</v>
      </c>
      <c r="T426">
        <v>148</v>
      </c>
      <c r="U426">
        <f>VLOOKUP(Auto_Sales_data___Copy[[#This Row],[CUSTOMER_NAME]],$AF$2:$AH$90,2,FALSE)</f>
        <v>26</v>
      </c>
      <c r="V426">
        <f>VLOOKUP(Auto_Sales_data___Copy[[#This Row],[CUSTOMER_NAME]],$AF$2:$AH$90,3,FALSE)</f>
        <v>83209.88</v>
      </c>
      <c r="W426" s="2">
        <f>6-MATCH(Auto_Sales_data___Copy[[#This Row],[DAYS_SINCE_LAST_ORDER]],Table2[R-Cutoff],1)</f>
        <v>5</v>
      </c>
      <c r="X426" s="2">
        <f>MATCH(Auto_Sales_data___Copy[[#This Row],[Total_Orders_Per_Customer]],Table2[F-Cutoff],1)</f>
        <v>3</v>
      </c>
      <c r="Y426" s="2">
        <f>MATCH(Auto_Sales_data___Copy[[#This Row],[Total_Sales_Per_Customer]],Table2[M-Cutoff],1)</f>
        <v>3</v>
      </c>
      <c r="Z426" s="2" t="str">
        <f>Auto_Sales_data___Copy[[#This Row],[R-Score(1-5)]]&amp;Auto_Sales_data___Copy[[#This Row],[F-Score(1-5)]]&amp;Auto_Sales_data___Copy[[#This Row],[M-Score(1-5)]]</f>
        <v>533</v>
      </c>
      <c r="AA426" s="2" t="str" cm="1">
        <f t="array" ref="AA4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6" s="2" t="str">
        <f>VLOOKUP(Auto_Sales_data___Copy[[#This Row],[Segment Name]],Table3[],2,FALSE)</f>
        <v>Brand Awareness &amp; Value Proposition</v>
      </c>
    </row>
    <row r="427" spans="1:28" x14ac:dyDescent="0.25">
      <c r="A427">
        <v>10122</v>
      </c>
      <c r="B427">
        <v>42</v>
      </c>
      <c r="C427">
        <v>180.95</v>
      </c>
      <c r="D427">
        <v>10</v>
      </c>
      <c r="E427">
        <v>7599.9</v>
      </c>
      <c r="F427" s="1">
        <v>43228</v>
      </c>
      <c r="G427" s="2" t="s">
        <v>19</v>
      </c>
      <c r="H427" s="2" t="s">
        <v>183</v>
      </c>
      <c r="I427">
        <v>194</v>
      </c>
      <c r="J427" s="2" t="s">
        <v>449</v>
      </c>
      <c r="K427" s="2" t="s">
        <v>458</v>
      </c>
      <c r="L427" s="2" t="s">
        <v>459</v>
      </c>
      <c r="M427" s="2" t="s">
        <v>460</v>
      </c>
      <c r="N427" s="2" t="s">
        <v>461</v>
      </c>
      <c r="O427" s="2" t="s">
        <v>462</v>
      </c>
      <c r="P427" s="2" t="s">
        <v>36</v>
      </c>
      <c r="Q427" s="2" t="s">
        <v>463</v>
      </c>
      <c r="R427" s="2" t="s">
        <v>464</v>
      </c>
      <c r="S427" s="2" t="s">
        <v>151</v>
      </c>
      <c r="T427">
        <v>906</v>
      </c>
      <c r="U427">
        <f>VLOOKUP(Auto_Sales_data___Copy[[#This Row],[CUSTOMER_NAME]],$AF$2:$AH$90,2,FALSE)</f>
        <v>25</v>
      </c>
      <c r="V427">
        <f>VLOOKUP(Auto_Sales_data___Copy[[#This Row],[CUSTOMER_NAME]],$AF$2:$AH$90,3,FALSE)</f>
        <v>74936.14</v>
      </c>
      <c r="W427" s="2">
        <f>6-MATCH(Auto_Sales_data___Copy[[#This Row],[DAYS_SINCE_LAST_ORDER]],Table2[R-Cutoff],1)</f>
        <v>5</v>
      </c>
      <c r="X427" s="2">
        <f>MATCH(Auto_Sales_data___Copy[[#This Row],[Total_Orders_Per_Customer]],Table2[F-Cutoff],1)</f>
        <v>3</v>
      </c>
      <c r="Y427" s="2">
        <f>MATCH(Auto_Sales_data___Copy[[#This Row],[Total_Sales_Per_Customer]],Table2[M-Cutoff],1)</f>
        <v>2</v>
      </c>
      <c r="Z427" s="2" t="str">
        <f>Auto_Sales_data___Copy[[#This Row],[R-Score(1-5)]]&amp;Auto_Sales_data___Copy[[#This Row],[F-Score(1-5)]]&amp;Auto_Sales_data___Copy[[#This Row],[M-Score(1-5)]]</f>
        <v>532</v>
      </c>
      <c r="AA427" s="2" t="str" cm="1">
        <f t="array" ref="AA4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7" s="2" t="str">
        <f>VLOOKUP(Auto_Sales_data___Copy[[#This Row],[Segment Name]],Table3[],2,FALSE)</f>
        <v>Brand Awareness &amp; Value Proposition</v>
      </c>
    </row>
    <row r="428" spans="1:28" x14ac:dyDescent="0.25">
      <c r="A428">
        <v>10273</v>
      </c>
      <c r="B428">
        <v>30</v>
      </c>
      <c r="C428">
        <v>116.96</v>
      </c>
      <c r="D428">
        <v>4</v>
      </c>
      <c r="E428">
        <v>3508.8</v>
      </c>
      <c r="F428" s="1">
        <v>43667</v>
      </c>
      <c r="G428" s="2" t="s">
        <v>19</v>
      </c>
      <c r="H428" s="2" t="s">
        <v>183</v>
      </c>
      <c r="I428">
        <v>136</v>
      </c>
      <c r="J428" s="2" t="s">
        <v>338</v>
      </c>
      <c r="K428" s="2" t="s">
        <v>384</v>
      </c>
      <c r="L428" s="2" t="s">
        <v>385</v>
      </c>
      <c r="M428" s="2" t="s">
        <v>386</v>
      </c>
      <c r="N428" s="2" t="s">
        <v>387</v>
      </c>
      <c r="O428" s="2" t="s">
        <v>388</v>
      </c>
      <c r="P428" s="2" t="s">
        <v>389</v>
      </c>
      <c r="Q428" s="2" t="s">
        <v>390</v>
      </c>
      <c r="R428" s="2" t="s">
        <v>391</v>
      </c>
      <c r="S428" s="2" t="s">
        <v>46</v>
      </c>
      <c r="T428">
        <v>426</v>
      </c>
      <c r="U428">
        <f>VLOOKUP(Auto_Sales_data___Copy[[#This Row],[CUSTOMER_NAME]],$AF$2:$AH$90,2,FALSE)</f>
        <v>25</v>
      </c>
      <c r="V428">
        <f>VLOOKUP(Auto_Sales_data___Copy[[#This Row],[CUSTOMER_NAME]],$AF$2:$AH$90,3,FALSE)</f>
        <v>74972.52</v>
      </c>
      <c r="W428" s="2">
        <f>6-MATCH(Auto_Sales_data___Copy[[#This Row],[DAYS_SINCE_LAST_ORDER]],Table2[R-Cutoff],1)</f>
        <v>5</v>
      </c>
      <c r="X428" s="2">
        <f>MATCH(Auto_Sales_data___Copy[[#This Row],[Total_Orders_Per_Customer]],Table2[F-Cutoff],1)</f>
        <v>3</v>
      </c>
      <c r="Y428" s="2">
        <f>MATCH(Auto_Sales_data___Copy[[#This Row],[Total_Sales_Per_Customer]],Table2[M-Cutoff],1)</f>
        <v>2</v>
      </c>
      <c r="Z428" s="2" t="str">
        <f>Auto_Sales_data___Copy[[#This Row],[R-Score(1-5)]]&amp;Auto_Sales_data___Copy[[#This Row],[F-Score(1-5)]]&amp;Auto_Sales_data___Copy[[#This Row],[M-Score(1-5)]]</f>
        <v>532</v>
      </c>
      <c r="AA428" s="2" t="str" cm="1">
        <f t="array" ref="AA4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8" s="2" t="str">
        <f>VLOOKUP(Auto_Sales_data___Copy[[#This Row],[Segment Name]],Table3[],2,FALSE)</f>
        <v>Brand Awareness &amp; Value Proposition</v>
      </c>
    </row>
    <row r="429" spans="1:28" x14ac:dyDescent="0.25">
      <c r="A429">
        <v>10283</v>
      </c>
      <c r="B429">
        <v>25</v>
      </c>
      <c r="C429">
        <v>119.68</v>
      </c>
      <c r="D429">
        <v>6</v>
      </c>
      <c r="E429">
        <v>2992</v>
      </c>
      <c r="F429" s="1">
        <v>43697</v>
      </c>
      <c r="G429" s="2" t="s">
        <v>19</v>
      </c>
      <c r="H429" s="2" t="s">
        <v>183</v>
      </c>
      <c r="I429">
        <v>136</v>
      </c>
      <c r="J429" s="2" t="s">
        <v>338</v>
      </c>
      <c r="K429" s="2" t="s">
        <v>392</v>
      </c>
      <c r="L429" s="2" t="s">
        <v>393</v>
      </c>
      <c r="M429" s="2" t="s">
        <v>394</v>
      </c>
      <c r="N429" s="2" t="s">
        <v>395</v>
      </c>
      <c r="O429" s="2" t="s">
        <v>396</v>
      </c>
      <c r="P429" s="2" t="s">
        <v>236</v>
      </c>
      <c r="Q429" s="2" t="s">
        <v>397</v>
      </c>
      <c r="R429" s="2" t="s">
        <v>173</v>
      </c>
      <c r="S429" s="2" t="s">
        <v>30</v>
      </c>
      <c r="T429">
        <v>397</v>
      </c>
      <c r="U429">
        <f>VLOOKUP(Auto_Sales_data___Copy[[#This Row],[CUSTOMER_NAME]],$AF$2:$AH$90,2,FALSE)</f>
        <v>26</v>
      </c>
      <c r="V429">
        <f>VLOOKUP(Auto_Sales_data___Copy[[#This Row],[CUSTOMER_NAME]],$AF$2:$AH$90,3,FALSE)</f>
        <v>74634.850000000006</v>
      </c>
      <c r="W429" s="2">
        <f>6-MATCH(Auto_Sales_data___Copy[[#This Row],[DAYS_SINCE_LAST_ORDER]],Table2[R-Cutoff],1)</f>
        <v>5</v>
      </c>
      <c r="X429" s="2">
        <f>MATCH(Auto_Sales_data___Copy[[#This Row],[Total_Orders_Per_Customer]],Table2[F-Cutoff],1)</f>
        <v>3</v>
      </c>
      <c r="Y429" s="2">
        <f>MATCH(Auto_Sales_data___Copy[[#This Row],[Total_Sales_Per_Customer]],Table2[M-Cutoff],1)</f>
        <v>2</v>
      </c>
      <c r="Z429" s="2" t="str">
        <f>Auto_Sales_data___Copy[[#This Row],[R-Score(1-5)]]&amp;Auto_Sales_data___Copy[[#This Row],[F-Score(1-5)]]&amp;Auto_Sales_data___Copy[[#This Row],[M-Score(1-5)]]</f>
        <v>532</v>
      </c>
      <c r="AA429" s="2" t="str" cm="1">
        <f t="array" ref="AA4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9" s="2" t="str">
        <f>VLOOKUP(Auto_Sales_data___Copy[[#This Row],[Segment Name]],Table3[],2,FALSE)</f>
        <v>Brand Awareness &amp; Value Proposition</v>
      </c>
    </row>
    <row r="430" spans="1:28" x14ac:dyDescent="0.25">
      <c r="A430">
        <v>10284</v>
      </c>
      <c r="B430">
        <v>45</v>
      </c>
      <c r="C430">
        <v>127.73</v>
      </c>
      <c r="D430">
        <v>11</v>
      </c>
      <c r="E430">
        <v>5747.85</v>
      </c>
      <c r="F430" s="1">
        <v>43698</v>
      </c>
      <c r="G430" s="2" t="s">
        <v>19</v>
      </c>
      <c r="H430" s="2" t="s">
        <v>607</v>
      </c>
      <c r="I430">
        <v>157</v>
      </c>
      <c r="J430" s="2" t="s">
        <v>608</v>
      </c>
      <c r="K430" s="2" t="s">
        <v>582</v>
      </c>
      <c r="L430" s="2" t="s">
        <v>583</v>
      </c>
      <c r="M430" s="2" t="s">
        <v>584</v>
      </c>
      <c r="N430" s="2" t="s">
        <v>585</v>
      </c>
      <c r="O430" s="2" t="s">
        <v>586</v>
      </c>
      <c r="P430" s="2" t="s">
        <v>73</v>
      </c>
      <c r="Q430" s="2" t="s">
        <v>587</v>
      </c>
      <c r="R430" s="2" t="s">
        <v>588</v>
      </c>
      <c r="S430" s="2" t="s">
        <v>46</v>
      </c>
      <c r="T430">
        <v>825</v>
      </c>
      <c r="U430">
        <f>VLOOKUP(Auto_Sales_data___Copy[[#This Row],[CUSTOMER_NAME]],$AF$2:$AH$90,2,FALSE)</f>
        <v>24</v>
      </c>
      <c r="V430">
        <f>VLOOKUP(Auto_Sales_data___Copy[[#This Row],[CUSTOMER_NAME]],$AF$2:$AH$90,3,FALSE)</f>
        <v>79224.23</v>
      </c>
      <c r="W430" s="2">
        <f>6-MATCH(Auto_Sales_data___Copy[[#This Row],[DAYS_SINCE_LAST_ORDER]],Table2[R-Cutoff],1)</f>
        <v>5</v>
      </c>
      <c r="X430" s="2">
        <f>MATCH(Auto_Sales_data___Copy[[#This Row],[Total_Orders_Per_Customer]],Table2[F-Cutoff],1)</f>
        <v>3</v>
      </c>
      <c r="Y430" s="2">
        <f>MATCH(Auto_Sales_data___Copy[[#This Row],[Total_Sales_Per_Customer]],Table2[M-Cutoff],1)</f>
        <v>2</v>
      </c>
      <c r="Z430" s="2" t="str">
        <f>Auto_Sales_data___Copy[[#This Row],[R-Score(1-5)]]&amp;Auto_Sales_data___Copy[[#This Row],[F-Score(1-5)]]&amp;Auto_Sales_data___Copy[[#This Row],[M-Score(1-5)]]</f>
        <v>532</v>
      </c>
      <c r="AA430" s="2" t="str" cm="1">
        <f t="array" ref="AA4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0" s="2" t="str">
        <f>VLOOKUP(Auto_Sales_data___Copy[[#This Row],[Segment Name]],Table3[],2,FALSE)</f>
        <v>Brand Awareness &amp; Value Proposition</v>
      </c>
    </row>
    <row r="431" spans="1:28" x14ac:dyDescent="0.25">
      <c r="A431">
        <v>10316</v>
      </c>
      <c r="B431">
        <v>33</v>
      </c>
      <c r="C431">
        <v>125.12</v>
      </c>
      <c r="D431">
        <v>17</v>
      </c>
      <c r="E431">
        <v>4128.96</v>
      </c>
      <c r="F431" s="1">
        <v>43770</v>
      </c>
      <c r="G431" s="2" t="s">
        <v>19</v>
      </c>
      <c r="H431" s="2" t="s">
        <v>183</v>
      </c>
      <c r="I431">
        <v>136</v>
      </c>
      <c r="J431" s="2" t="s">
        <v>338</v>
      </c>
      <c r="K431" s="2" t="s">
        <v>404</v>
      </c>
      <c r="L431" s="2" t="s">
        <v>405</v>
      </c>
      <c r="M431" s="2" t="s">
        <v>406</v>
      </c>
      <c r="N431" s="2" t="s">
        <v>407</v>
      </c>
      <c r="O431" s="2" t="s">
        <v>408</v>
      </c>
      <c r="P431" s="2" t="s">
        <v>171</v>
      </c>
      <c r="Q431" s="2" t="s">
        <v>409</v>
      </c>
      <c r="R431" s="2" t="s">
        <v>410</v>
      </c>
      <c r="S431" s="2" t="s">
        <v>46</v>
      </c>
      <c r="T431">
        <v>327</v>
      </c>
      <c r="U431">
        <f>VLOOKUP(Auto_Sales_data___Copy[[#This Row],[CUSTOMER_NAME]],$AF$2:$AH$90,2,FALSE)</f>
        <v>26</v>
      </c>
      <c r="V431">
        <f>VLOOKUP(Auto_Sales_data___Copy[[#This Row],[CUSTOMER_NAME]],$AF$2:$AH$90,3,FALSE)</f>
        <v>78240.84</v>
      </c>
      <c r="W431" s="2">
        <f>6-MATCH(Auto_Sales_data___Copy[[#This Row],[DAYS_SINCE_LAST_ORDER]],Table2[R-Cutoff],1)</f>
        <v>5</v>
      </c>
      <c r="X431" s="2">
        <f>MATCH(Auto_Sales_data___Copy[[#This Row],[Total_Orders_Per_Customer]],Table2[F-Cutoff],1)</f>
        <v>3</v>
      </c>
      <c r="Y431" s="2">
        <f>MATCH(Auto_Sales_data___Copy[[#This Row],[Total_Sales_Per_Customer]],Table2[M-Cutoff],1)</f>
        <v>2</v>
      </c>
      <c r="Z431" s="2" t="str">
        <f>Auto_Sales_data___Copy[[#This Row],[R-Score(1-5)]]&amp;Auto_Sales_data___Copy[[#This Row],[F-Score(1-5)]]&amp;Auto_Sales_data___Copy[[#This Row],[M-Score(1-5)]]</f>
        <v>532</v>
      </c>
      <c r="AA431" s="2" t="str" cm="1">
        <f t="array" ref="AA4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1" s="2" t="str">
        <f>VLOOKUP(Auto_Sales_data___Copy[[#This Row],[Segment Name]],Table3[],2,FALSE)</f>
        <v>Brand Awareness &amp; Value Proposition</v>
      </c>
    </row>
    <row r="432" spans="1:28" x14ac:dyDescent="0.25">
      <c r="A432">
        <v>10316</v>
      </c>
      <c r="B432">
        <v>27</v>
      </c>
      <c r="C432">
        <v>137.19</v>
      </c>
      <c r="D432">
        <v>9</v>
      </c>
      <c r="E432">
        <v>3704.13</v>
      </c>
      <c r="F432" s="1">
        <v>43770</v>
      </c>
      <c r="G432" s="2" t="s">
        <v>19</v>
      </c>
      <c r="H432" s="2" t="s">
        <v>607</v>
      </c>
      <c r="I432">
        <v>157</v>
      </c>
      <c r="J432" s="2" t="s">
        <v>608</v>
      </c>
      <c r="K432" s="2" t="s">
        <v>404</v>
      </c>
      <c r="L432" s="2" t="s">
        <v>405</v>
      </c>
      <c r="M432" s="2" t="s">
        <v>406</v>
      </c>
      <c r="N432" s="2" t="s">
        <v>407</v>
      </c>
      <c r="O432" s="2" t="s">
        <v>408</v>
      </c>
      <c r="P432" s="2" t="s">
        <v>171</v>
      </c>
      <c r="Q432" s="2" t="s">
        <v>409</v>
      </c>
      <c r="R432" s="2" t="s">
        <v>410</v>
      </c>
      <c r="S432" s="2" t="s">
        <v>46</v>
      </c>
      <c r="T432">
        <v>756</v>
      </c>
      <c r="U432">
        <f>VLOOKUP(Auto_Sales_data___Copy[[#This Row],[CUSTOMER_NAME]],$AF$2:$AH$90,2,FALSE)</f>
        <v>26</v>
      </c>
      <c r="V432">
        <f>VLOOKUP(Auto_Sales_data___Copy[[#This Row],[CUSTOMER_NAME]],$AF$2:$AH$90,3,FALSE)</f>
        <v>78240.84</v>
      </c>
      <c r="W432" s="2">
        <f>6-MATCH(Auto_Sales_data___Copy[[#This Row],[DAYS_SINCE_LAST_ORDER]],Table2[R-Cutoff],1)</f>
        <v>5</v>
      </c>
      <c r="X432" s="2">
        <f>MATCH(Auto_Sales_data___Copy[[#This Row],[Total_Orders_Per_Customer]],Table2[F-Cutoff],1)</f>
        <v>3</v>
      </c>
      <c r="Y432" s="2">
        <f>MATCH(Auto_Sales_data___Copy[[#This Row],[Total_Sales_Per_Customer]],Table2[M-Cutoff],1)</f>
        <v>2</v>
      </c>
      <c r="Z432" s="2" t="str">
        <f>Auto_Sales_data___Copy[[#This Row],[R-Score(1-5)]]&amp;Auto_Sales_data___Copy[[#This Row],[F-Score(1-5)]]&amp;Auto_Sales_data___Copy[[#This Row],[M-Score(1-5)]]</f>
        <v>532</v>
      </c>
      <c r="AA432" s="2" t="str" cm="1">
        <f t="array" ref="AA4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2" s="2" t="str">
        <f>VLOOKUP(Auto_Sales_data___Copy[[#This Row],[Segment Name]],Table3[],2,FALSE)</f>
        <v>Brand Awareness &amp; Value Proposition</v>
      </c>
    </row>
    <row r="433" spans="1:28" x14ac:dyDescent="0.25">
      <c r="A433">
        <v>10344</v>
      </c>
      <c r="B433">
        <v>45</v>
      </c>
      <c r="C433">
        <v>170</v>
      </c>
      <c r="D433">
        <v>1</v>
      </c>
      <c r="E433">
        <v>7650</v>
      </c>
      <c r="F433" s="1">
        <v>43794</v>
      </c>
      <c r="G433" s="2" t="s">
        <v>19</v>
      </c>
      <c r="H433" s="2" t="s">
        <v>589</v>
      </c>
      <c r="I433">
        <v>170</v>
      </c>
      <c r="J433" s="2" t="s">
        <v>628</v>
      </c>
      <c r="K433" s="2" t="s">
        <v>458</v>
      </c>
      <c r="L433" s="2" t="s">
        <v>459</v>
      </c>
      <c r="M433" s="2" t="s">
        <v>460</v>
      </c>
      <c r="N433" s="2" t="s">
        <v>461</v>
      </c>
      <c r="O433" s="2" t="s">
        <v>462</v>
      </c>
      <c r="P433" s="2" t="s">
        <v>36</v>
      </c>
      <c r="Q433" s="2" t="s">
        <v>463</v>
      </c>
      <c r="R433" s="2" t="s">
        <v>464</v>
      </c>
      <c r="S433" s="2" t="s">
        <v>151</v>
      </c>
      <c r="T433">
        <v>757</v>
      </c>
      <c r="U433">
        <f>VLOOKUP(Auto_Sales_data___Copy[[#This Row],[CUSTOMER_NAME]],$AF$2:$AH$90,2,FALSE)</f>
        <v>25</v>
      </c>
      <c r="V433">
        <f>VLOOKUP(Auto_Sales_data___Copy[[#This Row],[CUSTOMER_NAME]],$AF$2:$AH$90,3,FALSE)</f>
        <v>74936.14</v>
      </c>
      <c r="W433" s="2">
        <f>6-MATCH(Auto_Sales_data___Copy[[#This Row],[DAYS_SINCE_LAST_ORDER]],Table2[R-Cutoff],1)</f>
        <v>5</v>
      </c>
      <c r="X433" s="2">
        <f>MATCH(Auto_Sales_data___Copy[[#This Row],[Total_Orders_Per_Customer]],Table2[F-Cutoff],1)</f>
        <v>3</v>
      </c>
      <c r="Y433" s="2">
        <f>MATCH(Auto_Sales_data___Copy[[#This Row],[Total_Sales_Per_Customer]],Table2[M-Cutoff],1)</f>
        <v>2</v>
      </c>
      <c r="Z433" s="2" t="str">
        <f>Auto_Sales_data___Copy[[#This Row],[R-Score(1-5)]]&amp;Auto_Sales_data___Copy[[#This Row],[F-Score(1-5)]]&amp;Auto_Sales_data___Copy[[#This Row],[M-Score(1-5)]]</f>
        <v>532</v>
      </c>
      <c r="AA433" s="2" t="str" cm="1">
        <f t="array" ref="AA4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3" s="2" t="str">
        <f>VLOOKUP(Auto_Sales_data___Copy[[#This Row],[Segment Name]],Table3[],2,FALSE)</f>
        <v>Brand Awareness &amp; Value Proposition</v>
      </c>
    </row>
    <row r="434" spans="1:28" x14ac:dyDescent="0.25">
      <c r="A434">
        <v>10344</v>
      </c>
      <c r="B434">
        <v>40</v>
      </c>
      <c r="C434">
        <v>56.91</v>
      </c>
      <c r="D434">
        <v>2</v>
      </c>
      <c r="E434">
        <v>2276.4</v>
      </c>
      <c r="F434" s="1">
        <v>43794</v>
      </c>
      <c r="G434" s="2" t="s">
        <v>19</v>
      </c>
      <c r="H434" s="2" t="s">
        <v>589</v>
      </c>
      <c r="I434">
        <v>60</v>
      </c>
      <c r="J434" s="2" t="s">
        <v>632</v>
      </c>
      <c r="K434" s="2" t="s">
        <v>458</v>
      </c>
      <c r="L434" s="2" t="s">
        <v>459</v>
      </c>
      <c r="M434" s="2" t="s">
        <v>460</v>
      </c>
      <c r="N434" s="2" t="s">
        <v>461</v>
      </c>
      <c r="O434" s="2" t="s">
        <v>462</v>
      </c>
      <c r="P434" s="2" t="s">
        <v>36</v>
      </c>
      <c r="Q434" s="2" t="s">
        <v>463</v>
      </c>
      <c r="R434" s="2" t="s">
        <v>464</v>
      </c>
      <c r="S434" s="2" t="s">
        <v>30</v>
      </c>
      <c r="T434">
        <v>857</v>
      </c>
      <c r="U434">
        <f>VLOOKUP(Auto_Sales_data___Copy[[#This Row],[CUSTOMER_NAME]],$AF$2:$AH$90,2,FALSE)</f>
        <v>25</v>
      </c>
      <c r="V434">
        <f>VLOOKUP(Auto_Sales_data___Copy[[#This Row],[CUSTOMER_NAME]],$AF$2:$AH$90,3,FALSE)</f>
        <v>74936.14</v>
      </c>
      <c r="W434" s="2">
        <f>6-MATCH(Auto_Sales_data___Copy[[#This Row],[DAYS_SINCE_LAST_ORDER]],Table2[R-Cutoff],1)</f>
        <v>5</v>
      </c>
      <c r="X434" s="2">
        <f>MATCH(Auto_Sales_data___Copy[[#This Row],[Total_Orders_Per_Customer]],Table2[F-Cutoff],1)</f>
        <v>3</v>
      </c>
      <c r="Y434" s="2">
        <f>MATCH(Auto_Sales_data___Copy[[#This Row],[Total_Sales_Per_Customer]],Table2[M-Cutoff],1)</f>
        <v>2</v>
      </c>
      <c r="Z434" s="2" t="str">
        <f>Auto_Sales_data___Copy[[#This Row],[R-Score(1-5)]]&amp;Auto_Sales_data___Copy[[#This Row],[F-Score(1-5)]]&amp;Auto_Sales_data___Copy[[#This Row],[M-Score(1-5)]]</f>
        <v>532</v>
      </c>
      <c r="AA434" s="2" t="str" cm="1">
        <f t="array" ref="AA4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4" s="2" t="str">
        <f>VLOOKUP(Auto_Sales_data___Copy[[#This Row],[Segment Name]],Table3[],2,FALSE)</f>
        <v>Brand Awareness &amp; Value Proposition</v>
      </c>
    </row>
    <row r="435" spans="1:28" x14ac:dyDescent="0.25">
      <c r="A435">
        <v>10344</v>
      </c>
      <c r="B435">
        <v>30</v>
      </c>
      <c r="C435">
        <v>130.94</v>
      </c>
      <c r="D435">
        <v>3</v>
      </c>
      <c r="E435">
        <v>3928.2</v>
      </c>
      <c r="F435" s="1">
        <v>43794</v>
      </c>
      <c r="G435" s="2" t="s">
        <v>19</v>
      </c>
      <c r="H435" s="2" t="s">
        <v>589</v>
      </c>
      <c r="I435">
        <v>127</v>
      </c>
      <c r="J435" s="2" t="s">
        <v>634</v>
      </c>
      <c r="K435" s="2" t="s">
        <v>458</v>
      </c>
      <c r="L435" s="2" t="s">
        <v>459</v>
      </c>
      <c r="M435" s="2" t="s">
        <v>460</v>
      </c>
      <c r="N435" s="2" t="s">
        <v>461</v>
      </c>
      <c r="O435" s="2" t="s">
        <v>462</v>
      </c>
      <c r="P435" s="2" t="s">
        <v>36</v>
      </c>
      <c r="Q435" s="2" t="s">
        <v>463</v>
      </c>
      <c r="R435" s="2" t="s">
        <v>464</v>
      </c>
      <c r="S435" s="2" t="s">
        <v>46</v>
      </c>
      <c r="T435">
        <v>905</v>
      </c>
      <c r="U435">
        <f>VLOOKUP(Auto_Sales_data___Copy[[#This Row],[CUSTOMER_NAME]],$AF$2:$AH$90,2,FALSE)</f>
        <v>25</v>
      </c>
      <c r="V435">
        <f>VLOOKUP(Auto_Sales_data___Copy[[#This Row],[CUSTOMER_NAME]],$AF$2:$AH$90,3,FALSE)</f>
        <v>74936.14</v>
      </c>
      <c r="W435" s="2">
        <f>6-MATCH(Auto_Sales_data___Copy[[#This Row],[DAYS_SINCE_LAST_ORDER]],Table2[R-Cutoff],1)</f>
        <v>5</v>
      </c>
      <c r="X435" s="2">
        <f>MATCH(Auto_Sales_data___Copy[[#This Row],[Total_Orders_Per_Customer]],Table2[F-Cutoff],1)</f>
        <v>3</v>
      </c>
      <c r="Y435" s="2">
        <f>MATCH(Auto_Sales_data___Copy[[#This Row],[Total_Sales_Per_Customer]],Table2[M-Cutoff],1)</f>
        <v>2</v>
      </c>
      <c r="Z435" s="2" t="str">
        <f>Auto_Sales_data___Copy[[#This Row],[R-Score(1-5)]]&amp;Auto_Sales_data___Copy[[#This Row],[F-Score(1-5)]]&amp;Auto_Sales_data___Copy[[#This Row],[M-Score(1-5)]]</f>
        <v>532</v>
      </c>
      <c r="AA435" s="2" t="str" cm="1">
        <f t="array" ref="AA4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5" s="2" t="str">
        <f>VLOOKUP(Auto_Sales_data___Copy[[#This Row],[Segment Name]],Table3[],2,FALSE)</f>
        <v>Brand Awareness &amp; Value Proposition</v>
      </c>
    </row>
    <row r="436" spans="1:28" x14ac:dyDescent="0.25">
      <c r="A436">
        <v>10423</v>
      </c>
      <c r="B436">
        <v>10</v>
      </c>
      <c r="C436">
        <v>88.14</v>
      </c>
      <c r="D436">
        <v>1</v>
      </c>
      <c r="E436">
        <v>881.4</v>
      </c>
      <c r="F436" s="1">
        <v>43981</v>
      </c>
      <c r="G436" s="2" t="s">
        <v>314</v>
      </c>
      <c r="H436" s="2" t="s">
        <v>589</v>
      </c>
      <c r="I436">
        <v>101</v>
      </c>
      <c r="J436" s="2" t="s">
        <v>640</v>
      </c>
      <c r="K436" s="2" t="s">
        <v>384</v>
      </c>
      <c r="L436" s="2" t="s">
        <v>385</v>
      </c>
      <c r="M436" s="2" t="s">
        <v>386</v>
      </c>
      <c r="N436" s="2" t="s">
        <v>387</v>
      </c>
      <c r="O436" s="2" t="s">
        <v>388</v>
      </c>
      <c r="P436" s="2" t="s">
        <v>389</v>
      </c>
      <c r="Q436" s="2" t="s">
        <v>390</v>
      </c>
      <c r="R436" s="2" t="s">
        <v>391</v>
      </c>
      <c r="S436" s="2" t="s">
        <v>30</v>
      </c>
      <c r="T436">
        <v>873</v>
      </c>
      <c r="U436">
        <f>VLOOKUP(Auto_Sales_data___Copy[[#This Row],[CUSTOMER_NAME]],$AF$2:$AH$90,2,FALSE)</f>
        <v>25</v>
      </c>
      <c r="V436">
        <f>VLOOKUP(Auto_Sales_data___Copy[[#This Row],[CUSTOMER_NAME]],$AF$2:$AH$90,3,FALSE)</f>
        <v>74972.52</v>
      </c>
      <c r="W436" s="2">
        <f>6-MATCH(Auto_Sales_data___Copy[[#This Row],[DAYS_SINCE_LAST_ORDER]],Table2[R-Cutoff],1)</f>
        <v>5</v>
      </c>
      <c r="X436" s="2">
        <f>MATCH(Auto_Sales_data___Copy[[#This Row],[Total_Orders_Per_Customer]],Table2[F-Cutoff],1)</f>
        <v>3</v>
      </c>
      <c r="Y436" s="2">
        <f>MATCH(Auto_Sales_data___Copy[[#This Row],[Total_Sales_Per_Customer]],Table2[M-Cutoff],1)</f>
        <v>2</v>
      </c>
      <c r="Z436" s="2" t="str">
        <f>Auto_Sales_data___Copy[[#This Row],[R-Score(1-5)]]&amp;Auto_Sales_data___Copy[[#This Row],[F-Score(1-5)]]&amp;Auto_Sales_data___Copy[[#This Row],[M-Score(1-5)]]</f>
        <v>532</v>
      </c>
      <c r="AA436" s="2" t="str" cm="1">
        <f t="array" ref="AA4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6" s="2" t="str">
        <f>VLOOKUP(Auto_Sales_data___Copy[[#This Row],[Segment Name]],Table3[],2,FALSE)</f>
        <v>Brand Awareness &amp; Value Proposition</v>
      </c>
    </row>
    <row r="437" spans="1:28" x14ac:dyDescent="0.25">
      <c r="A437">
        <v>10423</v>
      </c>
      <c r="B437">
        <v>31</v>
      </c>
      <c r="C437">
        <v>53.72</v>
      </c>
      <c r="D437">
        <v>3</v>
      </c>
      <c r="E437">
        <v>1665.32</v>
      </c>
      <c r="F437" s="1">
        <v>43981</v>
      </c>
      <c r="G437" s="2" t="s">
        <v>314</v>
      </c>
      <c r="H437" s="2" t="s">
        <v>589</v>
      </c>
      <c r="I437">
        <v>62</v>
      </c>
      <c r="J437" s="2" t="s">
        <v>641</v>
      </c>
      <c r="K437" s="2" t="s">
        <v>384</v>
      </c>
      <c r="L437" s="2" t="s">
        <v>385</v>
      </c>
      <c r="M437" s="2" t="s">
        <v>386</v>
      </c>
      <c r="N437" s="2" t="s">
        <v>387</v>
      </c>
      <c r="O437" s="2" t="s">
        <v>388</v>
      </c>
      <c r="P437" s="2" t="s">
        <v>389</v>
      </c>
      <c r="Q437" s="2" t="s">
        <v>390</v>
      </c>
      <c r="R437" s="2" t="s">
        <v>391</v>
      </c>
      <c r="S437" s="2" t="s">
        <v>30</v>
      </c>
      <c r="T437">
        <v>898</v>
      </c>
      <c r="U437">
        <f>VLOOKUP(Auto_Sales_data___Copy[[#This Row],[CUSTOMER_NAME]],$AF$2:$AH$90,2,FALSE)</f>
        <v>25</v>
      </c>
      <c r="V437">
        <f>VLOOKUP(Auto_Sales_data___Copy[[#This Row],[CUSTOMER_NAME]],$AF$2:$AH$90,3,FALSE)</f>
        <v>74972.52</v>
      </c>
      <c r="W437" s="2">
        <f>6-MATCH(Auto_Sales_data___Copy[[#This Row],[DAYS_SINCE_LAST_ORDER]],Table2[R-Cutoff],1)</f>
        <v>5</v>
      </c>
      <c r="X437" s="2">
        <f>MATCH(Auto_Sales_data___Copy[[#This Row],[Total_Orders_Per_Customer]],Table2[F-Cutoff],1)</f>
        <v>3</v>
      </c>
      <c r="Y437" s="2">
        <f>MATCH(Auto_Sales_data___Copy[[#This Row],[Total_Sales_Per_Customer]],Table2[M-Cutoff],1)</f>
        <v>2</v>
      </c>
      <c r="Z437" s="2" t="str">
        <f>Auto_Sales_data___Copy[[#This Row],[R-Score(1-5)]]&amp;Auto_Sales_data___Copy[[#This Row],[F-Score(1-5)]]&amp;Auto_Sales_data___Copy[[#This Row],[M-Score(1-5)]]</f>
        <v>532</v>
      </c>
      <c r="AA437" s="2" t="str" cm="1">
        <f t="array" ref="AA4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7" s="2" t="str">
        <f>VLOOKUP(Auto_Sales_data___Copy[[#This Row],[Segment Name]],Table3[],2,FALSE)</f>
        <v>Brand Awareness &amp; Value Proposition</v>
      </c>
    </row>
    <row r="438" spans="1:28" x14ac:dyDescent="0.25">
      <c r="A438">
        <v>10114</v>
      </c>
      <c r="B438">
        <v>31</v>
      </c>
      <c r="C438">
        <v>138.88</v>
      </c>
      <c r="D438">
        <v>8</v>
      </c>
      <c r="E438">
        <v>4305.28</v>
      </c>
      <c r="F438" s="1">
        <v>43191</v>
      </c>
      <c r="G438" s="2" t="s">
        <v>19</v>
      </c>
      <c r="H438" s="2" t="s">
        <v>183</v>
      </c>
      <c r="I438">
        <v>147</v>
      </c>
      <c r="J438" s="2" t="s">
        <v>424</v>
      </c>
      <c r="K438" s="2" t="s">
        <v>425</v>
      </c>
      <c r="L438" s="2" t="s">
        <v>426</v>
      </c>
      <c r="M438" s="2" t="s">
        <v>427</v>
      </c>
      <c r="N438" s="2" t="s">
        <v>42</v>
      </c>
      <c r="O438" s="2" t="s">
        <v>428</v>
      </c>
      <c r="P438" s="2" t="s">
        <v>36</v>
      </c>
      <c r="Q438" s="2" t="s">
        <v>429</v>
      </c>
      <c r="R438" s="2" t="s">
        <v>430</v>
      </c>
      <c r="S438" s="2" t="s">
        <v>46</v>
      </c>
      <c r="T438">
        <v>916</v>
      </c>
      <c r="U438">
        <f>VLOOKUP(Auto_Sales_data___Copy[[#This Row],[CUSTOMER_NAME]],$AF$2:$AH$90,2,FALSE)</f>
        <v>23</v>
      </c>
      <c r="V438">
        <f>VLOOKUP(Auto_Sales_data___Copy[[#This Row],[CUSTOMER_NAME]],$AF$2:$AH$90,3,FALSE)</f>
        <v>97203.680000000008</v>
      </c>
      <c r="W438" s="2">
        <f>6-MATCH(Auto_Sales_data___Copy[[#This Row],[DAYS_SINCE_LAST_ORDER]],Table2[R-Cutoff],1)</f>
        <v>5</v>
      </c>
      <c r="X438" s="2">
        <f>MATCH(Auto_Sales_data___Copy[[#This Row],[Total_Orders_Per_Customer]],Table2[F-Cutoff],1)</f>
        <v>2</v>
      </c>
      <c r="Y438" s="2">
        <f>MATCH(Auto_Sales_data___Copy[[#This Row],[Total_Sales_Per_Customer]],Table2[M-Cutoff],1)</f>
        <v>3</v>
      </c>
      <c r="Z438" s="2" t="str">
        <f>Auto_Sales_data___Copy[[#This Row],[R-Score(1-5)]]&amp;Auto_Sales_data___Copy[[#This Row],[F-Score(1-5)]]&amp;Auto_Sales_data___Copy[[#This Row],[M-Score(1-5)]]</f>
        <v>523</v>
      </c>
      <c r="AA438" s="2" t="str" cm="1">
        <f t="array" ref="AA4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8" s="2" t="str">
        <f>VLOOKUP(Auto_Sales_data___Copy[[#This Row],[Segment Name]],Table3[],2,FALSE)</f>
        <v>Brand Awareness &amp; Value Proposition</v>
      </c>
    </row>
    <row r="439" spans="1:28" x14ac:dyDescent="0.25">
      <c r="A439">
        <v>10300</v>
      </c>
      <c r="B439">
        <v>33</v>
      </c>
      <c r="C439">
        <v>167.33</v>
      </c>
      <c r="D439">
        <v>5</v>
      </c>
      <c r="E439">
        <v>5521.89</v>
      </c>
      <c r="F439" s="1">
        <v>43377</v>
      </c>
      <c r="G439" s="2" t="s">
        <v>19</v>
      </c>
      <c r="H439" s="2" t="s">
        <v>183</v>
      </c>
      <c r="I439">
        <v>194</v>
      </c>
      <c r="J439" s="2" t="s">
        <v>449</v>
      </c>
      <c r="K439" s="2" t="s">
        <v>492</v>
      </c>
      <c r="L439" s="2" t="s">
        <v>493</v>
      </c>
      <c r="M439" s="2" t="s">
        <v>494</v>
      </c>
      <c r="N439" s="2" t="s">
        <v>495</v>
      </c>
      <c r="O439" s="2" t="s">
        <v>496</v>
      </c>
      <c r="P439" s="2" t="s">
        <v>470</v>
      </c>
      <c r="Q439" s="2" t="s">
        <v>497</v>
      </c>
      <c r="R439" s="2" t="s">
        <v>438</v>
      </c>
      <c r="S439" s="2" t="s">
        <v>46</v>
      </c>
      <c r="T439">
        <v>771</v>
      </c>
      <c r="U439">
        <f>VLOOKUP(Auto_Sales_data___Copy[[#This Row],[CUSTOMER_NAME]],$AF$2:$AH$90,2,FALSE)</f>
        <v>22</v>
      </c>
      <c r="V439">
        <f>VLOOKUP(Auto_Sales_data___Copy[[#This Row],[CUSTOMER_NAME]],$AF$2:$AH$90,3,FALSE)</f>
        <v>85171.59</v>
      </c>
      <c r="W439" s="2">
        <f>6-MATCH(Auto_Sales_data___Copy[[#This Row],[DAYS_SINCE_LAST_ORDER]],Table2[R-Cutoff],1)</f>
        <v>5</v>
      </c>
      <c r="X439" s="2">
        <f>MATCH(Auto_Sales_data___Copy[[#This Row],[Total_Orders_Per_Customer]],Table2[F-Cutoff],1)</f>
        <v>2</v>
      </c>
      <c r="Y439" s="2">
        <f>MATCH(Auto_Sales_data___Copy[[#This Row],[Total_Sales_Per_Customer]],Table2[M-Cutoff],1)</f>
        <v>3</v>
      </c>
      <c r="Z439" s="2" t="str">
        <f>Auto_Sales_data___Copy[[#This Row],[R-Score(1-5)]]&amp;Auto_Sales_data___Copy[[#This Row],[F-Score(1-5)]]&amp;Auto_Sales_data___Copy[[#This Row],[M-Score(1-5)]]</f>
        <v>523</v>
      </c>
      <c r="AA439" s="2" t="str" cm="1">
        <f t="array" ref="AA4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9" s="2" t="str">
        <f>VLOOKUP(Auto_Sales_data___Copy[[#This Row],[Segment Name]],Table3[],2,FALSE)</f>
        <v>Brand Awareness &amp; Value Proposition</v>
      </c>
    </row>
    <row r="440" spans="1:28" x14ac:dyDescent="0.25">
      <c r="A440">
        <v>10300</v>
      </c>
      <c r="B440">
        <v>29</v>
      </c>
      <c r="C440">
        <v>137.4</v>
      </c>
      <c r="D440">
        <v>3</v>
      </c>
      <c r="E440">
        <v>3984.6</v>
      </c>
      <c r="F440" s="1">
        <v>43377</v>
      </c>
      <c r="G440" s="2" t="s">
        <v>19</v>
      </c>
      <c r="H440" s="2" t="s">
        <v>183</v>
      </c>
      <c r="I440">
        <v>117</v>
      </c>
      <c r="J440" s="2" t="s">
        <v>546</v>
      </c>
      <c r="K440" s="2" t="s">
        <v>492</v>
      </c>
      <c r="L440" s="2" t="s">
        <v>493</v>
      </c>
      <c r="M440" s="2" t="s">
        <v>494</v>
      </c>
      <c r="N440" s="2" t="s">
        <v>495</v>
      </c>
      <c r="O440" s="2" t="s">
        <v>496</v>
      </c>
      <c r="P440" s="2" t="s">
        <v>470</v>
      </c>
      <c r="Q440" s="2" t="s">
        <v>497</v>
      </c>
      <c r="R440" s="2" t="s">
        <v>438</v>
      </c>
      <c r="S440" s="2" t="s">
        <v>46</v>
      </c>
      <c r="T440">
        <v>896</v>
      </c>
      <c r="U440">
        <f>VLOOKUP(Auto_Sales_data___Copy[[#This Row],[CUSTOMER_NAME]],$AF$2:$AH$90,2,FALSE)</f>
        <v>22</v>
      </c>
      <c r="V440">
        <f>VLOOKUP(Auto_Sales_data___Copy[[#This Row],[CUSTOMER_NAME]],$AF$2:$AH$90,3,FALSE)</f>
        <v>85171.59</v>
      </c>
      <c r="W440" s="2">
        <f>6-MATCH(Auto_Sales_data___Copy[[#This Row],[DAYS_SINCE_LAST_ORDER]],Table2[R-Cutoff],1)</f>
        <v>5</v>
      </c>
      <c r="X440" s="2">
        <f>MATCH(Auto_Sales_data___Copy[[#This Row],[Total_Orders_Per_Customer]],Table2[F-Cutoff],1)</f>
        <v>2</v>
      </c>
      <c r="Y440" s="2">
        <f>MATCH(Auto_Sales_data___Copy[[#This Row],[Total_Sales_Per_Customer]],Table2[M-Cutoff],1)</f>
        <v>3</v>
      </c>
      <c r="Z440" s="2" t="str">
        <f>Auto_Sales_data___Copy[[#This Row],[R-Score(1-5)]]&amp;Auto_Sales_data___Copy[[#This Row],[F-Score(1-5)]]&amp;Auto_Sales_data___Copy[[#This Row],[M-Score(1-5)]]</f>
        <v>523</v>
      </c>
      <c r="AA440" s="2" t="str" cm="1">
        <f t="array" ref="AA4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0" s="2" t="str">
        <f>VLOOKUP(Auto_Sales_data___Copy[[#This Row],[Segment Name]],Table3[],2,FALSE)</f>
        <v>Brand Awareness &amp; Value Proposition</v>
      </c>
    </row>
    <row r="441" spans="1:28" x14ac:dyDescent="0.25">
      <c r="A441">
        <v>10230</v>
      </c>
      <c r="B441">
        <v>43</v>
      </c>
      <c r="C441">
        <v>163.16999999999999</v>
      </c>
      <c r="D441">
        <v>1</v>
      </c>
      <c r="E441">
        <v>7016.31</v>
      </c>
      <c r="F441" s="1">
        <v>43539</v>
      </c>
      <c r="G441" s="2" t="s">
        <v>19</v>
      </c>
      <c r="H441" s="2" t="s">
        <v>183</v>
      </c>
      <c r="I441">
        <v>151</v>
      </c>
      <c r="J441" s="2" t="s">
        <v>545</v>
      </c>
      <c r="K441" s="2" t="s">
        <v>492</v>
      </c>
      <c r="L441" s="2" t="s">
        <v>493</v>
      </c>
      <c r="M441" s="2" t="s">
        <v>494</v>
      </c>
      <c r="N441" s="2" t="s">
        <v>495</v>
      </c>
      <c r="O441" s="2" t="s">
        <v>496</v>
      </c>
      <c r="P441" s="2" t="s">
        <v>470</v>
      </c>
      <c r="Q441" s="2" t="s">
        <v>497</v>
      </c>
      <c r="R441" s="2" t="s">
        <v>438</v>
      </c>
      <c r="S441" s="2" t="s">
        <v>151</v>
      </c>
      <c r="T441">
        <v>705</v>
      </c>
      <c r="U441">
        <f>VLOOKUP(Auto_Sales_data___Copy[[#This Row],[CUSTOMER_NAME]],$AF$2:$AH$90,2,FALSE)</f>
        <v>22</v>
      </c>
      <c r="V441">
        <f>VLOOKUP(Auto_Sales_data___Copy[[#This Row],[CUSTOMER_NAME]],$AF$2:$AH$90,3,FALSE)</f>
        <v>85171.59</v>
      </c>
      <c r="W441" s="2">
        <f>6-MATCH(Auto_Sales_data___Copy[[#This Row],[DAYS_SINCE_LAST_ORDER]],Table2[R-Cutoff],1)</f>
        <v>5</v>
      </c>
      <c r="X441" s="2">
        <f>MATCH(Auto_Sales_data___Copy[[#This Row],[Total_Orders_Per_Customer]],Table2[F-Cutoff],1)</f>
        <v>2</v>
      </c>
      <c r="Y441" s="2">
        <f>MATCH(Auto_Sales_data___Copy[[#This Row],[Total_Sales_Per_Customer]],Table2[M-Cutoff],1)</f>
        <v>3</v>
      </c>
      <c r="Z441" s="2" t="str">
        <f>Auto_Sales_data___Copy[[#This Row],[R-Score(1-5)]]&amp;Auto_Sales_data___Copy[[#This Row],[F-Score(1-5)]]&amp;Auto_Sales_data___Copy[[#This Row],[M-Score(1-5)]]</f>
        <v>523</v>
      </c>
      <c r="AA441" s="2" t="str" cm="1">
        <f t="array" ref="AA4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1" s="2" t="str">
        <f>VLOOKUP(Auto_Sales_data___Copy[[#This Row],[Segment Name]],Table3[],2,FALSE)</f>
        <v>Brand Awareness &amp; Value Proposition</v>
      </c>
    </row>
    <row r="442" spans="1:28" x14ac:dyDescent="0.25">
      <c r="A442">
        <v>10236</v>
      </c>
      <c r="B442">
        <v>22</v>
      </c>
      <c r="C442">
        <v>129.63999999999999</v>
      </c>
      <c r="D442">
        <v>1</v>
      </c>
      <c r="E442">
        <v>2852.08</v>
      </c>
      <c r="F442" s="1">
        <v>43558</v>
      </c>
      <c r="G442" s="2" t="s">
        <v>19</v>
      </c>
      <c r="H442" s="2" t="s">
        <v>20</v>
      </c>
      <c r="I442">
        <v>118</v>
      </c>
      <c r="J442" s="2" t="s">
        <v>315</v>
      </c>
      <c r="K442" s="2" t="s">
        <v>323</v>
      </c>
      <c r="L442" s="2" t="s">
        <v>324</v>
      </c>
      <c r="M442" s="2" t="s">
        <v>325</v>
      </c>
      <c r="N442" s="2" t="s">
        <v>220</v>
      </c>
      <c r="O442" s="2" t="s">
        <v>221</v>
      </c>
      <c r="P442" s="2" t="s">
        <v>27</v>
      </c>
      <c r="Q442" s="2" t="s">
        <v>120</v>
      </c>
      <c r="R442" s="2" t="s">
        <v>326</v>
      </c>
      <c r="S442" s="2" t="s">
        <v>30</v>
      </c>
      <c r="T442">
        <v>484</v>
      </c>
      <c r="U442">
        <f>VLOOKUP(Auto_Sales_data___Copy[[#This Row],[CUSTOMER_NAME]],$AF$2:$AH$90,2,FALSE)</f>
        <v>23</v>
      </c>
      <c r="V442">
        <f>VLOOKUP(Auto_Sales_data___Copy[[#This Row],[CUSTOMER_NAME]],$AF$2:$AH$90,3,FALSE)</f>
        <v>83682.16</v>
      </c>
      <c r="W442" s="2">
        <f>6-MATCH(Auto_Sales_data___Copy[[#This Row],[DAYS_SINCE_LAST_ORDER]],Table2[R-Cutoff],1)</f>
        <v>5</v>
      </c>
      <c r="X442" s="2">
        <f>MATCH(Auto_Sales_data___Copy[[#This Row],[Total_Orders_Per_Customer]],Table2[F-Cutoff],1)</f>
        <v>2</v>
      </c>
      <c r="Y442" s="2">
        <f>MATCH(Auto_Sales_data___Copy[[#This Row],[Total_Sales_Per_Customer]],Table2[M-Cutoff],1)</f>
        <v>3</v>
      </c>
      <c r="Z442" s="2" t="str">
        <f>Auto_Sales_data___Copy[[#This Row],[R-Score(1-5)]]&amp;Auto_Sales_data___Copy[[#This Row],[F-Score(1-5)]]&amp;Auto_Sales_data___Copy[[#This Row],[M-Score(1-5)]]</f>
        <v>523</v>
      </c>
      <c r="AA442" s="2" t="str" cm="1">
        <f t="array" ref="AA4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2" s="2" t="str">
        <f>VLOOKUP(Auto_Sales_data___Copy[[#This Row],[Segment Name]],Table3[],2,FALSE)</f>
        <v>Brand Awareness &amp; Value Proposition</v>
      </c>
    </row>
    <row r="443" spans="1:28" x14ac:dyDescent="0.25">
      <c r="A443">
        <v>10241</v>
      </c>
      <c r="B443">
        <v>21</v>
      </c>
      <c r="C443">
        <v>119.46</v>
      </c>
      <c r="D443">
        <v>11</v>
      </c>
      <c r="E443">
        <v>2508.66</v>
      </c>
      <c r="F443" s="1">
        <v>43568</v>
      </c>
      <c r="G443" s="2" t="s">
        <v>19</v>
      </c>
      <c r="H443" s="2" t="s">
        <v>183</v>
      </c>
      <c r="I443">
        <v>124</v>
      </c>
      <c r="J443" s="2" t="s">
        <v>606</v>
      </c>
      <c r="K443" s="2" t="s">
        <v>568</v>
      </c>
      <c r="L443" s="2" t="s">
        <v>569</v>
      </c>
      <c r="M443" s="2" t="s">
        <v>570</v>
      </c>
      <c r="N443" s="2" t="s">
        <v>571</v>
      </c>
      <c r="O443" s="2" t="s">
        <v>572</v>
      </c>
      <c r="P443" s="2" t="s">
        <v>36</v>
      </c>
      <c r="Q443" s="2" t="s">
        <v>573</v>
      </c>
      <c r="R443" s="2" t="s">
        <v>574</v>
      </c>
      <c r="S443" s="2" t="s">
        <v>30</v>
      </c>
      <c r="T443">
        <v>927</v>
      </c>
      <c r="U443">
        <f>VLOOKUP(Auto_Sales_data___Copy[[#This Row],[CUSTOMER_NAME]],$AF$2:$AH$90,2,FALSE)</f>
        <v>19</v>
      </c>
      <c r="V443">
        <f>VLOOKUP(Auto_Sales_data___Copy[[#This Row],[CUSTOMER_NAME]],$AF$2:$AH$90,3,FALSE)</f>
        <v>80438.48</v>
      </c>
      <c r="W443" s="2">
        <f>6-MATCH(Auto_Sales_data___Copy[[#This Row],[DAYS_SINCE_LAST_ORDER]],Table2[R-Cutoff],1)</f>
        <v>5</v>
      </c>
      <c r="X443" s="2">
        <f>MATCH(Auto_Sales_data___Copy[[#This Row],[Total_Orders_Per_Customer]],Table2[F-Cutoff],1)</f>
        <v>2</v>
      </c>
      <c r="Y443" s="2">
        <f>MATCH(Auto_Sales_data___Copy[[#This Row],[Total_Sales_Per_Customer]],Table2[M-Cutoff],1)</f>
        <v>3</v>
      </c>
      <c r="Z443" s="2" t="str">
        <f>Auto_Sales_data___Copy[[#This Row],[R-Score(1-5)]]&amp;Auto_Sales_data___Copy[[#This Row],[F-Score(1-5)]]&amp;Auto_Sales_data___Copy[[#This Row],[M-Score(1-5)]]</f>
        <v>523</v>
      </c>
      <c r="AA443" s="2" t="str" cm="1">
        <f t="array" ref="AA4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3" s="2" t="str">
        <f>VLOOKUP(Auto_Sales_data___Copy[[#This Row],[Segment Name]],Table3[],2,FALSE)</f>
        <v>Brand Awareness &amp; Value Proposition</v>
      </c>
    </row>
    <row r="444" spans="1:28" x14ac:dyDescent="0.25">
      <c r="A444">
        <v>10251</v>
      </c>
      <c r="B444">
        <v>28</v>
      </c>
      <c r="C444">
        <v>113.88</v>
      </c>
      <c r="D444">
        <v>2</v>
      </c>
      <c r="E444">
        <v>3188.64</v>
      </c>
      <c r="F444" s="1">
        <v>43603</v>
      </c>
      <c r="G444" s="2" t="s">
        <v>19</v>
      </c>
      <c r="H444" s="2" t="s">
        <v>20</v>
      </c>
      <c r="I444">
        <v>95</v>
      </c>
      <c r="J444" s="2" t="s">
        <v>21</v>
      </c>
      <c r="K444" s="2" t="s">
        <v>95</v>
      </c>
      <c r="L444" s="2" t="s">
        <v>96</v>
      </c>
      <c r="M444" s="2" t="s">
        <v>97</v>
      </c>
      <c r="N444" s="2" t="s">
        <v>98</v>
      </c>
      <c r="O444" s="2" t="s">
        <v>99</v>
      </c>
      <c r="P444" s="2" t="s">
        <v>27</v>
      </c>
      <c r="Q444" s="2" t="s">
        <v>100</v>
      </c>
      <c r="R444" s="2" t="s">
        <v>101</v>
      </c>
      <c r="S444" s="2" t="s">
        <v>46</v>
      </c>
      <c r="T444">
        <v>390</v>
      </c>
      <c r="U444">
        <f>VLOOKUP(Auto_Sales_data___Copy[[#This Row],[CUSTOMER_NAME]],$AF$2:$AH$90,2,FALSE)</f>
        <v>21</v>
      </c>
      <c r="V444">
        <f>VLOOKUP(Auto_Sales_data___Copy[[#This Row],[CUSTOMER_NAME]],$AF$2:$AH$90,3,FALSE)</f>
        <v>83228.189999999973</v>
      </c>
      <c r="W444" s="2">
        <f>6-MATCH(Auto_Sales_data___Copy[[#This Row],[DAYS_SINCE_LAST_ORDER]],Table2[R-Cutoff],1)</f>
        <v>5</v>
      </c>
      <c r="X444" s="2">
        <f>MATCH(Auto_Sales_data___Copy[[#This Row],[Total_Orders_Per_Customer]],Table2[F-Cutoff],1)</f>
        <v>2</v>
      </c>
      <c r="Y444" s="2">
        <f>MATCH(Auto_Sales_data___Copy[[#This Row],[Total_Sales_Per_Customer]],Table2[M-Cutoff],1)</f>
        <v>3</v>
      </c>
      <c r="Z444" s="2" t="str">
        <f>Auto_Sales_data___Copy[[#This Row],[R-Score(1-5)]]&amp;Auto_Sales_data___Copy[[#This Row],[F-Score(1-5)]]&amp;Auto_Sales_data___Copy[[#This Row],[M-Score(1-5)]]</f>
        <v>523</v>
      </c>
      <c r="AA444" s="2" t="str" cm="1">
        <f t="array" ref="AA4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4" s="2" t="str">
        <f>VLOOKUP(Auto_Sales_data___Copy[[#This Row],[Segment Name]],Table3[],2,FALSE)</f>
        <v>Brand Awareness &amp; Value Proposition</v>
      </c>
    </row>
    <row r="445" spans="1:28" x14ac:dyDescent="0.25">
      <c r="A445">
        <v>10251</v>
      </c>
      <c r="B445">
        <v>44</v>
      </c>
      <c r="C445">
        <v>130.83000000000001</v>
      </c>
      <c r="D445">
        <v>5</v>
      </c>
      <c r="E445">
        <v>5756.52</v>
      </c>
      <c r="F445" s="1">
        <v>43603</v>
      </c>
      <c r="G445" s="2" t="s">
        <v>19</v>
      </c>
      <c r="H445" s="2" t="s">
        <v>20</v>
      </c>
      <c r="I445">
        <v>118</v>
      </c>
      <c r="J445" s="2" t="s">
        <v>315</v>
      </c>
      <c r="K445" s="2" t="s">
        <v>95</v>
      </c>
      <c r="L445" s="2" t="s">
        <v>96</v>
      </c>
      <c r="M445" s="2" t="s">
        <v>97</v>
      </c>
      <c r="N445" s="2" t="s">
        <v>98</v>
      </c>
      <c r="O445" s="2" t="s">
        <v>99</v>
      </c>
      <c r="P445" s="2" t="s">
        <v>27</v>
      </c>
      <c r="Q445" s="2" t="s">
        <v>100</v>
      </c>
      <c r="R445" s="2" t="s">
        <v>101</v>
      </c>
      <c r="S445" s="2" t="s">
        <v>46</v>
      </c>
      <c r="T445">
        <v>440</v>
      </c>
      <c r="U445">
        <f>VLOOKUP(Auto_Sales_data___Copy[[#This Row],[CUSTOMER_NAME]],$AF$2:$AH$90,2,FALSE)</f>
        <v>21</v>
      </c>
      <c r="V445">
        <f>VLOOKUP(Auto_Sales_data___Copy[[#This Row],[CUSTOMER_NAME]],$AF$2:$AH$90,3,FALSE)</f>
        <v>83228.189999999973</v>
      </c>
      <c r="W445" s="2">
        <f>6-MATCH(Auto_Sales_data___Copy[[#This Row],[DAYS_SINCE_LAST_ORDER]],Table2[R-Cutoff],1)</f>
        <v>5</v>
      </c>
      <c r="X445" s="2">
        <f>MATCH(Auto_Sales_data___Copy[[#This Row],[Total_Orders_Per_Customer]],Table2[F-Cutoff],1)</f>
        <v>2</v>
      </c>
      <c r="Y445" s="2">
        <f>MATCH(Auto_Sales_data___Copy[[#This Row],[Total_Sales_Per_Customer]],Table2[M-Cutoff],1)</f>
        <v>3</v>
      </c>
      <c r="Z445" s="2" t="str">
        <f>Auto_Sales_data___Copy[[#This Row],[R-Score(1-5)]]&amp;Auto_Sales_data___Copy[[#This Row],[F-Score(1-5)]]&amp;Auto_Sales_data___Copy[[#This Row],[M-Score(1-5)]]</f>
        <v>523</v>
      </c>
      <c r="AA445" s="2" t="str" cm="1">
        <f t="array" ref="AA4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5" s="2" t="str">
        <f>VLOOKUP(Auto_Sales_data___Copy[[#This Row],[Segment Name]],Table3[],2,FALSE)</f>
        <v>Brand Awareness &amp; Value Proposition</v>
      </c>
    </row>
    <row r="446" spans="1:28" x14ac:dyDescent="0.25">
      <c r="A446">
        <v>10251</v>
      </c>
      <c r="B446">
        <v>43</v>
      </c>
      <c r="C446">
        <v>164.61</v>
      </c>
      <c r="D446">
        <v>4</v>
      </c>
      <c r="E446">
        <v>7078.23</v>
      </c>
      <c r="F446" s="1">
        <v>43603</v>
      </c>
      <c r="G446" s="2" t="s">
        <v>19</v>
      </c>
      <c r="H446" s="2" t="s">
        <v>20</v>
      </c>
      <c r="I446">
        <v>193</v>
      </c>
      <c r="J446" s="2" t="s">
        <v>337</v>
      </c>
      <c r="K446" s="2" t="s">
        <v>95</v>
      </c>
      <c r="L446" s="2" t="s">
        <v>96</v>
      </c>
      <c r="M446" s="2" t="s">
        <v>97</v>
      </c>
      <c r="N446" s="2" t="s">
        <v>98</v>
      </c>
      <c r="O446" s="2" t="s">
        <v>99</v>
      </c>
      <c r="P446" s="2" t="s">
        <v>27</v>
      </c>
      <c r="Q446" s="2" t="s">
        <v>100</v>
      </c>
      <c r="R446" s="2" t="s">
        <v>101</v>
      </c>
      <c r="S446" s="2" t="s">
        <v>151</v>
      </c>
      <c r="T446">
        <v>464</v>
      </c>
      <c r="U446">
        <f>VLOOKUP(Auto_Sales_data___Copy[[#This Row],[CUSTOMER_NAME]],$AF$2:$AH$90,2,FALSE)</f>
        <v>21</v>
      </c>
      <c r="V446">
        <f>VLOOKUP(Auto_Sales_data___Copy[[#This Row],[CUSTOMER_NAME]],$AF$2:$AH$90,3,FALSE)</f>
        <v>83228.189999999973</v>
      </c>
      <c r="W446" s="2">
        <f>6-MATCH(Auto_Sales_data___Copy[[#This Row],[DAYS_SINCE_LAST_ORDER]],Table2[R-Cutoff],1)</f>
        <v>5</v>
      </c>
      <c r="X446" s="2">
        <f>MATCH(Auto_Sales_data___Copy[[#This Row],[Total_Orders_Per_Customer]],Table2[F-Cutoff],1)</f>
        <v>2</v>
      </c>
      <c r="Y446" s="2">
        <f>MATCH(Auto_Sales_data___Copy[[#This Row],[Total_Sales_Per_Customer]],Table2[M-Cutoff],1)</f>
        <v>3</v>
      </c>
      <c r="Z446" s="2" t="str">
        <f>Auto_Sales_data___Copy[[#This Row],[R-Score(1-5)]]&amp;Auto_Sales_data___Copy[[#This Row],[F-Score(1-5)]]&amp;Auto_Sales_data___Copy[[#This Row],[M-Score(1-5)]]</f>
        <v>523</v>
      </c>
      <c r="AA446" s="2" t="str" cm="1">
        <f t="array" ref="AA4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6" s="2" t="str">
        <f>VLOOKUP(Auto_Sales_data___Copy[[#This Row],[Segment Name]],Table3[],2,FALSE)</f>
        <v>Brand Awareness &amp; Value Proposition</v>
      </c>
    </row>
    <row r="447" spans="1:28" x14ac:dyDescent="0.25">
      <c r="A447">
        <v>10251</v>
      </c>
      <c r="B447">
        <v>46</v>
      </c>
      <c r="C447">
        <v>164.18</v>
      </c>
      <c r="D447">
        <v>1</v>
      </c>
      <c r="E447">
        <v>7552.28</v>
      </c>
      <c r="F447" s="1">
        <v>43603</v>
      </c>
      <c r="G447" s="2" t="s">
        <v>19</v>
      </c>
      <c r="H447" s="2" t="s">
        <v>20</v>
      </c>
      <c r="I447">
        <v>150</v>
      </c>
      <c r="J447" s="2" t="s">
        <v>539</v>
      </c>
      <c r="K447" s="2" t="s">
        <v>95</v>
      </c>
      <c r="L447" s="2" t="s">
        <v>96</v>
      </c>
      <c r="M447" s="2" t="s">
        <v>97</v>
      </c>
      <c r="N447" s="2" t="s">
        <v>98</v>
      </c>
      <c r="O447" s="2" t="s">
        <v>99</v>
      </c>
      <c r="P447" s="2" t="s">
        <v>27</v>
      </c>
      <c r="Q447" s="2" t="s">
        <v>100</v>
      </c>
      <c r="R447" s="2" t="s">
        <v>101</v>
      </c>
      <c r="S447" s="2" t="s">
        <v>151</v>
      </c>
      <c r="T447">
        <v>616</v>
      </c>
      <c r="U447">
        <f>VLOOKUP(Auto_Sales_data___Copy[[#This Row],[CUSTOMER_NAME]],$AF$2:$AH$90,2,FALSE)</f>
        <v>21</v>
      </c>
      <c r="V447">
        <f>VLOOKUP(Auto_Sales_data___Copy[[#This Row],[CUSTOMER_NAME]],$AF$2:$AH$90,3,FALSE)</f>
        <v>83228.189999999973</v>
      </c>
      <c r="W447" s="2">
        <f>6-MATCH(Auto_Sales_data___Copy[[#This Row],[DAYS_SINCE_LAST_ORDER]],Table2[R-Cutoff],1)</f>
        <v>5</v>
      </c>
      <c r="X447" s="2">
        <f>MATCH(Auto_Sales_data___Copy[[#This Row],[Total_Orders_Per_Customer]],Table2[F-Cutoff],1)</f>
        <v>2</v>
      </c>
      <c r="Y447" s="2">
        <f>MATCH(Auto_Sales_data___Copy[[#This Row],[Total_Sales_Per_Customer]],Table2[M-Cutoff],1)</f>
        <v>3</v>
      </c>
      <c r="Z447" s="2" t="str">
        <f>Auto_Sales_data___Copy[[#This Row],[R-Score(1-5)]]&amp;Auto_Sales_data___Copy[[#This Row],[F-Score(1-5)]]&amp;Auto_Sales_data___Copy[[#This Row],[M-Score(1-5)]]</f>
        <v>523</v>
      </c>
      <c r="AA447" s="2" t="str" cm="1">
        <f t="array" ref="AA4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7" s="2" t="str">
        <f>VLOOKUP(Auto_Sales_data___Copy[[#This Row],[Segment Name]],Table3[],2,FALSE)</f>
        <v>Brand Awareness &amp; Value Proposition</v>
      </c>
    </row>
    <row r="448" spans="1:28" x14ac:dyDescent="0.25">
      <c r="A448">
        <v>10331</v>
      </c>
      <c r="B448">
        <v>46</v>
      </c>
      <c r="C448">
        <v>139.87</v>
      </c>
      <c r="D448">
        <v>6</v>
      </c>
      <c r="E448">
        <v>6434.02</v>
      </c>
      <c r="F448" s="1">
        <v>43786</v>
      </c>
      <c r="G448" s="2" t="s">
        <v>19</v>
      </c>
      <c r="H448" s="2" t="s">
        <v>183</v>
      </c>
      <c r="I448">
        <v>141</v>
      </c>
      <c r="J448" s="2" t="s">
        <v>576</v>
      </c>
      <c r="K448" s="2" t="s">
        <v>323</v>
      </c>
      <c r="L448" s="2" t="s">
        <v>324</v>
      </c>
      <c r="M448" s="2" t="s">
        <v>325</v>
      </c>
      <c r="N448" s="2" t="s">
        <v>220</v>
      </c>
      <c r="O448" s="2" t="s">
        <v>221</v>
      </c>
      <c r="P448" s="2" t="s">
        <v>27</v>
      </c>
      <c r="Q448" s="2" t="s">
        <v>120</v>
      </c>
      <c r="R448" s="2" t="s">
        <v>326</v>
      </c>
      <c r="S448" s="2" t="s">
        <v>46</v>
      </c>
      <c r="T448">
        <v>643</v>
      </c>
      <c r="U448">
        <f>VLOOKUP(Auto_Sales_data___Copy[[#This Row],[CUSTOMER_NAME]],$AF$2:$AH$90,2,FALSE)</f>
        <v>23</v>
      </c>
      <c r="V448">
        <f>VLOOKUP(Auto_Sales_data___Copy[[#This Row],[CUSTOMER_NAME]],$AF$2:$AH$90,3,FALSE)</f>
        <v>83682.16</v>
      </c>
      <c r="W448" s="2">
        <f>6-MATCH(Auto_Sales_data___Copy[[#This Row],[DAYS_SINCE_LAST_ORDER]],Table2[R-Cutoff],1)</f>
        <v>5</v>
      </c>
      <c r="X448" s="2">
        <f>MATCH(Auto_Sales_data___Copy[[#This Row],[Total_Orders_Per_Customer]],Table2[F-Cutoff],1)</f>
        <v>2</v>
      </c>
      <c r="Y448" s="2">
        <f>MATCH(Auto_Sales_data___Copy[[#This Row],[Total_Sales_Per_Customer]],Table2[M-Cutoff],1)</f>
        <v>3</v>
      </c>
      <c r="Z448" s="2" t="str">
        <f>Auto_Sales_data___Copy[[#This Row],[R-Score(1-5)]]&amp;Auto_Sales_data___Copy[[#This Row],[F-Score(1-5)]]&amp;Auto_Sales_data___Copy[[#This Row],[M-Score(1-5)]]</f>
        <v>523</v>
      </c>
      <c r="AA448" s="2" t="str" cm="1">
        <f t="array" ref="AA4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8" s="2" t="str">
        <f>VLOOKUP(Auto_Sales_data___Copy[[#This Row],[Segment Name]],Table3[],2,FALSE)</f>
        <v>Brand Awareness &amp; Value Proposition</v>
      </c>
    </row>
    <row r="449" spans="1:28" x14ac:dyDescent="0.25">
      <c r="A449">
        <v>10331</v>
      </c>
      <c r="B449">
        <v>44</v>
      </c>
      <c r="C449">
        <v>110.21</v>
      </c>
      <c r="D449">
        <v>14</v>
      </c>
      <c r="E449">
        <v>4849.24</v>
      </c>
      <c r="F449" s="1">
        <v>43786</v>
      </c>
      <c r="G449" s="2" t="s">
        <v>19</v>
      </c>
      <c r="H449" s="2" t="s">
        <v>183</v>
      </c>
      <c r="I449">
        <v>124</v>
      </c>
      <c r="J449" s="2" t="s">
        <v>606</v>
      </c>
      <c r="K449" s="2" t="s">
        <v>323</v>
      </c>
      <c r="L449" s="2" t="s">
        <v>324</v>
      </c>
      <c r="M449" s="2" t="s">
        <v>325</v>
      </c>
      <c r="N449" s="2" t="s">
        <v>220</v>
      </c>
      <c r="O449" s="2" t="s">
        <v>221</v>
      </c>
      <c r="P449" s="2" t="s">
        <v>27</v>
      </c>
      <c r="Q449" s="2" t="s">
        <v>120</v>
      </c>
      <c r="R449" s="2" t="s">
        <v>326</v>
      </c>
      <c r="S449" s="2" t="s">
        <v>46</v>
      </c>
      <c r="T449">
        <v>717</v>
      </c>
      <c r="U449">
        <f>VLOOKUP(Auto_Sales_data___Copy[[#This Row],[CUSTOMER_NAME]],$AF$2:$AH$90,2,FALSE)</f>
        <v>23</v>
      </c>
      <c r="V449">
        <f>VLOOKUP(Auto_Sales_data___Copy[[#This Row],[CUSTOMER_NAME]],$AF$2:$AH$90,3,FALSE)</f>
        <v>83682.16</v>
      </c>
      <c r="W449" s="2">
        <f>6-MATCH(Auto_Sales_data___Copy[[#This Row],[DAYS_SINCE_LAST_ORDER]],Table2[R-Cutoff],1)</f>
        <v>5</v>
      </c>
      <c r="X449" s="2">
        <f>MATCH(Auto_Sales_data___Copy[[#This Row],[Total_Orders_Per_Customer]],Table2[F-Cutoff],1)</f>
        <v>2</v>
      </c>
      <c r="Y449" s="2">
        <f>MATCH(Auto_Sales_data___Copy[[#This Row],[Total_Sales_Per_Customer]],Table2[M-Cutoff],1)</f>
        <v>3</v>
      </c>
      <c r="Z449" s="2" t="str">
        <f>Auto_Sales_data___Copy[[#This Row],[R-Score(1-5)]]&amp;Auto_Sales_data___Copy[[#This Row],[F-Score(1-5)]]&amp;Auto_Sales_data___Copy[[#This Row],[M-Score(1-5)]]</f>
        <v>523</v>
      </c>
      <c r="AA449" s="2" t="str" cm="1">
        <f t="array" ref="AA4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9" s="2" t="str">
        <f>VLOOKUP(Auto_Sales_data___Copy[[#This Row],[Segment Name]],Table3[],2,FALSE)</f>
        <v>Brand Awareness &amp; Value Proposition</v>
      </c>
    </row>
    <row r="450" spans="1:28" x14ac:dyDescent="0.25">
      <c r="A450">
        <v>10331</v>
      </c>
      <c r="B450">
        <v>44</v>
      </c>
      <c r="C450">
        <v>74.040000000000006</v>
      </c>
      <c r="D450">
        <v>7</v>
      </c>
      <c r="E450">
        <v>3257.76</v>
      </c>
      <c r="F450" s="1">
        <v>43786</v>
      </c>
      <c r="G450" s="2" t="s">
        <v>19</v>
      </c>
      <c r="H450" s="2" t="s">
        <v>589</v>
      </c>
      <c r="I450">
        <v>170</v>
      </c>
      <c r="J450" s="2" t="s">
        <v>628</v>
      </c>
      <c r="K450" s="2" t="s">
        <v>323</v>
      </c>
      <c r="L450" s="2" t="s">
        <v>324</v>
      </c>
      <c r="M450" s="2" t="s">
        <v>325</v>
      </c>
      <c r="N450" s="2" t="s">
        <v>220</v>
      </c>
      <c r="O450" s="2" t="s">
        <v>221</v>
      </c>
      <c r="P450" s="2" t="s">
        <v>27</v>
      </c>
      <c r="Q450" s="2" t="s">
        <v>120</v>
      </c>
      <c r="R450" s="2" t="s">
        <v>326</v>
      </c>
      <c r="S450" s="2" t="s">
        <v>46</v>
      </c>
      <c r="T450">
        <v>764</v>
      </c>
      <c r="U450">
        <f>VLOOKUP(Auto_Sales_data___Copy[[#This Row],[CUSTOMER_NAME]],$AF$2:$AH$90,2,FALSE)</f>
        <v>23</v>
      </c>
      <c r="V450">
        <f>VLOOKUP(Auto_Sales_data___Copy[[#This Row],[CUSTOMER_NAME]],$AF$2:$AH$90,3,FALSE)</f>
        <v>83682.16</v>
      </c>
      <c r="W450" s="2">
        <f>6-MATCH(Auto_Sales_data___Copy[[#This Row],[DAYS_SINCE_LAST_ORDER]],Table2[R-Cutoff],1)</f>
        <v>5</v>
      </c>
      <c r="X450" s="2">
        <f>MATCH(Auto_Sales_data___Copy[[#This Row],[Total_Orders_Per_Customer]],Table2[F-Cutoff],1)</f>
        <v>2</v>
      </c>
      <c r="Y450" s="2">
        <f>MATCH(Auto_Sales_data___Copy[[#This Row],[Total_Sales_Per_Customer]],Table2[M-Cutoff],1)</f>
        <v>3</v>
      </c>
      <c r="Z450" s="2" t="str">
        <f>Auto_Sales_data___Copy[[#This Row],[R-Score(1-5)]]&amp;Auto_Sales_data___Copy[[#This Row],[F-Score(1-5)]]&amp;Auto_Sales_data___Copy[[#This Row],[M-Score(1-5)]]</f>
        <v>523</v>
      </c>
      <c r="AA450" s="2" t="str" cm="1">
        <f t="array" ref="AA4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0" s="2" t="str">
        <f>VLOOKUP(Auto_Sales_data___Copy[[#This Row],[Segment Name]],Table3[],2,FALSE)</f>
        <v>Brand Awareness &amp; Value Proposition</v>
      </c>
    </row>
    <row r="451" spans="1:28" x14ac:dyDescent="0.25">
      <c r="A451">
        <v>10331</v>
      </c>
      <c r="B451">
        <v>30</v>
      </c>
      <c r="C451">
        <v>32.47</v>
      </c>
      <c r="D451">
        <v>8</v>
      </c>
      <c r="E451">
        <v>974.1</v>
      </c>
      <c r="F451" s="1">
        <v>43786</v>
      </c>
      <c r="G451" s="2" t="s">
        <v>19</v>
      </c>
      <c r="H451" s="2" t="s">
        <v>183</v>
      </c>
      <c r="I451">
        <v>142</v>
      </c>
      <c r="J451" s="2" t="s">
        <v>630</v>
      </c>
      <c r="K451" s="2" t="s">
        <v>323</v>
      </c>
      <c r="L451" s="2" t="s">
        <v>324</v>
      </c>
      <c r="M451" s="2" t="s">
        <v>325</v>
      </c>
      <c r="N451" s="2" t="s">
        <v>220</v>
      </c>
      <c r="O451" s="2" t="s">
        <v>221</v>
      </c>
      <c r="P451" s="2" t="s">
        <v>27</v>
      </c>
      <c r="Q451" s="2" t="s">
        <v>120</v>
      </c>
      <c r="R451" s="2" t="s">
        <v>326</v>
      </c>
      <c r="S451" s="2" t="s">
        <v>30</v>
      </c>
      <c r="T451">
        <v>814</v>
      </c>
      <c r="U451">
        <f>VLOOKUP(Auto_Sales_data___Copy[[#This Row],[CUSTOMER_NAME]],$AF$2:$AH$90,2,FALSE)</f>
        <v>23</v>
      </c>
      <c r="V451">
        <f>VLOOKUP(Auto_Sales_data___Copy[[#This Row],[CUSTOMER_NAME]],$AF$2:$AH$90,3,FALSE)</f>
        <v>83682.16</v>
      </c>
      <c r="W451" s="2">
        <f>6-MATCH(Auto_Sales_data___Copy[[#This Row],[DAYS_SINCE_LAST_ORDER]],Table2[R-Cutoff],1)</f>
        <v>5</v>
      </c>
      <c r="X451" s="2">
        <f>MATCH(Auto_Sales_data___Copy[[#This Row],[Total_Orders_Per_Customer]],Table2[F-Cutoff],1)</f>
        <v>2</v>
      </c>
      <c r="Y451" s="2">
        <f>MATCH(Auto_Sales_data___Copy[[#This Row],[Total_Sales_Per_Customer]],Table2[M-Cutoff],1)</f>
        <v>3</v>
      </c>
      <c r="Z451" s="2" t="str">
        <f>Auto_Sales_data___Copy[[#This Row],[R-Score(1-5)]]&amp;Auto_Sales_data___Copy[[#This Row],[F-Score(1-5)]]&amp;Auto_Sales_data___Copy[[#This Row],[M-Score(1-5)]]</f>
        <v>523</v>
      </c>
      <c r="AA451" s="2" t="str" cm="1">
        <f t="array" ref="AA4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1" s="2" t="str">
        <f>VLOOKUP(Auto_Sales_data___Copy[[#This Row],[Segment Name]],Table3[],2,FALSE)</f>
        <v>Brand Awareness &amp; Value Proposition</v>
      </c>
    </row>
    <row r="452" spans="1:28" x14ac:dyDescent="0.25">
      <c r="A452">
        <v>10336</v>
      </c>
      <c r="B452">
        <v>33</v>
      </c>
      <c r="C452">
        <v>57.22</v>
      </c>
      <c r="D452">
        <v>10</v>
      </c>
      <c r="E452">
        <v>1888.26</v>
      </c>
      <c r="F452" s="1">
        <v>43789</v>
      </c>
      <c r="G452" s="2" t="s">
        <v>19</v>
      </c>
      <c r="H452" s="2" t="s">
        <v>183</v>
      </c>
      <c r="I452">
        <v>207</v>
      </c>
      <c r="J452" s="2" t="s">
        <v>505</v>
      </c>
      <c r="K452" s="2" t="s">
        <v>425</v>
      </c>
      <c r="L452" s="2" t="s">
        <v>426</v>
      </c>
      <c r="M452" s="2" t="s">
        <v>427</v>
      </c>
      <c r="N452" s="2" t="s">
        <v>42</v>
      </c>
      <c r="O452" s="2" t="s">
        <v>428</v>
      </c>
      <c r="P452" s="2" t="s">
        <v>36</v>
      </c>
      <c r="Q452" s="2" t="s">
        <v>429</v>
      </c>
      <c r="R452" s="2" t="s">
        <v>430</v>
      </c>
      <c r="S452" s="2" t="s">
        <v>30</v>
      </c>
      <c r="T452">
        <v>387</v>
      </c>
      <c r="U452">
        <f>VLOOKUP(Auto_Sales_data___Copy[[#This Row],[CUSTOMER_NAME]],$AF$2:$AH$90,2,FALSE)</f>
        <v>23</v>
      </c>
      <c r="V452">
        <f>VLOOKUP(Auto_Sales_data___Copy[[#This Row],[CUSTOMER_NAME]],$AF$2:$AH$90,3,FALSE)</f>
        <v>97203.680000000008</v>
      </c>
      <c r="W452" s="2">
        <f>6-MATCH(Auto_Sales_data___Copy[[#This Row],[DAYS_SINCE_LAST_ORDER]],Table2[R-Cutoff],1)</f>
        <v>5</v>
      </c>
      <c r="X452" s="2">
        <f>MATCH(Auto_Sales_data___Copy[[#This Row],[Total_Orders_Per_Customer]],Table2[F-Cutoff],1)</f>
        <v>2</v>
      </c>
      <c r="Y452" s="2">
        <f>MATCH(Auto_Sales_data___Copy[[#This Row],[Total_Sales_Per_Customer]],Table2[M-Cutoff],1)</f>
        <v>3</v>
      </c>
      <c r="Z452" s="2" t="str">
        <f>Auto_Sales_data___Copy[[#This Row],[R-Score(1-5)]]&amp;Auto_Sales_data___Copy[[#This Row],[F-Score(1-5)]]&amp;Auto_Sales_data___Copy[[#This Row],[M-Score(1-5)]]</f>
        <v>523</v>
      </c>
      <c r="AA452" s="2" t="str" cm="1">
        <f t="array" ref="AA4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2" s="2" t="str">
        <f>VLOOKUP(Auto_Sales_data___Copy[[#This Row],[Segment Name]],Table3[],2,FALSE)</f>
        <v>Brand Awareness &amp; Value Proposition</v>
      </c>
    </row>
    <row r="453" spans="1:28" x14ac:dyDescent="0.25">
      <c r="A453">
        <v>10336</v>
      </c>
      <c r="B453">
        <v>33</v>
      </c>
      <c r="C453">
        <v>123.01</v>
      </c>
      <c r="D453">
        <v>11</v>
      </c>
      <c r="E453">
        <v>4059.33</v>
      </c>
      <c r="F453" s="1">
        <v>43789</v>
      </c>
      <c r="G453" s="2" t="s">
        <v>19</v>
      </c>
      <c r="H453" s="2" t="s">
        <v>183</v>
      </c>
      <c r="I453">
        <v>151</v>
      </c>
      <c r="J453" s="2" t="s">
        <v>545</v>
      </c>
      <c r="K453" s="2" t="s">
        <v>425</v>
      </c>
      <c r="L453" s="2" t="s">
        <v>426</v>
      </c>
      <c r="M453" s="2" t="s">
        <v>427</v>
      </c>
      <c r="N453" s="2" t="s">
        <v>42</v>
      </c>
      <c r="O453" s="2" t="s">
        <v>428</v>
      </c>
      <c r="P453" s="2" t="s">
        <v>36</v>
      </c>
      <c r="Q453" s="2" t="s">
        <v>429</v>
      </c>
      <c r="R453" s="2" t="s">
        <v>430</v>
      </c>
      <c r="S453" s="2" t="s">
        <v>46</v>
      </c>
      <c r="T453">
        <v>463</v>
      </c>
      <c r="U453">
        <f>VLOOKUP(Auto_Sales_data___Copy[[#This Row],[CUSTOMER_NAME]],$AF$2:$AH$90,2,FALSE)</f>
        <v>23</v>
      </c>
      <c r="V453">
        <f>VLOOKUP(Auto_Sales_data___Copy[[#This Row],[CUSTOMER_NAME]],$AF$2:$AH$90,3,FALSE)</f>
        <v>97203.680000000008</v>
      </c>
      <c r="W453" s="2">
        <f>6-MATCH(Auto_Sales_data___Copy[[#This Row],[DAYS_SINCE_LAST_ORDER]],Table2[R-Cutoff],1)</f>
        <v>5</v>
      </c>
      <c r="X453" s="2">
        <f>MATCH(Auto_Sales_data___Copy[[#This Row],[Total_Orders_Per_Customer]],Table2[F-Cutoff],1)</f>
        <v>2</v>
      </c>
      <c r="Y453" s="2">
        <f>MATCH(Auto_Sales_data___Copy[[#This Row],[Total_Sales_Per_Customer]],Table2[M-Cutoff],1)</f>
        <v>3</v>
      </c>
      <c r="Z453" s="2" t="str">
        <f>Auto_Sales_data___Copy[[#This Row],[R-Score(1-5)]]&amp;Auto_Sales_data___Copy[[#This Row],[F-Score(1-5)]]&amp;Auto_Sales_data___Copy[[#This Row],[M-Score(1-5)]]</f>
        <v>523</v>
      </c>
      <c r="AA453" s="2" t="str" cm="1">
        <f t="array" ref="AA4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3" s="2" t="str">
        <f>VLOOKUP(Auto_Sales_data___Copy[[#This Row],[Segment Name]],Table3[],2,FALSE)</f>
        <v>Brand Awareness &amp; Value Proposition</v>
      </c>
    </row>
    <row r="454" spans="1:28" x14ac:dyDescent="0.25">
      <c r="A454">
        <v>10336</v>
      </c>
      <c r="B454">
        <v>49</v>
      </c>
      <c r="C454">
        <v>63.38</v>
      </c>
      <c r="D454">
        <v>1</v>
      </c>
      <c r="E454">
        <v>3105.62</v>
      </c>
      <c r="F454" s="1">
        <v>43789</v>
      </c>
      <c r="G454" s="2" t="s">
        <v>19</v>
      </c>
      <c r="H454" s="2" t="s">
        <v>183</v>
      </c>
      <c r="I454">
        <v>173</v>
      </c>
      <c r="J454" s="2" t="s">
        <v>552</v>
      </c>
      <c r="K454" s="2" t="s">
        <v>425</v>
      </c>
      <c r="L454" s="2" t="s">
        <v>426</v>
      </c>
      <c r="M454" s="2" t="s">
        <v>427</v>
      </c>
      <c r="N454" s="2" t="s">
        <v>42</v>
      </c>
      <c r="O454" s="2" t="s">
        <v>428</v>
      </c>
      <c r="P454" s="2" t="s">
        <v>36</v>
      </c>
      <c r="Q454" s="2" t="s">
        <v>429</v>
      </c>
      <c r="R454" s="2" t="s">
        <v>430</v>
      </c>
      <c r="S454" s="2" t="s">
        <v>46</v>
      </c>
      <c r="T454">
        <v>512</v>
      </c>
      <c r="U454">
        <f>VLOOKUP(Auto_Sales_data___Copy[[#This Row],[CUSTOMER_NAME]],$AF$2:$AH$90,2,FALSE)</f>
        <v>23</v>
      </c>
      <c r="V454">
        <f>VLOOKUP(Auto_Sales_data___Copy[[#This Row],[CUSTOMER_NAME]],$AF$2:$AH$90,3,FALSE)</f>
        <v>97203.680000000008</v>
      </c>
      <c r="W454" s="2">
        <f>6-MATCH(Auto_Sales_data___Copy[[#This Row],[DAYS_SINCE_LAST_ORDER]],Table2[R-Cutoff],1)</f>
        <v>5</v>
      </c>
      <c r="X454" s="2">
        <f>MATCH(Auto_Sales_data___Copy[[#This Row],[Total_Orders_Per_Customer]],Table2[F-Cutoff],1)</f>
        <v>2</v>
      </c>
      <c r="Y454" s="2">
        <f>MATCH(Auto_Sales_data___Copy[[#This Row],[Total_Sales_Per_Customer]],Table2[M-Cutoff],1)</f>
        <v>3</v>
      </c>
      <c r="Z454" s="2" t="str">
        <f>Auto_Sales_data___Copy[[#This Row],[R-Score(1-5)]]&amp;Auto_Sales_data___Copy[[#This Row],[F-Score(1-5)]]&amp;Auto_Sales_data___Copy[[#This Row],[M-Score(1-5)]]</f>
        <v>523</v>
      </c>
      <c r="AA454" s="2" t="str" cm="1">
        <f t="array" ref="AA4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4" s="2" t="str">
        <f>VLOOKUP(Auto_Sales_data___Copy[[#This Row],[Segment Name]],Table3[],2,FALSE)</f>
        <v>Brand Awareness &amp; Value Proposition</v>
      </c>
    </row>
    <row r="455" spans="1:28" x14ac:dyDescent="0.25">
      <c r="A455">
        <v>10336</v>
      </c>
      <c r="B455">
        <v>38</v>
      </c>
      <c r="C455">
        <v>167.7</v>
      </c>
      <c r="D455">
        <v>3</v>
      </c>
      <c r="E455">
        <v>6372.6</v>
      </c>
      <c r="F455" s="1">
        <v>43789</v>
      </c>
      <c r="G455" s="2" t="s">
        <v>19</v>
      </c>
      <c r="H455" s="2" t="s">
        <v>537</v>
      </c>
      <c r="I455">
        <v>118</v>
      </c>
      <c r="J455" s="2" t="s">
        <v>554</v>
      </c>
      <c r="K455" s="2" t="s">
        <v>425</v>
      </c>
      <c r="L455" s="2" t="s">
        <v>426</v>
      </c>
      <c r="M455" s="2" t="s">
        <v>427</v>
      </c>
      <c r="N455" s="2" t="s">
        <v>42</v>
      </c>
      <c r="O455" s="2" t="s">
        <v>428</v>
      </c>
      <c r="P455" s="2" t="s">
        <v>36</v>
      </c>
      <c r="Q455" s="2" t="s">
        <v>429</v>
      </c>
      <c r="R455" s="2" t="s">
        <v>430</v>
      </c>
      <c r="S455" s="2" t="s">
        <v>46</v>
      </c>
      <c r="T455">
        <v>563</v>
      </c>
      <c r="U455">
        <f>VLOOKUP(Auto_Sales_data___Copy[[#This Row],[CUSTOMER_NAME]],$AF$2:$AH$90,2,FALSE)</f>
        <v>23</v>
      </c>
      <c r="V455">
        <f>VLOOKUP(Auto_Sales_data___Copy[[#This Row],[CUSTOMER_NAME]],$AF$2:$AH$90,3,FALSE)</f>
        <v>97203.680000000008</v>
      </c>
      <c r="W455" s="2">
        <f>6-MATCH(Auto_Sales_data___Copy[[#This Row],[DAYS_SINCE_LAST_ORDER]],Table2[R-Cutoff],1)</f>
        <v>5</v>
      </c>
      <c r="X455" s="2">
        <f>MATCH(Auto_Sales_data___Copy[[#This Row],[Total_Orders_Per_Customer]],Table2[F-Cutoff],1)</f>
        <v>2</v>
      </c>
      <c r="Y455" s="2">
        <f>MATCH(Auto_Sales_data___Copy[[#This Row],[Total_Sales_Per_Customer]],Table2[M-Cutoff],1)</f>
        <v>3</v>
      </c>
      <c r="Z455" s="2" t="str">
        <f>Auto_Sales_data___Copy[[#This Row],[R-Score(1-5)]]&amp;Auto_Sales_data___Copy[[#This Row],[F-Score(1-5)]]&amp;Auto_Sales_data___Copy[[#This Row],[M-Score(1-5)]]</f>
        <v>523</v>
      </c>
      <c r="AA455" s="2" t="str" cm="1">
        <f t="array" ref="AA4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5" s="2" t="str">
        <f>VLOOKUP(Auto_Sales_data___Copy[[#This Row],[Segment Name]],Table3[],2,FALSE)</f>
        <v>Brand Awareness &amp; Value Proposition</v>
      </c>
    </row>
    <row r="456" spans="1:28" x14ac:dyDescent="0.25">
      <c r="A456">
        <v>10336</v>
      </c>
      <c r="B456">
        <v>49</v>
      </c>
      <c r="C456">
        <v>152.26</v>
      </c>
      <c r="D456">
        <v>6</v>
      </c>
      <c r="E456">
        <v>7460.74</v>
      </c>
      <c r="F456" s="1">
        <v>43789</v>
      </c>
      <c r="G456" s="2" t="s">
        <v>19</v>
      </c>
      <c r="H456" s="2" t="s">
        <v>183</v>
      </c>
      <c r="I456">
        <v>163</v>
      </c>
      <c r="J456" s="2" t="s">
        <v>631</v>
      </c>
      <c r="K456" s="2" t="s">
        <v>425</v>
      </c>
      <c r="L456" s="2" t="s">
        <v>426</v>
      </c>
      <c r="M456" s="2" t="s">
        <v>427</v>
      </c>
      <c r="N456" s="2" t="s">
        <v>42</v>
      </c>
      <c r="O456" s="2" t="s">
        <v>428</v>
      </c>
      <c r="P456" s="2" t="s">
        <v>36</v>
      </c>
      <c r="Q456" s="2" t="s">
        <v>429</v>
      </c>
      <c r="R456" s="2" t="s">
        <v>430</v>
      </c>
      <c r="S456" s="2" t="s">
        <v>151</v>
      </c>
      <c r="T456">
        <v>839</v>
      </c>
      <c r="U456">
        <f>VLOOKUP(Auto_Sales_data___Copy[[#This Row],[CUSTOMER_NAME]],$AF$2:$AH$90,2,FALSE)</f>
        <v>23</v>
      </c>
      <c r="V456">
        <f>VLOOKUP(Auto_Sales_data___Copy[[#This Row],[CUSTOMER_NAME]],$AF$2:$AH$90,3,FALSE)</f>
        <v>97203.680000000008</v>
      </c>
      <c r="W456" s="2">
        <f>6-MATCH(Auto_Sales_data___Copy[[#This Row],[DAYS_SINCE_LAST_ORDER]],Table2[R-Cutoff],1)</f>
        <v>5</v>
      </c>
      <c r="X456" s="2">
        <f>MATCH(Auto_Sales_data___Copy[[#This Row],[Total_Orders_Per_Customer]],Table2[F-Cutoff],1)</f>
        <v>2</v>
      </c>
      <c r="Y456" s="2">
        <f>MATCH(Auto_Sales_data___Copy[[#This Row],[Total_Sales_Per_Customer]],Table2[M-Cutoff],1)</f>
        <v>3</v>
      </c>
      <c r="Z456" s="2" t="str">
        <f>Auto_Sales_data___Copy[[#This Row],[R-Score(1-5)]]&amp;Auto_Sales_data___Copy[[#This Row],[F-Score(1-5)]]&amp;Auto_Sales_data___Copy[[#This Row],[M-Score(1-5)]]</f>
        <v>523</v>
      </c>
      <c r="AA456" s="2" t="str" cm="1">
        <f t="array" ref="AA4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6" s="2" t="str">
        <f>VLOOKUP(Auto_Sales_data___Copy[[#This Row],[Segment Name]],Table3[],2,FALSE)</f>
        <v>Brand Awareness &amp; Value Proposition</v>
      </c>
    </row>
    <row r="457" spans="1:28" x14ac:dyDescent="0.25">
      <c r="A457">
        <v>10401</v>
      </c>
      <c r="B457">
        <v>42</v>
      </c>
      <c r="C457">
        <v>76.03</v>
      </c>
      <c r="D457">
        <v>3</v>
      </c>
      <c r="E457">
        <v>3193.26</v>
      </c>
      <c r="F457" s="1">
        <v>43924</v>
      </c>
      <c r="G457" s="2" t="s">
        <v>423</v>
      </c>
      <c r="H457" s="2" t="s">
        <v>607</v>
      </c>
      <c r="I457">
        <v>84</v>
      </c>
      <c r="J457" s="2" t="s">
        <v>636</v>
      </c>
      <c r="K457" s="2" t="s">
        <v>95</v>
      </c>
      <c r="L457" s="2" t="s">
        <v>96</v>
      </c>
      <c r="M457" s="2" t="s">
        <v>97</v>
      </c>
      <c r="N457" s="2" t="s">
        <v>98</v>
      </c>
      <c r="O457" s="2" t="s">
        <v>99</v>
      </c>
      <c r="P457" s="2" t="s">
        <v>27</v>
      </c>
      <c r="Q457" s="2" t="s">
        <v>100</v>
      </c>
      <c r="R457" s="2" t="s">
        <v>101</v>
      </c>
      <c r="S457" s="2" t="s">
        <v>46</v>
      </c>
      <c r="T457">
        <v>830</v>
      </c>
      <c r="U457">
        <f>VLOOKUP(Auto_Sales_data___Copy[[#This Row],[CUSTOMER_NAME]],$AF$2:$AH$90,2,FALSE)</f>
        <v>21</v>
      </c>
      <c r="V457">
        <f>VLOOKUP(Auto_Sales_data___Copy[[#This Row],[CUSTOMER_NAME]],$AF$2:$AH$90,3,FALSE)</f>
        <v>83228.189999999973</v>
      </c>
      <c r="W457" s="2">
        <f>6-MATCH(Auto_Sales_data___Copy[[#This Row],[DAYS_SINCE_LAST_ORDER]],Table2[R-Cutoff],1)</f>
        <v>5</v>
      </c>
      <c r="X457" s="2">
        <f>MATCH(Auto_Sales_data___Copy[[#This Row],[Total_Orders_Per_Customer]],Table2[F-Cutoff],1)</f>
        <v>2</v>
      </c>
      <c r="Y457" s="2">
        <f>MATCH(Auto_Sales_data___Copy[[#This Row],[Total_Sales_Per_Customer]],Table2[M-Cutoff],1)</f>
        <v>3</v>
      </c>
      <c r="Z457" s="2" t="str">
        <f>Auto_Sales_data___Copy[[#This Row],[R-Score(1-5)]]&amp;Auto_Sales_data___Copy[[#This Row],[F-Score(1-5)]]&amp;Auto_Sales_data___Copy[[#This Row],[M-Score(1-5)]]</f>
        <v>523</v>
      </c>
      <c r="AA457" s="2" t="str" cm="1">
        <f t="array" ref="AA4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7" s="2" t="str">
        <f>VLOOKUP(Auto_Sales_data___Copy[[#This Row],[Segment Name]],Table3[],2,FALSE)</f>
        <v>Brand Awareness &amp; Value Proposition</v>
      </c>
    </row>
    <row r="458" spans="1:28" x14ac:dyDescent="0.25">
      <c r="A458">
        <v>10405</v>
      </c>
      <c r="B458">
        <v>97</v>
      </c>
      <c r="C458">
        <v>93.28</v>
      </c>
      <c r="D458">
        <v>5</v>
      </c>
      <c r="E458">
        <v>9048.16</v>
      </c>
      <c r="F458" s="1">
        <v>43935</v>
      </c>
      <c r="G458" s="2" t="s">
        <v>19</v>
      </c>
      <c r="H458" s="2" t="s">
        <v>183</v>
      </c>
      <c r="I458">
        <v>115</v>
      </c>
      <c r="J458" s="2" t="s">
        <v>567</v>
      </c>
      <c r="K458" s="2" t="s">
        <v>568</v>
      </c>
      <c r="L458" s="2" t="s">
        <v>569</v>
      </c>
      <c r="M458" s="2" t="s">
        <v>570</v>
      </c>
      <c r="N458" s="2" t="s">
        <v>571</v>
      </c>
      <c r="O458" s="2" t="s">
        <v>572</v>
      </c>
      <c r="P458" s="2" t="s">
        <v>36</v>
      </c>
      <c r="Q458" s="2" t="s">
        <v>573</v>
      </c>
      <c r="R458" s="2" t="s">
        <v>574</v>
      </c>
      <c r="S458" s="2" t="s">
        <v>151</v>
      </c>
      <c r="T458">
        <v>447</v>
      </c>
      <c r="U458">
        <f>VLOOKUP(Auto_Sales_data___Copy[[#This Row],[CUSTOMER_NAME]],$AF$2:$AH$90,2,FALSE)</f>
        <v>19</v>
      </c>
      <c r="V458">
        <f>VLOOKUP(Auto_Sales_data___Copy[[#This Row],[CUSTOMER_NAME]],$AF$2:$AH$90,3,FALSE)</f>
        <v>80438.48</v>
      </c>
      <c r="W458" s="2">
        <f>6-MATCH(Auto_Sales_data___Copy[[#This Row],[DAYS_SINCE_LAST_ORDER]],Table2[R-Cutoff],1)</f>
        <v>5</v>
      </c>
      <c r="X458" s="2">
        <f>MATCH(Auto_Sales_data___Copy[[#This Row],[Total_Orders_Per_Customer]],Table2[F-Cutoff],1)</f>
        <v>2</v>
      </c>
      <c r="Y458" s="2">
        <f>MATCH(Auto_Sales_data___Copy[[#This Row],[Total_Sales_Per_Customer]],Table2[M-Cutoff],1)</f>
        <v>3</v>
      </c>
      <c r="Z458" s="2" t="str">
        <f>Auto_Sales_data___Copy[[#This Row],[R-Score(1-5)]]&amp;Auto_Sales_data___Copy[[#This Row],[F-Score(1-5)]]&amp;Auto_Sales_data___Copy[[#This Row],[M-Score(1-5)]]</f>
        <v>523</v>
      </c>
      <c r="AA458" s="2" t="str" cm="1">
        <f t="array" ref="AA4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8" s="2" t="str">
        <f>VLOOKUP(Auto_Sales_data___Copy[[#This Row],[Segment Name]],Table3[],2,FALSE)</f>
        <v>Brand Awareness &amp; Value Proposition</v>
      </c>
    </row>
    <row r="459" spans="1:28" x14ac:dyDescent="0.25">
      <c r="A459">
        <v>10405</v>
      </c>
      <c r="B459">
        <v>61</v>
      </c>
      <c r="C459">
        <v>73.92</v>
      </c>
      <c r="D459">
        <v>4</v>
      </c>
      <c r="E459">
        <v>4509.12</v>
      </c>
      <c r="F459" s="1">
        <v>43935</v>
      </c>
      <c r="G459" s="2" t="s">
        <v>19</v>
      </c>
      <c r="H459" s="2" t="s">
        <v>183</v>
      </c>
      <c r="I459">
        <v>77</v>
      </c>
      <c r="J459" s="2" t="s">
        <v>629</v>
      </c>
      <c r="K459" s="2" t="s">
        <v>568</v>
      </c>
      <c r="L459" s="2" t="s">
        <v>569</v>
      </c>
      <c r="M459" s="2" t="s">
        <v>570</v>
      </c>
      <c r="N459" s="2" t="s">
        <v>571</v>
      </c>
      <c r="O459" s="2" t="s">
        <v>572</v>
      </c>
      <c r="P459" s="2" t="s">
        <v>36</v>
      </c>
      <c r="Q459" s="2" t="s">
        <v>573</v>
      </c>
      <c r="R459" s="2" t="s">
        <v>574</v>
      </c>
      <c r="S459" s="2" t="s">
        <v>46</v>
      </c>
      <c r="T459">
        <v>644</v>
      </c>
      <c r="U459">
        <f>VLOOKUP(Auto_Sales_data___Copy[[#This Row],[CUSTOMER_NAME]],$AF$2:$AH$90,2,FALSE)</f>
        <v>19</v>
      </c>
      <c r="V459">
        <f>VLOOKUP(Auto_Sales_data___Copy[[#This Row],[CUSTOMER_NAME]],$AF$2:$AH$90,3,FALSE)</f>
        <v>80438.48</v>
      </c>
      <c r="W459" s="2">
        <f>6-MATCH(Auto_Sales_data___Copy[[#This Row],[DAYS_SINCE_LAST_ORDER]],Table2[R-Cutoff],1)</f>
        <v>5</v>
      </c>
      <c r="X459" s="2">
        <f>MATCH(Auto_Sales_data___Copy[[#This Row],[Total_Orders_Per_Customer]],Table2[F-Cutoff],1)</f>
        <v>2</v>
      </c>
      <c r="Y459" s="2">
        <f>MATCH(Auto_Sales_data___Copy[[#This Row],[Total_Sales_Per_Customer]],Table2[M-Cutoff],1)</f>
        <v>3</v>
      </c>
      <c r="Z459" s="2" t="str">
        <f>Auto_Sales_data___Copy[[#This Row],[R-Score(1-5)]]&amp;Auto_Sales_data___Copy[[#This Row],[F-Score(1-5)]]&amp;Auto_Sales_data___Copy[[#This Row],[M-Score(1-5)]]</f>
        <v>523</v>
      </c>
      <c r="AA459" s="2" t="str" cm="1">
        <f t="array" ref="AA4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9" s="2" t="str">
        <f>VLOOKUP(Auto_Sales_data___Copy[[#This Row],[Segment Name]],Table3[],2,FALSE)</f>
        <v>Brand Awareness &amp; Value Proposition</v>
      </c>
    </row>
    <row r="460" spans="1:28" x14ac:dyDescent="0.25">
      <c r="A460">
        <v>10112</v>
      </c>
      <c r="B460">
        <v>29</v>
      </c>
      <c r="C460">
        <v>248.59</v>
      </c>
      <c r="D460">
        <v>1</v>
      </c>
      <c r="E460">
        <v>7209.11</v>
      </c>
      <c r="F460" s="1">
        <v>43183</v>
      </c>
      <c r="G460" s="2" t="s">
        <v>19</v>
      </c>
      <c r="H460" s="2" t="s">
        <v>183</v>
      </c>
      <c r="I460">
        <v>214</v>
      </c>
      <c r="J460" s="2" t="s">
        <v>184</v>
      </c>
      <c r="K460" s="2" t="s">
        <v>185</v>
      </c>
      <c r="L460" s="2" t="s">
        <v>186</v>
      </c>
      <c r="M460" s="2" t="s">
        <v>187</v>
      </c>
      <c r="N460" s="2" t="s">
        <v>188</v>
      </c>
      <c r="O460" s="2" t="s">
        <v>189</v>
      </c>
      <c r="P460" s="2" t="s">
        <v>190</v>
      </c>
      <c r="Q460" s="2" t="s">
        <v>191</v>
      </c>
      <c r="R460" s="2" t="s">
        <v>192</v>
      </c>
      <c r="S460" s="2" t="s">
        <v>151</v>
      </c>
      <c r="T460">
        <v>825</v>
      </c>
      <c r="U460">
        <f>VLOOKUP(Auto_Sales_data___Copy[[#This Row],[CUSTOMER_NAME]],$AF$2:$AH$90,2,FALSE)</f>
        <v>19</v>
      </c>
      <c r="V460">
        <f>VLOOKUP(Auto_Sales_data___Copy[[#This Row],[CUSTOMER_NAME]],$AF$2:$AH$90,3,FALSE)</f>
        <v>75754.87999999999</v>
      </c>
      <c r="W460" s="2">
        <f>6-MATCH(Auto_Sales_data___Copy[[#This Row],[DAYS_SINCE_LAST_ORDER]],Table2[R-Cutoff],1)</f>
        <v>5</v>
      </c>
      <c r="X460" s="2">
        <f>MATCH(Auto_Sales_data___Copy[[#This Row],[Total_Orders_Per_Customer]],Table2[F-Cutoff],1)</f>
        <v>2</v>
      </c>
      <c r="Y460" s="2">
        <f>MATCH(Auto_Sales_data___Copy[[#This Row],[Total_Sales_Per_Customer]],Table2[M-Cutoff],1)</f>
        <v>2</v>
      </c>
      <c r="Z460" s="2" t="str">
        <f>Auto_Sales_data___Copy[[#This Row],[R-Score(1-5)]]&amp;Auto_Sales_data___Copy[[#This Row],[F-Score(1-5)]]&amp;Auto_Sales_data___Copy[[#This Row],[M-Score(1-5)]]</f>
        <v>522</v>
      </c>
      <c r="AA460" s="2" t="str" cm="1">
        <f t="array" ref="AA4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0" s="2" t="str">
        <f>VLOOKUP(Auto_Sales_data___Copy[[#This Row],[Segment Name]],Table3[],2,FALSE)</f>
        <v>Brand Awareness &amp; Value Proposition</v>
      </c>
    </row>
    <row r="461" spans="1:28" x14ac:dyDescent="0.25">
      <c r="A461">
        <v>10134</v>
      </c>
      <c r="B461">
        <v>41</v>
      </c>
      <c r="C461">
        <v>94.74</v>
      </c>
      <c r="D461">
        <v>2</v>
      </c>
      <c r="E461">
        <v>3884.34</v>
      </c>
      <c r="F461" s="1">
        <v>43282</v>
      </c>
      <c r="G461" s="2" t="s">
        <v>19</v>
      </c>
      <c r="H461" s="2" t="s">
        <v>20</v>
      </c>
      <c r="I461">
        <v>95</v>
      </c>
      <c r="J461" s="2" t="s">
        <v>21</v>
      </c>
      <c r="K461" s="2" t="s">
        <v>39</v>
      </c>
      <c r="L461" s="2" t="s">
        <v>40</v>
      </c>
      <c r="M461" s="2" t="s">
        <v>41</v>
      </c>
      <c r="N461" s="2" t="s">
        <v>42</v>
      </c>
      <c r="O461" s="2" t="s">
        <v>43</v>
      </c>
      <c r="P461" s="2" t="s">
        <v>36</v>
      </c>
      <c r="Q461" s="2" t="s">
        <v>44</v>
      </c>
      <c r="R461" s="2" t="s">
        <v>45</v>
      </c>
      <c r="S461" s="2" t="s">
        <v>46</v>
      </c>
      <c r="T461">
        <v>703</v>
      </c>
      <c r="U461">
        <f>VLOOKUP(Auto_Sales_data___Copy[[#This Row],[CUSTOMER_NAME]],$AF$2:$AH$90,2,FALSE)</f>
        <v>20</v>
      </c>
      <c r="V461">
        <f>VLOOKUP(Auto_Sales_data___Copy[[#This Row],[CUSTOMER_NAME]],$AF$2:$AH$90,3,FALSE)</f>
        <v>78570.34</v>
      </c>
      <c r="W461" s="2">
        <f>6-MATCH(Auto_Sales_data___Copy[[#This Row],[DAYS_SINCE_LAST_ORDER]],Table2[R-Cutoff],1)</f>
        <v>5</v>
      </c>
      <c r="X461" s="2">
        <f>MATCH(Auto_Sales_data___Copy[[#This Row],[Total_Orders_Per_Customer]],Table2[F-Cutoff],1)</f>
        <v>2</v>
      </c>
      <c r="Y461" s="2">
        <f>MATCH(Auto_Sales_data___Copy[[#This Row],[Total_Sales_Per_Customer]],Table2[M-Cutoff],1)</f>
        <v>2</v>
      </c>
      <c r="Z461" s="2" t="str">
        <f>Auto_Sales_data___Copy[[#This Row],[R-Score(1-5)]]&amp;Auto_Sales_data___Copy[[#This Row],[F-Score(1-5)]]&amp;Auto_Sales_data___Copy[[#This Row],[M-Score(1-5)]]</f>
        <v>522</v>
      </c>
      <c r="AA461" s="2" t="str" cm="1">
        <f t="array" ref="AA4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1" s="2" t="str">
        <f>VLOOKUP(Auto_Sales_data___Copy[[#This Row],[Segment Name]],Table3[],2,FALSE)</f>
        <v>Brand Awareness &amp; Value Proposition</v>
      </c>
    </row>
    <row r="462" spans="1:28" x14ac:dyDescent="0.25">
      <c r="A462">
        <v>10134</v>
      </c>
      <c r="B462">
        <v>27</v>
      </c>
      <c r="C462">
        <v>122.51</v>
      </c>
      <c r="D462">
        <v>5</v>
      </c>
      <c r="E462">
        <v>3307.77</v>
      </c>
      <c r="F462" s="1">
        <v>43282</v>
      </c>
      <c r="G462" s="2" t="s">
        <v>19</v>
      </c>
      <c r="H462" s="2" t="s">
        <v>20</v>
      </c>
      <c r="I462">
        <v>118</v>
      </c>
      <c r="J462" s="2" t="s">
        <v>315</v>
      </c>
      <c r="K462" s="2" t="s">
        <v>39</v>
      </c>
      <c r="L462" s="2" t="s">
        <v>40</v>
      </c>
      <c r="M462" s="2" t="s">
        <v>41</v>
      </c>
      <c r="N462" s="2" t="s">
        <v>42</v>
      </c>
      <c r="O462" s="2" t="s">
        <v>43</v>
      </c>
      <c r="P462" s="2" t="s">
        <v>36</v>
      </c>
      <c r="Q462" s="2" t="s">
        <v>44</v>
      </c>
      <c r="R462" s="2" t="s">
        <v>45</v>
      </c>
      <c r="S462" s="2" t="s">
        <v>46</v>
      </c>
      <c r="T462">
        <v>753</v>
      </c>
      <c r="U462">
        <f>VLOOKUP(Auto_Sales_data___Copy[[#This Row],[CUSTOMER_NAME]],$AF$2:$AH$90,2,FALSE)</f>
        <v>20</v>
      </c>
      <c r="V462">
        <f>VLOOKUP(Auto_Sales_data___Copy[[#This Row],[CUSTOMER_NAME]],$AF$2:$AH$90,3,FALSE)</f>
        <v>78570.34</v>
      </c>
      <c r="W462" s="2">
        <f>6-MATCH(Auto_Sales_data___Copy[[#This Row],[DAYS_SINCE_LAST_ORDER]],Table2[R-Cutoff],1)</f>
        <v>5</v>
      </c>
      <c r="X462" s="2">
        <f>MATCH(Auto_Sales_data___Copy[[#This Row],[Total_Orders_Per_Customer]],Table2[F-Cutoff],1)</f>
        <v>2</v>
      </c>
      <c r="Y462" s="2">
        <f>MATCH(Auto_Sales_data___Copy[[#This Row],[Total_Sales_Per_Customer]],Table2[M-Cutoff],1)</f>
        <v>2</v>
      </c>
      <c r="Z462" s="2" t="str">
        <f>Auto_Sales_data___Copy[[#This Row],[R-Score(1-5)]]&amp;Auto_Sales_data___Copy[[#This Row],[F-Score(1-5)]]&amp;Auto_Sales_data___Copy[[#This Row],[M-Score(1-5)]]</f>
        <v>522</v>
      </c>
      <c r="AA462" s="2" t="str" cm="1">
        <f t="array" ref="AA4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2" s="2" t="str">
        <f>VLOOKUP(Auto_Sales_data___Copy[[#This Row],[Segment Name]],Table3[],2,FALSE)</f>
        <v>Brand Awareness &amp; Value Proposition</v>
      </c>
    </row>
    <row r="463" spans="1:28" x14ac:dyDescent="0.25">
      <c r="A463">
        <v>10134</v>
      </c>
      <c r="B463">
        <v>31</v>
      </c>
      <c r="C463">
        <v>226.58</v>
      </c>
      <c r="D463">
        <v>4</v>
      </c>
      <c r="E463">
        <v>7023.98</v>
      </c>
      <c r="F463" s="1">
        <v>43282</v>
      </c>
      <c r="G463" s="2" t="s">
        <v>19</v>
      </c>
      <c r="H463" s="2" t="s">
        <v>20</v>
      </c>
      <c r="I463">
        <v>193</v>
      </c>
      <c r="J463" s="2" t="s">
        <v>337</v>
      </c>
      <c r="K463" s="2" t="s">
        <v>39</v>
      </c>
      <c r="L463" s="2" t="s">
        <v>40</v>
      </c>
      <c r="M463" s="2" t="s">
        <v>41</v>
      </c>
      <c r="N463" s="2" t="s">
        <v>42</v>
      </c>
      <c r="O463" s="2" t="s">
        <v>43</v>
      </c>
      <c r="P463" s="2" t="s">
        <v>36</v>
      </c>
      <c r="Q463" s="2" t="s">
        <v>44</v>
      </c>
      <c r="R463" s="2" t="s">
        <v>45</v>
      </c>
      <c r="S463" s="2" t="s">
        <v>151</v>
      </c>
      <c r="T463">
        <v>777</v>
      </c>
      <c r="U463">
        <f>VLOOKUP(Auto_Sales_data___Copy[[#This Row],[CUSTOMER_NAME]],$AF$2:$AH$90,2,FALSE)</f>
        <v>20</v>
      </c>
      <c r="V463">
        <f>VLOOKUP(Auto_Sales_data___Copy[[#This Row],[CUSTOMER_NAME]],$AF$2:$AH$90,3,FALSE)</f>
        <v>78570.34</v>
      </c>
      <c r="W463" s="2">
        <f>6-MATCH(Auto_Sales_data___Copy[[#This Row],[DAYS_SINCE_LAST_ORDER]],Table2[R-Cutoff],1)</f>
        <v>5</v>
      </c>
      <c r="X463" s="2">
        <f>MATCH(Auto_Sales_data___Copy[[#This Row],[Total_Orders_Per_Customer]],Table2[F-Cutoff],1)</f>
        <v>2</v>
      </c>
      <c r="Y463" s="2">
        <f>MATCH(Auto_Sales_data___Copy[[#This Row],[Total_Sales_Per_Customer]],Table2[M-Cutoff],1)</f>
        <v>2</v>
      </c>
      <c r="Z463" s="2" t="str">
        <f>Auto_Sales_data___Copy[[#This Row],[R-Score(1-5)]]&amp;Auto_Sales_data___Copy[[#This Row],[F-Score(1-5)]]&amp;Auto_Sales_data___Copy[[#This Row],[M-Score(1-5)]]</f>
        <v>522</v>
      </c>
      <c r="AA463" s="2" t="str" cm="1">
        <f t="array" ref="AA4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3" s="2" t="str">
        <f>VLOOKUP(Auto_Sales_data___Copy[[#This Row],[Segment Name]],Table3[],2,FALSE)</f>
        <v>Brand Awareness &amp; Value Proposition</v>
      </c>
    </row>
    <row r="464" spans="1:28" x14ac:dyDescent="0.25">
      <c r="A464">
        <v>10134</v>
      </c>
      <c r="B464">
        <v>20</v>
      </c>
      <c r="C464">
        <v>135.56</v>
      </c>
      <c r="D464">
        <v>1</v>
      </c>
      <c r="E464">
        <v>2711.2</v>
      </c>
      <c r="F464" s="1">
        <v>43282</v>
      </c>
      <c r="G464" s="2" t="s">
        <v>19</v>
      </c>
      <c r="H464" s="2" t="s">
        <v>20</v>
      </c>
      <c r="I464">
        <v>150</v>
      </c>
      <c r="J464" s="2" t="s">
        <v>539</v>
      </c>
      <c r="K464" s="2" t="s">
        <v>39</v>
      </c>
      <c r="L464" s="2" t="s">
        <v>40</v>
      </c>
      <c r="M464" s="2" t="s">
        <v>41</v>
      </c>
      <c r="N464" s="2" t="s">
        <v>42</v>
      </c>
      <c r="O464" s="2" t="s">
        <v>43</v>
      </c>
      <c r="P464" s="2" t="s">
        <v>36</v>
      </c>
      <c r="Q464" s="2" t="s">
        <v>44</v>
      </c>
      <c r="R464" s="2" t="s">
        <v>45</v>
      </c>
      <c r="S464" s="2" t="s">
        <v>30</v>
      </c>
      <c r="T464">
        <v>929</v>
      </c>
      <c r="U464">
        <f>VLOOKUP(Auto_Sales_data___Copy[[#This Row],[CUSTOMER_NAME]],$AF$2:$AH$90,2,FALSE)</f>
        <v>20</v>
      </c>
      <c r="V464">
        <f>VLOOKUP(Auto_Sales_data___Copy[[#This Row],[CUSTOMER_NAME]],$AF$2:$AH$90,3,FALSE)</f>
        <v>78570.34</v>
      </c>
      <c r="W464" s="2">
        <f>6-MATCH(Auto_Sales_data___Copy[[#This Row],[DAYS_SINCE_LAST_ORDER]],Table2[R-Cutoff],1)</f>
        <v>5</v>
      </c>
      <c r="X464" s="2">
        <f>MATCH(Auto_Sales_data___Copy[[#This Row],[Total_Orders_Per_Customer]],Table2[F-Cutoff],1)</f>
        <v>2</v>
      </c>
      <c r="Y464" s="2">
        <f>MATCH(Auto_Sales_data___Copy[[#This Row],[Total_Sales_Per_Customer]],Table2[M-Cutoff],1)</f>
        <v>2</v>
      </c>
      <c r="Z464" s="2" t="str">
        <f>Auto_Sales_data___Copy[[#This Row],[R-Score(1-5)]]&amp;Auto_Sales_data___Copy[[#This Row],[F-Score(1-5)]]&amp;Auto_Sales_data___Copy[[#This Row],[M-Score(1-5)]]</f>
        <v>522</v>
      </c>
      <c r="AA464" s="2" t="str" cm="1">
        <f t="array" ref="AA4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4" s="2" t="str">
        <f>VLOOKUP(Auto_Sales_data___Copy[[#This Row],[Segment Name]],Table3[],2,FALSE)</f>
        <v>Brand Awareness &amp; Value Proposition</v>
      </c>
    </row>
    <row r="465" spans="1:28" x14ac:dyDescent="0.25">
      <c r="A465">
        <v>10163</v>
      </c>
      <c r="B465">
        <v>21</v>
      </c>
      <c r="C465">
        <v>231.44</v>
      </c>
      <c r="D465">
        <v>1</v>
      </c>
      <c r="E465">
        <v>4860.24</v>
      </c>
      <c r="F465" s="1">
        <v>43393</v>
      </c>
      <c r="G465" s="2" t="s">
        <v>19</v>
      </c>
      <c r="H465" s="2" t="s">
        <v>183</v>
      </c>
      <c r="I465">
        <v>214</v>
      </c>
      <c r="J465" s="2" t="s">
        <v>184</v>
      </c>
      <c r="K465" s="2" t="s">
        <v>206</v>
      </c>
      <c r="L465" s="2" t="s">
        <v>207</v>
      </c>
      <c r="M465" s="2" t="s">
        <v>208</v>
      </c>
      <c r="N465" s="2" t="s">
        <v>25</v>
      </c>
      <c r="O465" s="2" t="s">
        <v>26</v>
      </c>
      <c r="P465" s="2" t="s">
        <v>27</v>
      </c>
      <c r="Q465" s="2" t="s">
        <v>120</v>
      </c>
      <c r="R465" s="2" t="s">
        <v>209</v>
      </c>
      <c r="S465" s="2" t="s">
        <v>46</v>
      </c>
      <c r="T465">
        <v>619</v>
      </c>
      <c r="U465">
        <f>VLOOKUP(Auto_Sales_data___Copy[[#This Row],[CUSTOMER_NAME]],$AF$2:$AH$90,2,FALSE)</f>
        <v>20</v>
      </c>
      <c r="V465">
        <f>VLOOKUP(Auto_Sales_data___Copy[[#This Row],[CUSTOMER_NAME]],$AF$2:$AH$90,3,FALSE)</f>
        <v>77795.200000000012</v>
      </c>
      <c r="W465" s="2">
        <f>6-MATCH(Auto_Sales_data___Copy[[#This Row],[DAYS_SINCE_LAST_ORDER]],Table2[R-Cutoff],1)</f>
        <v>5</v>
      </c>
      <c r="X465" s="2">
        <f>MATCH(Auto_Sales_data___Copy[[#This Row],[Total_Orders_Per_Customer]],Table2[F-Cutoff],1)</f>
        <v>2</v>
      </c>
      <c r="Y465" s="2">
        <f>MATCH(Auto_Sales_data___Copy[[#This Row],[Total_Sales_Per_Customer]],Table2[M-Cutoff],1)</f>
        <v>2</v>
      </c>
      <c r="Z465" s="2" t="str">
        <f>Auto_Sales_data___Copy[[#This Row],[R-Score(1-5)]]&amp;Auto_Sales_data___Copy[[#This Row],[F-Score(1-5)]]&amp;Auto_Sales_data___Copy[[#This Row],[M-Score(1-5)]]</f>
        <v>522</v>
      </c>
      <c r="AA465" s="2" t="str" cm="1">
        <f t="array" ref="AA4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5" s="2" t="str">
        <f>VLOOKUP(Auto_Sales_data___Copy[[#This Row],[Segment Name]],Table3[],2,FALSE)</f>
        <v>Brand Awareness &amp; Value Proposition</v>
      </c>
    </row>
    <row r="466" spans="1:28" x14ac:dyDescent="0.25">
      <c r="A466">
        <v>10178</v>
      </c>
      <c r="B466">
        <v>24</v>
      </c>
      <c r="C466">
        <v>145.52000000000001</v>
      </c>
      <c r="D466">
        <v>12</v>
      </c>
      <c r="E466">
        <v>3492.48</v>
      </c>
      <c r="F466" s="1">
        <v>43412</v>
      </c>
      <c r="G466" s="2" t="s">
        <v>19</v>
      </c>
      <c r="H466" s="2" t="s">
        <v>183</v>
      </c>
      <c r="I466">
        <v>136</v>
      </c>
      <c r="J466" s="2" t="s">
        <v>338</v>
      </c>
      <c r="K466" s="2" t="s">
        <v>359</v>
      </c>
      <c r="L466" s="2" t="s">
        <v>360</v>
      </c>
      <c r="M466" s="2" t="s">
        <v>361</v>
      </c>
      <c r="N466" s="2" t="s">
        <v>362</v>
      </c>
      <c r="O466" s="2" t="s">
        <v>363</v>
      </c>
      <c r="P466" s="2" t="s">
        <v>36</v>
      </c>
      <c r="Q466" s="2" t="s">
        <v>364</v>
      </c>
      <c r="R466" s="2" t="s">
        <v>365</v>
      </c>
      <c r="S466" s="2" t="s">
        <v>46</v>
      </c>
      <c r="T466">
        <v>675</v>
      </c>
      <c r="U466">
        <f>VLOOKUP(Auto_Sales_data___Copy[[#This Row],[CUSTOMER_NAME]],$AF$2:$AH$90,2,FALSE)</f>
        <v>20</v>
      </c>
      <c r="V466">
        <f>VLOOKUP(Auto_Sales_data___Copy[[#This Row],[CUSTOMER_NAME]],$AF$2:$AH$90,3,FALSE)</f>
        <v>70488.439999999988</v>
      </c>
      <c r="W466" s="2">
        <f>6-MATCH(Auto_Sales_data___Copy[[#This Row],[DAYS_SINCE_LAST_ORDER]],Table2[R-Cutoff],1)</f>
        <v>5</v>
      </c>
      <c r="X466" s="2">
        <f>MATCH(Auto_Sales_data___Copy[[#This Row],[Total_Orders_Per_Customer]],Table2[F-Cutoff],1)</f>
        <v>2</v>
      </c>
      <c r="Y466" s="2">
        <f>MATCH(Auto_Sales_data___Copy[[#This Row],[Total_Sales_Per_Customer]],Table2[M-Cutoff],1)</f>
        <v>2</v>
      </c>
      <c r="Z466" s="2" t="str">
        <f>Auto_Sales_data___Copy[[#This Row],[R-Score(1-5)]]&amp;Auto_Sales_data___Copy[[#This Row],[F-Score(1-5)]]&amp;Auto_Sales_data___Copy[[#This Row],[M-Score(1-5)]]</f>
        <v>522</v>
      </c>
      <c r="AA466" s="2" t="str" cm="1">
        <f t="array" ref="AA4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6" s="2" t="str">
        <f>VLOOKUP(Auto_Sales_data___Copy[[#This Row],[Segment Name]],Table3[],2,FALSE)</f>
        <v>Brand Awareness &amp; Value Proposition</v>
      </c>
    </row>
    <row r="467" spans="1:28" x14ac:dyDescent="0.25">
      <c r="A467">
        <v>10180</v>
      </c>
      <c r="B467">
        <v>29</v>
      </c>
      <c r="C467">
        <v>86.13</v>
      </c>
      <c r="D467">
        <v>9</v>
      </c>
      <c r="E467">
        <v>2497.77</v>
      </c>
      <c r="F467" s="1">
        <v>43415</v>
      </c>
      <c r="G467" s="2" t="s">
        <v>19</v>
      </c>
      <c r="H467" s="2" t="s">
        <v>20</v>
      </c>
      <c r="I467">
        <v>95</v>
      </c>
      <c r="J467" s="2" t="s">
        <v>21</v>
      </c>
      <c r="K467" s="2" t="s">
        <v>61</v>
      </c>
      <c r="L467" s="2" t="s">
        <v>62</v>
      </c>
      <c r="M467" s="2" t="s">
        <v>63</v>
      </c>
      <c r="N467" s="2" t="s">
        <v>64</v>
      </c>
      <c r="O467" s="2" t="s">
        <v>65</v>
      </c>
      <c r="P467" s="2" t="s">
        <v>36</v>
      </c>
      <c r="Q467" s="2" t="s">
        <v>66</v>
      </c>
      <c r="R467" s="2" t="s">
        <v>67</v>
      </c>
      <c r="S467" s="2" t="s">
        <v>30</v>
      </c>
      <c r="T467">
        <v>573</v>
      </c>
      <c r="U467">
        <f>VLOOKUP(Auto_Sales_data___Copy[[#This Row],[CUSTOMER_NAME]],$AF$2:$AH$90,2,FALSE)</f>
        <v>20</v>
      </c>
      <c r="V467">
        <f>VLOOKUP(Auto_Sales_data___Copy[[#This Row],[CUSTOMER_NAME]],$AF$2:$AH$90,3,FALSE)</f>
        <v>69052.41</v>
      </c>
      <c r="W467" s="2">
        <f>6-MATCH(Auto_Sales_data___Copy[[#This Row],[DAYS_SINCE_LAST_ORDER]],Table2[R-Cutoff],1)</f>
        <v>5</v>
      </c>
      <c r="X467" s="2">
        <f>MATCH(Auto_Sales_data___Copy[[#This Row],[Total_Orders_Per_Customer]],Table2[F-Cutoff],1)</f>
        <v>2</v>
      </c>
      <c r="Y467" s="2">
        <f>MATCH(Auto_Sales_data___Copy[[#This Row],[Total_Sales_Per_Customer]],Table2[M-Cutoff],1)</f>
        <v>2</v>
      </c>
      <c r="Z467" s="2" t="str">
        <f>Auto_Sales_data___Copy[[#This Row],[R-Score(1-5)]]&amp;Auto_Sales_data___Copy[[#This Row],[F-Score(1-5)]]&amp;Auto_Sales_data___Copy[[#This Row],[M-Score(1-5)]]</f>
        <v>522</v>
      </c>
      <c r="AA467" s="2" t="str" cm="1">
        <f t="array" ref="AA4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7" s="2" t="str">
        <f>VLOOKUP(Auto_Sales_data___Copy[[#This Row],[Segment Name]],Table3[],2,FALSE)</f>
        <v>Brand Awareness &amp; Value Proposition</v>
      </c>
    </row>
    <row r="468" spans="1:28" x14ac:dyDescent="0.25">
      <c r="A468">
        <v>10180</v>
      </c>
      <c r="B468">
        <v>42</v>
      </c>
      <c r="C468">
        <v>111.8</v>
      </c>
      <c r="D468">
        <v>12</v>
      </c>
      <c r="E468">
        <v>4695.6000000000004</v>
      </c>
      <c r="F468" s="1">
        <v>43415</v>
      </c>
      <c r="G468" s="2" t="s">
        <v>19</v>
      </c>
      <c r="H468" s="2" t="s">
        <v>20</v>
      </c>
      <c r="I468">
        <v>118</v>
      </c>
      <c r="J468" s="2" t="s">
        <v>315</v>
      </c>
      <c r="K468" s="2" t="s">
        <v>61</v>
      </c>
      <c r="L468" s="2" t="s">
        <v>62</v>
      </c>
      <c r="M468" s="2" t="s">
        <v>63</v>
      </c>
      <c r="N468" s="2" t="s">
        <v>64</v>
      </c>
      <c r="O468" s="2" t="s">
        <v>65</v>
      </c>
      <c r="P468" s="2" t="s">
        <v>36</v>
      </c>
      <c r="Q468" s="2" t="s">
        <v>66</v>
      </c>
      <c r="R468" s="2" t="s">
        <v>67</v>
      </c>
      <c r="S468" s="2" t="s">
        <v>46</v>
      </c>
      <c r="T468">
        <v>623</v>
      </c>
      <c r="U468">
        <f>VLOOKUP(Auto_Sales_data___Copy[[#This Row],[CUSTOMER_NAME]],$AF$2:$AH$90,2,FALSE)</f>
        <v>20</v>
      </c>
      <c r="V468">
        <f>VLOOKUP(Auto_Sales_data___Copy[[#This Row],[CUSTOMER_NAME]],$AF$2:$AH$90,3,FALSE)</f>
        <v>69052.41</v>
      </c>
      <c r="W468" s="2">
        <f>6-MATCH(Auto_Sales_data___Copy[[#This Row],[DAYS_SINCE_LAST_ORDER]],Table2[R-Cutoff],1)</f>
        <v>5</v>
      </c>
      <c r="X468" s="2">
        <f>MATCH(Auto_Sales_data___Copy[[#This Row],[Total_Orders_Per_Customer]],Table2[F-Cutoff],1)</f>
        <v>2</v>
      </c>
      <c r="Y468" s="2">
        <f>MATCH(Auto_Sales_data___Copy[[#This Row],[Total_Sales_Per_Customer]],Table2[M-Cutoff],1)</f>
        <v>2</v>
      </c>
      <c r="Z468" s="2" t="str">
        <f>Auto_Sales_data___Copy[[#This Row],[R-Score(1-5)]]&amp;Auto_Sales_data___Copy[[#This Row],[F-Score(1-5)]]&amp;Auto_Sales_data___Copy[[#This Row],[M-Score(1-5)]]</f>
        <v>522</v>
      </c>
      <c r="AA468" s="2" t="str" cm="1">
        <f t="array" ref="AA4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8" s="2" t="str">
        <f>VLOOKUP(Auto_Sales_data___Copy[[#This Row],[Segment Name]],Table3[],2,FALSE)</f>
        <v>Brand Awareness &amp; Value Proposition</v>
      </c>
    </row>
    <row r="469" spans="1:28" x14ac:dyDescent="0.25">
      <c r="A469">
        <v>10180</v>
      </c>
      <c r="B469">
        <v>41</v>
      </c>
      <c r="C469">
        <v>216.9</v>
      </c>
      <c r="D469">
        <v>11</v>
      </c>
      <c r="E469">
        <v>8892.9</v>
      </c>
      <c r="F469" s="1">
        <v>43415</v>
      </c>
      <c r="G469" s="2" t="s">
        <v>19</v>
      </c>
      <c r="H469" s="2" t="s">
        <v>20</v>
      </c>
      <c r="I469">
        <v>193</v>
      </c>
      <c r="J469" s="2" t="s">
        <v>337</v>
      </c>
      <c r="K469" s="2" t="s">
        <v>61</v>
      </c>
      <c r="L469" s="2" t="s">
        <v>62</v>
      </c>
      <c r="M469" s="2" t="s">
        <v>63</v>
      </c>
      <c r="N469" s="2" t="s">
        <v>64</v>
      </c>
      <c r="O469" s="2" t="s">
        <v>65</v>
      </c>
      <c r="P469" s="2" t="s">
        <v>36</v>
      </c>
      <c r="Q469" s="2" t="s">
        <v>66</v>
      </c>
      <c r="R469" s="2" t="s">
        <v>67</v>
      </c>
      <c r="S469" s="2" t="s">
        <v>151</v>
      </c>
      <c r="T469">
        <v>647</v>
      </c>
      <c r="U469">
        <f>VLOOKUP(Auto_Sales_data___Copy[[#This Row],[CUSTOMER_NAME]],$AF$2:$AH$90,2,FALSE)</f>
        <v>20</v>
      </c>
      <c r="V469">
        <f>VLOOKUP(Auto_Sales_data___Copy[[#This Row],[CUSTOMER_NAME]],$AF$2:$AH$90,3,FALSE)</f>
        <v>69052.41</v>
      </c>
      <c r="W469" s="2">
        <f>6-MATCH(Auto_Sales_data___Copy[[#This Row],[DAYS_SINCE_LAST_ORDER]],Table2[R-Cutoff],1)</f>
        <v>5</v>
      </c>
      <c r="X469" s="2">
        <f>MATCH(Auto_Sales_data___Copy[[#This Row],[Total_Orders_Per_Customer]],Table2[F-Cutoff],1)</f>
        <v>2</v>
      </c>
      <c r="Y469" s="2">
        <f>MATCH(Auto_Sales_data___Copy[[#This Row],[Total_Sales_Per_Customer]],Table2[M-Cutoff],1)</f>
        <v>2</v>
      </c>
      <c r="Z469" s="2" t="str">
        <f>Auto_Sales_data___Copy[[#This Row],[R-Score(1-5)]]&amp;Auto_Sales_data___Copy[[#This Row],[F-Score(1-5)]]&amp;Auto_Sales_data___Copy[[#This Row],[M-Score(1-5)]]</f>
        <v>522</v>
      </c>
      <c r="AA469" s="2" t="str" cm="1">
        <f t="array" ref="AA4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9" s="2" t="str">
        <f>VLOOKUP(Auto_Sales_data___Copy[[#This Row],[Segment Name]],Table3[],2,FALSE)</f>
        <v>Brand Awareness &amp; Value Proposition</v>
      </c>
    </row>
    <row r="470" spans="1:28" x14ac:dyDescent="0.25">
      <c r="A470">
        <v>10180</v>
      </c>
      <c r="B470">
        <v>40</v>
      </c>
      <c r="C470">
        <v>168.69</v>
      </c>
      <c r="D470">
        <v>8</v>
      </c>
      <c r="E470">
        <v>6747.6</v>
      </c>
      <c r="F470" s="1">
        <v>43415</v>
      </c>
      <c r="G470" s="2" t="s">
        <v>19</v>
      </c>
      <c r="H470" s="2" t="s">
        <v>20</v>
      </c>
      <c r="I470">
        <v>150</v>
      </c>
      <c r="J470" s="2" t="s">
        <v>539</v>
      </c>
      <c r="K470" s="2" t="s">
        <v>61</v>
      </c>
      <c r="L470" s="2" t="s">
        <v>62</v>
      </c>
      <c r="M470" s="2" t="s">
        <v>63</v>
      </c>
      <c r="N470" s="2" t="s">
        <v>64</v>
      </c>
      <c r="O470" s="2" t="s">
        <v>65</v>
      </c>
      <c r="P470" s="2" t="s">
        <v>36</v>
      </c>
      <c r="Q470" s="2" t="s">
        <v>66</v>
      </c>
      <c r="R470" s="2" t="s">
        <v>67</v>
      </c>
      <c r="S470" s="2" t="s">
        <v>46</v>
      </c>
      <c r="T470">
        <v>799</v>
      </c>
      <c r="U470">
        <f>VLOOKUP(Auto_Sales_data___Copy[[#This Row],[CUSTOMER_NAME]],$AF$2:$AH$90,2,FALSE)</f>
        <v>20</v>
      </c>
      <c r="V470">
        <f>VLOOKUP(Auto_Sales_data___Copy[[#This Row],[CUSTOMER_NAME]],$AF$2:$AH$90,3,FALSE)</f>
        <v>69052.41</v>
      </c>
      <c r="W470" s="2">
        <f>6-MATCH(Auto_Sales_data___Copy[[#This Row],[DAYS_SINCE_LAST_ORDER]],Table2[R-Cutoff],1)</f>
        <v>5</v>
      </c>
      <c r="X470" s="2">
        <f>MATCH(Auto_Sales_data___Copy[[#This Row],[Total_Orders_Per_Customer]],Table2[F-Cutoff],1)</f>
        <v>2</v>
      </c>
      <c r="Y470" s="2">
        <f>MATCH(Auto_Sales_data___Copy[[#This Row],[Total_Sales_Per_Customer]],Table2[M-Cutoff],1)</f>
        <v>2</v>
      </c>
      <c r="Z470" s="2" t="str">
        <f>Auto_Sales_data___Copy[[#This Row],[R-Score(1-5)]]&amp;Auto_Sales_data___Copy[[#This Row],[F-Score(1-5)]]&amp;Auto_Sales_data___Copy[[#This Row],[M-Score(1-5)]]</f>
        <v>522</v>
      </c>
      <c r="AA470" s="2" t="str" cm="1">
        <f t="array" ref="AA4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0" s="2" t="str">
        <f>VLOOKUP(Auto_Sales_data___Copy[[#This Row],[Segment Name]],Table3[],2,FALSE)</f>
        <v>Brand Awareness &amp; Value Proposition</v>
      </c>
    </row>
    <row r="471" spans="1:28" x14ac:dyDescent="0.25">
      <c r="A471">
        <v>10183</v>
      </c>
      <c r="B471">
        <v>23</v>
      </c>
      <c r="C471">
        <v>233.59</v>
      </c>
      <c r="D471">
        <v>8</v>
      </c>
      <c r="E471">
        <v>5372.57</v>
      </c>
      <c r="F471" s="1">
        <v>43417</v>
      </c>
      <c r="G471" s="2" t="s">
        <v>19</v>
      </c>
      <c r="H471" s="2" t="s">
        <v>183</v>
      </c>
      <c r="I471">
        <v>214</v>
      </c>
      <c r="J471" s="2" t="s">
        <v>184</v>
      </c>
      <c r="K471" s="2" t="s">
        <v>217</v>
      </c>
      <c r="L471" s="2" t="s">
        <v>218</v>
      </c>
      <c r="M471" s="2" t="s">
        <v>219</v>
      </c>
      <c r="N471" s="2" t="s">
        <v>220</v>
      </c>
      <c r="O471" s="2" t="s">
        <v>221</v>
      </c>
      <c r="P471" s="2" t="s">
        <v>27</v>
      </c>
      <c r="Q471" s="2" t="s">
        <v>222</v>
      </c>
      <c r="R471" s="2" t="s">
        <v>223</v>
      </c>
      <c r="S471" s="2" t="s">
        <v>46</v>
      </c>
      <c r="T471">
        <v>597</v>
      </c>
      <c r="U471">
        <f>VLOOKUP(Auto_Sales_data___Copy[[#This Row],[CUSTOMER_NAME]],$AF$2:$AH$90,2,FALSE)</f>
        <v>21</v>
      </c>
      <c r="V471">
        <f>VLOOKUP(Auto_Sales_data___Copy[[#This Row],[CUSTOMER_NAME]],$AF$2:$AH$90,3,FALSE)</f>
        <v>67506.969999999987</v>
      </c>
      <c r="W471" s="2">
        <f>6-MATCH(Auto_Sales_data___Copy[[#This Row],[DAYS_SINCE_LAST_ORDER]],Table2[R-Cutoff],1)</f>
        <v>5</v>
      </c>
      <c r="X471" s="2">
        <f>MATCH(Auto_Sales_data___Copy[[#This Row],[Total_Orders_Per_Customer]],Table2[F-Cutoff],1)</f>
        <v>2</v>
      </c>
      <c r="Y471" s="2">
        <f>MATCH(Auto_Sales_data___Copy[[#This Row],[Total_Sales_Per_Customer]],Table2[M-Cutoff],1)</f>
        <v>2</v>
      </c>
      <c r="Z471" s="2" t="str">
        <f>Auto_Sales_data___Copy[[#This Row],[R-Score(1-5)]]&amp;Auto_Sales_data___Copy[[#This Row],[F-Score(1-5)]]&amp;Auto_Sales_data___Copy[[#This Row],[M-Score(1-5)]]</f>
        <v>522</v>
      </c>
      <c r="AA471" s="2" t="str" cm="1">
        <f t="array" ref="AA4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1" s="2" t="str">
        <f>VLOOKUP(Auto_Sales_data___Copy[[#This Row],[Segment Name]],Table3[],2,FALSE)</f>
        <v>Brand Awareness &amp; Value Proposition</v>
      </c>
    </row>
    <row r="472" spans="1:28" x14ac:dyDescent="0.25">
      <c r="A472">
        <v>10183</v>
      </c>
      <c r="B472">
        <v>28</v>
      </c>
      <c r="C472">
        <v>122.62</v>
      </c>
      <c r="D472">
        <v>1</v>
      </c>
      <c r="E472">
        <v>3433.36</v>
      </c>
      <c r="F472" s="1">
        <v>43417</v>
      </c>
      <c r="G472" s="2" t="s">
        <v>19</v>
      </c>
      <c r="H472" s="2" t="s">
        <v>183</v>
      </c>
      <c r="I472">
        <v>147</v>
      </c>
      <c r="J472" s="2" t="s">
        <v>424</v>
      </c>
      <c r="K472" s="2" t="s">
        <v>217</v>
      </c>
      <c r="L472" s="2" t="s">
        <v>218</v>
      </c>
      <c r="M472" s="2" t="s">
        <v>219</v>
      </c>
      <c r="N472" s="2" t="s">
        <v>220</v>
      </c>
      <c r="O472" s="2" t="s">
        <v>221</v>
      </c>
      <c r="P472" s="2" t="s">
        <v>27</v>
      </c>
      <c r="Q472" s="2" t="s">
        <v>222</v>
      </c>
      <c r="R472" s="2" t="s">
        <v>223</v>
      </c>
      <c r="S472" s="2" t="s">
        <v>46</v>
      </c>
      <c r="T472">
        <v>696</v>
      </c>
      <c r="U472">
        <f>VLOOKUP(Auto_Sales_data___Copy[[#This Row],[CUSTOMER_NAME]],$AF$2:$AH$90,2,FALSE)</f>
        <v>21</v>
      </c>
      <c r="V472">
        <f>VLOOKUP(Auto_Sales_data___Copy[[#This Row],[CUSTOMER_NAME]],$AF$2:$AH$90,3,FALSE)</f>
        <v>67506.969999999987</v>
      </c>
      <c r="W472" s="2">
        <f>6-MATCH(Auto_Sales_data___Copy[[#This Row],[DAYS_SINCE_LAST_ORDER]],Table2[R-Cutoff],1)</f>
        <v>5</v>
      </c>
      <c r="X472" s="2">
        <f>MATCH(Auto_Sales_data___Copy[[#This Row],[Total_Orders_Per_Customer]],Table2[F-Cutoff],1)</f>
        <v>2</v>
      </c>
      <c r="Y472" s="2">
        <f>MATCH(Auto_Sales_data___Copy[[#This Row],[Total_Sales_Per_Customer]],Table2[M-Cutoff],1)</f>
        <v>2</v>
      </c>
      <c r="Z472" s="2" t="str">
        <f>Auto_Sales_data___Copy[[#This Row],[R-Score(1-5)]]&amp;Auto_Sales_data___Copy[[#This Row],[F-Score(1-5)]]&amp;Auto_Sales_data___Copy[[#This Row],[M-Score(1-5)]]</f>
        <v>522</v>
      </c>
      <c r="AA472" s="2" t="str" cm="1">
        <f t="array" ref="AA4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2" s="2" t="str">
        <f>VLOOKUP(Auto_Sales_data___Copy[[#This Row],[Segment Name]],Table3[],2,FALSE)</f>
        <v>Brand Awareness &amp; Value Proposition</v>
      </c>
    </row>
    <row r="473" spans="1:28" x14ac:dyDescent="0.25">
      <c r="A473">
        <v>10183</v>
      </c>
      <c r="B473">
        <v>41</v>
      </c>
      <c r="C473">
        <v>150.34</v>
      </c>
      <c r="D473">
        <v>5</v>
      </c>
      <c r="E473">
        <v>6163.94</v>
      </c>
      <c r="F473" s="1">
        <v>43417</v>
      </c>
      <c r="G473" s="2" t="s">
        <v>19</v>
      </c>
      <c r="H473" s="2" t="s">
        <v>537</v>
      </c>
      <c r="I473">
        <v>136</v>
      </c>
      <c r="J473" s="2" t="s">
        <v>538</v>
      </c>
      <c r="K473" s="2" t="s">
        <v>217</v>
      </c>
      <c r="L473" s="2" t="s">
        <v>218</v>
      </c>
      <c r="M473" s="2" t="s">
        <v>219</v>
      </c>
      <c r="N473" s="2" t="s">
        <v>220</v>
      </c>
      <c r="O473" s="2" t="s">
        <v>221</v>
      </c>
      <c r="P473" s="2" t="s">
        <v>27</v>
      </c>
      <c r="Q473" s="2" t="s">
        <v>222</v>
      </c>
      <c r="R473" s="2" t="s">
        <v>223</v>
      </c>
      <c r="S473" s="2" t="s">
        <v>46</v>
      </c>
      <c r="T473">
        <v>773</v>
      </c>
      <c r="U473">
        <f>VLOOKUP(Auto_Sales_data___Copy[[#This Row],[CUSTOMER_NAME]],$AF$2:$AH$90,2,FALSE)</f>
        <v>21</v>
      </c>
      <c r="V473">
        <f>VLOOKUP(Auto_Sales_data___Copy[[#This Row],[CUSTOMER_NAME]],$AF$2:$AH$90,3,FALSE)</f>
        <v>67506.969999999987</v>
      </c>
      <c r="W473" s="2">
        <f>6-MATCH(Auto_Sales_data___Copy[[#This Row],[DAYS_SINCE_LAST_ORDER]],Table2[R-Cutoff],1)</f>
        <v>5</v>
      </c>
      <c r="X473" s="2">
        <f>MATCH(Auto_Sales_data___Copy[[#This Row],[Total_Orders_Per_Customer]],Table2[F-Cutoff],1)</f>
        <v>2</v>
      </c>
      <c r="Y473" s="2">
        <f>MATCH(Auto_Sales_data___Copy[[#This Row],[Total_Sales_Per_Customer]],Table2[M-Cutoff],1)</f>
        <v>2</v>
      </c>
      <c r="Z473" s="2" t="str">
        <f>Auto_Sales_data___Copy[[#This Row],[R-Score(1-5)]]&amp;Auto_Sales_data___Copy[[#This Row],[F-Score(1-5)]]&amp;Auto_Sales_data___Copy[[#This Row],[M-Score(1-5)]]</f>
        <v>522</v>
      </c>
      <c r="AA473" s="2" t="str" cm="1">
        <f t="array" ref="AA4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3" s="2" t="str">
        <f>VLOOKUP(Auto_Sales_data___Copy[[#This Row],[Segment Name]],Table3[],2,FALSE)</f>
        <v>Brand Awareness &amp; Value Proposition</v>
      </c>
    </row>
    <row r="474" spans="1:28" x14ac:dyDescent="0.25">
      <c r="A474">
        <v>10197</v>
      </c>
      <c r="B474">
        <v>45</v>
      </c>
      <c r="C474">
        <v>118.32</v>
      </c>
      <c r="D474">
        <v>6</v>
      </c>
      <c r="E474">
        <v>5324.4</v>
      </c>
      <c r="F474" s="1">
        <v>43430</v>
      </c>
      <c r="G474" s="2" t="s">
        <v>19</v>
      </c>
      <c r="H474" s="2" t="s">
        <v>183</v>
      </c>
      <c r="I474">
        <v>136</v>
      </c>
      <c r="J474" s="2" t="s">
        <v>338</v>
      </c>
      <c r="K474" s="2" t="s">
        <v>372</v>
      </c>
      <c r="L474" s="2" t="s">
        <v>373</v>
      </c>
      <c r="M474" s="2" t="s">
        <v>374</v>
      </c>
      <c r="N474" s="2" t="s">
        <v>375</v>
      </c>
      <c r="O474" s="2" t="s">
        <v>376</v>
      </c>
      <c r="P474" s="2" t="s">
        <v>180</v>
      </c>
      <c r="Q474" s="2" t="s">
        <v>377</v>
      </c>
      <c r="R474" s="2" t="s">
        <v>378</v>
      </c>
      <c r="S474" s="2" t="s">
        <v>46</v>
      </c>
      <c r="T474">
        <v>659</v>
      </c>
      <c r="U474">
        <f>VLOOKUP(Auto_Sales_data___Copy[[#This Row],[CUSTOMER_NAME]],$AF$2:$AH$90,2,FALSE)</f>
        <v>23</v>
      </c>
      <c r="V474">
        <f>VLOOKUP(Auto_Sales_data___Copy[[#This Row],[CUSTOMER_NAME]],$AF$2:$AH$90,3,FALSE)</f>
        <v>78411.86</v>
      </c>
      <c r="W474" s="2">
        <f>6-MATCH(Auto_Sales_data___Copy[[#This Row],[DAYS_SINCE_LAST_ORDER]],Table2[R-Cutoff],1)</f>
        <v>5</v>
      </c>
      <c r="X474" s="2">
        <f>MATCH(Auto_Sales_data___Copy[[#This Row],[Total_Orders_Per_Customer]],Table2[F-Cutoff],1)</f>
        <v>2</v>
      </c>
      <c r="Y474" s="2">
        <f>MATCH(Auto_Sales_data___Copy[[#This Row],[Total_Sales_Per_Customer]],Table2[M-Cutoff],1)</f>
        <v>2</v>
      </c>
      <c r="Z474" s="2" t="str">
        <f>Auto_Sales_data___Copy[[#This Row],[R-Score(1-5)]]&amp;Auto_Sales_data___Copy[[#This Row],[F-Score(1-5)]]&amp;Auto_Sales_data___Copy[[#This Row],[M-Score(1-5)]]</f>
        <v>522</v>
      </c>
      <c r="AA474" s="2" t="str" cm="1">
        <f t="array" ref="AA4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4" s="2" t="str">
        <f>VLOOKUP(Auto_Sales_data___Copy[[#This Row],[Segment Name]],Table3[],2,FALSE)</f>
        <v>Brand Awareness &amp; Value Proposition</v>
      </c>
    </row>
    <row r="475" spans="1:28" x14ac:dyDescent="0.25">
      <c r="A475">
        <v>10206</v>
      </c>
      <c r="B475">
        <v>47</v>
      </c>
      <c r="C475">
        <v>192.87</v>
      </c>
      <c r="D475">
        <v>6</v>
      </c>
      <c r="E475">
        <v>9064.89</v>
      </c>
      <c r="F475" s="1">
        <v>43439</v>
      </c>
      <c r="G475" s="2" t="s">
        <v>19</v>
      </c>
      <c r="H475" s="2" t="s">
        <v>183</v>
      </c>
      <c r="I475">
        <v>214</v>
      </c>
      <c r="J475" s="2" t="s">
        <v>184</v>
      </c>
      <c r="K475" s="2" t="s">
        <v>231</v>
      </c>
      <c r="L475" s="2" t="s">
        <v>232</v>
      </c>
      <c r="M475" s="2" t="s">
        <v>233</v>
      </c>
      <c r="N475" s="2" t="s">
        <v>234</v>
      </c>
      <c r="O475" s="2" t="s">
        <v>235</v>
      </c>
      <c r="P475" s="2" t="s">
        <v>236</v>
      </c>
      <c r="Q475" s="2" t="s">
        <v>237</v>
      </c>
      <c r="R475" s="2" t="s">
        <v>238</v>
      </c>
      <c r="S475" s="2" t="s">
        <v>151</v>
      </c>
      <c r="T475">
        <v>577</v>
      </c>
      <c r="U475">
        <f>VLOOKUP(Auto_Sales_data___Copy[[#This Row],[CUSTOMER_NAME]],$AF$2:$AH$90,2,FALSE)</f>
        <v>22</v>
      </c>
      <c r="V475">
        <f>VLOOKUP(Auto_Sales_data___Copy[[#This Row],[CUSTOMER_NAME]],$AF$2:$AH$90,3,FALSE)</f>
        <v>75238.92</v>
      </c>
      <c r="W475" s="2">
        <f>6-MATCH(Auto_Sales_data___Copy[[#This Row],[DAYS_SINCE_LAST_ORDER]],Table2[R-Cutoff],1)</f>
        <v>5</v>
      </c>
      <c r="X475" s="2">
        <f>MATCH(Auto_Sales_data___Copy[[#This Row],[Total_Orders_Per_Customer]],Table2[F-Cutoff],1)</f>
        <v>2</v>
      </c>
      <c r="Y475" s="2">
        <f>MATCH(Auto_Sales_data___Copy[[#This Row],[Total_Sales_Per_Customer]],Table2[M-Cutoff],1)</f>
        <v>2</v>
      </c>
      <c r="Z475" s="2" t="str">
        <f>Auto_Sales_data___Copy[[#This Row],[R-Score(1-5)]]&amp;Auto_Sales_data___Copy[[#This Row],[F-Score(1-5)]]&amp;Auto_Sales_data___Copy[[#This Row],[M-Score(1-5)]]</f>
        <v>522</v>
      </c>
      <c r="AA475" s="2" t="str" cm="1">
        <f t="array" ref="AA4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5" s="2" t="str">
        <f>VLOOKUP(Auto_Sales_data___Copy[[#This Row],[Segment Name]],Table3[],2,FALSE)</f>
        <v>Brand Awareness &amp; Value Proposition</v>
      </c>
    </row>
    <row r="476" spans="1:28" x14ac:dyDescent="0.25">
      <c r="A476">
        <v>10206</v>
      </c>
      <c r="B476">
        <v>28</v>
      </c>
      <c r="C476">
        <v>144.87</v>
      </c>
      <c r="D476">
        <v>3</v>
      </c>
      <c r="E476">
        <v>4056.36</v>
      </c>
      <c r="F476" s="1">
        <v>43439</v>
      </c>
      <c r="G476" s="2" t="s">
        <v>19</v>
      </c>
      <c r="H476" s="2" t="s">
        <v>537</v>
      </c>
      <c r="I476">
        <v>136</v>
      </c>
      <c r="J476" s="2" t="s">
        <v>538</v>
      </c>
      <c r="K476" s="2" t="s">
        <v>231</v>
      </c>
      <c r="L476" s="2" t="s">
        <v>232</v>
      </c>
      <c r="M476" s="2" t="s">
        <v>233</v>
      </c>
      <c r="N476" s="2" t="s">
        <v>234</v>
      </c>
      <c r="O476" s="2" t="s">
        <v>235</v>
      </c>
      <c r="P476" s="2" t="s">
        <v>236</v>
      </c>
      <c r="Q476" s="2" t="s">
        <v>237</v>
      </c>
      <c r="R476" s="2" t="s">
        <v>238</v>
      </c>
      <c r="S476" s="2" t="s">
        <v>46</v>
      </c>
      <c r="T476">
        <v>753</v>
      </c>
      <c r="U476">
        <f>VLOOKUP(Auto_Sales_data___Copy[[#This Row],[CUSTOMER_NAME]],$AF$2:$AH$90,2,FALSE)</f>
        <v>22</v>
      </c>
      <c r="V476">
        <f>VLOOKUP(Auto_Sales_data___Copy[[#This Row],[CUSTOMER_NAME]],$AF$2:$AH$90,3,FALSE)</f>
        <v>75238.92</v>
      </c>
      <c r="W476" s="2">
        <f>6-MATCH(Auto_Sales_data___Copy[[#This Row],[DAYS_SINCE_LAST_ORDER]],Table2[R-Cutoff],1)</f>
        <v>5</v>
      </c>
      <c r="X476" s="2">
        <f>MATCH(Auto_Sales_data___Copy[[#This Row],[Total_Orders_Per_Customer]],Table2[F-Cutoff],1)</f>
        <v>2</v>
      </c>
      <c r="Y476" s="2">
        <f>MATCH(Auto_Sales_data___Copy[[#This Row],[Total_Sales_Per_Customer]],Table2[M-Cutoff],1)</f>
        <v>2</v>
      </c>
      <c r="Z476" s="2" t="str">
        <f>Auto_Sales_data___Copy[[#This Row],[R-Score(1-5)]]&amp;Auto_Sales_data___Copy[[#This Row],[F-Score(1-5)]]&amp;Auto_Sales_data___Copy[[#This Row],[M-Score(1-5)]]</f>
        <v>522</v>
      </c>
      <c r="AA476" s="2" t="str" cm="1">
        <f t="array" ref="AA4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6" s="2" t="str">
        <f>VLOOKUP(Auto_Sales_data___Copy[[#This Row],[Segment Name]],Table3[],2,FALSE)</f>
        <v>Brand Awareness &amp; Value Proposition</v>
      </c>
    </row>
    <row r="477" spans="1:28" x14ac:dyDescent="0.25">
      <c r="A477">
        <v>10207</v>
      </c>
      <c r="B477">
        <v>31</v>
      </c>
      <c r="C477">
        <v>131.49</v>
      </c>
      <c r="D477">
        <v>15</v>
      </c>
      <c r="E477">
        <v>4076.19</v>
      </c>
      <c r="F477" s="1">
        <v>43443</v>
      </c>
      <c r="G477" s="2" t="s">
        <v>19</v>
      </c>
      <c r="H477" s="2" t="s">
        <v>183</v>
      </c>
      <c r="I477">
        <v>147</v>
      </c>
      <c r="J477" s="2" t="s">
        <v>424</v>
      </c>
      <c r="K477" s="2" t="s">
        <v>439</v>
      </c>
      <c r="L477" s="2" t="s">
        <v>440</v>
      </c>
      <c r="M477" s="2" t="s">
        <v>441</v>
      </c>
      <c r="N477" s="2" t="s">
        <v>401</v>
      </c>
      <c r="O477" s="2" t="s">
        <v>402</v>
      </c>
      <c r="P477" s="2" t="s">
        <v>27</v>
      </c>
      <c r="Q477" s="2" t="s">
        <v>442</v>
      </c>
      <c r="R477" s="2" t="s">
        <v>289</v>
      </c>
      <c r="S477" s="2" t="s">
        <v>46</v>
      </c>
      <c r="T477">
        <v>672</v>
      </c>
      <c r="U477">
        <f>VLOOKUP(Auto_Sales_data___Copy[[#This Row],[CUSTOMER_NAME]],$AF$2:$AH$90,2,FALSE)</f>
        <v>18</v>
      </c>
      <c r="V477">
        <f>VLOOKUP(Auto_Sales_data___Copy[[#This Row],[CUSTOMER_NAME]],$AF$2:$AH$90,3,FALSE)</f>
        <v>70859.780000000013</v>
      </c>
      <c r="W477" s="2">
        <f>6-MATCH(Auto_Sales_data___Copy[[#This Row],[DAYS_SINCE_LAST_ORDER]],Table2[R-Cutoff],1)</f>
        <v>5</v>
      </c>
      <c r="X477" s="2">
        <f>MATCH(Auto_Sales_data___Copy[[#This Row],[Total_Orders_Per_Customer]],Table2[F-Cutoff],1)</f>
        <v>2</v>
      </c>
      <c r="Y477" s="2">
        <f>MATCH(Auto_Sales_data___Copy[[#This Row],[Total_Sales_Per_Customer]],Table2[M-Cutoff],1)</f>
        <v>2</v>
      </c>
      <c r="Z477" s="2" t="str">
        <f>Auto_Sales_data___Copy[[#This Row],[R-Score(1-5)]]&amp;Auto_Sales_data___Copy[[#This Row],[F-Score(1-5)]]&amp;Auto_Sales_data___Copy[[#This Row],[M-Score(1-5)]]</f>
        <v>522</v>
      </c>
      <c r="AA477" s="2" t="str" cm="1">
        <f t="array" ref="AA4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7" s="2" t="str">
        <f>VLOOKUP(Auto_Sales_data___Copy[[#This Row],[Segment Name]],Table3[],2,FALSE)</f>
        <v>Brand Awareness &amp; Value Proposition</v>
      </c>
    </row>
    <row r="478" spans="1:28" x14ac:dyDescent="0.25">
      <c r="A478">
        <v>10207</v>
      </c>
      <c r="B478">
        <v>34</v>
      </c>
      <c r="C478">
        <v>99.54</v>
      </c>
      <c r="D478">
        <v>7</v>
      </c>
      <c r="E478">
        <v>3384.36</v>
      </c>
      <c r="F478" s="1">
        <v>43443</v>
      </c>
      <c r="G478" s="2" t="s">
        <v>19</v>
      </c>
      <c r="H478" s="2" t="s">
        <v>537</v>
      </c>
      <c r="I478">
        <v>118</v>
      </c>
      <c r="J478" s="2" t="s">
        <v>554</v>
      </c>
      <c r="K478" s="2" t="s">
        <v>439</v>
      </c>
      <c r="L478" s="2" t="s">
        <v>440</v>
      </c>
      <c r="M478" s="2" t="s">
        <v>441</v>
      </c>
      <c r="N478" s="2" t="s">
        <v>401</v>
      </c>
      <c r="O478" s="2" t="s">
        <v>402</v>
      </c>
      <c r="P478" s="2" t="s">
        <v>27</v>
      </c>
      <c r="Q478" s="2" t="s">
        <v>442</v>
      </c>
      <c r="R478" s="2" t="s">
        <v>289</v>
      </c>
      <c r="S478" s="2" t="s">
        <v>46</v>
      </c>
      <c r="T478">
        <v>898</v>
      </c>
      <c r="U478">
        <f>VLOOKUP(Auto_Sales_data___Copy[[#This Row],[CUSTOMER_NAME]],$AF$2:$AH$90,2,FALSE)</f>
        <v>18</v>
      </c>
      <c r="V478">
        <f>VLOOKUP(Auto_Sales_data___Copy[[#This Row],[CUSTOMER_NAME]],$AF$2:$AH$90,3,FALSE)</f>
        <v>70859.780000000013</v>
      </c>
      <c r="W478" s="2">
        <f>6-MATCH(Auto_Sales_data___Copy[[#This Row],[DAYS_SINCE_LAST_ORDER]],Table2[R-Cutoff],1)</f>
        <v>5</v>
      </c>
      <c r="X478" s="2">
        <f>MATCH(Auto_Sales_data___Copy[[#This Row],[Total_Orders_Per_Customer]],Table2[F-Cutoff],1)</f>
        <v>2</v>
      </c>
      <c r="Y478" s="2">
        <f>MATCH(Auto_Sales_data___Copy[[#This Row],[Total_Sales_Per_Customer]],Table2[M-Cutoff],1)</f>
        <v>2</v>
      </c>
      <c r="Z478" s="2" t="str">
        <f>Auto_Sales_data___Copy[[#This Row],[R-Score(1-5)]]&amp;Auto_Sales_data___Copy[[#This Row],[F-Score(1-5)]]&amp;Auto_Sales_data___Copy[[#This Row],[M-Score(1-5)]]</f>
        <v>522</v>
      </c>
      <c r="AA478" s="2" t="str" cm="1">
        <f t="array" ref="AA4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8" s="2" t="str">
        <f>VLOOKUP(Auto_Sales_data___Copy[[#This Row],[Segment Name]],Table3[],2,FALSE)</f>
        <v>Brand Awareness &amp; Value Proposition</v>
      </c>
    </row>
    <row r="479" spans="1:28" x14ac:dyDescent="0.25">
      <c r="A479">
        <v>10210</v>
      </c>
      <c r="B479">
        <v>23</v>
      </c>
      <c r="C479">
        <v>130.83000000000001</v>
      </c>
      <c r="D479">
        <v>2</v>
      </c>
      <c r="E479">
        <v>3009.09</v>
      </c>
      <c r="F479" s="1">
        <v>43477</v>
      </c>
      <c r="G479" s="2" t="s">
        <v>19</v>
      </c>
      <c r="H479" s="2" t="s">
        <v>20</v>
      </c>
      <c r="I479">
        <v>118</v>
      </c>
      <c r="J479" s="2" t="s">
        <v>315</v>
      </c>
      <c r="K479" s="2" t="s">
        <v>316</v>
      </c>
      <c r="L479" s="2" t="s">
        <v>317</v>
      </c>
      <c r="M479" s="2" t="s">
        <v>318</v>
      </c>
      <c r="N479" s="2" t="s">
        <v>319</v>
      </c>
      <c r="O479" s="2" t="s">
        <v>320</v>
      </c>
      <c r="P479" s="2" t="s">
        <v>261</v>
      </c>
      <c r="Q479" s="2" t="s">
        <v>321</v>
      </c>
      <c r="R479" s="2" t="s">
        <v>322</v>
      </c>
      <c r="S479" s="2" t="s">
        <v>46</v>
      </c>
      <c r="T479">
        <v>563</v>
      </c>
      <c r="U479">
        <f>VLOOKUP(Auto_Sales_data___Copy[[#This Row],[CUSTOMER_NAME]],$AF$2:$AH$90,2,FALSE)</f>
        <v>20</v>
      </c>
      <c r="V479">
        <f>VLOOKUP(Auto_Sales_data___Copy[[#This Row],[CUSTOMER_NAME]],$AF$2:$AH$90,3,FALSE)</f>
        <v>67605.069999999992</v>
      </c>
      <c r="W479" s="2">
        <f>6-MATCH(Auto_Sales_data___Copy[[#This Row],[DAYS_SINCE_LAST_ORDER]],Table2[R-Cutoff],1)</f>
        <v>5</v>
      </c>
      <c r="X479" s="2">
        <f>MATCH(Auto_Sales_data___Copy[[#This Row],[Total_Orders_Per_Customer]],Table2[F-Cutoff],1)</f>
        <v>2</v>
      </c>
      <c r="Y479" s="2">
        <f>MATCH(Auto_Sales_data___Copy[[#This Row],[Total_Sales_Per_Customer]],Table2[M-Cutoff],1)</f>
        <v>2</v>
      </c>
      <c r="Z479" s="2" t="str">
        <f>Auto_Sales_data___Copy[[#This Row],[R-Score(1-5)]]&amp;Auto_Sales_data___Copy[[#This Row],[F-Score(1-5)]]&amp;Auto_Sales_data___Copy[[#This Row],[M-Score(1-5)]]</f>
        <v>522</v>
      </c>
      <c r="AA479" s="2" t="str" cm="1">
        <f t="array" ref="AA4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9" s="2" t="str">
        <f>VLOOKUP(Auto_Sales_data___Copy[[#This Row],[Segment Name]],Table3[],2,FALSE)</f>
        <v>Brand Awareness &amp; Value Proposition</v>
      </c>
    </row>
    <row r="480" spans="1:28" x14ac:dyDescent="0.25">
      <c r="A480">
        <v>10210</v>
      </c>
      <c r="B480">
        <v>34</v>
      </c>
      <c r="C480">
        <v>180.1</v>
      </c>
      <c r="D480">
        <v>1</v>
      </c>
      <c r="E480">
        <v>6123.4</v>
      </c>
      <c r="F480" s="1">
        <v>43477</v>
      </c>
      <c r="G480" s="2" t="s">
        <v>19</v>
      </c>
      <c r="H480" s="2" t="s">
        <v>20</v>
      </c>
      <c r="I480">
        <v>193</v>
      </c>
      <c r="J480" s="2" t="s">
        <v>337</v>
      </c>
      <c r="K480" s="2" t="s">
        <v>316</v>
      </c>
      <c r="L480" s="2" t="s">
        <v>317</v>
      </c>
      <c r="M480" s="2" t="s">
        <v>318</v>
      </c>
      <c r="N480" s="2" t="s">
        <v>319</v>
      </c>
      <c r="O480" s="2" t="s">
        <v>320</v>
      </c>
      <c r="P480" s="2" t="s">
        <v>261</v>
      </c>
      <c r="Q480" s="2" t="s">
        <v>321</v>
      </c>
      <c r="R480" s="2" t="s">
        <v>322</v>
      </c>
      <c r="S480" s="2" t="s">
        <v>46</v>
      </c>
      <c r="T480">
        <v>587</v>
      </c>
      <c r="U480">
        <f>VLOOKUP(Auto_Sales_data___Copy[[#This Row],[CUSTOMER_NAME]],$AF$2:$AH$90,2,FALSE)</f>
        <v>20</v>
      </c>
      <c r="V480">
        <f>VLOOKUP(Auto_Sales_data___Copy[[#This Row],[CUSTOMER_NAME]],$AF$2:$AH$90,3,FALSE)</f>
        <v>67605.069999999992</v>
      </c>
      <c r="W480" s="2">
        <f>6-MATCH(Auto_Sales_data___Copy[[#This Row],[DAYS_SINCE_LAST_ORDER]],Table2[R-Cutoff],1)</f>
        <v>5</v>
      </c>
      <c r="X480" s="2">
        <f>MATCH(Auto_Sales_data___Copy[[#This Row],[Total_Orders_Per_Customer]],Table2[F-Cutoff],1)</f>
        <v>2</v>
      </c>
      <c r="Y480" s="2">
        <f>MATCH(Auto_Sales_data___Copy[[#This Row],[Total_Sales_Per_Customer]],Table2[M-Cutoff],1)</f>
        <v>2</v>
      </c>
      <c r="Z480" s="2" t="str">
        <f>Auto_Sales_data___Copy[[#This Row],[R-Score(1-5)]]&amp;Auto_Sales_data___Copy[[#This Row],[F-Score(1-5)]]&amp;Auto_Sales_data___Copy[[#This Row],[M-Score(1-5)]]</f>
        <v>522</v>
      </c>
      <c r="AA480" s="2" t="str" cm="1">
        <f t="array" ref="AA4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0" s="2" t="str">
        <f>VLOOKUP(Auto_Sales_data___Copy[[#This Row],[Segment Name]],Table3[],2,FALSE)</f>
        <v>Brand Awareness &amp; Value Proposition</v>
      </c>
    </row>
    <row r="481" spans="1:28" x14ac:dyDescent="0.25">
      <c r="A481">
        <v>10216</v>
      </c>
      <c r="B481">
        <v>43</v>
      </c>
      <c r="C481">
        <v>133.94</v>
      </c>
      <c r="D481">
        <v>1</v>
      </c>
      <c r="E481">
        <v>5759.42</v>
      </c>
      <c r="F481" s="1">
        <v>43498</v>
      </c>
      <c r="G481" s="2" t="s">
        <v>19</v>
      </c>
      <c r="H481" s="2" t="s">
        <v>537</v>
      </c>
      <c r="I481">
        <v>136</v>
      </c>
      <c r="J481" s="2" t="s">
        <v>538</v>
      </c>
      <c r="K481" s="2" t="s">
        <v>278</v>
      </c>
      <c r="L481" s="2" t="s">
        <v>279</v>
      </c>
      <c r="M481" s="2" t="s">
        <v>280</v>
      </c>
      <c r="N481" s="2" t="s">
        <v>281</v>
      </c>
      <c r="O481" s="2" t="s">
        <v>282</v>
      </c>
      <c r="P481" s="2" t="s">
        <v>36</v>
      </c>
      <c r="Q481" s="2" t="s">
        <v>283</v>
      </c>
      <c r="R481" s="2" t="s">
        <v>45</v>
      </c>
      <c r="S481" s="2" t="s">
        <v>46</v>
      </c>
      <c r="T481">
        <v>695</v>
      </c>
      <c r="U481">
        <f>VLOOKUP(Auto_Sales_data___Copy[[#This Row],[CUSTOMER_NAME]],$AF$2:$AH$90,2,FALSE)</f>
        <v>18</v>
      </c>
      <c r="V481">
        <f>VLOOKUP(Auto_Sales_data___Copy[[#This Row],[CUSTOMER_NAME]],$AF$2:$AH$90,3,FALSE)</f>
        <v>64834.320000000007</v>
      </c>
      <c r="W481" s="2">
        <f>6-MATCH(Auto_Sales_data___Copy[[#This Row],[DAYS_SINCE_LAST_ORDER]],Table2[R-Cutoff],1)</f>
        <v>5</v>
      </c>
      <c r="X481" s="2">
        <f>MATCH(Auto_Sales_data___Copy[[#This Row],[Total_Orders_Per_Customer]],Table2[F-Cutoff],1)</f>
        <v>2</v>
      </c>
      <c r="Y481" s="2">
        <f>MATCH(Auto_Sales_data___Copy[[#This Row],[Total_Sales_Per_Customer]],Table2[M-Cutoff],1)</f>
        <v>2</v>
      </c>
      <c r="Z481" s="2" t="str">
        <f>Auto_Sales_data___Copy[[#This Row],[R-Score(1-5)]]&amp;Auto_Sales_data___Copy[[#This Row],[F-Score(1-5)]]&amp;Auto_Sales_data___Copy[[#This Row],[M-Score(1-5)]]</f>
        <v>522</v>
      </c>
      <c r="AA481" s="2" t="str" cm="1">
        <f t="array" ref="AA4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1" s="2" t="str">
        <f>VLOOKUP(Auto_Sales_data___Copy[[#This Row],[Segment Name]],Table3[],2,FALSE)</f>
        <v>Brand Awareness &amp; Value Proposition</v>
      </c>
    </row>
    <row r="482" spans="1:28" x14ac:dyDescent="0.25">
      <c r="A482">
        <v>10224</v>
      </c>
      <c r="B482">
        <v>43</v>
      </c>
      <c r="C482">
        <v>141.58000000000001</v>
      </c>
      <c r="D482">
        <v>6</v>
      </c>
      <c r="E482">
        <v>6087.94</v>
      </c>
      <c r="F482" s="1">
        <v>43517</v>
      </c>
      <c r="G482" s="2" t="s">
        <v>19</v>
      </c>
      <c r="H482" s="2" t="s">
        <v>20</v>
      </c>
      <c r="I482">
        <v>150</v>
      </c>
      <c r="J482" s="2" t="s">
        <v>539</v>
      </c>
      <c r="K482" s="2" t="s">
        <v>61</v>
      </c>
      <c r="L482" s="2" t="s">
        <v>62</v>
      </c>
      <c r="M482" s="2" t="s">
        <v>63</v>
      </c>
      <c r="N482" s="2" t="s">
        <v>64</v>
      </c>
      <c r="O482" s="2" t="s">
        <v>65</v>
      </c>
      <c r="P482" s="2" t="s">
        <v>36</v>
      </c>
      <c r="Q482" s="2" t="s">
        <v>66</v>
      </c>
      <c r="R482" s="2" t="s">
        <v>67</v>
      </c>
      <c r="S482" s="2" t="s">
        <v>46</v>
      </c>
      <c r="T482">
        <v>700</v>
      </c>
      <c r="U482">
        <f>VLOOKUP(Auto_Sales_data___Copy[[#This Row],[CUSTOMER_NAME]],$AF$2:$AH$90,2,FALSE)</f>
        <v>20</v>
      </c>
      <c r="V482">
        <f>VLOOKUP(Auto_Sales_data___Copy[[#This Row],[CUSTOMER_NAME]],$AF$2:$AH$90,3,FALSE)</f>
        <v>69052.41</v>
      </c>
      <c r="W482" s="2">
        <f>6-MATCH(Auto_Sales_data___Copy[[#This Row],[DAYS_SINCE_LAST_ORDER]],Table2[R-Cutoff],1)</f>
        <v>5</v>
      </c>
      <c r="X482" s="2">
        <f>MATCH(Auto_Sales_data___Copy[[#This Row],[Total_Orders_Per_Customer]],Table2[F-Cutoff],1)</f>
        <v>2</v>
      </c>
      <c r="Y482" s="2">
        <f>MATCH(Auto_Sales_data___Copy[[#This Row],[Total_Sales_Per_Customer]],Table2[M-Cutoff],1)</f>
        <v>2</v>
      </c>
      <c r="Z482" s="2" t="str">
        <f>Auto_Sales_data___Copy[[#This Row],[R-Score(1-5)]]&amp;Auto_Sales_data___Copy[[#This Row],[F-Score(1-5)]]&amp;Auto_Sales_data___Copy[[#This Row],[M-Score(1-5)]]</f>
        <v>522</v>
      </c>
      <c r="AA482" s="2" t="str" cm="1">
        <f t="array" ref="AA4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2" s="2" t="str">
        <f>VLOOKUP(Auto_Sales_data___Copy[[#This Row],[Segment Name]],Table3[],2,FALSE)</f>
        <v>Brand Awareness &amp; Value Proposition</v>
      </c>
    </row>
    <row r="483" spans="1:28" x14ac:dyDescent="0.25">
      <c r="A483">
        <v>10240</v>
      </c>
      <c r="B483">
        <v>41</v>
      </c>
      <c r="C483">
        <v>137.29</v>
      </c>
      <c r="D483">
        <v>3</v>
      </c>
      <c r="E483">
        <v>5628.89</v>
      </c>
      <c r="F483" s="1">
        <v>43568</v>
      </c>
      <c r="G483" s="2" t="s">
        <v>19</v>
      </c>
      <c r="H483" s="2" t="s">
        <v>183</v>
      </c>
      <c r="I483">
        <v>141</v>
      </c>
      <c r="J483" s="2" t="s">
        <v>576</v>
      </c>
      <c r="K483" s="2" t="s">
        <v>316</v>
      </c>
      <c r="L483" s="2" t="s">
        <v>317</v>
      </c>
      <c r="M483" s="2" t="s">
        <v>318</v>
      </c>
      <c r="N483" s="2" t="s">
        <v>319</v>
      </c>
      <c r="O483" s="2" t="s">
        <v>320</v>
      </c>
      <c r="P483" s="2" t="s">
        <v>261</v>
      </c>
      <c r="Q483" s="2" t="s">
        <v>321</v>
      </c>
      <c r="R483" s="2" t="s">
        <v>322</v>
      </c>
      <c r="S483" s="2" t="s">
        <v>46</v>
      </c>
      <c r="T483">
        <v>853</v>
      </c>
      <c r="U483">
        <f>VLOOKUP(Auto_Sales_data___Copy[[#This Row],[CUSTOMER_NAME]],$AF$2:$AH$90,2,FALSE)</f>
        <v>20</v>
      </c>
      <c r="V483">
        <f>VLOOKUP(Auto_Sales_data___Copy[[#This Row],[CUSTOMER_NAME]],$AF$2:$AH$90,3,FALSE)</f>
        <v>67605.069999999992</v>
      </c>
      <c r="W483" s="2">
        <f>6-MATCH(Auto_Sales_data___Copy[[#This Row],[DAYS_SINCE_LAST_ORDER]],Table2[R-Cutoff],1)</f>
        <v>5</v>
      </c>
      <c r="X483" s="2">
        <f>MATCH(Auto_Sales_data___Copy[[#This Row],[Total_Orders_Per_Customer]],Table2[F-Cutoff],1)</f>
        <v>2</v>
      </c>
      <c r="Y483" s="2">
        <f>MATCH(Auto_Sales_data___Copy[[#This Row],[Total_Sales_Per_Customer]],Table2[M-Cutoff],1)</f>
        <v>2</v>
      </c>
      <c r="Z483" s="2" t="str">
        <f>Auto_Sales_data___Copy[[#This Row],[R-Score(1-5)]]&amp;Auto_Sales_data___Copy[[#This Row],[F-Score(1-5)]]&amp;Auto_Sales_data___Copy[[#This Row],[M-Score(1-5)]]</f>
        <v>522</v>
      </c>
      <c r="AA483" s="2" t="str" cm="1">
        <f t="array" ref="AA4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3" s="2" t="str">
        <f>VLOOKUP(Auto_Sales_data___Copy[[#This Row],[Segment Name]],Table3[],2,FALSE)</f>
        <v>Brand Awareness &amp; Value Proposition</v>
      </c>
    </row>
    <row r="484" spans="1:28" x14ac:dyDescent="0.25">
      <c r="A484">
        <v>10261</v>
      </c>
      <c r="B484">
        <v>27</v>
      </c>
      <c r="C484">
        <v>125.12</v>
      </c>
      <c r="D484">
        <v>1</v>
      </c>
      <c r="E484">
        <v>3378.24</v>
      </c>
      <c r="F484" s="1">
        <v>43633</v>
      </c>
      <c r="G484" s="2" t="s">
        <v>19</v>
      </c>
      <c r="H484" s="2" t="s">
        <v>183</v>
      </c>
      <c r="I484">
        <v>136</v>
      </c>
      <c r="J484" s="2" t="s">
        <v>338</v>
      </c>
      <c r="K484" s="2" t="s">
        <v>307</v>
      </c>
      <c r="L484" s="2" t="s">
        <v>308</v>
      </c>
      <c r="M484" s="2" t="s">
        <v>309</v>
      </c>
      <c r="N484" s="2" t="s">
        <v>310</v>
      </c>
      <c r="O484" s="2" t="s">
        <v>311</v>
      </c>
      <c r="P484" s="2" t="s">
        <v>236</v>
      </c>
      <c r="Q484" s="2" t="s">
        <v>312</v>
      </c>
      <c r="R484" s="2" t="s">
        <v>313</v>
      </c>
      <c r="S484" s="2" t="s">
        <v>46</v>
      </c>
      <c r="T484">
        <v>459</v>
      </c>
      <c r="U484">
        <f>VLOOKUP(Auto_Sales_data___Copy[[#This Row],[CUSTOMER_NAME]],$AF$2:$AH$90,2,FALSE)</f>
        <v>22</v>
      </c>
      <c r="V484">
        <f>VLOOKUP(Auto_Sales_data___Copy[[#This Row],[CUSTOMER_NAME]],$AF$2:$AH$90,3,FALSE)</f>
        <v>74204.790000000008</v>
      </c>
      <c r="W484" s="2">
        <f>6-MATCH(Auto_Sales_data___Copy[[#This Row],[DAYS_SINCE_LAST_ORDER]],Table2[R-Cutoff],1)</f>
        <v>5</v>
      </c>
      <c r="X484" s="2">
        <f>MATCH(Auto_Sales_data___Copy[[#This Row],[Total_Orders_Per_Customer]],Table2[F-Cutoff],1)</f>
        <v>2</v>
      </c>
      <c r="Y484" s="2">
        <f>MATCH(Auto_Sales_data___Copy[[#This Row],[Total_Sales_Per_Customer]],Table2[M-Cutoff],1)</f>
        <v>2</v>
      </c>
      <c r="Z484" s="2" t="str">
        <f>Auto_Sales_data___Copy[[#This Row],[R-Score(1-5)]]&amp;Auto_Sales_data___Copy[[#This Row],[F-Score(1-5)]]&amp;Auto_Sales_data___Copy[[#This Row],[M-Score(1-5)]]</f>
        <v>522</v>
      </c>
      <c r="AA484" s="2" t="str" cm="1">
        <f t="array" ref="AA4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4" s="2" t="str">
        <f>VLOOKUP(Auto_Sales_data___Copy[[#This Row],[Segment Name]],Table3[],2,FALSE)</f>
        <v>Brand Awareness &amp; Value Proposition</v>
      </c>
    </row>
    <row r="485" spans="1:28" x14ac:dyDescent="0.25">
      <c r="A485">
        <v>10304</v>
      </c>
      <c r="B485">
        <v>47</v>
      </c>
      <c r="C485">
        <v>216.44</v>
      </c>
      <c r="D485">
        <v>6</v>
      </c>
      <c r="E485">
        <v>10172.700000000001</v>
      </c>
      <c r="F485" s="1">
        <v>43749</v>
      </c>
      <c r="G485" s="2" t="s">
        <v>19</v>
      </c>
      <c r="H485" s="2" t="s">
        <v>183</v>
      </c>
      <c r="I485">
        <v>214</v>
      </c>
      <c r="J485" s="2" t="s">
        <v>184</v>
      </c>
      <c r="K485" s="2" t="s">
        <v>278</v>
      </c>
      <c r="L485" s="2" t="s">
        <v>279</v>
      </c>
      <c r="M485" s="2" t="s">
        <v>280</v>
      </c>
      <c r="N485" s="2" t="s">
        <v>281</v>
      </c>
      <c r="O485" s="2" t="s">
        <v>282</v>
      </c>
      <c r="P485" s="2" t="s">
        <v>36</v>
      </c>
      <c r="Q485" s="2" t="s">
        <v>283</v>
      </c>
      <c r="R485" s="2" t="s">
        <v>45</v>
      </c>
      <c r="S485" s="2" t="s">
        <v>151</v>
      </c>
      <c r="T485">
        <v>275</v>
      </c>
      <c r="U485">
        <f>VLOOKUP(Auto_Sales_data___Copy[[#This Row],[CUSTOMER_NAME]],$AF$2:$AH$90,2,FALSE)</f>
        <v>18</v>
      </c>
      <c r="V485">
        <f>VLOOKUP(Auto_Sales_data___Copy[[#This Row],[CUSTOMER_NAME]],$AF$2:$AH$90,3,FALSE)</f>
        <v>64834.320000000007</v>
      </c>
      <c r="W485" s="2">
        <f>6-MATCH(Auto_Sales_data___Copy[[#This Row],[DAYS_SINCE_LAST_ORDER]],Table2[R-Cutoff],1)</f>
        <v>5</v>
      </c>
      <c r="X485" s="2">
        <f>MATCH(Auto_Sales_data___Copy[[#This Row],[Total_Orders_Per_Customer]],Table2[F-Cutoff],1)</f>
        <v>2</v>
      </c>
      <c r="Y485" s="2">
        <f>MATCH(Auto_Sales_data___Copy[[#This Row],[Total_Sales_Per_Customer]],Table2[M-Cutoff],1)</f>
        <v>2</v>
      </c>
      <c r="Z485" s="2" t="str">
        <f>Auto_Sales_data___Copy[[#This Row],[R-Score(1-5)]]&amp;Auto_Sales_data___Copy[[#This Row],[F-Score(1-5)]]&amp;Auto_Sales_data___Copy[[#This Row],[M-Score(1-5)]]</f>
        <v>522</v>
      </c>
      <c r="AA485" s="2" t="str" cm="1">
        <f t="array" ref="AA4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5" s="2" t="str">
        <f>VLOOKUP(Auto_Sales_data___Copy[[#This Row],[Segment Name]],Table3[],2,FALSE)</f>
        <v>Brand Awareness &amp; Value Proposition</v>
      </c>
    </row>
    <row r="486" spans="1:28" x14ac:dyDescent="0.25">
      <c r="A486">
        <v>10304</v>
      </c>
      <c r="B486">
        <v>39</v>
      </c>
      <c r="C486">
        <v>164</v>
      </c>
      <c r="D486">
        <v>3</v>
      </c>
      <c r="E486">
        <v>6396</v>
      </c>
      <c r="F486" s="1">
        <v>43749</v>
      </c>
      <c r="G486" s="2" t="s">
        <v>19</v>
      </c>
      <c r="H486" s="2" t="s">
        <v>537</v>
      </c>
      <c r="I486">
        <v>136</v>
      </c>
      <c r="J486" s="2" t="s">
        <v>538</v>
      </c>
      <c r="K486" s="2" t="s">
        <v>278</v>
      </c>
      <c r="L486" s="2" t="s">
        <v>279</v>
      </c>
      <c r="M486" s="2" t="s">
        <v>280</v>
      </c>
      <c r="N486" s="2" t="s">
        <v>281</v>
      </c>
      <c r="O486" s="2" t="s">
        <v>282</v>
      </c>
      <c r="P486" s="2" t="s">
        <v>36</v>
      </c>
      <c r="Q486" s="2" t="s">
        <v>283</v>
      </c>
      <c r="R486" s="2" t="s">
        <v>45</v>
      </c>
      <c r="S486" s="2" t="s">
        <v>46</v>
      </c>
      <c r="T486">
        <v>451</v>
      </c>
      <c r="U486">
        <f>VLOOKUP(Auto_Sales_data___Copy[[#This Row],[CUSTOMER_NAME]],$AF$2:$AH$90,2,FALSE)</f>
        <v>18</v>
      </c>
      <c r="V486">
        <f>VLOOKUP(Auto_Sales_data___Copy[[#This Row],[CUSTOMER_NAME]],$AF$2:$AH$90,3,FALSE)</f>
        <v>64834.320000000007</v>
      </c>
      <c r="W486" s="2">
        <f>6-MATCH(Auto_Sales_data___Copy[[#This Row],[DAYS_SINCE_LAST_ORDER]],Table2[R-Cutoff],1)</f>
        <v>5</v>
      </c>
      <c r="X486" s="2">
        <f>MATCH(Auto_Sales_data___Copy[[#This Row],[Total_Orders_Per_Customer]],Table2[F-Cutoff],1)</f>
        <v>2</v>
      </c>
      <c r="Y486" s="2">
        <f>MATCH(Auto_Sales_data___Copy[[#This Row],[Total_Sales_Per_Customer]],Table2[M-Cutoff],1)</f>
        <v>2</v>
      </c>
      <c r="Z486" s="2" t="str">
        <f>Auto_Sales_data___Copy[[#This Row],[R-Score(1-5)]]&amp;Auto_Sales_data___Copy[[#This Row],[F-Score(1-5)]]&amp;Auto_Sales_data___Copy[[#This Row],[M-Score(1-5)]]</f>
        <v>522</v>
      </c>
      <c r="AA486" s="2" t="str" cm="1">
        <f t="array" ref="AA4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6" s="2" t="str">
        <f>VLOOKUP(Auto_Sales_data___Copy[[#This Row],[Segment Name]],Table3[],2,FALSE)</f>
        <v>Brand Awareness &amp; Value Proposition</v>
      </c>
    </row>
    <row r="487" spans="1:28" x14ac:dyDescent="0.25">
      <c r="A487">
        <v>10304</v>
      </c>
      <c r="B487">
        <v>46</v>
      </c>
      <c r="C487">
        <v>98</v>
      </c>
      <c r="D487">
        <v>5</v>
      </c>
      <c r="E487">
        <v>4508</v>
      </c>
      <c r="F487" s="1">
        <v>43749</v>
      </c>
      <c r="G487" s="2" t="s">
        <v>19</v>
      </c>
      <c r="H487" s="2" t="s">
        <v>537</v>
      </c>
      <c r="I487">
        <v>116</v>
      </c>
      <c r="J487" s="2" t="s">
        <v>575</v>
      </c>
      <c r="K487" s="2" t="s">
        <v>278</v>
      </c>
      <c r="L487" s="2" t="s">
        <v>279</v>
      </c>
      <c r="M487" s="2" t="s">
        <v>280</v>
      </c>
      <c r="N487" s="2" t="s">
        <v>281</v>
      </c>
      <c r="O487" s="2" t="s">
        <v>282</v>
      </c>
      <c r="P487" s="2" t="s">
        <v>36</v>
      </c>
      <c r="Q487" s="2" t="s">
        <v>283</v>
      </c>
      <c r="R487" s="2" t="s">
        <v>45</v>
      </c>
      <c r="S487" s="2" t="s">
        <v>46</v>
      </c>
      <c r="T487">
        <v>652</v>
      </c>
      <c r="U487">
        <f>VLOOKUP(Auto_Sales_data___Copy[[#This Row],[CUSTOMER_NAME]],$AF$2:$AH$90,2,FALSE)</f>
        <v>18</v>
      </c>
      <c r="V487">
        <f>VLOOKUP(Auto_Sales_data___Copy[[#This Row],[CUSTOMER_NAME]],$AF$2:$AH$90,3,FALSE)</f>
        <v>64834.320000000007</v>
      </c>
      <c r="W487" s="2">
        <f>6-MATCH(Auto_Sales_data___Copy[[#This Row],[DAYS_SINCE_LAST_ORDER]],Table2[R-Cutoff],1)</f>
        <v>5</v>
      </c>
      <c r="X487" s="2">
        <f>MATCH(Auto_Sales_data___Copy[[#This Row],[Total_Orders_Per_Customer]],Table2[F-Cutoff],1)</f>
        <v>2</v>
      </c>
      <c r="Y487" s="2">
        <f>MATCH(Auto_Sales_data___Copy[[#This Row],[Total_Sales_Per_Customer]],Table2[M-Cutoff],1)</f>
        <v>2</v>
      </c>
      <c r="Z487" s="2" t="str">
        <f>Auto_Sales_data___Copy[[#This Row],[R-Score(1-5)]]&amp;Auto_Sales_data___Copy[[#This Row],[F-Score(1-5)]]&amp;Auto_Sales_data___Copy[[#This Row],[M-Score(1-5)]]</f>
        <v>522</v>
      </c>
      <c r="AA487" s="2" t="str" cm="1">
        <f t="array" ref="AA4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7" s="2" t="str">
        <f>VLOOKUP(Auto_Sales_data___Copy[[#This Row],[Segment Name]],Table3[],2,FALSE)</f>
        <v>Brand Awareness &amp; Value Proposition</v>
      </c>
    </row>
    <row r="488" spans="1:28" x14ac:dyDescent="0.25">
      <c r="A488">
        <v>10304</v>
      </c>
      <c r="B488">
        <v>37</v>
      </c>
      <c r="C488">
        <v>95.55</v>
      </c>
      <c r="D488">
        <v>13</v>
      </c>
      <c r="E488">
        <v>3535.35</v>
      </c>
      <c r="F488" s="1">
        <v>43749</v>
      </c>
      <c r="G488" s="2" t="s">
        <v>19</v>
      </c>
      <c r="H488" s="2" t="s">
        <v>589</v>
      </c>
      <c r="I488">
        <v>102</v>
      </c>
      <c r="J488" s="2" t="s">
        <v>590</v>
      </c>
      <c r="K488" s="2" t="s">
        <v>278</v>
      </c>
      <c r="L488" s="2" t="s">
        <v>279</v>
      </c>
      <c r="M488" s="2" t="s">
        <v>280</v>
      </c>
      <c r="N488" s="2" t="s">
        <v>281</v>
      </c>
      <c r="O488" s="2" t="s">
        <v>282</v>
      </c>
      <c r="P488" s="2" t="s">
        <v>36</v>
      </c>
      <c r="Q488" s="2" t="s">
        <v>283</v>
      </c>
      <c r="R488" s="2" t="s">
        <v>45</v>
      </c>
      <c r="S488" s="2" t="s">
        <v>46</v>
      </c>
      <c r="T488">
        <v>702</v>
      </c>
      <c r="U488">
        <f>VLOOKUP(Auto_Sales_data___Copy[[#This Row],[CUSTOMER_NAME]],$AF$2:$AH$90,2,FALSE)</f>
        <v>18</v>
      </c>
      <c r="V488">
        <f>VLOOKUP(Auto_Sales_data___Copy[[#This Row],[CUSTOMER_NAME]],$AF$2:$AH$90,3,FALSE)</f>
        <v>64834.320000000007</v>
      </c>
      <c r="W488" s="2">
        <f>6-MATCH(Auto_Sales_data___Copy[[#This Row],[DAYS_SINCE_LAST_ORDER]],Table2[R-Cutoff],1)</f>
        <v>5</v>
      </c>
      <c r="X488" s="2">
        <f>MATCH(Auto_Sales_data___Copy[[#This Row],[Total_Orders_Per_Customer]],Table2[F-Cutoff],1)</f>
        <v>2</v>
      </c>
      <c r="Y488" s="2">
        <f>MATCH(Auto_Sales_data___Copy[[#This Row],[Total_Sales_Per_Customer]],Table2[M-Cutoff],1)</f>
        <v>2</v>
      </c>
      <c r="Z488" s="2" t="str">
        <f>Auto_Sales_data___Copy[[#This Row],[R-Score(1-5)]]&amp;Auto_Sales_data___Copy[[#This Row],[F-Score(1-5)]]&amp;Auto_Sales_data___Copy[[#This Row],[M-Score(1-5)]]</f>
        <v>522</v>
      </c>
      <c r="AA488" s="2" t="str" cm="1">
        <f t="array" ref="AA4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8" s="2" t="str">
        <f>VLOOKUP(Auto_Sales_data___Copy[[#This Row],[Segment Name]],Table3[],2,FALSE)</f>
        <v>Brand Awareness &amp; Value Proposition</v>
      </c>
    </row>
    <row r="489" spans="1:28" x14ac:dyDescent="0.25">
      <c r="A489">
        <v>10304</v>
      </c>
      <c r="B489">
        <v>37</v>
      </c>
      <c r="C489">
        <v>48.52</v>
      </c>
      <c r="D489">
        <v>12</v>
      </c>
      <c r="E489">
        <v>1795.24</v>
      </c>
      <c r="F489" s="1">
        <v>43749</v>
      </c>
      <c r="G489" s="2" t="s">
        <v>19</v>
      </c>
      <c r="H489" s="2" t="s">
        <v>589</v>
      </c>
      <c r="I489">
        <v>53</v>
      </c>
      <c r="J489" s="2" t="s">
        <v>605</v>
      </c>
      <c r="K489" s="2" t="s">
        <v>278</v>
      </c>
      <c r="L489" s="2" t="s">
        <v>279</v>
      </c>
      <c r="M489" s="2" t="s">
        <v>280</v>
      </c>
      <c r="N489" s="2" t="s">
        <v>281</v>
      </c>
      <c r="O489" s="2" t="s">
        <v>282</v>
      </c>
      <c r="P489" s="2" t="s">
        <v>36</v>
      </c>
      <c r="Q489" s="2" t="s">
        <v>283</v>
      </c>
      <c r="R489" s="2" t="s">
        <v>45</v>
      </c>
      <c r="S489" s="2" t="s">
        <v>30</v>
      </c>
      <c r="T489">
        <v>726</v>
      </c>
      <c r="U489">
        <f>VLOOKUP(Auto_Sales_data___Copy[[#This Row],[CUSTOMER_NAME]],$AF$2:$AH$90,2,FALSE)</f>
        <v>18</v>
      </c>
      <c r="V489">
        <f>VLOOKUP(Auto_Sales_data___Copy[[#This Row],[CUSTOMER_NAME]],$AF$2:$AH$90,3,FALSE)</f>
        <v>64834.320000000007</v>
      </c>
      <c r="W489" s="2">
        <f>6-MATCH(Auto_Sales_data___Copy[[#This Row],[DAYS_SINCE_LAST_ORDER]],Table2[R-Cutoff],1)</f>
        <v>5</v>
      </c>
      <c r="X489" s="2">
        <f>MATCH(Auto_Sales_data___Copy[[#This Row],[Total_Orders_Per_Customer]],Table2[F-Cutoff],1)</f>
        <v>2</v>
      </c>
      <c r="Y489" s="2">
        <f>MATCH(Auto_Sales_data___Copy[[#This Row],[Total_Sales_Per_Customer]],Table2[M-Cutoff],1)</f>
        <v>2</v>
      </c>
      <c r="Z489" s="2" t="str">
        <f>Auto_Sales_data___Copy[[#This Row],[R-Score(1-5)]]&amp;Auto_Sales_data___Copy[[#This Row],[F-Score(1-5)]]&amp;Auto_Sales_data___Copy[[#This Row],[M-Score(1-5)]]</f>
        <v>522</v>
      </c>
      <c r="AA489" s="2" t="str" cm="1">
        <f t="array" ref="AA4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9" s="2" t="str">
        <f>VLOOKUP(Auto_Sales_data___Copy[[#This Row],[Segment Name]],Table3[],2,FALSE)</f>
        <v>Brand Awareness &amp; Value Proposition</v>
      </c>
    </row>
    <row r="490" spans="1:28" x14ac:dyDescent="0.25">
      <c r="A490">
        <v>10307</v>
      </c>
      <c r="B490">
        <v>22</v>
      </c>
      <c r="C490">
        <v>122.4</v>
      </c>
      <c r="D490">
        <v>9</v>
      </c>
      <c r="E490">
        <v>2692.8</v>
      </c>
      <c r="F490" s="1">
        <v>43752</v>
      </c>
      <c r="G490" s="2" t="s">
        <v>19</v>
      </c>
      <c r="H490" s="2" t="s">
        <v>183</v>
      </c>
      <c r="I490">
        <v>136</v>
      </c>
      <c r="J490" s="2" t="s">
        <v>338</v>
      </c>
      <c r="K490" s="2" t="s">
        <v>217</v>
      </c>
      <c r="L490" s="2" t="s">
        <v>218</v>
      </c>
      <c r="M490" s="2" t="s">
        <v>219</v>
      </c>
      <c r="N490" s="2" t="s">
        <v>220</v>
      </c>
      <c r="O490" s="2" t="s">
        <v>221</v>
      </c>
      <c r="P490" s="2" t="s">
        <v>27</v>
      </c>
      <c r="Q490" s="2" t="s">
        <v>222</v>
      </c>
      <c r="R490" s="2" t="s">
        <v>223</v>
      </c>
      <c r="S490" s="2" t="s">
        <v>30</v>
      </c>
      <c r="T490">
        <v>344</v>
      </c>
      <c r="U490">
        <f>VLOOKUP(Auto_Sales_data___Copy[[#This Row],[CUSTOMER_NAME]],$AF$2:$AH$90,2,FALSE)</f>
        <v>21</v>
      </c>
      <c r="V490">
        <f>VLOOKUP(Auto_Sales_data___Copy[[#This Row],[CUSTOMER_NAME]],$AF$2:$AH$90,3,FALSE)</f>
        <v>67506.969999999987</v>
      </c>
      <c r="W490" s="2">
        <f>6-MATCH(Auto_Sales_data___Copy[[#This Row],[DAYS_SINCE_LAST_ORDER]],Table2[R-Cutoff],1)</f>
        <v>5</v>
      </c>
      <c r="X490" s="2">
        <f>MATCH(Auto_Sales_data___Copy[[#This Row],[Total_Orders_Per_Customer]],Table2[F-Cutoff],1)</f>
        <v>2</v>
      </c>
      <c r="Y490" s="2">
        <f>MATCH(Auto_Sales_data___Copy[[#This Row],[Total_Sales_Per_Customer]],Table2[M-Cutoff],1)</f>
        <v>2</v>
      </c>
      <c r="Z490" s="2" t="str">
        <f>Auto_Sales_data___Copy[[#This Row],[R-Score(1-5)]]&amp;Auto_Sales_data___Copy[[#This Row],[F-Score(1-5)]]&amp;Auto_Sales_data___Copy[[#This Row],[M-Score(1-5)]]</f>
        <v>522</v>
      </c>
      <c r="AA490" s="2" t="str" cm="1">
        <f t="array" ref="AA4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0" s="2" t="str">
        <f>VLOOKUP(Auto_Sales_data___Copy[[#This Row],[Segment Name]],Table3[],2,FALSE)</f>
        <v>Brand Awareness &amp; Value Proposition</v>
      </c>
    </row>
    <row r="491" spans="1:28" x14ac:dyDescent="0.25">
      <c r="A491">
        <v>10307</v>
      </c>
      <c r="B491">
        <v>39</v>
      </c>
      <c r="C491">
        <v>189.23</v>
      </c>
      <c r="D491">
        <v>1</v>
      </c>
      <c r="E491">
        <v>7379.97</v>
      </c>
      <c r="F491" s="1">
        <v>43752</v>
      </c>
      <c r="G491" s="2" t="s">
        <v>19</v>
      </c>
      <c r="H491" s="2" t="s">
        <v>607</v>
      </c>
      <c r="I491">
        <v>157</v>
      </c>
      <c r="J491" s="2" t="s">
        <v>608</v>
      </c>
      <c r="K491" s="2" t="s">
        <v>217</v>
      </c>
      <c r="L491" s="2" t="s">
        <v>218</v>
      </c>
      <c r="M491" s="2" t="s">
        <v>219</v>
      </c>
      <c r="N491" s="2" t="s">
        <v>220</v>
      </c>
      <c r="O491" s="2" t="s">
        <v>221</v>
      </c>
      <c r="P491" s="2" t="s">
        <v>27</v>
      </c>
      <c r="Q491" s="2" t="s">
        <v>222</v>
      </c>
      <c r="R491" s="2" t="s">
        <v>223</v>
      </c>
      <c r="S491" s="2" t="s">
        <v>151</v>
      </c>
      <c r="T491">
        <v>773</v>
      </c>
      <c r="U491">
        <f>VLOOKUP(Auto_Sales_data___Copy[[#This Row],[CUSTOMER_NAME]],$AF$2:$AH$90,2,FALSE)</f>
        <v>21</v>
      </c>
      <c r="V491">
        <f>VLOOKUP(Auto_Sales_data___Copy[[#This Row],[CUSTOMER_NAME]],$AF$2:$AH$90,3,FALSE)</f>
        <v>67506.969999999987</v>
      </c>
      <c r="W491" s="2">
        <f>6-MATCH(Auto_Sales_data___Copy[[#This Row],[DAYS_SINCE_LAST_ORDER]],Table2[R-Cutoff],1)</f>
        <v>5</v>
      </c>
      <c r="X491" s="2">
        <f>MATCH(Auto_Sales_data___Copy[[#This Row],[Total_Orders_Per_Customer]],Table2[F-Cutoff],1)</f>
        <v>2</v>
      </c>
      <c r="Y491" s="2">
        <f>MATCH(Auto_Sales_data___Copy[[#This Row],[Total_Sales_Per_Customer]],Table2[M-Cutoff],1)</f>
        <v>2</v>
      </c>
      <c r="Z491" s="2" t="str">
        <f>Auto_Sales_data___Copy[[#This Row],[R-Score(1-5)]]&amp;Auto_Sales_data___Copy[[#This Row],[F-Score(1-5)]]&amp;Auto_Sales_data___Copy[[#This Row],[M-Score(1-5)]]</f>
        <v>522</v>
      </c>
      <c r="AA491" s="2" t="str" cm="1">
        <f t="array" ref="AA4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1" s="2" t="str">
        <f>VLOOKUP(Auto_Sales_data___Copy[[#This Row],[Segment Name]],Table3[],2,FALSE)</f>
        <v>Brand Awareness &amp; Value Proposition</v>
      </c>
    </row>
    <row r="492" spans="1:28" x14ac:dyDescent="0.25">
      <c r="A492">
        <v>10313</v>
      </c>
      <c r="B492">
        <v>40</v>
      </c>
      <c r="C492">
        <v>166.95</v>
      </c>
      <c r="D492">
        <v>7</v>
      </c>
      <c r="E492">
        <v>6678</v>
      </c>
      <c r="F492" s="1">
        <v>43760</v>
      </c>
      <c r="G492" s="2" t="s">
        <v>19</v>
      </c>
      <c r="H492" s="2" t="s">
        <v>183</v>
      </c>
      <c r="I492">
        <v>147</v>
      </c>
      <c r="J492" s="2" t="s">
        <v>424</v>
      </c>
      <c r="K492" s="2" t="s">
        <v>231</v>
      </c>
      <c r="L492" s="2" t="s">
        <v>232</v>
      </c>
      <c r="M492" s="2" t="s">
        <v>233</v>
      </c>
      <c r="N492" s="2" t="s">
        <v>234</v>
      </c>
      <c r="O492" s="2" t="s">
        <v>235</v>
      </c>
      <c r="P492" s="2" t="s">
        <v>236</v>
      </c>
      <c r="Q492" s="2" t="s">
        <v>237</v>
      </c>
      <c r="R492" s="2" t="s">
        <v>238</v>
      </c>
      <c r="S492" s="2" t="s">
        <v>46</v>
      </c>
      <c r="T492">
        <v>364</v>
      </c>
      <c r="U492">
        <f>VLOOKUP(Auto_Sales_data___Copy[[#This Row],[CUSTOMER_NAME]],$AF$2:$AH$90,2,FALSE)</f>
        <v>22</v>
      </c>
      <c r="V492">
        <f>VLOOKUP(Auto_Sales_data___Copy[[#This Row],[CUSTOMER_NAME]],$AF$2:$AH$90,3,FALSE)</f>
        <v>75238.92</v>
      </c>
      <c r="W492" s="2">
        <f>6-MATCH(Auto_Sales_data___Copy[[#This Row],[DAYS_SINCE_LAST_ORDER]],Table2[R-Cutoff],1)</f>
        <v>5</v>
      </c>
      <c r="X492" s="2">
        <f>MATCH(Auto_Sales_data___Copy[[#This Row],[Total_Orders_Per_Customer]],Table2[F-Cutoff],1)</f>
        <v>2</v>
      </c>
      <c r="Y492" s="2">
        <f>MATCH(Auto_Sales_data___Copy[[#This Row],[Total_Sales_Per_Customer]],Table2[M-Cutoff],1)</f>
        <v>2</v>
      </c>
      <c r="Z492" s="2" t="str">
        <f>Auto_Sales_data___Copy[[#This Row],[R-Score(1-5)]]&amp;Auto_Sales_data___Copy[[#This Row],[F-Score(1-5)]]&amp;Auto_Sales_data___Copy[[#This Row],[M-Score(1-5)]]</f>
        <v>522</v>
      </c>
      <c r="AA492" s="2" t="str" cm="1">
        <f t="array" ref="AA4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2" s="2" t="str">
        <f>VLOOKUP(Auto_Sales_data___Copy[[#This Row],[Segment Name]],Table3[],2,FALSE)</f>
        <v>Brand Awareness &amp; Value Proposition</v>
      </c>
    </row>
    <row r="493" spans="1:28" x14ac:dyDescent="0.25">
      <c r="A493">
        <v>10313</v>
      </c>
      <c r="B493">
        <v>21</v>
      </c>
      <c r="C493">
        <v>127.1</v>
      </c>
      <c r="D493">
        <v>11</v>
      </c>
      <c r="E493">
        <v>2669.1</v>
      </c>
      <c r="F493" s="1">
        <v>43760</v>
      </c>
      <c r="G493" s="2" t="s">
        <v>19</v>
      </c>
      <c r="H493" s="2" t="s">
        <v>537</v>
      </c>
      <c r="I493">
        <v>136</v>
      </c>
      <c r="J493" s="2" t="s">
        <v>538</v>
      </c>
      <c r="K493" s="2" t="s">
        <v>231</v>
      </c>
      <c r="L493" s="2" t="s">
        <v>232</v>
      </c>
      <c r="M493" s="2" t="s">
        <v>233</v>
      </c>
      <c r="N493" s="2" t="s">
        <v>234</v>
      </c>
      <c r="O493" s="2" t="s">
        <v>235</v>
      </c>
      <c r="P493" s="2" t="s">
        <v>236</v>
      </c>
      <c r="Q493" s="2" t="s">
        <v>237</v>
      </c>
      <c r="R493" s="2" t="s">
        <v>238</v>
      </c>
      <c r="S493" s="2" t="s">
        <v>30</v>
      </c>
      <c r="T493">
        <v>441</v>
      </c>
      <c r="U493">
        <f>VLOOKUP(Auto_Sales_data___Copy[[#This Row],[CUSTOMER_NAME]],$AF$2:$AH$90,2,FALSE)</f>
        <v>22</v>
      </c>
      <c r="V493">
        <f>VLOOKUP(Auto_Sales_data___Copy[[#This Row],[CUSTOMER_NAME]],$AF$2:$AH$90,3,FALSE)</f>
        <v>75238.92</v>
      </c>
      <c r="W493" s="2">
        <f>6-MATCH(Auto_Sales_data___Copy[[#This Row],[DAYS_SINCE_LAST_ORDER]],Table2[R-Cutoff],1)</f>
        <v>5</v>
      </c>
      <c r="X493" s="2">
        <f>MATCH(Auto_Sales_data___Copy[[#This Row],[Total_Orders_Per_Customer]],Table2[F-Cutoff],1)</f>
        <v>2</v>
      </c>
      <c r="Y493" s="2">
        <f>MATCH(Auto_Sales_data___Copy[[#This Row],[Total_Sales_Per_Customer]],Table2[M-Cutoff],1)</f>
        <v>2</v>
      </c>
      <c r="Z493" s="2" t="str">
        <f>Auto_Sales_data___Copy[[#This Row],[R-Score(1-5)]]&amp;Auto_Sales_data___Copy[[#This Row],[F-Score(1-5)]]&amp;Auto_Sales_data___Copy[[#This Row],[M-Score(1-5)]]</f>
        <v>522</v>
      </c>
      <c r="AA493" s="2" t="str" cm="1">
        <f t="array" ref="AA4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3" s="2" t="str">
        <f>VLOOKUP(Auto_Sales_data___Copy[[#This Row],[Segment Name]],Table3[],2,FALSE)</f>
        <v>Brand Awareness &amp; Value Proposition</v>
      </c>
    </row>
    <row r="494" spans="1:28" x14ac:dyDescent="0.25">
      <c r="A494">
        <v>10313</v>
      </c>
      <c r="B494">
        <v>29</v>
      </c>
      <c r="C494">
        <v>117.82</v>
      </c>
      <c r="D494">
        <v>2</v>
      </c>
      <c r="E494">
        <v>3416.78</v>
      </c>
      <c r="F494" s="1">
        <v>43760</v>
      </c>
      <c r="G494" s="2" t="s">
        <v>19</v>
      </c>
      <c r="H494" s="2" t="s">
        <v>537</v>
      </c>
      <c r="I494">
        <v>122</v>
      </c>
      <c r="J494" s="2" t="s">
        <v>633</v>
      </c>
      <c r="K494" s="2" t="s">
        <v>231</v>
      </c>
      <c r="L494" s="2" t="s">
        <v>232</v>
      </c>
      <c r="M494" s="2" t="s">
        <v>233</v>
      </c>
      <c r="N494" s="2" t="s">
        <v>234</v>
      </c>
      <c r="O494" s="2" t="s">
        <v>235</v>
      </c>
      <c r="P494" s="2" t="s">
        <v>236</v>
      </c>
      <c r="Q494" s="2" t="s">
        <v>237</v>
      </c>
      <c r="R494" s="2" t="s">
        <v>238</v>
      </c>
      <c r="S494" s="2" t="s">
        <v>46</v>
      </c>
      <c r="T494">
        <v>913</v>
      </c>
      <c r="U494">
        <f>VLOOKUP(Auto_Sales_data___Copy[[#This Row],[CUSTOMER_NAME]],$AF$2:$AH$90,2,FALSE)</f>
        <v>22</v>
      </c>
      <c r="V494">
        <f>VLOOKUP(Auto_Sales_data___Copy[[#This Row],[CUSTOMER_NAME]],$AF$2:$AH$90,3,FALSE)</f>
        <v>75238.92</v>
      </c>
      <c r="W494" s="2">
        <f>6-MATCH(Auto_Sales_data___Copy[[#This Row],[DAYS_SINCE_LAST_ORDER]],Table2[R-Cutoff],1)</f>
        <v>5</v>
      </c>
      <c r="X494" s="2">
        <f>MATCH(Auto_Sales_data___Copy[[#This Row],[Total_Orders_Per_Customer]],Table2[F-Cutoff],1)</f>
        <v>2</v>
      </c>
      <c r="Y494" s="2">
        <f>MATCH(Auto_Sales_data___Copy[[#This Row],[Total_Sales_Per_Customer]],Table2[M-Cutoff],1)</f>
        <v>2</v>
      </c>
      <c r="Z494" s="2" t="str">
        <f>Auto_Sales_data___Copy[[#This Row],[R-Score(1-5)]]&amp;Auto_Sales_data___Copy[[#This Row],[F-Score(1-5)]]&amp;Auto_Sales_data___Copy[[#This Row],[M-Score(1-5)]]</f>
        <v>522</v>
      </c>
      <c r="AA494" s="2" t="str" cm="1">
        <f t="array" ref="AA4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4" s="2" t="str">
        <f>VLOOKUP(Auto_Sales_data___Copy[[#This Row],[Segment Name]],Table3[],2,FALSE)</f>
        <v>Brand Awareness &amp; Value Proposition</v>
      </c>
    </row>
    <row r="495" spans="1:28" x14ac:dyDescent="0.25">
      <c r="A495">
        <v>10320</v>
      </c>
      <c r="B495">
        <v>31</v>
      </c>
      <c r="C495">
        <v>221.81</v>
      </c>
      <c r="D495">
        <v>3</v>
      </c>
      <c r="E495">
        <v>6876.11</v>
      </c>
      <c r="F495" s="1">
        <v>43772</v>
      </c>
      <c r="G495" s="2" t="s">
        <v>19</v>
      </c>
      <c r="H495" s="2" t="s">
        <v>183</v>
      </c>
      <c r="I495">
        <v>194</v>
      </c>
      <c r="J495" s="2" t="s">
        <v>449</v>
      </c>
      <c r="K495" s="2" t="s">
        <v>185</v>
      </c>
      <c r="L495" s="2" t="s">
        <v>186</v>
      </c>
      <c r="M495" s="2" t="s">
        <v>187</v>
      </c>
      <c r="N495" s="2" t="s">
        <v>188</v>
      </c>
      <c r="O495" s="2" t="s">
        <v>189</v>
      </c>
      <c r="P495" s="2" t="s">
        <v>190</v>
      </c>
      <c r="Q495" s="2" t="s">
        <v>191</v>
      </c>
      <c r="R495" s="2" t="s">
        <v>192</v>
      </c>
      <c r="S495" s="2" t="s">
        <v>46</v>
      </c>
      <c r="T495">
        <v>378</v>
      </c>
      <c r="U495">
        <f>VLOOKUP(Auto_Sales_data___Copy[[#This Row],[CUSTOMER_NAME]],$AF$2:$AH$90,2,FALSE)</f>
        <v>19</v>
      </c>
      <c r="V495">
        <f>VLOOKUP(Auto_Sales_data___Copy[[#This Row],[CUSTOMER_NAME]],$AF$2:$AH$90,3,FALSE)</f>
        <v>75754.87999999999</v>
      </c>
      <c r="W495" s="2">
        <f>6-MATCH(Auto_Sales_data___Copy[[#This Row],[DAYS_SINCE_LAST_ORDER]],Table2[R-Cutoff],1)</f>
        <v>5</v>
      </c>
      <c r="X495" s="2">
        <f>MATCH(Auto_Sales_data___Copy[[#This Row],[Total_Orders_Per_Customer]],Table2[F-Cutoff],1)</f>
        <v>2</v>
      </c>
      <c r="Y495" s="2">
        <f>MATCH(Auto_Sales_data___Copy[[#This Row],[Total_Sales_Per_Customer]],Table2[M-Cutoff],1)</f>
        <v>2</v>
      </c>
      <c r="Z495" s="2" t="str">
        <f>Auto_Sales_data___Copy[[#This Row],[R-Score(1-5)]]&amp;Auto_Sales_data___Copy[[#This Row],[F-Score(1-5)]]&amp;Auto_Sales_data___Copy[[#This Row],[M-Score(1-5)]]</f>
        <v>522</v>
      </c>
      <c r="AA495" s="2" t="str" cm="1">
        <f t="array" ref="AA4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5" s="2" t="str">
        <f>VLOOKUP(Auto_Sales_data___Copy[[#This Row],[Segment Name]],Table3[],2,FALSE)</f>
        <v>Brand Awareness &amp; Value Proposition</v>
      </c>
    </row>
    <row r="496" spans="1:28" x14ac:dyDescent="0.25">
      <c r="A496">
        <v>10320</v>
      </c>
      <c r="B496">
        <v>35</v>
      </c>
      <c r="C496">
        <v>138.58000000000001</v>
      </c>
      <c r="D496">
        <v>1</v>
      </c>
      <c r="E496">
        <v>4850.3</v>
      </c>
      <c r="F496" s="1">
        <v>43772</v>
      </c>
      <c r="G496" s="2" t="s">
        <v>19</v>
      </c>
      <c r="H496" s="2" t="s">
        <v>183</v>
      </c>
      <c r="I496">
        <v>117</v>
      </c>
      <c r="J496" s="2" t="s">
        <v>546</v>
      </c>
      <c r="K496" s="2" t="s">
        <v>185</v>
      </c>
      <c r="L496" s="2" t="s">
        <v>186</v>
      </c>
      <c r="M496" s="2" t="s">
        <v>187</v>
      </c>
      <c r="N496" s="2" t="s">
        <v>188</v>
      </c>
      <c r="O496" s="2" t="s">
        <v>189</v>
      </c>
      <c r="P496" s="2" t="s">
        <v>190</v>
      </c>
      <c r="Q496" s="2" t="s">
        <v>191</v>
      </c>
      <c r="R496" s="2" t="s">
        <v>192</v>
      </c>
      <c r="S496" s="2" t="s">
        <v>46</v>
      </c>
      <c r="T496">
        <v>503</v>
      </c>
      <c r="U496">
        <f>VLOOKUP(Auto_Sales_data___Copy[[#This Row],[CUSTOMER_NAME]],$AF$2:$AH$90,2,FALSE)</f>
        <v>19</v>
      </c>
      <c r="V496">
        <f>VLOOKUP(Auto_Sales_data___Copy[[#This Row],[CUSTOMER_NAME]],$AF$2:$AH$90,3,FALSE)</f>
        <v>75754.87999999999</v>
      </c>
      <c r="W496" s="2">
        <f>6-MATCH(Auto_Sales_data___Copy[[#This Row],[DAYS_SINCE_LAST_ORDER]],Table2[R-Cutoff],1)</f>
        <v>5</v>
      </c>
      <c r="X496" s="2">
        <f>MATCH(Auto_Sales_data___Copy[[#This Row],[Total_Orders_Per_Customer]],Table2[F-Cutoff],1)</f>
        <v>2</v>
      </c>
      <c r="Y496" s="2">
        <f>MATCH(Auto_Sales_data___Copy[[#This Row],[Total_Sales_Per_Customer]],Table2[M-Cutoff],1)</f>
        <v>2</v>
      </c>
      <c r="Z496" s="2" t="str">
        <f>Auto_Sales_data___Copy[[#This Row],[R-Score(1-5)]]&amp;Auto_Sales_data___Copy[[#This Row],[F-Score(1-5)]]&amp;Auto_Sales_data___Copy[[#This Row],[M-Score(1-5)]]</f>
        <v>522</v>
      </c>
      <c r="AA496" s="2" t="str" cm="1">
        <f t="array" ref="AA4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6" s="2" t="str">
        <f>VLOOKUP(Auto_Sales_data___Copy[[#This Row],[Segment Name]],Table3[],2,FALSE)</f>
        <v>Brand Awareness &amp; Value Proposition</v>
      </c>
    </row>
    <row r="497" spans="1:28" x14ac:dyDescent="0.25">
      <c r="A497">
        <v>10320</v>
      </c>
      <c r="B497">
        <v>38</v>
      </c>
      <c r="C497">
        <v>73.42</v>
      </c>
      <c r="D497">
        <v>4</v>
      </c>
      <c r="E497">
        <v>2789.96</v>
      </c>
      <c r="F497" s="1">
        <v>43772</v>
      </c>
      <c r="G497" s="2" t="s">
        <v>19</v>
      </c>
      <c r="H497" s="2" t="s">
        <v>183</v>
      </c>
      <c r="I497">
        <v>79</v>
      </c>
      <c r="J497" s="2" t="s">
        <v>553</v>
      </c>
      <c r="K497" s="2" t="s">
        <v>185</v>
      </c>
      <c r="L497" s="2" t="s">
        <v>186</v>
      </c>
      <c r="M497" s="2" t="s">
        <v>187</v>
      </c>
      <c r="N497" s="2" t="s">
        <v>188</v>
      </c>
      <c r="O497" s="2" t="s">
        <v>189</v>
      </c>
      <c r="P497" s="2" t="s">
        <v>190</v>
      </c>
      <c r="Q497" s="2" t="s">
        <v>191</v>
      </c>
      <c r="R497" s="2" t="s">
        <v>192</v>
      </c>
      <c r="S497" s="2" t="s">
        <v>30</v>
      </c>
      <c r="T497">
        <v>553</v>
      </c>
      <c r="U497">
        <f>VLOOKUP(Auto_Sales_data___Copy[[#This Row],[CUSTOMER_NAME]],$AF$2:$AH$90,2,FALSE)</f>
        <v>19</v>
      </c>
      <c r="V497">
        <f>VLOOKUP(Auto_Sales_data___Copy[[#This Row],[CUSTOMER_NAME]],$AF$2:$AH$90,3,FALSE)</f>
        <v>75754.87999999999</v>
      </c>
      <c r="W497" s="2">
        <f>6-MATCH(Auto_Sales_data___Copy[[#This Row],[DAYS_SINCE_LAST_ORDER]],Table2[R-Cutoff],1)</f>
        <v>5</v>
      </c>
      <c r="X497" s="2">
        <f>MATCH(Auto_Sales_data___Copy[[#This Row],[Total_Orders_Per_Customer]],Table2[F-Cutoff],1)</f>
        <v>2</v>
      </c>
      <c r="Y497" s="2">
        <f>MATCH(Auto_Sales_data___Copy[[#This Row],[Total_Sales_Per_Customer]],Table2[M-Cutoff],1)</f>
        <v>2</v>
      </c>
      <c r="Z497" s="2" t="str">
        <f>Auto_Sales_data___Copy[[#This Row],[R-Score(1-5)]]&amp;Auto_Sales_data___Copy[[#This Row],[F-Score(1-5)]]&amp;Auto_Sales_data___Copy[[#This Row],[M-Score(1-5)]]</f>
        <v>522</v>
      </c>
      <c r="AA497" s="2" t="str" cm="1">
        <f t="array" ref="AA4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7" s="2" t="str">
        <f>VLOOKUP(Auto_Sales_data___Copy[[#This Row],[Segment Name]],Table3[],2,FALSE)</f>
        <v>Brand Awareness &amp; Value Proposition</v>
      </c>
    </row>
    <row r="498" spans="1:28" x14ac:dyDescent="0.25">
      <c r="A498">
        <v>10334</v>
      </c>
      <c r="B498">
        <v>26</v>
      </c>
      <c r="C498">
        <v>122.62</v>
      </c>
      <c r="D498">
        <v>2</v>
      </c>
      <c r="E498">
        <v>3188.12</v>
      </c>
      <c r="F498" s="1">
        <v>43788</v>
      </c>
      <c r="G498" s="2" t="s">
        <v>423</v>
      </c>
      <c r="H498" s="2" t="s">
        <v>183</v>
      </c>
      <c r="I498">
        <v>147</v>
      </c>
      <c r="J498" s="2" t="s">
        <v>424</v>
      </c>
      <c r="K498" s="2" t="s">
        <v>185</v>
      </c>
      <c r="L498" s="2" t="s">
        <v>186</v>
      </c>
      <c r="M498" s="2" t="s">
        <v>187</v>
      </c>
      <c r="N498" s="2" t="s">
        <v>188</v>
      </c>
      <c r="O498" s="2" t="s">
        <v>189</v>
      </c>
      <c r="P498" s="2" t="s">
        <v>190</v>
      </c>
      <c r="Q498" s="2" t="s">
        <v>191</v>
      </c>
      <c r="R498" s="2" t="s">
        <v>192</v>
      </c>
      <c r="S498" s="2" t="s">
        <v>46</v>
      </c>
      <c r="T498">
        <v>338</v>
      </c>
      <c r="U498">
        <f>VLOOKUP(Auto_Sales_data___Copy[[#This Row],[CUSTOMER_NAME]],$AF$2:$AH$90,2,FALSE)</f>
        <v>19</v>
      </c>
      <c r="V498">
        <f>VLOOKUP(Auto_Sales_data___Copy[[#This Row],[CUSTOMER_NAME]],$AF$2:$AH$90,3,FALSE)</f>
        <v>75754.87999999999</v>
      </c>
      <c r="W498" s="2">
        <f>6-MATCH(Auto_Sales_data___Copy[[#This Row],[DAYS_SINCE_LAST_ORDER]],Table2[R-Cutoff],1)</f>
        <v>5</v>
      </c>
      <c r="X498" s="2">
        <f>MATCH(Auto_Sales_data___Copy[[#This Row],[Total_Orders_Per_Customer]],Table2[F-Cutoff],1)</f>
        <v>2</v>
      </c>
      <c r="Y498" s="2">
        <f>MATCH(Auto_Sales_data___Copy[[#This Row],[Total_Sales_Per_Customer]],Table2[M-Cutoff],1)</f>
        <v>2</v>
      </c>
      <c r="Z498" s="2" t="str">
        <f>Auto_Sales_data___Copy[[#This Row],[R-Score(1-5)]]&amp;Auto_Sales_data___Copy[[#This Row],[F-Score(1-5)]]&amp;Auto_Sales_data___Copy[[#This Row],[M-Score(1-5)]]</f>
        <v>522</v>
      </c>
      <c r="AA498" s="2" t="str" cm="1">
        <f t="array" ref="AA4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8" s="2" t="str">
        <f>VLOOKUP(Auto_Sales_data___Copy[[#This Row],[Segment Name]],Table3[],2,FALSE)</f>
        <v>Brand Awareness &amp; Value Proposition</v>
      </c>
    </row>
    <row r="499" spans="1:28" x14ac:dyDescent="0.25">
      <c r="A499">
        <v>10334</v>
      </c>
      <c r="B499">
        <v>46</v>
      </c>
      <c r="C499">
        <v>126.41</v>
      </c>
      <c r="D499">
        <v>6</v>
      </c>
      <c r="E499">
        <v>5814.86</v>
      </c>
      <c r="F499" s="1">
        <v>43788</v>
      </c>
      <c r="G499" s="2" t="s">
        <v>423</v>
      </c>
      <c r="H499" s="2" t="s">
        <v>537</v>
      </c>
      <c r="I499">
        <v>122</v>
      </c>
      <c r="J499" s="2" t="s">
        <v>633</v>
      </c>
      <c r="K499" s="2" t="s">
        <v>185</v>
      </c>
      <c r="L499" s="2" t="s">
        <v>186</v>
      </c>
      <c r="M499" s="2" t="s">
        <v>187</v>
      </c>
      <c r="N499" s="2" t="s">
        <v>188</v>
      </c>
      <c r="O499" s="2" t="s">
        <v>189</v>
      </c>
      <c r="P499" s="2" t="s">
        <v>190</v>
      </c>
      <c r="Q499" s="2" t="s">
        <v>191</v>
      </c>
      <c r="R499" s="2" t="s">
        <v>192</v>
      </c>
      <c r="S499" s="2" t="s">
        <v>46</v>
      </c>
      <c r="T499">
        <v>887</v>
      </c>
      <c r="U499">
        <f>VLOOKUP(Auto_Sales_data___Copy[[#This Row],[CUSTOMER_NAME]],$AF$2:$AH$90,2,FALSE)</f>
        <v>19</v>
      </c>
      <c r="V499">
        <f>VLOOKUP(Auto_Sales_data___Copy[[#This Row],[CUSTOMER_NAME]],$AF$2:$AH$90,3,FALSE)</f>
        <v>75754.87999999999</v>
      </c>
      <c r="W499" s="2">
        <f>6-MATCH(Auto_Sales_data___Copy[[#This Row],[DAYS_SINCE_LAST_ORDER]],Table2[R-Cutoff],1)</f>
        <v>5</v>
      </c>
      <c r="X499" s="2">
        <f>MATCH(Auto_Sales_data___Copy[[#This Row],[Total_Orders_Per_Customer]],Table2[F-Cutoff],1)</f>
        <v>2</v>
      </c>
      <c r="Y499" s="2">
        <f>MATCH(Auto_Sales_data___Copy[[#This Row],[Total_Sales_Per_Customer]],Table2[M-Cutoff],1)</f>
        <v>2</v>
      </c>
      <c r="Z499" s="2" t="str">
        <f>Auto_Sales_data___Copy[[#This Row],[R-Score(1-5)]]&amp;Auto_Sales_data___Copy[[#This Row],[F-Score(1-5)]]&amp;Auto_Sales_data___Copy[[#This Row],[M-Score(1-5)]]</f>
        <v>522</v>
      </c>
      <c r="AA499" s="2" t="str" cm="1">
        <f t="array" ref="AA4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9" s="2" t="str">
        <f>VLOOKUP(Auto_Sales_data___Copy[[#This Row],[Segment Name]],Table3[],2,FALSE)</f>
        <v>Brand Awareness &amp; Value Proposition</v>
      </c>
    </row>
    <row r="500" spans="1:28" x14ac:dyDescent="0.25">
      <c r="A500">
        <v>10334</v>
      </c>
      <c r="B500">
        <v>34</v>
      </c>
      <c r="C500">
        <v>61.38</v>
      </c>
      <c r="D500">
        <v>1</v>
      </c>
      <c r="E500">
        <v>2086.92</v>
      </c>
      <c r="F500" s="1">
        <v>43788</v>
      </c>
      <c r="G500" s="2" t="s">
        <v>423</v>
      </c>
      <c r="H500" s="2" t="s">
        <v>537</v>
      </c>
      <c r="I500">
        <v>60</v>
      </c>
      <c r="J500" s="2" t="s">
        <v>635</v>
      </c>
      <c r="K500" s="2" t="s">
        <v>185</v>
      </c>
      <c r="L500" s="2" t="s">
        <v>186</v>
      </c>
      <c r="M500" s="2" t="s">
        <v>187</v>
      </c>
      <c r="N500" s="2" t="s">
        <v>188</v>
      </c>
      <c r="O500" s="2" t="s">
        <v>189</v>
      </c>
      <c r="P500" s="2" t="s">
        <v>190</v>
      </c>
      <c r="Q500" s="2" t="s">
        <v>191</v>
      </c>
      <c r="R500" s="2" t="s">
        <v>192</v>
      </c>
      <c r="S500" s="2" t="s">
        <v>30</v>
      </c>
      <c r="T500">
        <v>938</v>
      </c>
      <c r="U500">
        <f>VLOOKUP(Auto_Sales_data___Copy[[#This Row],[CUSTOMER_NAME]],$AF$2:$AH$90,2,FALSE)</f>
        <v>19</v>
      </c>
      <c r="V500">
        <f>VLOOKUP(Auto_Sales_data___Copy[[#This Row],[CUSTOMER_NAME]],$AF$2:$AH$90,3,FALSE)</f>
        <v>75754.87999999999</v>
      </c>
      <c r="W500" s="2">
        <f>6-MATCH(Auto_Sales_data___Copy[[#This Row],[DAYS_SINCE_LAST_ORDER]],Table2[R-Cutoff],1)</f>
        <v>5</v>
      </c>
      <c r="X500" s="2">
        <f>MATCH(Auto_Sales_data___Copy[[#This Row],[Total_Orders_Per_Customer]],Table2[F-Cutoff],1)</f>
        <v>2</v>
      </c>
      <c r="Y500" s="2">
        <f>MATCH(Auto_Sales_data___Copy[[#This Row],[Total_Sales_Per_Customer]],Table2[M-Cutoff],1)</f>
        <v>2</v>
      </c>
      <c r="Z500" s="2" t="str">
        <f>Auto_Sales_data___Copy[[#This Row],[R-Score(1-5)]]&amp;Auto_Sales_data___Copy[[#This Row],[F-Score(1-5)]]&amp;Auto_Sales_data___Copy[[#This Row],[M-Score(1-5)]]</f>
        <v>522</v>
      </c>
      <c r="AA500" s="2" t="str" cm="1">
        <f t="array" ref="AA5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0" s="2" t="str">
        <f>VLOOKUP(Auto_Sales_data___Copy[[#This Row],[Segment Name]],Table3[],2,FALSE)</f>
        <v>Brand Awareness &amp; Value Proposition</v>
      </c>
    </row>
    <row r="501" spans="1:28" x14ac:dyDescent="0.25">
      <c r="A501">
        <v>10337</v>
      </c>
      <c r="B501">
        <v>25</v>
      </c>
      <c r="C501">
        <v>48.05</v>
      </c>
      <c r="D501">
        <v>8</v>
      </c>
      <c r="E501">
        <v>1201.25</v>
      </c>
      <c r="F501" s="1">
        <v>43790</v>
      </c>
      <c r="G501" s="2" t="s">
        <v>19</v>
      </c>
      <c r="H501" s="2" t="s">
        <v>183</v>
      </c>
      <c r="I501">
        <v>136</v>
      </c>
      <c r="J501" s="2" t="s">
        <v>338</v>
      </c>
      <c r="K501" s="2" t="s">
        <v>206</v>
      </c>
      <c r="L501" s="2" t="s">
        <v>207</v>
      </c>
      <c r="M501" s="2" t="s">
        <v>208</v>
      </c>
      <c r="N501" s="2" t="s">
        <v>25</v>
      </c>
      <c r="O501" s="2" t="s">
        <v>26</v>
      </c>
      <c r="P501" s="2" t="s">
        <v>27</v>
      </c>
      <c r="Q501" s="2" t="s">
        <v>120</v>
      </c>
      <c r="R501" s="2" t="s">
        <v>209</v>
      </c>
      <c r="S501" s="2" t="s">
        <v>30</v>
      </c>
      <c r="T501">
        <v>309</v>
      </c>
      <c r="U501">
        <f>VLOOKUP(Auto_Sales_data___Copy[[#This Row],[CUSTOMER_NAME]],$AF$2:$AH$90,2,FALSE)</f>
        <v>20</v>
      </c>
      <c r="V501">
        <f>VLOOKUP(Auto_Sales_data___Copy[[#This Row],[CUSTOMER_NAME]],$AF$2:$AH$90,3,FALSE)</f>
        <v>77795.200000000012</v>
      </c>
      <c r="W501" s="2">
        <f>6-MATCH(Auto_Sales_data___Copy[[#This Row],[DAYS_SINCE_LAST_ORDER]],Table2[R-Cutoff],1)</f>
        <v>5</v>
      </c>
      <c r="X501" s="2">
        <f>MATCH(Auto_Sales_data___Copy[[#This Row],[Total_Orders_Per_Customer]],Table2[F-Cutoff],1)</f>
        <v>2</v>
      </c>
      <c r="Y501" s="2">
        <f>MATCH(Auto_Sales_data___Copy[[#This Row],[Total_Sales_Per_Customer]],Table2[M-Cutoff],1)</f>
        <v>2</v>
      </c>
      <c r="Z501" s="2" t="str">
        <f>Auto_Sales_data___Copy[[#This Row],[R-Score(1-5)]]&amp;Auto_Sales_data___Copy[[#This Row],[F-Score(1-5)]]&amp;Auto_Sales_data___Copy[[#This Row],[M-Score(1-5)]]</f>
        <v>522</v>
      </c>
      <c r="AA501" s="2" t="str" cm="1">
        <f t="array" ref="AA5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1" s="2" t="str">
        <f>VLOOKUP(Auto_Sales_data___Copy[[#This Row],[Segment Name]],Table3[],2,FALSE)</f>
        <v>Brand Awareness &amp; Value Proposition</v>
      </c>
    </row>
    <row r="502" spans="1:28" x14ac:dyDescent="0.25">
      <c r="A502">
        <v>10356</v>
      </c>
      <c r="B502">
        <v>43</v>
      </c>
      <c r="C502">
        <v>97.6</v>
      </c>
      <c r="D502">
        <v>8</v>
      </c>
      <c r="E502">
        <v>4196.8</v>
      </c>
      <c r="F502" s="1">
        <v>43808</v>
      </c>
      <c r="G502" s="2" t="s">
        <v>19</v>
      </c>
      <c r="H502" s="2" t="s">
        <v>183</v>
      </c>
      <c r="I502">
        <v>141</v>
      </c>
      <c r="J502" s="2" t="s">
        <v>576</v>
      </c>
      <c r="K502" s="2" t="s">
        <v>39</v>
      </c>
      <c r="L502" s="2" t="s">
        <v>40</v>
      </c>
      <c r="M502" s="2" t="s">
        <v>41</v>
      </c>
      <c r="N502" s="2" t="s">
        <v>42</v>
      </c>
      <c r="O502" s="2" t="s">
        <v>43</v>
      </c>
      <c r="P502" s="2" t="s">
        <v>36</v>
      </c>
      <c r="Q502" s="2" t="s">
        <v>44</v>
      </c>
      <c r="R502" s="2" t="s">
        <v>45</v>
      </c>
      <c r="S502" s="2" t="s">
        <v>46</v>
      </c>
      <c r="T502">
        <v>623</v>
      </c>
      <c r="U502">
        <f>VLOOKUP(Auto_Sales_data___Copy[[#This Row],[CUSTOMER_NAME]],$AF$2:$AH$90,2,FALSE)</f>
        <v>20</v>
      </c>
      <c r="V502">
        <f>VLOOKUP(Auto_Sales_data___Copy[[#This Row],[CUSTOMER_NAME]],$AF$2:$AH$90,3,FALSE)</f>
        <v>78570.34</v>
      </c>
      <c r="W502" s="2">
        <f>6-MATCH(Auto_Sales_data___Copy[[#This Row],[DAYS_SINCE_LAST_ORDER]],Table2[R-Cutoff],1)</f>
        <v>5</v>
      </c>
      <c r="X502" s="2">
        <f>MATCH(Auto_Sales_data___Copy[[#This Row],[Total_Orders_Per_Customer]],Table2[F-Cutoff],1)</f>
        <v>2</v>
      </c>
      <c r="Y502" s="2">
        <f>MATCH(Auto_Sales_data___Copy[[#This Row],[Total_Sales_Per_Customer]],Table2[M-Cutoff],1)</f>
        <v>2</v>
      </c>
      <c r="Z502" s="2" t="str">
        <f>Auto_Sales_data___Copy[[#This Row],[R-Score(1-5)]]&amp;Auto_Sales_data___Copy[[#This Row],[F-Score(1-5)]]&amp;Auto_Sales_data___Copy[[#This Row],[M-Score(1-5)]]</f>
        <v>522</v>
      </c>
      <c r="AA502" s="2" t="str" cm="1">
        <f t="array" ref="AA5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2" s="2" t="str">
        <f>VLOOKUP(Auto_Sales_data___Copy[[#This Row],[Segment Name]],Table3[],2,FALSE)</f>
        <v>Brand Awareness &amp; Value Proposition</v>
      </c>
    </row>
    <row r="503" spans="1:28" x14ac:dyDescent="0.25">
      <c r="A503">
        <v>10356</v>
      </c>
      <c r="B503">
        <v>50</v>
      </c>
      <c r="C503">
        <v>50.18</v>
      </c>
      <c r="D503">
        <v>9</v>
      </c>
      <c r="E503">
        <v>2509</v>
      </c>
      <c r="F503" s="1">
        <v>43808</v>
      </c>
      <c r="G503" s="2" t="s">
        <v>19</v>
      </c>
      <c r="H503" s="2" t="s">
        <v>589</v>
      </c>
      <c r="I503">
        <v>102</v>
      </c>
      <c r="J503" s="2" t="s">
        <v>590</v>
      </c>
      <c r="K503" s="2" t="s">
        <v>39</v>
      </c>
      <c r="L503" s="2" t="s">
        <v>40</v>
      </c>
      <c r="M503" s="2" t="s">
        <v>41</v>
      </c>
      <c r="N503" s="2" t="s">
        <v>42</v>
      </c>
      <c r="O503" s="2" t="s">
        <v>43</v>
      </c>
      <c r="P503" s="2" t="s">
        <v>36</v>
      </c>
      <c r="Q503" s="2" t="s">
        <v>44</v>
      </c>
      <c r="R503" s="2" t="s">
        <v>45</v>
      </c>
      <c r="S503" s="2" t="s">
        <v>30</v>
      </c>
      <c r="T503">
        <v>648</v>
      </c>
      <c r="U503">
        <f>VLOOKUP(Auto_Sales_data___Copy[[#This Row],[CUSTOMER_NAME]],$AF$2:$AH$90,2,FALSE)</f>
        <v>20</v>
      </c>
      <c r="V503">
        <f>VLOOKUP(Auto_Sales_data___Copy[[#This Row],[CUSTOMER_NAME]],$AF$2:$AH$90,3,FALSE)</f>
        <v>78570.34</v>
      </c>
      <c r="W503" s="2">
        <f>6-MATCH(Auto_Sales_data___Copy[[#This Row],[DAYS_SINCE_LAST_ORDER]],Table2[R-Cutoff],1)</f>
        <v>5</v>
      </c>
      <c r="X503" s="2">
        <f>MATCH(Auto_Sales_data___Copy[[#This Row],[Total_Orders_Per_Customer]],Table2[F-Cutoff],1)</f>
        <v>2</v>
      </c>
      <c r="Y503" s="2">
        <f>MATCH(Auto_Sales_data___Copy[[#This Row],[Total_Sales_Per_Customer]],Table2[M-Cutoff],1)</f>
        <v>2</v>
      </c>
      <c r="Z503" s="2" t="str">
        <f>Auto_Sales_data___Copy[[#This Row],[R-Score(1-5)]]&amp;Auto_Sales_data___Copy[[#This Row],[F-Score(1-5)]]&amp;Auto_Sales_data___Copy[[#This Row],[M-Score(1-5)]]</f>
        <v>522</v>
      </c>
      <c r="AA503" s="2" t="str" cm="1">
        <f t="array" ref="AA5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3" s="2" t="str">
        <f>VLOOKUP(Auto_Sales_data___Copy[[#This Row],[Segment Name]],Table3[],2,FALSE)</f>
        <v>Brand Awareness &amp; Value Proposition</v>
      </c>
    </row>
    <row r="504" spans="1:28" x14ac:dyDescent="0.25">
      <c r="A504">
        <v>10356</v>
      </c>
      <c r="B504">
        <v>22</v>
      </c>
      <c r="C504">
        <v>72.41</v>
      </c>
      <c r="D504">
        <v>6</v>
      </c>
      <c r="E504">
        <v>1593.02</v>
      </c>
      <c r="F504" s="1">
        <v>43808</v>
      </c>
      <c r="G504" s="2" t="s">
        <v>19</v>
      </c>
      <c r="H504" s="2" t="s">
        <v>589</v>
      </c>
      <c r="I504">
        <v>53</v>
      </c>
      <c r="J504" s="2" t="s">
        <v>605</v>
      </c>
      <c r="K504" s="2" t="s">
        <v>39</v>
      </c>
      <c r="L504" s="2" t="s">
        <v>40</v>
      </c>
      <c r="M504" s="2" t="s">
        <v>41</v>
      </c>
      <c r="N504" s="2" t="s">
        <v>42</v>
      </c>
      <c r="O504" s="2" t="s">
        <v>43</v>
      </c>
      <c r="P504" s="2" t="s">
        <v>36</v>
      </c>
      <c r="Q504" s="2" t="s">
        <v>44</v>
      </c>
      <c r="R504" s="2" t="s">
        <v>45</v>
      </c>
      <c r="S504" s="2" t="s">
        <v>30</v>
      </c>
      <c r="T504">
        <v>672</v>
      </c>
      <c r="U504">
        <f>VLOOKUP(Auto_Sales_data___Copy[[#This Row],[CUSTOMER_NAME]],$AF$2:$AH$90,2,FALSE)</f>
        <v>20</v>
      </c>
      <c r="V504">
        <f>VLOOKUP(Auto_Sales_data___Copy[[#This Row],[CUSTOMER_NAME]],$AF$2:$AH$90,3,FALSE)</f>
        <v>78570.34</v>
      </c>
      <c r="W504" s="2">
        <f>6-MATCH(Auto_Sales_data___Copy[[#This Row],[DAYS_SINCE_LAST_ORDER]],Table2[R-Cutoff],1)</f>
        <v>5</v>
      </c>
      <c r="X504" s="2">
        <f>MATCH(Auto_Sales_data___Copy[[#This Row],[Total_Orders_Per_Customer]],Table2[F-Cutoff],1)</f>
        <v>2</v>
      </c>
      <c r="Y504" s="2">
        <f>MATCH(Auto_Sales_data___Copy[[#This Row],[Total_Sales_Per_Customer]],Table2[M-Cutoff],1)</f>
        <v>2</v>
      </c>
      <c r="Z504" s="2" t="str">
        <f>Auto_Sales_data___Copy[[#This Row],[R-Score(1-5)]]&amp;Auto_Sales_data___Copy[[#This Row],[F-Score(1-5)]]&amp;Auto_Sales_data___Copy[[#This Row],[M-Score(1-5)]]</f>
        <v>522</v>
      </c>
      <c r="AA504" s="2" t="str" cm="1">
        <f t="array" ref="AA5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4" s="2" t="str">
        <f>VLOOKUP(Auto_Sales_data___Copy[[#This Row],[Segment Name]],Table3[],2,FALSE)</f>
        <v>Brand Awareness &amp; Value Proposition</v>
      </c>
    </row>
    <row r="505" spans="1:28" x14ac:dyDescent="0.25">
      <c r="A505">
        <v>10356</v>
      </c>
      <c r="B505">
        <v>27</v>
      </c>
      <c r="C505">
        <v>64.69</v>
      </c>
      <c r="D505">
        <v>2</v>
      </c>
      <c r="E505">
        <v>1746.63</v>
      </c>
      <c r="F505" s="1">
        <v>43808</v>
      </c>
      <c r="G505" s="2" t="s">
        <v>19</v>
      </c>
      <c r="H505" s="2" t="s">
        <v>183</v>
      </c>
      <c r="I505">
        <v>142</v>
      </c>
      <c r="J505" s="2" t="s">
        <v>630</v>
      </c>
      <c r="K505" s="2" t="s">
        <v>39</v>
      </c>
      <c r="L505" s="2" t="s">
        <v>40</v>
      </c>
      <c r="M505" s="2" t="s">
        <v>41</v>
      </c>
      <c r="N505" s="2" t="s">
        <v>42</v>
      </c>
      <c r="O505" s="2" t="s">
        <v>43</v>
      </c>
      <c r="P505" s="2" t="s">
        <v>36</v>
      </c>
      <c r="Q505" s="2" t="s">
        <v>44</v>
      </c>
      <c r="R505" s="2" t="s">
        <v>45</v>
      </c>
      <c r="S505" s="2" t="s">
        <v>30</v>
      </c>
      <c r="T505">
        <v>794</v>
      </c>
      <c r="U505">
        <f>VLOOKUP(Auto_Sales_data___Copy[[#This Row],[CUSTOMER_NAME]],$AF$2:$AH$90,2,FALSE)</f>
        <v>20</v>
      </c>
      <c r="V505">
        <f>VLOOKUP(Auto_Sales_data___Copy[[#This Row],[CUSTOMER_NAME]],$AF$2:$AH$90,3,FALSE)</f>
        <v>78570.34</v>
      </c>
      <c r="W505" s="2">
        <f>6-MATCH(Auto_Sales_data___Copy[[#This Row],[DAYS_SINCE_LAST_ORDER]],Table2[R-Cutoff],1)</f>
        <v>5</v>
      </c>
      <c r="X505" s="2">
        <f>MATCH(Auto_Sales_data___Copy[[#This Row],[Total_Orders_Per_Customer]],Table2[F-Cutoff],1)</f>
        <v>2</v>
      </c>
      <c r="Y505" s="2">
        <f>MATCH(Auto_Sales_data___Copy[[#This Row],[Total_Sales_Per_Customer]],Table2[M-Cutoff],1)</f>
        <v>2</v>
      </c>
      <c r="Z505" s="2" t="str">
        <f>Auto_Sales_data___Copy[[#This Row],[R-Score(1-5)]]&amp;Auto_Sales_data___Copy[[#This Row],[F-Score(1-5)]]&amp;Auto_Sales_data___Copy[[#This Row],[M-Score(1-5)]]</f>
        <v>522</v>
      </c>
      <c r="AA505" s="2" t="str" cm="1">
        <f t="array" ref="AA5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5" s="2" t="str">
        <f>VLOOKUP(Auto_Sales_data___Copy[[#This Row],[Segment Name]],Table3[],2,FALSE)</f>
        <v>Brand Awareness &amp; Value Proposition</v>
      </c>
    </row>
    <row r="506" spans="1:28" x14ac:dyDescent="0.25">
      <c r="A506">
        <v>10356</v>
      </c>
      <c r="B506">
        <v>29</v>
      </c>
      <c r="C506">
        <v>125.18</v>
      </c>
      <c r="D506">
        <v>3</v>
      </c>
      <c r="E506">
        <v>3630.22</v>
      </c>
      <c r="F506" s="1">
        <v>43808</v>
      </c>
      <c r="G506" s="2" t="s">
        <v>19</v>
      </c>
      <c r="H506" s="2" t="s">
        <v>589</v>
      </c>
      <c r="I506">
        <v>127</v>
      </c>
      <c r="J506" s="2" t="s">
        <v>634</v>
      </c>
      <c r="K506" s="2" t="s">
        <v>39</v>
      </c>
      <c r="L506" s="2" t="s">
        <v>40</v>
      </c>
      <c r="M506" s="2" t="s">
        <v>41</v>
      </c>
      <c r="N506" s="2" t="s">
        <v>42</v>
      </c>
      <c r="O506" s="2" t="s">
        <v>43</v>
      </c>
      <c r="P506" s="2" t="s">
        <v>36</v>
      </c>
      <c r="Q506" s="2" t="s">
        <v>44</v>
      </c>
      <c r="R506" s="2" t="s">
        <v>45</v>
      </c>
      <c r="S506" s="2" t="s">
        <v>46</v>
      </c>
      <c r="T506">
        <v>892</v>
      </c>
      <c r="U506">
        <f>VLOOKUP(Auto_Sales_data___Copy[[#This Row],[CUSTOMER_NAME]],$AF$2:$AH$90,2,FALSE)</f>
        <v>20</v>
      </c>
      <c r="V506">
        <f>VLOOKUP(Auto_Sales_data___Copy[[#This Row],[CUSTOMER_NAME]],$AF$2:$AH$90,3,FALSE)</f>
        <v>78570.34</v>
      </c>
      <c r="W506" s="2">
        <f>6-MATCH(Auto_Sales_data___Copy[[#This Row],[DAYS_SINCE_LAST_ORDER]],Table2[R-Cutoff],1)</f>
        <v>5</v>
      </c>
      <c r="X506" s="2">
        <f>MATCH(Auto_Sales_data___Copy[[#This Row],[Total_Orders_Per_Customer]],Table2[F-Cutoff],1)</f>
        <v>2</v>
      </c>
      <c r="Y506" s="2">
        <f>MATCH(Auto_Sales_data___Copy[[#This Row],[Total_Sales_Per_Customer]],Table2[M-Cutoff],1)</f>
        <v>2</v>
      </c>
      <c r="Z506" s="2" t="str">
        <f>Auto_Sales_data___Copy[[#This Row],[R-Score(1-5)]]&amp;Auto_Sales_data___Copy[[#This Row],[F-Score(1-5)]]&amp;Auto_Sales_data___Copy[[#This Row],[M-Score(1-5)]]</f>
        <v>522</v>
      </c>
      <c r="AA506" s="2" t="str" cm="1">
        <f t="array" ref="AA5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6" s="2" t="str">
        <f>VLOOKUP(Auto_Sales_data___Copy[[#This Row],[Segment Name]],Table3[],2,FALSE)</f>
        <v>Brand Awareness &amp; Value Proposition</v>
      </c>
    </row>
    <row r="507" spans="1:28" x14ac:dyDescent="0.25">
      <c r="A507">
        <v>10395</v>
      </c>
      <c r="B507">
        <v>32</v>
      </c>
      <c r="C507">
        <v>105.33</v>
      </c>
      <c r="D507">
        <v>2</v>
      </c>
      <c r="E507">
        <v>3370.56</v>
      </c>
      <c r="F507" s="1">
        <v>43907</v>
      </c>
      <c r="G507" s="2" t="s">
        <v>19</v>
      </c>
      <c r="H507" s="2" t="s">
        <v>183</v>
      </c>
      <c r="I507">
        <v>136</v>
      </c>
      <c r="J507" s="2" t="s">
        <v>338</v>
      </c>
      <c r="K507" s="2" t="s">
        <v>39</v>
      </c>
      <c r="L507" s="2" t="s">
        <v>40</v>
      </c>
      <c r="M507" s="2" t="s">
        <v>41</v>
      </c>
      <c r="N507" s="2" t="s">
        <v>42</v>
      </c>
      <c r="O507" s="2" t="s">
        <v>43</v>
      </c>
      <c r="P507" s="2" t="s">
        <v>36</v>
      </c>
      <c r="Q507" s="2" t="s">
        <v>44</v>
      </c>
      <c r="R507" s="2" t="s">
        <v>45</v>
      </c>
      <c r="S507" s="2" t="s">
        <v>46</v>
      </c>
      <c r="T507">
        <v>196</v>
      </c>
      <c r="U507">
        <f>VLOOKUP(Auto_Sales_data___Copy[[#This Row],[CUSTOMER_NAME]],$AF$2:$AH$90,2,FALSE)</f>
        <v>20</v>
      </c>
      <c r="V507">
        <f>VLOOKUP(Auto_Sales_data___Copy[[#This Row],[CUSTOMER_NAME]],$AF$2:$AH$90,3,FALSE)</f>
        <v>78570.34</v>
      </c>
      <c r="W507" s="2">
        <f>6-MATCH(Auto_Sales_data___Copy[[#This Row],[DAYS_SINCE_LAST_ORDER]],Table2[R-Cutoff],1)</f>
        <v>5</v>
      </c>
      <c r="X507" s="2">
        <f>MATCH(Auto_Sales_data___Copy[[#This Row],[Total_Orders_Per_Customer]],Table2[F-Cutoff],1)</f>
        <v>2</v>
      </c>
      <c r="Y507" s="2">
        <f>MATCH(Auto_Sales_data___Copy[[#This Row],[Total_Sales_Per_Customer]],Table2[M-Cutoff],1)</f>
        <v>2</v>
      </c>
      <c r="Z507" s="2" t="str">
        <f>Auto_Sales_data___Copy[[#This Row],[R-Score(1-5)]]&amp;Auto_Sales_data___Copy[[#This Row],[F-Score(1-5)]]&amp;Auto_Sales_data___Copy[[#This Row],[M-Score(1-5)]]</f>
        <v>522</v>
      </c>
      <c r="AA507" s="2" t="str" cm="1">
        <f t="array" ref="AA5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7" s="2" t="str">
        <f>VLOOKUP(Auto_Sales_data___Copy[[#This Row],[Segment Name]],Table3[],2,FALSE)</f>
        <v>Brand Awareness &amp; Value Proposition</v>
      </c>
    </row>
    <row r="508" spans="1:28" x14ac:dyDescent="0.25">
      <c r="A508">
        <v>10395</v>
      </c>
      <c r="B508">
        <v>33</v>
      </c>
      <c r="C508">
        <v>69.12</v>
      </c>
      <c r="D508">
        <v>1</v>
      </c>
      <c r="E508">
        <v>2280.96</v>
      </c>
      <c r="F508" s="1">
        <v>43907</v>
      </c>
      <c r="G508" s="2" t="s">
        <v>19</v>
      </c>
      <c r="H508" s="2" t="s">
        <v>183</v>
      </c>
      <c r="I508">
        <v>207</v>
      </c>
      <c r="J508" s="2" t="s">
        <v>505</v>
      </c>
      <c r="K508" s="2" t="s">
        <v>39</v>
      </c>
      <c r="L508" s="2" t="s">
        <v>40</v>
      </c>
      <c r="M508" s="2" t="s">
        <v>41</v>
      </c>
      <c r="N508" s="2" t="s">
        <v>42</v>
      </c>
      <c r="O508" s="2" t="s">
        <v>43</v>
      </c>
      <c r="P508" s="2" t="s">
        <v>36</v>
      </c>
      <c r="Q508" s="2" t="s">
        <v>44</v>
      </c>
      <c r="R508" s="2" t="s">
        <v>45</v>
      </c>
      <c r="S508" s="2" t="s">
        <v>30</v>
      </c>
      <c r="T508">
        <v>274</v>
      </c>
      <c r="U508">
        <f>VLOOKUP(Auto_Sales_data___Copy[[#This Row],[CUSTOMER_NAME]],$AF$2:$AH$90,2,FALSE)</f>
        <v>20</v>
      </c>
      <c r="V508">
        <f>VLOOKUP(Auto_Sales_data___Copy[[#This Row],[CUSTOMER_NAME]],$AF$2:$AH$90,3,FALSE)</f>
        <v>78570.34</v>
      </c>
      <c r="W508" s="2">
        <f>6-MATCH(Auto_Sales_data___Copy[[#This Row],[DAYS_SINCE_LAST_ORDER]],Table2[R-Cutoff],1)</f>
        <v>5</v>
      </c>
      <c r="X508" s="2">
        <f>MATCH(Auto_Sales_data___Copy[[#This Row],[Total_Orders_Per_Customer]],Table2[F-Cutoff],1)</f>
        <v>2</v>
      </c>
      <c r="Y508" s="2">
        <f>MATCH(Auto_Sales_data___Copy[[#This Row],[Total_Sales_Per_Customer]],Table2[M-Cutoff],1)</f>
        <v>2</v>
      </c>
      <c r="Z508" s="2" t="str">
        <f>Auto_Sales_data___Copy[[#This Row],[R-Score(1-5)]]&amp;Auto_Sales_data___Copy[[#This Row],[F-Score(1-5)]]&amp;Auto_Sales_data___Copy[[#This Row],[M-Score(1-5)]]</f>
        <v>522</v>
      </c>
      <c r="AA508" s="2" t="str" cm="1">
        <f t="array" ref="AA5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8" s="2" t="str">
        <f>VLOOKUP(Auto_Sales_data___Copy[[#This Row],[Segment Name]],Table3[],2,FALSE)</f>
        <v>Brand Awareness &amp; Value Proposition</v>
      </c>
    </row>
    <row r="509" spans="1:28" x14ac:dyDescent="0.25">
      <c r="A509">
        <v>10411</v>
      </c>
      <c r="B509">
        <v>23</v>
      </c>
      <c r="C509">
        <v>180.01</v>
      </c>
      <c r="D509">
        <v>9</v>
      </c>
      <c r="E509">
        <v>4140.2299999999996</v>
      </c>
      <c r="F509" s="1">
        <v>43952</v>
      </c>
      <c r="G509" s="2" t="s">
        <v>19</v>
      </c>
      <c r="H509" s="2" t="s">
        <v>183</v>
      </c>
      <c r="I509">
        <v>214</v>
      </c>
      <c r="J509" s="2" t="s">
        <v>184</v>
      </c>
      <c r="K509" s="2" t="s">
        <v>307</v>
      </c>
      <c r="L509" s="2" t="s">
        <v>308</v>
      </c>
      <c r="M509" s="2" t="s">
        <v>309</v>
      </c>
      <c r="N509" s="2" t="s">
        <v>310</v>
      </c>
      <c r="O509" s="2" t="s">
        <v>311</v>
      </c>
      <c r="P509" s="2" t="s">
        <v>236</v>
      </c>
      <c r="Q509" s="2" t="s">
        <v>312</v>
      </c>
      <c r="R509" s="2" t="s">
        <v>313</v>
      </c>
      <c r="S509" s="2" t="s">
        <v>46</v>
      </c>
      <c r="T509">
        <v>79</v>
      </c>
      <c r="U509">
        <f>VLOOKUP(Auto_Sales_data___Copy[[#This Row],[CUSTOMER_NAME]],$AF$2:$AH$90,2,FALSE)</f>
        <v>22</v>
      </c>
      <c r="V509">
        <f>VLOOKUP(Auto_Sales_data___Copy[[#This Row],[CUSTOMER_NAME]],$AF$2:$AH$90,3,FALSE)</f>
        <v>74204.790000000008</v>
      </c>
      <c r="W509" s="2">
        <f>6-MATCH(Auto_Sales_data___Copy[[#This Row],[DAYS_SINCE_LAST_ORDER]],Table2[R-Cutoff],1)</f>
        <v>5</v>
      </c>
      <c r="X509" s="2">
        <f>MATCH(Auto_Sales_data___Copy[[#This Row],[Total_Orders_Per_Customer]],Table2[F-Cutoff],1)</f>
        <v>2</v>
      </c>
      <c r="Y509" s="2">
        <f>MATCH(Auto_Sales_data___Copy[[#This Row],[Total_Sales_Per_Customer]],Table2[M-Cutoff],1)</f>
        <v>2</v>
      </c>
      <c r="Z509" s="2" t="str">
        <f>Auto_Sales_data___Copy[[#This Row],[R-Score(1-5)]]&amp;Auto_Sales_data___Copy[[#This Row],[F-Score(1-5)]]&amp;Auto_Sales_data___Copy[[#This Row],[M-Score(1-5)]]</f>
        <v>522</v>
      </c>
      <c r="AA509" s="2" t="str" cm="1">
        <f t="array" ref="AA5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9" s="2" t="str">
        <f>VLOOKUP(Auto_Sales_data___Copy[[#This Row],[Segment Name]],Table3[],2,FALSE)</f>
        <v>Brand Awareness &amp; Value Proposition</v>
      </c>
    </row>
    <row r="510" spans="1:28" x14ac:dyDescent="0.25">
      <c r="A510">
        <v>10411</v>
      </c>
      <c r="B510">
        <v>27</v>
      </c>
      <c r="C510">
        <v>163.99</v>
      </c>
      <c r="D510">
        <v>2</v>
      </c>
      <c r="E510">
        <v>4427.7299999999996</v>
      </c>
      <c r="F510" s="1">
        <v>43952</v>
      </c>
      <c r="G510" s="2" t="s">
        <v>19</v>
      </c>
      <c r="H510" s="2" t="s">
        <v>183</v>
      </c>
      <c r="I510">
        <v>147</v>
      </c>
      <c r="J510" s="2" t="s">
        <v>424</v>
      </c>
      <c r="K510" s="2" t="s">
        <v>307</v>
      </c>
      <c r="L510" s="2" t="s">
        <v>308</v>
      </c>
      <c r="M510" s="2" t="s">
        <v>309</v>
      </c>
      <c r="N510" s="2" t="s">
        <v>310</v>
      </c>
      <c r="O510" s="2" t="s">
        <v>311</v>
      </c>
      <c r="P510" s="2" t="s">
        <v>236</v>
      </c>
      <c r="Q510" s="2" t="s">
        <v>312</v>
      </c>
      <c r="R510" s="2" t="s">
        <v>313</v>
      </c>
      <c r="S510" s="2" t="s">
        <v>46</v>
      </c>
      <c r="T510">
        <v>179</v>
      </c>
      <c r="U510">
        <f>VLOOKUP(Auto_Sales_data___Copy[[#This Row],[CUSTOMER_NAME]],$AF$2:$AH$90,2,FALSE)</f>
        <v>22</v>
      </c>
      <c r="V510">
        <f>VLOOKUP(Auto_Sales_data___Copy[[#This Row],[CUSTOMER_NAME]],$AF$2:$AH$90,3,FALSE)</f>
        <v>74204.790000000008</v>
      </c>
      <c r="W510" s="2">
        <f>6-MATCH(Auto_Sales_data___Copy[[#This Row],[DAYS_SINCE_LAST_ORDER]],Table2[R-Cutoff],1)</f>
        <v>5</v>
      </c>
      <c r="X510" s="2">
        <f>MATCH(Auto_Sales_data___Copy[[#This Row],[Total_Orders_Per_Customer]],Table2[F-Cutoff],1)</f>
        <v>2</v>
      </c>
      <c r="Y510" s="2">
        <f>MATCH(Auto_Sales_data___Copy[[#This Row],[Total_Sales_Per_Customer]],Table2[M-Cutoff],1)</f>
        <v>2</v>
      </c>
      <c r="Z510" s="2" t="str">
        <f>Auto_Sales_data___Copy[[#This Row],[R-Score(1-5)]]&amp;Auto_Sales_data___Copy[[#This Row],[F-Score(1-5)]]&amp;Auto_Sales_data___Copy[[#This Row],[M-Score(1-5)]]</f>
        <v>522</v>
      </c>
      <c r="AA510" s="2" t="str" cm="1">
        <f t="array" ref="AA5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0" s="2" t="str">
        <f>VLOOKUP(Auto_Sales_data___Copy[[#This Row],[Segment Name]],Table3[],2,FALSE)</f>
        <v>Brand Awareness &amp; Value Proposition</v>
      </c>
    </row>
    <row r="511" spans="1:28" x14ac:dyDescent="0.25">
      <c r="A511">
        <v>10411</v>
      </c>
      <c r="B511">
        <v>40</v>
      </c>
      <c r="C511">
        <v>155.80000000000001</v>
      </c>
      <c r="D511">
        <v>6</v>
      </c>
      <c r="E511">
        <v>6232</v>
      </c>
      <c r="F511" s="1">
        <v>43952</v>
      </c>
      <c r="G511" s="2" t="s">
        <v>19</v>
      </c>
      <c r="H511" s="2" t="s">
        <v>537</v>
      </c>
      <c r="I511">
        <v>136</v>
      </c>
      <c r="J511" s="2" t="s">
        <v>538</v>
      </c>
      <c r="K511" s="2" t="s">
        <v>307</v>
      </c>
      <c r="L511" s="2" t="s">
        <v>308</v>
      </c>
      <c r="M511" s="2" t="s">
        <v>309</v>
      </c>
      <c r="N511" s="2" t="s">
        <v>310</v>
      </c>
      <c r="O511" s="2" t="s">
        <v>311</v>
      </c>
      <c r="P511" s="2" t="s">
        <v>236</v>
      </c>
      <c r="Q511" s="2" t="s">
        <v>312</v>
      </c>
      <c r="R511" s="2" t="s">
        <v>313</v>
      </c>
      <c r="S511" s="2" t="s">
        <v>46</v>
      </c>
      <c r="T511">
        <v>255</v>
      </c>
      <c r="U511">
        <f>VLOOKUP(Auto_Sales_data___Copy[[#This Row],[CUSTOMER_NAME]],$AF$2:$AH$90,2,FALSE)</f>
        <v>22</v>
      </c>
      <c r="V511">
        <f>VLOOKUP(Auto_Sales_data___Copy[[#This Row],[CUSTOMER_NAME]],$AF$2:$AH$90,3,FALSE)</f>
        <v>74204.790000000008</v>
      </c>
      <c r="W511" s="2">
        <f>6-MATCH(Auto_Sales_data___Copy[[#This Row],[DAYS_SINCE_LAST_ORDER]],Table2[R-Cutoff],1)</f>
        <v>5</v>
      </c>
      <c r="X511" s="2">
        <f>MATCH(Auto_Sales_data___Copy[[#This Row],[Total_Orders_Per_Customer]],Table2[F-Cutoff],1)</f>
        <v>2</v>
      </c>
      <c r="Y511" s="2">
        <f>MATCH(Auto_Sales_data___Copy[[#This Row],[Total_Sales_Per_Customer]],Table2[M-Cutoff],1)</f>
        <v>2</v>
      </c>
      <c r="Z511" s="2" t="str">
        <f>Auto_Sales_data___Copy[[#This Row],[R-Score(1-5)]]&amp;Auto_Sales_data___Copy[[#This Row],[F-Score(1-5)]]&amp;Auto_Sales_data___Copy[[#This Row],[M-Score(1-5)]]</f>
        <v>522</v>
      </c>
      <c r="AA511" s="2" t="str" cm="1">
        <f t="array" ref="AA5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1" s="2" t="str">
        <f>VLOOKUP(Auto_Sales_data___Copy[[#This Row],[Segment Name]],Table3[],2,FALSE)</f>
        <v>Brand Awareness &amp; Value Proposition</v>
      </c>
    </row>
    <row r="512" spans="1:28" x14ac:dyDescent="0.25">
      <c r="A512">
        <v>10411</v>
      </c>
      <c r="B512">
        <v>27</v>
      </c>
      <c r="C512">
        <v>119</v>
      </c>
      <c r="D512">
        <v>8</v>
      </c>
      <c r="E512">
        <v>3213</v>
      </c>
      <c r="F512" s="1">
        <v>43952</v>
      </c>
      <c r="G512" s="2" t="s">
        <v>19</v>
      </c>
      <c r="H512" s="2" t="s">
        <v>537</v>
      </c>
      <c r="I512">
        <v>116</v>
      </c>
      <c r="J512" s="2" t="s">
        <v>575</v>
      </c>
      <c r="K512" s="2" t="s">
        <v>307</v>
      </c>
      <c r="L512" s="2" t="s">
        <v>308</v>
      </c>
      <c r="M512" s="2" t="s">
        <v>309</v>
      </c>
      <c r="N512" s="2" t="s">
        <v>310</v>
      </c>
      <c r="O512" s="2" t="s">
        <v>311</v>
      </c>
      <c r="P512" s="2" t="s">
        <v>236</v>
      </c>
      <c r="Q512" s="2" t="s">
        <v>312</v>
      </c>
      <c r="R512" s="2" t="s">
        <v>313</v>
      </c>
      <c r="S512" s="2" t="s">
        <v>46</v>
      </c>
      <c r="T512">
        <v>456</v>
      </c>
      <c r="U512">
        <f>VLOOKUP(Auto_Sales_data___Copy[[#This Row],[CUSTOMER_NAME]],$AF$2:$AH$90,2,FALSE)</f>
        <v>22</v>
      </c>
      <c r="V512">
        <f>VLOOKUP(Auto_Sales_data___Copy[[#This Row],[CUSTOMER_NAME]],$AF$2:$AH$90,3,FALSE)</f>
        <v>74204.790000000008</v>
      </c>
      <c r="W512" s="2">
        <f>6-MATCH(Auto_Sales_data___Copy[[#This Row],[DAYS_SINCE_LAST_ORDER]],Table2[R-Cutoff],1)</f>
        <v>5</v>
      </c>
      <c r="X512" s="2">
        <f>MATCH(Auto_Sales_data___Copy[[#This Row],[Total_Orders_Per_Customer]],Table2[F-Cutoff],1)</f>
        <v>2</v>
      </c>
      <c r="Y512" s="2">
        <f>MATCH(Auto_Sales_data___Copy[[#This Row],[Total_Sales_Per_Customer]],Table2[M-Cutoff],1)</f>
        <v>2</v>
      </c>
      <c r="Z512" s="2" t="str">
        <f>Auto_Sales_data___Copy[[#This Row],[R-Score(1-5)]]&amp;Auto_Sales_data___Copy[[#This Row],[F-Score(1-5)]]&amp;Auto_Sales_data___Copy[[#This Row],[M-Score(1-5)]]</f>
        <v>522</v>
      </c>
      <c r="AA512" s="2" t="str" cm="1">
        <f t="array" ref="AA5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2" s="2" t="str">
        <f>VLOOKUP(Auto_Sales_data___Copy[[#This Row],[Segment Name]],Table3[],2,FALSE)</f>
        <v>Brand Awareness &amp; Value Proposition</v>
      </c>
    </row>
    <row r="513" spans="1:28" x14ac:dyDescent="0.25">
      <c r="A513">
        <v>10196</v>
      </c>
      <c r="B513">
        <v>47</v>
      </c>
      <c r="C513">
        <v>189.1</v>
      </c>
      <c r="D513">
        <v>5</v>
      </c>
      <c r="E513">
        <v>8887.7000000000007</v>
      </c>
      <c r="F513" s="1">
        <v>43430</v>
      </c>
      <c r="G513" s="2" t="s">
        <v>19</v>
      </c>
      <c r="H513" s="2" t="s">
        <v>183</v>
      </c>
      <c r="I513">
        <v>207</v>
      </c>
      <c r="J513" s="2" t="s">
        <v>505</v>
      </c>
      <c r="K513" s="2" t="s">
        <v>249</v>
      </c>
      <c r="L513" s="2" t="s">
        <v>250</v>
      </c>
      <c r="M513" s="2" t="s">
        <v>251</v>
      </c>
      <c r="N513" s="2" t="s">
        <v>252</v>
      </c>
      <c r="O513" s="2" t="s">
        <v>253</v>
      </c>
      <c r="P513" s="2" t="s">
        <v>27</v>
      </c>
      <c r="Q513" s="2" t="s">
        <v>254</v>
      </c>
      <c r="R513" s="2" t="s">
        <v>255</v>
      </c>
      <c r="S513" s="2" t="s">
        <v>151</v>
      </c>
      <c r="T513">
        <v>735</v>
      </c>
      <c r="U513">
        <f>VLOOKUP(Auto_Sales_data___Copy[[#This Row],[CUSTOMER_NAME]],$AF$2:$AH$90,2,FALSE)</f>
        <v>17</v>
      </c>
      <c r="V513">
        <f>VLOOKUP(Auto_Sales_data___Copy[[#This Row],[CUSTOMER_NAME]],$AF$2:$AH$90,3,FALSE)</f>
        <v>79472.070000000007</v>
      </c>
      <c r="W513" s="2">
        <f>6-MATCH(Auto_Sales_data___Copy[[#This Row],[DAYS_SINCE_LAST_ORDER]],Table2[R-Cutoff],1)</f>
        <v>5</v>
      </c>
      <c r="X513" s="2">
        <f>MATCH(Auto_Sales_data___Copy[[#This Row],[Total_Orders_Per_Customer]],Table2[F-Cutoff],1)</f>
        <v>1</v>
      </c>
      <c r="Y513" s="2">
        <f>MATCH(Auto_Sales_data___Copy[[#This Row],[Total_Sales_Per_Customer]],Table2[M-Cutoff],1)</f>
        <v>2</v>
      </c>
      <c r="Z513" s="2" t="str">
        <f>Auto_Sales_data___Copy[[#This Row],[R-Score(1-5)]]&amp;Auto_Sales_data___Copy[[#This Row],[F-Score(1-5)]]&amp;Auto_Sales_data___Copy[[#This Row],[M-Score(1-5)]]</f>
        <v>512</v>
      </c>
      <c r="AA513" s="2" t="str" cm="1">
        <f t="array" ref="AA5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3" s="2" t="str">
        <f>VLOOKUP(Auto_Sales_data___Copy[[#This Row],[Segment Name]],Table3[],2,FALSE)</f>
        <v>Brand Awareness &amp; Value Proposition</v>
      </c>
    </row>
    <row r="514" spans="1:28" x14ac:dyDescent="0.25">
      <c r="A514">
        <v>10196</v>
      </c>
      <c r="B514">
        <v>24</v>
      </c>
      <c r="C514">
        <v>158.63</v>
      </c>
      <c r="D514">
        <v>6</v>
      </c>
      <c r="E514">
        <v>3807.12</v>
      </c>
      <c r="F514" s="1">
        <v>43430</v>
      </c>
      <c r="G514" s="2" t="s">
        <v>19</v>
      </c>
      <c r="H514" s="2" t="s">
        <v>183</v>
      </c>
      <c r="I514">
        <v>151</v>
      </c>
      <c r="J514" s="2" t="s">
        <v>545</v>
      </c>
      <c r="K514" s="2" t="s">
        <v>249</v>
      </c>
      <c r="L514" s="2" t="s">
        <v>250</v>
      </c>
      <c r="M514" s="2" t="s">
        <v>251</v>
      </c>
      <c r="N514" s="2" t="s">
        <v>252</v>
      </c>
      <c r="O514" s="2" t="s">
        <v>253</v>
      </c>
      <c r="P514" s="2" t="s">
        <v>27</v>
      </c>
      <c r="Q514" s="2" t="s">
        <v>254</v>
      </c>
      <c r="R514" s="2" t="s">
        <v>255</v>
      </c>
      <c r="S514" s="2" t="s">
        <v>46</v>
      </c>
      <c r="T514">
        <v>811</v>
      </c>
      <c r="U514">
        <f>VLOOKUP(Auto_Sales_data___Copy[[#This Row],[CUSTOMER_NAME]],$AF$2:$AH$90,2,FALSE)</f>
        <v>17</v>
      </c>
      <c r="V514">
        <f>VLOOKUP(Auto_Sales_data___Copy[[#This Row],[CUSTOMER_NAME]],$AF$2:$AH$90,3,FALSE)</f>
        <v>79472.070000000007</v>
      </c>
      <c r="W514" s="2">
        <f>6-MATCH(Auto_Sales_data___Copy[[#This Row],[DAYS_SINCE_LAST_ORDER]],Table2[R-Cutoff],1)</f>
        <v>5</v>
      </c>
      <c r="X514" s="2">
        <f>MATCH(Auto_Sales_data___Copy[[#This Row],[Total_Orders_Per_Customer]],Table2[F-Cutoff],1)</f>
        <v>1</v>
      </c>
      <c r="Y514" s="2">
        <f>MATCH(Auto_Sales_data___Copy[[#This Row],[Total_Sales_Per_Customer]],Table2[M-Cutoff],1)</f>
        <v>2</v>
      </c>
      <c r="Z514" s="2" t="str">
        <f>Auto_Sales_data___Copy[[#This Row],[R-Score(1-5)]]&amp;Auto_Sales_data___Copy[[#This Row],[F-Score(1-5)]]&amp;Auto_Sales_data___Copy[[#This Row],[M-Score(1-5)]]</f>
        <v>512</v>
      </c>
      <c r="AA514" s="2" t="str" cm="1">
        <f t="array" ref="AA5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4" s="2" t="str">
        <f>VLOOKUP(Auto_Sales_data___Copy[[#This Row],[Segment Name]],Table3[],2,FALSE)</f>
        <v>Brand Awareness &amp; Value Proposition</v>
      </c>
    </row>
    <row r="515" spans="1:28" x14ac:dyDescent="0.25">
      <c r="A515">
        <v>10196</v>
      </c>
      <c r="B515">
        <v>38</v>
      </c>
      <c r="C515">
        <v>190.32</v>
      </c>
      <c r="D515">
        <v>4</v>
      </c>
      <c r="E515">
        <v>7232.16</v>
      </c>
      <c r="F515" s="1">
        <v>43430</v>
      </c>
      <c r="G515" s="2" t="s">
        <v>19</v>
      </c>
      <c r="H515" s="2" t="s">
        <v>183</v>
      </c>
      <c r="I515">
        <v>173</v>
      </c>
      <c r="J515" s="2" t="s">
        <v>552</v>
      </c>
      <c r="K515" s="2" t="s">
        <v>249</v>
      </c>
      <c r="L515" s="2" t="s">
        <v>250</v>
      </c>
      <c r="M515" s="2" t="s">
        <v>251</v>
      </c>
      <c r="N515" s="2" t="s">
        <v>252</v>
      </c>
      <c r="O515" s="2" t="s">
        <v>253</v>
      </c>
      <c r="P515" s="2" t="s">
        <v>27</v>
      </c>
      <c r="Q515" s="2" t="s">
        <v>254</v>
      </c>
      <c r="R515" s="2" t="s">
        <v>255</v>
      </c>
      <c r="S515" s="2" t="s">
        <v>151</v>
      </c>
      <c r="T515">
        <v>860</v>
      </c>
      <c r="U515">
        <f>VLOOKUP(Auto_Sales_data___Copy[[#This Row],[CUSTOMER_NAME]],$AF$2:$AH$90,2,FALSE)</f>
        <v>17</v>
      </c>
      <c r="V515">
        <f>VLOOKUP(Auto_Sales_data___Copy[[#This Row],[CUSTOMER_NAME]],$AF$2:$AH$90,3,FALSE)</f>
        <v>79472.070000000007</v>
      </c>
      <c r="W515" s="2">
        <f>6-MATCH(Auto_Sales_data___Copy[[#This Row],[DAYS_SINCE_LAST_ORDER]],Table2[R-Cutoff],1)</f>
        <v>5</v>
      </c>
      <c r="X515" s="2">
        <f>MATCH(Auto_Sales_data___Copy[[#This Row],[Total_Orders_Per_Customer]],Table2[F-Cutoff],1)</f>
        <v>1</v>
      </c>
      <c r="Y515" s="2">
        <f>MATCH(Auto_Sales_data___Copy[[#This Row],[Total_Sales_Per_Customer]],Table2[M-Cutoff],1)</f>
        <v>2</v>
      </c>
      <c r="Z515" s="2" t="str">
        <f>Auto_Sales_data___Copy[[#This Row],[R-Score(1-5)]]&amp;Auto_Sales_data___Copy[[#This Row],[F-Score(1-5)]]&amp;Auto_Sales_data___Copy[[#This Row],[M-Score(1-5)]]</f>
        <v>512</v>
      </c>
      <c r="AA515" s="2" t="str" cm="1">
        <f t="array" ref="AA5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5" s="2" t="str">
        <f>VLOOKUP(Auto_Sales_data___Copy[[#This Row],[Segment Name]],Table3[],2,FALSE)</f>
        <v>Brand Awareness &amp; Value Proposition</v>
      </c>
    </row>
    <row r="516" spans="1:28" x14ac:dyDescent="0.25">
      <c r="A516">
        <v>10245</v>
      </c>
      <c r="B516">
        <v>34</v>
      </c>
      <c r="C516">
        <v>180.01</v>
      </c>
      <c r="D516">
        <v>9</v>
      </c>
      <c r="E516">
        <v>6120.34</v>
      </c>
      <c r="F516" s="1">
        <v>43589</v>
      </c>
      <c r="G516" s="2" t="s">
        <v>19</v>
      </c>
      <c r="H516" s="2" t="s">
        <v>183</v>
      </c>
      <c r="I516">
        <v>214</v>
      </c>
      <c r="J516" s="2" t="s">
        <v>184</v>
      </c>
      <c r="K516" s="2" t="s">
        <v>249</v>
      </c>
      <c r="L516" s="2" t="s">
        <v>250</v>
      </c>
      <c r="M516" s="2" t="s">
        <v>251</v>
      </c>
      <c r="N516" s="2" t="s">
        <v>252</v>
      </c>
      <c r="O516" s="2" t="s">
        <v>253</v>
      </c>
      <c r="P516" s="2" t="s">
        <v>27</v>
      </c>
      <c r="Q516" s="2" t="s">
        <v>254</v>
      </c>
      <c r="R516" s="2" t="s">
        <v>255</v>
      </c>
      <c r="S516" s="2" t="s">
        <v>46</v>
      </c>
      <c r="T516">
        <v>430</v>
      </c>
      <c r="U516">
        <f>VLOOKUP(Auto_Sales_data___Copy[[#This Row],[CUSTOMER_NAME]],$AF$2:$AH$90,2,FALSE)</f>
        <v>17</v>
      </c>
      <c r="V516">
        <f>VLOOKUP(Auto_Sales_data___Copy[[#This Row],[CUSTOMER_NAME]],$AF$2:$AH$90,3,FALSE)</f>
        <v>79472.070000000007</v>
      </c>
      <c r="W516" s="2">
        <f>6-MATCH(Auto_Sales_data___Copy[[#This Row],[DAYS_SINCE_LAST_ORDER]],Table2[R-Cutoff],1)</f>
        <v>5</v>
      </c>
      <c r="X516" s="2">
        <f>MATCH(Auto_Sales_data___Copy[[#This Row],[Total_Orders_Per_Customer]],Table2[F-Cutoff],1)</f>
        <v>1</v>
      </c>
      <c r="Y516" s="2">
        <f>MATCH(Auto_Sales_data___Copy[[#This Row],[Total_Sales_Per_Customer]],Table2[M-Cutoff],1)</f>
        <v>2</v>
      </c>
      <c r="Z516" s="2" t="str">
        <f>Auto_Sales_data___Copy[[#This Row],[R-Score(1-5)]]&amp;Auto_Sales_data___Copy[[#This Row],[F-Score(1-5)]]&amp;Auto_Sales_data___Copy[[#This Row],[M-Score(1-5)]]</f>
        <v>512</v>
      </c>
      <c r="AA516" s="2" t="str" cm="1">
        <f t="array" ref="AA5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6" s="2" t="str">
        <f>VLOOKUP(Auto_Sales_data___Copy[[#This Row],[Segment Name]],Table3[],2,FALSE)</f>
        <v>Brand Awareness &amp; Value Proposition</v>
      </c>
    </row>
    <row r="517" spans="1:28" x14ac:dyDescent="0.25">
      <c r="A517">
        <v>10245</v>
      </c>
      <c r="B517">
        <v>28</v>
      </c>
      <c r="C517">
        <v>163.99</v>
      </c>
      <c r="D517">
        <v>2</v>
      </c>
      <c r="E517">
        <v>4591.72</v>
      </c>
      <c r="F517" s="1">
        <v>43589</v>
      </c>
      <c r="G517" s="2" t="s">
        <v>19</v>
      </c>
      <c r="H517" s="2" t="s">
        <v>183</v>
      </c>
      <c r="I517">
        <v>147</v>
      </c>
      <c r="J517" s="2" t="s">
        <v>424</v>
      </c>
      <c r="K517" s="2" t="s">
        <v>249</v>
      </c>
      <c r="L517" s="2" t="s">
        <v>250</v>
      </c>
      <c r="M517" s="2" t="s">
        <v>251</v>
      </c>
      <c r="N517" s="2" t="s">
        <v>252</v>
      </c>
      <c r="O517" s="2" t="s">
        <v>253</v>
      </c>
      <c r="P517" s="2" t="s">
        <v>27</v>
      </c>
      <c r="Q517" s="2" t="s">
        <v>254</v>
      </c>
      <c r="R517" s="2" t="s">
        <v>255</v>
      </c>
      <c r="S517" s="2" t="s">
        <v>46</v>
      </c>
      <c r="T517">
        <v>529</v>
      </c>
      <c r="U517">
        <f>VLOOKUP(Auto_Sales_data___Copy[[#This Row],[CUSTOMER_NAME]],$AF$2:$AH$90,2,FALSE)</f>
        <v>17</v>
      </c>
      <c r="V517">
        <f>VLOOKUP(Auto_Sales_data___Copy[[#This Row],[CUSTOMER_NAME]],$AF$2:$AH$90,3,FALSE)</f>
        <v>79472.070000000007</v>
      </c>
      <c r="W517" s="2">
        <f>6-MATCH(Auto_Sales_data___Copy[[#This Row],[DAYS_SINCE_LAST_ORDER]],Table2[R-Cutoff],1)</f>
        <v>5</v>
      </c>
      <c r="X517" s="2">
        <f>MATCH(Auto_Sales_data___Copy[[#This Row],[Total_Orders_Per_Customer]],Table2[F-Cutoff],1)</f>
        <v>1</v>
      </c>
      <c r="Y517" s="2">
        <f>MATCH(Auto_Sales_data___Copy[[#This Row],[Total_Sales_Per_Customer]],Table2[M-Cutoff],1)</f>
        <v>2</v>
      </c>
      <c r="Z517" s="2" t="str">
        <f>Auto_Sales_data___Copy[[#This Row],[R-Score(1-5)]]&amp;Auto_Sales_data___Copy[[#This Row],[F-Score(1-5)]]&amp;Auto_Sales_data___Copy[[#This Row],[M-Score(1-5)]]</f>
        <v>512</v>
      </c>
      <c r="AA517" s="2" t="str" cm="1">
        <f t="array" ref="AA5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7" s="2" t="str">
        <f>VLOOKUP(Auto_Sales_data___Copy[[#This Row],[Segment Name]],Table3[],2,FALSE)</f>
        <v>Brand Awareness &amp; Value Proposition</v>
      </c>
    </row>
    <row r="518" spans="1:28" x14ac:dyDescent="0.25">
      <c r="A518">
        <v>10245</v>
      </c>
      <c r="B518">
        <v>38</v>
      </c>
      <c r="C518">
        <v>155.80000000000001</v>
      </c>
      <c r="D518">
        <v>6</v>
      </c>
      <c r="E518">
        <v>5920.4</v>
      </c>
      <c r="F518" s="1">
        <v>43589</v>
      </c>
      <c r="G518" s="2" t="s">
        <v>19</v>
      </c>
      <c r="H518" s="2" t="s">
        <v>537</v>
      </c>
      <c r="I518">
        <v>136</v>
      </c>
      <c r="J518" s="2" t="s">
        <v>538</v>
      </c>
      <c r="K518" s="2" t="s">
        <v>249</v>
      </c>
      <c r="L518" s="2" t="s">
        <v>250</v>
      </c>
      <c r="M518" s="2" t="s">
        <v>251</v>
      </c>
      <c r="N518" s="2" t="s">
        <v>252</v>
      </c>
      <c r="O518" s="2" t="s">
        <v>253</v>
      </c>
      <c r="P518" s="2" t="s">
        <v>27</v>
      </c>
      <c r="Q518" s="2" t="s">
        <v>254</v>
      </c>
      <c r="R518" s="2" t="s">
        <v>255</v>
      </c>
      <c r="S518" s="2" t="s">
        <v>46</v>
      </c>
      <c r="T518">
        <v>606</v>
      </c>
      <c r="U518">
        <f>VLOOKUP(Auto_Sales_data___Copy[[#This Row],[CUSTOMER_NAME]],$AF$2:$AH$90,2,FALSE)</f>
        <v>17</v>
      </c>
      <c r="V518">
        <f>VLOOKUP(Auto_Sales_data___Copy[[#This Row],[CUSTOMER_NAME]],$AF$2:$AH$90,3,FALSE)</f>
        <v>79472.070000000007</v>
      </c>
      <c r="W518" s="2">
        <f>6-MATCH(Auto_Sales_data___Copy[[#This Row],[DAYS_SINCE_LAST_ORDER]],Table2[R-Cutoff],1)</f>
        <v>5</v>
      </c>
      <c r="X518" s="2">
        <f>MATCH(Auto_Sales_data___Copy[[#This Row],[Total_Orders_Per_Customer]],Table2[F-Cutoff],1)</f>
        <v>1</v>
      </c>
      <c r="Y518" s="2">
        <f>MATCH(Auto_Sales_data___Copy[[#This Row],[Total_Sales_Per_Customer]],Table2[M-Cutoff],1)</f>
        <v>2</v>
      </c>
      <c r="Z518" s="2" t="str">
        <f>Auto_Sales_data___Copy[[#This Row],[R-Score(1-5)]]&amp;Auto_Sales_data___Copy[[#This Row],[F-Score(1-5)]]&amp;Auto_Sales_data___Copy[[#This Row],[M-Score(1-5)]]</f>
        <v>512</v>
      </c>
      <c r="AA518" s="2" t="str" cm="1">
        <f t="array" ref="AA5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8" s="2" t="str">
        <f>VLOOKUP(Auto_Sales_data___Copy[[#This Row],[Segment Name]],Table3[],2,FALSE)</f>
        <v>Brand Awareness &amp; Value Proposition</v>
      </c>
    </row>
    <row r="519" spans="1:28" x14ac:dyDescent="0.25">
      <c r="A519">
        <v>10245</v>
      </c>
      <c r="B519">
        <v>29</v>
      </c>
      <c r="C519">
        <v>119</v>
      </c>
      <c r="D519">
        <v>8</v>
      </c>
      <c r="E519">
        <v>3451</v>
      </c>
      <c r="F519" s="1">
        <v>43589</v>
      </c>
      <c r="G519" s="2" t="s">
        <v>19</v>
      </c>
      <c r="H519" s="2" t="s">
        <v>537</v>
      </c>
      <c r="I519">
        <v>116</v>
      </c>
      <c r="J519" s="2" t="s">
        <v>575</v>
      </c>
      <c r="K519" s="2" t="s">
        <v>249</v>
      </c>
      <c r="L519" s="2" t="s">
        <v>250</v>
      </c>
      <c r="M519" s="2" t="s">
        <v>251</v>
      </c>
      <c r="N519" s="2" t="s">
        <v>252</v>
      </c>
      <c r="O519" s="2" t="s">
        <v>253</v>
      </c>
      <c r="P519" s="2" t="s">
        <v>27</v>
      </c>
      <c r="Q519" s="2" t="s">
        <v>254</v>
      </c>
      <c r="R519" s="2" t="s">
        <v>255</v>
      </c>
      <c r="S519" s="2" t="s">
        <v>46</v>
      </c>
      <c r="T519">
        <v>807</v>
      </c>
      <c r="U519">
        <f>VLOOKUP(Auto_Sales_data___Copy[[#This Row],[CUSTOMER_NAME]],$AF$2:$AH$90,2,FALSE)</f>
        <v>17</v>
      </c>
      <c r="V519">
        <f>VLOOKUP(Auto_Sales_data___Copy[[#This Row],[CUSTOMER_NAME]],$AF$2:$AH$90,3,FALSE)</f>
        <v>79472.070000000007</v>
      </c>
      <c r="W519" s="2">
        <f>6-MATCH(Auto_Sales_data___Copy[[#This Row],[DAYS_SINCE_LAST_ORDER]],Table2[R-Cutoff],1)</f>
        <v>5</v>
      </c>
      <c r="X519" s="2">
        <f>MATCH(Auto_Sales_data___Copy[[#This Row],[Total_Orders_Per_Customer]],Table2[F-Cutoff],1)</f>
        <v>1</v>
      </c>
      <c r="Y519" s="2">
        <f>MATCH(Auto_Sales_data___Copy[[#This Row],[Total_Sales_Per_Customer]],Table2[M-Cutoff],1)</f>
        <v>2</v>
      </c>
      <c r="Z519" s="2" t="str">
        <f>Auto_Sales_data___Copy[[#This Row],[R-Score(1-5)]]&amp;Auto_Sales_data___Copy[[#This Row],[F-Score(1-5)]]&amp;Auto_Sales_data___Copy[[#This Row],[M-Score(1-5)]]</f>
        <v>512</v>
      </c>
      <c r="AA519" s="2" t="str" cm="1">
        <f t="array" ref="AA5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9" s="2" t="str">
        <f>VLOOKUP(Auto_Sales_data___Copy[[#This Row],[Segment Name]],Table3[],2,FALSE)</f>
        <v>Brand Awareness &amp; Value Proposition</v>
      </c>
    </row>
    <row r="520" spans="1:28" x14ac:dyDescent="0.25">
      <c r="A520">
        <v>10164</v>
      </c>
      <c r="B520">
        <v>21</v>
      </c>
      <c r="C520">
        <v>168.42</v>
      </c>
      <c r="D520">
        <v>2</v>
      </c>
      <c r="E520">
        <v>3536.82</v>
      </c>
      <c r="F520" s="1">
        <v>43394</v>
      </c>
      <c r="G520" s="2" t="s">
        <v>431</v>
      </c>
      <c r="H520" s="2" t="s">
        <v>183</v>
      </c>
      <c r="I520">
        <v>147</v>
      </c>
      <c r="J520" s="2" t="s">
        <v>424</v>
      </c>
      <c r="K520" s="2" t="s">
        <v>432</v>
      </c>
      <c r="L520" s="2" t="s">
        <v>433</v>
      </c>
      <c r="M520" s="2" t="s">
        <v>434</v>
      </c>
      <c r="N520" s="2" t="s">
        <v>435</v>
      </c>
      <c r="O520" s="2" t="s">
        <v>436</v>
      </c>
      <c r="P520" s="2" t="s">
        <v>148</v>
      </c>
      <c r="Q520" s="2" t="s">
        <v>437</v>
      </c>
      <c r="R520" s="2" t="s">
        <v>438</v>
      </c>
      <c r="S520" s="2" t="s">
        <v>46</v>
      </c>
      <c r="T520">
        <v>717</v>
      </c>
      <c r="U520">
        <f>VLOOKUP(Auto_Sales_data___Copy[[#This Row],[CUSTOMER_NAME]],$AF$2:$AH$90,2,FALSE)</f>
        <v>15</v>
      </c>
      <c r="V520">
        <f>VLOOKUP(Auto_Sales_data___Copy[[#This Row],[CUSTOMER_NAME]],$AF$2:$AH$90,3,FALSE)</f>
        <v>52263.899999999994</v>
      </c>
      <c r="W520" s="2">
        <f>6-MATCH(Auto_Sales_data___Copy[[#This Row],[DAYS_SINCE_LAST_ORDER]],Table2[R-Cutoff],1)</f>
        <v>5</v>
      </c>
      <c r="X520" s="2">
        <f>MATCH(Auto_Sales_data___Copy[[#This Row],[Total_Orders_Per_Customer]],Table2[F-Cutoff],1)</f>
        <v>1</v>
      </c>
      <c r="Y520" s="2">
        <f>MATCH(Auto_Sales_data___Copy[[#This Row],[Total_Sales_Per_Customer]],Table2[M-Cutoff],1)</f>
        <v>1</v>
      </c>
      <c r="Z520" s="2" t="str">
        <f>Auto_Sales_data___Copy[[#This Row],[R-Score(1-5)]]&amp;Auto_Sales_data___Copy[[#This Row],[F-Score(1-5)]]&amp;Auto_Sales_data___Copy[[#This Row],[M-Score(1-5)]]</f>
        <v>511</v>
      </c>
      <c r="AA520" s="2" t="str" cm="1">
        <f t="array" ref="AA5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0" s="2" t="str">
        <f>VLOOKUP(Auto_Sales_data___Copy[[#This Row],[Segment Name]],Table3[],2,FALSE)</f>
        <v>Brand Awareness &amp; Value Proposition</v>
      </c>
    </row>
    <row r="521" spans="1:28" x14ac:dyDescent="0.25">
      <c r="A521">
        <v>10164</v>
      </c>
      <c r="B521">
        <v>49</v>
      </c>
      <c r="C521">
        <v>133.94</v>
      </c>
      <c r="D521">
        <v>6</v>
      </c>
      <c r="E521">
        <v>6563.06</v>
      </c>
      <c r="F521" s="1">
        <v>43394</v>
      </c>
      <c r="G521" s="2" t="s">
        <v>431</v>
      </c>
      <c r="H521" s="2" t="s">
        <v>537</v>
      </c>
      <c r="I521">
        <v>136</v>
      </c>
      <c r="J521" s="2" t="s">
        <v>538</v>
      </c>
      <c r="K521" s="2" t="s">
        <v>432</v>
      </c>
      <c r="L521" s="2" t="s">
        <v>433</v>
      </c>
      <c r="M521" s="2" t="s">
        <v>434</v>
      </c>
      <c r="N521" s="2" t="s">
        <v>435</v>
      </c>
      <c r="O521" s="2" t="s">
        <v>436</v>
      </c>
      <c r="P521" s="2" t="s">
        <v>148</v>
      </c>
      <c r="Q521" s="2" t="s">
        <v>437</v>
      </c>
      <c r="R521" s="2" t="s">
        <v>438</v>
      </c>
      <c r="S521" s="2" t="s">
        <v>46</v>
      </c>
      <c r="T521">
        <v>794</v>
      </c>
      <c r="U521">
        <f>VLOOKUP(Auto_Sales_data___Copy[[#This Row],[CUSTOMER_NAME]],$AF$2:$AH$90,2,FALSE)</f>
        <v>15</v>
      </c>
      <c r="V521">
        <f>VLOOKUP(Auto_Sales_data___Copy[[#This Row],[CUSTOMER_NAME]],$AF$2:$AH$90,3,FALSE)</f>
        <v>52263.899999999994</v>
      </c>
      <c r="W521" s="2">
        <f>6-MATCH(Auto_Sales_data___Copy[[#This Row],[DAYS_SINCE_LAST_ORDER]],Table2[R-Cutoff],1)</f>
        <v>5</v>
      </c>
      <c r="X521" s="2">
        <f>MATCH(Auto_Sales_data___Copy[[#This Row],[Total_Orders_Per_Customer]],Table2[F-Cutoff],1)</f>
        <v>1</v>
      </c>
      <c r="Y521" s="2">
        <f>MATCH(Auto_Sales_data___Copy[[#This Row],[Total_Sales_Per_Customer]],Table2[M-Cutoff],1)</f>
        <v>1</v>
      </c>
      <c r="Z521" s="2" t="str">
        <f>Auto_Sales_data___Copy[[#This Row],[R-Score(1-5)]]&amp;Auto_Sales_data___Copy[[#This Row],[F-Score(1-5)]]&amp;Auto_Sales_data___Copy[[#This Row],[M-Score(1-5)]]</f>
        <v>511</v>
      </c>
      <c r="AA521" s="2" t="str" cm="1">
        <f t="array" ref="AA5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1" s="2" t="str">
        <f>VLOOKUP(Auto_Sales_data___Copy[[#This Row],[Segment Name]],Table3[],2,FALSE)</f>
        <v>Brand Awareness &amp; Value Proposition</v>
      </c>
    </row>
    <row r="522" spans="1:28" x14ac:dyDescent="0.25">
      <c r="A522">
        <v>10170</v>
      </c>
      <c r="B522">
        <v>47</v>
      </c>
      <c r="C522">
        <v>116.27</v>
      </c>
      <c r="D522">
        <v>4</v>
      </c>
      <c r="E522">
        <v>5464.69</v>
      </c>
      <c r="F522" s="1">
        <v>43408</v>
      </c>
      <c r="G522" s="2" t="s">
        <v>19</v>
      </c>
      <c r="H522" s="2" t="s">
        <v>183</v>
      </c>
      <c r="I522">
        <v>117</v>
      </c>
      <c r="J522" s="2" t="s">
        <v>546</v>
      </c>
      <c r="K522" s="2" t="s">
        <v>432</v>
      </c>
      <c r="L522" s="2" t="s">
        <v>433</v>
      </c>
      <c r="M522" s="2" t="s">
        <v>434</v>
      </c>
      <c r="N522" s="2" t="s">
        <v>435</v>
      </c>
      <c r="O522" s="2" t="s">
        <v>436</v>
      </c>
      <c r="P522" s="2" t="s">
        <v>148</v>
      </c>
      <c r="Q522" s="2" t="s">
        <v>437</v>
      </c>
      <c r="R522" s="2" t="s">
        <v>438</v>
      </c>
      <c r="S522" s="2" t="s">
        <v>46</v>
      </c>
      <c r="T522">
        <v>854</v>
      </c>
      <c r="U522">
        <f>VLOOKUP(Auto_Sales_data___Copy[[#This Row],[CUSTOMER_NAME]],$AF$2:$AH$90,2,FALSE)</f>
        <v>15</v>
      </c>
      <c r="V522">
        <f>VLOOKUP(Auto_Sales_data___Copy[[#This Row],[CUSTOMER_NAME]],$AF$2:$AH$90,3,FALSE)</f>
        <v>52263.899999999994</v>
      </c>
      <c r="W522" s="2">
        <f>6-MATCH(Auto_Sales_data___Copy[[#This Row],[DAYS_SINCE_LAST_ORDER]],Table2[R-Cutoff],1)</f>
        <v>5</v>
      </c>
      <c r="X522" s="2">
        <f>MATCH(Auto_Sales_data___Copy[[#This Row],[Total_Orders_Per_Customer]],Table2[F-Cutoff],1)</f>
        <v>1</v>
      </c>
      <c r="Y522" s="2">
        <f>MATCH(Auto_Sales_data___Copy[[#This Row],[Total_Sales_Per_Customer]],Table2[M-Cutoff],1)</f>
        <v>1</v>
      </c>
      <c r="Z522" s="2" t="str">
        <f>Auto_Sales_data___Copy[[#This Row],[R-Score(1-5)]]&amp;Auto_Sales_data___Copy[[#This Row],[F-Score(1-5)]]&amp;Auto_Sales_data___Copy[[#This Row],[M-Score(1-5)]]</f>
        <v>511</v>
      </c>
      <c r="AA522" s="2" t="str" cm="1">
        <f t="array" ref="AA5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2" s="2" t="str">
        <f>VLOOKUP(Auto_Sales_data___Copy[[#This Row],[Segment Name]],Table3[],2,FALSE)</f>
        <v>Brand Awareness &amp; Value Proposition</v>
      </c>
    </row>
    <row r="523" spans="1:28" x14ac:dyDescent="0.25">
      <c r="A523">
        <v>10174</v>
      </c>
      <c r="B523">
        <v>34</v>
      </c>
      <c r="C523">
        <v>235.73</v>
      </c>
      <c r="D523">
        <v>4</v>
      </c>
      <c r="E523">
        <v>8014.82</v>
      </c>
      <c r="F523" s="1">
        <v>43410</v>
      </c>
      <c r="G523" s="2" t="s">
        <v>19</v>
      </c>
      <c r="H523" s="2" t="s">
        <v>183</v>
      </c>
      <c r="I523">
        <v>214</v>
      </c>
      <c r="J523" s="2" t="s">
        <v>184</v>
      </c>
      <c r="K523" s="2" t="s">
        <v>210</v>
      </c>
      <c r="L523" s="2" t="s">
        <v>211</v>
      </c>
      <c r="M523" s="2" t="s">
        <v>212</v>
      </c>
      <c r="N523" s="2" t="s">
        <v>213</v>
      </c>
      <c r="O523" s="2" t="s">
        <v>214</v>
      </c>
      <c r="P523" s="2" t="s">
        <v>87</v>
      </c>
      <c r="Q523" s="2" t="s">
        <v>215</v>
      </c>
      <c r="R523" s="2" t="s">
        <v>216</v>
      </c>
      <c r="S523" s="2" t="s">
        <v>151</v>
      </c>
      <c r="T523">
        <v>603</v>
      </c>
      <c r="U523">
        <f>VLOOKUP(Auto_Sales_data___Copy[[#This Row],[CUSTOMER_NAME]],$AF$2:$AH$90,2,FALSE)</f>
        <v>15</v>
      </c>
      <c r="V523">
        <f>VLOOKUP(Auto_Sales_data___Copy[[#This Row],[CUSTOMER_NAME]],$AF$2:$AH$90,3,FALSE)</f>
        <v>59469.120000000003</v>
      </c>
      <c r="W523" s="2">
        <f>6-MATCH(Auto_Sales_data___Copy[[#This Row],[DAYS_SINCE_LAST_ORDER]],Table2[R-Cutoff],1)</f>
        <v>5</v>
      </c>
      <c r="X523" s="2">
        <f>MATCH(Auto_Sales_data___Copy[[#This Row],[Total_Orders_Per_Customer]],Table2[F-Cutoff],1)</f>
        <v>1</v>
      </c>
      <c r="Y523" s="2">
        <f>MATCH(Auto_Sales_data___Copy[[#This Row],[Total_Sales_Per_Customer]],Table2[M-Cutoff],1)</f>
        <v>1</v>
      </c>
      <c r="Z523" s="2" t="str">
        <f>Auto_Sales_data___Copy[[#This Row],[R-Score(1-5)]]&amp;Auto_Sales_data___Copy[[#This Row],[F-Score(1-5)]]&amp;Auto_Sales_data___Copy[[#This Row],[M-Score(1-5)]]</f>
        <v>511</v>
      </c>
      <c r="AA523" s="2" t="str" cm="1">
        <f t="array" ref="AA5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3" s="2" t="str">
        <f>VLOOKUP(Auto_Sales_data___Copy[[#This Row],[Segment Name]],Table3[],2,FALSE)</f>
        <v>Brand Awareness &amp; Value Proposition</v>
      </c>
    </row>
    <row r="524" spans="1:28" x14ac:dyDescent="0.25">
      <c r="A524">
        <v>10174</v>
      </c>
      <c r="B524">
        <v>43</v>
      </c>
      <c r="C524">
        <v>158.54</v>
      </c>
      <c r="D524">
        <v>1</v>
      </c>
      <c r="E524">
        <v>6817.22</v>
      </c>
      <c r="F524" s="1">
        <v>43410</v>
      </c>
      <c r="G524" s="2" t="s">
        <v>19</v>
      </c>
      <c r="H524" s="2" t="s">
        <v>537</v>
      </c>
      <c r="I524">
        <v>136</v>
      </c>
      <c r="J524" s="2" t="s">
        <v>538</v>
      </c>
      <c r="K524" s="2" t="s">
        <v>210</v>
      </c>
      <c r="L524" s="2" t="s">
        <v>211</v>
      </c>
      <c r="M524" s="2" t="s">
        <v>212</v>
      </c>
      <c r="N524" s="2" t="s">
        <v>213</v>
      </c>
      <c r="O524" s="2" t="s">
        <v>214</v>
      </c>
      <c r="P524" s="2" t="s">
        <v>87</v>
      </c>
      <c r="Q524" s="2" t="s">
        <v>215</v>
      </c>
      <c r="R524" s="2" t="s">
        <v>216</v>
      </c>
      <c r="S524" s="2" t="s">
        <v>46</v>
      </c>
      <c r="T524">
        <v>779</v>
      </c>
      <c r="U524">
        <f>VLOOKUP(Auto_Sales_data___Copy[[#This Row],[CUSTOMER_NAME]],$AF$2:$AH$90,2,FALSE)</f>
        <v>15</v>
      </c>
      <c r="V524">
        <f>VLOOKUP(Auto_Sales_data___Copy[[#This Row],[CUSTOMER_NAME]],$AF$2:$AH$90,3,FALSE)</f>
        <v>59469.120000000003</v>
      </c>
      <c r="W524" s="2">
        <f>6-MATCH(Auto_Sales_data___Copy[[#This Row],[DAYS_SINCE_LAST_ORDER]],Table2[R-Cutoff],1)</f>
        <v>5</v>
      </c>
      <c r="X524" s="2">
        <f>MATCH(Auto_Sales_data___Copy[[#This Row],[Total_Orders_Per_Customer]],Table2[F-Cutoff],1)</f>
        <v>1</v>
      </c>
      <c r="Y524" s="2">
        <f>MATCH(Auto_Sales_data___Copy[[#This Row],[Total_Sales_Per_Customer]],Table2[M-Cutoff],1)</f>
        <v>1</v>
      </c>
      <c r="Z524" s="2" t="str">
        <f>Auto_Sales_data___Copy[[#This Row],[R-Score(1-5)]]&amp;Auto_Sales_data___Copy[[#This Row],[F-Score(1-5)]]&amp;Auto_Sales_data___Copy[[#This Row],[M-Score(1-5)]]</f>
        <v>511</v>
      </c>
      <c r="AA524" s="2" t="str" cm="1">
        <f t="array" ref="AA5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4" s="2" t="str">
        <f>VLOOKUP(Auto_Sales_data___Copy[[#This Row],[Segment Name]],Table3[],2,FALSE)</f>
        <v>Brand Awareness &amp; Value Proposition</v>
      </c>
    </row>
    <row r="525" spans="1:28" x14ac:dyDescent="0.25">
      <c r="A525">
        <v>10186</v>
      </c>
      <c r="B525">
        <v>26</v>
      </c>
      <c r="C525">
        <v>148.24</v>
      </c>
      <c r="D525">
        <v>9</v>
      </c>
      <c r="E525">
        <v>3854.24</v>
      </c>
      <c r="F525" s="1">
        <v>43418</v>
      </c>
      <c r="G525" s="2" t="s">
        <v>19</v>
      </c>
      <c r="H525" s="2" t="s">
        <v>183</v>
      </c>
      <c r="I525">
        <v>136</v>
      </c>
      <c r="J525" s="2" t="s">
        <v>338</v>
      </c>
      <c r="K525" s="2" t="s">
        <v>366</v>
      </c>
      <c r="L525" s="2" t="s">
        <v>367</v>
      </c>
      <c r="M525" s="2" t="s">
        <v>368</v>
      </c>
      <c r="N525" s="2" t="s">
        <v>350</v>
      </c>
      <c r="O525" s="2" t="s">
        <v>369</v>
      </c>
      <c r="P525" s="2" t="s">
        <v>171</v>
      </c>
      <c r="Q525" s="2" t="s">
        <v>370</v>
      </c>
      <c r="R525" s="2" t="s">
        <v>371</v>
      </c>
      <c r="S525" s="2" t="s">
        <v>46</v>
      </c>
      <c r="T525">
        <v>670</v>
      </c>
      <c r="U525">
        <f>VLOOKUP(Auto_Sales_data___Copy[[#This Row],[CUSTOMER_NAME]],$AF$2:$AH$90,2,FALSE)</f>
        <v>12</v>
      </c>
      <c r="V525">
        <f>VLOOKUP(Auto_Sales_data___Copy[[#This Row],[CUSTOMER_NAME]],$AF$2:$AH$90,3,FALSE)</f>
        <v>36019.039999999994</v>
      </c>
      <c r="W525" s="2">
        <f>6-MATCH(Auto_Sales_data___Copy[[#This Row],[DAYS_SINCE_LAST_ORDER]],Table2[R-Cutoff],1)</f>
        <v>5</v>
      </c>
      <c r="X525" s="2">
        <f>MATCH(Auto_Sales_data___Copy[[#This Row],[Total_Orders_Per_Customer]],Table2[F-Cutoff],1)</f>
        <v>1</v>
      </c>
      <c r="Y525" s="2">
        <f>MATCH(Auto_Sales_data___Copy[[#This Row],[Total_Sales_Per_Customer]],Table2[M-Cutoff],1)</f>
        <v>1</v>
      </c>
      <c r="Z525" s="2" t="str">
        <f>Auto_Sales_data___Copy[[#This Row],[R-Score(1-5)]]&amp;Auto_Sales_data___Copy[[#This Row],[F-Score(1-5)]]&amp;Auto_Sales_data___Copy[[#This Row],[M-Score(1-5)]]</f>
        <v>511</v>
      </c>
      <c r="AA525" s="2" t="str" cm="1">
        <f t="array" ref="AA5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5" s="2" t="str">
        <f>VLOOKUP(Auto_Sales_data___Copy[[#This Row],[Segment Name]],Table3[],2,FALSE)</f>
        <v>Brand Awareness &amp; Value Proposition</v>
      </c>
    </row>
    <row r="526" spans="1:28" x14ac:dyDescent="0.25">
      <c r="A526">
        <v>10184</v>
      </c>
      <c r="B526">
        <v>37</v>
      </c>
      <c r="C526">
        <v>122.06</v>
      </c>
      <c r="D526">
        <v>6</v>
      </c>
      <c r="E526">
        <v>4516.22</v>
      </c>
      <c r="F526" s="1">
        <v>43418</v>
      </c>
      <c r="G526" s="2" t="s">
        <v>19</v>
      </c>
      <c r="H526" s="2" t="s">
        <v>537</v>
      </c>
      <c r="I526">
        <v>118</v>
      </c>
      <c r="J526" s="2" t="s">
        <v>554</v>
      </c>
      <c r="K526" s="2" t="s">
        <v>555</v>
      </c>
      <c r="L526" s="2" t="s">
        <v>556</v>
      </c>
      <c r="M526" s="2" t="s">
        <v>557</v>
      </c>
      <c r="N526" s="2" t="s">
        <v>558</v>
      </c>
      <c r="O526" s="2" t="s">
        <v>559</v>
      </c>
      <c r="P526" s="2" t="s">
        <v>180</v>
      </c>
      <c r="Q526" s="2" t="s">
        <v>560</v>
      </c>
      <c r="R526" s="2" t="s">
        <v>561</v>
      </c>
      <c r="S526" s="2" t="s">
        <v>46</v>
      </c>
      <c r="T526">
        <v>921</v>
      </c>
      <c r="U526">
        <f>VLOOKUP(Auto_Sales_data___Copy[[#This Row],[CUSTOMER_NAME]],$AF$2:$AH$90,2,FALSE)</f>
        <v>15</v>
      </c>
      <c r="V526">
        <f>VLOOKUP(Auto_Sales_data___Copy[[#This Row],[CUSTOMER_NAME]],$AF$2:$AH$90,3,FALSE)</f>
        <v>54723.62</v>
      </c>
      <c r="W526" s="2">
        <f>6-MATCH(Auto_Sales_data___Copy[[#This Row],[DAYS_SINCE_LAST_ORDER]],Table2[R-Cutoff],1)</f>
        <v>5</v>
      </c>
      <c r="X526" s="2">
        <f>MATCH(Auto_Sales_data___Copy[[#This Row],[Total_Orders_Per_Customer]],Table2[F-Cutoff],1)</f>
        <v>1</v>
      </c>
      <c r="Y526" s="2">
        <f>MATCH(Auto_Sales_data___Copy[[#This Row],[Total_Sales_Per_Customer]],Table2[M-Cutoff],1)</f>
        <v>1</v>
      </c>
      <c r="Z526" s="2" t="str">
        <f>Auto_Sales_data___Copy[[#This Row],[R-Score(1-5)]]&amp;Auto_Sales_data___Copy[[#This Row],[F-Score(1-5)]]&amp;Auto_Sales_data___Copy[[#This Row],[M-Score(1-5)]]</f>
        <v>511</v>
      </c>
      <c r="AA526" s="2" t="str" cm="1">
        <f t="array" ref="AA5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6" s="2" t="str">
        <f>VLOOKUP(Auto_Sales_data___Copy[[#This Row],[Segment Name]],Table3[],2,FALSE)</f>
        <v>Brand Awareness &amp; Value Proposition</v>
      </c>
    </row>
    <row r="527" spans="1:28" x14ac:dyDescent="0.25">
      <c r="A527">
        <v>10215</v>
      </c>
      <c r="B527">
        <v>35</v>
      </c>
      <c r="C527">
        <v>173.58</v>
      </c>
      <c r="D527">
        <v>3</v>
      </c>
      <c r="E527">
        <v>6075.3</v>
      </c>
      <c r="F527" s="1">
        <v>43494</v>
      </c>
      <c r="G527" s="2" t="s">
        <v>19</v>
      </c>
      <c r="H527" s="2" t="s">
        <v>183</v>
      </c>
      <c r="I527">
        <v>214</v>
      </c>
      <c r="J527" s="2" t="s">
        <v>184</v>
      </c>
      <c r="K527" s="2" t="s">
        <v>239</v>
      </c>
      <c r="L527" s="2" t="s">
        <v>240</v>
      </c>
      <c r="M527" s="2" t="s">
        <v>241</v>
      </c>
      <c r="N527" s="2" t="s">
        <v>242</v>
      </c>
      <c r="O527" s="2" t="s">
        <v>99</v>
      </c>
      <c r="P527" s="2" t="s">
        <v>27</v>
      </c>
      <c r="Q527" s="2" t="s">
        <v>243</v>
      </c>
      <c r="R527" s="2" t="s">
        <v>244</v>
      </c>
      <c r="S527" s="2" t="s">
        <v>46</v>
      </c>
      <c r="T527">
        <v>523</v>
      </c>
      <c r="U527">
        <f>VLOOKUP(Auto_Sales_data___Copy[[#This Row],[CUSTOMER_NAME]],$AF$2:$AH$90,2,FALSE)</f>
        <v>13</v>
      </c>
      <c r="V527">
        <f>VLOOKUP(Auto_Sales_data___Copy[[#This Row],[CUSTOMER_NAME]],$AF$2:$AH$90,3,FALSE)</f>
        <v>46084.639999999999</v>
      </c>
      <c r="W527" s="2">
        <f>6-MATCH(Auto_Sales_data___Copy[[#This Row],[DAYS_SINCE_LAST_ORDER]],Table2[R-Cutoff],1)</f>
        <v>5</v>
      </c>
      <c r="X527" s="2">
        <f>MATCH(Auto_Sales_data___Copy[[#This Row],[Total_Orders_Per_Customer]],Table2[F-Cutoff],1)</f>
        <v>1</v>
      </c>
      <c r="Y527" s="2">
        <f>MATCH(Auto_Sales_data___Copy[[#This Row],[Total_Sales_Per_Customer]],Table2[M-Cutoff],1)</f>
        <v>1</v>
      </c>
      <c r="Z527" s="2" t="str">
        <f>Auto_Sales_data___Copy[[#This Row],[R-Score(1-5)]]&amp;Auto_Sales_data___Copy[[#This Row],[F-Score(1-5)]]&amp;Auto_Sales_data___Copy[[#This Row],[M-Score(1-5)]]</f>
        <v>511</v>
      </c>
      <c r="AA527" s="2" t="str" cm="1">
        <f t="array" ref="AA5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7" s="2" t="str">
        <f>VLOOKUP(Auto_Sales_data___Copy[[#This Row],[Segment Name]],Table3[],2,FALSE)</f>
        <v>Brand Awareness &amp; Value Proposition</v>
      </c>
    </row>
    <row r="528" spans="1:28" x14ac:dyDescent="0.25">
      <c r="A528">
        <v>10215</v>
      </c>
      <c r="B528">
        <v>46</v>
      </c>
      <c r="C528">
        <v>112</v>
      </c>
      <c r="D528">
        <v>2</v>
      </c>
      <c r="E528">
        <v>5152</v>
      </c>
      <c r="F528" s="1">
        <v>43494</v>
      </c>
      <c r="G528" s="2" t="s">
        <v>19</v>
      </c>
      <c r="H528" s="2" t="s">
        <v>537</v>
      </c>
      <c r="I528">
        <v>116</v>
      </c>
      <c r="J528" s="2" t="s">
        <v>575</v>
      </c>
      <c r="K528" s="2" t="s">
        <v>239</v>
      </c>
      <c r="L528" s="2" t="s">
        <v>240</v>
      </c>
      <c r="M528" s="2" t="s">
        <v>241</v>
      </c>
      <c r="N528" s="2" t="s">
        <v>242</v>
      </c>
      <c r="O528" s="2" t="s">
        <v>99</v>
      </c>
      <c r="P528" s="2" t="s">
        <v>27</v>
      </c>
      <c r="Q528" s="2" t="s">
        <v>243</v>
      </c>
      <c r="R528" s="2" t="s">
        <v>244</v>
      </c>
      <c r="S528" s="2" t="s">
        <v>46</v>
      </c>
      <c r="T528">
        <v>900</v>
      </c>
      <c r="U528">
        <f>VLOOKUP(Auto_Sales_data___Copy[[#This Row],[CUSTOMER_NAME]],$AF$2:$AH$90,2,FALSE)</f>
        <v>13</v>
      </c>
      <c r="V528">
        <f>VLOOKUP(Auto_Sales_data___Copy[[#This Row],[CUSTOMER_NAME]],$AF$2:$AH$90,3,FALSE)</f>
        <v>46084.639999999999</v>
      </c>
      <c r="W528" s="2">
        <f>6-MATCH(Auto_Sales_data___Copy[[#This Row],[DAYS_SINCE_LAST_ORDER]],Table2[R-Cutoff],1)</f>
        <v>5</v>
      </c>
      <c r="X528" s="2">
        <f>MATCH(Auto_Sales_data___Copy[[#This Row],[Total_Orders_Per_Customer]],Table2[F-Cutoff],1)</f>
        <v>1</v>
      </c>
      <c r="Y528" s="2">
        <f>MATCH(Auto_Sales_data___Copy[[#This Row],[Total_Sales_Per_Customer]],Table2[M-Cutoff],1)</f>
        <v>1</v>
      </c>
      <c r="Z528" s="2" t="str">
        <f>Auto_Sales_data___Copy[[#This Row],[R-Score(1-5)]]&amp;Auto_Sales_data___Copy[[#This Row],[F-Score(1-5)]]&amp;Auto_Sales_data___Copy[[#This Row],[M-Score(1-5)]]</f>
        <v>511</v>
      </c>
      <c r="AA528" s="2" t="str" cm="1">
        <f t="array" ref="AA5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8" s="2" t="str">
        <f>VLOOKUP(Auto_Sales_data___Copy[[#This Row],[Segment Name]],Table3[],2,FALSE)</f>
        <v>Brand Awareness &amp; Value Proposition</v>
      </c>
    </row>
    <row r="529" spans="1:28" x14ac:dyDescent="0.25">
      <c r="A529">
        <v>10219</v>
      </c>
      <c r="B529">
        <v>48</v>
      </c>
      <c r="C529">
        <v>101.91</v>
      </c>
      <c r="D529">
        <v>2</v>
      </c>
      <c r="E529">
        <v>4891.68</v>
      </c>
      <c r="F529" s="1">
        <v>43506</v>
      </c>
      <c r="G529" s="2" t="s">
        <v>19</v>
      </c>
      <c r="H529" s="2" t="s">
        <v>537</v>
      </c>
      <c r="I529">
        <v>118</v>
      </c>
      <c r="J529" s="2" t="s">
        <v>554</v>
      </c>
      <c r="K529" s="2" t="s">
        <v>562</v>
      </c>
      <c r="L529" s="2" t="s">
        <v>563</v>
      </c>
      <c r="M529" s="2" t="s">
        <v>564</v>
      </c>
      <c r="N529" s="2" t="s">
        <v>565</v>
      </c>
      <c r="O529" s="2" t="s">
        <v>58</v>
      </c>
      <c r="P529" s="2" t="s">
        <v>27</v>
      </c>
      <c r="Q529" s="2" t="s">
        <v>566</v>
      </c>
      <c r="R529" s="2" t="s">
        <v>422</v>
      </c>
      <c r="S529" s="2" t="s">
        <v>46</v>
      </c>
      <c r="T529">
        <v>836</v>
      </c>
      <c r="U529">
        <f>VLOOKUP(Auto_Sales_data___Copy[[#This Row],[CUSTOMER_NAME]],$AF$2:$AH$90,2,FALSE)</f>
        <v>15</v>
      </c>
      <c r="V529">
        <f>VLOOKUP(Auto_Sales_data___Copy[[#This Row],[CUSTOMER_NAME]],$AF$2:$AH$90,3,FALSE)</f>
        <v>50218.51</v>
      </c>
      <c r="W529" s="2">
        <f>6-MATCH(Auto_Sales_data___Copy[[#This Row],[DAYS_SINCE_LAST_ORDER]],Table2[R-Cutoff],1)</f>
        <v>5</v>
      </c>
      <c r="X529" s="2">
        <f>MATCH(Auto_Sales_data___Copy[[#This Row],[Total_Orders_Per_Customer]],Table2[F-Cutoff],1)</f>
        <v>1</v>
      </c>
      <c r="Y529" s="2">
        <f>MATCH(Auto_Sales_data___Copy[[#This Row],[Total_Sales_Per_Customer]],Table2[M-Cutoff],1)</f>
        <v>1</v>
      </c>
      <c r="Z529" s="2" t="str">
        <f>Auto_Sales_data___Copy[[#This Row],[R-Score(1-5)]]&amp;Auto_Sales_data___Copy[[#This Row],[F-Score(1-5)]]&amp;Auto_Sales_data___Copy[[#This Row],[M-Score(1-5)]]</f>
        <v>511</v>
      </c>
      <c r="AA529" s="2" t="str" cm="1">
        <f t="array" ref="AA5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9" s="2" t="str">
        <f>VLOOKUP(Auto_Sales_data___Copy[[#This Row],[Segment Name]],Table3[],2,FALSE)</f>
        <v>Brand Awareness &amp; Value Proposition</v>
      </c>
    </row>
    <row r="530" spans="1:28" x14ac:dyDescent="0.25">
      <c r="A530">
        <v>10220</v>
      </c>
      <c r="B530">
        <v>32</v>
      </c>
      <c r="C530">
        <v>224.42</v>
      </c>
      <c r="D530">
        <v>2</v>
      </c>
      <c r="E530">
        <v>7181.44</v>
      </c>
      <c r="F530" s="1">
        <v>43508</v>
      </c>
      <c r="G530" s="2" t="s">
        <v>19</v>
      </c>
      <c r="H530" s="2" t="s">
        <v>183</v>
      </c>
      <c r="I530">
        <v>207</v>
      </c>
      <c r="J530" s="2" t="s">
        <v>505</v>
      </c>
      <c r="K530" s="2" t="s">
        <v>510</v>
      </c>
      <c r="L530" s="2" t="s">
        <v>511</v>
      </c>
      <c r="M530" s="2" t="s">
        <v>512</v>
      </c>
      <c r="N530" s="2" t="s">
        <v>513</v>
      </c>
      <c r="O530" s="2" t="s">
        <v>514</v>
      </c>
      <c r="P530" s="2" t="s">
        <v>515</v>
      </c>
      <c r="Q530" s="2" t="s">
        <v>516</v>
      </c>
      <c r="R530" s="2" t="s">
        <v>517</v>
      </c>
      <c r="S530" s="2" t="s">
        <v>151</v>
      </c>
      <c r="T530">
        <v>659</v>
      </c>
      <c r="U530">
        <f>VLOOKUP(Auto_Sales_data___Copy[[#This Row],[CUSTOMER_NAME]],$AF$2:$AH$90,2,FALSE)</f>
        <v>16</v>
      </c>
      <c r="V530">
        <f>VLOOKUP(Auto_Sales_data___Copy[[#This Row],[CUSTOMER_NAME]],$AF$2:$AH$90,3,FALSE)</f>
        <v>57756.43</v>
      </c>
      <c r="W530" s="2">
        <f>6-MATCH(Auto_Sales_data___Copy[[#This Row],[DAYS_SINCE_LAST_ORDER]],Table2[R-Cutoff],1)</f>
        <v>5</v>
      </c>
      <c r="X530" s="2">
        <f>MATCH(Auto_Sales_data___Copy[[#This Row],[Total_Orders_Per_Customer]],Table2[F-Cutoff],1)</f>
        <v>1</v>
      </c>
      <c r="Y530" s="2">
        <f>MATCH(Auto_Sales_data___Copy[[#This Row],[Total_Sales_Per_Customer]],Table2[M-Cutoff],1)</f>
        <v>1</v>
      </c>
      <c r="Z530" s="2" t="str">
        <f>Auto_Sales_data___Copy[[#This Row],[R-Score(1-5)]]&amp;Auto_Sales_data___Copy[[#This Row],[F-Score(1-5)]]&amp;Auto_Sales_data___Copy[[#This Row],[M-Score(1-5)]]</f>
        <v>511</v>
      </c>
      <c r="AA530" s="2" t="str" cm="1">
        <f t="array" ref="AA5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0" s="2" t="str">
        <f>VLOOKUP(Auto_Sales_data___Copy[[#This Row],[Segment Name]],Table3[],2,FALSE)</f>
        <v>Brand Awareness &amp; Value Proposition</v>
      </c>
    </row>
    <row r="531" spans="1:28" x14ac:dyDescent="0.25">
      <c r="A531">
        <v>10220</v>
      </c>
      <c r="B531">
        <v>30</v>
      </c>
      <c r="C531">
        <v>157.12</v>
      </c>
      <c r="D531">
        <v>3</v>
      </c>
      <c r="E531">
        <v>4713.6000000000004</v>
      </c>
      <c r="F531" s="1">
        <v>43508</v>
      </c>
      <c r="G531" s="2" t="s">
        <v>19</v>
      </c>
      <c r="H531" s="2" t="s">
        <v>183</v>
      </c>
      <c r="I531">
        <v>151</v>
      </c>
      <c r="J531" s="2" t="s">
        <v>545</v>
      </c>
      <c r="K531" s="2" t="s">
        <v>510</v>
      </c>
      <c r="L531" s="2" t="s">
        <v>511</v>
      </c>
      <c r="M531" s="2" t="s">
        <v>512</v>
      </c>
      <c r="N531" s="2" t="s">
        <v>513</v>
      </c>
      <c r="O531" s="2" t="s">
        <v>514</v>
      </c>
      <c r="P531" s="2" t="s">
        <v>515</v>
      </c>
      <c r="Q531" s="2" t="s">
        <v>516</v>
      </c>
      <c r="R531" s="2" t="s">
        <v>517</v>
      </c>
      <c r="S531" s="2" t="s">
        <v>46</v>
      </c>
      <c r="T531">
        <v>735</v>
      </c>
      <c r="U531">
        <f>VLOOKUP(Auto_Sales_data___Copy[[#This Row],[CUSTOMER_NAME]],$AF$2:$AH$90,2,FALSE)</f>
        <v>16</v>
      </c>
      <c r="V531">
        <f>VLOOKUP(Auto_Sales_data___Copy[[#This Row],[CUSTOMER_NAME]],$AF$2:$AH$90,3,FALSE)</f>
        <v>57756.43</v>
      </c>
      <c r="W531" s="2">
        <f>6-MATCH(Auto_Sales_data___Copy[[#This Row],[DAYS_SINCE_LAST_ORDER]],Table2[R-Cutoff],1)</f>
        <v>5</v>
      </c>
      <c r="X531" s="2">
        <f>MATCH(Auto_Sales_data___Copy[[#This Row],[Total_Orders_Per_Customer]],Table2[F-Cutoff],1)</f>
        <v>1</v>
      </c>
      <c r="Y531" s="2">
        <f>MATCH(Auto_Sales_data___Copy[[#This Row],[Total_Sales_Per_Customer]],Table2[M-Cutoff],1)</f>
        <v>1</v>
      </c>
      <c r="Z531" s="2" t="str">
        <f>Auto_Sales_data___Copy[[#This Row],[R-Score(1-5)]]&amp;Auto_Sales_data___Copy[[#This Row],[F-Score(1-5)]]&amp;Auto_Sales_data___Copy[[#This Row],[M-Score(1-5)]]</f>
        <v>511</v>
      </c>
      <c r="AA531" s="2" t="str" cm="1">
        <f t="array" ref="AA5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1" s="2" t="str">
        <f>VLOOKUP(Auto_Sales_data___Copy[[#This Row],[Segment Name]],Table3[],2,FALSE)</f>
        <v>Brand Awareness &amp; Value Proposition</v>
      </c>
    </row>
    <row r="532" spans="1:28" x14ac:dyDescent="0.25">
      <c r="A532">
        <v>10220</v>
      </c>
      <c r="B532">
        <v>27</v>
      </c>
      <c r="C532">
        <v>186.86</v>
      </c>
      <c r="D532">
        <v>1</v>
      </c>
      <c r="E532">
        <v>5045.22</v>
      </c>
      <c r="F532" s="1">
        <v>43508</v>
      </c>
      <c r="G532" s="2" t="s">
        <v>19</v>
      </c>
      <c r="H532" s="2" t="s">
        <v>183</v>
      </c>
      <c r="I532">
        <v>173</v>
      </c>
      <c r="J532" s="2" t="s">
        <v>552</v>
      </c>
      <c r="K532" s="2" t="s">
        <v>510</v>
      </c>
      <c r="L532" s="2" t="s">
        <v>511</v>
      </c>
      <c r="M532" s="2" t="s">
        <v>512</v>
      </c>
      <c r="N532" s="2" t="s">
        <v>513</v>
      </c>
      <c r="O532" s="2" t="s">
        <v>514</v>
      </c>
      <c r="P532" s="2" t="s">
        <v>515</v>
      </c>
      <c r="Q532" s="2" t="s">
        <v>516</v>
      </c>
      <c r="R532" s="2" t="s">
        <v>517</v>
      </c>
      <c r="S532" s="2" t="s">
        <v>46</v>
      </c>
      <c r="T532">
        <v>784</v>
      </c>
      <c r="U532">
        <f>VLOOKUP(Auto_Sales_data___Copy[[#This Row],[CUSTOMER_NAME]],$AF$2:$AH$90,2,FALSE)</f>
        <v>16</v>
      </c>
      <c r="V532">
        <f>VLOOKUP(Auto_Sales_data___Copy[[#This Row],[CUSTOMER_NAME]],$AF$2:$AH$90,3,FALSE)</f>
        <v>57756.43</v>
      </c>
      <c r="W532" s="2">
        <f>6-MATCH(Auto_Sales_data___Copy[[#This Row],[DAYS_SINCE_LAST_ORDER]],Table2[R-Cutoff],1)</f>
        <v>5</v>
      </c>
      <c r="X532" s="2">
        <f>MATCH(Auto_Sales_data___Copy[[#This Row],[Total_Orders_Per_Customer]],Table2[F-Cutoff],1)</f>
        <v>1</v>
      </c>
      <c r="Y532" s="2">
        <f>MATCH(Auto_Sales_data___Copy[[#This Row],[Total_Sales_Per_Customer]],Table2[M-Cutoff],1)</f>
        <v>1</v>
      </c>
      <c r="Z532" s="2" t="str">
        <f>Auto_Sales_data___Copy[[#This Row],[R-Score(1-5)]]&amp;Auto_Sales_data___Copy[[#This Row],[F-Score(1-5)]]&amp;Auto_Sales_data___Copy[[#This Row],[M-Score(1-5)]]</f>
        <v>511</v>
      </c>
      <c r="AA532" s="2" t="str" cm="1">
        <f t="array" ref="AA5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2" s="2" t="str">
        <f>VLOOKUP(Auto_Sales_data___Copy[[#This Row],[Segment Name]],Table3[],2,FALSE)</f>
        <v>Brand Awareness &amp; Value Proposition</v>
      </c>
    </row>
    <row r="533" spans="1:28" x14ac:dyDescent="0.25">
      <c r="A533">
        <v>10228</v>
      </c>
      <c r="B533">
        <v>29</v>
      </c>
      <c r="C533">
        <v>222.87</v>
      </c>
      <c r="D533">
        <v>2</v>
      </c>
      <c r="E533">
        <v>6463.23</v>
      </c>
      <c r="F533" s="1">
        <v>43534</v>
      </c>
      <c r="G533" s="2" t="s">
        <v>19</v>
      </c>
      <c r="H533" s="2" t="s">
        <v>183</v>
      </c>
      <c r="I533">
        <v>214</v>
      </c>
      <c r="J533" s="2" t="s">
        <v>184</v>
      </c>
      <c r="K533" s="2" t="s">
        <v>245</v>
      </c>
      <c r="L533" s="2" t="s">
        <v>246</v>
      </c>
      <c r="M533" s="2" t="s">
        <v>247</v>
      </c>
      <c r="N533" s="2" t="s">
        <v>118</v>
      </c>
      <c r="O533" s="2" t="s">
        <v>119</v>
      </c>
      <c r="P533" s="2" t="s">
        <v>27</v>
      </c>
      <c r="Q533" s="2" t="s">
        <v>248</v>
      </c>
      <c r="R533" s="2" t="s">
        <v>142</v>
      </c>
      <c r="S533" s="2" t="s">
        <v>46</v>
      </c>
      <c r="T533">
        <v>484</v>
      </c>
      <c r="U533">
        <f>VLOOKUP(Auto_Sales_data___Copy[[#This Row],[CUSTOMER_NAME]],$AF$2:$AH$90,2,FALSE)</f>
        <v>11</v>
      </c>
      <c r="V533">
        <f>VLOOKUP(Auto_Sales_data___Copy[[#This Row],[CUSTOMER_NAME]],$AF$2:$AH$90,3,FALSE)</f>
        <v>36163.619999999995</v>
      </c>
      <c r="W533" s="2">
        <f>6-MATCH(Auto_Sales_data___Copy[[#This Row],[DAYS_SINCE_LAST_ORDER]],Table2[R-Cutoff],1)</f>
        <v>5</v>
      </c>
      <c r="X533" s="2">
        <f>MATCH(Auto_Sales_data___Copy[[#This Row],[Total_Orders_Per_Customer]],Table2[F-Cutoff],1)</f>
        <v>1</v>
      </c>
      <c r="Y533" s="2">
        <f>MATCH(Auto_Sales_data___Copy[[#This Row],[Total_Sales_Per_Customer]],Table2[M-Cutoff],1)</f>
        <v>1</v>
      </c>
      <c r="Z533" s="2" t="str">
        <f>Auto_Sales_data___Copy[[#This Row],[R-Score(1-5)]]&amp;Auto_Sales_data___Copy[[#This Row],[F-Score(1-5)]]&amp;Auto_Sales_data___Copy[[#This Row],[M-Score(1-5)]]</f>
        <v>511</v>
      </c>
      <c r="AA533" s="2" t="str" cm="1">
        <f t="array" ref="AA5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3" s="2" t="str">
        <f>VLOOKUP(Auto_Sales_data___Copy[[#This Row],[Segment Name]],Table3[],2,FALSE)</f>
        <v>Brand Awareness &amp; Value Proposition</v>
      </c>
    </row>
    <row r="534" spans="1:28" x14ac:dyDescent="0.25">
      <c r="A534">
        <v>10228</v>
      </c>
      <c r="B534">
        <v>32</v>
      </c>
      <c r="C534">
        <v>105</v>
      </c>
      <c r="D534">
        <v>1</v>
      </c>
      <c r="E534">
        <v>3360</v>
      </c>
      <c r="F534" s="1">
        <v>43534</v>
      </c>
      <c r="G534" s="2" t="s">
        <v>19</v>
      </c>
      <c r="H534" s="2" t="s">
        <v>537</v>
      </c>
      <c r="I534">
        <v>116</v>
      </c>
      <c r="J534" s="2" t="s">
        <v>575</v>
      </c>
      <c r="K534" s="2" t="s">
        <v>245</v>
      </c>
      <c r="L534" s="2" t="s">
        <v>246</v>
      </c>
      <c r="M534" s="2" t="s">
        <v>247</v>
      </c>
      <c r="N534" s="2" t="s">
        <v>118</v>
      </c>
      <c r="O534" s="2" t="s">
        <v>119</v>
      </c>
      <c r="P534" s="2" t="s">
        <v>27</v>
      </c>
      <c r="Q534" s="2" t="s">
        <v>248</v>
      </c>
      <c r="R534" s="2" t="s">
        <v>142</v>
      </c>
      <c r="S534" s="2" t="s">
        <v>46</v>
      </c>
      <c r="T534">
        <v>861</v>
      </c>
      <c r="U534">
        <f>VLOOKUP(Auto_Sales_data___Copy[[#This Row],[CUSTOMER_NAME]],$AF$2:$AH$90,2,FALSE)</f>
        <v>11</v>
      </c>
      <c r="V534">
        <f>VLOOKUP(Auto_Sales_data___Copy[[#This Row],[CUSTOMER_NAME]],$AF$2:$AH$90,3,FALSE)</f>
        <v>36163.619999999995</v>
      </c>
      <c r="W534" s="2">
        <f>6-MATCH(Auto_Sales_data___Copy[[#This Row],[DAYS_SINCE_LAST_ORDER]],Table2[R-Cutoff],1)</f>
        <v>5</v>
      </c>
      <c r="X534" s="2">
        <f>MATCH(Auto_Sales_data___Copy[[#This Row],[Total_Orders_Per_Customer]],Table2[F-Cutoff],1)</f>
        <v>1</v>
      </c>
      <c r="Y534" s="2">
        <f>MATCH(Auto_Sales_data___Copy[[#This Row],[Total_Sales_Per_Customer]],Table2[M-Cutoff],1)</f>
        <v>1</v>
      </c>
      <c r="Z534" s="2" t="str">
        <f>Auto_Sales_data___Copy[[#This Row],[R-Score(1-5)]]&amp;Auto_Sales_data___Copy[[#This Row],[F-Score(1-5)]]&amp;Auto_Sales_data___Copy[[#This Row],[M-Score(1-5)]]</f>
        <v>511</v>
      </c>
      <c r="AA534" s="2" t="str" cm="1">
        <f t="array" ref="AA5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4" s="2" t="str">
        <f>VLOOKUP(Auto_Sales_data___Copy[[#This Row],[Segment Name]],Table3[],2,FALSE)</f>
        <v>Brand Awareness &amp; Value Proposition</v>
      </c>
    </row>
    <row r="535" spans="1:28" x14ac:dyDescent="0.25">
      <c r="A535">
        <v>10231</v>
      </c>
      <c r="B535">
        <v>42</v>
      </c>
      <c r="C535">
        <v>199.49</v>
      </c>
      <c r="D535">
        <v>2</v>
      </c>
      <c r="E535">
        <v>8378.58</v>
      </c>
      <c r="F535" s="1">
        <v>43543</v>
      </c>
      <c r="G535" s="2" t="s">
        <v>19</v>
      </c>
      <c r="H535" s="2" t="s">
        <v>183</v>
      </c>
      <c r="I535">
        <v>207</v>
      </c>
      <c r="J535" s="2" t="s">
        <v>505</v>
      </c>
      <c r="K535" s="2" t="s">
        <v>518</v>
      </c>
      <c r="L535" s="2" t="s">
        <v>519</v>
      </c>
      <c r="M535" s="2" t="s">
        <v>520</v>
      </c>
      <c r="N535" s="2" t="s">
        <v>178</v>
      </c>
      <c r="O535" s="2" t="s">
        <v>196</v>
      </c>
      <c r="P535" s="2" t="s">
        <v>180</v>
      </c>
      <c r="Q535" s="2" t="s">
        <v>521</v>
      </c>
      <c r="R535" s="2" t="s">
        <v>522</v>
      </c>
      <c r="S535" s="2" t="s">
        <v>151</v>
      </c>
      <c r="T535">
        <v>625</v>
      </c>
      <c r="U535">
        <f>VLOOKUP(Auto_Sales_data___Copy[[#This Row],[CUSTOMER_NAME]],$AF$2:$AH$90,2,FALSE)</f>
        <v>13</v>
      </c>
      <c r="V535">
        <f>VLOOKUP(Auto_Sales_data___Copy[[#This Row],[CUSTOMER_NAME]],$AF$2:$AH$90,3,FALSE)</f>
        <v>49642.05</v>
      </c>
      <c r="W535" s="2">
        <f>6-MATCH(Auto_Sales_data___Copy[[#This Row],[DAYS_SINCE_LAST_ORDER]],Table2[R-Cutoff],1)</f>
        <v>5</v>
      </c>
      <c r="X535" s="2">
        <f>MATCH(Auto_Sales_data___Copy[[#This Row],[Total_Orders_Per_Customer]],Table2[F-Cutoff],1)</f>
        <v>1</v>
      </c>
      <c r="Y535" s="2">
        <f>MATCH(Auto_Sales_data___Copy[[#This Row],[Total_Sales_Per_Customer]],Table2[M-Cutoff],1)</f>
        <v>1</v>
      </c>
      <c r="Z535" s="2" t="str">
        <f>Auto_Sales_data___Copy[[#This Row],[R-Score(1-5)]]&amp;Auto_Sales_data___Copy[[#This Row],[F-Score(1-5)]]&amp;Auto_Sales_data___Copy[[#This Row],[M-Score(1-5)]]</f>
        <v>511</v>
      </c>
      <c r="AA535" s="2" t="str" cm="1">
        <f t="array" ref="AA5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5" s="2" t="str">
        <f>VLOOKUP(Auto_Sales_data___Copy[[#This Row],[Segment Name]],Table3[],2,FALSE)</f>
        <v>Brand Awareness &amp; Value Proposition</v>
      </c>
    </row>
    <row r="536" spans="1:28" x14ac:dyDescent="0.25">
      <c r="A536">
        <v>10231</v>
      </c>
      <c r="B536">
        <v>49</v>
      </c>
      <c r="C536">
        <v>141.88</v>
      </c>
      <c r="D536">
        <v>1</v>
      </c>
      <c r="E536">
        <v>6952.12</v>
      </c>
      <c r="F536" s="1">
        <v>43543</v>
      </c>
      <c r="G536" s="2" t="s">
        <v>19</v>
      </c>
      <c r="H536" s="2" t="s">
        <v>183</v>
      </c>
      <c r="I536">
        <v>173</v>
      </c>
      <c r="J536" s="2" t="s">
        <v>552</v>
      </c>
      <c r="K536" s="2" t="s">
        <v>518</v>
      </c>
      <c r="L536" s="2" t="s">
        <v>519</v>
      </c>
      <c r="M536" s="2" t="s">
        <v>520</v>
      </c>
      <c r="N536" s="2" t="s">
        <v>178</v>
      </c>
      <c r="O536" s="2" t="s">
        <v>196</v>
      </c>
      <c r="P536" s="2" t="s">
        <v>180</v>
      </c>
      <c r="Q536" s="2" t="s">
        <v>521</v>
      </c>
      <c r="R536" s="2" t="s">
        <v>522</v>
      </c>
      <c r="S536" s="2" t="s">
        <v>46</v>
      </c>
      <c r="T536">
        <v>750</v>
      </c>
      <c r="U536">
        <f>VLOOKUP(Auto_Sales_data___Copy[[#This Row],[CUSTOMER_NAME]],$AF$2:$AH$90,2,FALSE)</f>
        <v>13</v>
      </c>
      <c r="V536">
        <f>VLOOKUP(Auto_Sales_data___Copy[[#This Row],[CUSTOMER_NAME]],$AF$2:$AH$90,3,FALSE)</f>
        <v>49642.05</v>
      </c>
      <c r="W536" s="2">
        <f>6-MATCH(Auto_Sales_data___Copy[[#This Row],[DAYS_SINCE_LAST_ORDER]],Table2[R-Cutoff],1)</f>
        <v>5</v>
      </c>
      <c r="X536" s="2">
        <f>MATCH(Auto_Sales_data___Copy[[#This Row],[Total_Orders_Per_Customer]],Table2[F-Cutoff],1)</f>
        <v>1</v>
      </c>
      <c r="Y536" s="2">
        <f>MATCH(Auto_Sales_data___Copy[[#This Row],[Total_Sales_Per_Customer]],Table2[M-Cutoff],1)</f>
        <v>1</v>
      </c>
      <c r="Z536" s="2" t="str">
        <f>Auto_Sales_data___Copy[[#This Row],[R-Score(1-5)]]&amp;Auto_Sales_data___Copy[[#This Row],[F-Score(1-5)]]&amp;Auto_Sales_data___Copy[[#This Row],[M-Score(1-5)]]</f>
        <v>511</v>
      </c>
      <c r="AA536" s="2" t="str" cm="1">
        <f t="array" ref="AA5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6" s="2" t="str">
        <f>VLOOKUP(Auto_Sales_data___Copy[[#This Row],[Segment Name]],Table3[],2,FALSE)</f>
        <v>Brand Awareness &amp; Value Proposition</v>
      </c>
    </row>
    <row r="537" spans="1:28" x14ac:dyDescent="0.25">
      <c r="A537">
        <v>10276</v>
      </c>
      <c r="B537">
        <v>50</v>
      </c>
      <c r="C537">
        <v>192.62</v>
      </c>
      <c r="D537">
        <v>3</v>
      </c>
      <c r="E537">
        <v>9631</v>
      </c>
      <c r="F537" s="1">
        <v>43679</v>
      </c>
      <c r="G537" s="2" t="s">
        <v>19</v>
      </c>
      <c r="H537" s="2" t="s">
        <v>183</v>
      </c>
      <c r="I537">
        <v>194</v>
      </c>
      <c r="J537" s="2" t="s">
        <v>449</v>
      </c>
      <c r="K537" s="2" t="s">
        <v>487</v>
      </c>
      <c r="L537" s="2" t="s">
        <v>488</v>
      </c>
      <c r="M537" s="2" t="s">
        <v>489</v>
      </c>
      <c r="N537" s="2" t="s">
        <v>297</v>
      </c>
      <c r="O537" s="2" t="s">
        <v>298</v>
      </c>
      <c r="P537" s="2" t="s">
        <v>27</v>
      </c>
      <c r="Q537" s="2" t="s">
        <v>490</v>
      </c>
      <c r="R537" s="2" t="s">
        <v>491</v>
      </c>
      <c r="S537" s="2" t="s">
        <v>151</v>
      </c>
      <c r="T537">
        <v>467</v>
      </c>
      <c r="U537">
        <f>VLOOKUP(Auto_Sales_data___Copy[[#This Row],[CUSTOMER_NAME]],$AF$2:$AH$90,2,FALSE)</f>
        <v>15</v>
      </c>
      <c r="V537">
        <f>VLOOKUP(Auto_Sales_data___Copy[[#This Row],[CUSTOMER_NAME]],$AF$2:$AH$90,3,FALSE)</f>
        <v>57197.959999999992</v>
      </c>
      <c r="W537" s="2">
        <f>6-MATCH(Auto_Sales_data___Copy[[#This Row],[DAYS_SINCE_LAST_ORDER]],Table2[R-Cutoff],1)</f>
        <v>5</v>
      </c>
      <c r="X537" s="2">
        <f>MATCH(Auto_Sales_data___Copy[[#This Row],[Total_Orders_Per_Customer]],Table2[F-Cutoff],1)</f>
        <v>1</v>
      </c>
      <c r="Y537" s="2">
        <f>MATCH(Auto_Sales_data___Copy[[#This Row],[Total_Sales_Per_Customer]],Table2[M-Cutoff],1)</f>
        <v>1</v>
      </c>
      <c r="Z537" s="2" t="str">
        <f>Auto_Sales_data___Copy[[#This Row],[R-Score(1-5)]]&amp;Auto_Sales_data___Copy[[#This Row],[F-Score(1-5)]]&amp;Auto_Sales_data___Copy[[#This Row],[M-Score(1-5)]]</f>
        <v>511</v>
      </c>
      <c r="AA537" s="2" t="str" cm="1">
        <f t="array" ref="AA5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7" s="2" t="str">
        <f>VLOOKUP(Auto_Sales_data___Copy[[#This Row],[Segment Name]],Table3[],2,FALSE)</f>
        <v>Brand Awareness &amp; Value Proposition</v>
      </c>
    </row>
    <row r="538" spans="1:28" x14ac:dyDescent="0.25">
      <c r="A538">
        <v>10276</v>
      </c>
      <c r="B538">
        <v>43</v>
      </c>
      <c r="C538">
        <v>120.5</v>
      </c>
      <c r="D538">
        <v>14</v>
      </c>
      <c r="E538">
        <v>5181.5</v>
      </c>
      <c r="F538" s="1">
        <v>43679</v>
      </c>
      <c r="G538" s="2" t="s">
        <v>19</v>
      </c>
      <c r="H538" s="2" t="s">
        <v>20</v>
      </c>
      <c r="I538">
        <v>150</v>
      </c>
      <c r="J538" s="2" t="s">
        <v>539</v>
      </c>
      <c r="K538" s="2" t="s">
        <v>487</v>
      </c>
      <c r="L538" s="2" t="s">
        <v>488</v>
      </c>
      <c r="M538" s="2" t="s">
        <v>489</v>
      </c>
      <c r="N538" s="2" t="s">
        <v>297</v>
      </c>
      <c r="O538" s="2" t="s">
        <v>298</v>
      </c>
      <c r="P538" s="2" t="s">
        <v>27</v>
      </c>
      <c r="Q538" s="2" t="s">
        <v>490</v>
      </c>
      <c r="R538" s="2" t="s">
        <v>491</v>
      </c>
      <c r="S538" s="2" t="s">
        <v>46</v>
      </c>
      <c r="T538">
        <v>542</v>
      </c>
      <c r="U538">
        <f>VLOOKUP(Auto_Sales_data___Copy[[#This Row],[CUSTOMER_NAME]],$AF$2:$AH$90,2,FALSE)</f>
        <v>15</v>
      </c>
      <c r="V538">
        <f>VLOOKUP(Auto_Sales_data___Copy[[#This Row],[CUSTOMER_NAME]],$AF$2:$AH$90,3,FALSE)</f>
        <v>57197.959999999992</v>
      </c>
      <c r="W538" s="2">
        <f>6-MATCH(Auto_Sales_data___Copy[[#This Row],[DAYS_SINCE_LAST_ORDER]],Table2[R-Cutoff],1)</f>
        <v>5</v>
      </c>
      <c r="X538" s="2">
        <f>MATCH(Auto_Sales_data___Copy[[#This Row],[Total_Orders_Per_Customer]],Table2[F-Cutoff],1)</f>
        <v>1</v>
      </c>
      <c r="Y538" s="2">
        <f>MATCH(Auto_Sales_data___Copy[[#This Row],[Total_Sales_Per_Customer]],Table2[M-Cutoff],1)</f>
        <v>1</v>
      </c>
      <c r="Z538" s="2" t="str">
        <f>Auto_Sales_data___Copy[[#This Row],[R-Score(1-5)]]&amp;Auto_Sales_data___Copy[[#This Row],[F-Score(1-5)]]&amp;Auto_Sales_data___Copy[[#This Row],[M-Score(1-5)]]</f>
        <v>511</v>
      </c>
      <c r="AA538" s="2" t="str" cm="1">
        <f t="array" ref="AA5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8" s="2" t="str">
        <f>VLOOKUP(Auto_Sales_data___Copy[[#This Row],[Segment Name]],Table3[],2,FALSE)</f>
        <v>Brand Awareness &amp; Value Proposition</v>
      </c>
    </row>
    <row r="539" spans="1:28" x14ac:dyDescent="0.25">
      <c r="A539">
        <v>10276</v>
      </c>
      <c r="B539">
        <v>47</v>
      </c>
      <c r="C539">
        <v>116.27</v>
      </c>
      <c r="D539">
        <v>1</v>
      </c>
      <c r="E539">
        <v>5464.69</v>
      </c>
      <c r="F539" s="1">
        <v>43679</v>
      </c>
      <c r="G539" s="2" t="s">
        <v>19</v>
      </c>
      <c r="H539" s="2" t="s">
        <v>183</v>
      </c>
      <c r="I539">
        <v>117</v>
      </c>
      <c r="J539" s="2" t="s">
        <v>546</v>
      </c>
      <c r="K539" s="2" t="s">
        <v>487</v>
      </c>
      <c r="L539" s="2" t="s">
        <v>488</v>
      </c>
      <c r="M539" s="2" t="s">
        <v>489</v>
      </c>
      <c r="N539" s="2" t="s">
        <v>297</v>
      </c>
      <c r="O539" s="2" t="s">
        <v>298</v>
      </c>
      <c r="P539" s="2" t="s">
        <v>27</v>
      </c>
      <c r="Q539" s="2" t="s">
        <v>490</v>
      </c>
      <c r="R539" s="2" t="s">
        <v>491</v>
      </c>
      <c r="S539" s="2" t="s">
        <v>46</v>
      </c>
      <c r="T539">
        <v>592</v>
      </c>
      <c r="U539">
        <f>VLOOKUP(Auto_Sales_data___Copy[[#This Row],[CUSTOMER_NAME]],$AF$2:$AH$90,2,FALSE)</f>
        <v>15</v>
      </c>
      <c r="V539">
        <f>VLOOKUP(Auto_Sales_data___Copy[[#This Row],[CUSTOMER_NAME]],$AF$2:$AH$90,3,FALSE)</f>
        <v>57197.959999999992</v>
      </c>
      <c r="W539" s="2">
        <f>6-MATCH(Auto_Sales_data___Copy[[#This Row],[DAYS_SINCE_LAST_ORDER]],Table2[R-Cutoff],1)</f>
        <v>5</v>
      </c>
      <c r="X539" s="2">
        <f>MATCH(Auto_Sales_data___Copy[[#This Row],[Total_Orders_Per_Customer]],Table2[F-Cutoff],1)</f>
        <v>1</v>
      </c>
      <c r="Y539" s="2">
        <f>MATCH(Auto_Sales_data___Copy[[#This Row],[Total_Sales_Per_Customer]],Table2[M-Cutoff],1)</f>
        <v>1</v>
      </c>
      <c r="Z539" s="2" t="str">
        <f>Auto_Sales_data___Copy[[#This Row],[R-Score(1-5)]]&amp;Auto_Sales_data___Copy[[#This Row],[F-Score(1-5)]]&amp;Auto_Sales_data___Copy[[#This Row],[M-Score(1-5)]]</f>
        <v>511</v>
      </c>
      <c r="AA539" s="2" t="str" cm="1">
        <f t="array" ref="AA5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9" s="2" t="str">
        <f>VLOOKUP(Auto_Sales_data___Copy[[#This Row],[Segment Name]],Table3[],2,FALSE)</f>
        <v>Brand Awareness &amp; Value Proposition</v>
      </c>
    </row>
    <row r="540" spans="1:28" x14ac:dyDescent="0.25">
      <c r="A540">
        <v>10276</v>
      </c>
      <c r="B540">
        <v>38</v>
      </c>
      <c r="C540">
        <v>83.79</v>
      </c>
      <c r="D540">
        <v>4</v>
      </c>
      <c r="E540">
        <v>3184.02</v>
      </c>
      <c r="F540" s="1">
        <v>43679</v>
      </c>
      <c r="G540" s="2" t="s">
        <v>19</v>
      </c>
      <c r="H540" s="2" t="s">
        <v>183</v>
      </c>
      <c r="I540">
        <v>79</v>
      </c>
      <c r="J540" s="2" t="s">
        <v>553</v>
      </c>
      <c r="K540" s="2" t="s">
        <v>487</v>
      </c>
      <c r="L540" s="2" t="s">
        <v>488</v>
      </c>
      <c r="M540" s="2" t="s">
        <v>489</v>
      </c>
      <c r="N540" s="2" t="s">
        <v>297</v>
      </c>
      <c r="O540" s="2" t="s">
        <v>298</v>
      </c>
      <c r="P540" s="2" t="s">
        <v>27</v>
      </c>
      <c r="Q540" s="2" t="s">
        <v>490</v>
      </c>
      <c r="R540" s="2" t="s">
        <v>491</v>
      </c>
      <c r="S540" s="2" t="s">
        <v>46</v>
      </c>
      <c r="T540">
        <v>642</v>
      </c>
      <c r="U540">
        <f>VLOOKUP(Auto_Sales_data___Copy[[#This Row],[CUSTOMER_NAME]],$AF$2:$AH$90,2,FALSE)</f>
        <v>15</v>
      </c>
      <c r="V540">
        <f>VLOOKUP(Auto_Sales_data___Copy[[#This Row],[CUSTOMER_NAME]],$AF$2:$AH$90,3,FALSE)</f>
        <v>57197.959999999992</v>
      </c>
      <c r="W540" s="2">
        <f>6-MATCH(Auto_Sales_data___Copy[[#This Row],[DAYS_SINCE_LAST_ORDER]],Table2[R-Cutoff],1)</f>
        <v>5</v>
      </c>
      <c r="X540" s="2">
        <f>MATCH(Auto_Sales_data___Copy[[#This Row],[Total_Orders_Per_Customer]],Table2[F-Cutoff],1)</f>
        <v>1</v>
      </c>
      <c r="Y540" s="2">
        <f>MATCH(Auto_Sales_data___Copy[[#This Row],[Total_Sales_Per_Customer]],Table2[M-Cutoff],1)</f>
        <v>1</v>
      </c>
      <c r="Z540" s="2" t="str">
        <f>Auto_Sales_data___Copy[[#This Row],[R-Score(1-5)]]&amp;Auto_Sales_data___Copy[[#This Row],[F-Score(1-5)]]&amp;Auto_Sales_data___Copy[[#This Row],[M-Score(1-5)]]</f>
        <v>511</v>
      </c>
      <c r="AA540" s="2" t="str" cm="1">
        <f t="array" ref="AA5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0" s="2" t="str">
        <f>VLOOKUP(Auto_Sales_data___Copy[[#This Row],[Segment Name]],Table3[],2,FALSE)</f>
        <v>Brand Awareness &amp; Value Proposition</v>
      </c>
    </row>
    <row r="541" spans="1:28" x14ac:dyDescent="0.25">
      <c r="A541">
        <v>10296</v>
      </c>
      <c r="B541">
        <v>36</v>
      </c>
      <c r="C541">
        <v>157.69</v>
      </c>
      <c r="D541">
        <v>7</v>
      </c>
      <c r="E541">
        <v>5676.84</v>
      </c>
      <c r="F541" s="1">
        <v>43723</v>
      </c>
      <c r="G541" s="2" t="s">
        <v>19</v>
      </c>
      <c r="H541" s="2" t="s">
        <v>607</v>
      </c>
      <c r="I541">
        <v>157</v>
      </c>
      <c r="J541" s="2" t="s">
        <v>608</v>
      </c>
      <c r="K541" s="2" t="s">
        <v>615</v>
      </c>
      <c r="L541" s="2" t="s">
        <v>616</v>
      </c>
      <c r="M541" s="2" t="s">
        <v>617</v>
      </c>
      <c r="N541" s="2" t="s">
        <v>618</v>
      </c>
      <c r="O541" s="2" t="s">
        <v>619</v>
      </c>
      <c r="P541" s="2" t="s">
        <v>470</v>
      </c>
      <c r="Q541" s="2" t="s">
        <v>620</v>
      </c>
      <c r="R541" s="2" t="s">
        <v>94</v>
      </c>
      <c r="S541" s="2" t="s">
        <v>46</v>
      </c>
      <c r="T541">
        <v>801</v>
      </c>
      <c r="U541">
        <f>VLOOKUP(Auto_Sales_data___Copy[[#This Row],[CUSTOMER_NAME]],$AF$2:$AH$90,2,FALSE)</f>
        <v>14</v>
      </c>
      <c r="V541">
        <f>VLOOKUP(Auto_Sales_data___Copy[[#This Row],[CUSTOMER_NAME]],$AF$2:$AH$90,3,FALSE)</f>
        <v>34993.919999999998</v>
      </c>
      <c r="W541" s="2">
        <f>6-MATCH(Auto_Sales_data___Copy[[#This Row],[DAYS_SINCE_LAST_ORDER]],Table2[R-Cutoff],1)</f>
        <v>5</v>
      </c>
      <c r="X541" s="2">
        <f>MATCH(Auto_Sales_data___Copy[[#This Row],[Total_Orders_Per_Customer]],Table2[F-Cutoff],1)</f>
        <v>1</v>
      </c>
      <c r="Y541" s="2">
        <f>MATCH(Auto_Sales_data___Copy[[#This Row],[Total_Sales_Per_Customer]],Table2[M-Cutoff],1)</f>
        <v>1</v>
      </c>
      <c r="Z541" s="2" t="str">
        <f>Auto_Sales_data___Copy[[#This Row],[R-Score(1-5)]]&amp;Auto_Sales_data___Copy[[#This Row],[F-Score(1-5)]]&amp;Auto_Sales_data___Copy[[#This Row],[M-Score(1-5)]]</f>
        <v>511</v>
      </c>
      <c r="AA541" s="2" t="str" cm="1">
        <f t="array" ref="AA5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1" s="2" t="str">
        <f>VLOOKUP(Auto_Sales_data___Copy[[#This Row],[Segment Name]],Table3[],2,FALSE)</f>
        <v>Brand Awareness &amp; Value Proposition</v>
      </c>
    </row>
    <row r="542" spans="1:28" x14ac:dyDescent="0.25">
      <c r="A542">
        <v>10298</v>
      </c>
      <c r="B542">
        <v>39</v>
      </c>
      <c r="C542">
        <v>96.34</v>
      </c>
      <c r="D542">
        <v>1</v>
      </c>
      <c r="E542">
        <v>3757.26</v>
      </c>
      <c r="F542" s="1">
        <v>43735</v>
      </c>
      <c r="G542" s="2" t="s">
        <v>19</v>
      </c>
      <c r="H542" s="2" t="s">
        <v>20</v>
      </c>
      <c r="I542">
        <v>118</v>
      </c>
      <c r="J542" s="2" t="s">
        <v>315</v>
      </c>
      <c r="K542" s="2" t="s">
        <v>327</v>
      </c>
      <c r="L542" s="2" t="s">
        <v>328</v>
      </c>
      <c r="M542" s="2" t="s">
        <v>329</v>
      </c>
      <c r="N542" s="2" t="s">
        <v>111</v>
      </c>
      <c r="O542" s="2" t="s">
        <v>112</v>
      </c>
      <c r="P542" s="2" t="s">
        <v>36</v>
      </c>
      <c r="Q542" s="2" t="s">
        <v>330</v>
      </c>
      <c r="R542" s="2" t="s">
        <v>331</v>
      </c>
      <c r="S542" s="2" t="s">
        <v>46</v>
      </c>
      <c r="T542">
        <v>312</v>
      </c>
      <c r="U542">
        <f>VLOOKUP(Auto_Sales_data___Copy[[#This Row],[CUSTOMER_NAME]],$AF$2:$AH$90,2,FALSE)</f>
        <v>7</v>
      </c>
      <c r="V542">
        <f>VLOOKUP(Auto_Sales_data___Copy[[#This Row],[CUSTOMER_NAME]],$AF$2:$AH$90,3,FALSE)</f>
        <v>24179.96</v>
      </c>
      <c r="W542" s="2">
        <f>6-MATCH(Auto_Sales_data___Copy[[#This Row],[DAYS_SINCE_LAST_ORDER]],Table2[R-Cutoff],1)</f>
        <v>5</v>
      </c>
      <c r="X542" s="2">
        <f>MATCH(Auto_Sales_data___Copy[[#This Row],[Total_Orders_Per_Customer]],Table2[F-Cutoff],1)</f>
        <v>1</v>
      </c>
      <c r="Y542" s="2">
        <f>MATCH(Auto_Sales_data___Copy[[#This Row],[Total_Sales_Per_Customer]],Table2[M-Cutoff],1)</f>
        <v>1</v>
      </c>
      <c r="Z542" s="2" t="str">
        <f>Auto_Sales_data___Copy[[#This Row],[R-Score(1-5)]]&amp;Auto_Sales_data___Copy[[#This Row],[F-Score(1-5)]]&amp;Auto_Sales_data___Copy[[#This Row],[M-Score(1-5)]]</f>
        <v>511</v>
      </c>
      <c r="AA542" s="2" t="str" cm="1">
        <f t="array" ref="AA5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2" s="2" t="str">
        <f>VLOOKUP(Auto_Sales_data___Copy[[#This Row],[Segment Name]],Table3[],2,FALSE)</f>
        <v>Brand Awareness &amp; Value Proposition</v>
      </c>
    </row>
    <row r="543" spans="1:28" x14ac:dyDescent="0.25">
      <c r="A543">
        <v>10303</v>
      </c>
      <c r="B543">
        <v>46</v>
      </c>
      <c r="C543">
        <v>49.04</v>
      </c>
      <c r="D543">
        <v>2</v>
      </c>
      <c r="E543">
        <v>2255.84</v>
      </c>
      <c r="F543" s="1">
        <v>43744</v>
      </c>
      <c r="G543" s="2" t="s">
        <v>19</v>
      </c>
      <c r="H543" s="2" t="s">
        <v>589</v>
      </c>
      <c r="I543">
        <v>60</v>
      </c>
      <c r="J543" s="2" t="s">
        <v>632</v>
      </c>
      <c r="K543" s="2" t="s">
        <v>555</v>
      </c>
      <c r="L543" s="2" t="s">
        <v>556</v>
      </c>
      <c r="M543" s="2" t="s">
        <v>557</v>
      </c>
      <c r="N543" s="2" t="s">
        <v>558</v>
      </c>
      <c r="O543" s="2" t="s">
        <v>559</v>
      </c>
      <c r="P543" s="2" t="s">
        <v>180</v>
      </c>
      <c r="Q543" s="2" t="s">
        <v>560</v>
      </c>
      <c r="R543" s="2" t="s">
        <v>561</v>
      </c>
      <c r="S543" s="2" t="s">
        <v>30</v>
      </c>
      <c r="T543">
        <v>904</v>
      </c>
      <c r="U543">
        <f>VLOOKUP(Auto_Sales_data___Copy[[#This Row],[CUSTOMER_NAME]],$AF$2:$AH$90,2,FALSE)</f>
        <v>15</v>
      </c>
      <c r="V543">
        <f>VLOOKUP(Auto_Sales_data___Copy[[#This Row],[CUSTOMER_NAME]],$AF$2:$AH$90,3,FALSE)</f>
        <v>54723.62</v>
      </c>
      <c r="W543" s="2">
        <f>6-MATCH(Auto_Sales_data___Copy[[#This Row],[DAYS_SINCE_LAST_ORDER]],Table2[R-Cutoff],1)</f>
        <v>5</v>
      </c>
      <c r="X543" s="2">
        <f>MATCH(Auto_Sales_data___Copy[[#This Row],[Total_Orders_Per_Customer]],Table2[F-Cutoff],1)</f>
        <v>1</v>
      </c>
      <c r="Y543" s="2">
        <f>MATCH(Auto_Sales_data___Copy[[#This Row],[Total_Sales_Per_Customer]],Table2[M-Cutoff],1)</f>
        <v>1</v>
      </c>
      <c r="Z543" s="2" t="str">
        <f>Auto_Sales_data___Copy[[#This Row],[R-Score(1-5)]]&amp;Auto_Sales_data___Copy[[#This Row],[F-Score(1-5)]]&amp;Auto_Sales_data___Copy[[#This Row],[M-Score(1-5)]]</f>
        <v>511</v>
      </c>
      <c r="AA543" s="2" t="str" cm="1">
        <f t="array" ref="AA5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3" s="2" t="str">
        <f>VLOOKUP(Auto_Sales_data___Copy[[#This Row],[Segment Name]],Table3[],2,FALSE)</f>
        <v>Brand Awareness &amp; Value Proposition</v>
      </c>
    </row>
    <row r="544" spans="1:28" x14ac:dyDescent="0.25">
      <c r="A544">
        <v>10319</v>
      </c>
      <c r="B544">
        <v>30</v>
      </c>
      <c r="C544">
        <v>137.06</v>
      </c>
      <c r="D544">
        <v>9</v>
      </c>
      <c r="E544">
        <v>4111.8</v>
      </c>
      <c r="F544" s="1">
        <v>43772</v>
      </c>
      <c r="G544" s="2" t="s">
        <v>19</v>
      </c>
      <c r="H544" s="2" t="s">
        <v>20</v>
      </c>
      <c r="I544">
        <v>150</v>
      </c>
      <c r="J544" s="2" t="s">
        <v>539</v>
      </c>
      <c r="K544" s="2" t="s">
        <v>540</v>
      </c>
      <c r="L544" s="2" t="s">
        <v>541</v>
      </c>
      <c r="M544" s="2" t="s">
        <v>542</v>
      </c>
      <c r="N544" s="2" t="s">
        <v>25</v>
      </c>
      <c r="O544" s="2" t="s">
        <v>26</v>
      </c>
      <c r="P544" s="2" t="s">
        <v>27</v>
      </c>
      <c r="Q544" s="2" t="s">
        <v>543</v>
      </c>
      <c r="R544" s="2" t="s">
        <v>544</v>
      </c>
      <c r="S544" s="2" t="s">
        <v>46</v>
      </c>
      <c r="T544">
        <v>453</v>
      </c>
      <c r="U544">
        <f>VLOOKUP(Auto_Sales_data___Copy[[#This Row],[CUSTOMER_NAME]],$AF$2:$AH$90,2,FALSE)</f>
        <v>10</v>
      </c>
      <c r="V544">
        <f>VLOOKUP(Auto_Sales_data___Copy[[#This Row],[CUSTOMER_NAME]],$AF$2:$AH$90,3,FALSE)</f>
        <v>33144.930000000008</v>
      </c>
      <c r="W544" s="2">
        <f>6-MATCH(Auto_Sales_data___Copy[[#This Row],[DAYS_SINCE_LAST_ORDER]],Table2[R-Cutoff],1)</f>
        <v>5</v>
      </c>
      <c r="X544" s="2">
        <f>MATCH(Auto_Sales_data___Copy[[#This Row],[Total_Orders_Per_Customer]],Table2[F-Cutoff],1)</f>
        <v>1</v>
      </c>
      <c r="Y544" s="2">
        <f>MATCH(Auto_Sales_data___Copy[[#This Row],[Total_Sales_Per_Customer]],Table2[M-Cutoff],1)</f>
        <v>1</v>
      </c>
      <c r="Z544" s="2" t="str">
        <f>Auto_Sales_data___Copy[[#This Row],[R-Score(1-5)]]&amp;Auto_Sales_data___Copy[[#This Row],[F-Score(1-5)]]&amp;Auto_Sales_data___Copy[[#This Row],[M-Score(1-5)]]</f>
        <v>511</v>
      </c>
      <c r="AA544" s="2" t="str" cm="1">
        <f t="array" ref="AA5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4" s="2" t="str">
        <f>VLOOKUP(Auto_Sales_data___Copy[[#This Row],[Segment Name]],Table3[],2,FALSE)</f>
        <v>Brand Awareness &amp; Value Proposition</v>
      </c>
    </row>
    <row r="545" spans="1:28" x14ac:dyDescent="0.25">
      <c r="A545">
        <v>10338</v>
      </c>
      <c r="B545">
        <v>41</v>
      </c>
      <c r="C545">
        <v>137.19</v>
      </c>
      <c r="D545">
        <v>1</v>
      </c>
      <c r="E545">
        <v>5624.79</v>
      </c>
      <c r="F545" s="1">
        <v>43791</v>
      </c>
      <c r="G545" s="2" t="s">
        <v>19</v>
      </c>
      <c r="H545" s="2" t="s">
        <v>607</v>
      </c>
      <c r="I545">
        <v>157</v>
      </c>
      <c r="J545" s="2" t="s">
        <v>608</v>
      </c>
      <c r="K545" s="2" t="s">
        <v>621</v>
      </c>
      <c r="L545" s="2" t="s">
        <v>622</v>
      </c>
      <c r="M545" s="2" t="s">
        <v>623</v>
      </c>
      <c r="N545" s="2" t="s">
        <v>624</v>
      </c>
      <c r="O545" s="2" t="s">
        <v>625</v>
      </c>
      <c r="P545" s="2" t="s">
        <v>389</v>
      </c>
      <c r="Q545" s="2" t="s">
        <v>626</v>
      </c>
      <c r="R545" s="2" t="s">
        <v>627</v>
      </c>
      <c r="S545" s="2" t="s">
        <v>46</v>
      </c>
      <c r="T545">
        <v>737</v>
      </c>
      <c r="U545">
        <f>VLOOKUP(Auto_Sales_data___Copy[[#This Row],[CUSTOMER_NAME]],$AF$2:$AH$90,2,FALSE)</f>
        <v>8</v>
      </c>
      <c r="V545">
        <f>VLOOKUP(Auto_Sales_data___Copy[[#This Row],[CUSTOMER_NAME]],$AF$2:$AH$90,3,FALSE)</f>
        <v>33440.1</v>
      </c>
      <c r="W545" s="2">
        <f>6-MATCH(Auto_Sales_data___Copy[[#This Row],[DAYS_SINCE_LAST_ORDER]],Table2[R-Cutoff],1)</f>
        <v>5</v>
      </c>
      <c r="X545" s="2">
        <f>MATCH(Auto_Sales_data___Copy[[#This Row],[Total_Orders_Per_Customer]],Table2[F-Cutoff],1)</f>
        <v>1</v>
      </c>
      <c r="Y545" s="2">
        <f>MATCH(Auto_Sales_data___Copy[[#This Row],[Total_Sales_Per_Customer]],Table2[M-Cutoff],1)</f>
        <v>1</v>
      </c>
      <c r="Z545" s="2" t="str">
        <f>Auto_Sales_data___Copy[[#This Row],[R-Score(1-5)]]&amp;Auto_Sales_data___Copy[[#This Row],[F-Score(1-5)]]&amp;Auto_Sales_data___Copy[[#This Row],[M-Score(1-5)]]</f>
        <v>511</v>
      </c>
      <c r="AA545" s="2" t="str" cm="1">
        <f t="array" ref="AA5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5" s="2" t="str">
        <f>VLOOKUP(Auto_Sales_data___Copy[[#This Row],[Segment Name]],Table3[],2,FALSE)</f>
        <v>Brand Awareness &amp; Value Proposition</v>
      </c>
    </row>
    <row r="546" spans="1:28" x14ac:dyDescent="0.25">
      <c r="A546">
        <v>10366</v>
      </c>
      <c r="B546">
        <v>34</v>
      </c>
      <c r="C546">
        <v>123.76</v>
      </c>
      <c r="D546">
        <v>3</v>
      </c>
      <c r="E546">
        <v>4207.84</v>
      </c>
      <c r="F546" s="1">
        <v>43840</v>
      </c>
      <c r="G546" s="2" t="s">
        <v>19</v>
      </c>
      <c r="H546" s="2" t="s">
        <v>183</v>
      </c>
      <c r="I546">
        <v>142</v>
      </c>
      <c r="J546" s="2" t="s">
        <v>630</v>
      </c>
      <c r="K546" s="2" t="s">
        <v>621</v>
      </c>
      <c r="L546" s="2" t="s">
        <v>622</v>
      </c>
      <c r="M546" s="2" t="s">
        <v>623</v>
      </c>
      <c r="N546" s="2" t="s">
        <v>624</v>
      </c>
      <c r="O546" s="2" t="s">
        <v>625</v>
      </c>
      <c r="P546" s="2" t="s">
        <v>389</v>
      </c>
      <c r="Q546" s="2" t="s">
        <v>626</v>
      </c>
      <c r="R546" s="2" t="s">
        <v>627</v>
      </c>
      <c r="S546" s="2" t="s">
        <v>46</v>
      </c>
      <c r="T546">
        <v>763</v>
      </c>
      <c r="U546">
        <f>VLOOKUP(Auto_Sales_data___Copy[[#This Row],[CUSTOMER_NAME]],$AF$2:$AH$90,2,FALSE)</f>
        <v>8</v>
      </c>
      <c r="V546">
        <f>VLOOKUP(Auto_Sales_data___Copy[[#This Row],[CUSTOMER_NAME]],$AF$2:$AH$90,3,FALSE)</f>
        <v>33440.1</v>
      </c>
      <c r="W546" s="2">
        <f>6-MATCH(Auto_Sales_data___Copy[[#This Row],[DAYS_SINCE_LAST_ORDER]],Table2[R-Cutoff],1)</f>
        <v>5</v>
      </c>
      <c r="X546" s="2">
        <f>MATCH(Auto_Sales_data___Copy[[#This Row],[Total_Orders_Per_Customer]],Table2[F-Cutoff],1)</f>
        <v>1</v>
      </c>
      <c r="Y546" s="2">
        <f>MATCH(Auto_Sales_data___Copy[[#This Row],[Total_Sales_Per_Customer]],Table2[M-Cutoff],1)</f>
        <v>1</v>
      </c>
      <c r="Z546" s="2" t="str">
        <f>Auto_Sales_data___Copy[[#This Row],[R-Score(1-5)]]&amp;Auto_Sales_data___Copy[[#This Row],[F-Score(1-5)]]&amp;Auto_Sales_data___Copy[[#This Row],[M-Score(1-5)]]</f>
        <v>511</v>
      </c>
      <c r="AA546" s="2" t="str" cm="1">
        <f t="array" ref="AA5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6" s="2" t="str">
        <f>VLOOKUP(Auto_Sales_data___Copy[[#This Row],[Segment Name]],Table3[],2,FALSE)</f>
        <v>Brand Awareness &amp; Value Proposition</v>
      </c>
    </row>
    <row r="547" spans="1:28" x14ac:dyDescent="0.25">
      <c r="A547">
        <v>10374</v>
      </c>
      <c r="B547">
        <v>39</v>
      </c>
      <c r="C547">
        <v>135.59</v>
      </c>
      <c r="D547">
        <v>5</v>
      </c>
      <c r="E547">
        <v>5288.01</v>
      </c>
      <c r="F547" s="1">
        <v>43863</v>
      </c>
      <c r="G547" s="2" t="s">
        <v>19</v>
      </c>
      <c r="H547" s="2" t="s">
        <v>20</v>
      </c>
      <c r="I547">
        <v>118</v>
      </c>
      <c r="J547" s="2" t="s">
        <v>315</v>
      </c>
      <c r="K547" s="2" t="s">
        <v>210</v>
      </c>
      <c r="L547" s="2" t="s">
        <v>211</v>
      </c>
      <c r="M547" s="2" t="s">
        <v>212</v>
      </c>
      <c r="N547" s="2" t="s">
        <v>213</v>
      </c>
      <c r="O547" s="2" t="s">
        <v>214</v>
      </c>
      <c r="P547" s="2" t="s">
        <v>87</v>
      </c>
      <c r="Q547" s="2" t="s">
        <v>215</v>
      </c>
      <c r="R547" s="2" t="s">
        <v>216</v>
      </c>
      <c r="S547" s="2" t="s">
        <v>46</v>
      </c>
      <c r="T547">
        <v>190</v>
      </c>
      <c r="U547">
        <f>VLOOKUP(Auto_Sales_data___Copy[[#This Row],[CUSTOMER_NAME]],$AF$2:$AH$90,2,FALSE)</f>
        <v>15</v>
      </c>
      <c r="V547">
        <f>VLOOKUP(Auto_Sales_data___Copy[[#This Row],[CUSTOMER_NAME]],$AF$2:$AH$90,3,FALSE)</f>
        <v>59469.120000000003</v>
      </c>
      <c r="W547" s="2">
        <f>6-MATCH(Auto_Sales_data___Copy[[#This Row],[DAYS_SINCE_LAST_ORDER]],Table2[R-Cutoff],1)</f>
        <v>5</v>
      </c>
      <c r="X547" s="2">
        <f>MATCH(Auto_Sales_data___Copy[[#This Row],[Total_Orders_Per_Customer]],Table2[F-Cutoff],1)</f>
        <v>1</v>
      </c>
      <c r="Y547" s="2">
        <f>MATCH(Auto_Sales_data___Copy[[#This Row],[Total_Sales_Per_Customer]],Table2[M-Cutoff],1)</f>
        <v>1</v>
      </c>
      <c r="Z547" s="2" t="str">
        <f>Auto_Sales_data___Copy[[#This Row],[R-Score(1-5)]]&amp;Auto_Sales_data___Copy[[#This Row],[F-Score(1-5)]]&amp;Auto_Sales_data___Copy[[#This Row],[M-Score(1-5)]]</f>
        <v>511</v>
      </c>
      <c r="AA547" s="2" t="str" cm="1">
        <f t="array" ref="AA5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7" s="2" t="str">
        <f>VLOOKUP(Auto_Sales_data___Copy[[#This Row],[Segment Name]],Table3[],2,FALSE)</f>
        <v>Brand Awareness &amp; Value Proposition</v>
      </c>
    </row>
    <row r="548" spans="1:28" x14ac:dyDescent="0.25">
      <c r="A548">
        <v>10374</v>
      </c>
      <c r="B548">
        <v>22</v>
      </c>
      <c r="C548">
        <v>174.29</v>
      </c>
      <c r="D548">
        <v>1</v>
      </c>
      <c r="E548">
        <v>3834.38</v>
      </c>
      <c r="F548" s="1">
        <v>43863</v>
      </c>
      <c r="G548" s="2" t="s">
        <v>19</v>
      </c>
      <c r="H548" s="2" t="s">
        <v>20</v>
      </c>
      <c r="I548">
        <v>193</v>
      </c>
      <c r="J548" s="2" t="s">
        <v>337</v>
      </c>
      <c r="K548" s="2" t="s">
        <v>210</v>
      </c>
      <c r="L548" s="2" t="s">
        <v>211</v>
      </c>
      <c r="M548" s="2" t="s">
        <v>212</v>
      </c>
      <c r="N548" s="2" t="s">
        <v>213</v>
      </c>
      <c r="O548" s="2" t="s">
        <v>214</v>
      </c>
      <c r="P548" s="2" t="s">
        <v>87</v>
      </c>
      <c r="Q548" s="2" t="s">
        <v>215</v>
      </c>
      <c r="R548" s="2" t="s">
        <v>216</v>
      </c>
      <c r="S548" s="2" t="s">
        <v>46</v>
      </c>
      <c r="T548">
        <v>214</v>
      </c>
      <c r="U548">
        <f>VLOOKUP(Auto_Sales_data___Copy[[#This Row],[CUSTOMER_NAME]],$AF$2:$AH$90,2,FALSE)</f>
        <v>15</v>
      </c>
      <c r="V548">
        <f>VLOOKUP(Auto_Sales_data___Copy[[#This Row],[CUSTOMER_NAME]],$AF$2:$AH$90,3,FALSE)</f>
        <v>59469.120000000003</v>
      </c>
      <c r="W548" s="2">
        <f>6-MATCH(Auto_Sales_data___Copy[[#This Row],[DAYS_SINCE_LAST_ORDER]],Table2[R-Cutoff],1)</f>
        <v>5</v>
      </c>
      <c r="X548" s="2">
        <f>MATCH(Auto_Sales_data___Copy[[#This Row],[Total_Orders_Per_Customer]],Table2[F-Cutoff],1)</f>
        <v>1</v>
      </c>
      <c r="Y548" s="2">
        <f>MATCH(Auto_Sales_data___Copy[[#This Row],[Total_Sales_Per_Customer]],Table2[M-Cutoff],1)</f>
        <v>1</v>
      </c>
      <c r="Z548" s="2" t="str">
        <f>Auto_Sales_data___Copy[[#This Row],[R-Score(1-5)]]&amp;Auto_Sales_data___Copy[[#This Row],[F-Score(1-5)]]&amp;Auto_Sales_data___Copy[[#This Row],[M-Score(1-5)]]</f>
        <v>511</v>
      </c>
      <c r="AA548" s="2" t="str" cm="1">
        <f t="array" ref="AA5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8" s="2" t="str">
        <f>VLOOKUP(Auto_Sales_data___Copy[[#This Row],[Segment Name]],Table3[],2,FALSE)</f>
        <v>Brand Awareness &amp; Value Proposition</v>
      </c>
    </row>
    <row r="549" spans="1:28" x14ac:dyDescent="0.25">
      <c r="A549">
        <v>10374</v>
      </c>
      <c r="B549">
        <v>42</v>
      </c>
      <c r="C549">
        <v>69.27</v>
      </c>
      <c r="D549">
        <v>2</v>
      </c>
      <c r="E549">
        <v>2909.34</v>
      </c>
      <c r="F549" s="1">
        <v>43863</v>
      </c>
      <c r="G549" s="2" t="s">
        <v>19</v>
      </c>
      <c r="H549" s="2" t="s">
        <v>607</v>
      </c>
      <c r="I549">
        <v>84</v>
      </c>
      <c r="J549" s="2" t="s">
        <v>636</v>
      </c>
      <c r="K549" s="2" t="s">
        <v>210</v>
      </c>
      <c r="L549" s="2" t="s">
        <v>211</v>
      </c>
      <c r="M549" s="2" t="s">
        <v>212</v>
      </c>
      <c r="N549" s="2" t="s">
        <v>213</v>
      </c>
      <c r="O549" s="2" t="s">
        <v>214</v>
      </c>
      <c r="P549" s="2" t="s">
        <v>87</v>
      </c>
      <c r="Q549" s="2" t="s">
        <v>215</v>
      </c>
      <c r="R549" s="2" t="s">
        <v>216</v>
      </c>
      <c r="S549" s="2" t="s">
        <v>30</v>
      </c>
      <c r="T549">
        <v>888</v>
      </c>
      <c r="U549">
        <f>VLOOKUP(Auto_Sales_data___Copy[[#This Row],[CUSTOMER_NAME]],$AF$2:$AH$90,2,FALSE)</f>
        <v>15</v>
      </c>
      <c r="V549">
        <f>VLOOKUP(Auto_Sales_data___Copy[[#This Row],[CUSTOMER_NAME]],$AF$2:$AH$90,3,FALSE)</f>
        <v>59469.120000000003</v>
      </c>
      <c r="W549" s="2">
        <f>6-MATCH(Auto_Sales_data___Copy[[#This Row],[DAYS_SINCE_LAST_ORDER]],Table2[R-Cutoff],1)</f>
        <v>5</v>
      </c>
      <c r="X549" s="2">
        <f>MATCH(Auto_Sales_data___Copy[[#This Row],[Total_Orders_Per_Customer]],Table2[F-Cutoff],1)</f>
        <v>1</v>
      </c>
      <c r="Y549" s="2">
        <f>MATCH(Auto_Sales_data___Copy[[#This Row],[Total_Sales_Per_Customer]],Table2[M-Cutoff],1)</f>
        <v>1</v>
      </c>
      <c r="Z549" s="2" t="str">
        <f>Auto_Sales_data___Copy[[#This Row],[R-Score(1-5)]]&amp;Auto_Sales_data___Copy[[#This Row],[F-Score(1-5)]]&amp;Auto_Sales_data___Copy[[#This Row],[M-Score(1-5)]]</f>
        <v>511</v>
      </c>
      <c r="AA549" s="2" t="str" cm="1">
        <f t="array" ref="AA5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9" s="2" t="str">
        <f>VLOOKUP(Auto_Sales_data___Copy[[#This Row],[Segment Name]],Table3[],2,FALSE)</f>
        <v>Brand Awareness &amp; Value Proposition</v>
      </c>
    </row>
    <row r="550" spans="1:28" x14ac:dyDescent="0.25">
      <c r="A550">
        <v>10374</v>
      </c>
      <c r="B550">
        <v>22</v>
      </c>
      <c r="C550">
        <v>53.3</v>
      </c>
      <c r="D550">
        <v>4</v>
      </c>
      <c r="E550">
        <v>1172.5999999999999</v>
      </c>
      <c r="F550" s="1">
        <v>43863</v>
      </c>
      <c r="G550" s="2" t="s">
        <v>19</v>
      </c>
      <c r="H550" s="2" t="s">
        <v>20</v>
      </c>
      <c r="I550">
        <v>60</v>
      </c>
      <c r="J550" s="2" t="s">
        <v>637</v>
      </c>
      <c r="K550" s="2" t="s">
        <v>210</v>
      </c>
      <c r="L550" s="2" t="s">
        <v>211</v>
      </c>
      <c r="M550" s="2" t="s">
        <v>212</v>
      </c>
      <c r="N550" s="2" t="s">
        <v>213</v>
      </c>
      <c r="O550" s="2" t="s">
        <v>214</v>
      </c>
      <c r="P550" s="2" t="s">
        <v>87</v>
      </c>
      <c r="Q550" s="2" t="s">
        <v>215</v>
      </c>
      <c r="R550" s="2" t="s">
        <v>216</v>
      </c>
      <c r="S550" s="2" t="s">
        <v>30</v>
      </c>
      <c r="T550">
        <v>913</v>
      </c>
      <c r="U550">
        <f>VLOOKUP(Auto_Sales_data___Copy[[#This Row],[CUSTOMER_NAME]],$AF$2:$AH$90,2,FALSE)</f>
        <v>15</v>
      </c>
      <c r="V550">
        <f>VLOOKUP(Auto_Sales_data___Copy[[#This Row],[CUSTOMER_NAME]],$AF$2:$AH$90,3,FALSE)</f>
        <v>59469.120000000003</v>
      </c>
      <c r="W550" s="2">
        <f>6-MATCH(Auto_Sales_data___Copy[[#This Row],[DAYS_SINCE_LAST_ORDER]],Table2[R-Cutoff],1)</f>
        <v>5</v>
      </c>
      <c r="X550" s="2">
        <f>MATCH(Auto_Sales_data___Copy[[#This Row],[Total_Orders_Per_Customer]],Table2[F-Cutoff],1)</f>
        <v>1</v>
      </c>
      <c r="Y550" s="2">
        <f>MATCH(Auto_Sales_data___Copy[[#This Row],[Total_Sales_Per_Customer]],Table2[M-Cutoff],1)</f>
        <v>1</v>
      </c>
      <c r="Z550" s="2" t="str">
        <f>Auto_Sales_data___Copy[[#This Row],[R-Score(1-5)]]&amp;Auto_Sales_data___Copy[[#This Row],[F-Score(1-5)]]&amp;Auto_Sales_data___Copy[[#This Row],[M-Score(1-5)]]</f>
        <v>511</v>
      </c>
      <c r="AA550" s="2" t="str" cm="1">
        <f t="array" ref="AA5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50" s="2" t="str">
        <f>VLOOKUP(Auto_Sales_data___Copy[[#This Row],[Segment Name]],Table3[],2,FALSE)</f>
        <v>Brand Awareness &amp; Value Proposition</v>
      </c>
    </row>
    <row r="551" spans="1:28" x14ac:dyDescent="0.25">
      <c r="A551">
        <v>10376</v>
      </c>
      <c r="B551">
        <v>35</v>
      </c>
      <c r="C551">
        <v>113.92</v>
      </c>
      <c r="D551">
        <v>1</v>
      </c>
      <c r="E551">
        <v>3987.2</v>
      </c>
      <c r="F551" s="1">
        <v>43869</v>
      </c>
      <c r="G551" s="2" t="s">
        <v>19</v>
      </c>
      <c r="H551" s="2" t="s">
        <v>183</v>
      </c>
      <c r="I551">
        <v>117</v>
      </c>
      <c r="J551" s="2" t="s">
        <v>546</v>
      </c>
      <c r="K551" s="2" t="s">
        <v>547</v>
      </c>
      <c r="L551" s="2" t="s">
        <v>548</v>
      </c>
      <c r="M551" s="2" t="s">
        <v>549</v>
      </c>
      <c r="N551" s="2" t="s">
        <v>550</v>
      </c>
      <c r="O551" s="2" t="s">
        <v>551</v>
      </c>
      <c r="P551" s="2" t="s">
        <v>27</v>
      </c>
      <c r="Q551" s="2" t="s">
        <v>52</v>
      </c>
      <c r="R551" s="2" t="s">
        <v>255</v>
      </c>
      <c r="S551" s="2" t="s">
        <v>46</v>
      </c>
      <c r="T551">
        <v>410</v>
      </c>
      <c r="U551">
        <f>VLOOKUP(Auto_Sales_data___Copy[[#This Row],[CUSTOMER_NAME]],$AF$2:$AH$90,2,FALSE)</f>
        <v>3</v>
      </c>
      <c r="V551">
        <f>VLOOKUP(Auto_Sales_data___Copy[[#This Row],[CUSTOMER_NAME]],$AF$2:$AH$90,3,FALSE)</f>
        <v>9129.3499999999985</v>
      </c>
      <c r="W551" s="2">
        <f>6-MATCH(Auto_Sales_data___Copy[[#This Row],[DAYS_SINCE_LAST_ORDER]],Table2[R-Cutoff],1)</f>
        <v>5</v>
      </c>
      <c r="X551" s="2">
        <f>MATCH(Auto_Sales_data___Copy[[#This Row],[Total_Orders_Per_Customer]],Table2[F-Cutoff],1)</f>
        <v>1</v>
      </c>
      <c r="Y551" s="2">
        <f>MATCH(Auto_Sales_data___Copy[[#This Row],[Total_Sales_Per_Customer]],Table2[M-Cutoff],1)</f>
        <v>1</v>
      </c>
      <c r="Z551" s="2" t="str">
        <f>Auto_Sales_data___Copy[[#This Row],[R-Score(1-5)]]&amp;Auto_Sales_data___Copy[[#This Row],[F-Score(1-5)]]&amp;Auto_Sales_data___Copy[[#This Row],[M-Score(1-5)]]</f>
        <v>511</v>
      </c>
      <c r="AA551" s="2" t="str" cm="1">
        <f t="array" ref="AA5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51" s="2" t="str">
        <f>VLOOKUP(Auto_Sales_data___Copy[[#This Row],[Segment Name]],Table3[],2,FALSE)</f>
        <v>Brand Awareness &amp; Value Proposition</v>
      </c>
    </row>
    <row r="552" spans="1:28" x14ac:dyDescent="0.25">
      <c r="A552">
        <v>10104</v>
      </c>
      <c r="B552">
        <v>34</v>
      </c>
      <c r="C552">
        <v>175.25</v>
      </c>
      <c r="D552">
        <v>1</v>
      </c>
      <c r="E552">
        <v>5958.5</v>
      </c>
      <c r="F552" s="1">
        <v>43131</v>
      </c>
      <c r="G552" s="2" t="s">
        <v>19</v>
      </c>
      <c r="H552" s="2" t="s">
        <v>183</v>
      </c>
      <c r="I552">
        <v>151</v>
      </c>
      <c r="J552" s="2" t="s">
        <v>545</v>
      </c>
      <c r="K552" s="2" t="s">
        <v>175</v>
      </c>
      <c r="L552" s="2" t="s">
        <v>176</v>
      </c>
      <c r="M552" s="2" t="s">
        <v>177</v>
      </c>
      <c r="N552" s="2" t="s">
        <v>178</v>
      </c>
      <c r="O552" s="2" t="s">
        <v>179</v>
      </c>
      <c r="P552" s="2" t="s">
        <v>180</v>
      </c>
      <c r="Q552" s="2" t="s">
        <v>181</v>
      </c>
      <c r="R552" s="2" t="s">
        <v>182</v>
      </c>
      <c r="S552" s="2" t="s">
        <v>46</v>
      </c>
      <c r="T552">
        <v>1102</v>
      </c>
      <c r="U552">
        <f>VLOOKUP(Auto_Sales_data___Copy[[#This Row],[CUSTOMER_NAME]],$AF$2:$AH$90,2,FALSE)</f>
        <v>259</v>
      </c>
      <c r="V552">
        <f>VLOOKUP(Auto_Sales_data___Copy[[#This Row],[CUSTOMER_NAME]],$AF$2:$AH$90,3,FALSE)</f>
        <v>912294.1100000001</v>
      </c>
      <c r="W552" s="2">
        <f>6-MATCH(Auto_Sales_data___Copy[[#This Row],[DAYS_SINCE_LAST_ORDER]],Table2[R-Cutoff],1)</f>
        <v>4</v>
      </c>
      <c r="X552" s="2">
        <f>MATCH(Auto_Sales_data___Copy[[#This Row],[Total_Orders_Per_Customer]],Table2[F-Cutoff],1)</f>
        <v>5</v>
      </c>
      <c r="Y552" s="2">
        <f>MATCH(Auto_Sales_data___Copy[[#This Row],[Total_Sales_Per_Customer]],Table2[M-Cutoff],1)</f>
        <v>5</v>
      </c>
      <c r="Z552" s="2" t="str">
        <f>Auto_Sales_data___Copy[[#This Row],[R-Score(1-5)]]&amp;Auto_Sales_data___Copy[[#This Row],[F-Score(1-5)]]&amp;Auto_Sales_data___Copy[[#This Row],[M-Score(1-5)]]</f>
        <v>455</v>
      </c>
      <c r="AA552" s="2" t="str" cm="1">
        <f t="array" ref="AA5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2" s="2" t="str">
        <f>VLOOKUP(Auto_Sales_data___Copy[[#This Row],[Segment Name]],Table3[],2,FALSE)</f>
        <v>VIP Recognitioon &amp; Inclusivity</v>
      </c>
    </row>
    <row r="553" spans="1:28" x14ac:dyDescent="0.25">
      <c r="A553">
        <v>10104</v>
      </c>
      <c r="B553">
        <v>41</v>
      </c>
      <c r="C553">
        <v>112.58</v>
      </c>
      <c r="D553">
        <v>9</v>
      </c>
      <c r="E553">
        <v>4615.78</v>
      </c>
      <c r="F553" s="1">
        <v>43131</v>
      </c>
      <c r="G553" s="2" t="s">
        <v>19</v>
      </c>
      <c r="H553" s="2" t="s">
        <v>537</v>
      </c>
      <c r="I553">
        <v>118</v>
      </c>
      <c r="J553" s="2" t="s">
        <v>554</v>
      </c>
      <c r="K553" s="2" t="s">
        <v>175</v>
      </c>
      <c r="L553" s="2" t="s">
        <v>176</v>
      </c>
      <c r="M553" s="2" t="s">
        <v>177</v>
      </c>
      <c r="N553" s="2" t="s">
        <v>178</v>
      </c>
      <c r="O553" s="2" t="s">
        <v>179</v>
      </c>
      <c r="P553" s="2" t="s">
        <v>180</v>
      </c>
      <c r="Q553" s="2" t="s">
        <v>181</v>
      </c>
      <c r="R553" s="2" t="s">
        <v>182</v>
      </c>
      <c r="S553" s="2" t="s">
        <v>46</v>
      </c>
      <c r="T553">
        <v>1201</v>
      </c>
      <c r="U553">
        <f>VLOOKUP(Auto_Sales_data___Copy[[#This Row],[CUSTOMER_NAME]],$AF$2:$AH$90,2,FALSE)</f>
        <v>259</v>
      </c>
      <c r="V553">
        <f>VLOOKUP(Auto_Sales_data___Copy[[#This Row],[CUSTOMER_NAME]],$AF$2:$AH$90,3,FALSE)</f>
        <v>912294.1100000001</v>
      </c>
      <c r="W553" s="2">
        <f>6-MATCH(Auto_Sales_data___Copy[[#This Row],[DAYS_SINCE_LAST_ORDER]],Table2[R-Cutoff],1)</f>
        <v>4</v>
      </c>
      <c r="X553" s="2">
        <f>MATCH(Auto_Sales_data___Copy[[#This Row],[Total_Orders_Per_Customer]],Table2[F-Cutoff],1)</f>
        <v>5</v>
      </c>
      <c r="Y553" s="2">
        <f>MATCH(Auto_Sales_data___Copy[[#This Row],[Total_Sales_Per_Customer]],Table2[M-Cutoff],1)</f>
        <v>5</v>
      </c>
      <c r="Z553" s="2" t="str">
        <f>Auto_Sales_data___Copy[[#This Row],[R-Score(1-5)]]&amp;Auto_Sales_data___Copy[[#This Row],[F-Score(1-5)]]&amp;Auto_Sales_data___Copy[[#This Row],[M-Score(1-5)]]</f>
        <v>455</v>
      </c>
      <c r="AA553" s="2" t="str" cm="1">
        <f t="array" ref="AA5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3" s="2" t="str">
        <f>VLOOKUP(Auto_Sales_data___Copy[[#This Row],[Segment Name]],Table3[],2,FALSE)</f>
        <v>VIP Recognitioon &amp; Inclusivity</v>
      </c>
    </row>
    <row r="554" spans="1:28" x14ac:dyDescent="0.25">
      <c r="A554">
        <v>10104</v>
      </c>
      <c r="B554">
        <v>24</v>
      </c>
      <c r="C554">
        <v>144.08000000000001</v>
      </c>
      <c r="D554">
        <v>8</v>
      </c>
      <c r="E554">
        <v>3457.92</v>
      </c>
      <c r="F554" s="1">
        <v>43131</v>
      </c>
      <c r="G554" s="2" t="s">
        <v>19</v>
      </c>
      <c r="H554" s="2" t="s">
        <v>183</v>
      </c>
      <c r="I554">
        <v>163</v>
      </c>
      <c r="J554" s="2" t="s">
        <v>631</v>
      </c>
      <c r="K554" s="2" t="s">
        <v>175</v>
      </c>
      <c r="L554" s="2" t="s">
        <v>176</v>
      </c>
      <c r="M554" s="2" t="s">
        <v>177</v>
      </c>
      <c r="N554" s="2" t="s">
        <v>178</v>
      </c>
      <c r="O554" s="2" t="s">
        <v>179</v>
      </c>
      <c r="P554" s="2" t="s">
        <v>180</v>
      </c>
      <c r="Q554" s="2" t="s">
        <v>181</v>
      </c>
      <c r="R554" s="2" t="s">
        <v>182</v>
      </c>
      <c r="S554" s="2" t="s">
        <v>46</v>
      </c>
      <c r="T554">
        <v>1477</v>
      </c>
      <c r="U554">
        <f>VLOOKUP(Auto_Sales_data___Copy[[#This Row],[CUSTOMER_NAME]],$AF$2:$AH$90,2,FALSE)</f>
        <v>259</v>
      </c>
      <c r="V554">
        <f>VLOOKUP(Auto_Sales_data___Copy[[#This Row],[CUSTOMER_NAME]],$AF$2:$AH$90,3,FALSE)</f>
        <v>912294.1100000001</v>
      </c>
      <c r="W554" s="2">
        <f>6-MATCH(Auto_Sales_data___Copy[[#This Row],[DAYS_SINCE_LAST_ORDER]],Table2[R-Cutoff],1)</f>
        <v>4</v>
      </c>
      <c r="X554" s="2">
        <f>MATCH(Auto_Sales_data___Copy[[#This Row],[Total_Orders_Per_Customer]],Table2[F-Cutoff],1)</f>
        <v>5</v>
      </c>
      <c r="Y554" s="2">
        <f>MATCH(Auto_Sales_data___Copy[[#This Row],[Total_Sales_Per_Customer]],Table2[M-Cutoff],1)</f>
        <v>5</v>
      </c>
      <c r="Z554" s="2" t="str">
        <f>Auto_Sales_data___Copy[[#This Row],[R-Score(1-5)]]&amp;Auto_Sales_data___Copy[[#This Row],[F-Score(1-5)]]&amp;Auto_Sales_data___Copy[[#This Row],[M-Score(1-5)]]</f>
        <v>455</v>
      </c>
      <c r="AA554" s="2" t="str" cm="1">
        <f t="array" ref="AA5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4" s="2" t="str">
        <f>VLOOKUP(Auto_Sales_data___Copy[[#This Row],[Segment Name]],Table3[],2,FALSE)</f>
        <v>VIP Recognitioon &amp; Inclusivity</v>
      </c>
    </row>
    <row r="555" spans="1:28" x14ac:dyDescent="0.25">
      <c r="A555">
        <v>10133</v>
      </c>
      <c r="B555">
        <v>49</v>
      </c>
      <c r="C555">
        <v>69.27</v>
      </c>
      <c r="D555">
        <v>3</v>
      </c>
      <c r="E555">
        <v>3394.23</v>
      </c>
      <c r="F555" s="1">
        <v>43278</v>
      </c>
      <c r="G555" s="2" t="s">
        <v>19</v>
      </c>
      <c r="H555" s="2" t="s">
        <v>607</v>
      </c>
      <c r="I555">
        <v>84</v>
      </c>
      <c r="J555" s="2" t="s">
        <v>636</v>
      </c>
      <c r="K555" s="2" t="s">
        <v>175</v>
      </c>
      <c r="L555" s="2" t="s">
        <v>176</v>
      </c>
      <c r="M555" s="2" t="s">
        <v>177</v>
      </c>
      <c r="N555" s="2" t="s">
        <v>178</v>
      </c>
      <c r="O555" s="2" t="s">
        <v>179</v>
      </c>
      <c r="P555" s="2" t="s">
        <v>180</v>
      </c>
      <c r="Q555" s="2" t="s">
        <v>181</v>
      </c>
      <c r="R555" s="2" t="s">
        <v>182</v>
      </c>
      <c r="S555" s="2" t="s">
        <v>46</v>
      </c>
      <c r="T555">
        <v>1457</v>
      </c>
      <c r="U555">
        <f>VLOOKUP(Auto_Sales_data___Copy[[#This Row],[CUSTOMER_NAME]],$AF$2:$AH$90,2,FALSE)</f>
        <v>259</v>
      </c>
      <c r="V555">
        <f>VLOOKUP(Auto_Sales_data___Copy[[#This Row],[CUSTOMER_NAME]],$AF$2:$AH$90,3,FALSE)</f>
        <v>912294.1100000001</v>
      </c>
      <c r="W555" s="2">
        <f>6-MATCH(Auto_Sales_data___Copy[[#This Row],[DAYS_SINCE_LAST_ORDER]],Table2[R-Cutoff],1)</f>
        <v>4</v>
      </c>
      <c r="X555" s="2">
        <f>MATCH(Auto_Sales_data___Copy[[#This Row],[Total_Orders_Per_Customer]],Table2[F-Cutoff],1)</f>
        <v>5</v>
      </c>
      <c r="Y555" s="2">
        <f>MATCH(Auto_Sales_data___Copy[[#This Row],[Total_Sales_Per_Customer]],Table2[M-Cutoff],1)</f>
        <v>5</v>
      </c>
      <c r="Z555" s="2" t="str">
        <f>Auto_Sales_data___Copy[[#This Row],[R-Score(1-5)]]&amp;Auto_Sales_data___Copy[[#This Row],[F-Score(1-5)]]&amp;Auto_Sales_data___Copy[[#This Row],[M-Score(1-5)]]</f>
        <v>455</v>
      </c>
      <c r="AA555" s="2" t="str" cm="1">
        <f t="array" ref="AA5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5" s="2" t="str">
        <f>VLOOKUP(Auto_Sales_data___Copy[[#This Row],[Segment Name]],Table3[],2,FALSE)</f>
        <v>VIP Recognitioon &amp; Inclusivity</v>
      </c>
    </row>
    <row r="556" spans="1:28" x14ac:dyDescent="0.25">
      <c r="A556">
        <v>10203</v>
      </c>
      <c r="B556">
        <v>45</v>
      </c>
      <c r="C556">
        <v>85.47</v>
      </c>
      <c r="D556">
        <v>4</v>
      </c>
      <c r="E556">
        <v>3846.15</v>
      </c>
      <c r="F556" s="1">
        <v>43436</v>
      </c>
      <c r="G556" s="2" t="s">
        <v>19</v>
      </c>
      <c r="H556" s="2" t="s">
        <v>183</v>
      </c>
      <c r="I556">
        <v>77</v>
      </c>
      <c r="J556" s="2" t="s">
        <v>629</v>
      </c>
      <c r="K556" s="2" t="s">
        <v>175</v>
      </c>
      <c r="L556" s="2" t="s">
        <v>176</v>
      </c>
      <c r="M556" s="2" t="s">
        <v>177</v>
      </c>
      <c r="N556" s="2" t="s">
        <v>178</v>
      </c>
      <c r="O556" s="2" t="s">
        <v>179</v>
      </c>
      <c r="P556" s="2" t="s">
        <v>180</v>
      </c>
      <c r="Q556" s="2" t="s">
        <v>181</v>
      </c>
      <c r="R556" s="2" t="s">
        <v>182</v>
      </c>
      <c r="S556" s="2" t="s">
        <v>46</v>
      </c>
      <c r="T556">
        <v>1127</v>
      </c>
      <c r="U556">
        <f>VLOOKUP(Auto_Sales_data___Copy[[#This Row],[CUSTOMER_NAME]],$AF$2:$AH$90,2,FALSE)</f>
        <v>259</v>
      </c>
      <c r="V556">
        <f>VLOOKUP(Auto_Sales_data___Copy[[#This Row],[CUSTOMER_NAME]],$AF$2:$AH$90,3,FALSE)</f>
        <v>912294.1100000001</v>
      </c>
      <c r="W556" s="2">
        <f>6-MATCH(Auto_Sales_data___Copy[[#This Row],[DAYS_SINCE_LAST_ORDER]],Table2[R-Cutoff],1)</f>
        <v>4</v>
      </c>
      <c r="X556" s="2">
        <f>MATCH(Auto_Sales_data___Copy[[#This Row],[Total_Orders_Per_Customer]],Table2[F-Cutoff],1)</f>
        <v>5</v>
      </c>
      <c r="Y556" s="2">
        <f>MATCH(Auto_Sales_data___Copy[[#This Row],[Total_Sales_Per_Customer]],Table2[M-Cutoff],1)</f>
        <v>5</v>
      </c>
      <c r="Z556" s="2" t="str">
        <f>Auto_Sales_data___Copy[[#This Row],[R-Score(1-5)]]&amp;Auto_Sales_data___Copy[[#This Row],[F-Score(1-5)]]&amp;Auto_Sales_data___Copy[[#This Row],[M-Score(1-5)]]</f>
        <v>455</v>
      </c>
      <c r="AA556" s="2" t="str" cm="1">
        <f t="array" ref="AA5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6" s="2" t="str">
        <f>VLOOKUP(Auto_Sales_data___Copy[[#This Row],[Segment Name]],Table3[],2,FALSE)</f>
        <v>VIP Recognitioon &amp; Inclusivity</v>
      </c>
    </row>
    <row r="557" spans="1:28" x14ac:dyDescent="0.25">
      <c r="A557">
        <v>10205</v>
      </c>
      <c r="B557">
        <v>36</v>
      </c>
      <c r="C557">
        <v>103.77</v>
      </c>
      <c r="D557">
        <v>2</v>
      </c>
      <c r="E557">
        <v>3735.72</v>
      </c>
      <c r="F557" s="1">
        <v>43437</v>
      </c>
      <c r="G557" s="2" t="s">
        <v>19</v>
      </c>
      <c r="H557" s="2" t="s">
        <v>589</v>
      </c>
      <c r="I557">
        <v>102</v>
      </c>
      <c r="J557" s="2" t="s">
        <v>590</v>
      </c>
      <c r="K557" s="2" t="s">
        <v>175</v>
      </c>
      <c r="L557" s="2" t="s">
        <v>176</v>
      </c>
      <c r="M557" s="2" t="s">
        <v>177</v>
      </c>
      <c r="N557" s="2" t="s">
        <v>178</v>
      </c>
      <c r="O557" s="2" t="s">
        <v>179</v>
      </c>
      <c r="P557" s="2" t="s">
        <v>180</v>
      </c>
      <c r="Q557" s="2" t="s">
        <v>181</v>
      </c>
      <c r="R557" s="2" t="s">
        <v>182</v>
      </c>
      <c r="S557" s="2" t="s">
        <v>46</v>
      </c>
      <c r="T557">
        <v>1007</v>
      </c>
      <c r="U557">
        <f>VLOOKUP(Auto_Sales_data___Copy[[#This Row],[CUSTOMER_NAME]],$AF$2:$AH$90,2,FALSE)</f>
        <v>259</v>
      </c>
      <c r="V557">
        <f>VLOOKUP(Auto_Sales_data___Copy[[#This Row],[CUSTOMER_NAME]],$AF$2:$AH$90,3,FALSE)</f>
        <v>912294.1100000001</v>
      </c>
      <c r="W557" s="2">
        <f>6-MATCH(Auto_Sales_data___Copy[[#This Row],[DAYS_SINCE_LAST_ORDER]],Table2[R-Cutoff],1)</f>
        <v>4</v>
      </c>
      <c r="X557" s="2">
        <f>MATCH(Auto_Sales_data___Copy[[#This Row],[Total_Orders_Per_Customer]],Table2[F-Cutoff],1)</f>
        <v>5</v>
      </c>
      <c r="Y557" s="2">
        <f>MATCH(Auto_Sales_data___Copy[[#This Row],[Total_Sales_Per_Customer]],Table2[M-Cutoff],1)</f>
        <v>5</v>
      </c>
      <c r="Z557" s="2" t="str">
        <f>Auto_Sales_data___Copy[[#This Row],[R-Score(1-5)]]&amp;Auto_Sales_data___Copy[[#This Row],[F-Score(1-5)]]&amp;Auto_Sales_data___Copy[[#This Row],[M-Score(1-5)]]</f>
        <v>455</v>
      </c>
      <c r="AA557" s="2" t="str" cm="1">
        <f t="array" ref="AA5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7" s="2" t="str">
        <f>VLOOKUP(Auto_Sales_data___Copy[[#This Row],[Segment Name]],Table3[],2,FALSE)</f>
        <v>VIP Recognitioon &amp; Inclusivity</v>
      </c>
    </row>
    <row r="558" spans="1:28" x14ac:dyDescent="0.25">
      <c r="A558">
        <v>10205</v>
      </c>
      <c r="B558">
        <v>48</v>
      </c>
      <c r="C558">
        <v>63.61</v>
      </c>
      <c r="D558">
        <v>1</v>
      </c>
      <c r="E558">
        <v>3053.28</v>
      </c>
      <c r="F558" s="1">
        <v>43437</v>
      </c>
      <c r="G558" s="2" t="s">
        <v>19</v>
      </c>
      <c r="H558" s="2" t="s">
        <v>589</v>
      </c>
      <c r="I558">
        <v>53</v>
      </c>
      <c r="J558" s="2" t="s">
        <v>605</v>
      </c>
      <c r="K558" s="2" t="s">
        <v>175</v>
      </c>
      <c r="L558" s="2" t="s">
        <v>176</v>
      </c>
      <c r="M558" s="2" t="s">
        <v>177</v>
      </c>
      <c r="N558" s="2" t="s">
        <v>178</v>
      </c>
      <c r="O558" s="2" t="s">
        <v>179</v>
      </c>
      <c r="P558" s="2" t="s">
        <v>180</v>
      </c>
      <c r="Q558" s="2" t="s">
        <v>181</v>
      </c>
      <c r="R558" s="2" t="s">
        <v>182</v>
      </c>
      <c r="S558" s="2" t="s">
        <v>46</v>
      </c>
      <c r="T558">
        <v>1031</v>
      </c>
      <c r="U558">
        <f>VLOOKUP(Auto_Sales_data___Copy[[#This Row],[CUSTOMER_NAME]],$AF$2:$AH$90,2,FALSE)</f>
        <v>259</v>
      </c>
      <c r="V558">
        <f>VLOOKUP(Auto_Sales_data___Copy[[#This Row],[CUSTOMER_NAME]],$AF$2:$AH$90,3,FALSE)</f>
        <v>912294.1100000001</v>
      </c>
      <c r="W558" s="2">
        <f>6-MATCH(Auto_Sales_data___Copy[[#This Row],[DAYS_SINCE_LAST_ORDER]],Table2[R-Cutoff],1)</f>
        <v>4</v>
      </c>
      <c r="X558" s="2">
        <f>MATCH(Auto_Sales_data___Copy[[#This Row],[Total_Orders_Per_Customer]],Table2[F-Cutoff],1)</f>
        <v>5</v>
      </c>
      <c r="Y558" s="2">
        <f>MATCH(Auto_Sales_data___Copy[[#This Row],[Total_Sales_Per_Customer]],Table2[M-Cutoff],1)</f>
        <v>5</v>
      </c>
      <c r="Z558" s="2" t="str">
        <f>Auto_Sales_data___Copy[[#This Row],[R-Score(1-5)]]&amp;Auto_Sales_data___Copy[[#This Row],[F-Score(1-5)]]&amp;Auto_Sales_data___Copy[[#This Row],[M-Score(1-5)]]</f>
        <v>455</v>
      </c>
      <c r="AA558" s="2" t="str" cm="1">
        <f t="array" ref="AA5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8" s="2" t="str">
        <f>VLOOKUP(Auto_Sales_data___Copy[[#This Row],[Segment Name]],Table3[],2,FALSE)</f>
        <v>VIP Recognitioon &amp; Inclusivity</v>
      </c>
    </row>
    <row r="559" spans="1:28" x14ac:dyDescent="0.25">
      <c r="A559">
        <v>10205</v>
      </c>
      <c r="B559">
        <v>40</v>
      </c>
      <c r="C559">
        <v>187.31</v>
      </c>
      <c r="D559">
        <v>3</v>
      </c>
      <c r="E559">
        <v>7492.4</v>
      </c>
      <c r="F559" s="1">
        <v>43437</v>
      </c>
      <c r="G559" s="2" t="s">
        <v>19</v>
      </c>
      <c r="H559" s="2" t="s">
        <v>589</v>
      </c>
      <c r="I559">
        <v>168</v>
      </c>
      <c r="J559" s="2" t="s">
        <v>638</v>
      </c>
      <c r="K559" s="2" t="s">
        <v>175</v>
      </c>
      <c r="L559" s="2" t="s">
        <v>176</v>
      </c>
      <c r="M559" s="2" t="s">
        <v>177</v>
      </c>
      <c r="N559" s="2" t="s">
        <v>178</v>
      </c>
      <c r="O559" s="2" t="s">
        <v>179</v>
      </c>
      <c r="P559" s="2" t="s">
        <v>180</v>
      </c>
      <c r="Q559" s="2" t="s">
        <v>181</v>
      </c>
      <c r="R559" s="2" t="s">
        <v>182</v>
      </c>
      <c r="S559" s="2" t="s">
        <v>151</v>
      </c>
      <c r="T559">
        <v>1351</v>
      </c>
      <c r="U559">
        <f>VLOOKUP(Auto_Sales_data___Copy[[#This Row],[CUSTOMER_NAME]],$AF$2:$AH$90,2,FALSE)</f>
        <v>259</v>
      </c>
      <c r="V559">
        <f>VLOOKUP(Auto_Sales_data___Copy[[#This Row],[CUSTOMER_NAME]],$AF$2:$AH$90,3,FALSE)</f>
        <v>912294.1100000001</v>
      </c>
      <c r="W559" s="2">
        <f>6-MATCH(Auto_Sales_data___Copy[[#This Row],[DAYS_SINCE_LAST_ORDER]],Table2[R-Cutoff],1)</f>
        <v>4</v>
      </c>
      <c r="X559" s="2">
        <f>MATCH(Auto_Sales_data___Copy[[#This Row],[Total_Orders_Per_Customer]],Table2[F-Cutoff],1)</f>
        <v>5</v>
      </c>
      <c r="Y559" s="2">
        <f>MATCH(Auto_Sales_data___Copy[[#This Row],[Total_Sales_Per_Customer]],Table2[M-Cutoff],1)</f>
        <v>5</v>
      </c>
      <c r="Z559" s="2" t="str">
        <f>Auto_Sales_data___Copy[[#This Row],[R-Score(1-5)]]&amp;Auto_Sales_data___Copy[[#This Row],[F-Score(1-5)]]&amp;Auto_Sales_data___Copy[[#This Row],[M-Score(1-5)]]</f>
        <v>455</v>
      </c>
      <c r="AA559" s="2" t="str" cm="1">
        <f t="array" ref="AA5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9" s="2" t="str">
        <f>VLOOKUP(Auto_Sales_data___Copy[[#This Row],[Segment Name]],Table3[],2,FALSE)</f>
        <v>VIP Recognitioon &amp; Inclusivity</v>
      </c>
    </row>
    <row r="560" spans="1:28" x14ac:dyDescent="0.25">
      <c r="A560">
        <v>10212</v>
      </c>
      <c r="B560">
        <v>38</v>
      </c>
      <c r="C560">
        <v>118.22</v>
      </c>
      <c r="D560">
        <v>6</v>
      </c>
      <c r="E560">
        <v>4492.3599999999997</v>
      </c>
      <c r="F560" s="1">
        <v>43481</v>
      </c>
      <c r="G560" s="2" t="s">
        <v>19</v>
      </c>
      <c r="H560" s="2" t="s">
        <v>183</v>
      </c>
      <c r="I560">
        <v>124</v>
      </c>
      <c r="J560" s="2" t="s">
        <v>606</v>
      </c>
      <c r="K560" s="2" t="s">
        <v>175</v>
      </c>
      <c r="L560" s="2" t="s">
        <v>176</v>
      </c>
      <c r="M560" s="2" t="s">
        <v>177</v>
      </c>
      <c r="N560" s="2" t="s">
        <v>178</v>
      </c>
      <c r="O560" s="2" t="s">
        <v>179</v>
      </c>
      <c r="P560" s="2" t="s">
        <v>180</v>
      </c>
      <c r="Q560" s="2" t="s">
        <v>181</v>
      </c>
      <c r="R560" s="2" t="s">
        <v>182</v>
      </c>
      <c r="S560" s="2" t="s">
        <v>46</v>
      </c>
      <c r="T560">
        <v>1012</v>
      </c>
      <c r="U560">
        <f>VLOOKUP(Auto_Sales_data___Copy[[#This Row],[CUSTOMER_NAME]],$AF$2:$AH$90,2,FALSE)</f>
        <v>259</v>
      </c>
      <c r="V560">
        <f>VLOOKUP(Auto_Sales_data___Copy[[#This Row],[CUSTOMER_NAME]],$AF$2:$AH$90,3,FALSE)</f>
        <v>912294.1100000001</v>
      </c>
      <c r="W560" s="2">
        <f>6-MATCH(Auto_Sales_data___Copy[[#This Row],[DAYS_SINCE_LAST_ORDER]],Table2[R-Cutoff],1)</f>
        <v>4</v>
      </c>
      <c r="X560" s="2">
        <f>MATCH(Auto_Sales_data___Copy[[#This Row],[Total_Orders_Per_Customer]],Table2[F-Cutoff],1)</f>
        <v>5</v>
      </c>
      <c r="Y560" s="2">
        <f>MATCH(Auto_Sales_data___Copy[[#This Row],[Total_Sales_Per_Customer]],Table2[M-Cutoff],1)</f>
        <v>5</v>
      </c>
      <c r="Z560" s="2" t="str">
        <f>Auto_Sales_data___Copy[[#This Row],[R-Score(1-5)]]&amp;Auto_Sales_data___Copy[[#This Row],[F-Score(1-5)]]&amp;Auto_Sales_data___Copy[[#This Row],[M-Score(1-5)]]</f>
        <v>455</v>
      </c>
      <c r="AA560" s="2" t="str" cm="1">
        <f t="array" ref="AA5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0" s="2" t="str">
        <f>VLOOKUP(Auto_Sales_data___Copy[[#This Row],[Segment Name]],Table3[],2,FALSE)</f>
        <v>VIP Recognitioon &amp; Inclusivity</v>
      </c>
    </row>
    <row r="561" spans="1:28" x14ac:dyDescent="0.25">
      <c r="A561">
        <v>10212</v>
      </c>
      <c r="B561">
        <v>20</v>
      </c>
      <c r="C561">
        <v>66.989999999999995</v>
      </c>
      <c r="D561">
        <v>14</v>
      </c>
      <c r="E561">
        <v>1339.8</v>
      </c>
      <c r="F561" s="1">
        <v>43481</v>
      </c>
      <c r="G561" s="2" t="s">
        <v>19</v>
      </c>
      <c r="H561" s="2" t="s">
        <v>183</v>
      </c>
      <c r="I561">
        <v>77</v>
      </c>
      <c r="J561" s="2" t="s">
        <v>629</v>
      </c>
      <c r="K561" s="2" t="s">
        <v>175</v>
      </c>
      <c r="L561" s="2" t="s">
        <v>176</v>
      </c>
      <c r="M561" s="2" t="s">
        <v>177</v>
      </c>
      <c r="N561" s="2" t="s">
        <v>178</v>
      </c>
      <c r="O561" s="2" t="s">
        <v>179</v>
      </c>
      <c r="P561" s="2" t="s">
        <v>180</v>
      </c>
      <c r="Q561" s="2" t="s">
        <v>181</v>
      </c>
      <c r="R561" s="2" t="s">
        <v>182</v>
      </c>
      <c r="S561" s="2" t="s">
        <v>30</v>
      </c>
      <c r="T561">
        <v>1083</v>
      </c>
      <c r="U561">
        <f>VLOOKUP(Auto_Sales_data___Copy[[#This Row],[CUSTOMER_NAME]],$AF$2:$AH$90,2,FALSE)</f>
        <v>259</v>
      </c>
      <c r="V561">
        <f>VLOOKUP(Auto_Sales_data___Copy[[#This Row],[CUSTOMER_NAME]],$AF$2:$AH$90,3,FALSE)</f>
        <v>912294.1100000001</v>
      </c>
      <c r="W561" s="2">
        <f>6-MATCH(Auto_Sales_data___Copy[[#This Row],[DAYS_SINCE_LAST_ORDER]],Table2[R-Cutoff],1)</f>
        <v>4</v>
      </c>
      <c r="X561" s="2">
        <f>MATCH(Auto_Sales_data___Copy[[#This Row],[Total_Orders_Per_Customer]],Table2[F-Cutoff],1)</f>
        <v>5</v>
      </c>
      <c r="Y561" s="2">
        <f>MATCH(Auto_Sales_data___Copy[[#This Row],[Total_Sales_Per_Customer]],Table2[M-Cutoff],1)</f>
        <v>5</v>
      </c>
      <c r="Z561" s="2" t="str">
        <f>Auto_Sales_data___Copy[[#This Row],[R-Score(1-5)]]&amp;Auto_Sales_data___Copy[[#This Row],[F-Score(1-5)]]&amp;Auto_Sales_data___Copy[[#This Row],[M-Score(1-5)]]</f>
        <v>455</v>
      </c>
      <c r="AA561" s="2" t="str" cm="1">
        <f t="array" ref="AA5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1" s="2" t="str">
        <f>VLOOKUP(Auto_Sales_data___Copy[[#This Row],[Segment Name]],Table3[],2,FALSE)</f>
        <v>VIP Recognitioon &amp; Inclusivity</v>
      </c>
    </row>
    <row r="562" spans="1:28" x14ac:dyDescent="0.25">
      <c r="A562">
        <v>10212</v>
      </c>
      <c r="B562">
        <v>41</v>
      </c>
      <c r="C562">
        <v>118.07</v>
      </c>
      <c r="D562">
        <v>9</v>
      </c>
      <c r="E562">
        <v>4840.87</v>
      </c>
      <c r="F562" s="1">
        <v>43481</v>
      </c>
      <c r="G562" s="2" t="s">
        <v>19</v>
      </c>
      <c r="H562" s="2" t="s">
        <v>183</v>
      </c>
      <c r="I562">
        <v>142</v>
      </c>
      <c r="J562" s="2" t="s">
        <v>630</v>
      </c>
      <c r="K562" s="2" t="s">
        <v>175</v>
      </c>
      <c r="L562" s="2" t="s">
        <v>176</v>
      </c>
      <c r="M562" s="2" t="s">
        <v>177</v>
      </c>
      <c r="N562" s="2" t="s">
        <v>178</v>
      </c>
      <c r="O562" s="2" t="s">
        <v>179</v>
      </c>
      <c r="P562" s="2" t="s">
        <v>180</v>
      </c>
      <c r="Q562" s="2" t="s">
        <v>181</v>
      </c>
      <c r="R562" s="2" t="s">
        <v>182</v>
      </c>
      <c r="S562" s="2" t="s">
        <v>46</v>
      </c>
      <c r="T562">
        <v>1109</v>
      </c>
      <c r="U562">
        <f>VLOOKUP(Auto_Sales_data___Copy[[#This Row],[CUSTOMER_NAME]],$AF$2:$AH$90,2,FALSE)</f>
        <v>259</v>
      </c>
      <c r="V562">
        <f>VLOOKUP(Auto_Sales_data___Copy[[#This Row],[CUSTOMER_NAME]],$AF$2:$AH$90,3,FALSE)</f>
        <v>912294.1100000001</v>
      </c>
      <c r="W562" s="2">
        <f>6-MATCH(Auto_Sales_data___Copy[[#This Row],[DAYS_SINCE_LAST_ORDER]],Table2[R-Cutoff],1)</f>
        <v>4</v>
      </c>
      <c r="X562" s="2">
        <f>MATCH(Auto_Sales_data___Copy[[#This Row],[Total_Orders_Per_Customer]],Table2[F-Cutoff],1)</f>
        <v>5</v>
      </c>
      <c r="Y562" s="2">
        <f>MATCH(Auto_Sales_data___Copy[[#This Row],[Total_Sales_Per_Customer]],Table2[M-Cutoff],1)</f>
        <v>5</v>
      </c>
      <c r="Z562" s="2" t="str">
        <f>Auto_Sales_data___Copy[[#This Row],[R-Score(1-5)]]&amp;Auto_Sales_data___Copy[[#This Row],[F-Score(1-5)]]&amp;Auto_Sales_data___Copy[[#This Row],[M-Score(1-5)]]</f>
        <v>455</v>
      </c>
      <c r="AA562" s="2" t="str" cm="1">
        <f t="array" ref="AA5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2" s="2" t="str">
        <f>VLOOKUP(Auto_Sales_data___Copy[[#This Row],[Segment Name]],Table3[],2,FALSE)</f>
        <v>VIP Recognitioon &amp; Inclusivity</v>
      </c>
    </row>
    <row r="563" spans="1:28" x14ac:dyDescent="0.25">
      <c r="A563">
        <v>10212</v>
      </c>
      <c r="B563">
        <v>40</v>
      </c>
      <c r="C563">
        <v>122.76</v>
      </c>
      <c r="D563">
        <v>7</v>
      </c>
      <c r="E563">
        <v>4910.3999999999996</v>
      </c>
      <c r="F563" s="1">
        <v>43481</v>
      </c>
      <c r="G563" s="2" t="s">
        <v>19</v>
      </c>
      <c r="H563" s="2" t="s">
        <v>183</v>
      </c>
      <c r="I563">
        <v>132</v>
      </c>
      <c r="J563" s="2" t="s">
        <v>639</v>
      </c>
      <c r="K563" s="2" t="s">
        <v>175</v>
      </c>
      <c r="L563" s="2" t="s">
        <v>176</v>
      </c>
      <c r="M563" s="2" t="s">
        <v>177</v>
      </c>
      <c r="N563" s="2" t="s">
        <v>178</v>
      </c>
      <c r="O563" s="2" t="s">
        <v>179</v>
      </c>
      <c r="P563" s="2" t="s">
        <v>180</v>
      </c>
      <c r="Q563" s="2" t="s">
        <v>181</v>
      </c>
      <c r="R563" s="2" t="s">
        <v>182</v>
      </c>
      <c r="S563" s="2" t="s">
        <v>46</v>
      </c>
      <c r="T563">
        <v>1333</v>
      </c>
      <c r="U563">
        <f>VLOOKUP(Auto_Sales_data___Copy[[#This Row],[CUSTOMER_NAME]],$AF$2:$AH$90,2,FALSE)</f>
        <v>259</v>
      </c>
      <c r="V563">
        <f>VLOOKUP(Auto_Sales_data___Copy[[#This Row],[CUSTOMER_NAME]],$AF$2:$AH$90,3,FALSE)</f>
        <v>912294.1100000001</v>
      </c>
      <c r="W563" s="2">
        <f>6-MATCH(Auto_Sales_data___Copy[[#This Row],[DAYS_SINCE_LAST_ORDER]],Table2[R-Cutoff],1)</f>
        <v>4</v>
      </c>
      <c r="X563" s="2">
        <f>MATCH(Auto_Sales_data___Copy[[#This Row],[Total_Orders_Per_Customer]],Table2[F-Cutoff],1)</f>
        <v>5</v>
      </c>
      <c r="Y563" s="2">
        <f>MATCH(Auto_Sales_data___Copy[[#This Row],[Total_Sales_Per_Customer]],Table2[M-Cutoff],1)</f>
        <v>5</v>
      </c>
      <c r="Z563" s="2" t="str">
        <f>Auto_Sales_data___Copy[[#This Row],[R-Score(1-5)]]&amp;Auto_Sales_data___Copy[[#This Row],[F-Score(1-5)]]&amp;Auto_Sales_data___Copy[[#This Row],[M-Score(1-5)]]</f>
        <v>455</v>
      </c>
      <c r="AA563" s="2" t="str" cm="1">
        <f t="array" ref="AA5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3" s="2" t="str">
        <f>VLOOKUP(Auto_Sales_data___Copy[[#This Row],[Segment Name]],Table3[],2,FALSE)</f>
        <v>VIP Recognitioon &amp; Inclusivity</v>
      </c>
    </row>
    <row r="564" spans="1:28" x14ac:dyDescent="0.25">
      <c r="A564">
        <v>10244</v>
      </c>
      <c r="B564">
        <v>43</v>
      </c>
      <c r="C564">
        <v>138.38</v>
      </c>
      <c r="D564">
        <v>8</v>
      </c>
      <c r="E564">
        <v>5950.34</v>
      </c>
      <c r="F564" s="1">
        <v>43584</v>
      </c>
      <c r="G564" s="2" t="s">
        <v>19</v>
      </c>
      <c r="H564" s="2" t="s">
        <v>589</v>
      </c>
      <c r="I564">
        <v>168</v>
      </c>
      <c r="J564" s="2" t="s">
        <v>638</v>
      </c>
      <c r="K564" s="2" t="s">
        <v>175</v>
      </c>
      <c r="L564" s="2" t="s">
        <v>176</v>
      </c>
      <c r="M564" s="2" t="s">
        <v>177</v>
      </c>
      <c r="N564" s="2" t="s">
        <v>178</v>
      </c>
      <c r="O564" s="2" t="s">
        <v>179</v>
      </c>
      <c r="P564" s="2" t="s">
        <v>180</v>
      </c>
      <c r="Q564" s="2" t="s">
        <v>181</v>
      </c>
      <c r="R564" s="2" t="s">
        <v>182</v>
      </c>
      <c r="S564" s="2" t="s">
        <v>46</v>
      </c>
      <c r="T564">
        <v>1207</v>
      </c>
      <c r="U564">
        <f>VLOOKUP(Auto_Sales_data___Copy[[#This Row],[CUSTOMER_NAME]],$AF$2:$AH$90,2,FALSE)</f>
        <v>259</v>
      </c>
      <c r="V564">
        <f>VLOOKUP(Auto_Sales_data___Copy[[#This Row],[CUSTOMER_NAME]],$AF$2:$AH$90,3,FALSE)</f>
        <v>912294.1100000001</v>
      </c>
      <c r="W564" s="2">
        <f>6-MATCH(Auto_Sales_data___Copy[[#This Row],[DAYS_SINCE_LAST_ORDER]],Table2[R-Cutoff],1)</f>
        <v>4</v>
      </c>
      <c r="X564" s="2">
        <f>MATCH(Auto_Sales_data___Copy[[#This Row],[Total_Orders_Per_Customer]],Table2[F-Cutoff],1)</f>
        <v>5</v>
      </c>
      <c r="Y564" s="2">
        <f>MATCH(Auto_Sales_data___Copy[[#This Row],[Total_Sales_Per_Customer]],Table2[M-Cutoff],1)</f>
        <v>5</v>
      </c>
      <c r="Z564" s="2" t="str">
        <f>Auto_Sales_data___Copy[[#This Row],[R-Score(1-5)]]&amp;Auto_Sales_data___Copy[[#This Row],[F-Score(1-5)]]&amp;Auto_Sales_data___Copy[[#This Row],[M-Score(1-5)]]</f>
        <v>455</v>
      </c>
      <c r="AA564" s="2" t="str" cm="1">
        <f t="array" ref="AA5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4" s="2" t="str">
        <f>VLOOKUP(Auto_Sales_data___Copy[[#This Row],[Segment Name]],Table3[],2,FALSE)</f>
        <v>VIP Recognitioon &amp; Inclusivity</v>
      </c>
    </row>
    <row r="565" spans="1:28" x14ac:dyDescent="0.25">
      <c r="A565">
        <v>10244</v>
      </c>
      <c r="B565">
        <v>30</v>
      </c>
      <c r="C565">
        <v>117.52</v>
      </c>
      <c r="D565">
        <v>1</v>
      </c>
      <c r="E565">
        <v>3525.6</v>
      </c>
      <c r="F565" s="1">
        <v>43584</v>
      </c>
      <c r="G565" s="2" t="s">
        <v>19</v>
      </c>
      <c r="H565" s="2" t="s">
        <v>589</v>
      </c>
      <c r="I565">
        <v>101</v>
      </c>
      <c r="J565" s="2" t="s">
        <v>640</v>
      </c>
      <c r="K565" s="2" t="s">
        <v>175</v>
      </c>
      <c r="L565" s="2" t="s">
        <v>176</v>
      </c>
      <c r="M565" s="2" t="s">
        <v>177</v>
      </c>
      <c r="N565" s="2" t="s">
        <v>178</v>
      </c>
      <c r="O565" s="2" t="s">
        <v>179</v>
      </c>
      <c r="P565" s="2" t="s">
        <v>180</v>
      </c>
      <c r="Q565" s="2" t="s">
        <v>181</v>
      </c>
      <c r="R565" s="2" t="s">
        <v>182</v>
      </c>
      <c r="S565" s="2" t="s">
        <v>46</v>
      </c>
      <c r="T565">
        <v>1258</v>
      </c>
      <c r="U565">
        <f>VLOOKUP(Auto_Sales_data___Copy[[#This Row],[CUSTOMER_NAME]],$AF$2:$AH$90,2,FALSE)</f>
        <v>259</v>
      </c>
      <c r="V565">
        <f>VLOOKUP(Auto_Sales_data___Copy[[#This Row],[CUSTOMER_NAME]],$AF$2:$AH$90,3,FALSE)</f>
        <v>912294.1100000001</v>
      </c>
      <c r="W565" s="2">
        <f>6-MATCH(Auto_Sales_data___Copy[[#This Row],[DAYS_SINCE_LAST_ORDER]],Table2[R-Cutoff],1)</f>
        <v>4</v>
      </c>
      <c r="X565" s="2">
        <f>MATCH(Auto_Sales_data___Copy[[#This Row],[Total_Orders_Per_Customer]],Table2[F-Cutoff],1)</f>
        <v>5</v>
      </c>
      <c r="Y565" s="2">
        <f>MATCH(Auto_Sales_data___Copy[[#This Row],[Total_Sales_Per_Customer]],Table2[M-Cutoff],1)</f>
        <v>5</v>
      </c>
      <c r="Z565" s="2" t="str">
        <f>Auto_Sales_data___Copy[[#This Row],[R-Score(1-5)]]&amp;Auto_Sales_data___Copy[[#This Row],[F-Score(1-5)]]&amp;Auto_Sales_data___Copy[[#This Row],[M-Score(1-5)]]</f>
        <v>455</v>
      </c>
      <c r="AA565" s="2" t="str" cm="1">
        <f t="array" ref="AA5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5" s="2" t="str">
        <f>VLOOKUP(Auto_Sales_data___Copy[[#This Row],[Segment Name]],Table3[],2,FALSE)</f>
        <v>VIP Recognitioon &amp; Inclusivity</v>
      </c>
    </row>
    <row r="566" spans="1:28" x14ac:dyDescent="0.25">
      <c r="A566">
        <v>10244</v>
      </c>
      <c r="B566">
        <v>24</v>
      </c>
      <c r="C566">
        <v>58.09</v>
      </c>
      <c r="D566">
        <v>3</v>
      </c>
      <c r="E566">
        <v>1394.16</v>
      </c>
      <c r="F566" s="1">
        <v>43584</v>
      </c>
      <c r="G566" s="2" t="s">
        <v>19</v>
      </c>
      <c r="H566" s="2" t="s">
        <v>589</v>
      </c>
      <c r="I566">
        <v>62</v>
      </c>
      <c r="J566" s="2" t="s">
        <v>641</v>
      </c>
      <c r="K566" s="2" t="s">
        <v>175</v>
      </c>
      <c r="L566" s="2" t="s">
        <v>176</v>
      </c>
      <c r="M566" s="2" t="s">
        <v>177</v>
      </c>
      <c r="N566" s="2" t="s">
        <v>178</v>
      </c>
      <c r="O566" s="2" t="s">
        <v>179</v>
      </c>
      <c r="P566" s="2" t="s">
        <v>180</v>
      </c>
      <c r="Q566" s="2" t="s">
        <v>181</v>
      </c>
      <c r="R566" s="2" t="s">
        <v>182</v>
      </c>
      <c r="S566" s="2" t="s">
        <v>30</v>
      </c>
      <c r="T566">
        <v>1282</v>
      </c>
      <c r="U566">
        <f>VLOOKUP(Auto_Sales_data___Copy[[#This Row],[CUSTOMER_NAME]],$AF$2:$AH$90,2,FALSE)</f>
        <v>259</v>
      </c>
      <c r="V566">
        <f>VLOOKUP(Auto_Sales_data___Copy[[#This Row],[CUSTOMER_NAME]],$AF$2:$AH$90,3,FALSE)</f>
        <v>912294.1100000001</v>
      </c>
      <c r="W566" s="2">
        <f>6-MATCH(Auto_Sales_data___Copy[[#This Row],[DAYS_SINCE_LAST_ORDER]],Table2[R-Cutoff],1)</f>
        <v>4</v>
      </c>
      <c r="X566" s="2">
        <f>MATCH(Auto_Sales_data___Copy[[#This Row],[Total_Orders_Per_Customer]],Table2[F-Cutoff],1)</f>
        <v>5</v>
      </c>
      <c r="Y566" s="2">
        <f>MATCH(Auto_Sales_data___Copy[[#This Row],[Total_Sales_Per_Customer]],Table2[M-Cutoff],1)</f>
        <v>5</v>
      </c>
      <c r="Z566" s="2" t="str">
        <f>Auto_Sales_data___Copy[[#This Row],[R-Score(1-5)]]&amp;Auto_Sales_data___Copy[[#This Row],[F-Score(1-5)]]&amp;Auto_Sales_data___Copy[[#This Row],[M-Score(1-5)]]</f>
        <v>455</v>
      </c>
      <c r="AA566" s="2" t="str" cm="1">
        <f t="array" ref="AA5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6" s="2" t="str">
        <f>VLOOKUP(Auto_Sales_data___Copy[[#This Row],[Segment Name]],Table3[],2,FALSE)</f>
        <v>VIP Recognitioon &amp; Inclusivity</v>
      </c>
    </row>
    <row r="567" spans="1:28" x14ac:dyDescent="0.25">
      <c r="A567">
        <v>10244</v>
      </c>
      <c r="B567">
        <v>29</v>
      </c>
      <c r="C567">
        <v>115.19</v>
      </c>
      <c r="D567">
        <v>2</v>
      </c>
      <c r="E567">
        <v>3340.51</v>
      </c>
      <c r="F567" s="1">
        <v>43584</v>
      </c>
      <c r="G567" s="2" t="s">
        <v>19</v>
      </c>
      <c r="H567" s="2" t="s">
        <v>589</v>
      </c>
      <c r="I567">
        <v>104</v>
      </c>
      <c r="J567" s="2" t="s">
        <v>647</v>
      </c>
      <c r="K567" s="2" t="s">
        <v>175</v>
      </c>
      <c r="L567" s="2" t="s">
        <v>176</v>
      </c>
      <c r="M567" s="2" t="s">
        <v>177</v>
      </c>
      <c r="N567" s="2" t="s">
        <v>178</v>
      </c>
      <c r="O567" s="2" t="s">
        <v>179</v>
      </c>
      <c r="P567" s="2" t="s">
        <v>180</v>
      </c>
      <c r="Q567" s="2" t="s">
        <v>181</v>
      </c>
      <c r="R567" s="2" t="s">
        <v>182</v>
      </c>
      <c r="S567" s="2" t="s">
        <v>46</v>
      </c>
      <c r="T567">
        <v>1332</v>
      </c>
      <c r="U567">
        <f>VLOOKUP(Auto_Sales_data___Copy[[#This Row],[CUSTOMER_NAME]],$AF$2:$AH$90,2,FALSE)</f>
        <v>259</v>
      </c>
      <c r="V567">
        <f>VLOOKUP(Auto_Sales_data___Copy[[#This Row],[CUSTOMER_NAME]],$AF$2:$AH$90,3,FALSE)</f>
        <v>912294.1100000001</v>
      </c>
      <c r="W567" s="2">
        <f>6-MATCH(Auto_Sales_data___Copy[[#This Row],[DAYS_SINCE_LAST_ORDER]],Table2[R-Cutoff],1)</f>
        <v>4</v>
      </c>
      <c r="X567" s="2">
        <f>MATCH(Auto_Sales_data___Copy[[#This Row],[Total_Orders_Per_Customer]],Table2[F-Cutoff],1)</f>
        <v>5</v>
      </c>
      <c r="Y567" s="2">
        <f>MATCH(Auto_Sales_data___Copy[[#This Row],[Total_Sales_Per_Customer]],Table2[M-Cutoff],1)</f>
        <v>5</v>
      </c>
      <c r="Z567" s="2" t="str">
        <f>Auto_Sales_data___Copy[[#This Row],[R-Score(1-5)]]&amp;Auto_Sales_data___Copy[[#This Row],[F-Score(1-5)]]&amp;Auto_Sales_data___Copy[[#This Row],[M-Score(1-5)]]</f>
        <v>455</v>
      </c>
      <c r="AA567" s="2" t="str" cm="1">
        <f t="array" ref="AA5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7" s="2" t="str">
        <f>VLOOKUP(Auto_Sales_data___Copy[[#This Row],[Segment Name]],Table3[],2,FALSE)</f>
        <v>VIP Recognitioon &amp; Inclusivity</v>
      </c>
    </row>
    <row r="568" spans="1:28" x14ac:dyDescent="0.25">
      <c r="A568">
        <v>10244</v>
      </c>
      <c r="B568">
        <v>36</v>
      </c>
      <c r="C568">
        <v>84.33</v>
      </c>
      <c r="D568">
        <v>5</v>
      </c>
      <c r="E568">
        <v>3035.88</v>
      </c>
      <c r="F568" s="1">
        <v>43584</v>
      </c>
      <c r="G568" s="2" t="s">
        <v>19</v>
      </c>
      <c r="H568" s="2" t="s">
        <v>589</v>
      </c>
      <c r="I568">
        <v>99</v>
      </c>
      <c r="J568" s="2" t="s">
        <v>653</v>
      </c>
      <c r="K568" s="2" t="s">
        <v>175</v>
      </c>
      <c r="L568" s="2" t="s">
        <v>176</v>
      </c>
      <c r="M568" s="2" t="s">
        <v>177</v>
      </c>
      <c r="N568" s="2" t="s">
        <v>178</v>
      </c>
      <c r="O568" s="2" t="s">
        <v>179</v>
      </c>
      <c r="P568" s="2" t="s">
        <v>180</v>
      </c>
      <c r="Q568" s="2" t="s">
        <v>181</v>
      </c>
      <c r="R568" s="2" t="s">
        <v>182</v>
      </c>
      <c r="S568" s="2" t="s">
        <v>46</v>
      </c>
      <c r="T568">
        <v>1481</v>
      </c>
      <c r="U568">
        <f>VLOOKUP(Auto_Sales_data___Copy[[#This Row],[CUSTOMER_NAME]],$AF$2:$AH$90,2,FALSE)</f>
        <v>259</v>
      </c>
      <c r="V568">
        <f>VLOOKUP(Auto_Sales_data___Copy[[#This Row],[CUSTOMER_NAME]],$AF$2:$AH$90,3,FALSE)</f>
        <v>912294.1100000001</v>
      </c>
      <c r="W568" s="2">
        <f>6-MATCH(Auto_Sales_data___Copy[[#This Row],[DAYS_SINCE_LAST_ORDER]],Table2[R-Cutoff],1)</f>
        <v>4</v>
      </c>
      <c r="X568" s="2">
        <f>MATCH(Auto_Sales_data___Copy[[#This Row],[Total_Orders_Per_Customer]],Table2[F-Cutoff],1)</f>
        <v>5</v>
      </c>
      <c r="Y568" s="2">
        <f>MATCH(Auto_Sales_data___Copy[[#This Row],[Total_Sales_Per_Customer]],Table2[M-Cutoff],1)</f>
        <v>5</v>
      </c>
      <c r="Z568" s="2" t="str">
        <f>Auto_Sales_data___Copy[[#This Row],[R-Score(1-5)]]&amp;Auto_Sales_data___Copy[[#This Row],[F-Score(1-5)]]&amp;Auto_Sales_data___Copy[[#This Row],[M-Score(1-5)]]</f>
        <v>455</v>
      </c>
      <c r="AA568" s="2" t="str" cm="1">
        <f t="array" ref="AA5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8" s="2" t="str">
        <f>VLOOKUP(Auto_Sales_data___Copy[[#This Row],[Segment Name]],Table3[],2,FALSE)</f>
        <v>VIP Recognitioon &amp; Inclusivity</v>
      </c>
    </row>
    <row r="569" spans="1:28" x14ac:dyDescent="0.25">
      <c r="A569">
        <v>10246</v>
      </c>
      <c r="B569">
        <v>40</v>
      </c>
      <c r="C569">
        <v>163.72999999999999</v>
      </c>
      <c r="D569">
        <v>4</v>
      </c>
      <c r="E569">
        <v>6549.2</v>
      </c>
      <c r="F569" s="1">
        <v>43590</v>
      </c>
      <c r="G569" s="2" t="s">
        <v>19</v>
      </c>
      <c r="H569" s="2" t="s">
        <v>183</v>
      </c>
      <c r="I569">
        <v>163</v>
      </c>
      <c r="J569" s="2" t="s">
        <v>631</v>
      </c>
      <c r="K569" s="2" t="s">
        <v>175</v>
      </c>
      <c r="L569" s="2" t="s">
        <v>176</v>
      </c>
      <c r="M569" s="2" t="s">
        <v>177</v>
      </c>
      <c r="N569" s="2" t="s">
        <v>178</v>
      </c>
      <c r="O569" s="2" t="s">
        <v>179</v>
      </c>
      <c r="P569" s="2" t="s">
        <v>180</v>
      </c>
      <c r="Q569" s="2" t="s">
        <v>181</v>
      </c>
      <c r="R569" s="2" t="s">
        <v>182</v>
      </c>
      <c r="S569" s="2" t="s">
        <v>46</v>
      </c>
      <c r="T569">
        <v>1030</v>
      </c>
      <c r="U569">
        <f>VLOOKUP(Auto_Sales_data___Copy[[#This Row],[CUSTOMER_NAME]],$AF$2:$AH$90,2,FALSE)</f>
        <v>259</v>
      </c>
      <c r="V569">
        <f>VLOOKUP(Auto_Sales_data___Copy[[#This Row],[CUSTOMER_NAME]],$AF$2:$AH$90,3,FALSE)</f>
        <v>912294.1100000001</v>
      </c>
      <c r="W569" s="2">
        <f>6-MATCH(Auto_Sales_data___Copy[[#This Row],[DAYS_SINCE_LAST_ORDER]],Table2[R-Cutoff],1)</f>
        <v>4</v>
      </c>
      <c r="X569" s="2">
        <f>MATCH(Auto_Sales_data___Copy[[#This Row],[Total_Orders_Per_Customer]],Table2[F-Cutoff],1)</f>
        <v>5</v>
      </c>
      <c r="Y569" s="2">
        <f>MATCH(Auto_Sales_data___Copy[[#This Row],[Total_Sales_Per_Customer]],Table2[M-Cutoff],1)</f>
        <v>5</v>
      </c>
      <c r="Z569" s="2" t="str">
        <f>Auto_Sales_data___Copy[[#This Row],[R-Score(1-5)]]&amp;Auto_Sales_data___Copy[[#This Row],[F-Score(1-5)]]&amp;Auto_Sales_data___Copy[[#This Row],[M-Score(1-5)]]</f>
        <v>455</v>
      </c>
      <c r="AA569" s="2" t="str" cm="1">
        <f t="array" ref="AA5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9" s="2" t="str">
        <f>VLOOKUP(Auto_Sales_data___Copy[[#This Row],[Segment Name]],Table3[],2,FALSE)</f>
        <v>VIP Recognitioon &amp; Inclusivity</v>
      </c>
    </row>
    <row r="570" spans="1:28" x14ac:dyDescent="0.25">
      <c r="A570">
        <v>10246</v>
      </c>
      <c r="B570">
        <v>22</v>
      </c>
      <c r="C570">
        <v>98.18</v>
      </c>
      <c r="D570">
        <v>8</v>
      </c>
      <c r="E570">
        <v>2159.96</v>
      </c>
      <c r="F570" s="1">
        <v>43590</v>
      </c>
      <c r="G570" s="2" t="s">
        <v>19</v>
      </c>
      <c r="H570" s="2" t="s">
        <v>537</v>
      </c>
      <c r="I570">
        <v>122</v>
      </c>
      <c r="J570" s="2" t="s">
        <v>633</v>
      </c>
      <c r="K570" s="2" t="s">
        <v>175</v>
      </c>
      <c r="L570" s="2" t="s">
        <v>176</v>
      </c>
      <c r="M570" s="2" t="s">
        <v>177</v>
      </c>
      <c r="N570" s="2" t="s">
        <v>178</v>
      </c>
      <c r="O570" s="2" t="s">
        <v>179</v>
      </c>
      <c r="P570" s="2" t="s">
        <v>180</v>
      </c>
      <c r="Q570" s="2" t="s">
        <v>181</v>
      </c>
      <c r="R570" s="2" t="s">
        <v>182</v>
      </c>
      <c r="S570" s="2" t="s">
        <v>30</v>
      </c>
      <c r="T570">
        <v>1077</v>
      </c>
      <c r="U570">
        <f>VLOOKUP(Auto_Sales_data___Copy[[#This Row],[CUSTOMER_NAME]],$AF$2:$AH$90,2,FALSE)</f>
        <v>259</v>
      </c>
      <c r="V570">
        <f>VLOOKUP(Auto_Sales_data___Copy[[#This Row],[CUSTOMER_NAME]],$AF$2:$AH$90,3,FALSE)</f>
        <v>912294.1100000001</v>
      </c>
      <c r="W570" s="2">
        <f>6-MATCH(Auto_Sales_data___Copy[[#This Row],[DAYS_SINCE_LAST_ORDER]],Table2[R-Cutoff],1)</f>
        <v>4</v>
      </c>
      <c r="X570" s="2">
        <f>MATCH(Auto_Sales_data___Copy[[#This Row],[Total_Orders_Per_Customer]],Table2[F-Cutoff],1)</f>
        <v>5</v>
      </c>
      <c r="Y570" s="2">
        <f>MATCH(Auto_Sales_data___Copy[[#This Row],[Total_Sales_Per_Customer]],Table2[M-Cutoff],1)</f>
        <v>5</v>
      </c>
      <c r="Z570" s="2" t="str">
        <f>Auto_Sales_data___Copy[[#This Row],[R-Score(1-5)]]&amp;Auto_Sales_data___Copy[[#This Row],[F-Score(1-5)]]&amp;Auto_Sales_data___Copy[[#This Row],[M-Score(1-5)]]</f>
        <v>455</v>
      </c>
      <c r="AA570" s="2" t="str" cm="1">
        <f t="array" ref="AA5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0" s="2" t="str">
        <f>VLOOKUP(Auto_Sales_data___Copy[[#This Row],[Segment Name]],Table3[],2,FALSE)</f>
        <v>VIP Recognitioon &amp; Inclusivity</v>
      </c>
    </row>
    <row r="571" spans="1:28" x14ac:dyDescent="0.25">
      <c r="A571">
        <v>10246</v>
      </c>
      <c r="B571">
        <v>30</v>
      </c>
      <c r="C571">
        <v>61.99</v>
      </c>
      <c r="D571">
        <v>11</v>
      </c>
      <c r="E571">
        <v>1859.7</v>
      </c>
      <c r="F571" s="1">
        <v>43590</v>
      </c>
      <c r="G571" s="2" t="s">
        <v>19</v>
      </c>
      <c r="H571" s="2" t="s">
        <v>537</v>
      </c>
      <c r="I571">
        <v>60</v>
      </c>
      <c r="J571" s="2" t="s">
        <v>635</v>
      </c>
      <c r="K571" s="2" t="s">
        <v>175</v>
      </c>
      <c r="L571" s="2" t="s">
        <v>176</v>
      </c>
      <c r="M571" s="2" t="s">
        <v>177</v>
      </c>
      <c r="N571" s="2" t="s">
        <v>178</v>
      </c>
      <c r="O571" s="2" t="s">
        <v>179</v>
      </c>
      <c r="P571" s="2" t="s">
        <v>180</v>
      </c>
      <c r="Q571" s="2" t="s">
        <v>181</v>
      </c>
      <c r="R571" s="2" t="s">
        <v>182</v>
      </c>
      <c r="S571" s="2" t="s">
        <v>30</v>
      </c>
      <c r="T571">
        <v>1128</v>
      </c>
      <c r="U571">
        <f>VLOOKUP(Auto_Sales_data___Copy[[#This Row],[CUSTOMER_NAME]],$AF$2:$AH$90,2,FALSE)</f>
        <v>259</v>
      </c>
      <c r="V571">
        <f>VLOOKUP(Auto_Sales_data___Copy[[#This Row],[CUSTOMER_NAME]],$AF$2:$AH$90,3,FALSE)</f>
        <v>912294.1100000001</v>
      </c>
      <c r="W571" s="2">
        <f>6-MATCH(Auto_Sales_data___Copy[[#This Row],[DAYS_SINCE_LAST_ORDER]],Table2[R-Cutoff],1)</f>
        <v>4</v>
      </c>
      <c r="X571" s="2">
        <f>MATCH(Auto_Sales_data___Copy[[#This Row],[Total_Orders_Per_Customer]],Table2[F-Cutoff],1)</f>
        <v>5</v>
      </c>
      <c r="Y571" s="2">
        <f>MATCH(Auto_Sales_data___Copy[[#This Row],[Total_Sales_Per_Customer]],Table2[M-Cutoff],1)</f>
        <v>5</v>
      </c>
      <c r="Z571" s="2" t="str">
        <f>Auto_Sales_data___Copy[[#This Row],[R-Score(1-5)]]&amp;Auto_Sales_data___Copy[[#This Row],[F-Score(1-5)]]&amp;Auto_Sales_data___Copy[[#This Row],[M-Score(1-5)]]</f>
        <v>455</v>
      </c>
      <c r="AA571" s="2" t="str" cm="1">
        <f t="array" ref="AA5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1" s="2" t="str">
        <f>VLOOKUP(Auto_Sales_data___Copy[[#This Row],[Segment Name]],Table3[],2,FALSE)</f>
        <v>VIP Recognitioon &amp; Inclusivity</v>
      </c>
    </row>
    <row r="572" spans="1:28" x14ac:dyDescent="0.25">
      <c r="A572">
        <v>10246</v>
      </c>
      <c r="B572">
        <v>36</v>
      </c>
      <c r="C572">
        <v>198.13</v>
      </c>
      <c r="D572">
        <v>9</v>
      </c>
      <c r="E572">
        <v>7132.68</v>
      </c>
      <c r="F572" s="1">
        <v>43590</v>
      </c>
      <c r="G572" s="2" t="s">
        <v>19</v>
      </c>
      <c r="H572" s="2" t="s">
        <v>183</v>
      </c>
      <c r="I572">
        <v>169</v>
      </c>
      <c r="J572" s="2" t="s">
        <v>649</v>
      </c>
      <c r="K572" s="2" t="s">
        <v>175</v>
      </c>
      <c r="L572" s="2" t="s">
        <v>176</v>
      </c>
      <c r="M572" s="2" t="s">
        <v>177</v>
      </c>
      <c r="N572" s="2" t="s">
        <v>178</v>
      </c>
      <c r="O572" s="2" t="s">
        <v>179</v>
      </c>
      <c r="P572" s="2" t="s">
        <v>180</v>
      </c>
      <c r="Q572" s="2" t="s">
        <v>181</v>
      </c>
      <c r="R572" s="2" t="s">
        <v>182</v>
      </c>
      <c r="S572" s="2" t="s">
        <v>151</v>
      </c>
      <c r="T572">
        <v>1387</v>
      </c>
      <c r="U572">
        <f>VLOOKUP(Auto_Sales_data___Copy[[#This Row],[CUSTOMER_NAME]],$AF$2:$AH$90,2,FALSE)</f>
        <v>259</v>
      </c>
      <c r="V572">
        <f>VLOOKUP(Auto_Sales_data___Copy[[#This Row],[CUSTOMER_NAME]],$AF$2:$AH$90,3,FALSE)</f>
        <v>912294.1100000001</v>
      </c>
      <c r="W572" s="2">
        <f>6-MATCH(Auto_Sales_data___Copy[[#This Row],[DAYS_SINCE_LAST_ORDER]],Table2[R-Cutoff],1)</f>
        <v>4</v>
      </c>
      <c r="X572" s="2">
        <f>MATCH(Auto_Sales_data___Copy[[#This Row],[Total_Orders_Per_Customer]],Table2[F-Cutoff],1)</f>
        <v>5</v>
      </c>
      <c r="Y572" s="2">
        <f>MATCH(Auto_Sales_data___Copy[[#This Row],[Total_Sales_Per_Customer]],Table2[M-Cutoff],1)</f>
        <v>5</v>
      </c>
      <c r="Z572" s="2" t="str">
        <f>Auto_Sales_data___Copy[[#This Row],[R-Score(1-5)]]&amp;Auto_Sales_data___Copy[[#This Row],[F-Score(1-5)]]&amp;Auto_Sales_data___Copy[[#This Row],[M-Score(1-5)]]</f>
        <v>455</v>
      </c>
      <c r="AA572" s="2" t="str" cm="1">
        <f t="array" ref="AA5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2" s="2" t="str">
        <f>VLOOKUP(Auto_Sales_data___Copy[[#This Row],[Segment Name]],Table3[],2,FALSE)</f>
        <v>VIP Recognitioon &amp; Inclusivity</v>
      </c>
    </row>
    <row r="573" spans="1:28" x14ac:dyDescent="0.25">
      <c r="A573">
        <v>10262</v>
      </c>
      <c r="B573">
        <v>32</v>
      </c>
      <c r="C573">
        <v>84.3</v>
      </c>
      <c r="D573">
        <v>15</v>
      </c>
      <c r="E573">
        <v>2697.6</v>
      </c>
      <c r="F573" s="1">
        <v>43640</v>
      </c>
      <c r="G573" s="2" t="s">
        <v>358</v>
      </c>
      <c r="H573" s="2" t="s">
        <v>642</v>
      </c>
      <c r="I573">
        <v>86</v>
      </c>
      <c r="J573" s="2" t="s">
        <v>643</v>
      </c>
      <c r="K573" s="2" t="s">
        <v>175</v>
      </c>
      <c r="L573" s="2" t="s">
        <v>176</v>
      </c>
      <c r="M573" s="2" t="s">
        <v>177</v>
      </c>
      <c r="N573" s="2" t="s">
        <v>178</v>
      </c>
      <c r="O573" s="2" t="s">
        <v>179</v>
      </c>
      <c r="P573" s="2" t="s">
        <v>180</v>
      </c>
      <c r="Q573" s="2" t="s">
        <v>181</v>
      </c>
      <c r="R573" s="2" t="s">
        <v>182</v>
      </c>
      <c r="S573" s="2" t="s">
        <v>30</v>
      </c>
      <c r="T573">
        <v>1251</v>
      </c>
      <c r="U573">
        <f>VLOOKUP(Auto_Sales_data___Copy[[#This Row],[CUSTOMER_NAME]],$AF$2:$AH$90,2,FALSE)</f>
        <v>259</v>
      </c>
      <c r="V573">
        <f>VLOOKUP(Auto_Sales_data___Copy[[#This Row],[CUSTOMER_NAME]],$AF$2:$AH$90,3,FALSE)</f>
        <v>912294.1100000001</v>
      </c>
      <c r="W573" s="2">
        <f>6-MATCH(Auto_Sales_data___Copy[[#This Row],[DAYS_SINCE_LAST_ORDER]],Table2[R-Cutoff],1)</f>
        <v>4</v>
      </c>
      <c r="X573" s="2">
        <f>MATCH(Auto_Sales_data___Copy[[#This Row],[Total_Orders_Per_Customer]],Table2[F-Cutoff],1)</f>
        <v>5</v>
      </c>
      <c r="Y573" s="2">
        <f>MATCH(Auto_Sales_data___Copy[[#This Row],[Total_Sales_Per_Customer]],Table2[M-Cutoff],1)</f>
        <v>5</v>
      </c>
      <c r="Z573" s="2" t="str">
        <f>Auto_Sales_data___Copy[[#This Row],[R-Score(1-5)]]&amp;Auto_Sales_data___Copy[[#This Row],[F-Score(1-5)]]&amp;Auto_Sales_data___Copy[[#This Row],[M-Score(1-5)]]</f>
        <v>455</v>
      </c>
      <c r="AA573" s="2" t="str" cm="1">
        <f t="array" ref="AA5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3" s="2" t="str">
        <f>VLOOKUP(Auto_Sales_data___Copy[[#This Row],[Segment Name]],Table3[],2,FALSE)</f>
        <v>VIP Recognitioon &amp; Inclusivity</v>
      </c>
    </row>
    <row r="574" spans="1:28" x14ac:dyDescent="0.25">
      <c r="A574">
        <v>10311</v>
      </c>
      <c r="B574">
        <v>43</v>
      </c>
      <c r="C574">
        <v>122.76</v>
      </c>
      <c r="D574">
        <v>10</v>
      </c>
      <c r="E574">
        <v>5278.68</v>
      </c>
      <c r="F574" s="1">
        <v>43754</v>
      </c>
      <c r="G574" s="2" t="s">
        <v>19</v>
      </c>
      <c r="H574" s="2" t="s">
        <v>183</v>
      </c>
      <c r="I574">
        <v>132</v>
      </c>
      <c r="J574" s="2" t="s">
        <v>639</v>
      </c>
      <c r="K574" s="2" t="s">
        <v>175</v>
      </c>
      <c r="L574" s="2" t="s">
        <v>176</v>
      </c>
      <c r="M574" s="2" t="s">
        <v>177</v>
      </c>
      <c r="N574" s="2" t="s">
        <v>178</v>
      </c>
      <c r="O574" s="2" t="s">
        <v>179</v>
      </c>
      <c r="P574" s="2" t="s">
        <v>180</v>
      </c>
      <c r="Q574" s="2" t="s">
        <v>181</v>
      </c>
      <c r="R574" s="2" t="s">
        <v>182</v>
      </c>
      <c r="S574" s="2" t="s">
        <v>46</v>
      </c>
      <c r="T574">
        <v>1068</v>
      </c>
      <c r="U574">
        <f>VLOOKUP(Auto_Sales_data___Copy[[#This Row],[CUSTOMER_NAME]],$AF$2:$AH$90,2,FALSE)</f>
        <v>259</v>
      </c>
      <c r="V574">
        <f>VLOOKUP(Auto_Sales_data___Copy[[#This Row],[CUSTOMER_NAME]],$AF$2:$AH$90,3,FALSE)</f>
        <v>912294.1100000001</v>
      </c>
      <c r="W574" s="2">
        <f>6-MATCH(Auto_Sales_data___Copy[[#This Row],[DAYS_SINCE_LAST_ORDER]],Table2[R-Cutoff],1)</f>
        <v>4</v>
      </c>
      <c r="X574" s="2">
        <f>MATCH(Auto_Sales_data___Copy[[#This Row],[Total_Orders_Per_Customer]],Table2[F-Cutoff],1)</f>
        <v>5</v>
      </c>
      <c r="Y574" s="2">
        <f>MATCH(Auto_Sales_data___Copy[[#This Row],[Total_Sales_Per_Customer]],Table2[M-Cutoff],1)</f>
        <v>5</v>
      </c>
      <c r="Z574" s="2" t="str">
        <f>Auto_Sales_data___Copy[[#This Row],[R-Score(1-5)]]&amp;Auto_Sales_data___Copy[[#This Row],[F-Score(1-5)]]&amp;Auto_Sales_data___Copy[[#This Row],[M-Score(1-5)]]</f>
        <v>455</v>
      </c>
      <c r="AA574" s="2" t="str" cm="1">
        <f t="array" ref="AA5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4" s="2" t="str">
        <f>VLOOKUP(Auto_Sales_data___Copy[[#This Row],[Segment Name]],Table3[],2,FALSE)</f>
        <v>VIP Recognitioon &amp; Inclusivity</v>
      </c>
    </row>
    <row r="575" spans="1:28" x14ac:dyDescent="0.25">
      <c r="A575">
        <v>10311</v>
      </c>
      <c r="B575">
        <v>32</v>
      </c>
      <c r="C575">
        <v>113.02</v>
      </c>
      <c r="D575">
        <v>11</v>
      </c>
      <c r="E575">
        <v>3616.64</v>
      </c>
      <c r="F575" s="1">
        <v>43754</v>
      </c>
      <c r="G575" s="2" t="s">
        <v>19</v>
      </c>
      <c r="H575" s="2" t="s">
        <v>183</v>
      </c>
      <c r="I575">
        <v>141</v>
      </c>
      <c r="J575" s="2" t="s">
        <v>655</v>
      </c>
      <c r="K575" s="2" t="s">
        <v>175</v>
      </c>
      <c r="L575" s="2" t="s">
        <v>176</v>
      </c>
      <c r="M575" s="2" t="s">
        <v>177</v>
      </c>
      <c r="N575" s="2" t="s">
        <v>178</v>
      </c>
      <c r="O575" s="2" t="s">
        <v>179</v>
      </c>
      <c r="P575" s="2" t="s">
        <v>180</v>
      </c>
      <c r="Q575" s="2" t="s">
        <v>181</v>
      </c>
      <c r="R575" s="2" t="s">
        <v>182</v>
      </c>
      <c r="S575" s="2" t="s">
        <v>46</v>
      </c>
      <c r="T575">
        <v>1365</v>
      </c>
      <c r="U575">
        <f>VLOOKUP(Auto_Sales_data___Copy[[#This Row],[CUSTOMER_NAME]],$AF$2:$AH$90,2,FALSE)</f>
        <v>259</v>
      </c>
      <c r="V575">
        <f>VLOOKUP(Auto_Sales_data___Copy[[#This Row],[CUSTOMER_NAME]],$AF$2:$AH$90,3,FALSE)</f>
        <v>912294.1100000001</v>
      </c>
      <c r="W575" s="2">
        <f>6-MATCH(Auto_Sales_data___Copy[[#This Row],[DAYS_SINCE_LAST_ORDER]],Table2[R-Cutoff],1)</f>
        <v>4</v>
      </c>
      <c r="X575" s="2">
        <f>MATCH(Auto_Sales_data___Copy[[#This Row],[Total_Orders_Per_Customer]],Table2[F-Cutoff],1)</f>
        <v>5</v>
      </c>
      <c r="Y575" s="2">
        <f>MATCH(Auto_Sales_data___Copy[[#This Row],[Total_Sales_Per_Customer]],Table2[M-Cutoff],1)</f>
        <v>5</v>
      </c>
      <c r="Z575" s="2" t="str">
        <f>Auto_Sales_data___Copy[[#This Row],[R-Score(1-5)]]&amp;Auto_Sales_data___Copy[[#This Row],[F-Score(1-5)]]&amp;Auto_Sales_data___Copy[[#This Row],[M-Score(1-5)]]</f>
        <v>455</v>
      </c>
      <c r="AA575" s="2" t="str" cm="1">
        <f t="array" ref="AA5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5" s="2" t="str">
        <f>VLOOKUP(Auto_Sales_data___Copy[[#This Row],[Segment Name]],Table3[],2,FALSE)</f>
        <v>VIP Recognitioon &amp; Inclusivity</v>
      </c>
    </row>
    <row r="576" spans="1:28" x14ac:dyDescent="0.25">
      <c r="A576">
        <v>10311</v>
      </c>
      <c r="B576">
        <v>41</v>
      </c>
      <c r="C576">
        <v>81.91</v>
      </c>
      <c r="D576">
        <v>1</v>
      </c>
      <c r="E576">
        <v>3358.31</v>
      </c>
      <c r="F576" s="1">
        <v>43754</v>
      </c>
      <c r="G576" s="2" t="s">
        <v>19</v>
      </c>
      <c r="H576" s="2" t="s">
        <v>589</v>
      </c>
      <c r="I576">
        <v>92</v>
      </c>
      <c r="J576" s="2" t="s">
        <v>659</v>
      </c>
      <c r="K576" s="2" t="s">
        <v>175</v>
      </c>
      <c r="L576" s="2" t="s">
        <v>176</v>
      </c>
      <c r="M576" s="2" t="s">
        <v>177</v>
      </c>
      <c r="N576" s="2" t="s">
        <v>178</v>
      </c>
      <c r="O576" s="2" t="s">
        <v>179</v>
      </c>
      <c r="P576" s="2" t="s">
        <v>180</v>
      </c>
      <c r="Q576" s="2" t="s">
        <v>181</v>
      </c>
      <c r="R576" s="2" t="s">
        <v>182</v>
      </c>
      <c r="S576" s="2" t="s">
        <v>46</v>
      </c>
      <c r="T576">
        <v>1462</v>
      </c>
      <c r="U576">
        <f>VLOOKUP(Auto_Sales_data___Copy[[#This Row],[CUSTOMER_NAME]],$AF$2:$AH$90,2,FALSE)</f>
        <v>259</v>
      </c>
      <c r="V576">
        <f>VLOOKUP(Auto_Sales_data___Copy[[#This Row],[CUSTOMER_NAME]],$AF$2:$AH$90,3,FALSE)</f>
        <v>912294.1100000001</v>
      </c>
      <c r="W576" s="2">
        <f>6-MATCH(Auto_Sales_data___Copy[[#This Row],[DAYS_SINCE_LAST_ORDER]],Table2[R-Cutoff],1)</f>
        <v>4</v>
      </c>
      <c r="X576" s="2">
        <f>MATCH(Auto_Sales_data___Copy[[#This Row],[Total_Orders_Per_Customer]],Table2[F-Cutoff],1)</f>
        <v>5</v>
      </c>
      <c r="Y576" s="2">
        <f>MATCH(Auto_Sales_data___Copy[[#This Row],[Total_Sales_Per_Customer]],Table2[M-Cutoff],1)</f>
        <v>5</v>
      </c>
      <c r="Z576" s="2" t="str">
        <f>Auto_Sales_data___Copy[[#This Row],[R-Score(1-5)]]&amp;Auto_Sales_data___Copy[[#This Row],[F-Score(1-5)]]&amp;Auto_Sales_data___Copy[[#This Row],[M-Score(1-5)]]</f>
        <v>455</v>
      </c>
      <c r="AA576" s="2" t="str" cm="1">
        <f t="array" ref="AA5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6" s="2" t="str">
        <f>VLOOKUP(Auto_Sales_data___Copy[[#This Row],[Segment Name]],Table3[],2,FALSE)</f>
        <v>VIP Recognitioon &amp; Inclusivity</v>
      </c>
    </row>
    <row r="577" spans="1:28" x14ac:dyDescent="0.25">
      <c r="A577">
        <v>10350</v>
      </c>
      <c r="B577">
        <v>43</v>
      </c>
      <c r="C577">
        <v>64.97</v>
      </c>
      <c r="D577">
        <v>6</v>
      </c>
      <c r="E577">
        <v>2793.71</v>
      </c>
      <c r="F577" s="1">
        <v>43801</v>
      </c>
      <c r="G577" s="2" t="s">
        <v>19</v>
      </c>
      <c r="H577" s="2" t="s">
        <v>642</v>
      </c>
      <c r="I577">
        <v>86</v>
      </c>
      <c r="J577" s="2" t="s">
        <v>643</v>
      </c>
      <c r="K577" s="2" t="s">
        <v>175</v>
      </c>
      <c r="L577" s="2" t="s">
        <v>176</v>
      </c>
      <c r="M577" s="2" t="s">
        <v>177</v>
      </c>
      <c r="N577" s="2" t="s">
        <v>178</v>
      </c>
      <c r="O577" s="2" t="s">
        <v>179</v>
      </c>
      <c r="P577" s="2" t="s">
        <v>180</v>
      </c>
      <c r="Q577" s="2" t="s">
        <v>181</v>
      </c>
      <c r="R577" s="2" t="s">
        <v>182</v>
      </c>
      <c r="S577" s="2" t="s">
        <v>30</v>
      </c>
      <c r="T577">
        <v>1098</v>
      </c>
      <c r="U577">
        <f>VLOOKUP(Auto_Sales_data___Copy[[#This Row],[CUSTOMER_NAME]],$AF$2:$AH$90,2,FALSE)</f>
        <v>259</v>
      </c>
      <c r="V577">
        <f>VLOOKUP(Auto_Sales_data___Copy[[#This Row],[CUSTOMER_NAME]],$AF$2:$AH$90,3,FALSE)</f>
        <v>912294.1100000001</v>
      </c>
      <c r="W577" s="2">
        <f>6-MATCH(Auto_Sales_data___Copy[[#This Row],[DAYS_SINCE_LAST_ORDER]],Table2[R-Cutoff],1)</f>
        <v>4</v>
      </c>
      <c r="X577" s="2">
        <f>MATCH(Auto_Sales_data___Copy[[#This Row],[Total_Orders_Per_Customer]],Table2[F-Cutoff],1)</f>
        <v>5</v>
      </c>
      <c r="Y577" s="2">
        <f>MATCH(Auto_Sales_data___Copy[[#This Row],[Total_Sales_Per_Customer]],Table2[M-Cutoff],1)</f>
        <v>5</v>
      </c>
      <c r="Z577" s="2" t="str">
        <f>Auto_Sales_data___Copy[[#This Row],[R-Score(1-5)]]&amp;Auto_Sales_data___Copy[[#This Row],[F-Score(1-5)]]&amp;Auto_Sales_data___Copy[[#This Row],[M-Score(1-5)]]</f>
        <v>455</v>
      </c>
      <c r="AA577" s="2" t="str" cm="1">
        <f t="array" ref="AA5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7" s="2" t="str">
        <f>VLOOKUP(Auto_Sales_data___Copy[[#This Row],[Segment Name]],Table3[],2,FALSE)</f>
        <v>VIP Recognitioon &amp; Inclusivity</v>
      </c>
    </row>
    <row r="578" spans="1:28" x14ac:dyDescent="0.25">
      <c r="A578">
        <v>10350</v>
      </c>
      <c r="B578">
        <v>44</v>
      </c>
      <c r="C578">
        <v>117.98</v>
      </c>
      <c r="D578">
        <v>1</v>
      </c>
      <c r="E578">
        <v>5191.12</v>
      </c>
      <c r="F578" s="1">
        <v>43801</v>
      </c>
      <c r="G578" s="2" t="s">
        <v>19</v>
      </c>
      <c r="H578" s="2" t="s">
        <v>589</v>
      </c>
      <c r="I578">
        <v>136</v>
      </c>
      <c r="J578" s="2" t="s">
        <v>648</v>
      </c>
      <c r="K578" s="2" t="s">
        <v>175</v>
      </c>
      <c r="L578" s="2" t="s">
        <v>176</v>
      </c>
      <c r="M578" s="2" t="s">
        <v>177</v>
      </c>
      <c r="N578" s="2" t="s">
        <v>178</v>
      </c>
      <c r="O578" s="2" t="s">
        <v>179</v>
      </c>
      <c r="P578" s="2" t="s">
        <v>180</v>
      </c>
      <c r="Q578" s="2" t="s">
        <v>181</v>
      </c>
      <c r="R578" s="2" t="s">
        <v>182</v>
      </c>
      <c r="S578" s="2" t="s">
        <v>46</v>
      </c>
      <c r="T578">
        <v>1149</v>
      </c>
      <c r="U578">
        <f>VLOOKUP(Auto_Sales_data___Copy[[#This Row],[CUSTOMER_NAME]],$AF$2:$AH$90,2,FALSE)</f>
        <v>259</v>
      </c>
      <c r="V578">
        <f>VLOOKUP(Auto_Sales_data___Copy[[#This Row],[CUSTOMER_NAME]],$AF$2:$AH$90,3,FALSE)</f>
        <v>912294.1100000001</v>
      </c>
      <c r="W578" s="2">
        <f>6-MATCH(Auto_Sales_data___Copy[[#This Row],[DAYS_SINCE_LAST_ORDER]],Table2[R-Cutoff],1)</f>
        <v>4</v>
      </c>
      <c r="X578" s="2">
        <f>MATCH(Auto_Sales_data___Copy[[#This Row],[Total_Orders_Per_Customer]],Table2[F-Cutoff],1)</f>
        <v>5</v>
      </c>
      <c r="Y578" s="2">
        <f>MATCH(Auto_Sales_data___Copy[[#This Row],[Total_Sales_Per_Customer]],Table2[M-Cutoff],1)</f>
        <v>5</v>
      </c>
      <c r="Z578" s="2" t="str">
        <f>Auto_Sales_data___Copy[[#This Row],[R-Score(1-5)]]&amp;Auto_Sales_data___Copy[[#This Row],[F-Score(1-5)]]&amp;Auto_Sales_data___Copy[[#This Row],[M-Score(1-5)]]</f>
        <v>455</v>
      </c>
      <c r="AA578" s="2" t="str" cm="1">
        <f t="array" ref="AA5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8" s="2" t="str">
        <f>VLOOKUP(Auto_Sales_data___Copy[[#This Row],[Segment Name]],Table3[],2,FALSE)</f>
        <v>VIP Recognitioon &amp; Inclusivity</v>
      </c>
    </row>
    <row r="579" spans="1:28" x14ac:dyDescent="0.25">
      <c r="A579">
        <v>10350</v>
      </c>
      <c r="B579">
        <v>41</v>
      </c>
      <c r="C579">
        <v>93.04</v>
      </c>
      <c r="D579">
        <v>2</v>
      </c>
      <c r="E579">
        <v>3814.64</v>
      </c>
      <c r="F579" s="1">
        <v>43801</v>
      </c>
      <c r="G579" s="2" t="s">
        <v>19</v>
      </c>
      <c r="H579" s="2" t="s">
        <v>650</v>
      </c>
      <c r="I579">
        <v>100</v>
      </c>
      <c r="J579" s="2" t="s">
        <v>651</v>
      </c>
      <c r="K579" s="2" t="s">
        <v>175</v>
      </c>
      <c r="L579" s="2" t="s">
        <v>176</v>
      </c>
      <c r="M579" s="2" t="s">
        <v>177</v>
      </c>
      <c r="N579" s="2" t="s">
        <v>178</v>
      </c>
      <c r="O579" s="2" t="s">
        <v>179</v>
      </c>
      <c r="P579" s="2" t="s">
        <v>180</v>
      </c>
      <c r="Q579" s="2" t="s">
        <v>181</v>
      </c>
      <c r="R579" s="2" t="s">
        <v>182</v>
      </c>
      <c r="S579" s="2" t="s">
        <v>46</v>
      </c>
      <c r="T579">
        <v>1225</v>
      </c>
      <c r="U579">
        <f>VLOOKUP(Auto_Sales_data___Copy[[#This Row],[CUSTOMER_NAME]],$AF$2:$AH$90,2,FALSE)</f>
        <v>259</v>
      </c>
      <c r="V579">
        <f>VLOOKUP(Auto_Sales_data___Copy[[#This Row],[CUSTOMER_NAME]],$AF$2:$AH$90,3,FALSE)</f>
        <v>912294.1100000001</v>
      </c>
      <c r="W579" s="2">
        <f>6-MATCH(Auto_Sales_data___Copy[[#This Row],[DAYS_SINCE_LAST_ORDER]],Table2[R-Cutoff],1)</f>
        <v>4</v>
      </c>
      <c r="X579" s="2">
        <f>MATCH(Auto_Sales_data___Copy[[#This Row],[Total_Orders_Per_Customer]],Table2[F-Cutoff],1)</f>
        <v>5</v>
      </c>
      <c r="Y579" s="2">
        <f>MATCH(Auto_Sales_data___Copy[[#This Row],[Total_Sales_Per_Customer]],Table2[M-Cutoff],1)</f>
        <v>5</v>
      </c>
      <c r="Z579" s="2" t="str">
        <f>Auto_Sales_data___Copy[[#This Row],[R-Score(1-5)]]&amp;Auto_Sales_data___Copy[[#This Row],[F-Score(1-5)]]&amp;Auto_Sales_data___Copy[[#This Row],[M-Score(1-5)]]</f>
        <v>455</v>
      </c>
      <c r="AA579" s="2" t="str" cm="1">
        <f t="array" ref="AA5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9" s="2" t="str">
        <f>VLOOKUP(Auto_Sales_data___Copy[[#This Row],[Segment Name]],Table3[],2,FALSE)</f>
        <v>VIP Recognitioon &amp; Inclusivity</v>
      </c>
    </row>
    <row r="580" spans="1:28" x14ac:dyDescent="0.25">
      <c r="A580">
        <v>10350</v>
      </c>
      <c r="B580">
        <v>30</v>
      </c>
      <c r="C580">
        <v>100.77</v>
      </c>
      <c r="D580">
        <v>3</v>
      </c>
      <c r="E580">
        <v>3023.1</v>
      </c>
      <c r="F580" s="1">
        <v>43801</v>
      </c>
      <c r="G580" s="2" t="s">
        <v>19</v>
      </c>
      <c r="H580" s="2" t="s">
        <v>589</v>
      </c>
      <c r="I580">
        <v>87</v>
      </c>
      <c r="J580" s="2" t="s">
        <v>660</v>
      </c>
      <c r="K580" s="2" t="s">
        <v>175</v>
      </c>
      <c r="L580" s="2" t="s">
        <v>176</v>
      </c>
      <c r="M580" s="2" t="s">
        <v>177</v>
      </c>
      <c r="N580" s="2" t="s">
        <v>178</v>
      </c>
      <c r="O580" s="2" t="s">
        <v>179</v>
      </c>
      <c r="P580" s="2" t="s">
        <v>180</v>
      </c>
      <c r="Q580" s="2" t="s">
        <v>181</v>
      </c>
      <c r="R580" s="2" t="s">
        <v>182</v>
      </c>
      <c r="S580" s="2" t="s">
        <v>46</v>
      </c>
      <c r="T580">
        <v>1443</v>
      </c>
      <c r="U580">
        <f>VLOOKUP(Auto_Sales_data___Copy[[#This Row],[CUSTOMER_NAME]],$AF$2:$AH$90,2,FALSE)</f>
        <v>259</v>
      </c>
      <c r="V580">
        <f>VLOOKUP(Auto_Sales_data___Copy[[#This Row],[CUSTOMER_NAME]],$AF$2:$AH$90,3,FALSE)</f>
        <v>912294.1100000001</v>
      </c>
      <c r="W580" s="2">
        <f>6-MATCH(Auto_Sales_data___Copy[[#This Row],[DAYS_SINCE_LAST_ORDER]],Table2[R-Cutoff],1)</f>
        <v>4</v>
      </c>
      <c r="X580" s="2">
        <f>MATCH(Auto_Sales_data___Copy[[#This Row],[Total_Orders_Per_Customer]],Table2[F-Cutoff],1)</f>
        <v>5</v>
      </c>
      <c r="Y580" s="2">
        <f>MATCH(Auto_Sales_data___Copy[[#This Row],[Total_Sales_Per_Customer]],Table2[M-Cutoff],1)</f>
        <v>5</v>
      </c>
      <c r="Z580" s="2" t="str">
        <f>Auto_Sales_data___Copy[[#This Row],[R-Score(1-5)]]&amp;Auto_Sales_data___Copy[[#This Row],[F-Score(1-5)]]&amp;Auto_Sales_data___Copy[[#This Row],[M-Score(1-5)]]</f>
        <v>455</v>
      </c>
      <c r="AA580" s="2" t="str" cm="1">
        <f t="array" ref="AA5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0" s="2" t="str">
        <f>VLOOKUP(Auto_Sales_data___Copy[[#This Row],[Segment Name]],Table3[],2,FALSE)</f>
        <v>VIP Recognitioon &amp; Inclusivity</v>
      </c>
    </row>
    <row r="581" spans="1:28" x14ac:dyDescent="0.25">
      <c r="A581">
        <v>10355</v>
      </c>
      <c r="B581">
        <v>23</v>
      </c>
      <c r="C581">
        <v>138.16999999999999</v>
      </c>
      <c r="D581">
        <v>7</v>
      </c>
      <c r="E581">
        <v>3177.91</v>
      </c>
      <c r="F581" s="1">
        <v>43806</v>
      </c>
      <c r="G581" s="2" t="s">
        <v>19</v>
      </c>
      <c r="H581" s="2" t="s">
        <v>183</v>
      </c>
      <c r="I581">
        <v>146</v>
      </c>
      <c r="J581" s="2" t="s">
        <v>654</v>
      </c>
      <c r="K581" s="2" t="s">
        <v>175</v>
      </c>
      <c r="L581" s="2" t="s">
        <v>176</v>
      </c>
      <c r="M581" s="2" t="s">
        <v>177</v>
      </c>
      <c r="N581" s="2" t="s">
        <v>178</v>
      </c>
      <c r="O581" s="2" t="s">
        <v>179</v>
      </c>
      <c r="P581" s="2" t="s">
        <v>180</v>
      </c>
      <c r="Q581" s="2" t="s">
        <v>181</v>
      </c>
      <c r="R581" s="2" t="s">
        <v>182</v>
      </c>
      <c r="S581" s="2" t="s">
        <v>46</v>
      </c>
      <c r="T581">
        <v>1292</v>
      </c>
      <c r="U581">
        <f>VLOOKUP(Auto_Sales_data___Copy[[#This Row],[CUSTOMER_NAME]],$AF$2:$AH$90,2,FALSE)</f>
        <v>259</v>
      </c>
      <c r="V581">
        <f>VLOOKUP(Auto_Sales_data___Copy[[#This Row],[CUSTOMER_NAME]],$AF$2:$AH$90,3,FALSE)</f>
        <v>912294.1100000001</v>
      </c>
      <c r="W581" s="2">
        <f>6-MATCH(Auto_Sales_data___Copy[[#This Row],[DAYS_SINCE_LAST_ORDER]],Table2[R-Cutoff],1)</f>
        <v>4</v>
      </c>
      <c r="X581" s="2">
        <f>MATCH(Auto_Sales_data___Copy[[#This Row],[Total_Orders_Per_Customer]],Table2[F-Cutoff],1)</f>
        <v>5</v>
      </c>
      <c r="Y581" s="2">
        <f>MATCH(Auto_Sales_data___Copy[[#This Row],[Total_Sales_Per_Customer]],Table2[M-Cutoff],1)</f>
        <v>5</v>
      </c>
      <c r="Z581" s="2" t="str">
        <f>Auto_Sales_data___Copy[[#This Row],[R-Score(1-5)]]&amp;Auto_Sales_data___Copy[[#This Row],[F-Score(1-5)]]&amp;Auto_Sales_data___Copy[[#This Row],[M-Score(1-5)]]</f>
        <v>455</v>
      </c>
      <c r="AA581" s="2" t="str" cm="1">
        <f t="array" ref="AA5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1" s="2" t="str">
        <f>VLOOKUP(Auto_Sales_data___Copy[[#This Row],[Segment Name]],Table3[],2,FALSE)</f>
        <v>VIP Recognitioon &amp; Inclusivity</v>
      </c>
    </row>
    <row r="582" spans="1:28" x14ac:dyDescent="0.25">
      <c r="A582">
        <v>10355</v>
      </c>
      <c r="B582">
        <v>31</v>
      </c>
      <c r="C582">
        <v>53.47</v>
      </c>
      <c r="D582">
        <v>1</v>
      </c>
      <c r="E582">
        <v>1657.57</v>
      </c>
      <c r="F582" s="1">
        <v>43806</v>
      </c>
      <c r="G582" s="2" t="s">
        <v>19</v>
      </c>
      <c r="H582" s="2" t="s">
        <v>20</v>
      </c>
      <c r="I582">
        <v>62</v>
      </c>
      <c r="J582" s="2" t="s">
        <v>656</v>
      </c>
      <c r="K582" s="2" t="s">
        <v>175</v>
      </c>
      <c r="L582" s="2" t="s">
        <v>176</v>
      </c>
      <c r="M582" s="2" t="s">
        <v>177</v>
      </c>
      <c r="N582" s="2" t="s">
        <v>178</v>
      </c>
      <c r="O582" s="2" t="s">
        <v>179</v>
      </c>
      <c r="P582" s="2" t="s">
        <v>180</v>
      </c>
      <c r="Q582" s="2" t="s">
        <v>181</v>
      </c>
      <c r="R582" s="2" t="s">
        <v>182</v>
      </c>
      <c r="S582" s="2" t="s">
        <v>30</v>
      </c>
      <c r="T582">
        <v>1340</v>
      </c>
      <c r="U582">
        <f>VLOOKUP(Auto_Sales_data___Copy[[#This Row],[CUSTOMER_NAME]],$AF$2:$AH$90,2,FALSE)</f>
        <v>259</v>
      </c>
      <c r="V582">
        <f>VLOOKUP(Auto_Sales_data___Copy[[#This Row],[CUSTOMER_NAME]],$AF$2:$AH$90,3,FALSE)</f>
        <v>912294.1100000001</v>
      </c>
      <c r="W582" s="2">
        <f>6-MATCH(Auto_Sales_data___Copy[[#This Row],[DAYS_SINCE_LAST_ORDER]],Table2[R-Cutoff],1)</f>
        <v>4</v>
      </c>
      <c r="X582" s="2">
        <f>MATCH(Auto_Sales_data___Copy[[#This Row],[Total_Orders_Per_Customer]],Table2[F-Cutoff],1)</f>
        <v>5</v>
      </c>
      <c r="Y582" s="2">
        <f>MATCH(Auto_Sales_data___Copy[[#This Row],[Total_Sales_Per_Customer]],Table2[M-Cutoff],1)</f>
        <v>5</v>
      </c>
      <c r="Z582" s="2" t="str">
        <f>Auto_Sales_data___Copy[[#This Row],[R-Score(1-5)]]&amp;Auto_Sales_data___Copy[[#This Row],[F-Score(1-5)]]&amp;Auto_Sales_data___Copy[[#This Row],[M-Score(1-5)]]</f>
        <v>455</v>
      </c>
      <c r="AA582" s="2" t="str" cm="1">
        <f t="array" ref="AA5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2" s="2" t="str">
        <f>VLOOKUP(Auto_Sales_data___Copy[[#This Row],[Segment Name]],Table3[],2,FALSE)</f>
        <v>VIP Recognitioon &amp; Inclusivity</v>
      </c>
    </row>
    <row r="583" spans="1:28" x14ac:dyDescent="0.25">
      <c r="A583">
        <v>10358</v>
      </c>
      <c r="B583">
        <v>32</v>
      </c>
      <c r="C583">
        <v>93.49</v>
      </c>
      <c r="D583">
        <v>12</v>
      </c>
      <c r="E583">
        <v>2991.68</v>
      </c>
      <c r="F583" s="1">
        <v>43809</v>
      </c>
      <c r="G583" s="2" t="s">
        <v>19</v>
      </c>
      <c r="H583" s="2" t="s">
        <v>183</v>
      </c>
      <c r="I583">
        <v>169</v>
      </c>
      <c r="J583" s="2" t="s">
        <v>649</v>
      </c>
      <c r="K583" s="2" t="s">
        <v>175</v>
      </c>
      <c r="L583" s="2" t="s">
        <v>176</v>
      </c>
      <c r="M583" s="2" t="s">
        <v>177</v>
      </c>
      <c r="N583" s="2" t="s">
        <v>178</v>
      </c>
      <c r="O583" s="2" t="s">
        <v>179</v>
      </c>
      <c r="P583" s="2" t="s">
        <v>180</v>
      </c>
      <c r="Q583" s="2" t="s">
        <v>181</v>
      </c>
      <c r="R583" s="2" t="s">
        <v>182</v>
      </c>
      <c r="S583" s="2" t="s">
        <v>30</v>
      </c>
      <c r="T583">
        <v>1187</v>
      </c>
      <c r="U583">
        <f>VLOOKUP(Auto_Sales_data___Copy[[#This Row],[CUSTOMER_NAME]],$AF$2:$AH$90,2,FALSE)</f>
        <v>259</v>
      </c>
      <c r="V583">
        <f>VLOOKUP(Auto_Sales_data___Copy[[#This Row],[CUSTOMER_NAME]],$AF$2:$AH$90,3,FALSE)</f>
        <v>912294.1100000001</v>
      </c>
      <c r="W583" s="2">
        <f>6-MATCH(Auto_Sales_data___Copy[[#This Row],[DAYS_SINCE_LAST_ORDER]],Table2[R-Cutoff],1)</f>
        <v>4</v>
      </c>
      <c r="X583" s="2">
        <f>MATCH(Auto_Sales_data___Copy[[#This Row],[Total_Orders_Per_Customer]],Table2[F-Cutoff],1)</f>
        <v>5</v>
      </c>
      <c r="Y583" s="2">
        <f>MATCH(Auto_Sales_data___Copy[[#This Row],[Total_Sales_Per_Customer]],Table2[M-Cutoff],1)</f>
        <v>5</v>
      </c>
      <c r="Z583" s="2" t="str">
        <f>Auto_Sales_data___Copy[[#This Row],[R-Score(1-5)]]&amp;Auto_Sales_data___Copy[[#This Row],[F-Score(1-5)]]&amp;Auto_Sales_data___Copy[[#This Row],[M-Score(1-5)]]</f>
        <v>455</v>
      </c>
      <c r="AA583" s="2" t="str" cm="1">
        <f t="array" ref="AA5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3" s="2" t="str">
        <f>VLOOKUP(Auto_Sales_data___Copy[[#This Row],[Segment Name]],Table3[],2,FALSE)</f>
        <v>VIP Recognitioon &amp; Inclusivity</v>
      </c>
    </row>
    <row r="584" spans="1:28" x14ac:dyDescent="0.25">
      <c r="A584">
        <v>10358</v>
      </c>
      <c r="B584">
        <v>25</v>
      </c>
      <c r="C584">
        <v>101.13</v>
      </c>
      <c r="D584">
        <v>13</v>
      </c>
      <c r="E584">
        <v>2528.25</v>
      </c>
      <c r="F584" s="1">
        <v>43809</v>
      </c>
      <c r="G584" s="2" t="s">
        <v>19</v>
      </c>
      <c r="H584" s="2" t="s">
        <v>183</v>
      </c>
      <c r="I584">
        <v>143</v>
      </c>
      <c r="J584" s="2" t="s">
        <v>658</v>
      </c>
      <c r="K584" s="2" t="s">
        <v>175</v>
      </c>
      <c r="L584" s="2" t="s">
        <v>176</v>
      </c>
      <c r="M584" s="2" t="s">
        <v>177</v>
      </c>
      <c r="N584" s="2" t="s">
        <v>178</v>
      </c>
      <c r="O584" s="2" t="s">
        <v>179</v>
      </c>
      <c r="P584" s="2" t="s">
        <v>180</v>
      </c>
      <c r="Q584" s="2" t="s">
        <v>181</v>
      </c>
      <c r="R584" s="2" t="s">
        <v>182</v>
      </c>
      <c r="S584" s="2" t="s">
        <v>30</v>
      </c>
      <c r="T584">
        <v>1388</v>
      </c>
      <c r="U584">
        <f>VLOOKUP(Auto_Sales_data___Copy[[#This Row],[CUSTOMER_NAME]],$AF$2:$AH$90,2,FALSE)</f>
        <v>259</v>
      </c>
      <c r="V584">
        <f>VLOOKUP(Auto_Sales_data___Copy[[#This Row],[CUSTOMER_NAME]],$AF$2:$AH$90,3,FALSE)</f>
        <v>912294.1100000001</v>
      </c>
      <c r="W584" s="2">
        <f>6-MATCH(Auto_Sales_data___Copy[[#This Row],[DAYS_SINCE_LAST_ORDER]],Table2[R-Cutoff],1)</f>
        <v>4</v>
      </c>
      <c r="X584" s="2">
        <f>MATCH(Auto_Sales_data___Copy[[#This Row],[Total_Orders_Per_Customer]],Table2[F-Cutoff],1)</f>
        <v>5</v>
      </c>
      <c r="Y584" s="2">
        <f>MATCH(Auto_Sales_data___Copy[[#This Row],[Total_Sales_Per_Customer]],Table2[M-Cutoff],1)</f>
        <v>5</v>
      </c>
      <c r="Z584" s="2" t="str">
        <f>Auto_Sales_data___Copy[[#This Row],[R-Score(1-5)]]&amp;Auto_Sales_data___Copy[[#This Row],[F-Score(1-5)]]&amp;Auto_Sales_data___Copy[[#This Row],[M-Score(1-5)]]</f>
        <v>455</v>
      </c>
      <c r="AA584" s="2" t="str" cm="1">
        <f t="array" ref="AA5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4" s="2" t="str">
        <f>VLOOKUP(Auto_Sales_data___Copy[[#This Row],[Segment Name]],Table3[],2,FALSE)</f>
        <v>VIP Recognitioon &amp; Inclusivity</v>
      </c>
    </row>
    <row r="585" spans="1:28" x14ac:dyDescent="0.25">
      <c r="A585">
        <v>10358</v>
      </c>
      <c r="B585">
        <v>30</v>
      </c>
      <c r="C585">
        <v>176.76</v>
      </c>
      <c r="D585">
        <v>8</v>
      </c>
      <c r="E585">
        <v>5302.8</v>
      </c>
      <c r="F585" s="1">
        <v>43809</v>
      </c>
      <c r="G585" s="2" t="s">
        <v>19</v>
      </c>
      <c r="H585" s="2" t="s">
        <v>589</v>
      </c>
      <c r="I585">
        <v>50</v>
      </c>
      <c r="J585" s="2" t="s">
        <v>662</v>
      </c>
      <c r="K585" s="2" t="s">
        <v>175</v>
      </c>
      <c r="L585" s="2" t="s">
        <v>176</v>
      </c>
      <c r="M585" s="2" t="s">
        <v>177</v>
      </c>
      <c r="N585" s="2" t="s">
        <v>178</v>
      </c>
      <c r="O585" s="2" t="s">
        <v>179</v>
      </c>
      <c r="P585" s="2" t="s">
        <v>180</v>
      </c>
      <c r="Q585" s="2" t="s">
        <v>181</v>
      </c>
      <c r="R585" s="2" t="s">
        <v>182</v>
      </c>
      <c r="S585" s="2" t="s">
        <v>46</v>
      </c>
      <c r="T585">
        <v>1488</v>
      </c>
      <c r="U585">
        <f>VLOOKUP(Auto_Sales_data___Copy[[#This Row],[CUSTOMER_NAME]],$AF$2:$AH$90,2,FALSE)</f>
        <v>259</v>
      </c>
      <c r="V585">
        <f>VLOOKUP(Auto_Sales_data___Copy[[#This Row],[CUSTOMER_NAME]],$AF$2:$AH$90,3,FALSE)</f>
        <v>912294.1100000001</v>
      </c>
      <c r="W585" s="2">
        <f>6-MATCH(Auto_Sales_data___Copy[[#This Row],[DAYS_SINCE_LAST_ORDER]],Table2[R-Cutoff],1)</f>
        <v>4</v>
      </c>
      <c r="X585" s="2">
        <f>MATCH(Auto_Sales_data___Copy[[#This Row],[Total_Orders_Per_Customer]],Table2[F-Cutoff],1)</f>
        <v>5</v>
      </c>
      <c r="Y585" s="2">
        <f>MATCH(Auto_Sales_data___Copy[[#This Row],[Total_Sales_Per_Customer]],Table2[M-Cutoff],1)</f>
        <v>5</v>
      </c>
      <c r="Z585" s="2" t="str">
        <f>Auto_Sales_data___Copy[[#This Row],[R-Score(1-5)]]&amp;Auto_Sales_data___Copy[[#This Row],[F-Score(1-5)]]&amp;Auto_Sales_data___Copy[[#This Row],[M-Score(1-5)]]</f>
        <v>455</v>
      </c>
      <c r="AA585" s="2" t="str" cm="1">
        <f t="array" ref="AA5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5" s="2" t="str">
        <f>VLOOKUP(Auto_Sales_data___Copy[[#This Row],[Segment Name]],Table3[],2,FALSE)</f>
        <v>VIP Recognitioon &amp; Inclusivity</v>
      </c>
    </row>
    <row r="586" spans="1:28" x14ac:dyDescent="0.25">
      <c r="A586">
        <v>10379</v>
      </c>
      <c r="B586">
        <v>29</v>
      </c>
      <c r="C586">
        <v>176.8</v>
      </c>
      <c r="D586">
        <v>5</v>
      </c>
      <c r="E586">
        <v>5127.2</v>
      </c>
      <c r="F586" s="1">
        <v>43871</v>
      </c>
      <c r="G586" s="2" t="s">
        <v>19</v>
      </c>
      <c r="H586" s="2" t="s">
        <v>183</v>
      </c>
      <c r="I586">
        <v>132</v>
      </c>
      <c r="J586" s="2" t="s">
        <v>639</v>
      </c>
      <c r="K586" s="2" t="s">
        <v>175</v>
      </c>
      <c r="L586" s="2" t="s">
        <v>176</v>
      </c>
      <c r="M586" s="2" t="s">
        <v>177</v>
      </c>
      <c r="N586" s="2" t="s">
        <v>178</v>
      </c>
      <c r="O586" s="2" t="s">
        <v>179</v>
      </c>
      <c r="P586" s="2" t="s">
        <v>180</v>
      </c>
      <c r="Q586" s="2" t="s">
        <v>181</v>
      </c>
      <c r="R586" s="2" t="s">
        <v>182</v>
      </c>
      <c r="S586" s="2" t="s">
        <v>46</v>
      </c>
      <c r="T586">
        <v>956</v>
      </c>
      <c r="U586">
        <f>VLOOKUP(Auto_Sales_data___Copy[[#This Row],[CUSTOMER_NAME]],$AF$2:$AH$90,2,FALSE)</f>
        <v>259</v>
      </c>
      <c r="V586">
        <f>VLOOKUP(Auto_Sales_data___Copy[[#This Row],[CUSTOMER_NAME]],$AF$2:$AH$90,3,FALSE)</f>
        <v>912294.1100000001</v>
      </c>
      <c r="W586" s="2">
        <f>6-MATCH(Auto_Sales_data___Copy[[#This Row],[DAYS_SINCE_LAST_ORDER]],Table2[R-Cutoff],1)</f>
        <v>4</v>
      </c>
      <c r="X586" s="2">
        <f>MATCH(Auto_Sales_data___Copy[[#This Row],[Total_Orders_Per_Customer]],Table2[F-Cutoff],1)</f>
        <v>5</v>
      </c>
      <c r="Y586" s="2">
        <f>MATCH(Auto_Sales_data___Copy[[#This Row],[Total_Sales_Per_Customer]],Table2[M-Cutoff],1)</f>
        <v>5</v>
      </c>
      <c r="Z586" s="2" t="str">
        <f>Auto_Sales_data___Copy[[#This Row],[R-Score(1-5)]]&amp;Auto_Sales_data___Copy[[#This Row],[F-Score(1-5)]]&amp;Auto_Sales_data___Copy[[#This Row],[M-Score(1-5)]]</f>
        <v>455</v>
      </c>
      <c r="AA586" s="2" t="str" cm="1">
        <f t="array" ref="AA5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6" s="2" t="str">
        <f>VLOOKUP(Auto_Sales_data___Copy[[#This Row],[Segment Name]],Table3[],2,FALSE)</f>
        <v>VIP Recognitioon &amp; Inclusivity</v>
      </c>
    </row>
    <row r="587" spans="1:28" x14ac:dyDescent="0.25">
      <c r="A587">
        <v>10378</v>
      </c>
      <c r="B587">
        <v>22</v>
      </c>
      <c r="C587">
        <v>112</v>
      </c>
      <c r="D587">
        <v>4</v>
      </c>
      <c r="E587">
        <v>2464</v>
      </c>
      <c r="F587" s="1">
        <v>43871</v>
      </c>
      <c r="G587" s="2" t="s">
        <v>19</v>
      </c>
      <c r="H587" s="2" t="s">
        <v>183</v>
      </c>
      <c r="I587">
        <v>80</v>
      </c>
      <c r="J587" s="2" t="s">
        <v>652</v>
      </c>
      <c r="K587" s="2" t="s">
        <v>175</v>
      </c>
      <c r="L587" s="2" t="s">
        <v>176</v>
      </c>
      <c r="M587" s="2" t="s">
        <v>177</v>
      </c>
      <c r="N587" s="2" t="s">
        <v>178</v>
      </c>
      <c r="O587" s="2" t="s">
        <v>179</v>
      </c>
      <c r="P587" s="2" t="s">
        <v>180</v>
      </c>
      <c r="Q587" s="2" t="s">
        <v>181</v>
      </c>
      <c r="R587" s="2" t="s">
        <v>182</v>
      </c>
      <c r="S587" s="2" t="s">
        <v>30</v>
      </c>
      <c r="T587">
        <v>1181</v>
      </c>
      <c r="U587">
        <f>VLOOKUP(Auto_Sales_data___Copy[[#This Row],[CUSTOMER_NAME]],$AF$2:$AH$90,2,FALSE)</f>
        <v>259</v>
      </c>
      <c r="V587">
        <f>VLOOKUP(Auto_Sales_data___Copy[[#This Row],[CUSTOMER_NAME]],$AF$2:$AH$90,3,FALSE)</f>
        <v>912294.1100000001</v>
      </c>
      <c r="W587" s="2">
        <f>6-MATCH(Auto_Sales_data___Copy[[#This Row],[DAYS_SINCE_LAST_ORDER]],Table2[R-Cutoff],1)</f>
        <v>4</v>
      </c>
      <c r="X587" s="2">
        <f>MATCH(Auto_Sales_data___Copy[[#This Row],[Total_Orders_Per_Customer]],Table2[F-Cutoff],1)</f>
        <v>5</v>
      </c>
      <c r="Y587" s="2">
        <f>MATCH(Auto_Sales_data___Copy[[#This Row],[Total_Sales_Per_Customer]],Table2[M-Cutoff],1)</f>
        <v>5</v>
      </c>
      <c r="Z587" s="2" t="str">
        <f>Auto_Sales_data___Copy[[#This Row],[R-Score(1-5)]]&amp;Auto_Sales_data___Copy[[#This Row],[F-Score(1-5)]]&amp;Auto_Sales_data___Copy[[#This Row],[M-Score(1-5)]]</f>
        <v>455</v>
      </c>
      <c r="AA587" s="2" t="str" cm="1">
        <f t="array" ref="AA5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7" s="2" t="str">
        <f>VLOOKUP(Auto_Sales_data___Copy[[#This Row],[Segment Name]],Table3[],2,FALSE)</f>
        <v>VIP Recognitioon &amp; Inclusivity</v>
      </c>
    </row>
    <row r="588" spans="1:28" x14ac:dyDescent="0.25">
      <c r="A588">
        <v>10378</v>
      </c>
      <c r="B588">
        <v>43</v>
      </c>
      <c r="C588">
        <v>96.49</v>
      </c>
      <c r="D588">
        <v>10</v>
      </c>
      <c r="E588">
        <v>4149.07</v>
      </c>
      <c r="F588" s="1">
        <v>43871</v>
      </c>
      <c r="G588" s="2" t="s">
        <v>19</v>
      </c>
      <c r="H588" s="2" t="s">
        <v>183</v>
      </c>
      <c r="I588">
        <v>146</v>
      </c>
      <c r="J588" s="2" t="s">
        <v>654</v>
      </c>
      <c r="K588" s="2" t="s">
        <v>175</v>
      </c>
      <c r="L588" s="2" t="s">
        <v>176</v>
      </c>
      <c r="M588" s="2" t="s">
        <v>177</v>
      </c>
      <c r="N588" s="2" t="s">
        <v>178</v>
      </c>
      <c r="O588" s="2" t="s">
        <v>179</v>
      </c>
      <c r="P588" s="2" t="s">
        <v>180</v>
      </c>
      <c r="Q588" s="2" t="s">
        <v>181</v>
      </c>
      <c r="R588" s="2" t="s">
        <v>182</v>
      </c>
      <c r="S588" s="2" t="s">
        <v>46</v>
      </c>
      <c r="T588">
        <v>1229</v>
      </c>
      <c r="U588">
        <f>VLOOKUP(Auto_Sales_data___Copy[[#This Row],[CUSTOMER_NAME]],$AF$2:$AH$90,2,FALSE)</f>
        <v>259</v>
      </c>
      <c r="V588">
        <f>VLOOKUP(Auto_Sales_data___Copy[[#This Row],[CUSTOMER_NAME]],$AF$2:$AH$90,3,FALSE)</f>
        <v>912294.1100000001</v>
      </c>
      <c r="W588" s="2">
        <f>6-MATCH(Auto_Sales_data___Copy[[#This Row],[DAYS_SINCE_LAST_ORDER]],Table2[R-Cutoff],1)</f>
        <v>4</v>
      </c>
      <c r="X588" s="2">
        <f>MATCH(Auto_Sales_data___Copy[[#This Row],[Total_Orders_Per_Customer]],Table2[F-Cutoff],1)</f>
        <v>5</v>
      </c>
      <c r="Y588" s="2">
        <f>MATCH(Auto_Sales_data___Copy[[#This Row],[Total_Sales_Per_Customer]],Table2[M-Cutoff],1)</f>
        <v>5</v>
      </c>
      <c r="Z588" s="2" t="str">
        <f>Auto_Sales_data___Copy[[#This Row],[R-Score(1-5)]]&amp;Auto_Sales_data___Copy[[#This Row],[F-Score(1-5)]]&amp;Auto_Sales_data___Copy[[#This Row],[M-Score(1-5)]]</f>
        <v>455</v>
      </c>
      <c r="AA588" s="2" t="str" cm="1">
        <f t="array" ref="AA5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8" s="2" t="str">
        <f>VLOOKUP(Auto_Sales_data___Copy[[#This Row],[Segment Name]],Table3[],2,FALSE)</f>
        <v>VIP Recognitioon &amp; Inclusivity</v>
      </c>
    </row>
    <row r="589" spans="1:28" x14ac:dyDescent="0.25">
      <c r="A589">
        <v>10379</v>
      </c>
      <c r="B589">
        <v>32</v>
      </c>
      <c r="C589">
        <v>70.83</v>
      </c>
      <c r="D589">
        <v>4</v>
      </c>
      <c r="E589">
        <v>2266.56</v>
      </c>
      <c r="F589" s="1">
        <v>43871</v>
      </c>
      <c r="G589" s="2" t="s">
        <v>19</v>
      </c>
      <c r="H589" s="2" t="s">
        <v>183</v>
      </c>
      <c r="I589">
        <v>141</v>
      </c>
      <c r="J589" s="2" t="s">
        <v>655</v>
      </c>
      <c r="K589" s="2" t="s">
        <v>175</v>
      </c>
      <c r="L589" s="2" t="s">
        <v>176</v>
      </c>
      <c r="M589" s="2" t="s">
        <v>177</v>
      </c>
      <c r="N589" s="2" t="s">
        <v>178</v>
      </c>
      <c r="O589" s="2" t="s">
        <v>179</v>
      </c>
      <c r="P589" s="2" t="s">
        <v>180</v>
      </c>
      <c r="Q589" s="2" t="s">
        <v>181</v>
      </c>
      <c r="R589" s="2" t="s">
        <v>182</v>
      </c>
      <c r="S589" s="2" t="s">
        <v>30</v>
      </c>
      <c r="T589">
        <v>1253</v>
      </c>
      <c r="U589">
        <f>VLOOKUP(Auto_Sales_data___Copy[[#This Row],[CUSTOMER_NAME]],$AF$2:$AH$90,2,FALSE)</f>
        <v>259</v>
      </c>
      <c r="V589">
        <f>VLOOKUP(Auto_Sales_data___Copy[[#This Row],[CUSTOMER_NAME]],$AF$2:$AH$90,3,FALSE)</f>
        <v>912294.1100000001</v>
      </c>
      <c r="W589" s="2">
        <f>6-MATCH(Auto_Sales_data___Copy[[#This Row],[DAYS_SINCE_LAST_ORDER]],Table2[R-Cutoff],1)</f>
        <v>4</v>
      </c>
      <c r="X589" s="2">
        <f>MATCH(Auto_Sales_data___Copy[[#This Row],[Total_Orders_Per_Customer]],Table2[F-Cutoff],1)</f>
        <v>5</v>
      </c>
      <c r="Y589" s="2">
        <f>MATCH(Auto_Sales_data___Copy[[#This Row],[Total_Sales_Per_Customer]],Table2[M-Cutoff],1)</f>
        <v>5</v>
      </c>
      <c r="Z589" s="2" t="str">
        <f>Auto_Sales_data___Copy[[#This Row],[R-Score(1-5)]]&amp;Auto_Sales_data___Copy[[#This Row],[F-Score(1-5)]]&amp;Auto_Sales_data___Copy[[#This Row],[M-Score(1-5)]]</f>
        <v>455</v>
      </c>
      <c r="AA589" s="2" t="str" cm="1">
        <f t="array" ref="AA5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9" s="2" t="str">
        <f>VLOOKUP(Auto_Sales_data___Copy[[#This Row],[Segment Name]],Table3[],2,FALSE)</f>
        <v>VIP Recognitioon &amp; Inclusivity</v>
      </c>
    </row>
    <row r="590" spans="1:28" x14ac:dyDescent="0.25">
      <c r="A590">
        <v>10378</v>
      </c>
      <c r="B590">
        <v>28</v>
      </c>
      <c r="C590">
        <v>164.63</v>
      </c>
      <c r="D590">
        <v>9</v>
      </c>
      <c r="E590">
        <v>4609.6400000000003</v>
      </c>
      <c r="F590" s="1">
        <v>43871</v>
      </c>
      <c r="G590" s="2" t="s">
        <v>19</v>
      </c>
      <c r="H590" s="2" t="s">
        <v>20</v>
      </c>
      <c r="I590">
        <v>62</v>
      </c>
      <c r="J590" s="2" t="s">
        <v>656</v>
      </c>
      <c r="K590" s="2" t="s">
        <v>175</v>
      </c>
      <c r="L590" s="2" t="s">
        <v>176</v>
      </c>
      <c r="M590" s="2" t="s">
        <v>177</v>
      </c>
      <c r="N590" s="2" t="s">
        <v>178</v>
      </c>
      <c r="O590" s="2" t="s">
        <v>179</v>
      </c>
      <c r="P590" s="2" t="s">
        <v>180</v>
      </c>
      <c r="Q590" s="2" t="s">
        <v>181</v>
      </c>
      <c r="R590" s="2" t="s">
        <v>182</v>
      </c>
      <c r="S590" s="2" t="s">
        <v>46</v>
      </c>
      <c r="T590">
        <v>1277</v>
      </c>
      <c r="U590">
        <f>VLOOKUP(Auto_Sales_data___Copy[[#This Row],[CUSTOMER_NAME]],$AF$2:$AH$90,2,FALSE)</f>
        <v>259</v>
      </c>
      <c r="V590">
        <f>VLOOKUP(Auto_Sales_data___Copy[[#This Row],[CUSTOMER_NAME]],$AF$2:$AH$90,3,FALSE)</f>
        <v>912294.1100000001</v>
      </c>
      <c r="W590" s="2">
        <f>6-MATCH(Auto_Sales_data___Copy[[#This Row],[DAYS_SINCE_LAST_ORDER]],Table2[R-Cutoff],1)</f>
        <v>4</v>
      </c>
      <c r="X590" s="2">
        <f>MATCH(Auto_Sales_data___Copy[[#This Row],[Total_Orders_Per_Customer]],Table2[F-Cutoff],1)</f>
        <v>5</v>
      </c>
      <c r="Y590" s="2">
        <f>MATCH(Auto_Sales_data___Copy[[#This Row],[Total_Sales_Per_Customer]],Table2[M-Cutoff],1)</f>
        <v>5</v>
      </c>
      <c r="Z590" s="2" t="str">
        <f>Auto_Sales_data___Copy[[#This Row],[R-Score(1-5)]]&amp;Auto_Sales_data___Copy[[#This Row],[F-Score(1-5)]]&amp;Auto_Sales_data___Copy[[#This Row],[M-Score(1-5)]]</f>
        <v>455</v>
      </c>
      <c r="AA590" s="2" t="str" cm="1">
        <f t="array" ref="AA5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0" s="2" t="str">
        <f>VLOOKUP(Auto_Sales_data___Copy[[#This Row],[Segment Name]],Table3[],2,FALSE)</f>
        <v>VIP Recognitioon &amp; Inclusivity</v>
      </c>
    </row>
    <row r="591" spans="1:28" x14ac:dyDescent="0.25">
      <c r="A591">
        <v>10378</v>
      </c>
      <c r="B591">
        <v>49</v>
      </c>
      <c r="C591">
        <v>67.14</v>
      </c>
      <c r="D591">
        <v>8</v>
      </c>
      <c r="E591">
        <v>3289.86</v>
      </c>
      <c r="F591" s="1">
        <v>43871</v>
      </c>
      <c r="G591" s="2" t="s">
        <v>19</v>
      </c>
      <c r="H591" s="2" t="s">
        <v>183</v>
      </c>
      <c r="I591">
        <v>148</v>
      </c>
      <c r="J591" s="2" t="s">
        <v>663</v>
      </c>
      <c r="K591" s="2" t="s">
        <v>175</v>
      </c>
      <c r="L591" s="2" t="s">
        <v>176</v>
      </c>
      <c r="M591" s="2" t="s">
        <v>177</v>
      </c>
      <c r="N591" s="2" t="s">
        <v>178</v>
      </c>
      <c r="O591" s="2" t="s">
        <v>179</v>
      </c>
      <c r="P591" s="2" t="s">
        <v>180</v>
      </c>
      <c r="Q591" s="2" t="s">
        <v>181</v>
      </c>
      <c r="R591" s="2" t="s">
        <v>182</v>
      </c>
      <c r="S591" s="2" t="s">
        <v>46</v>
      </c>
      <c r="T591">
        <v>1452</v>
      </c>
      <c r="U591">
        <f>VLOOKUP(Auto_Sales_data___Copy[[#This Row],[CUSTOMER_NAME]],$AF$2:$AH$90,2,FALSE)</f>
        <v>259</v>
      </c>
      <c r="V591">
        <f>VLOOKUP(Auto_Sales_data___Copy[[#This Row],[CUSTOMER_NAME]],$AF$2:$AH$90,3,FALSE)</f>
        <v>912294.1100000001</v>
      </c>
      <c r="W591" s="2">
        <f>6-MATCH(Auto_Sales_data___Copy[[#This Row],[DAYS_SINCE_LAST_ORDER]],Table2[R-Cutoff],1)</f>
        <v>4</v>
      </c>
      <c r="X591" s="2">
        <f>MATCH(Auto_Sales_data___Copy[[#This Row],[Total_Orders_Per_Customer]],Table2[F-Cutoff],1)</f>
        <v>5</v>
      </c>
      <c r="Y591" s="2">
        <f>MATCH(Auto_Sales_data___Copy[[#This Row],[Total_Sales_Per_Customer]],Table2[M-Cutoff],1)</f>
        <v>5</v>
      </c>
      <c r="Z591" s="2" t="str">
        <f>Auto_Sales_data___Copy[[#This Row],[R-Score(1-5)]]&amp;Auto_Sales_data___Copy[[#This Row],[F-Score(1-5)]]&amp;Auto_Sales_data___Copy[[#This Row],[M-Score(1-5)]]</f>
        <v>455</v>
      </c>
      <c r="AA591" s="2" t="str" cm="1">
        <f t="array" ref="AA5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1" s="2" t="str">
        <f>VLOOKUP(Auto_Sales_data___Copy[[#This Row],[Segment Name]],Table3[],2,FALSE)</f>
        <v>VIP Recognitioon &amp; Inclusivity</v>
      </c>
    </row>
    <row r="592" spans="1:28" x14ac:dyDescent="0.25">
      <c r="A592">
        <v>10380</v>
      </c>
      <c r="B592">
        <v>32</v>
      </c>
      <c r="C592">
        <v>105.52</v>
      </c>
      <c r="D592">
        <v>1</v>
      </c>
      <c r="E592">
        <v>3376.64</v>
      </c>
      <c r="F592" s="1">
        <v>43877</v>
      </c>
      <c r="G592" s="2" t="s">
        <v>19</v>
      </c>
      <c r="H592" s="2" t="s">
        <v>589</v>
      </c>
      <c r="I592">
        <v>92</v>
      </c>
      <c r="J592" s="2" t="s">
        <v>659</v>
      </c>
      <c r="K592" s="2" t="s">
        <v>175</v>
      </c>
      <c r="L592" s="2" t="s">
        <v>176</v>
      </c>
      <c r="M592" s="2" t="s">
        <v>177</v>
      </c>
      <c r="N592" s="2" t="s">
        <v>178</v>
      </c>
      <c r="O592" s="2" t="s">
        <v>179</v>
      </c>
      <c r="P592" s="2" t="s">
        <v>180</v>
      </c>
      <c r="Q592" s="2" t="s">
        <v>181</v>
      </c>
      <c r="R592" s="2" t="s">
        <v>182</v>
      </c>
      <c r="S592" s="2" t="s">
        <v>46</v>
      </c>
      <c r="T592">
        <v>1343</v>
      </c>
      <c r="U592">
        <f>VLOOKUP(Auto_Sales_data___Copy[[#This Row],[CUSTOMER_NAME]],$AF$2:$AH$90,2,FALSE)</f>
        <v>259</v>
      </c>
      <c r="V592">
        <f>VLOOKUP(Auto_Sales_data___Copy[[#This Row],[CUSTOMER_NAME]],$AF$2:$AH$90,3,FALSE)</f>
        <v>912294.1100000001</v>
      </c>
      <c r="W592" s="2">
        <f>6-MATCH(Auto_Sales_data___Copy[[#This Row],[DAYS_SINCE_LAST_ORDER]],Table2[R-Cutoff],1)</f>
        <v>4</v>
      </c>
      <c r="X592" s="2">
        <f>MATCH(Auto_Sales_data___Copy[[#This Row],[Total_Orders_Per_Customer]],Table2[F-Cutoff],1)</f>
        <v>5</v>
      </c>
      <c r="Y592" s="2">
        <f>MATCH(Auto_Sales_data___Copy[[#This Row],[Total_Sales_Per_Customer]],Table2[M-Cutoff],1)</f>
        <v>5</v>
      </c>
      <c r="Z592" s="2" t="str">
        <f>Auto_Sales_data___Copy[[#This Row],[R-Score(1-5)]]&amp;Auto_Sales_data___Copy[[#This Row],[F-Score(1-5)]]&amp;Auto_Sales_data___Copy[[#This Row],[M-Score(1-5)]]</f>
        <v>455</v>
      </c>
      <c r="AA592" s="2" t="str" cm="1">
        <f t="array" ref="AA5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2" s="2" t="str">
        <f>VLOOKUP(Auto_Sales_data___Copy[[#This Row],[Segment Name]],Table3[],2,FALSE)</f>
        <v>VIP Recognitioon &amp; Inclusivity</v>
      </c>
    </row>
    <row r="593" spans="1:28" x14ac:dyDescent="0.25">
      <c r="A593">
        <v>10380</v>
      </c>
      <c r="B593">
        <v>24</v>
      </c>
      <c r="C593">
        <v>189</v>
      </c>
      <c r="D593">
        <v>2</v>
      </c>
      <c r="E593">
        <v>4536</v>
      </c>
      <c r="F593" s="1">
        <v>43877</v>
      </c>
      <c r="G593" s="2" t="s">
        <v>19</v>
      </c>
      <c r="H593" s="2" t="s">
        <v>183</v>
      </c>
      <c r="I593">
        <v>71</v>
      </c>
      <c r="J593" s="2" t="s">
        <v>664</v>
      </c>
      <c r="K593" s="2" t="s">
        <v>175</v>
      </c>
      <c r="L593" s="2" t="s">
        <v>176</v>
      </c>
      <c r="M593" s="2" t="s">
        <v>177</v>
      </c>
      <c r="N593" s="2" t="s">
        <v>178</v>
      </c>
      <c r="O593" s="2" t="s">
        <v>179</v>
      </c>
      <c r="P593" s="2" t="s">
        <v>180</v>
      </c>
      <c r="Q593" s="2" t="s">
        <v>181</v>
      </c>
      <c r="R593" s="2" t="s">
        <v>182</v>
      </c>
      <c r="S593" s="2" t="s">
        <v>46</v>
      </c>
      <c r="T593">
        <v>1467</v>
      </c>
      <c r="U593">
        <f>VLOOKUP(Auto_Sales_data___Copy[[#This Row],[CUSTOMER_NAME]],$AF$2:$AH$90,2,FALSE)</f>
        <v>259</v>
      </c>
      <c r="V593">
        <f>VLOOKUP(Auto_Sales_data___Copy[[#This Row],[CUSTOMER_NAME]],$AF$2:$AH$90,3,FALSE)</f>
        <v>912294.1100000001</v>
      </c>
      <c r="W593" s="2">
        <f>6-MATCH(Auto_Sales_data___Copy[[#This Row],[DAYS_SINCE_LAST_ORDER]],Table2[R-Cutoff],1)</f>
        <v>4</v>
      </c>
      <c r="X593" s="2">
        <f>MATCH(Auto_Sales_data___Copy[[#This Row],[Total_Orders_Per_Customer]],Table2[F-Cutoff],1)</f>
        <v>5</v>
      </c>
      <c r="Y593" s="2">
        <f>MATCH(Auto_Sales_data___Copy[[#This Row],[Total_Sales_Per_Customer]],Table2[M-Cutoff],1)</f>
        <v>5</v>
      </c>
      <c r="Z593" s="2" t="str">
        <f>Auto_Sales_data___Copy[[#This Row],[R-Score(1-5)]]&amp;Auto_Sales_data___Copy[[#This Row],[F-Score(1-5)]]&amp;Auto_Sales_data___Copy[[#This Row],[M-Score(1-5)]]</f>
        <v>455</v>
      </c>
      <c r="AA593" s="2" t="str" cm="1">
        <f t="array" ref="AA5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3" s="2" t="str">
        <f>VLOOKUP(Auto_Sales_data___Copy[[#This Row],[Segment Name]],Table3[],2,FALSE)</f>
        <v>VIP Recognitioon &amp; Inclusivity</v>
      </c>
    </row>
    <row r="594" spans="1:28" x14ac:dyDescent="0.25">
      <c r="A594">
        <v>10380</v>
      </c>
      <c r="B594">
        <v>34</v>
      </c>
      <c r="C594">
        <v>101.23</v>
      </c>
      <c r="D594">
        <v>3</v>
      </c>
      <c r="E594">
        <v>3441.82</v>
      </c>
      <c r="F594" s="1">
        <v>43877</v>
      </c>
      <c r="G594" s="2" t="s">
        <v>19</v>
      </c>
      <c r="H594" s="2" t="s">
        <v>183</v>
      </c>
      <c r="I594">
        <v>73</v>
      </c>
      <c r="J594" s="2" t="s">
        <v>665</v>
      </c>
      <c r="K594" s="2" t="s">
        <v>175</v>
      </c>
      <c r="L594" s="2" t="s">
        <v>176</v>
      </c>
      <c r="M594" s="2" t="s">
        <v>177</v>
      </c>
      <c r="N594" s="2" t="s">
        <v>178</v>
      </c>
      <c r="O594" s="2" t="s">
        <v>179</v>
      </c>
      <c r="P594" s="2" t="s">
        <v>180</v>
      </c>
      <c r="Q594" s="2" t="s">
        <v>181</v>
      </c>
      <c r="R594" s="2" t="s">
        <v>182</v>
      </c>
      <c r="S594" s="2" t="s">
        <v>46</v>
      </c>
      <c r="T594">
        <v>1490</v>
      </c>
      <c r="U594">
        <f>VLOOKUP(Auto_Sales_data___Copy[[#This Row],[CUSTOMER_NAME]],$AF$2:$AH$90,2,FALSE)</f>
        <v>259</v>
      </c>
      <c r="V594">
        <f>VLOOKUP(Auto_Sales_data___Copy[[#This Row],[CUSTOMER_NAME]],$AF$2:$AH$90,3,FALSE)</f>
        <v>912294.1100000001</v>
      </c>
      <c r="W594" s="2">
        <f>6-MATCH(Auto_Sales_data___Copy[[#This Row],[DAYS_SINCE_LAST_ORDER]],Table2[R-Cutoff],1)</f>
        <v>4</v>
      </c>
      <c r="X594" s="2">
        <f>MATCH(Auto_Sales_data___Copy[[#This Row],[Total_Orders_Per_Customer]],Table2[F-Cutoff],1)</f>
        <v>5</v>
      </c>
      <c r="Y594" s="2">
        <f>MATCH(Auto_Sales_data___Copy[[#This Row],[Total_Sales_Per_Customer]],Table2[M-Cutoff],1)</f>
        <v>5</v>
      </c>
      <c r="Z594" s="2" t="str">
        <f>Auto_Sales_data___Copy[[#This Row],[R-Score(1-5)]]&amp;Auto_Sales_data___Copy[[#This Row],[F-Score(1-5)]]&amp;Auto_Sales_data___Copy[[#This Row],[M-Score(1-5)]]</f>
        <v>455</v>
      </c>
      <c r="AA594" s="2" t="str" cm="1">
        <f t="array" ref="AA5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4" s="2" t="str">
        <f>VLOOKUP(Auto_Sales_data___Copy[[#This Row],[Segment Name]],Table3[],2,FALSE)</f>
        <v>VIP Recognitioon &amp; Inclusivity</v>
      </c>
    </row>
    <row r="595" spans="1:28" x14ac:dyDescent="0.25">
      <c r="A595">
        <v>10383</v>
      </c>
      <c r="B595">
        <v>24</v>
      </c>
      <c r="C595">
        <v>61.52</v>
      </c>
      <c r="D595">
        <v>9</v>
      </c>
      <c r="E595">
        <v>1476.48</v>
      </c>
      <c r="F595" s="1">
        <v>43883</v>
      </c>
      <c r="G595" s="2" t="s">
        <v>19</v>
      </c>
      <c r="H595" s="2" t="s">
        <v>589</v>
      </c>
      <c r="I595">
        <v>136</v>
      </c>
      <c r="J595" s="2" t="s">
        <v>648</v>
      </c>
      <c r="K595" s="2" t="s">
        <v>175</v>
      </c>
      <c r="L595" s="2" t="s">
        <v>176</v>
      </c>
      <c r="M595" s="2" t="s">
        <v>177</v>
      </c>
      <c r="N595" s="2" t="s">
        <v>178</v>
      </c>
      <c r="O595" s="2" t="s">
        <v>179</v>
      </c>
      <c r="P595" s="2" t="s">
        <v>180</v>
      </c>
      <c r="Q595" s="2" t="s">
        <v>181</v>
      </c>
      <c r="R595" s="2" t="s">
        <v>182</v>
      </c>
      <c r="S595" s="2" t="s">
        <v>30</v>
      </c>
      <c r="T595">
        <v>1069</v>
      </c>
      <c r="U595">
        <f>VLOOKUP(Auto_Sales_data___Copy[[#This Row],[CUSTOMER_NAME]],$AF$2:$AH$90,2,FALSE)</f>
        <v>259</v>
      </c>
      <c r="V595">
        <f>VLOOKUP(Auto_Sales_data___Copy[[#This Row],[CUSTOMER_NAME]],$AF$2:$AH$90,3,FALSE)</f>
        <v>912294.1100000001</v>
      </c>
      <c r="W595" s="2">
        <f>6-MATCH(Auto_Sales_data___Copy[[#This Row],[DAYS_SINCE_LAST_ORDER]],Table2[R-Cutoff],1)</f>
        <v>4</v>
      </c>
      <c r="X595" s="2">
        <f>MATCH(Auto_Sales_data___Copy[[#This Row],[Total_Orders_Per_Customer]],Table2[F-Cutoff],1)</f>
        <v>5</v>
      </c>
      <c r="Y595" s="2">
        <f>MATCH(Auto_Sales_data___Copy[[#This Row],[Total_Sales_Per_Customer]],Table2[M-Cutoff],1)</f>
        <v>5</v>
      </c>
      <c r="Z595" s="2" t="str">
        <f>Auto_Sales_data___Copy[[#This Row],[R-Score(1-5)]]&amp;Auto_Sales_data___Copy[[#This Row],[F-Score(1-5)]]&amp;Auto_Sales_data___Copy[[#This Row],[M-Score(1-5)]]</f>
        <v>455</v>
      </c>
      <c r="AA595" s="2" t="str" cm="1">
        <f t="array" ref="AA5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5" s="2" t="str">
        <f>VLOOKUP(Auto_Sales_data___Copy[[#This Row],[Segment Name]],Table3[],2,FALSE)</f>
        <v>VIP Recognitioon &amp; Inclusivity</v>
      </c>
    </row>
    <row r="596" spans="1:28" x14ac:dyDescent="0.25">
      <c r="A596">
        <v>10383</v>
      </c>
      <c r="B596">
        <v>47</v>
      </c>
      <c r="C596">
        <v>146.15</v>
      </c>
      <c r="D596">
        <v>6</v>
      </c>
      <c r="E596">
        <v>6869.05</v>
      </c>
      <c r="F596" s="1">
        <v>43883</v>
      </c>
      <c r="G596" s="2" t="s">
        <v>19</v>
      </c>
      <c r="H596" s="2" t="s">
        <v>183</v>
      </c>
      <c r="I596">
        <v>169</v>
      </c>
      <c r="J596" s="2" t="s">
        <v>649</v>
      </c>
      <c r="K596" s="2" t="s">
        <v>175</v>
      </c>
      <c r="L596" s="2" t="s">
        <v>176</v>
      </c>
      <c r="M596" s="2" t="s">
        <v>177</v>
      </c>
      <c r="N596" s="2" t="s">
        <v>178</v>
      </c>
      <c r="O596" s="2" t="s">
        <v>179</v>
      </c>
      <c r="P596" s="2" t="s">
        <v>180</v>
      </c>
      <c r="Q596" s="2" t="s">
        <v>181</v>
      </c>
      <c r="R596" s="2" t="s">
        <v>182</v>
      </c>
      <c r="S596" s="2" t="s">
        <v>46</v>
      </c>
      <c r="T596">
        <v>1117</v>
      </c>
      <c r="U596">
        <f>VLOOKUP(Auto_Sales_data___Copy[[#This Row],[CUSTOMER_NAME]],$AF$2:$AH$90,2,FALSE)</f>
        <v>259</v>
      </c>
      <c r="V596">
        <f>VLOOKUP(Auto_Sales_data___Copy[[#This Row],[CUSTOMER_NAME]],$AF$2:$AH$90,3,FALSE)</f>
        <v>912294.1100000001</v>
      </c>
      <c r="W596" s="2">
        <f>6-MATCH(Auto_Sales_data___Copy[[#This Row],[DAYS_SINCE_LAST_ORDER]],Table2[R-Cutoff],1)</f>
        <v>4</v>
      </c>
      <c r="X596" s="2">
        <f>MATCH(Auto_Sales_data___Copy[[#This Row],[Total_Orders_Per_Customer]],Table2[F-Cutoff],1)</f>
        <v>5</v>
      </c>
      <c r="Y596" s="2">
        <f>MATCH(Auto_Sales_data___Copy[[#This Row],[Total_Sales_Per_Customer]],Table2[M-Cutoff],1)</f>
        <v>5</v>
      </c>
      <c r="Z596" s="2" t="str">
        <f>Auto_Sales_data___Copy[[#This Row],[R-Score(1-5)]]&amp;Auto_Sales_data___Copy[[#This Row],[F-Score(1-5)]]&amp;Auto_Sales_data___Copy[[#This Row],[M-Score(1-5)]]</f>
        <v>455</v>
      </c>
      <c r="AA596" s="2" t="str" cm="1">
        <f t="array" ref="AA5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6" s="2" t="str">
        <f>VLOOKUP(Auto_Sales_data___Copy[[#This Row],[Segment Name]],Table3[],2,FALSE)</f>
        <v>VIP Recognitioon &amp; Inclusivity</v>
      </c>
    </row>
    <row r="597" spans="1:28" x14ac:dyDescent="0.25">
      <c r="A597">
        <v>10383</v>
      </c>
      <c r="B597">
        <v>26</v>
      </c>
      <c r="C597">
        <v>128.47999999999999</v>
      </c>
      <c r="D597">
        <v>12</v>
      </c>
      <c r="E597">
        <v>3340.48</v>
      </c>
      <c r="F597" s="1">
        <v>43883</v>
      </c>
      <c r="G597" s="2" t="s">
        <v>19</v>
      </c>
      <c r="H597" s="2" t="s">
        <v>650</v>
      </c>
      <c r="I597">
        <v>100</v>
      </c>
      <c r="J597" s="2" t="s">
        <v>651</v>
      </c>
      <c r="K597" s="2" t="s">
        <v>175</v>
      </c>
      <c r="L597" s="2" t="s">
        <v>176</v>
      </c>
      <c r="M597" s="2" t="s">
        <v>177</v>
      </c>
      <c r="N597" s="2" t="s">
        <v>178</v>
      </c>
      <c r="O597" s="2" t="s">
        <v>179</v>
      </c>
      <c r="P597" s="2" t="s">
        <v>180</v>
      </c>
      <c r="Q597" s="2" t="s">
        <v>181</v>
      </c>
      <c r="R597" s="2" t="s">
        <v>182</v>
      </c>
      <c r="S597" s="2" t="s">
        <v>46</v>
      </c>
      <c r="T597">
        <v>1145</v>
      </c>
      <c r="U597">
        <f>VLOOKUP(Auto_Sales_data___Copy[[#This Row],[CUSTOMER_NAME]],$AF$2:$AH$90,2,FALSE)</f>
        <v>259</v>
      </c>
      <c r="V597">
        <f>VLOOKUP(Auto_Sales_data___Copy[[#This Row],[CUSTOMER_NAME]],$AF$2:$AH$90,3,FALSE)</f>
        <v>912294.1100000001</v>
      </c>
      <c r="W597" s="2">
        <f>6-MATCH(Auto_Sales_data___Copy[[#This Row],[DAYS_SINCE_LAST_ORDER]],Table2[R-Cutoff],1)</f>
        <v>4</v>
      </c>
      <c r="X597" s="2">
        <f>MATCH(Auto_Sales_data___Copy[[#This Row],[Total_Orders_Per_Customer]],Table2[F-Cutoff],1)</f>
        <v>5</v>
      </c>
      <c r="Y597" s="2">
        <f>MATCH(Auto_Sales_data___Copy[[#This Row],[Total_Sales_Per_Customer]],Table2[M-Cutoff],1)</f>
        <v>5</v>
      </c>
      <c r="Z597" s="2" t="str">
        <f>Auto_Sales_data___Copy[[#This Row],[R-Score(1-5)]]&amp;Auto_Sales_data___Copy[[#This Row],[F-Score(1-5)]]&amp;Auto_Sales_data___Copy[[#This Row],[M-Score(1-5)]]</f>
        <v>455</v>
      </c>
      <c r="AA597" s="2" t="str" cm="1">
        <f t="array" ref="AA5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7" s="2" t="str">
        <f>VLOOKUP(Auto_Sales_data___Copy[[#This Row],[Segment Name]],Table3[],2,FALSE)</f>
        <v>VIP Recognitioon &amp; Inclusivity</v>
      </c>
    </row>
    <row r="598" spans="1:28" x14ac:dyDescent="0.25">
      <c r="A598">
        <v>10383</v>
      </c>
      <c r="B598">
        <v>38</v>
      </c>
      <c r="C598">
        <v>140.55000000000001</v>
      </c>
      <c r="D598">
        <v>1</v>
      </c>
      <c r="E598">
        <v>5340.9</v>
      </c>
      <c r="F598" s="1">
        <v>43883</v>
      </c>
      <c r="G598" s="2" t="s">
        <v>19</v>
      </c>
      <c r="H598" s="2" t="s">
        <v>183</v>
      </c>
      <c r="I598">
        <v>143</v>
      </c>
      <c r="J598" s="2" t="s">
        <v>658</v>
      </c>
      <c r="K598" s="2" t="s">
        <v>175</v>
      </c>
      <c r="L598" s="2" t="s">
        <v>176</v>
      </c>
      <c r="M598" s="2" t="s">
        <v>177</v>
      </c>
      <c r="N598" s="2" t="s">
        <v>178</v>
      </c>
      <c r="O598" s="2" t="s">
        <v>179</v>
      </c>
      <c r="P598" s="2" t="s">
        <v>180</v>
      </c>
      <c r="Q598" s="2" t="s">
        <v>181</v>
      </c>
      <c r="R598" s="2" t="s">
        <v>182</v>
      </c>
      <c r="S598" s="2" t="s">
        <v>46</v>
      </c>
      <c r="T598">
        <v>1316</v>
      </c>
      <c r="U598">
        <f>VLOOKUP(Auto_Sales_data___Copy[[#This Row],[CUSTOMER_NAME]],$AF$2:$AH$90,2,FALSE)</f>
        <v>259</v>
      </c>
      <c r="V598">
        <f>VLOOKUP(Auto_Sales_data___Copy[[#This Row],[CUSTOMER_NAME]],$AF$2:$AH$90,3,FALSE)</f>
        <v>912294.1100000001</v>
      </c>
      <c r="W598" s="2">
        <f>6-MATCH(Auto_Sales_data___Copy[[#This Row],[DAYS_SINCE_LAST_ORDER]],Table2[R-Cutoff],1)</f>
        <v>4</v>
      </c>
      <c r="X598" s="2">
        <f>MATCH(Auto_Sales_data___Copy[[#This Row],[Total_Orders_Per_Customer]],Table2[F-Cutoff],1)</f>
        <v>5</v>
      </c>
      <c r="Y598" s="2">
        <f>MATCH(Auto_Sales_data___Copy[[#This Row],[Total_Sales_Per_Customer]],Table2[M-Cutoff],1)</f>
        <v>5</v>
      </c>
      <c r="Z598" s="2" t="str">
        <f>Auto_Sales_data___Copy[[#This Row],[R-Score(1-5)]]&amp;Auto_Sales_data___Copy[[#This Row],[F-Score(1-5)]]&amp;Auto_Sales_data___Copy[[#This Row],[M-Score(1-5)]]</f>
        <v>455</v>
      </c>
      <c r="AA598" s="2" t="str" cm="1">
        <f t="array" ref="AA5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8" s="2" t="str">
        <f>VLOOKUP(Auto_Sales_data___Copy[[#This Row],[Segment Name]],Table3[],2,FALSE)</f>
        <v>VIP Recognitioon &amp; Inclusivity</v>
      </c>
    </row>
    <row r="599" spans="1:28" x14ac:dyDescent="0.25">
      <c r="A599">
        <v>10383</v>
      </c>
      <c r="B599">
        <v>28</v>
      </c>
      <c r="C599">
        <v>58.58</v>
      </c>
      <c r="D599">
        <v>7</v>
      </c>
      <c r="E599">
        <v>1640.24</v>
      </c>
      <c r="F599" s="1">
        <v>43883</v>
      </c>
      <c r="G599" s="2" t="s">
        <v>19</v>
      </c>
      <c r="H599" s="2" t="s">
        <v>589</v>
      </c>
      <c r="I599">
        <v>87</v>
      </c>
      <c r="J599" s="2" t="s">
        <v>660</v>
      </c>
      <c r="K599" s="2" t="s">
        <v>175</v>
      </c>
      <c r="L599" s="2" t="s">
        <v>176</v>
      </c>
      <c r="M599" s="2" t="s">
        <v>177</v>
      </c>
      <c r="N599" s="2" t="s">
        <v>178</v>
      </c>
      <c r="O599" s="2" t="s">
        <v>179</v>
      </c>
      <c r="P599" s="2" t="s">
        <v>180</v>
      </c>
      <c r="Q599" s="2" t="s">
        <v>181</v>
      </c>
      <c r="R599" s="2" t="s">
        <v>182</v>
      </c>
      <c r="S599" s="2" t="s">
        <v>30</v>
      </c>
      <c r="T599">
        <v>1363</v>
      </c>
      <c r="U599">
        <f>VLOOKUP(Auto_Sales_data___Copy[[#This Row],[CUSTOMER_NAME]],$AF$2:$AH$90,2,FALSE)</f>
        <v>259</v>
      </c>
      <c r="V599">
        <f>VLOOKUP(Auto_Sales_data___Copy[[#This Row],[CUSTOMER_NAME]],$AF$2:$AH$90,3,FALSE)</f>
        <v>912294.1100000001</v>
      </c>
      <c r="W599" s="2">
        <f>6-MATCH(Auto_Sales_data___Copy[[#This Row],[DAYS_SINCE_LAST_ORDER]],Table2[R-Cutoff],1)</f>
        <v>4</v>
      </c>
      <c r="X599" s="2">
        <f>MATCH(Auto_Sales_data___Copy[[#This Row],[Total_Orders_Per_Customer]],Table2[F-Cutoff],1)</f>
        <v>5</v>
      </c>
      <c r="Y599" s="2">
        <f>MATCH(Auto_Sales_data___Copy[[#This Row],[Total_Sales_Per_Customer]],Table2[M-Cutoff],1)</f>
        <v>5</v>
      </c>
      <c r="Z599" s="2" t="str">
        <f>Auto_Sales_data___Copy[[#This Row],[R-Score(1-5)]]&amp;Auto_Sales_data___Copy[[#This Row],[F-Score(1-5)]]&amp;Auto_Sales_data___Copy[[#This Row],[M-Score(1-5)]]</f>
        <v>455</v>
      </c>
      <c r="AA599" s="2" t="str" cm="1">
        <f t="array" ref="AA5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9" s="2" t="str">
        <f>VLOOKUP(Auto_Sales_data___Copy[[#This Row],[Segment Name]],Table3[],2,FALSE)</f>
        <v>VIP Recognitioon &amp; Inclusivity</v>
      </c>
    </row>
    <row r="600" spans="1:28" x14ac:dyDescent="0.25">
      <c r="A600">
        <v>10386</v>
      </c>
      <c r="B600">
        <v>37</v>
      </c>
      <c r="C600">
        <v>93.01</v>
      </c>
      <c r="D600">
        <v>5</v>
      </c>
      <c r="E600">
        <v>3441.37</v>
      </c>
      <c r="F600" s="1">
        <v>43891</v>
      </c>
      <c r="G600" s="2" t="s">
        <v>431</v>
      </c>
      <c r="H600" s="2" t="s">
        <v>642</v>
      </c>
      <c r="I600">
        <v>86</v>
      </c>
      <c r="J600" s="2" t="s">
        <v>643</v>
      </c>
      <c r="K600" s="2" t="s">
        <v>175</v>
      </c>
      <c r="L600" s="2" t="s">
        <v>176</v>
      </c>
      <c r="M600" s="2" t="s">
        <v>177</v>
      </c>
      <c r="N600" s="2" t="s">
        <v>178</v>
      </c>
      <c r="O600" s="2" t="s">
        <v>179</v>
      </c>
      <c r="P600" s="2" t="s">
        <v>180</v>
      </c>
      <c r="Q600" s="2" t="s">
        <v>181</v>
      </c>
      <c r="R600" s="2" t="s">
        <v>182</v>
      </c>
      <c r="S600" s="2" t="s">
        <v>46</v>
      </c>
      <c r="T600">
        <v>1010</v>
      </c>
      <c r="U600">
        <f>VLOOKUP(Auto_Sales_data___Copy[[#This Row],[CUSTOMER_NAME]],$AF$2:$AH$90,2,FALSE)</f>
        <v>259</v>
      </c>
      <c r="V600">
        <f>VLOOKUP(Auto_Sales_data___Copy[[#This Row],[CUSTOMER_NAME]],$AF$2:$AH$90,3,FALSE)</f>
        <v>912294.1100000001</v>
      </c>
      <c r="W600" s="2">
        <f>6-MATCH(Auto_Sales_data___Copy[[#This Row],[DAYS_SINCE_LAST_ORDER]],Table2[R-Cutoff],1)</f>
        <v>4</v>
      </c>
      <c r="X600" s="2">
        <f>MATCH(Auto_Sales_data___Copy[[#This Row],[Total_Orders_Per_Customer]],Table2[F-Cutoff],1)</f>
        <v>5</v>
      </c>
      <c r="Y600" s="2">
        <f>MATCH(Auto_Sales_data___Copy[[#This Row],[Total_Sales_Per_Customer]],Table2[M-Cutoff],1)</f>
        <v>5</v>
      </c>
      <c r="Z600" s="2" t="str">
        <f>Auto_Sales_data___Copy[[#This Row],[R-Score(1-5)]]&amp;Auto_Sales_data___Copy[[#This Row],[F-Score(1-5)]]&amp;Auto_Sales_data___Copy[[#This Row],[M-Score(1-5)]]</f>
        <v>455</v>
      </c>
      <c r="AA600" s="2" t="str" cm="1">
        <f t="array" ref="AA6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0" s="2" t="str">
        <f>VLOOKUP(Auto_Sales_data___Copy[[#This Row],[Segment Name]],Table3[],2,FALSE)</f>
        <v>VIP Recognitioon &amp; Inclusivity</v>
      </c>
    </row>
    <row r="601" spans="1:28" x14ac:dyDescent="0.25">
      <c r="A601">
        <v>10386</v>
      </c>
      <c r="B601">
        <v>22</v>
      </c>
      <c r="C601">
        <v>57.55</v>
      </c>
      <c r="D601">
        <v>6</v>
      </c>
      <c r="E601">
        <v>1266.0999999999999</v>
      </c>
      <c r="F601" s="1">
        <v>43891</v>
      </c>
      <c r="G601" s="2" t="s">
        <v>431</v>
      </c>
      <c r="H601" s="2" t="s">
        <v>589</v>
      </c>
      <c r="I601">
        <v>105</v>
      </c>
      <c r="J601" s="2" t="s">
        <v>657</v>
      </c>
      <c r="K601" s="2" t="s">
        <v>175</v>
      </c>
      <c r="L601" s="2" t="s">
        <v>176</v>
      </c>
      <c r="M601" s="2" t="s">
        <v>177</v>
      </c>
      <c r="N601" s="2" t="s">
        <v>178</v>
      </c>
      <c r="O601" s="2" t="s">
        <v>179</v>
      </c>
      <c r="P601" s="2" t="s">
        <v>180</v>
      </c>
      <c r="Q601" s="2" t="s">
        <v>181</v>
      </c>
      <c r="R601" s="2" t="s">
        <v>182</v>
      </c>
      <c r="S601" s="2" t="s">
        <v>30</v>
      </c>
      <c r="T601">
        <v>1281</v>
      </c>
      <c r="U601">
        <f>VLOOKUP(Auto_Sales_data___Copy[[#This Row],[CUSTOMER_NAME]],$AF$2:$AH$90,2,FALSE)</f>
        <v>259</v>
      </c>
      <c r="V601">
        <f>VLOOKUP(Auto_Sales_data___Copy[[#This Row],[CUSTOMER_NAME]],$AF$2:$AH$90,3,FALSE)</f>
        <v>912294.1100000001</v>
      </c>
      <c r="W601" s="2">
        <f>6-MATCH(Auto_Sales_data___Copy[[#This Row],[DAYS_SINCE_LAST_ORDER]],Table2[R-Cutoff],1)</f>
        <v>4</v>
      </c>
      <c r="X601" s="2">
        <f>MATCH(Auto_Sales_data___Copy[[#This Row],[Total_Orders_Per_Customer]],Table2[F-Cutoff],1)</f>
        <v>5</v>
      </c>
      <c r="Y601" s="2">
        <f>MATCH(Auto_Sales_data___Copy[[#This Row],[Total_Sales_Per_Customer]],Table2[M-Cutoff],1)</f>
        <v>5</v>
      </c>
      <c r="Z601" s="2" t="str">
        <f>Auto_Sales_data___Copy[[#This Row],[R-Score(1-5)]]&amp;Auto_Sales_data___Copy[[#This Row],[F-Score(1-5)]]&amp;Auto_Sales_data___Copy[[#This Row],[M-Score(1-5)]]</f>
        <v>455</v>
      </c>
      <c r="AA601" s="2" t="str" cm="1">
        <f t="array" ref="AA6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1" s="2" t="str">
        <f>VLOOKUP(Auto_Sales_data___Copy[[#This Row],[Segment Name]],Table3[],2,FALSE)</f>
        <v>VIP Recognitioon &amp; Inclusivity</v>
      </c>
    </row>
    <row r="602" spans="1:28" x14ac:dyDescent="0.25">
      <c r="A602">
        <v>10394</v>
      </c>
      <c r="B602">
        <v>22</v>
      </c>
      <c r="C602">
        <v>152.41</v>
      </c>
      <c r="D602">
        <v>5</v>
      </c>
      <c r="E602">
        <v>3353.02</v>
      </c>
      <c r="F602" s="1">
        <v>43905</v>
      </c>
      <c r="G602" s="2" t="s">
        <v>19</v>
      </c>
      <c r="H602" s="2" t="s">
        <v>183</v>
      </c>
      <c r="I602">
        <v>169</v>
      </c>
      <c r="J602" s="2" t="s">
        <v>649</v>
      </c>
      <c r="K602" s="2" t="s">
        <v>175</v>
      </c>
      <c r="L602" s="2" t="s">
        <v>176</v>
      </c>
      <c r="M602" s="2" t="s">
        <v>177</v>
      </c>
      <c r="N602" s="2" t="s">
        <v>178</v>
      </c>
      <c r="O602" s="2" t="s">
        <v>179</v>
      </c>
      <c r="P602" s="2" t="s">
        <v>180</v>
      </c>
      <c r="Q602" s="2" t="s">
        <v>181</v>
      </c>
      <c r="R602" s="2" t="s">
        <v>182</v>
      </c>
      <c r="S602" s="2" t="s">
        <v>46</v>
      </c>
      <c r="T602">
        <v>1096</v>
      </c>
      <c r="U602">
        <f>VLOOKUP(Auto_Sales_data___Copy[[#This Row],[CUSTOMER_NAME]],$AF$2:$AH$90,2,FALSE)</f>
        <v>259</v>
      </c>
      <c r="V602">
        <f>VLOOKUP(Auto_Sales_data___Copy[[#This Row],[CUSTOMER_NAME]],$AF$2:$AH$90,3,FALSE)</f>
        <v>912294.1100000001</v>
      </c>
      <c r="W602" s="2">
        <f>6-MATCH(Auto_Sales_data___Copy[[#This Row],[DAYS_SINCE_LAST_ORDER]],Table2[R-Cutoff],1)</f>
        <v>4</v>
      </c>
      <c r="X602" s="2">
        <f>MATCH(Auto_Sales_data___Copy[[#This Row],[Total_Orders_Per_Customer]],Table2[F-Cutoff],1)</f>
        <v>5</v>
      </c>
      <c r="Y602" s="2">
        <f>MATCH(Auto_Sales_data___Copy[[#This Row],[Total_Sales_Per_Customer]],Table2[M-Cutoff],1)</f>
        <v>5</v>
      </c>
      <c r="Z602" s="2" t="str">
        <f>Auto_Sales_data___Copy[[#This Row],[R-Score(1-5)]]&amp;Auto_Sales_data___Copy[[#This Row],[F-Score(1-5)]]&amp;Auto_Sales_data___Copy[[#This Row],[M-Score(1-5)]]</f>
        <v>455</v>
      </c>
      <c r="AA602" s="2" t="str" cm="1">
        <f t="array" ref="AA6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2" s="2" t="str">
        <f>VLOOKUP(Auto_Sales_data___Copy[[#This Row],[Segment Name]],Table3[],2,FALSE)</f>
        <v>VIP Recognitioon &amp; Inclusivity</v>
      </c>
    </row>
    <row r="603" spans="1:28" x14ac:dyDescent="0.25">
      <c r="A603">
        <v>10394</v>
      </c>
      <c r="B603">
        <v>37</v>
      </c>
      <c r="C603">
        <v>172.34</v>
      </c>
      <c r="D603">
        <v>1</v>
      </c>
      <c r="E603">
        <v>6376.58</v>
      </c>
      <c r="F603" s="1">
        <v>43905</v>
      </c>
      <c r="G603" s="2" t="s">
        <v>19</v>
      </c>
      <c r="H603" s="2" t="s">
        <v>183</v>
      </c>
      <c r="I603">
        <v>143</v>
      </c>
      <c r="J603" s="2" t="s">
        <v>658</v>
      </c>
      <c r="K603" s="2" t="s">
        <v>175</v>
      </c>
      <c r="L603" s="2" t="s">
        <v>176</v>
      </c>
      <c r="M603" s="2" t="s">
        <v>177</v>
      </c>
      <c r="N603" s="2" t="s">
        <v>178</v>
      </c>
      <c r="O603" s="2" t="s">
        <v>179</v>
      </c>
      <c r="P603" s="2" t="s">
        <v>180</v>
      </c>
      <c r="Q603" s="2" t="s">
        <v>181</v>
      </c>
      <c r="R603" s="2" t="s">
        <v>182</v>
      </c>
      <c r="S603" s="2" t="s">
        <v>46</v>
      </c>
      <c r="T603">
        <v>1295</v>
      </c>
      <c r="U603">
        <f>VLOOKUP(Auto_Sales_data___Copy[[#This Row],[CUSTOMER_NAME]],$AF$2:$AH$90,2,FALSE)</f>
        <v>259</v>
      </c>
      <c r="V603">
        <f>VLOOKUP(Auto_Sales_data___Copy[[#This Row],[CUSTOMER_NAME]],$AF$2:$AH$90,3,FALSE)</f>
        <v>912294.1100000001</v>
      </c>
      <c r="W603" s="2">
        <f>6-MATCH(Auto_Sales_data___Copy[[#This Row],[DAYS_SINCE_LAST_ORDER]],Table2[R-Cutoff],1)</f>
        <v>4</v>
      </c>
      <c r="X603" s="2">
        <f>MATCH(Auto_Sales_data___Copy[[#This Row],[Total_Orders_Per_Customer]],Table2[F-Cutoff],1)</f>
        <v>5</v>
      </c>
      <c r="Y603" s="2">
        <f>MATCH(Auto_Sales_data___Copy[[#This Row],[Total_Sales_Per_Customer]],Table2[M-Cutoff],1)</f>
        <v>5</v>
      </c>
      <c r="Z603" s="2" t="str">
        <f>Auto_Sales_data___Copy[[#This Row],[R-Score(1-5)]]&amp;Auto_Sales_data___Copy[[#This Row],[F-Score(1-5)]]&amp;Auto_Sales_data___Copy[[#This Row],[M-Score(1-5)]]</f>
        <v>455</v>
      </c>
      <c r="AA603" s="2" t="str" cm="1">
        <f t="array" ref="AA6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3" s="2" t="str">
        <f>VLOOKUP(Auto_Sales_data___Copy[[#This Row],[Segment Name]],Table3[],2,FALSE)</f>
        <v>VIP Recognitioon &amp; Inclusivity</v>
      </c>
    </row>
    <row r="604" spans="1:28" x14ac:dyDescent="0.25">
      <c r="A604">
        <v>10394</v>
      </c>
      <c r="B604">
        <v>31</v>
      </c>
      <c r="C604">
        <v>50.29</v>
      </c>
      <c r="D604">
        <v>2</v>
      </c>
      <c r="E604">
        <v>1558.99</v>
      </c>
      <c r="F604" s="1">
        <v>43905</v>
      </c>
      <c r="G604" s="2" t="s">
        <v>19</v>
      </c>
      <c r="H604" s="2" t="s">
        <v>183</v>
      </c>
      <c r="I604">
        <v>57</v>
      </c>
      <c r="J604" s="2" t="s">
        <v>666</v>
      </c>
      <c r="K604" s="2" t="s">
        <v>175</v>
      </c>
      <c r="L604" s="2" t="s">
        <v>176</v>
      </c>
      <c r="M604" s="2" t="s">
        <v>177</v>
      </c>
      <c r="N604" s="2" t="s">
        <v>178</v>
      </c>
      <c r="O604" s="2" t="s">
        <v>179</v>
      </c>
      <c r="P604" s="2" t="s">
        <v>180</v>
      </c>
      <c r="Q604" s="2" t="s">
        <v>181</v>
      </c>
      <c r="R604" s="2" t="s">
        <v>182</v>
      </c>
      <c r="S604" s="2" t="s">
        <v>30</v>
      </c>
      <c r="T604">
        <v>1490</v>
      </c>
      <c r="U604">
        <f>VLOOKUP(Auto_Sales_data___Copy[[#This Row],[CUSTOMER_NAME]],$AF$2:$AH$90,2,FALSE)</f>
        <v>259</v>
      </c>
      <c r="V604">
        <f>VLOOKUP(Auto_Sales_data___Copy[[#This Row],[CUSTOMER_NAME]],$AF$2:$AH$90,3,FALSE)</f>
        <v>912294.1100000001</v>
      </c>
      <c r="W604" s="2">
        <f>6-MATCH(Auto_Sales_data___Copy[[#This Row],[DAYS_SINCE_LAST_ORDER]],Table2[R-Cutoff],1)</f>
        <v>4</v>
      </c>
      <c r="X604" s="2">
        <f>MATCH(Auto_Sales_data___Copy[[#This Row],[Total_Orders_Per_Customer]],Table2[F-Cutoff],1)</f>
        <v>5</v>
      </c>
      <c r="Y604" s="2">
        <f>MATCH(Auto_Sales_data___Copy[[#This Row],[Total_Sales_Per_Customer]],Table2[M-Cutoff],1)</f>
        <v>5</v>
      </c>
      <c r="Z604" s="2" t="str">
        <f>Auto_Sales_data___Copy[[#This Row],[R-Score(1-5)]]&amp;Auto_Sales_data___Copy[[#This Row],[F-Score(1-5)]]&amp;Auto_Sales_data___Copy[[#This Row],[M-Score(1-5)]]</f>
        <v>455</v>
      </c>
      <c r="AA604" s="2" t="str" cm="1">
        <f t="array" ref="AA6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4" s="2" t="str">
        <f>VLOOKUP(Auto_Sales_data___Copy[[#This Row],[Segment Name]],Table3[],2,FALSE)</f>
        <v>VIP Recognitioon &amp; Inclusivity</v>
      </c>
    </row>
    <row r="605" spans="1:28" x14ac:dyDescent="0.25">
      <c r="A605">
        <v>10412</v>
      </c>
      <c r="B605">
        <v>60</v>
      </c>
      <c r="C605">
        <v>198.13</v>
      </c>
      <c r="D605">
        <v>9</v>
      </c>
      <c r="E605">
        <v>11887.8</v>
      </c>
      <c r="F605" s="1">
        <v>43954</v>
      </c>
      <c r="G605" s="2" t="s">
        <v>19</v>
      </c>
      <c r="H605" s="2" t="s">
        <v>183</v>
      </c>
      <c r="I605">
        <v>169</v>
      </c>
      <c r="J605" s="2" t="s">
        <v>649</v>
      </c>
      <c r="K605" s="2" t="s">
        <v>175</v>
      </c>
      <c r="L605" s="2" t="s">
        <v>176</v>
      </c>
      <c r="M605" s="2" t="s">
        <v>177</v>
      </c>
      <c r="N605" s="2" t="s">
        <v>178</v>
      </c>
      <c r="O605" s="2" t="s">
        <v>179</v>
      </c>
      <c r="P605" s="2" t="s">
        <v>180</v>
      </c>
      <c r="Q605" s="2" t="s">
        <v>181</v>
      </c>
      <c r="R605" s="2" t="s">
        <v>182</v>
      </c>
      <c r="S605" s="2" t="s">
        <v>151</v>
      </c>
      <c r="T605">
        <v>1049</v>
      </c>
      <c r="U605">
        <f>VLOOKUP(Auto_Sales_data___Copy[[#This Row],[CUSTOMER_NAME]],$AF$2:$AH$90,2,FALSE)</f>
        <v>259</v>
      </c>
      <c r="V605">
        <f>VLOOKUP(Auto_Sales_data___Copy[[#This Row],[CUSTOMER_NAME]],$AF$2:$AH$90,3,FALSE)</f>
        <v>912294.1100000001</v>
      </c>
      <c r="W605" s="2">
        <f>6-MATCH(Auto_Sales_data___Copy[[#This Row],[DAYS_SINCE_LAST_ORDER]],Table2[R-Cutoff],1)</f>
        <v>4</v>
      </c>
      <c r="X605" s="2">
        <f>MATCH(Auto_Sales_data___Copy[[#This Row],[Total_Orders_Per_Customer]],Table2[F-Cutoff],1)</f>
        <v>5</v>
      </c>
      <c r="Y605" s="2">
        <f>MATCH(Auto_Sales_data___Copy[[#This Row],[Total_Sales_Per_Customer]],Table2[M-Cutoff],1)</f>
        <v>5</v>
      </c>
      <c r="Z605" s="2" t="str">
        <f>Auto_Sales_data___Copy[[#This Row],[R-Score(1-5)]]&amp;Auto_Sales_data___Copy[[#This Row],[F-Score(1-5)]]&amp;Auto_Sales_data___Copy[[#This Row],[M-Score(1-5)]]</f>
        <v>455</v>
      </c>
      <c r="AA605" s="2" t="str" cm="1">
        <f t="array" ref="AA6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5" s="2" t="str">
        <f>VLOOKUP(Auto_Sales_data___Copy[[#This Row],[Segment Name]],Table3[],2,FALSE)</f>
        <v>VIP Recognitioon &amp; Inclusivity</v>
      </c>
    </row>
    <row r="606" spans="1:28" x14ac:dyDescent="0.25">
      <c r="A606">
        <v>10412</v>
      </c>
      <c r="B606">
        <v>21</v>
      </c>
      <c r="C606">
        <v>52.6</v>
      </c>
      <c r="D606">
        <v>2</v>
      </c>
      <c r="E606">
        <v>1104.5999999999999</v>
      </c>
      <c r="F606" s="1">
        <v>43954</v>
      </c>
      <c r="G606" s="2" t="s">
        <v>19</v>
      </c>
      <c r="H606" s="2" t="s">
        <v>183</v>
      </c>
      <c r="I606">
        <v>57</v>
      </c>
      <c r="J606" s="2" t="s">
        <v>666</v>
      </c>
      <c r="K606" s="2" t="s">
        <v>175</v>
      </c>
      <c r="L606" s="2" t="s">
        <v>176</v>
      </c>
      <c r="M606" s="2" t="s">
        <v>177</v>
      </c>
      <c r="N606" s="2" t="s">
        <v>178</v>
      </c>
      <c r="O606" s="2" t="s">
        <v>179</v>
      </c>
      <c r="P606" s="2" t="s">
        <v>180</v>
      </c>
      <c r="Q606" s="2" t="s">
        <v>181</v>
      </c>
      <c r="R606" s="2" t="s">
        <v>182</v>
      </c>
      <c r="S606" s="2" t="s">
        <v>30</v>
      </c>
      <c r="T606">
        <v>1442</v>
      </c>
      <c r="U606">
        <f>VLOOKUP(Auto_Sales_data___Copy[[#This Row],[CUSTOMER_NAME]],$AF$2:$AH$90,2,FALSE)</f>
        <v>259</v>
      </c>
      <c r="V606">
        <f>VLOOKUP(Auto_Sales_data___Copy[[#This Row],[CUSTOMER_NAME]],$AF$2:$AH$90,3,FALSE)</f>
        <v>912294.1100000001</v>
      </c>
      <c r="W606" s="2">
        <f>6-MATCH(Auto_Sales_data___Copy[[#This Row],[DAYS_SINCE_LAST_ORDER]],Table2[R-Cutoff],1)</f>
        <v>4</v>
      </c>
      <c r="X606" s="2">
        <f>MATCH(Auto_Sales_data___Copy[[#This Row],[Total_Orders_Per_Customer]],Table2[F-Cutoff],1)</f>
        <v>5</v>
      </c>
      <c r="Y606" s="2">
        <f>MATCH(Auto_Sales_data___Copy[[#This Row],[Total_Sales_Per_Customer]],Table2[M-Cutoff],1)</f>
        <v>5</v>
      </c>
      <c r="Z606" s="2" t="str">
        <f>Auto_Sales_data___Copy[[#This Row],[R-Score(1-5)]]&amp;Auto_Sales_data___Copy[[#This Row],[F-Score(1-5)]]&amp;Auto_Sales_data___Copy[[#This Row],[M-Score(1-5)]]</f>
        <v>455</v>
      </c>
      <c r="AA606" s="2" t="str" cm="1">
        <f t="array" ref="AA6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6" s="2" t="str">
        <f>VLOOKUP(Auto_Sales_data___Copy[[#This Row],[Segment Name]],Table3[],2,FALSE)</f>
        <v>VIP Recognitioon &amp; Inclusivity</v>
      </c>
    </row>
    <row r="607" spans="1:28" x14ac:dyDescent="0.25">
      <c r="A607">
        <v>10417</v>
      </c>
      <c r="B607">
        <v>35</v>
      </c>
      <c r="C607">
        <v>101.43</v>
      </c>
      <c r="D607">
        <v>3</v>
      </c>
      <c r="E607">
        <v>3550.05</v>
      </c>
      <c r="F607" s="1">
        <v>43964</v>
      </c>
      <c r="G607" s="2" t="s">
        <v>174</v>
      </c>
      <c r="H607" s="2" t="s">
        <v>20</v>
      </c>
      <c r="I607">
        <v>112</v>
      </c>
      <c r="J607" s="2" t="s">
        <v>667</v>
      </c>
      <c r="K607" s="2" t="s">
        <v>175</v>
      </c>
      <c r="L607" s="2" t="s">
        <v>176</v>
      </c>
      <c r="M607" s="2" t="s">
        <v>177</v>
      </c>
      <c r="N607" s="2" t="s">
        <v>178</v>
      </c>
      <c r="O607" s="2" t="s">
        <v>179</v>
      </c>
      <c r="P607" s="2" t="s">
        <v>180</v>
      </c>
      <c r="Q607" s="2" t="s">
        <v>181</v>
      </c>
      <c r="R607" s="2" t="s">
        <v>182</v>
      </c>
      <c r="S607" s="2" t="s">
        <v>46</v>
      </c>
      <c r="T607">
        <v>1457</v>
      </c>
      <c r="U607">
        <f>VLOOKUP(Auto_Sales_data___Copy[[#This Row],[CUSTOMER_NAME]],$AF$2:$AH$90,2,FALSE)</f>
        <v>259</v>
      </c>
      <c r="V607">
        <f>VLOOKUP(Auto_Sales_data___Copy[[#This Row],[CUSTOMER_NAME]],$AF$2:$AH$90,3,FALSE)</f>
        <v>912294.1100000001</v>
      </c>
      <c r="W607" s="2">
        <f>6-MATCH(Auto_Sales_data___Copy[[#This Row],[DAYS_SINCE_LAST_ORDER]],Table2[R-Cutoff],1)</f>
        <v>4</v>
      </c>
      <c r="X607" s="2">
        <f>MATCH(Auto_Sales_data___Copy[[#This Row],[Total_Orders_Per_Customer]],Table2[F-Cutoff],1)</f>
        <v>5</v>
      </c>
      <c r="Y607" s="2">
        <f>MATCH(Auto_Sales_data___Copy[[#This Row],[Total_Sales_Per_Customer]],Table2[M-Cutoff],1)</f>
        <v>5</v>
      </c>
      <c r="Z607" s="2" t="str">
        <f>Auto_Sales_data___Copy[[#This Row],[R-Score(1-5)]]&amp;Auto_Sales_data___Copy[[#This Row],[F-Score(1-5)]]&amp;Auto_Sales_data___Copy[[#This Row],[M-Score(1-5)]]</f>
        <v>455</v>
      </c>
      <c r="AA607" s="2" t="str" cm="1">
        <f t="array" ref="AA6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7" s="2" t="str">
        <f>VLOOKUP(Auto_Sales_data___Copy[[#This Row],[Segment Name]],Table3[],2,FALSE)</f>
        <v>VIP Recognitioon &amp; Inclusivity</v>
      </c>
    </row>
    <row r="608" spans="1:28" x14ac:dyDescent="0.25">
      <c r="A608">
        <v>10424</v>
      </c>
      <c r="B608">
        <v>26</v>
      </c>
      <c r="C608">
        <v>59.87</v>
      </c>
      <c r="D608">
        <v>4</v>
      </c>
      <c r="E608">
        <v>1556.62</v>
      </c>
      <c r="F608" s="1">
        <v>43982</v>
      </c>
      <c r="G608" s="2" t="s">
        <v>314</v>
      </c>
      <c r="H608" s="2" t="s">
        <v>589</v>
      </c>
      <c r="I608">
        <v>50</v>
      </c>
      <c r="J608" s="2" t="s">
        <v>662</v>
      </c>
      <c r="K608" s="2" t="s">
        <v>175</v>
      </c>
      <c r="L608" s="2" t="s">
        <v>176</v>
      </c>
      <c r="M608" s="2" t="s">
        <v>177</v>
      </c>
      <c r="N608" s="2" t="s">
        <v>178</v>
      </c>
      <c r="O608" s="2" t="s">
        <v>179</v>
      </c>
      <c r="P608" s="2" t="s">
        <v>180</v>
      </c>
      <c r="Q608" s="2" t="s">
        <v>181</v>
      </c>
      <c r="R608" s="2" t="s">
        <v>182</v>
      </c>
      <c r="S608" s="2" t="s">
        <v>30</v>
      </c>
      <c r="T608">
        <v>1319</v>
      </c>
      <c r="U608">
        <f>VLOOKUP(Auto_Sales_data___Copy[[#This Row],[CUSTOMER_NAME]],$AF$2:$AH$90,2,FALSE)</f>
        <v>259</v>
      </c>
      <c r="V608">
        <f>VLOOKUP(Auto_Sales_data___Copy[[#This Row],[CUSTOMER_NAME]],$AF$2:$AH$90,3,FALSE)</f>
        <v>912294.1100000001</v>
      </c>
      <c r="W608" s="2">
        <f>6-MATCH(Auto_Sales_data___Copy[[#This Row],[DAYS_SINCE_LAST_ORDER]],Table2[R-Cutoff],1)</f>
        <v>4</v>
      </c>
      <c r="X608" s="2">
        <f>MATCH(Auto_Sales_data___Copy[[#This Row],[Total_Orders_Per_Customer]],Table2[F-Cutoff],1)</f>
        <v>5</v>
      </c>
      <c r="Y608" s="2">
        <f>MATCH(Auto_Sales_data___Copy[[#This Row],[Total_Sales_Per_Customer]],Table2[M-Cutoff],1)</f>
        <v>5</v>
      </c>
      <c r="Z608" s="2" t="str">
        <f>Auto_Sales_data___Copy[[#This Row],[R-Score(1-5)]]&amp;Auto_Sales_data___Copy[[#This Row],[F-Score(1-5)]]&amp;Auto_Sales_data___Copy[[#This Row],[M-Score(1-5)]]</f>
        <v>455</v>
      </c>
      <c r="AA608" s="2" t="str" cm="1">
        <f t="array" ref="AA6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8" s="2" t="str">
        <f>VLOOKUP(Auto_Sales_data___Copy[[#This Row],[Segment Name]],Table3[],2,FALSE)</f>
        <v>VIP Recognitioon &amp; Inclusivity</v>
      </c>
    </row>
    <row r="609" spans="1:28" x14ac:dyDescent="0.25">
      <c r="A609">
        <v>10100</v>
      </c>
      <c r="B609">
        <v>30</v>
      </c>
      <c r="C609">
        <v>171.7</v>
      </c>
      <c r="D609">
        <v>3</v>
      </c>
      <c r="E609">
        <v>5151</v>
      </c>
      <c r="F609" s="1">
        <v>43106</v>
      </c>
      <c r="G609" s="2" t="s">
        <v>19</v>
      </c>
      <c r="H609" s="2" t="s">
        <v>589</v>
      </c>
      <c r="I609">
        <v>170</v>
      </c>
      <c r="J609" s="2" t="s">
        <v>628</v>
      </c>
      <c r="K609" s="2" t="s">
        <v>290</v>
      </c>
      <c r="L609" s="2" t="s">
        <v>291</v>
      </c>
      <c r="M609" s="2" t="s">
        <v>292</v>
      </c>
      <c r="N609" s="2" t="s">
        <v>293</v>
      </c>
      <c r="O609" s="2" t="s">
        <v>294</v>
      </c>
      <c r="P609" s="2" t="s">
        <v>27</v>
      </c>
      <c r="Q609" s="2" t="s">
        <v>52</v>
      </c>
      <c r="R609" s="2" t="s">
        <v>289</v>
      </c>
      <c r="S609" s="2" t="s">
        <v>46</v>
      </c>
      <c r="T609">
        <v>1429</v>
      </c>
      <c r="U609">
        <f>VLOOKUP(Auto_Sales_data___Copy[[#This Row],[CUSTOMER_NAME]],$AF$2:$AH$90,2,FALSE)</f>
        <v>34</v>
      </c>
      <c r="V609">
        <f>VLOOKUP(Auto_Sales_data___Copy[[#This Row],[CUSTOMER_NAME]],$AF$2:$AH$90,3,FALSE)</f>
        <v>131685.29999999999</v>
      </c>
      <c r="W609" s="2">
        <f>6-MATCH(Auto_Sales_data___Copy[[#This Row],[DAYS_SINCE_LAST_ORDER]],Table2[R-Cutoff],1)</f>
        <v>4</v>
      </c>
      <c r="X609" s="2">
        <f>MATCH(Auto_Sales_data___Copy[[#This Row],[Total_Orders_Per_Customer]],Table2[F-Cutoff],1)</f>
        <v>4</v>
      </c>
      <c r="Y609" s="2">
        <f>MATCH(Auto_Sales_data___Copy[[#This Row],[Total_Sales_Per_Customer]],Table2[M-Cutoff],1)</f>
        <v>4</v>
      </c>
      <c r="Z609" s="2" t="str">
        <f>Auto_Sales_data___Copy[[#This Row],[R-Score(1-5)]]&amp;Auto_Sales_data___Copy[[#This Row],[F-Score(1-5)]]&amp;Auto_Sales_data___Copy[[#This Row],[M-Score(1-5)]]</f>
        <v>444</v>
      </c>
      <c r="AA609" s="2" t="str" cm="1">
        <f t="array" ref="AA6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9" s="2" t="str">
        <f>VLOOKUP(Auto_Sales_data___Copy[[#This Row],[Segment Name]],Table3[],2,FALSE)</f>
        <v>VIP Recognitioon &amp; Inclusivity</v>
      </c>
    </row>
    <row r="610" spans="1:28" x14ac:dyDescent="0.25">
      <c r="A610">
        <v>10103</v>
      </c>
      <c r="B610">
        <v>42</v>
      </c>
      <c r="C610">
        <v>128.53</v>
      </c>
      <c r="D610">
        <v>4</v>
      </c>
      <c r="E610">
        <v>5398.26</v>
      </c>
      <c r="F610" s="1">
        <v>43129</v>
      </c>
      <c r="G610" s="2" t="s">
        <v>19</v>
      </c>
      <c r="H610" s="2" t="s">
        <v>183</v>
      </c>
      <c r="I610">
        <v>147</v>
      </c>
      <c r="J610" s="2" t="s">
        <v>424</v>
      </c>
      <c r="K610" s="2" t="s">
        <v>130</v>
      </c>
      <c r="L610" s="2" t="s">
        <v>131</v>
      </c>
      <c r="M610" s="2" t="s">
        <v>132</v>
      </c>
      <c r="N610" s="2" t="s">
        <v>133</v>
      </c>
      <c r="O610" s="2" t="s">
        <v>134</v>
      </c>
      <c r="P610" s="2" t="s">
        <v>73</v>
      </c>
      <c r="Q610" s="2" t="s">
        <v>135</v>
      </c>
      <c r="R610" s="2" t="s">
        <v>136</v>
      </c>
      <c r="S610" s="2" t="s">
        <v>46</v>
      </c>
      <c r="T610">
        <v>977</v>
      </c>
      <c r="U610">
        <f>VLOOKUP(Auto_Sales_data___Copy[[#This Row],[CUSTOMER_NAME]],$AF$2:$AH$90,2,FALSE)</f>
        <v>32</v>
      </c>
      <c r="V610">
        <f>VLOOKUP(Auto_Sales_data___Copy[[#This Row],[CUSTOMER_NAME]],$AF$2:$AH$90,3,FALSE)</f>
        <v>116599.18999999999</v>
      </c>
      <c r="W610" s="2">
        <f>6-MATCH(Auto_Sales_data___Copy[[#This Row],[DAYS_SINCE_LAST_ORDER]],Table2[R-Cutoff],1)</f>
        <v>4</v>
      </c>
      <c r="X610" s="2">
        <f>MATCH(Auto_Sales_data___Copy[[#This Row],[Total_Orders_Per_Customer]],Table2[F-Cutoff],1)</f>
        <v>4</v>
      </c>
      <c r="Y610" s="2">
        <f>MATCH(Auto_Sales_data___Copy[[#This Row],[Total_Sales_Per_Customer]],Table2[M-Cutoff],1)</f>
        <v>4</v>
      </c>
      <c r="Z610" s="2" t="str">
        <f>Auto_Sales_data___Copy[[#This Row],[R-Score(1-5)]]&amp;Auto_Sales_data___Copy[[#This Row],[F-Score(1-5)]]&amp;Auto_Sales_data___Copy[[#This Row],[M-Score(1-5)]]</f>
        <v>444</v>
      </c>
      <c r="AA610" s="2" t="str" cm="1">
        <f t="array" ref="AA6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0" s="2" t="str">
        <f>VLOOKUP(Auto_Sales_data___Copy[[#This Row],[Segment Name]],Table3[],2,FALSE)</f>
        <v>VIP Recognitioon &amp; Inclusivity</v>
      </c>
    </row>
    <row r="611" spans="1:28" x14ac:dyDescent="0.25">
      <c r="A611">
        <v>10103</v>
      </c>
      <c r="B611">
        <v>27</v>
      </c>
      <c r="C611">
        <v>125.74</v>
      </c>
      <c r="D611">
        <v>8</v>
      </c>
      <c r="E611">
        <v>3394.98</v>
      </c>
      <c r="F611" s="1">
        <v>43129</v>
      </c>
      <c r="G611" s="2" t="s">
        <v>19</v>
      </c>
      <c r="H611" s="2" t="s">
        <v>537</v>
      </c>
      <c r="I611">
        <v>136</v>
      </c>
      <c r="J611" s="2" t="s">
        <v>538</v>
      </c>
      <c r="K611" s="2" t="s">
        <v>130</v>
      </c>
      <c r="L611" s="2" t="s">
        <v>131</v>
      </c>
      <c r="M611" s="2" t="s">
        <v>132</v>
      </c>
      <c r="N611" s="2" t="s">
        <v>133</v>
      </c>
      <c r="O611" s="2" t="s">
        <v>134</v>
      </c>
      <c r="P611" s="2" t="s">
        <v>73</v>
      </c>
      <c r="Q611" s="2" t="s">
        <v>135</v>
      </c>
      <c r="R611" s="2" t="s">
        <v>136</v>
      </c>
      <c r="S611" s="2" t="s">
        <v>46</v>
      </c>
      <c r="T611">
        <v>1054</v>
      </c>
      <c r="U611">
        <f>VLOOKUP(Auto_Sales_data___Copy[[#This Row],[CUSTOMER_NAME]],$AF$2:$AH$90,2,FALSE)</f>
        <v>32</v>
      </c>
      <c r="V611">
        <f>VLOOKUP(Auto_Sales_data___Copy[[#This Row],[CUSTOMER_NAME]],$AF$2:$AH$90,3,FALSE)</f>
        <v>116599.18999999999</v>
      </c>
      <c r="W611" s="2">
        <f>6-MATCH(Auto_Sales_data___Copy[[#This Row],[DAYS_SINCE_LAST_ORDER]],Table2[R-Cutoff],1)</f>
        <v>4</v>
      </c>
      <c r="X611" s="2">
        <f>MATCH(Auto_Sales_data___Copy[[#This Row],[Total_Orders_Per_Customer]],Table2[F-Cutoff],1)</f>
        <v>4</v>
      </c>
      <c r="Y611" s="2">
        <f>MATCH(Auto_Sales_data___Copy[[#This Row],[Total_Sales_Per_Customer]],Table2[M-Cutoff],1)</f>
        <v>4</v>
      </c>
      <c r="Z611" s="2" t="str">
        <f>Auto_Sales_data___Copy[[#This Row],[R-Score(1-5)]]&amp;Auto_Sales_data___Copy[[#This Row],[F-Score(1-5)]]&amp;Auto_Sales_data___Copy[[#This Row],[M-Score(1-5)]]</f>
        <v>444</v>
      </c>
      <c r="AA611" s="2" t="str" cm="1">
        <f t="array" ref="AA6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1" s="2" t="str">
        <f>VLOOKUP(Auto_Sales_data___Copy[[#This Row],[Segment Name]],Table3[],2,FALSE)</f>
        <v>VIP Recognitioon &amp; Inclusivity</v>
      </c>
    </row>
    <row r="612" spans="1:28" x14ac:dyDescent="0.25">
      <c r="A612">
        <v>10103</v>
      </c>
      <c r="B612">
        <v>35</v>
      </c>
      <c r="C612">
        <v>112</v>
      </c>
      <c r="D612">
        <v>10</v>
      </c>
      <c r="E612">
        <v>3920</v>
      </c>
      <c r="F612" s="1">
        <v>43129</v>
      </c>
      <c r="G612" s="2" t="s">
        <v>19</v>
      </c>
      <c r="H612" s="2" t="s">
        <v>537</v>
      </c>
      <c r="I612">
        <v>116</v>
      </c>
      <c r="J612" s="2" t="s">
        <v>575</v>
      </c>
      <c r="K612" s="2" t="s">
        <v>130</v>
      </c>
      <c r="L612" s="2" t="s">
        <v>131</v>
      </c>
      <c r="M612" s="2" t="s">
        <v>132</v>
      </c>
      <c r="N612" s="2" t="s">
        <v>133</v>
      </c>
      <c r="O612" s="2" t="s">
        <v>134</v>
      </c>
      <c r="P612" s="2" t="s">
        <v>73</v>
      </c>
      <c r="Q612" s="2" t="s">
        <v>135</v>
      </c>
      <c r="R612" s="2" t="s">
        <v>136</v>
      </c>
      <c r="S612" s="2" t="s">
        <v>46</v>
      </c>
      <c r="T612">
        <v>1255</v>
      </c>
      <c r="U612">
        <f>VLOOKUP(Auto_Sales_data___Copy[[#This Row],[CUSTOMER_NAME]],$AF$2:$AH$90,2,FALSE)</f>
        <v>32</v>
      </c>
      <c r="V612">
        <f>VLOOKUP(Auto_Sales_data___Copy[[#This Row],[CUSTOMER_NAME]],$AF$2:$AH$90,3,FALSE)</f>
        <v>116599.18999999999</v>
      </c>
      <c r="W612" s="2">
        <f>6-MATCH(Auto_Sales_data___Copy[[#This Row],[DAYS_SINCE_LAST_ORDER]],Table2[R-Cutoff],1)</f>
        <v>4</v>
      </c>
      <c r="X612" s="2">
        <f>MATCH(Auto_Sales_data___Copy[[#This Row],[Total_Orders_Per_Customer]],Table2[F-Cutoff],1)</f>
        <v>4</v>
      </c>
      <c r="Y612" s="2">
        <f>MATCH(Auto_Sales_data___Copy[[#This Row],[Total_Sales_Per_Customer]],Table2[M-Cutoff],1)</f>
        <v>4</v>
      </c>
      <c r="Z612" s="2" t="str">
        <f>Auto_Sales_data___Copy[[#This Row],[R-Score(1-5)]]&amp;Auto_Sales_data___Copy[[#This Row],[F-Score(1-5)]]&amp;Auto_Sales_data___Copy[[#This Row],[M-Score(1-5)]]</f>
        <v>444</v>
      </c>
      <c r="AA612" s="2" t="str" cm="1">
        <f t="array" ref="AA6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2" s="2" t="str">
        <f>VLOOKUP(Auto_Sales_data___Copy[[#This Row],[Segment Name]],Table3[],2,FALSE)</f>
        <v>VIP Recognitioon &amp; Inclusivity</v>
      </c>
    </row>
    <row r="613" spans="1:28" x14ac:dyDescent="0.25">
      <c r="A613">
        <v>10105</v>
      </c>
      <c r="B613">
        <v>41</v>
      </c>
      <c r="C613">
        <v>211.96</v>
      </c>
      <c r="D613">
        <v>15</v>
      </c>
      <c r="E613">
        <v>8690.36</v>
      </c>
      <c r="F613" s="1">
        <v>43142</v>
      </c>
      <c r="G613" s="2" t="s">
        <v>19</v>
      </c>
      <c r="H613" s="2" t="s">
        <v>183</v>
      </c>
      <c r="I613">
        <v>207</v>
      </c>
      <c r="J613" s="2" t="s">
        <v>505</v>
      </c>
      <c r="K613" s="2" t="s">
        <v>339</v>
      </c>
      <c r="L613" s="2" t="s">
        <v>340</v>
      </c>
      <c r="M613" s="2" t="s">
        <v>341</v>
      </c>
      <c r="N613" s="2" t="s">
        <v>342</v>
      </c>
      <c r="O613" s="2" t="s">
        <v>343</v>
      </c>
      <c r="P613" s="2" t="s">
        <v>344</v>
      </c>
      <c r="Q613" s="2" t="s">
        <v>345</v>
      </c>
      <c r="R613" s="2" t="s">
        <v>346</v>
      </c>
      <c r="S613" s="2" t="s">
        <v>151</v>
      </c>
      <c r="T613">
        <v>1015</v>
      </c>
      <c r="U613">
        <f>VLOOKUP(Auto_Sales_data___Copy[[#This Row],[CUSTOMER_NAME]],$AF$2:$AH$90,2,FALSE)</f>
        <v>36</v>
      </c>
      <c r="V613">
        <f>VLOOKUP(Auto_Sales_data___Copy[[#This Row],[CUSTOMER_NAME]],$AF$2:$AH$90,3,FALSE)</f>
        <v>145041.60000000001</v>
      </c>
      <c r="W613" s="2">
        <f>6-MATCH(Auto_Sales_data___Copy[[#This Row],[DAYS_SINCE_LAST_ORDER]],Table2[R-Cutoff],1)</f>
        <v>4</v>
      </c>
      <c r="X613" s="2">
        <f>MATCH(Auto_Sales_data___Copy[[#This Row],[Total_Orders_Per_Customer]],Table2[F-Cutoff],1)</f>
        <v>4</v>
      </c>
      <c r="Y613" s="2">
        <f>MATCH(Auto_Sales_data___Copy[[#This Row],[Total_Sales_Per_Customer]],Table2[M-Cutoff],1)</f>
        <v>4</v>
      </c>
      <c r="Z613" s="2" t="str">
        <f>Auto_Sales_data___Copy[[#This Row],[R-Score(1-5)]]&amp;Auto_Sales_data___Copy[[#This Row],[F-Score(1-5)]]&amp;Auto_Sales_data___Copy[[#This Row],[M-Score(1-5)]]</f>
        <v>444</v>
      </c>
      <c r="AA613" s="2" t="str" cm="1">
        <f t="array" ref="AA6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3" s="2" t="str">
        <f>VLOOKUP(Auto_Sales_data___Copy[[#This Row],[Segment Name]],Table3[],2,FALSE)</f>
        <v>VIP Recognitioon &amp; Inclusivity</v>
      </c>
    </row>
    <row r="614" spans="1:28" x14ac:dyDescent="0.25">
      <c r="A614">
        <v>10105</v>
      </c>
      <c r="B614">
        <v>29</v>
      </c>
      <c r="C614">
        <v>157.44999999999999</v>
      </c>
      <c r="D614">
        <v>14</v>
      </c>
      <c r="E614">
        <v>4566.05</v>
      </c>
      <c r="F614" s="1">
        <v>43142</v>
      </c>
      <c r="G614" s="2" t="s">
        <v>19</v>
      </c>
      <c r="H614" s="2" t="s">
        <v>183</v>
      </c>
      <c r="I614">
        <v>173</v>
      </c>
      <c r="J614" s="2" t="s">
        <v>552</v>
      </c>
      <c r="K614" s="2" t="s">
        <v>339</v>
      </c>
      <c r="L614" s="2" t="s">
        <v>340</v>
      </c>
      <c r="M614" s="2" t="s">
        <v>341</v>
      </c>
      <c r="N614" s="2" t="s">
        <v>342</v>
      </c>
      <c r="O614" s="2" t="s">
        <v>343</v>
      </c>
      <c r="P614" s="2" t="s">
        <v>344</v>
      </c>
      <c r="Q614" s="2" t="s">
        <v>345</v>
      </c>
      <c r="R614" s="2" t="s">
        <v>346</v>
      </c>
      <c r="S614" s="2" t="s">
        <v>46</v>
      </c>
      <c r="T614">
        <v>1140</v>
      </c>
      <c r="U614">
        <f>VLOOKUP(Auto_Sales_data___Copy[[#This Row],[CUSTOMER_NAME]],$AF$2:$AH$90,2,FALSE)</f>
        <v>36</v>
      </c>
      <c r="V614">
        <f>VLOOKUP(Auto_Sales_data___Copy[[#This Row],[CUSTOMER_NAME]],$AF$2:$AH$90,3,FALSE)</f>
        <v>145041.60000000001</v>
      </c>
      <c r="W614" s="2">
        <f>6-MATCH(Auto_Sales_data___Copy[[#This Row],[DAYS_SINCE_LAST_ORDER]],Table2[R-Cutoff],1)</f>
        <v>4</v>
      </c>
      <c r="X614" s="2">
        <f>MATCH(Auto_Sales_data___Copy[[#This Row],[Total_Orders_Per_Customer]],Table2[F-Cutoff],1)</f>
        <v>4</v>
      </c>
      <c r="Y614" s="2">
        <f>MATCH(Auto_Sales_data___Copy[[#This Row],[Total_Sales_Per_Customer]],Table2[M-Cutoff],1)</f>
        <v>4</v>
      </c>
      <c r="Z614" s="2" t="str">
        <f>Auto_Sales_data___Copy[[#This Row],[R-Score(1-5)]]&amp;Auto_Sales_data___Copy[[#This Row],[F-Score(1-5)]]&amp;Auto_Sales_data___Copy[[#This Row],[M-Score(1-5)]]</f>
        <v>444</v>
      </c>
      <c r="AA614" s="2" t="str" cm="1">
        <f t="array" ref="AA6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4" s="2" t="str">
        <f>VLOOKUP(Auto_Sales_data___Copy[[#This Row],[Segment Name]],Table3[],2,FALSE)</f>
        <v>VIP Recognitioon &amp; Inclusivity</v>
      </c>
    </row>
    <row r="615" spans="1:28" x14ac:dyDescent="0.25">
      <c r="A615">
        <v>10106</v>
      </c>
      <c r="B615">
        <v>36</v>
      </c>
      <c r="C615">
        <v>146.65</v>
      </c>
      <c r="D615">
        <v>12</v>
      </c>
      <c r="E615">
        <v>5279.4</v>
      </c>
      <c r="F615" s="1">
        <v>43148</v>
      </c>
      <c r="G615" s="2" t="s">
        <v>19</v>
      </c>
      <c r="H615" s="2" t="s">
        <v>607</v>
      </c>
      <c r="I615">
        <v>157</v>
      </c>
      <c r="J615" s="2" t="s">
        <v>608</v>
      </c>
      <c r="K615" s="2" t="s">
        <v>591</v>
      </c>
      <c r="L615" s="2" t="s">
        <v>592</v>
      </c>
      <c r="M615" s="2" t="s">
        <v>593</v>
      </c>
      <c r="N615" s="2" t="s">
        <v>594</v>
      </c>
      <c r="O615" s="2" t="s">
        <v>595</v>
      </c>
      <c r="P615" s="2" t="s">
        <v>269</v>
      </c>
      <c r="Q615" s="2" t="s">
        <v>596</v>
      </c>
      <c r="R615" s="2" t="s">
        <v>597</v>
      </c>
      <c r="S615" s="2" t="s">
        <v>46</v>
      </c>
      <c r="T615">
        <v>1361</v>
      </c>
      <c r="U615">
        <f>VLOOKUP(Auto_Sales_data___Copy[[#This Row],[CUSTOMER_NAME]],$AF$2:$AH$90,2,FALSE)</f>
        <v>48</v>
      </c>
      <c r="V615">
        <f>VLOOKUP(Auto_Sales_data___Copy[[#This Row],[CUSTOMER_NAME]],$AF$2:$AH$90,3,FALSE)</f>
        <v>137955.72</v>
      </c>
      <c r="W615" s="2">
        <f>6-MATCH(Auto_Sales_data___Copy[[#This Row],[DAYS_SINCE_LAST_ORDER]],Table2[R-Cutoff],1)</f>
        <v>4</v>
      </c>
      <c r="X615" s="2">
        <f>MATCH(Auto_Sales_data___Copy[[#This Row],[Total_Orders_Per_Customer]],Table2[F-Cutoff],1)</f>
        <v>4</v>
      </c>
      <c r="Y615" s="2">
        <f>MATCH(Auto_Sales_data___Copy[[#This Row],[Total_Sales_Per_Customer]],Table2[M-Cutoff],1)</f>
        <v>4</v>
      </c>
      <c r="Z615" s="2" t="str">
        <f>Auto_Sales_data___Copy[[#This Row],[R-Score(1-5)]]&amp;Auto_Sales_data___Copy[[#This Row],[F-Score(1-5)]]&amp;Auto_Sales_data___Copy[[#This Row],[M-Score(1-5)]]</f>
        <v>444</v>
      </c>
      <c r="AA615" s="2" t="str" cm="1">
        <f t="array" ref="AA6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5" s="2" t="str">
        <f>VLOOKUP(Auto_Sales_data___Copy[[#This Row],[Segment Name]],Table3[],2,FALSE)</f>
        <v>VIP Recognitioon &amp; Inclusivity</v>
      </c>
    </row>
    <row r="616" spans="1:28" x14ac:dyDescent="0.25">
      <c r="A616">
        <v>10107</v>
      </c>
      <c r="B616">
        <v>21</v>
      </c>
      <c r="C616">
        <v>144.6</v>
      </c>
      <c r="D616">
        <v>1</v>
      </c>
      <c r="E616">
        <v>3036.6</v>
      </c>
      <c r="F616" s="1">
        <v>43155</v>
      </c>
      <c r="G616" s="2" t="s">
        <v>19</v>
      </c>
      <c r="H616" s="2" t="s">
        <v>20</v>
      </c>
      <c r="I616">
        <v>150</v>
      </c>
      <c r="J616" s="2" t="s">
        <v>539</v>
      </c>
      <c r="K616" s="2" t="s">
        <v>22</v>
      </c>
      <c r="L616" s="2" t="s">
        <v>23</v>
      </c>
      <c r="M616" s="2" t="s">
        <v>24</v>
      </c>
      <c r="N616" s="2" t="s">
        <v>25</v>
      </c>
      <c r="O616" s="2" t="s">
        <v>26</v>
      </c>
      <c r="P616" s="2" t="s">
        <v>27</v>
      </c>
      <c r="Q616" s="2" t="s">
        <v>28</v>
      </c>
      <c r="R616" s="2" t="s">
        <v>29</v>
      </c>
      <c r="S616" s="2" t="s">
        <v>46</v>
      </c>
      <c r="T616">
        <v>1054</v>
      </c>
      <c r="U616">
        <f>VLOOKUP(Auto_Sales_data___Copy[[#This Row],[CUSTOMER_NAME]],$AF$2:$AH$90,2,FALSE)</f>
        <v>49</v>
      </c>
      <c r="V616">
        <f>VLOOKUP(Auto_Sales_data___Copy[[#This Row],[CUSTOMER_NAME]],$AF$2:$AH$90,3,FALSE)</f>
        <v>164069.43999999997</v>
      </c>
      <c r="W616" s="2">
        <f>6-MATCH(Auto_Sales_data___Copy[[#This Row],[DAYS_SINCE_LAST_ORDER]],Table2[R-Cutoff],1)</f>
        <v>4</v>
      </c>
      <c r="X616" s="2">
        <f>MATCH(Auto_Sales_data___Copy[[#This Row],[Total_Orders_Per_Customer]],Table2[F-Cutoff],1)</f>
        <v>4</v>
      </c>
      <c r="Y616" s="2">
        <f>MATCH(Auto_Sales_data___Copy[[#This Row],[Total_Sales_Per_Customer]],Table2[M-Cutoff],1)</f>
        <v>4</v>
      </c>
      <c r="Z616" s="2" t="str">
        <f>Auto_Sales_data___Copy[[#This Row],[R-Score(1-5)]]&amp;Auto_Sales_data___Copy[[#This Row],[F-Score(1-5)]]&amp;Auto_Sales_data___Copy[[#This Row],[M-Score(1-5)]]</f>
        <v>444</v>
      </c>
      <c r="AA616" s="2" t="str" cm="1">
        <f t="array" ref="AA6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6" s="2" t="str">
        <f>VLOOKUP(Auto_Sales_data___Copy[[#This Row],[Segment Name]],Table3[],2,FALSE)</f>
        <v>VIP Recognitioon &amp; Inclusivity</v>
      </c>
    </row>
    <row r="617" spans="1:28" x14ac:dyDescent="0.25">
      <c r="A617">
        <v>10110</v>
      </c>
      <c r="B617">
        <v>37</v>
      </c>
      <c r="C617">
        <v>146.84</v>
      </c>
      <c r="D617">
        <v>16</v>
      </c>
      <c r="E617">
        <v>5433.08</v>
      </c>
      <c r="F617" s="1">
        <v>43177</v>
      </c>
      <c r="G617" s="2" t="s">
        <v>19</v>
      </c>
      <c r="H617" s="2" t="s">
        <v>183</v>
      </c>
      <c r="I617">
        <v>124</v>
      </c>
      <c r="J617" s="2" t="s">
        <v>606</v>
      </c>
      <c r="K617" s="2" t="s">
        <v>523</v>
      </c>
      <c r="L617" s="2" t="s">
        <v>524</v>
      </c>
      <c r="M617" s="2" t="s">
        <v>525</v>
      </c>
      <c r="N617" s="2" t="s">
        <v>526</v>
      </c>
      <c r="O617" s="2" t="s">
        <v>527</v>
      </c>
      <c r="P617" s="2" t="s">
        <v>171</v>
      </c>
      <c r="Q617" s="2" t="s">
        <v>528</v>
      </c>
      <c r="R617" s="2" t="s">
        <v>529</v>
      </c>
      <c r="S617" s="2" t="s">
        <v>46</v>
      </c>
      <c r="T617">
        <v>1307</v>
      </c>
      <c r="U617">
        <f>VLOOKUP(Auto_Sales_data___Copy[[#This Row],[CUSTOMER_NAME]],$AF$2:$AH$90,2,FALSE)</f>
        <v>51</v>
      </c>
      <c r="V617">
        <f>VLOOKUP(Auto_Sales_data___Copy[[#This Row],[CUSTOMER_NAME]],$AF$2:$AH$90,3,FALSE)</f>
        <v>157807.80999999994</v>
      </c>
      <c r="W617" s="2">
        <f>6-MATCH(Auto_Sales_data___Copy[[#This Row],[DAYS_SINCE_LAST_ORDER]],Table2[R-Cutoff],1)</f>
        <v>4</v>
      </c>
      <c r="X617" s="2">
        <f>MATCH(Auto_Sales_data___Copy[[#This Row],[Total_Orders_Per_Customer]],Table2[F-Cutoff],1)</f>
        <v>4</v>
      </c>
      <c r="Y617" s="2">
        <f>MATCH(Auto_Sales_data___Copy[[#This Row],[Total_Sales_Per_Customer]],Table2[M-Cutoff],1)</f>
        <v>4</v>
      </c>
      <c r="Z617" s="2" t="str">
        <f>Auto_Sales_data___Copy[[#This Row],[R-Score(1-5)]]&amp;Auto_Sales_data___Copy[[#This Row],[F-Score(1-5)]]&amp;Auto_Sales_data___Copy[[#This Row],[M-Score(1-5)]]</f>
        <v>444</v>
      </c>
      <c r="AA617" s="2" t="str" cm="1">
        <f t="array" ref="AA6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7" s="2" t="str">
        <f>VLOOKUP(Auto_Sales_data___Copy[[#This Row],[Segment Name]],Table3[],2,FALSE)</f>
        <v>VIP Recognitioon &amp; Inclusivity</v>
      </c>
    </row>
    <row r="618" spans="1:28" x14ac:dyDescent="0.25">
      <c r="A618">
        <v>10110</v>
      </c>
      <c r="B618">
        <v>42</v>
      </c>
      <c r="C618">
        <v>144.5</v>
      </c>
      <c r="D618">
        <v>7</v>
      </c>
      <c r="E618">
        <v>6069</v>
      </c>
      <c r="F618" s="1">
        <v>43177</v>
      </c>
      <c r="G618" s="2" t="s">
        <v>19</v>
      </c>
      <c r="H618" s="2" t="s">
        <v>589</v>
      </c>
      <c r="I618">
        <v>170</v>
      </c>
      <c r="J618" s="2" t="s">
        <v>628</v>
      </c>
      <c r="K618" s="2" t="s">
        <v>523</v>
      </c>
      <c r="L618" s="2" t="s">
        <v>524</v>
      </c>
      <c r="M618" s="2" t="s">
        <v>525</v>
      </c>
      <c r="N618" s="2" t="s">
        <v>526</v>
      </c>
      <c r="O618" s="2" t="s">
        <v>527</v>
      </c>
      <c r="P618" s="2" t="s">
        <v>171</v>
      </c>
      <c r="Q618" s="2" t="s">
        <v>528</v>
      </c>
      <c r="R618" s="2" t="s">
        <v>529</v>
      </c>
      <c r="S618" s="2" t="s">
        <v>46</v>
      </c>
      <c r="T618">
        <v>1359</v>
      </c>
      <c r="U618">
        <f>VLOOKUP(Auto_Sales_data___Copy[[#This Row],[CUSTOMER_NAME]],$AF$2:$AH$90,2,FALSE)</f>
        <v>51</v>
      </c>
      <c r="V618">
        <f>VLOOKUP(Auto_Sales_data___Copy[[#This Row],[CUSTOMER_NAME]],$AF$2:$AH$90,3,FALSE)</f>
        <v>157807.80999999994</v>
      </c>
      <c r="W618" s="2">
        <f>6-MATCH(Auto_Sales_data___Copy[[#This Row],[DAYS_SINCE_LAST_ORDER]],Table2[R-Cutoff],1)</f>
        <v>4</v>
      </c>
      <c r="X618" s="2">
        <f>MATCH(Auto_Sales_data___Copy[[#This Row],[Total_Orders_Per_Customer]],Table2[F-Cutoff],1)</f>
        <v>4</v>
      </c>
      <c r="Y618" s="2">
        <f>MATCH(Auto_Sales_data___Copy[[#This Row],[Total_Sales_Per_Customer]],Table2[M-Cutoff],1)</f>
        <v>4</v>
      </c>
      <c r="Z618" s="2" t="str">
        <f>Auto_Sales_data___Copy[[#This Row],[R-Score(1-5)]]&amp;Auto_Sales_data___Copy[[#This Row],[F-Score(1-5)]]&amp;Auto_Sales_data___Copy[[#This Row],[M-Score(1-5)]]</f>
        <v>444</v>
      </c>
      <c r="AA618" s="2" t="str" cm="1">
        <f t="array" ref="AA6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8" s="2" t="str">
        <f>VLOOKUP(Auto_Sales_data___Copy[[#This Row],[Segment Name]],Table3[],2,FALSE)</f>
        <v>VIP Recognitioon &amp; Inclusivity</v>
      </c>
    </row>
    <row r="619" spans="1:28" x14ac:dyDescent="0.25">
      <c r="A619">
        <v>10110</v>
      </c>
      <c r="B619">
        <v>32</v>
      </c>
      <c r="C619">
        <v>50.25</v>
      </c>
      <c r="D619">
        <v>6</v>
      </c>
      <c r="E619">
        <v>1608</v>
      </c>
      <c r="F619" s="1">
        <v>43177</v>
      </c>
      <c r="G619" s="2" t="s">
        <v>19</v>
      </c>
      <c r="H619" s="2" t="s">
        <v>589</v>
      </c>
      <c r="I619">
        <v>60</v>
      </c>
      <c r="J619" s="2" t="s">
        <v>632</v>
      </c>
      <c r="K619" s="2" t="s">
        <v>523</v>
      </c>
      <c r="L619" s="2" t="s">
        <v>524</v>
      </c>
      <c r="M619" s="2" t="s">
        <v>525</v>
      </c>
      <c r="N619" s="2" t="s">
        <v>526</v>
      </c>
      <c r="O619" s="2" t="s">
        <v>527</v>
      </c>
      <c r="P619" s="2" t="s">
        <v>171</v>
      </c>
      <c r="Q619" s="2" t="s">
        <v>528</v>
      </c>
      <c r="R619" s="2" t="s">
        <v>529</v>
      </c>
      <c r="S619" s="2" t="s">
        <v>30</v>
      </c>
      <c r="T619">
        <v>1459</v>
      </c>
      <c r="U619">
        <f>VLOOKUP(Auto_Sales_data___Copy[[#This Row],[CUSTOMER_NAME]],$AF$2:$AH$90,2,FALSE)</f>
        <v>51</v>
      </c>
      <c r="V619">
        <f>VLOOKUP(Auto_Sales_data___Copy[[#This Row],[CUSTOMER_NAME]],$AF$2:$AH$90,3,FALSE)</f>
        <v>157807.80999999994</v>
      </c>
      <c r="W619" s="2">
        <f>6-MATCH(Auto_Sales_data___Copy[[#This Row],[DAYS_SINCE_LAST_ORDER]],Table2[R-Cutoff],1)</f>
        <v>4</v>
      </c>
      <c r="X619" s="2">
        <f>MATCH(Auto_Sales_data___Copy[[#This Row],[Total_Orders_Per_Customer]],Table2[F-Cutoff],1)</f>
        <v>4</v>
      </c>
      <c r="Y619" s="2">
        <f>MATCH(Auto_Sales_data___Copy[[#This Row],[Total_Sales_Per_Customer]],Table2[M-Cutoff],1)</f>
        <v>4</v>
      </c>
      <c r="Z619" s="2" t="str">
        <f>Auto_Sales_data___Copy[[#This Row],[R-Score(1-5)]]&amp;Auto_Sales_data___Copy[[#This Row],[F-Score(1-5)]]&amp;Auto_Sales_data___Copy[[#This Row],[M-Score(1-5)]]</f>
        <v>444</v>
      </c>
      <c r="AA619" s="2" t="str" cm="1">
        <f t="array" ref="AA6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9" s="2" t="str">
        <f>VLOOKUP(Auto_Sales_data___Copy[[#This Row],[Segment Name]],Table3[],2,FALSE)</f>
        <v>VIP Recognitioon &amp; Inclusivity</v>
      </c>
    </row>
    <row r="620" spans="1:28" x14ac:dyDescent="0.25">
      <c r="A620">
        <v>10113</v>
      </c>
      <c r="B620">
        <v>21</v>
      </c>
      <c r="C620">
        <v>162.63999999999999</v>
      </c>
      <c r="D620">
        <v>2</v>
      </c>
      <c r="E620">
        <v>3415.44</v>
      </c>
      <c r="F620" s="1">
        <v>43185</v>
      </c>
      <c r="G620" s="2" t="s">
        <v>19</v>
      </c>
      <c r="H620" s="2" t="s">
        <v>537</v>
      </c>
      <c r="I620">
        <v>136</v>
      </c>
      <c r="J620" s="2" t="s">
        <v>538</v>
      </c>
      <c r="K620" s="2" t="s">
        <v>284</v>
      </c>
      <c r="L620" s="2" t="s">
        <v>285</v>
      </c>
      <c r="M620" s="2" t="s">
        <v>286</v>
      </c>
      <c r="N620" s="2" t="s">
        <v>287</v>
      </c>
      <c r="O620" s="2" t="s">
        <v>106</v>
      </c>
      <c r="P620" s="2" t="s">
        <v>27</v>
      </c>
      <c r="Q620" s="2" t="s">
        <v>288</v>
      </c>
      <c r="R620" s="2" t="s">
        <v>289</v>
      </c>
      <c r="S620" s="2" t="s">
        <v>46</v>
      </c>
      <c r="T620">
        <v>999</v>
      </c>
      <c r="U620">
        <f>VLOOKUP(Auto_Sales_data___Copy[[#This Row],[CUSTOMER_NAME]],$AF$2:$AH$90,2,FALSE)</f>
        <v>180</v>
      </c>
      <c r="V620">
        <f>VLOOKUP(Auto_Sales_data___Copy[[#This Row],[CUSTOMER_NAME]],$AF$2:$AH$90,3,FALSE)</f>
        <v>654858.06000000017</v>
      </c>
      <c r="W620" s="2">
        <f>6-MATCH(Auto_Sales_data___Copy[[#This Row],[DAYS_SINCE_LAST_ORDER]],Table2[R-Cutoff],1)</f>
        <v>4</v>
      </c>
      <c r="X620" s="2">
        <f>MATCH(Auto_Sales_data___Copy[[#This Row],[Total_Orders_Per_Customer]],Table2[F-Cutoff],1)</f>
        <v>4</v>
      </c>
      <c r="Y620" s="2">
        <f>MATCH(Auto_Sales_data___Copy[[#This Row],[Total_Sales_Per_Customer]],Table2[M-Cutoff],1)</f>
        <v>4</v>
      </c>
      <c r="Z620" s="2" t="str">
        <f>Auto_Sales_data___Copy[[#This Row],[R-Score(1-5)]]&amp;Auto_Sales_data___Copy[[#This Row],[F-Score(1-5)]]&amp;Auto_Sales_data___Copy[[#This Row],[M-Score(1-5)]]</f>
        <v>444</v>
      </c>
      <c r="AA620" s="2" t="str" cm="1">
        <f t="array" ref="AA6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0" s="2" t="str">
        <f>VLOOKUP(Auto_Sales_data___Copy[[#This Row],[Segment Name]],Table3[],2,FALSE)</f>
        <v>VIP Recognitioon &amp; Inclusivity</v>
      </c>
    </row>
    <row r="621" spans="1:28" x14ac:dyDescent="0.25">
      <c r="A621">
        <v>10113</v>
      </c>
      <c r="B621">
        <v>49</v>
      </c>
      <c r="C621">
        <v>100.34</v>
      </c>
      <c r="D621">
        <v>4</v>
      </c>
      <c r="E621">
        <v>4916.66</v>
      </c>
      <c r="F621" s="1">
        <v>43185</v>
      </c>
      <c r="G621" s="2" t="s">
        <v>19</v>
      </c>
      <c r="H621" s="2" t="s">
        <v>537</v>
      </c>
      <c r="I621">
        <v>116</v>
      </c>
      <c r="J621" s="2" t="s">
        <v>575</v>
      </c>
      <c r="K621" s="2" t="s">
        <v>284</v>
      </c>
      <c r="L621" s="2" t="s">
        <v>285</v>
      </c>
      <c r="M621" s="2" t="s">
        <v>286</v>
      </c>
      <c r="N621" s="2" t="s">
        <v>287</v>
      </c>
      <c r="O621" s="2" t="s">
        <v>106</v>
      </c>
      <c r="P621" s="2" t="s">
        <v>27</v>
      </c>
      <c r="Q621" s="2" t="s">
        <v>288</v>
      </c>
      <c r="R621" s="2" t="s">
        <v>289</v>
      </c>
      <c r="S621" s="2" t="s">
        <v>46</v>
      </c>
      <c r="T621">
        <v>1200</v>
      </c>
      <c r="U621">
        <f>VLOOKUP(Auto_Sales_data___Copy[[#This Row],[CUSTOMER_NAME]],$AF$2:$AH$90,2,FALSE)</f>
        <v>180</v>
      </c>
      <c r="V621">
        <f>VLOOKUP(Auto_Sales_data___Copy[[#This Row],[CUSTOMER_NAME]],$AF$2:$AH$90,3,FALSE)</f>
        <v>654858.06000000017</v>
      </c>
      <c r="W621" s="2">
        <f>6-MATCH(Auto_Sales_data___Copy[[#This Row],[DAYS_SINCE_LAST_ORDER]],Table2[R-Cutoff],1)</f>
        <v>4</v>
      </c>
      <c r="X621" s="2">
        <f>MATCH(Auto_Sales_data___Copy[[#This Row],[Total_Orders_Per_Customer]],Table2[F-Cutoff],1)</f>
        <v>4</v>
      </c>
      <c r="Y621" s="2">
        <f>MATCH(Auto_Sales_data___Copy[[#This Row],[Total_Sales_Per_Customer]],Table2[M-Cutoff],1)</f>
        <v>4</v>
      </c>
      <c r="Z621" s="2" t="str">
        <f>Auto_Sales_data___Copy[[#This Row],[R-Score(1-5)]]&amp;Auto_Sales_data___Copy[[#This Row],[F-Score(1-5)]]&amp;Auto_Sales_data___Copy[[#This Row],[M-Score(1-5)]]</f>
        <v>444</v>
      </c>
      <c r="AA621" s="2" t="str" cm="1">
        <f t="array" ref="AA6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1" s="2" t="str">
        <f>VLOOKUP(Auto_Sales_data___Copy[[#This Row],[Segment Name]],Table3[],2,FALSE)</f>
        <v>VIP Recognitioon &amp; Inclusivity</v>
      </c>
    </row>
    <row r="622" spans="1:28" x14ac:dyDescent="0.25">
      <c r="A622">
        <v>10117</v>
      </c>
      <c r="B622">
        <v>33</v>
      </c>
      <c r="C622">
        <v>182.86</v>
      </c>
      <c r="D622">
        <v>9</v>
      </c>
      <c r="E622">
        <v>6034.38</v>
      </c>
      <c r="F622" s="1">
        <v>43206</v>
      </c>
      <c r="G622" s="2" t="s">
        <v>19</v>
      </c>
      <c r="H622" s="2" t="s">
        <v>183</v>
      </c>
      <c r="I622">
        <v>207</v>
      </c>
      <c r="J622" s="2" t="s">
        <v>505</v>
      </c>
      <c r="K622" s="2" t="s">
        <v>199</v>
      </c>
      <c r="L622" s="2" t="s">
        <v>200</v>
      </c>
      <c r="M622" s="2" t="s">
        <v>201</v>
      </c>
      <c r="N622" s="2" t="s">
        <v>202</v>
      </c>
      <c r="O622" s="2" t="s">
        <v>203</v>
      </c>
      <c r="P622" s="2" t="s">
        <v>202</v>
      </c>
      <c r="Q622" s="2" t="s">
        <v>204</v>
      </c>
      <c r="R622" s="2" t="s">
        <v>205</v>
      </c>
      <c r="S622" s="2" t="s">
        <v>46</v>
      </c>
      <c r="T622">
        <v>952</v>
      </c>
      <c r="U622">
        <f>VLOOKUP(Auto_Sales_data___Copy[[#This Row],[CUSTOMER_NAME]],$AF$2:$AH$90,2,FALSE)</f>
        <v>43</v>
      </c>
      <c r="V622">
        <f>VLOOKUP(Auto_Sales_data___Copy[[#This Row],[CUSTOMER_NAME]],$AF$2:$AH$90,3,FALSE)</f>
        <v>172989.68000000008</v>
      </c>
      <c r="W622" s="2">
        <f>6-MATCH(Auto_Sales_data___Copy[[#This Row],[DAYS_SINCE_LAST_ORDER]],Table2[R-Cutoff],1)</f>
        <v>4</v>
      </c>
      <c r="X622" s="2">
        <f>MATCH(Auto_Sales_data___Copy[[#This Row],[Total_Orders_Per_Customer]],Table2[F-Cutoff],1)</f>
        <v>4</v>
      </c>
      <c r="Y622" s="2">
        <f>MATCH(Auto_Sales_data___Copy[[#This Row],[Total_Sales_Per_Customer]],Table2[M-Cutoff],1)</f>
        <v>4</v>
      </c>
      <c r="Z622" s="2" t="str">
        <f>Auto_Sales_data___Copy[[#This Row],[R-Score(1-5)]]&amp;Auto_Sales_data___Copy[[#This Row],[F-Score(1-5)]]&amp;Auto_Sales_data___Copy[[#This Row],[M-Score(1-5)]]</f>
        <v>444</v>
      </c>
      <c r="AA622" s="2" t="str" cm="1">
        <f t="array" ref="AA6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2" s="2" t="str">
        <f>VLOOKUP(Auto_Sales_data___Copy[[#This Row],[Segment Name]],Table3[],2,FALSE)</f>
        <v>VIP Recognitioon &amp; Inclusivity</v>
      </c>
    </row>
    <row r="623" spans="1:28" x14ac:dyDescent="0.25">
      <c r="A623">
        <v>10117</v>
      </c>
      <c r="B623">
        <v>43</v>
      </c>
      <c r="C623">
        <v>137.47999999999999</v>
      </c>
      <c r="D623">
        <v>10</v>
      </c>
      <c r="E623">
        <v>5911.64</v>
      </c>
      <c r="F623" s="1">
        <v>43206</v>
      </c>
      <c r="G623" s="2" t="s">
        <v>19</v>
      </c>
      <c r="H623" s="2" t="s">
        <v>183</v>
      </c>
      <c r="I623">
        <v>151</v>
      </c>
      <c r="J623" s="2" t="s">
        <v>545</v>
      </c>
      <c r="K623" s="2" t="s">
        <v>199</v>
      </c>
      <c r="L623" s="2" t="s">
        <v>200</v>
      </c>
      <c r="M623" s="2" t="s">
        <v>201</v>
      </c>
      <c r="N623" s="2" t="s">
        <v>202</v>
      </c>
      <c r="O623" s="2" t="s">
        <v>203</v>
      </c>
      <c r="P623" s="2" t="s">
        <v>202</v>
      </c>
      <c r="Q623" s="2" t="s">
        <v>204</v>
      </c>
      <c r="R623" s="2" t="s">
        <v>205</v>
      </c>
      <c r="S623" s="2" t="s">
        <v>46</v>
      </c>
      <c r="T623">
        <v>1028</v>
      </c>
      <c r="U623">
        <f>VLOOKUP(Auto_Sales_data___Copy[[#This Row],[CUSTOMER_NAME]],$AF$2:$AH$90,2,FALSE)</f>
        <v>43</v>
      </c>
      <c r="V623">
        <f>VLOOKUP(Auto_Sales_data___Copy[[#This Row],[CUSTOMER_NAME]],$AF$2:$AH$90,3,FALSE)</f>
        <v>172989.68000000008</v>
      </c>
      <c r="W623" s="2">
        <f>6-MATCH(Auto_Sales_data___Copy[[#This Row],[DAYS_SINCE_LAST_ORDER]],Table2[R-Cutoff],1)</f>
        <v>4</v>
      </c>
      <c r="X623" s="2">
        <f>MATCH(Auto_Sales_data___Copy[[#This Row],[Total_Orders_Per_Customer]],Table2[F-Cutoff],1)</f>
        <v>4</v>
      </c>
      <c r="Y623" s="2">
        <f>MATCH(Auto_Sales_data___Copy[[#This Row],[Total_Sales_Per_Customer]],Table2[M-Cutoff],1)</f>
        <v>4</v>
      </c>
      <c r="Z623" s="2" t="str">
        <f>Auto_Sales_data___Copy[[#This Row],[R-Score(1-5)]]&amp;Auto_Sales_data___Copy[[#This Row],[F-Score(1-5)]]&amp;Auto_Sales_data___Copy[[#This Row],[M-Score(1-5)]]</f>
        <v>444</v>
      </c>
      <c r="AA623" s="2" t="str" cm="1">
        <f t="array" ref="AA6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3" s="2" t="str">
        <f>VLOOKUP(Auto_Sales_data___Copy[[#This Row],[Segment Name]],Table3[],2,FALSE)</f>
        <v>VIP Recognitioon &amp; Inclusivity</v>
      </c>
    </row>
    <row r="624" spans="1:28" x14ac:dyDescent="0.25">
      <c r="A624">
        <v>10117</v>
      </c>
      <c r="B624">
        <v>39</v>
      </c>
      <c r="C624">
        <v>152.26</v>
      </c>
      <c r="D624">
        <v>8</v>
      </c>
      <c r="E624">
        <v>5938.14</v>
      </c>
      <c r="F624" s="1">
        <v>43206</v>
      </c>
      <c r="G624" s="2" t="s">
        <v>19</v>
      </c>
      <c r="H624" s="2" t="s">
        <v>183</v>
      </c>
      <c r="I624">
        <v>173</v>
      </c>
      <c r="J624" s="2" t="s">
        <v>552</v>
      </c>
      <c r="K624" s="2" t="s">
        <v>199</v>
      </c>
      <c r="L624" s="2" t="s">
        <v>200</v>
      </c>
      <c r="M624" s="2" t="s">
        <v>201</v>
      </c>
      <c r="N624" s="2" t="s">
        <v>202</v>
      </c>
      <c r="O624" s="2" t="s">
        <v>203</v>
      </c>
      <c r="P624" s="2" t="s">
        <v>202</v>
      </c>
      <c r="Q624" s="2" t="s">
        <v>204</v>
      </c>
      <c r="R624" s="2" t="s">
        <v>205</v>
      </c>
      <c r="S624" s="2" t="s">
        <v>46</v>
      </c>
      <c r="T624">
        <v>1077</v>
      </c>
      <c r="U624">
        <f>VLOOKUP(Auto_Sales_data___Copy[[#This Row],[CUSTOMER_NAME]],$AF$2:$AH$90,2,FALSE)</f>
        <v>43</v>
      </c>
      <c r="V624">
        <f>VLOOKUP(Auto_Sales_data___Copy[[#This Row],[CUSTOMER_NAME]],$AF$2:$AH$90,3,FALSE)</f>
        <v>172989.68000000008</v>
      </c>
      <c r="W624" s="2">
        <f>6-MATCH(Auto_Sales_data___Copy[[#This Row],[DAYS_SINCE_LAST_ORDER]],Table2[R-Cutoff],1)</f>
        <v>4</v>
      </c>
      <c r="X624" s="2">
        <f>MATCH(Auto_Sales_data___Copy[[#This Row],[Total_Orders_Per_Customer]],Table2[F-Cutoff],1)</f>
        <v>4</v>
      </c>
      <c r="Y624" s="2">
        <f>MATCH(Auto_Sales_data___Copy[[#This Row],[Total_Sales_Per_Customer]],Table2[M-Cutoff],1)</f>
        <v>4</v>
      </c>
      <c r="Z624" s="2" t="str">
        <f>Auto_Sales_data___Copy[[#This Row],[R-Score(1-5)]]&amp;Auto_Sales_data___Copy[[#This Row],[F-Score(1-5)]]&amp;Auto_Sales_data___Copy[[#This Row],[M-Score(1-5)]]</f>
        <v>444</v>
      </c>
      <c r="AA624" s="2" t="str" cm="1">
        <f t="array" ref="AA6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4" s="2" t="str">
        <f>VLOOKUP(Auto_Sales_data___Copy[[#This Row],[Segment Name]],Table3[],2,FALSE)</f>
        <v>VIP Recognitioon &amp; Inclusivity</v>
      </c>
    </row>
    <row r="625" spans="1:28" x14ac:dyDescent="0.25">
      <c r="A625">
        <v>10119</v>
      </c>
      <c r="B625">
        <v>43</v>
      </c>
      <c r="C625">
        <v>160.84</v>
      </c>
      <c r="D625">
        <v>3</v>
      </c>
      <c r="E625">
        <v>6916.12</v>
      </c>
      <c r="F625" s="1">
        <v>43218</v>
      </c>
      <c r="G625" s="2" t="s">
        <v>19</v>
      </c>
      <c r="H625" s="2" t="s">
        <v>607</v>
      </c>
      <c r="I625">
        <v>157</v>
      </c>
      <c r="J625" s="2" t="s">
        <v>608</v>
      </c>
      <c r="K625" s="2" t="s">
        <v>143</v>
      </c>
      <c r="L625" s="2" t="s">
        <v>144</v>
      </c>
      <c r="M625" s="2" t="s">
        <v>145</v>
      </c>
      <c r="N625" s="2" t="s">
        <v>146</v>
      </c>
      <c r="O625" s="2" t="s">
        <v>147</v>
      </c>
      <c r="P625" s="2" t="s">
        <v>148</v>
      </c>
      <c r="Q625" s="2" t="s">
        <v>149</v>
      </c>
      <c r="R625" s="2" t="s">
        <v>150</v>
      </c>
      <c r="S625" s="2" t="s">
        <v>46</v>
      </c>
      <c r="T625">
        <v>1292</v>
      </c>
      <c r="U625">
        <f>VLOOKUP(Auto_Sales_data___Copy[[#This Row],[CUSTOMER_NAME]],$AF$2:$AH$90,2,FALSE)</f>
        <v>40</v>
      </c>
      <c r="V625">
        <f>VLOOKUP(Auto_Sales_data___Copy[[#This Row],[CUSTOMER_NAME]],$AF$2:$AH$90,3,FALSE)</f>
        <v>149798.63</v>
      </c>
      <c r="W625" s="2">
        <f>6-MATCH(Auto_Sales_data___Copy[[#This Row],[DAYS_SINCE_LAST_ORDER]],Table2[R-Cutoff],1)</f>
        <v>4</v>
      </c>
      <c r="X625" s="2">
        <f>MATCH(Auto_Sales_data___Copy[[#This Row],[Total_Orders_Per_Customer]],Table2[F-Cutoff],1)</f>
        <v>4</v>
      </c>
      <c r="Y625" s="2">
        <f>MATCH(Auto_Sales_data___Copy[[#This Row],[Total_Sales_Per_Customer]],Table2[M-Cutoff],1)</f>
        <v>4</v>
      </c>
      <c r="Z625" s="2" t="str">
        <f>Auto_Sales_data___Copy[[#This Row],[R-Score(1-5)]]&amp;Auto_Sales_data___Copy[[#This Row],[F-Score(1-5)]]&amp;Auto_Sales_data___Copy[[#This Row],[M-Score(1-5)]]</f>
        <v>444</v>
      </c>
      <c r="AA625" s="2" t="str" cm="1">
        <f t="array" ref="AA6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5" s="2" t="str">
        <f>VLOOKUP(Auto_Sales_data___Copy[[#This Row],[Segment Name]],Table3[],2,FALSE)</f>
        <v>VIP Recognitioon &amp; Inclusivity</v>
      </c>
    </row>
    <row r="626" spans="1:28" x14ac:dyDescent="0.25">
      <c r="A626">
        <v>10121</v>
      </c>
      <c r="B626">
        <v>50</v>
      </c>
      <c r="C626">
        <v>165.68</v>
      </c>
      <c r="D626">
        <v>4</v>
      </c>
      <c r="E626">
        <v>8284</v>
      </c>
      <c r="F626" s="1">
        <v>43227</v>
      </c>
      <c r="G626" s="2" t="s">
        <v>19</v>
      </c>
      <c r="H626" s="2" t="s">
        <v>20</v>
      </c>
      <c r="I626">
        <v>150</v>
      </c>
      <c r="J626" s="2" t="s">
        <v>539</v>
      </c>
      <c r="K626" s="2" t="s">
        <v>31</v>
      </c>
      <c r="L626" s="2" t="s">
        <v>32</v>
      </c>
      <c r="M626" s="2" t="s">
        <v>33</v>
      </c>
      <c r="N626" s="2" t="s">
        <v>34</v>
      </c>
      <c r="O626" s="2" t="s">
        <v>35</v>
      </c>
      <c r="P626" s="2" t="s">
        <v>36</v>
      </c>
      <c r="Q626" s="2" t="s">
        <v>37</v>
      </c>
      <c r="R626" s="2" t="s">
        <v>38</v>
      </c>
      <c r="S626" s="2" t="s">
        <v>151</v>
      </c>
      <c r="T626">
        <v>983</v>
      </c>
      <c r="U626">
        <f>VLOOKUP(Auto_Sales_data___Copy[[#This Row],[CUSTOMER_NAME]],$AF$2:$AH$90,2,FALSE)</f>
        <v>41</v>
      </c>
      <c r="V626">
        <f>VLOOKUP(Auto_Sales_data___Copy[[#This Row],[CUSTOMER_NAME]],$AF$2:$AH$90,3,FALSE)</f>
        <v>135042.94</v>
      </c>
      <c r="W626" s="2">
        <f>6-MATCH(Auto_Sales_data___Copy[[#This Row],[DAYS_SINCE_LAST_ORDER]],Table2[R-Cutoff],1)</f>
        <v>4</v>
      </c>
      <c r="X626" s="2">
        <f>MATCH(Auto_Sales_data___Copy[[#This Row],[Total_Orders_Per_Customer]],Table2[F-Cutoff],1)</f>
        <v>4</v>
      </c>
      <c r="Y626" s="2">
        <f>MATCH(Auto_Sales_data___Copy[[#This Row],[Total_Sales_Per_Customer]],Table2[M-Cutoff],1)</f>
        <v>4</v>
      </c>
      <c r="Z626" s="2" t="str">
        <f>Auto_Sales_data___Copy[[#This Row],[R-Score(1-5)]]&amp;Auto_Sales_data___Copy[[#This Row],[F-Score(1-5)]]&amp;Auto_Sales_data___Copy[[#This Row],[M-Score(1-5)]]</f>
        <v>444</v>
      </c>
      <c r="AA626" s="2" t="str" cm="1">
        <f t="array" ref="AA6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6" s="2" t="str">
        <f>VLOOKUP(Auto_Sales_data___Copy[[#This Row],[Segment Name]],Table3[],2,FALSE)</f>
        <v>VIP Recognitioon &amp; Inclusivity</v>
      </c>
    </row>
    <row r="627" spans="1:28" x14ac:dyDescent="0.25">
      <c r="A627">
        <v>10125</v>
      </c>
      <c r="B627">
        <v>32</v>
      </c>
      <c r="C627">
        <v>101.71</v>
      </c>
      <c r="D627">
        <v>1</v>
      </c>
      <c r="E627">
        <v>3254.72</v>
      </c>
      <c r="F627" s="1">
        <v>43241</v>
      </c>
      <c r="G627" s="2" t="s">
        <v>19</v>
      </c>
      <c r="H627" s="2" t="s">
        <v>589</v>
      </c>
      <c r="I627">
        <v>102</v>
      </c>
      <c r="J627" s="2" t="s">
        <v>590</v>
      </c>
      <c r="K627" s="2" t="s">
        <v>82</v>
      </c>
      <c r="L627" s="2" t="s">
        <v>83</v>
      </c>
      <c r="M627" s="2" t="s">
        <v>84</v>
      </c>
      <c r="N627" s="2" t="s">
        <v>85</v>
      </c>
      <c r="O627" s="2" t="s">
        <v>86</v>
      </c>
      <c r="P627" s="2" t="s">
        <v>87</v>
      </c>
      <c r="Q627" s="2" t="s">
        <v>88</v>
      </c>
      <c r="R627" s="2" t="s">
        <v>89</v>
      </c>
      <c r="S627" s="2" t="s">
        <v>46</v>
      </c>
      <c r="T627">
        <v>1197</v>
      </c>
      <c r="U627">
        <f>VLOOKUP(Auto_Sales_data___Copy[[#This Row],[CUSTOMER_NAME]],$AF$2:$AH$90,2,FALSE)</f>
        <v>55</v>
      </c>
      <c r="V627">
        <f>VLOOKUP(Auto_Sales_data___Copy[[#This Row],[CUSTOMER_NAME]],$AF$2:$AH$90,3,FALSE)</f>
        <v>200995.41000000006</v>
      </c>
      <c r="W627" s="2">
        <f>6-MATCH(Auto_Sales_data___Copy[[#This Row],[DAYS_SINCE_LAST_ORDER]],Table2[R-Cutoff],1)</f>
        <v>4</v>
      </c>
      <c r="X627" s="2">
        <f>MATCH(Auto_Sales_data___Copy[[#This Row],[Total_Orders_Per_Customer]],Table2[F-Cutoff],1)</f>
        <v>4</v>
      </c>
      <c r="Y627" s="2">
        <f>MATCH(Auto_Sales_data___Copy[[#This Row],[Total_Sales_Per_Customer]],Table2[M-Cutoff],1)</f>
        <v>4</v>
      </c>
      <c r="Z627" s="2" t="str">
        <f>Auto_Sales_data___Copy[[#This Row],[R-Score(1-5)]]&amp;Auto_Sales_data___Copy[[#This Row],[F-Score(1-5)]]&amp;Auto_Sales_data___Copy[[#This Row],[M-Score(1-5)]]</f>
        <v>444</v>
      </c>
      <c r="AA627" s="2" t="str" cm="1">
        <f t="array" ref="AA6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7" s="2" t="str">
        <f>VLOOKUP(Auto_Sales_data___Copy[[#This Row],[Segment Name]],Table3[],2,FALSE)</f>
        <v>VIP Recognitioon &amp; Inclusivity</v>
      </c>
    </row>
    <row r="628" spans="1:28" x14ac:dyDescent="0.25">
      <c r="A628">
        <v>10126</v>
      </c>
      <c r="B628">
        <v>38</v>
      </c>
      <c r="C628">
        <v>101.5</v>
      </c>
      <c r="D628">
        <v>10</v>
      </c>
      <c r="E628">
        <v>3857</v>
      </c>
      <c r="F628" s="1">
        <v>43248</v>
      </c>
      <c r="G628" s="2" t="s">
        <v>19</v>
      </c>
      <c r="H628" s="2" t="s">
        <v>537</v>
      </c>
      <c r="I628">
        <v>116</v>
      </c>
      <c r="J628" s="2" t="s">
        <v>575</v>
      </c>
      <c r="K628" s="2" t="s">
        <v>193</v>
      </c>
      <c r="L628" s="2" t="s">
        <v>194</v>
      </c>
      <c r="M628" s="2" t="s">
        <v>195</v>
      </c>
      <c r="N628" s="2" t="s">
        <v>178</v>
      </c>
      <c r="O628" s="2" t="s">
        <v>196</v>
      </c>
      <c r="P628" s="2" t="s">
        <v>180</v>
      </c>
      <c r="Q628" s="2" t="s">
        <v>197</v>
      </c>
      <c r="R628" s="2" t="s">
        <v>198</v>
      </c>
      <c r="S628" s="2" t="s">
        <v>46</v>
      </c>
      <c r="T628">
        <v>1138</v>
      </c>
      <c r="U628">
        <f>VLOOKUP(Auto_Sales_data___Copy[[#This Row],[CUSTOMER_NAME]],$AF$2:$AH$90,2,FALSE)</f>
        <v>32</v>
      </c>
      <c r="V628">
        <f>VLOOKUP(Auto_Sales_data___Copy[[#This Row],[CUSTOMER_NAME]],$AF$2:$AH$90,3,FALSE)</f>
        <v>120615.28</v>
      </c>
      <c r="W628" s="2">
        <f>6-MATCH(Auto_Sales_data___Copy[[#This Row],[DAYS_SINCE_LAST_ORDER]],Table2[R-Cutoff],1)</f>
        <v>4</v>
      </c>
      <c r="X628" s="2">
        <f>MATCH(Auto_Sales_data___Copy[[#This Row],[Total_Orders_Per_Customer]],Table2[F-Cutoff],1)</f>
        <v>4</v>
      </c>
      <c r="Y628" s="2">
        <f>MATCH(Auto_Sales_data___Copy[[#This Row],[Total_Sales_Per_Customer]],Table2[M-Cutoff],1)</f>
        <v>4</v>
      </c>
      <c r="Z628" s="2" t="str">
        <f>Auto_Sales_data___Copy[[#This Row],[R-Score(1-5)]]&amp;Auto_Sales_data___Copy[[#This Row],[F-Score(1-5)]]&amp;Auto_Sales_data___Copy[[#This Row],[M-Score(1-5)]]</f>
        <v>444</v>
      </c>
      <c r="AA628" s="2" t="str" cm="1">
        <f t="array" ref="AA6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8" s="2" t="str">
        <f>VLOOKUP(Auto_Sales_data___Copy[[#This Row],[Segment Name]],Table3[],2,FALSE)</f>
        <v>VIP Recognitioon &amp; Inclusivity</v>
      </c>
    </row>
    <row r="629" spans="1:28" x14ac:dyDescent="0.25">
      <c r="A629">
        <v>10126</v>
      </c>
      <c r="B629">
        <v>42</v>
      </c>
      <c r="C629">
        <v>54.99</v>
      </c>
      <c r="D629">
        <v>17</v>
      </c>
      <c r="E629">
        <v>2309.58</v>
      </c>
      <c r="F629" s="1">
        <v>43248</v>
      </c>
      <c r="G629" s="2" t="s">
        <v>19</v>
      </c>
      <c r="H629" s="2" t="s">
        <v>589</v>
      </c>
      <c r="I629">
        <v>53</v>
      </c>
      <c r="J629" s="2" t="s">
        <v>605</v>
      </c>
      <c r="K629" s="2" t="s">
        <v>193</v>
      </c>
      <c r="L629" s="2" t="s">
        <v>194</v>
      </c>
      <c r="M629" s="2" t="s">
        <v>195</v>
      </c>
      <c r="N629" s="2" t="s">
        <v>178</v>
      </c>
      <c r="O629" s="2" t="s">
        <v>196</v>
      </c>
      <c r="P629" s="2" t="s">
        <v>180</v>
      </c>
      <c r="Q629" s="2" t="s">
        <v>197</v>
      </c>
      <c r="R629" s="2" t="s">
        <v>198</v>
      </c>
      <c r="S629" s="2" t="s">
        <v>30</v>
      </c>
      <c r="T629">
        <v>1214</v>
      </c>
      <c r="U629">
        <f>VLOOKUP(Auto_Sales_data___Copy[[#This Row],[CUSTOMER_NAME]],$AF$2:$AH$90,2,FALSE)</f>
        <v>32</v>
      </c>
      <c r="V629">
        <f>VLOOKUP(Auto_Sales_data___Copy[[#This Row],[CUSTOMER_NAME]],$AF$2:$AH$90,3,FALSE)</f>
        <v>120615.28</v>
      </c>
      <c r="W629" s="2">
        <f>6-MATCH(Auto_Sales_data___Copy[[#This Row],[DAYS_SINCE_LAST_ORDER]],Table2[R-Cutoff],1)</f>
        <v>4</v>
      </c>
      <c r="X629" s="2">
        <f>MATCH(Auto_Sales_data___Copy[[#This Row],[Total_Orders_Per_Customer]],Table2[F-Cutoff],1)</f>
        <v>4</v>
      </c>
      <c r="Y629" s="2">
        <f>MATCH(Auto_Sales_data___Copy[[#This Row],[Total_Sales_Per_Customer]],Table2[M-Cutoff],1)</f>
        <v>4</v>
      </c>
      <c r="Z629" s="2" t="str">
        <f>Auto_Sales_data___Copy[[#This Row],[R-Score(1-5)]]&amp;Auto_Sales_data___Copy[[#This Row],[F-Score(1-5)]]&amp;Auto_Sales_data___Copy[[#This Row],[M-Score(1-5)]]</f>
        <v>444</v>
      </c>
      <c r="AA629" s="2" t="str" cm="1">
        <f t="array" ref="AA6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9" s="2" t="str">
        <f>VLOOKUP(Auto_Sales_data___Copy[[#This Row],[Segment Name]],Table3[],2,FALSE)</f>
        <v>VIP Recognitioon &amp; Inclusivity</v>
      </c>
    </row>
    <row r="630" spans="1:28" x14ac:dyDescent="0.25">
      <c r="A630">
        <v>10126</v>
      </c>
      <c r="B630">
        <v>43</v>
      </c>
      <c r="C630">
        <v>65.02</v>
      </c>
      <c r="D630">
        <v>2</v>
      </c>
      <c r="E630">
        <v>2795.86</v>
      </c>
      <c r="F630" s="1">
        <v>43248</v>
      </c>
      <c r="G630" s="2" t="s">
        <v>19</v>
      </c>
      <c r="H630" s="2" t="s">
        <v>537</v>
      </c>
      <c r="I630">
        <v>60</v>
      </c>
      <c r="J630" s="2" t="s">
        <v>635</v>
      </c>
      <c r="K630" s="2" t="s">
        <v>193</v>
      </c>
      <c r="L630" s="2" t="s">
        <v>194</v>
      </c>
      <c r="M630" s="2" t="s">
        <v>195</v>
      </c>
      <c r="N630" s="2" t="s">
        <v>178</v>
      </c>
      <c r="O630" s="2" t="s">
        <v>196</v>
      </c>
      <c r="P630" s="2" t="s">
        <v>180</v>
      </c>
      <c r="Q630" s="2" t="s">
        <v>197</v>
      </c>
      <c r="R630" s="2" t="s">
        <v>198</v>
      </c>
      <c r="S630" s="2" t="s">
        <v>30</v>
      </c>
      <c r="T630">
        <v>1460</v>
      </c>
      <c r="U630">
        <f>VLOOKUP(Auto_Sales_data___Copy[[#This Row],[CUSTOMER_NAME]],$AF$2:$AH$90,2,FALSE)</f>
        <v>32</v>
      </c>
      <c r="V630">
        <f>VLOOKUP(Auto_Sales_data___Copy[[#This Row],[CUSTOMER_NAME]],$AF$2:$AH$90,3,FALSE)</f>
        <v>120615.28</v>
      </c>
      <c r="W630" s="2">
        <f>6-MATCH(Auto_Sales_data___Copy[[#This Row],[DAYS_SINCE_LAST_ORDER]],Table2[R-Cutoff],1)</f>
        <v>4</v>
      </c>
      <c r="X630" s="2">
        <f>MATCH(Auto_Sales_data___Copy[[#This Row],[Total_Orders_Per_Customer]],Table2[F-Cutoff],1)</f>
        <v>4</v>
      </c>
      <c r="Y630" s="2">
        <f>MATCH(Auto_Sales_data___Copy[[#This Row],[Total_Sales_Per_Customer]],Table2[M-Cutoff],1)</f>
        <v>4</v>
      </c>
      <c r="Z630" s="2" t="str">
        <f>Auto_Sales_data___Copy[[#This Row],[R-Score(1-5)]]&amp;Auto_Sales_data___Copy[[#This Row],[F-Score(1-5)]]&amp;Auto_Sales_data___Copy[[#This Row],[M-Score(1-5)]]</f>
        <v>444</v>
      </c>
      <c r="AA630" s="2" t="str" cm="1">
        <f t="array" ref="AA6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0" s="2" t="str">
        <f>VLOOKUP(Auto_Sales_data___Copy[[#This Row],[Segment Name]],Table3[],2,FALSE)</f>
        <v>VIP Recognitioon &amp; Inclusivity</v>
      </c>
    </row>
    <row r="631" spans="1:28" x14ac:dyDescent="0.25">
      <c r="A631">
        <v>10127</v>
      </c>
      <c r="B631">
        <v>46</v>
      </c>
      <c r="C631">
        <v>160.13999999999999</v>
      </c>
      <c r="D631">
        <v>3</v>
      </c>
      <c r="E631">
        <v>7366.44</v>
      </c>
      <c r="F631" s="1">
        <v>43254</v>
      </c>
      <c r="G631" s="2" t="s">
        <v>19</v>
      </c>
      <c r="H631" s="2" t="s">
        <v>183</v>
      </c>
      <c r="I631">
        <v>151</v>
      </c>
      <c r="J631" s="2" t="s">
        <v>545</v>
      </c>
      <c r="K631" s="2" t="s">
        <v>506</v>
      </c>
      <c r="L631" s="2" t="s">
        <v>507</v>
      </c>
      <c r="M631" s="2" t="s">
        <v>508</v>
      </c>
      <c r="N631" s="2" t="s">
        <v>25</v>
      </c>
      <c r="O631" s="2" t="s">
        <v>26</v>
      </c>
      <c r="P631" s="2" t="s">
        <v>27</v>
      </c>
      <c r="Q631" s="2" t="s">
        <v>52</v>
      </c>
      <c r="R631" s="2" t="s">
        <v>509</v>
      </c>
      <c r="S631" s="2" t="s">
        <v>151</v>
      </c>
      <c r="T631">
        <v>981</v>
      </c>
      <c r="U631">
        <f>VLOOKUP(Auto_Sales_data___Copy[[#This Row],[CUSTOMER_NAME]],$AF$2:$AH$90,2,FALSE)</f>
        <v>48</v>
      </c>
      <c r="V631">
        <f>VLOOKUP(Auto_Sales_data___Copy[[#This Row],[CUSTOMER_NAME]],$AF$2:$AH$90,3,FALSE)</f>
        <v>197736.93999999997</v>
      </c>
      <c r="W631" s="2">
        <f>6-MATCH(Auto_Sales_data___Copy[[#This Row],[DAYS_SINCE_LAST_ORDER]],Table2[R-Cutoff],1)</f>
        <v>4</v>
      </c>
      <c r="X631" s="2">
        <f>MATCH(Auto_Sales_data___Copy[[#This Row],[Total_Orders_Per_Customer]],Table2[F-Cutoff],1)</f>
        <v>4</v>
      </c>
      <c r="Y631" s="2">
        <f>MATCH(Auto_Sales_data___Copy[[#This Row],[Total_Sales_Per_Customer]],Table2[M-Cutoff],1)</f>
        <v>4</v>
      </c>
      <c r="Z631" s="2" t="str">
        <f>Auto_Sales_data___Copy[[#This Row],[R-Score(1-5)]]&amp;Auto_Sales_data___Copy[[#This Row],[F-Score(1-5)]]&amp;Auto_Sales_data___Copy[[#This Row],[M-Score(1-5)]]</f>
        <v>444</v>
      </c>
      <c r="AA631" s="2" t="str" cm="1">
        <f t="array" ref="AA6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1" s="2" t="str">
        <f>VLOOKUP(Auto_Sales_data___Copy[[#This Row],[Segment Name]],Table3[],2,FALSE)</f>
        <v>VIP Recognitioon &amp; Inclusivity</v>
      </c>
    </row>
    <row r="632" spans="1:28" x14ac:dyDescent="0.25">
      <c r="A632">
        <v>10127</v>
      </c>
      <c r="B632">
        <v>42</v>
      </c>
      <c r="C632">
        <v>193.78</v>
      </c>
      <c r="D632">
        <v>1</v>
      </c>
      <c r="E632">
        <v>8138.76</v>
      </c>
      <c r="F632" s="1">
        <v>43254</v>
      </c>
      <c r="G632" s="2" t="s">
        <v>19</v>
      </c>
      <c r="H632" s="2" t="s">
        <v>183</v>
      </c>
      <c r="I632">
        <v>173</v>
      </c>
      <c r="J632" s="2" t="s">
        <v>552</v>
      </c>
      <c r="K632" s="2" t="s">
        <v>506</v>
      </c>
      <c r="L632" s="2" t="s">
        <v>507</v>
      </c>
      <c r="M632" s="2" t="s">
        <v>508</v>
      </c>
      <c r="N632" s="2" t="s">
        <v>25</v>
      </c>
      <c r="O632" s="2" t="s">
        <v>26</v>
      </c>
      <c r="P632" s="2" t="s">
        <v>27</v>
      </c>
      <c r="Q632" s="2" t="s">
        <v>52</v>
      </c>
      <c r="R632" s="2" t="s">
        <v>509</v>
      </c>
      <c r="S632" s="2" t="s">
        <v>151</v>
      </c>
      <c r="T632">
        <v>1030</v>
      </c>
      <c r="U632">
        <f>VLOOKUP(Auto_Sales_data___Copy[[#This Row],[CUSTOMER_NAME]],$AF$2:$AH$90,2,FALSE)</f>
        <v>48</v>
      </c>
      <c r="V632">
        <f>VLOOKUP(Auto_Sales_data___Copy[[#This Row],[CUSTOMER_NAME]],$AF$2:$AH$90,3,FALSE)</f>
        <v>197736.93999999997</v>
      </c>
      <c r="W632" s="2">
        <f>6-MATCH(Auto_Sales_data___Copy[[#This Row],[DAYS_SINCE_LAST_ORDER]],Table2[R-Cutoff],1)</f>
        <v>4</v>
      </c>
      <c r="X632" s="2">
        <f>MATCH(Auto_Sales_data___Copy[[#This Row],[Total_Orders_Per_Customer]],Table2[F-Cutoff],1)</f>
        <v>4</v>
      </c>
      <c r="Y632" s="2">
        <f>MATCH(Auto_Sales_data___Copy[[#This Row],[Total_Sales_Per_Customer]],Table2[M-Cutoff],1)</f>
        <v>4</v>
      </c>
      <c r="Z632" s="2" t="str">
        <f>Auto_Sales_data___Copy[[#This Row],[R-Score(1-5)]]&amp;Auto_Sales_data___Copy[[#This Row],[F-Score(1-5)]]&amp;Auto_Sales_data___Copy[[#This Row],[M-Score(1-5)]]</f>
        <v>444</v>
      </c>
      <c r="AA632" s="2" t="str" cm="1">
        <f t="array" ref="AA6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2" s="2" t="str">
        <f>VLOOKUP(Auto_Sales_data___Copy[[#This Row],[Segment Name]],Table3[],2,FALSE)</f>
        <v>VIP Recognitioon &amp; Inclusivity</v>
      </c>
    </row>
    <row r="633" spans="1:28" x14ac:dyDescent="0.25">
      <c r="A633">
        <v>10127</v>
      </c>
      <c r="B633">
        <v>24</v>
      </c>
      <c r="C633">
        <v>106.65</v>
      </c>
      <c r="D633">
        <v>11</v>
      </c>
      <c r="E633">
        <v>2559.6</v>
      </c>
      <c r="F633" s="1">
        <v>43254</v>
      </c>
      <c r="G633" s="2" t="s">
        <v>19</v>
      </c>
      <c r="H633" s="2" t="s">
        <v>537</v>
      </c>
      <c r="I633">
        <v>118</v>
      </c>
      <c r="J633" s="2" t="s">
        <v>554</v>
      </c>
      <c r="K633" s="2" t="s">
        <v>506</v>
      </c>
      <c r="L633" s="2" t="s">
        <v>507</v>
      </c>
      <c r="M633" s="2" t="s">
        <v>508</v>
      </c>
      <c r="N633" s="2" t="s">
        <v>25</v>
      </c>
      <c r="O633" s="2" t="s">
        <v>26</v>
      </c>
      <c r="P633" s="2" t="s">
        <v>27</v>
      </c>
      <c r="Q633" s="2" t="s">
        <v>52</v>
      </c>
      <c r="R633" s="2" t="s">
        <v>509</v>
      </c>
      <c r="S633" s="2" t="s">
        <v>30</v>
      </c>
      <c r="T633">
        <v>1080</v>
      </c>
      <c r="U633">
        <f>VLOOKUP(Auto_Sales_data___Copy[[#This Row],[CUSTOMER_NAME]],$AF$2:$AH$90,2,FALSE)</f>
        <v>48</v>
      </c>
      <c r="V633">
        <f>VLOOKUP(Auto_Sales_data___Copy[[#This Row],[CUSTOMER_NAME]],$AF$2:$AH$90,3,FALSE)</f>
        <v>197736.93999999997</v>
      </c>
      <c r="W633" s="2">
        <f>6-MATCH(Auto_Sales_data___Copy[[#This Row],[DAYS_SINCE_LAST_ORDER]],Table2[R-Cutoff],1)</f>
        <v>4</v>
      </c>
      <c r="X633" s="2">
        <f>MATCH(Auto_Sales_data___Copy[[#This Row],[Total_Orders_Per_Customer]],Table2[F-Cutoff],1)</f>
        <v>4</v>
      </c>
      <c r="Y633" s="2">
        <f>MATCH(Auto_Sales_data___Copy[[#This Row],[Total_Sales_Per_Customer]],Table2[M-Cutoff],1)</f>
        <v>4</v>
      </c>
      <c r="Z633" s="2" t="str">
        <f>Auto_Sales_data___Copy[[#This Row],[R-Score(1-5)]]&amp;Auto_Sales_data___Copy[[#This Row],[F-Score(1-5)]]&amp;Auto_Sales_data___Copy[[#This Row],[M-Score(1-5)]]</f>
        <v>444</v>
      </c>
      <c r="AA633" s="2" t="str" cm="1">
        <f t="array" ref="AA6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3" s="2" t="str">
        <f>VLOOKUP(Auto_Sales_data___Copy[[#This Row],[Segment Name]],Table3[],2,FALSE)</f>
        <v>VIP Recognitioon &amp; Inclusivity</v>
      </c>
    </row>
    <row r="634" spans="1:28" x14ac:dyDescent="0.25">
      <c r="A634">
        <v>10127</v>
      </c>
      <c r="B634">
        <v>45</v>
      </c>
      <c r="C634">
        <v>158.82</v>
      </c>
      <c r="D634">
        <v>10</v>
      </c>
      <c r="E634">
        <v>7146.9</v>
      </c>
      <c r="F634" s="1">
        <v>43254</v>
      </c>
      <c r="G634" s="2" t="s">
        <v>19</v>
      </c>
      <c r="H634" s="2" t="s">
        <v>183</v>
      </c>
      <c r="I634">
        <v>163</v>
      </c>
      <c r="J634" s="2" t="s">
        <v>631</v>
      </c>
      <c r="K634" s="2" t="s">
        <v>506</v>
      </c>
      <c r="L634" s="2" t="s">
        <v>507</v>
      </c>
      <c r="M634" s="2" t="s">
        <v>508</v>
      </c>
      <c r="N634" s="2" t="s">
        <v>25</v>
      </c>
      <c r="O634" s="2" t="s">
        <v>26</v>
      </c>
      <c r="P634" s="2" t="s">
        <v>27</v>
      </c>
      <c r="Q634" s="2" t="s">
        <v>52</v>
      </c>
      <c r="R634" s="2" t="s">
        <v>509</v>
      </c>
      <c r="S634" s="2" t="s">
        <v>151</v>
      </c>
      <c r="T634">
        <v>1356</v>
      </c>
      <c r="U634">
        <f>VLOOKUP(Auto_Sales_data___Copy[[#This Row],[CUSTOMER_NAME]],$AF$2:$AH$90,2,FALSE)</f>
        <v>48</v>
      </c>
      <c r="V634">
        <f>VLOOKUP(Auto_Sales_data___Copy[[#This Row],[CUSTOMER_NAME]],$AF$2:$AH$90,3,FALSE)</f>
        <v>197736.93999999997</v>
      </c>
      <c r="W634" s="2">
        <f>6-MATCH(Auto_Sales_data___Copy[[#This Row],[DAYS_SINCE_LAST_ORDER]],Table2[R-Cutoff],1)</f>
        <v>4</v>
      </c>
      <c r="X634" s="2">
        <f>MATCH(Auto_Sales_data___Copy[[#This Row],[Total_Orders_Per_Customer]],Table2[F-Cutoff],1)</f>
        <v>4</v>
      </c>
      <c r="Y634" s="2">
        <f>MATCH(Auto_Sales_data___Copy[[#This Row],[Total_Sales_Per_Customer]],Table2[M-Cutoff],1)</f>
        <v>4</v>
      </c>
      <c r="Z634" s="2" t="str">
        <f>Auto_Sales_data___Copy[[#This Row],[R-Score(1-5)]]&amp;Auto_Sales_data___Copy[[#This Row],[F-Score(1-5)]]&amp;Auto_Sales_data___Copy[[#This Row],[M-Score(1-5)]]</f>
        <v>444</v>
      </c>
      <c r="AA634" s="2" t="str" cm="1">
        <f t="array" ref="AA6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4" s="2" t="str">
        <f>VLOOKUP(Auto_Sales_data___Copy[[#This Row],[Segment Name]],Table3[],2,FALSE)</f>
        <v>VIP Recognitioon &amp; Inclusivity</v>
      </c>
    </row>
    <row r="635" spans="1:28" x14ac:dyDescent="0.25">
      <c r="A635">
        <v>10127</v>
      </c>
      <c r="B635">
        <v>45</v>
      </c>
      <c r="C635">
        <v>139.91</v>
      </c>
      <c r="D635">
        <v>14</v>
      </c>
      <c r="E635">
        <v>6295.95</v>
      </c>
      <c r="F635" s="1">
        <v>43254</v>
      </c>
      <c r="G635" s="2" t="s">
        <v>19</v>
      </c>
      <c r="H635" s="2" t="s">
        <v>537</v>
      </c>
      <c r="I635">
        <v>122</v>
      </c>
      <c r="J635" s="2" t="s">
        <v>633</v>
      </c>
      <c r="K635" s="2" t="s">
        <v>506</v>
      </c>
      <c r="L635" s="2" t="s">
        <v>507</v>
      </c>
      <c r="M635" s="2" t="s">
        <v>508</v>
      </c>
      <c r="N635" s="2" t="s">
        <v>25</v>
      </c>
      <c r="O635" s="2" t="s">
        <v>26</v>
      </c>
      <c r="P635" s="2" t="s">
        <v>27</v>
      </c>
      <c r="Q635" s="2" t="s">
        <v>52</v>
      </c>
      <c r="R635" s="2" t="s">
        <v>509</v>
      </c>
      <c r="S635" s="2" t="s">
        <v>46</v>
      </c>
      <c r="T635">
        <v>1404</v>
      </c>
      <c r="U635">
        <f>VLOOKUP(Auto_Sales_data___Copy[[#This Row],[CUSTOMER_NAME]],$AF$2:$AH$90,2,FALSE)</f>
        <v>48</v>
      </c>
      <c r="V635">
        <f>VLOOKUP(Auto_Sales_data___Copy[[#This Row],[CUSTOMER_NAME]],$AF$2:$AH$90,3,FALSE)</f>
        <v>197736.93999999997</v>
      </c>
      <c r="W635" s="2">
        <f>6-MATCH(Auto_Sales_data___Copy[[#This Row],[DAYS_SINCE_LAST_ORDER]],Table2[R-Cutoff],1)</f>
        <v>4</v>
      </c>
      <c r="X635" s="2">
        <f>MATCH(Auto_Sales_data___Copy[[#This Row],[Total_Orders_Per_Customer]],Table2[F-Cutoff],1)</f>
        <v>4</v>
      </c>
      <c r="Y635" s="2">
        <f>MATCH(Auto_Sales_data___Copy[[#This Row],[Total_Sales_Per_Customer]],Table2[M-Cutoff],1)</f>
        <v>4</v>
      </c>
      <c r="Z635" s="2" t="str">
        <f>Auto_Sales_data___Copy[[#This Row],[R-Score(1-5)]]&amp;Auto_Sales_data___Copy[[#This Row],[F-Score(1-5)]]&amp;Auto_Sales_data___Copy[[#This Row],[M-Score(1-5)]]</f>
        <v>444</v>
      </c>
      <c r="AA635" s="2" t="str" cm="1">
        <f t="array" ref="AA6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5" s="2" t="str">
        <f>VLOOKUP(Auto_Sales_data___Copy[[#This Row],[Segment Name]],Table3[],2,FALSE)</f>
        <v>VIP Recognitioon &amp; Inclusivity</v>
      </c>
    </row>
    <row r="636" spans="1:28" x14ac:dyDescent="0.25">
      <c r="A636">
        <v>10135</v>
      </c>
      <c r="B636">
        <v>48</v>
      </c>
      <c r="C636">
        <v>125.66</v>
      </c>
      <c r="D636">
        <v>5</v>
      </c>
      <c r="E636">
        <v>6031.68</v>
      </c>
      <c r="F636" s="1">
        <v>43283</v>
      </c>
      <c r="G636" s="2" t="s">
        <v>19</v>
      </c>
      <c r="H636" s="2" t="s">
        <v>183</v>
      </c>
      <c r="I636">
        <v>117</v>
      </c>
      <c r="J636" s="2" t="s">
        <v>546</v>
      </c>
      <c r="K636" s="2" t="s">
        <v>284</v>
      </c>
      <c r="L636" s="2" t="s">
        <v>285</v>
      </c>
      <c r="M636" s="2" t="s">
        <v>286</v>
      </c>
      <c r="N636" s="2" t="s">
        <v>287</v>
      </c>
      <c r="O636" s="2" t="s">
        <v>106</v>
      </c>
      <c r="P636" s="2" t="s">
        <v>27</v>
      </c>
      <c r="Q636" s="2" t="s">
        <v>288</v>
      </c>
      <c r="R636" s="2" t="s">
        <v>289</v>
      </c>
      <c r="S636" s="2" t="s">
        <v>46</v>
      </c>
      <c r="T636">
        <v>977</v>
      </c>
      <c r="U636">
        <f>VLOOKUP(Auto_Sales_data___Copy[[#This Row],[CUSTOMER_NAME]],$AF$2:$AH$90,2,FALSE)</f>
        <v>180</v>
      </c>
      <c r="V636">
        <f>VLOOKUP(Auto_Sales_data___Copy[[#This Row],[CUSTOMER_NAME]],$AF$2:$AH$90,3,FALSE)</f>
        <v>654858.06000000017</v>
      </c>
      <c r="W636" s="2">
        <f>6-MATCH(Auto_Sales_data___Copy[[#This Row],[DAYS_SINCE_LAST_ORDER]],Table2[R-Cutoff],1)</f>
        <v>4</v>
      </c>
      <c r="X636" s="2">
        <f>MATCH(Auto_Sales_data___Copy[[#This Row],[Total_Orders_Per_Customer]],Table2[F-Cutoff],1)</f>
        <v>4</v>
      </c>
      <c r="Y636" s="2">
        <f>MATCH(Auto_Sales_data___Copy[[#This Row],[Total_Sales_Per_Customer]],Table2[M-Cutoff],1)</f>
        <v>4</v>
      </c>
      <c r="Z636" s="2" t="str">
        <f>Auto_Sales_data___Copy[[#This Row],[R-Score(1-5)]]&amp;Auto_Sales_data___Copy[[#This Row],[F-Score(1-5)]]&amp;Auto_Sales_data___Copy[[#This Row],[M-Score(1-5)]]</f>
        <v>444</v>
      </c>
      <c r="AA636" s="2" t="str" cm="1">
        <f t="array" ref="AA6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6" s="2" t="str">
        <f>VLOOKUP(Auto_Sales_data___Copy[[#This Row],[Segment Name]],Table3[],2,FALSE)</f>
        <v>VIP Recognitioon &amp; Inclusivity</v>
      </c>
    </row>
    <row r="637" spans="1:28" x14ac:dyDescent="0.25">
      <c r="A637">
        <v>10135</v>
      </c>
      <c r="B637">
        <v>24</v>
      </c>
      <c r="C637">
        <v>75.010000000000005</v>
      </c>
      <c r="D637">
        <v>8</v>
      </c>
      <c r="E637">
        <v>1800.24</v>
      </c>
      <c r="F637" s="1">
        <v>43283</v>
      </c>
      <c r="G637" s="2" t="s">
        <v>19</v>
      </c>
      <c r="H637" s="2" t="s">
        <v>183</v>
      </c>
      <c r="I637">
        <v>79</v>
      </c>
      <c r="J637" s="2" t="s">
        <v>553</v>
      </c>
      <c r="K637" s="2" t="s">
        <v>284</v>
      </c>
      <c r="L637" s="2" t="s">
        <v>285</v>
      </c>
      <c r="M637" s="2" t="s">
        <v>286</v>
      </c>
      <c r="N637" s="2" t="s">
        <v>287</v>
      </c>
      <c r="O637" s="2" t="s">
        <v>106</v>
      </c>
      <c r="P637" s="2" t="s">
        <v>27</v>
      </c>
      <c r="Q637" s="2" t="s">
        <v>288</v>
      </c>
      <c r="R637" s="2" t="s">
        <v>289</v>
      </c>
      <c r="S637" s="2" t="s">
        <v>30</v>
      </c>
      <c r="T637">
        <v>1027</v>
      </c>
      <c r="U637">
        <f>VLOOKUP(Auto_Sales_data___Copy[[#This Row],[CUSTOMER_NAME]],$AF$2:$AH$90,2,FALSE)</f>
        <v>180</v>
      </c>
      <c r="V637">
        <f>VLOOKUP(Auto_Sales_data___Copy[[#This Row],[CUSTOMER_NAME]],$AF$2:$AH$90,3,FALSE)</f>
        <v>654858.06000000017</v>
      </c>
      <c r="W637" s="2">
        <f>6-MATCH(Auto_Sales_data___Copy[[#This Row],[DAYS_SINCE_LAST_ORDER]],Table2[R-Cutoff],1)</f>
        <v>4</v>
      </c>
      <c r="X637" s="2">
        <f>MATCH(Auto_Sales_data___Copy[[#This Row],[Total_Orders_Per_Customer]],Table2[F-Cutoff],1)</f>
        <v>4</v>
      </c>
      <c r="Y637" s="2">
        <f>MATCH(Auto_Sales_data___Copy[[#This Row],[Total_Sales_Per_Customer]],Table2[M-Cutoff],1)</f>
        <v>4</v>
      </c>
      <c r="Z637" s="2" t="str">
        <f>Auto_Sales_data___Copy[[#This Row],[R-Score(1-5)]]&amp;Auto_Sales_data___Copy[[#This Row],[F-Score(1-5)]]&amp;Auto_Sales_data___Copy[[#This Row],[M-Score(1-5)]]</f>
        <v>444</v>
      </c>
      <c r="AA637" s="2" t="str" cm="1">
        <f t="array" ref="AA6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7" s="2" t="str">
        <f>VLOOKUP(Auto_Sales_data___Copy[[#This Row],[Segment Name]],Table3[],2,FALSE)</f>
        <v>VIP Recognitioon &amp; Inclusivity</v>
      </c>
    </row>
    <row r="638" spans="1:28" x14ac:dyDescent="0.25">
      <c r="A638">
        <v>10135</v>
      </c>
      <c r="B638">
        <v>29</v>
      </c>
      <c r="C638">
        <v>97.89</v>
      </c>
      <c r="D638">
        <v>4</v>
      </c>
      <c r="E638">
        <v>2838.81</v>
      </c>
      <c r="F638" s="1">
        <v>43283</v>
      </c>
      <c r="G638" s="2" t="s">
        <v>19</v>
      </c>
      <c r="H638" s="2" t="s">
        <v>183</v>
      </c>
      <c r="I638">
        <v>115</v>
      </c>
      <c r="J638" s="2" t="s">
        <v>567</v>
      </c>
      <c r="K638" s="2" t="s">
        <v>284</v>
      </c>
      <c r="L638" s="2" t="s">
        <v>285</v>
      </c>
      <c r="M638" s="2" t="s">
        <v>286</v>
      </c>
      <c r="N638" s="2" t="s">
        <v>287</v>
      </c>
      <c r="O638" s="2" t="s">
        <v>106</v>
      </c>
      <c r="P638" s="2" t="s">
        <v>27</v>
      </c>
      <c r="Q638" s="2" t="s">
        <v>288</v>
      </c>
      <c r="R638" s="2" t="s">
        <v>289</v>
      </c>
      <c r="S638" s="2" t="s">
        <v>30</v>
      </c>
      <c r="T638">
        <v>1078</v>
      </c>
      <c r="U638">
        <f>VLOOKUP(Auto_Sales_data___Copy[[#This Row],[CUSTOMER_NAME]],$AF$2:$AH$90,2,FALSE)</f>
        <v>180</v>
      </c>
      <c r="V638">
        <f>VLOOKUP(Auto_Sales_data___Copy[[#This Row],[CUSTOMER_NAME]],$AF$2:$AH$90,3,FALSE)</f>
        <v>654858.06000000017</v>
      </c>
      <c r="W638" s="2">
        <f>6-MATCH(Auto_Sales_data___Copy[[#This Row],[DAYS_SINCE_LAST_ORDER]],Table2[R-Cutoff],1)</f>
        <v>4</v>
      </c>
      <c r="X638" s="2">
        <f>MATCH(Auto_Sales_data___Copy[[#This Row],[Total_Orders_Per_Customer]],Table2[F-Cutoff],1)</f>
        <v>4</v>
      </c>
      <c r="Y638" s="2">
        <f>MATCH(Auto_Sales_data___Copy[[#This Row],[Total_Sales_Per_Customer]],Table2[M-Cutoff],1)</f>
        <v>4</v>
      </c>
      <c r="Z638" s="2" t="str">
        <f>Auto_Sales_data___Copy[[#This Row],[R-Score(1-5)]]&amp;Auto_Sales_data___Copy[[#This Row],[F-Score(1-5)]]&amp;Auto_Sales_data___Copy[[#This Row],[M-Score(1-5)]]</f>
        <v>444</v>
      </c>
      <c r="AA638" s="2" t="str" cm="1">
        <f t="array" ref="AA6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8" s="2" t="str">
        <f>VLOOKUP(Auto_Sales_data___Copy[[#This Row],[Segment Name]],Table3[],2,FALSE)</f>
        <v>VIP Recognitioon &amp; Inclusivity</v>
      </c>
    </row>
    <row r="639" spans="1:28" x14ac:dyDescent="0.25">
      <c r="A639">
        <v>10135</v>
      </c>
      <c r="B639">
        <v>48</v>
      </c>
      <c r="C639">
        <v>79.31</v>
      </c>
      <c r="D639">
        <v>3</v>
      </c>
      <c r="E639">
        <v>3806.88</v>
      </c>
      <c r="F639" s="1">
        <v>43283</v>
      </c>
      <c r="G639" s="2" t="s">
        <v>19</v>
      </c>
      <c r="H639" s="2" t="s">
        <v>183</v>
      </c>
      <c r="I639">
        <v>77</v>
      </c>
      <c r="J639" s="2" t="s">
        <v>629</v>
      </c>
      <c r="K639" s="2" t="s">
        <v>284</v>
      </c>
      <c r="L639" s="2" t="s">
        <v>285</v>
      </c>
      <c r="M639" s="2" t="s">
        <v>286</v>
      </c>
      <c r="N639" s="2" t="s">
        <v>287</v>
      </c>
      <c r="O639" s="2" t="s">
        <v>106</v>
      </c>
      <c r="P639" s="2" t="s">
        <v>27</v>
      </c>
      <c r="Q639" s="2" t="s">
        <v>288</v>
      </c>
      <c r="R639" s="2" t="s">
        <v>289</v>
      </c>
      <c r="S639" s="2" t="s">
        <v>46</v>
      </c>
      <c r="T639">
        <v>1275</v>
      </c>
      <c r="U639">
        <f>VLOOKUP(Auto_Sales_data___Copy[[#This Row],[CUSTOMER_NAME]],$AF$2:$AH$90,2,FALSE)</f>
        <v>180</v>
      </c>
      <c r="V639">
        <f>VLOOKUP(Auto_Sales_data___Copy[[#This Row],[CUSTOMER_NAME]],$AF$2:$AH$90,3,FALSE)</f>
        <v>654858.06000000017</v>
      </c>
      <c r="W639" s="2">
        <f>6-MATCH(Auto_Sales_data___Copy[[#This Row],[DAYS_SINCE_LAST_ORDER]],Table2[R-Cutoff],1)</f>
        <v>4</v>
      </c>
      <c r="X639" s="2">
        <f>MATCH(Auto_Sales_data___Copy[[#This Row],[Total_Orders_Per_Customer]],Table2[F-Cutoff],1)</f>
        <v>4</v>
      </c>
      <c r="Y639" s="2">
        <f>MATCH(Auto_Sales_data___Copy[[#This Row],[Total_Sales_Per_Customer]],Table2[M-Cutoff],1)</f>
        <v>4</v>
      </c>
      <c r="Z639" s="2" t="str">
        <f>Auto_Sales_data___Copy[[#This Row],[R-Score(1-5)]]&amp;Auto_Sales_data___Copy[[#This Row],[F-Score(1-5)]]&amp;Auto_Sales_data___Copy[[#This Row],[M-Score(1-5)]]</f>
        <v>444</v>
      </c>
      <c r="AA639" s="2" t="str" cm="1">
        <f t="array" ref="AA6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9" s="2" t="str">
        <f>VLOOKUP(Auto_Sales_data___Copy[[#This Row],[Segment Name]],Table3[],2,FALSE)</f>
        <v>VIP Recognitioon &amp; Inclusivity</v>
      </c>
    </row>
    <row r="640" spans="1:28" x14ac:dyDescent="0.25">
      <c r="A640">
        <v>10137</v>
      </c>
      <c r="B640">
        <v>44</v>
      </c>
      <c r="C640">
        <v>99.55</v>
      </c>
      <c r="D640">
        <v>2</v>
      </c>
      <c r="E640">
        <v>4380.2</v>
      </c>
      <c r="F640" s="1">
        <v>43291</v>
      </c>
      <c r="G640" s="2" t="s">
        <v>19</v>
      </c>
      <c r="H640" s="2" t="s">
        <v>183</v>
      </c>
      <c r="I640">
        <v>124</v>
      </c>
      <c r="J640" s="2" t="s">
        <v>606</v>
      </c>
      <c r="K640" s="2" t="s">
        <v>31</v>
      </c>
      <c r="L640" s="2" t="s">
        <v>32</v>
      </c>
      <c r="M640" s="2" t="s">
        <v>33</v>
      </c>
      <c r="N640" s="2" t="s">
        <v>34</v>
      </c>
      <c r="O640" s="2" t="s">
        <v>35</v>
      </c>
      <c r="P640" s="2" t="s">
        <v>36</v>
      </c>
      <c r="Q640" s="2" t="s">
        <v>37</v>
      </c>
      <c r="R640" s="2" t="s">
        <v>38</v>
      </c>
      <c r="S640" s="2" t="s">
        <v>46</v>
      </c>
      <c r="T640">
        <v>1195</v>
      </c>
      <c r="U640">
        <f>VLOOKUP(Auto_Sales_data___Copy[[#This Row],[CUSTOMER_NAME]],$AF$2:$AH$90,2,FALSE)</f>
        <v>41</v>
      </c>
      <c r="V640">
        <f>VLOOKUP(Auto_Sales_data___Copy[[#This Row],[CUSTOMER_NAME]],$AF$2:$AH$90,3,FALSE)</f>
        <v>135042.94</v>
      </c>
      <c r="W640" s="2">
        <f>6-MATCH(Auto_Sales_data___Copy[[#This Row],[DAYS_SINCE_LAST_ORDER]],Table2[R-Cutoff],1)</f>
        <v>4</v>
      </c>
      <c r="X640" s="2">
        <f>MATCH(Auto_Sales_data___Copy[[#This Row],[Total_Orders_Per_Customer]],Table2[F-Cutoff],1)</f>
        <v>4</v>
      </c>
      <c r="Y640" s="2">
        <f>MATCH(Auto_Sales_data___Copy[[#This Row],[Total_Sales_Per_Customer]],Table2[M-Cutoff],1)</f>
        <v>4</v>
      </c>
      <c r="Z640" s="2" t="str">
        <f>Auto_Sales_data___Copy[[#This Row],[R-Score(1-5)]]&amp;Auto_Sales_data___Copy[[#This Row],[F-Score(1-5)]]&amp;Auto_Sales_data___Copy[[#This Row],[M-Score(1-5)]]</f>
        <v>444</v>
      </c>
      <c r="AA640" s="2" t="str" cm="1">
        <f t="array" ref="AA6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0" s="2" t="str">
        <f>VLOOKUP(Auto_Sales_data___Copy[[#This Row],[Segment Name]],Table3[],2,FALSE)</f>
        <v>VIP Recognitioon &amp; Inclusivity</v>
      </c>
    </row>
    <row r="641" spans="1:28" x14ac:dyDescent="0.25">
      <c r="A641">
        <v>10139</v>
      </c>
      <c r="B641">
        <v>31</v>
      </c>
      <c r="C641">
        <v>102.74</v>
      </c>
      <c r="D641">
        <v>7</v>
      </c>
      <c r="E641">
        <v>3184.94</v>
      </c>
      <c r="F641" s="1">
        <v>43297</v>
      </c>
      <c r="G641" s="2" t="s">
        <v>19</v>
      </c>
      <c r="H641" s="2" t="s">
        <v>589</v>
      </c>
      <c r="I641">
        <v>102</v>
      </c>
      <c r="J641" s="2" t="s">
        <v>590</v>
      </c>
      <c r="K641" s="2" t="s">
        <v>152</v>
      </c>
      <c r="L641" s="2" t="s">
        <v>153</v>
      </c>
      <c r="M641" s="2" t="s">
        <v>154</v>
      </c>
      <c r="N641" s="2" t="s">
        <v>155</v>
      </c>
      <c r="O641" s="2" t="s">
        <v>156</v>
      </c>
      <c r="P641" s="2" t="s">
        <v>87</v>
      </c>
      <c r="Q641" s="2" t="s">
        <v>157</v>
      </c>
      <c r="R641" s="2" t="s">
        <v>158</v>
      </c>
      <c r="S641" s="2" t="s">
        <v>46</v>
      </c>
      <c r="T641">
        <v>1142</v>
      </c>
      <c r="U641">
        <f>VLOOKUP(Auto_Sales_data___Copy[[#This Row],[CUSTOMER_NAME]],$AF$2:$AH$90,2,FALSE)</f>
        <v>46</v>
      </c>
      <c r="V641">
        <f>VLOOKUP(Auto_Sales_data___Copy[[#This Row],[CUSTOMER_NAME]],$AF$2:$AH$90,3,FALSE)</f>
        <v>151570.98000000001</v>
      </c>
      <c r="W641" s="2">
        <f>6-MATCH(Auto_Sales_data___Copy[[#This Row],[DAYS_SINCE_LAST_ORDER]],Table2[R-Cutoff],1)</f>
        <v>4</v>
      </c>
      <c r="X641" s="2">
        <f>MATCH(Auto_Sales_data___Copy[[#This Row],[Total_Orders_Per_Customer]],Table2[F-Cutoff],1)</f>
        <v>4</v>
      </c>
      <c r="Y641" s="2">
        <f>MATCH(Auto_Sales_data___Copy[[#This Row],[Total_Sales_Per_Customer]],Table2[M-Cutoff],1)</f>
        <v>4</v>
      </c>
      <c r="Z641" s="2" t="str">
        <f>Auto_Sales_data___Copy[[#This Row],[R-Score(1-5)]]&amp;Auto_Sales_data___Copy[[#This Row],[F-Score(1-5)]]&amp;Auto_Sales_data___Copy[[#This Row],[M-Score(1-5)]]</f>
        <v>444</v>
      </c>
      <c r="AA641" s="2" t="str" cm="1">
        <f t="array" ref="AA6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1" s="2" t="str">
        <f>VLOOKUP(Auto_Sales_data___Copy[[#This Row],[Segment Name]],Table3[],2,FALSE)</f>
        <v>VIP Recognitioon &amp; Inclusivity</v>
      </c>
    </row>
    <row r="642" spans="1:28" x14ac:dyDescent="0.25">
      <c r="A642">
        <v>10139</v>
      </c>
      <c r="B642">
        <v>49</v>
      </c>
      <c r="C642">
        <v>43.13</v>
      </c>
      <c r="D642">
        <v>6</v>
      </c>
      <c r="E642">
        <v>2113.37</v>
      </c>
      <c r="F642" s="1">
        <v>43297</v>
      </c>
      <c r="G642" s="2" t="s">
        <v>19</v>
      </c>
      <c r="H642" s="2" t="s">
        <v>589</v>
      </c>
      <c r="I642">
        <v>53</v>
      </c>
      <c r="J642" s="2" t="s">
        <v>605</v>
      </c>
      <c r="K642" s="2" t="s">
        <v>152</v>
      </c>
      <c r="L642" s="2" t="s">
        <v>153</v>
      </c>
      <c r="M642" s="2" t="s">
        <v>154</v>
      </c>
      <c r="N642" s="2" t="s">
        <v>155</v>
      </c>
      <c r="O642" s="2" t="s">
        <v>156</v>
      </c>
      <c r="P642" s="2" t="s">
        <v>87</v>
      </c>
      <c r="Q642" s="2" t="s">
        <v>157</v>
      </c>
      <c r="R642" s="2" t="s">
        <v>158</v>
      </c>
      <c r="S642" s="2" t="s">
        <v>30</v>
      </c>
      <c r="T642">
        <v>1166</v>
      </c>
      <c r="U642">
        <f>VLOOKUP(Auto_Sales_data___Copy[[#This Row],[CUSTOMER_NAME]],$AF$2:$AH$90,2,FALSE)</f>
        <v>46</v>
      </c>
      <c r="V642">
        <f>VLOOKUP(Auto_Sales_data___Copy[[#This Row],[CUSTOMER_NAME]],$AF$2:$AH$90,3,FALSE)</f>
        <v>151570.98000000001</v>
      </c>
      <c r="W642" s="2">
        <f>6-MATCH(Auto_Sales_data___Copy[[#This Row],[DAYS_SINCE_LAST_ORDER]],Table2[R-Cutoff],1)</f>
        <v>4</v>
      </c>
      <c r="X642" s="2">
        <f>MATCH(Auto_Sales_data___Copy[[#This Row],[Total_Orders_Per_Customer]],Table2[F-Cutoff],1)</f>
        <v>4</v>
      </c>
      <c r="Y642" s="2">
        <f>MATCH(Auto_Sales_data___Copy[[#This Row],[Total_Sales_Per_Customer]],Table2[M-Cutoff],1)</f>
        <v>4</v>
      </c>
      <c r="Z642" s="2" t="str">
        <f>Auto_Sales_data___Copy[[#This Row],[R-Score(1-5)]]&amp;Auto_Sales_data___Copy[[#This Row],[F-Score(1-5)]]&amp;Auto_Sales_data___Copy[[#This Row],[M-Score(1-5)]]</f>
        <v>444</v>
      </c>
      <c r="AA642" s="2" t="str" cm="1">
        <f t="array" ref="AA6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2" s="2" t="str">
        <f>VLOOKUP(Auto_Sales_data___Copy[[#This Row],[Segment Name]],Table3[],2,FALSE)</f>
        <v>VIP Recognitioon &amp; Inclusivity</v>
      </c>
    </row>
    <row r="643" spans="1:28" x14ac:dyDescent="0.25">
      <c r="A643">
        <v>10139</v>
      </c>
      <c r="B643">
        <v>41</v>
      </c>
      <c r="C643">
        <v>194.06</v>
      </c>
      <c r="D643">
        <v>8</v>
      </c>
      <c r="E643">
        <v>7956.46</v>
      </c>
      <c r="F643" s="1">
        <v>43297</v>
      </c>
      <c r="G643" s="2" t="s">
        <v>19</v>
      </c>
      <c r="H643" s="2" t="s">
        <v>589</v>
      </c>
      <c r="I643">
        <v>168</v>
      </c>
      <c r="J643" s="2" t="s">
        <v>638</v>
      </c>
      <c r="K643" s="2" t="s">
        <v>152</v>
      </c>
      <c r="L643" s="2" t="s">
        <v>153</v>
      </c>
      <c r="M643" s="2" t="s">
        <v>154</v>
      </c>
      <c r="N643" s="2" t="s">
        <v>155</v>
      </c>
      <c r="O643" s="2" t="s">
        <v>156</v>
      </c>
      <c r="P643" s="2" t="s">
        <v>87</v>
      </c>
      <c r="Q643" s="2" t="s">
        <v>157</v>
      </c>
      <c r="R643" s="2" t="s">
        <v>158</v>
      </c>
      <c r="S643" s="2" t="s">
        <v>151</v>
      </c>
      <c r="T643">
        <v>1486</v>
      </c>
      <c r="U643">
        <f>VLOOKUP(Auto_Sales_data___Copy[[#This Row],[CUSTOMER_NAME]],$AF$2:$AH$90,2,FALSE)</f>
        <v>46</v>
      </c>
      <c r="V643">
        <f>VLOOKUP(Auto_Sales_data___Copy[[#This Row],[CUSTOMER_NAME]],$AF$2:$AH$90,3,FALSE)</f>
        <v>151570.98000000001</v>
      </c>
      <c r="W643" s="2">
        <f>6-MATCH(Auto_Sales_data___Copy[[#This Row],[DAYS_SINCE_LAST_ORDER]],Table2[R-Cutoff],1)</f>
        <v>4</v>
      </c>
      <c r="X643" s="2">
        <f>MATCH(Auto_Sales_data___Copy[[#This Row],[Total_Orders_Per_Customer]],Table2[F-Cutoff],1)</f>
        <v>4</v>
      </c>
      <c r="Y643" s="2">
        <f>MATCH(Auto_Sales_data___Copy[[#This Row],[Total_Sales_Per_Customer]],Table2[M-Cutoff],1)</f>
        <v>4</v>
      </c>
      <c r="Z643" s="2" t="str">
        <f>Auto_Sales_data___Copy[[#This Row],[R-Score(1-5)]]&amp;Auto_Sales_data___Copy[[#This Row],[F-Score(1-5)]]&amp;Auto_Sales_data___Copy[[#This Row],[M-Score(1-5)]]</f>
        <v>444</v>
      </c>
      <c r="AA643" s="2" t="str" cm="1">
        <f t="array" ref="AA6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3" s="2" t="str">
        <f>VLOOKUP(Auto_Sales_data___Copy[[#This Row],[Segment Name]],Table3[],2,FALSE)</f>
        <v>VIP Recognitioon &amp; Inclusivity</v>
      </c>
    </row>
    <row r="644" spans="1:28" x14ac:dyDescent="0.25">
      <c r="A644">
        <v>10140</v>
      </c>
      <c r="B644">
        <v>32</v>
      </c>
      <c r="C644">
        <v>130.66999999999999</v>
      </c>
      <c r="D644">
        <v>10</v>
      </c>
      <c r="E644">
        <v>4181.4399999999996</v>
      </c>
      <c r="F644" s="1">
        <v>43305</v>
      </c>
      <c r="G644" s="2" t="s">
        <v>19</v>
      </c>
      <c r="H644" s="2" t="s">
        <v>537</v>
      </c>
      <c r="I644">
        <v>116</v>
      </c>
      <c r="J644" s="2" t="s">
        <v>575</v>
      </c>
      <c r="K644" s="2" t="s">
        <v>54</v>
      </c>
      <c r="L644" s="2" t="s">
        <v>55</v>
      </c>
      <c r="M644" s="2" t="s">
        <v>56</v>
      </c>
      <c r="N644" s="2" t="s">
        <v>57</v>
      </c>
      <c r="O644" s="2" t="s">
        <v>58</v>
      </c>
      <c r="P644" s="2" t="s">
        <v>27</v>
      </c>
      <c r="Q644" s="2" t="s">
        <v>59</v>
      </c>
      <c r="R644" s="2" t="s">
        <v>60</v>
      </c>
      <c r="S644" s="2" t="s">
        <v>46</v>
      </c>
      <c r="T644">
        <v>1082</v>
      </c>
      <c r="U644">
        <f>VLOOKUP(Auto_Sales_data___Copy[[#This Row],[CUSTOMER_NAME]],$AF$2:$AH$90,2,FALSE)</f>
        <v>34</v>
      </c>
      <c r="V644">
        <f>VLOOKUP(Auto_Sales_data___Copy[[#This Row],[CUSTOMER_NAME]],$AF$2:$AH$90,3,FALSE)</f>
        <v>120783.07</v>
      </c>
      <c r="W644" s="2">
        <f>6-MATCH(Auto_Sales_data___Copy[[#This Row],[DAYS_SINCE_LAST_ORDER]],Table2[R-Cutoff],1)</f>
        <v>4</v>
      </c>
      <c r="X644" s="2">
        <f>MATCH(Auto_Sales_data___Copy[[#This Row],[Total_Orders_Per_Customer]],Table2[F-Cutoff],1)</f>
        <v>4</v>
      </c>
      <c r="Y644" s="2">
        <f>MATCH(Auto_Sales_data___Copy[[#This Row],[Total_Sales_Per_Customer]],Table2[M-Cutoff],1)</f>
        <v>4</v>
      </c>
      <c r="Z644" s="2" t="str">
        <f>Auto_Sales_data___Copy[[#This Row],[R-Score(1-5)]]&amp;Auto_Sales_data___Copy[[#This Row],[F-Score(1-5)]]&amp;Auto_Sales_data___Copy[[#This Row],[M-Score(1-5)]]</f>
        <v>444</v>
      </c>
      <c r="AA644" s="2" t="str" cm="1">
        <f t="array" ref="AA6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4" s="2" t="str">
        <f>VLOOKUP(Auto_Sales_data___Copy[[#This Row],[Segment Name]],Table3[],2,FALSE)</f>
        <v>VIP Recognitioon &amp; Inclusivity</v>
      </c>
    </row>
    <row r="645" spans="1:28" x14ac:dyDescent="0.25">
      <c r="A645">
        <v>10140</v>
      </c>
      <c r="B645">
        <v>46</v>
      </c>
      <c r="C645">
        <v>61.99</v>
      </c>
      <c r="D645">
        <v>2</v>
      </c>
      <c r="E645">
        <v>2851.54</v>
      </c>
      <c r="F645" s="1">
        <v>43305</v>
      </c>
      <c r="G645" s="2" t="s">
        <v>19</v>
      </c>
      <c r="H645" s="2" t="s">
        <v>537</v>
      </c>
      <c r="I645">
        <v>60</v>
      </c>
      <c r="J645" s="2" t="s">
        <v>635</v>
      </c>
      <c r="K645" s="2" t="s">
        <v>54</v>
      </c>
      <c r="L645" s="2" t="s">
        <v>55</v>
      </c>
      <c r="M645" s="2" t="s">
        <v>56</v>
      </c>
      <c r="N645" s="2" t="s">
        <v>57</v>
      </c>
      <c r="O645" s="2" t="s">
        <v>58</v>
      </c>
      <c r="P645" s="2" t="s">
        <v>27</v>
      </c>
      <c r="Q645" s="2" t="s">
        <v>59</v>
      </c>
      <c r="R645" s="2" t="s">
        <v>60</v>
      </c>
      <c r="S645" s="2" t="s">
        <v>30</v>
      </c>
      <c r="T645">
        <v>1404</v>
      </c>
      <c r="U645">
        <f>VLOOKUP(Auto_Sales_data___Copy[[#This Row],[CUSTOMER_NAME]],$AF$2:$AH$90,2,FALSE)</f>
        <v>34</v>
      </c>
      <c r="V645">
        <f>VLOOKUP(Auto_Sales_data___Copy[[#This Row],[CUSTOMER_NAME]],$AF$2:$AH$90,3,FALSE)</f>
        <v>120783.07</v>
      </c>
      <c r="W645" s="2">
        <f>6-MATCH(Auto_Sales_data___Copy[[#This Row],[DAYS_SINCE_LAST_ORDER]],Table2[R-Cutoff],1)</f>
        <v>4</v>
      </c>
      <c r="X645" s="2">
        <f>MATCH(Auto_Sales_data___Copy[[#This Row],[Total_Orders_Per_Customer]],Table2[F-Cutoff],1)</f>
        <v>4</v>
      </c>
      <c r="Y645" s="2">
        <f>MATCH(Auto_Sales_data___Copy[[#This Row],[Total_Sales_Per_Customer]],Table2[M-Cutoff],1)</f>
        <v>4</v>
      </c>
      <c r="Z645" s="2" t="str">
        <f>Auto_Sales_data___Copy[[#This Row],[R-Score(1-5)]]&amp;Auto_Sales_data___Copy[[#This Row],[F-Score(1-5)]]&amp;Auto_Sales_data___Copy[[#This Row],[M-Score(1-5)]]</f>
        <v>444</v>
      </c>
      <c r="AA645" s="2" t="str" cm="1">
        <f t="array" ref="AA6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5" s="2" t="str">
        <f>VLOOKUP(Auto_Sales_data___Copy[[#This Row],[Segment Name]],Table3[],2,FALSE)</f>
        <v>VIP Recognitioon &amp; Inclusivity</v>
      </c>
    </row>
    <row r="646" spans="1:28" x14ac:dyDescent="0.25">
      <c r="A646">
        <v>10141</v>
      </c>
      <c r="B646">
        <v>21</v>
      </c>
      <c r="C646">
        <v>101.91</v>
      </c>
      <c r="D646">
        <v>5</v>
      </c>
      <c r="E646">
        <v>2140.11</v>
      </c>
      <c r="F646" s="1">
        <v>43313</v>
      </c>
      <c r="G646" s="2" t="s">
        <v>19</v>
      </c>
      <c r="H646" s="2" t="s">
        <v>537</v>
      </c>
      <c r="I646">
        <v>118</v>
      </c>
      <c r="J646" s="2" t="s">
        <v>554</v>
      </c>
      <c r="K646" s="2" t="s">
        <v>498</v>
      </c>
      <c r="L646" s="2" t="s">
        <v>499</v>
      </c>
      <c r="M646" s="2" t="s">
        <v>500</v>
      </c>
      <c r="N646" s="2" t="s">
        <v>501</v>
      </c>
      <c r="O646" s="2" t="s">
        <v>502</v>
      </c>
      <c r="P646" s="2" t="s">
        <v>127</v>
      </c>
      <c r="Q646" s="2" t="s">
        <v>503</v>
      </c>
      <c r="R646" s="2" t="s">
        <v>504</v>
      </c>
      <c r="S646" s="2" t="s">
        <v>30</v>
      </c>
      <c r="T646">
        <v>1022</v>
      </c>
      <c r="U646">
        <f>VLOOKUP(Auto_Sales_data___Copy[[#This Row],[CUSTOMER_NAME]],$AF$2:$AH$90,2,FALSE)</f>
        <v>30</v>
      </c>
      <c r="V646">
        <f>VLOOKUP(Auto_Sales_data___Copy[[#This Row],[CUSTOMER_NAME]],$AF$2:$AH$90,3,FALSE)</f>
        <v>113961.14999999997</v>
      </c>
      <c r="W646" s="2">
        <f>6-MATCH(Auto_Sales_data___Copy[[#This Row],[DAYS_SINCE_LAST_ORDER]],Table2[R-Cutoff],1)</f>
        <v>4</v>
      </c>
      <c r="X646" s="2">
        <f>MATCH(Auto_Sales_data___Copy[[#This Row],[Total_Orders_Per_Customer]],Table2[F-Cutoff],1)</f>
        <v>4</v>
      </c>
      <c r="Y646" s="2">
        <f>MATCH(Auto_Sales_data___Copy[[#This Row],[Total_Sales_Per_Customer]],Table2[M-Cutoff],1)</f>
        <v>4</v>
      </c>
      <c r="Z646" s="2" t="str">
        <f>Auto_Sales_data___Copy[[#This Row],[R-Score(1-5)]]&amp;Auto_Sales_data___Copy[[#This Row],[F-Score(1-5)]]&amp;Auto_Sales_data___Copy[[#This Row],[M-Score(1-5)]]</f>
        <v>444</v>
      </c>
      <c r="AA646" s="2" t="str" cm="1">
        <f t="array" ref="AA6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6" s="2" t="str">
        <f>VLOOKUP(Auto_Sales_data___Copy[[#This Row],[Segment Name]],Table3[],2,FALSE)</f>
        <v>VIP Recognitioon &amp; Inclusivity</v>
      </c>
    </row>
    <row r="647" spans="1:28" x14ac:dyDescent="0.25">
      <c r="A647">
        <v>10141</v>
      </c>
      <c r="B647">
        <v>39</v>
      </c>
      <c r="C647">
        <v>152.27000000000001</v>
      </c>
      <c r="D647">
        <v>4</v>
      </c>
      <c r="E647">
        <v>5938.53</v>
      </c>
      <c r="F647" s="1">
        <v>43313</v>
      </c>
      <c r="G647" s="2" t="s">
        <v>19</v>
      </c>
      <c r="H647" s="2" t="s">
        <v>183</v>
      </c>
      <c r="I647">
        <v>163</v>
      </c>
      <c r="J647" s="2" t="s">
        <v>631</v>
      </c>
      <c r="K647" s="2" t="s">
        <v>498</v>
      </c>
      <c r="L647" s="2" t="s">
        <v>499</v>
      </c>
      <c r="M647" s="2" t="s">
        <v>500</v>
      </c>
      <c r="N647" s="2" t="s">
        <v>501</v>
      </c>
      <c r="O647" s="2" t="s">
        <v>502</v>
      </c>
      <c r="P647" s="2" t="s">
        <v>127</v>
      </c>
      <c r="Q647" s="2" t="s">
        <v>503</v>
      </c>
      <c r="R647" s="2" t="s">
        <v>504</v>
      </c>
      <c r="S647" s="2" t="s">
        <v>46</v>
      </c>
      <c r="T647">
        <v>1298</v>
      </c>
      <c r="U647">
        <f>VLOOKUP(Auto_Sales_data___Copy[[#This Row],[CUSTOMER_NAME]],$AF$2:$AH$90,2,FALSE)</f>
        <v>30</v>
      </c>
      <c r="V647">
        <f>VLOOKUP(Auto_Sales_data___Copy[[#This Row],[CUSTOMER_NAME]],$AF$2:$AH$90,3,FALSE)</f>
        <v>113961.14999999997</v>
      </c>
      <c r="W647" s="2">
        <f>6-MATCH(Auto_Sales_data___Copy[[#This Row],[DAYS_SINCE_LAST_ORDER]],Table2[R-Cutoff],1)</f>
        <v>4</v>
      </c>
      <c r="X647" s="2">
        <f>MATCH(Auto_Sales_data___Copy[[#This Row],[Total_Orders_Per_Customer]],Table2[F-Cutoff],1)</f>
        <v>4</v>
      </c>
      <c r="Y647" s="2">
        <f>MATCH(Auto_Sales_data___Copy[[#This Row],[Total_Sales_Per_Customer]],Table2[M-Cutoff],1)</f>
        <v>4</v>
      </c>
      <c r="Z647" s="2" t="str">
        <f>Auto_Sales_data___Copy[[#This Row],[R-Score(1-5)]]&amp;Auto_Sales_data___Copy[[#This Row],[F-Score(1-5)]]&amp;Auto_Sales_data___Copy[[#This Row],[M-Score(1-5)]]</f>
        <v>444</v>
      </c>
      <c r="AA647" s="2" t="str" cm="1">
        <f t="array" ref="AA6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7" s="2" t="str">
        <f>VLOOKUP(Auto_Sales_data___Copy[[#This Row],[Segment Name]],Table3[],2,FALSE)</f>
        <v>VIP Recognitioon &amp; Inclusivity</v>
      </c>
    </row>
    <row r="648" spans="1:28" x14ac:dyDescent="0.25">
      <c r="A648">
        <v>10141</v>
      </c>
      <c r="B648">
        <v>47</v>
      </c>
      <c r="C648">
        <v>133.78</v>
      </c>
      <c r="D648">
        <v>8</v>
      </c>
      <c r="E648">
        <v>6287.66</v>
      </c>
      <c r="F648" s="1">
        <v>43313</v>
      </c>
      <c r="G648" s="2" t="s">
        <v>19</v>
      </c>
      <c r="H648" s="2" t="s">
        <v>537</v>
      </c>
      <c r="I648">
        <v>122</v>
      </c>
      <c r="J648" s="2" t="s">
        <v>633</v>
      </c>
      <c r="K648" s="2" t="s">
        <v>498</v>
      </c>
      <c r="L648" s="2" t="s">
        <v>499</v>
      </c>
      <c r="M648" s="2" t="s">
        <v>500</v>
      </c>
      <c r="N648" s="2" t="s">
        <v>501</v>
      </c>
      <c r="O648" s="2" t="s">
        <v>502</v>
      </c>
      <c r="P648" s="2" t="s">
        <v>127</v>
      </c>
      <c r="Q648" s="2" t="s">
        <v>503</v>
      </c>
      <c r="R648" s="2" t="s">
        <v>504</v>
      </c>
      <c r="S648" s="2" t="s">
        <v>46</v>
      </c>
      <c r="T648">
        <v>1346</v>
      </c>
      <c r="U648">
        <f>VLOOKUP(Auto_Sales_data___Copy[[#This Row],[CUSTOMER_NAME]],$AF$2:$AH$90,2,FALSE)</f>
        <v>30</v>
      </c>
      <c r="V648">
        <f>VLOOKUP(Auto_Sales_data___Copy[[#This Row],[CUSTOMER_NAME]],$AF$2:$AH$90,3,FALSE)</f>
        <v>113961.14999999997</v>
      </c>
      <c r="W648" s="2">
        <f>6-MATCH(Auto_Sales_data___Copy[[#This Row],[DAYS_SINCE_LAST_ORDER]],Table2[R-Cutoff],1)</f>
        <v>4</v>
      </c>
      <c r="X648" s="2">
        <f>MATCH(Auto_Sales_data___Copy[[#This Row],[Total_Orders_Per_Customer]],Table2[F-Cutoff],1)</f>
        <v>4</v>
      </c>
      <c r="Y648" s="2">
        <f>MATCH(Auto_Sales_data___Copy[[#This Row],[Total_Sales_Per_Customer]],Table2[M-Cutoff],1)</f>
        <v>4</v>
      </c>
      <c r="Z648" s="2" t="str">
        <f>Auto_Sales_data___Copy[[#This Row],[R-Score(1-5)]]&amp;Auto_Sales_data___Copy[[#This Row],[F-Score(1-5)]]&amp;Auto_Sales_data___Copy[[#This Row],[M-Score(1-5)]]</f>
        <v>444</v>
      </c>
      <c r="AA648" s="2" t="str" cm="1">
        <f t="array" ref="AA6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8" s="2" t="str">
        <f>VLOOKUP(Auto_Sales_data___Copy[[#This Row],[Segment Name]],Table3[],2,FALSE)</f>
        <v>VIP Recognitioon &amp; Inclusivity</v>
      </c>
    </row>
    <row r="649" spans="1:28" x14ac:dyDescent="0.25">
      <c r="A649">
        <v>10142</v>
      </c>
      <c r="B649">
        <v>46</v>
      </c>
      <c r="C649">
        <v>205.89</v>
      </c>
      <c r="D649">
        <v>11</v>
      </c>
      <c r="E649">
        <v>9470.94</v>
      </c>
      <c r="F649" s="1">
        <v>43320</v>
      </c>
      <c r="G649" s="2" t="s">
        <v>19</v>
      </c>
      <c r="H649" s="2" t="s">
        <v>183</v>
      </c>
      <c r="I649">
        <v>173</v>
      </c>
      <c r="J649" s="2" t="s">
        <v>552</v>
      </c>
      <c r="K649" s="2" t="s">
        <v>284</v>
      </c>
      <c r="L649" s="2" t="s">
        <v>285</v>
      </c>
      <c r="M649" s="2" t="s">
        <v>286</v>
      </c>
      <c r="N649" s="2" t="s">
        <v>287</v>
      </c>
      <c r="O649" s="2" t="s">
        <v>106</v>
      </c>
      <c r="P649" s="2" t="s">
        <v>27</v>
      </c>
      <c r="Q649" s="2" t="s">
        <v>288</v>
      </c>
      <c r="R649" s="2" t="s">
        <v>289</v>
      </c>
      <c r="S649" s="2" t="s">
        <v>151</v>
      </c>
      <c r="T649">
        <v>965</v>
      </c>
      <c r="U649">
        <f>VLOOKUP(Auto_Sales_data___Copy[[#This Row],[CUSTOMER_NAME]],$AF$2:$AH$90,2,FALSE)</f>
        <v>180</v>
      </c>
      <c r="V649">
        <f>VLOOKUP(Auto_Sales_data___Copy[[#This Row],[CUSTOMER_NAME]],$AF$2:$AH$90,3,FALSE)</f>
        <v>654858.06000000017</v>
      </c>
      <c r="W649" s="2">
        <f>6-MATCH(Auto_Sales_data___Copy[[#This Row],[DAYS_SINCE_LAST_ORDER]],Table2[R-Cutoff],1)</f>
        <v>4</v>
      </c>
      <c r="X649" s="2">
        <f>MATCH(Auto_Sales_data___Copy[[#This Row],[Total_Orders_Per_Customer]],Table2[F-Cutoff],1)</f>
        <v>4</v>
      </c>
      <c r="Y649" s="2">
        <f>MATCH(Auto_Sales_data___Copy[[#This Row],[Total_Sales_Per_Customer]],Table2[M-Cutoff],1)</f>
        <v>4</v>
      </c>
      <c r="Z649" s="2" t="str">
        <f>Auto_Sales_data___Copy[[#This Row],[R-Score(1-5)]]&amp;Auto_Sales_data___Copy[[#This Row],[F-Score(1-5)]]&amp;Auto_Sales_data___Copy[[#This Row],[M-Score(1-5)]]</f>
        <v>444</v>
      </c>
      <c r="AA649" s="2" t="str" cm="1">
        <f t="array" ref="AA6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9" s="2" t="str">
        <f>VLOOKUP(Auto_Sales_data___Copy[[#This Row],[Segment Name]],Table3[],2,FALSE)</f>
        <v>VIP Recognitioon &amp; Inclusivity</v>
      </c>
    </row>
    <row r="650" spans="1:28" x14ac:dyDescent="0.25">
      <c r="A650">
        <v>10143</v>
      </c>
      <c r="B650">
        <v>32</v>
      </c>
      <c r="C650">
        <v>164</v>
      </c>
      <c r="D650">
        <v>7</v>
      </c>
      <c r="E650">
        <v>5248</v>
      </c>
      <c r="F650" s="1">
        <v>43322</v>
      </c>
      <c r="G650" s="2" t="s">
        <v>19</v>
      </c>
      <c r="H650" s="2" t="s">
        <v>607</v>
      </c>
      <c r="I650">
        <v>157</v>
      </c>
      <c r="J650" s="2" t="s">
        <v>608</v>
      </c>
      <c r="K650" s="2" t="s">
        <v>353</v>
      </c>
      <c r="L650" s="2" t="s">
        <v>354</v>
      </c>
      <c r="M650" s="2" t="s">
        <v>355</v>
      </c>
      <c r="N650" s="2" t="s">
        <v>162</v>
      </c>
      <c r="O650" s="2" t="s">
        <v>163</v>
      </c>
      <c r="P650" s="2" t="s">
        <v>27</v>
      </c>
      <c r="Q650" s="2" t="s">
        <v>356</v>
      </c>
      <c r="R650" s="2" t="s">
        <v>357</v>
      </c>
      <c r="S650" s="2" t="s">
        <v>46</v>
      </c>
      <c r="T650">
        <v>1190</v>
      </c>
      <c r="U650">
        <f>VLOOKUP(Auto_Sales_data___Copy[[#This Row],[CUSTOMER_NAME]],$AF$2:$AH$90,2,FALSE)</f>
        <v>35</v>
      </c>
      <c r="V650">
        <f>VLOOKUP(Auto_Sales_data___Copy[[#This Row],[CUSTOMER_NAME]],$AF$2:$AH$90,3,FALSE)</f>
        <v>108951.12999999998</v>
      </c>
      <c r="W650" s="2">
        <f>6-MATCH(Auto_Sales_data___Copy[[#This Row],[DAYS_SINCE_LAST_ORDER]],Table2[R-Cutoff],1)</f>
        <v>4</v>
      </c>
      <c r="X650" s="2">
        <f>MATCH(Auto_Sales_data___Copy[[#This Row],[Total_Orders_Per_Customer]],Table2[F-Cutoff],1)</f>
        <v>4</v>
      </c>
      <c r="Y650" s="2">
        <f>MATCH(Auto_Sales_data___Copy[[#This Row],[Total_Sales_Per_Customer]],Table2[M-Cutoff],1)</f>
        <v>4</v>
      </c>
      <c r="Z650" s="2" t="str">
        <f>Auto_Sales_data___Copy[[#This Row],[R-Score(1-5)]]&amp;Auto_Sales_data___Copy[[#This Row],[F-Score(1-5)]]&amp;Auto_Sales_data___Copy[[#This Row],[M-Score(1-5)]]</f>
        <v>444</v>
      </c>
      <c r="AA650" s="2" t="str" cm="1">
        <f t="array" ref="AA6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0" s="2" t="str">
        <f>VLOOKUP(Auto_Sales_data___Copy[[#This Row],[Segment Name]],Table3[],2,FALSE)</f>
        <v>VIP Recognitioon &amp; Inclusivity</v>
      </c>
    </row>
    <row r="651" spans="1:28" x14ac:dyDescent="0.25">
      <c r="A651">
        <v>10145</v>
      </c>
      <c r="B651">
        <v>30</v>
      </c>
      <c r="C651">
        <v>85.32</v>
      </c>
      <c r="D651">
        <v>14</v>
      </c>
      <c r="E651">
        <v>2559.6</v>
      </c>
      <c r="F651" s="1">
        <v>43337</v>
      </c>
      <c r="G651" s="2" t="s">
        <v>19</v>
      </c>
      <c r="H651" s="2" t="s">
        <v>607</v>
      </c>
      <c r="I651">
        <v>84</v>
      </c>
      <c r="J651" s="2" t="s">
        <v>636</v>
      </c>
      <c r="K651" s="2" t="s">
        <v>47</v>
      </c>
      <c r="L651" s="2" t="s">
        <v>48</v>
      </c>
      <c r="M651" s="2" t="s">
        <v>49</v>
      </c>
      <c r="N651" s="2" t="s">
        <v>50</v>
      </c>
      <c r="O651" s="2" t="s">
        <v>51</v>
      </c>
      <c r="P651" s="2" t="s">
        <v>27</v>
      </c>
      <c r="Q651" s="2" t="s">
        <v>52</v>
      </c>
      <c r="R651" s="2" t="s">
        <v>53</v>
      </c>
      <c r="S651" s="2" t="s">
        <v>30</v>
      </c>
      <c r="T651">
        <v>1399</v>
      </c>
      <c r="U651">
        <f>VLOOKUP(Auto_Sales_data___Copy[[#This Row],[CUSTOMER_NAME]],$AF$2:$AH$90,2,FALSE)</f>
        <v>30</v>
      </c>
      <c r="V651">
        <f>VLOOKUP(Auto_Sales_data___Copy[[#This Row],[CUSTOMER_NAME]],$AF$2:$AH$90,3,FALSE)</f>
        <v>104561.95999999999</v>
      </c>
      <c r="W651" s="2">
        <f>6-MATCH(Auto_Sales_data___Copy[[#This Row],[DAYS_SINCE_LAST_ORDER]],Table2[R-Cutoff],1)</f>
        <v>4</v>
      </c>
      <c r="X651" s="2">
        <f>MATCH(Auto_Sales_data___Copy[[#This Row],[Total_Orders_Per_Customer]],Table2[F-Cutoff],1)</f>
        <v>4</v>
      </c>
      <c r="Y651" s="2">
        <f>MATCH(Auto_Sales_data___Copy[[#This Row],[Total_Sales_Per_Customer]],Table2[M-Cutoff],1)</f>
        <v>4</v>
      </c>
      <c r="Z651" s="2" t="str">
        <f>Auto_Sales_data___Copy[[#This Row],[R-Score(1-5)]]&amp;Auto_Sales_data___Copy[[#This Row],[F-Score(1-5)]]&amp;Auto_Sales_data___Copy[[#This Row],[M-Score(1-5)]]</f>
        <v>444</v>
      </c>
      <c r="AA651" s="2" t="str" cm="1">
        <f t="array" ref="AA6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1" s="2" t="str">
        <f>VLOOKUP(Auto_Sales_data___Copy[[#This Row],[Segment Name]],Table3[],2,FALSE)</f>
        <v>VIP Recognitioon &amp; Inclusivity</v>
      </c>
    </row>
    <row r="652" spans="1:28" x14ac:dyDescent="0.25">
      <c r="A652">
        <v>10145</v>
      </c>
      <c r="B652">
        <v>30</v>
      </c>
      <c r="C652">
        <v>49.67</v>
      </c>
      <c r="D652">
        <v>10</v>
      </c>
      <c r="E652">
        <v>1490.1</v>
      </c>
      <c r="F652" s="1">
        <v>43337</v>
      </c>
      <c r="G652" s="2" t="s">
        <v>19</v>
      </c>
      <c r="H652" s="2" t="s">
        <v>20</v>
      </c>
      <c r="I652">
        <v>60</v>
      </c>
      <c r="J652" s="2" t="s">
        <v>637</v>
      </c>
      <c r="K652" s="2" t="s">
        <v>47</v>
      </c>
      <c r="L652" s="2" t="s">
        <v>48</v>
      </c>
      <c r="M652" s="2" t="s">
        <v>49</v>
      </c>
      <c r="N652" s="2" t="s">
        <v>50</v>
      </c>
      <c r="O652" s="2" t="s">
        <v>51</v>
      </c>
      <c r="P652" s="2" t="s">
        <v>27</v>
      </c>
      <c r="Q652" s="2" t="s">
        <v>52</v>
      </c>
      <c r="R652" s="2" t="s">
        <v>53</v>
      </c>
      <c r="S652" s="2" t="s">
        <v>30</v>
      </c>
      <c r="T652">
        <v>1422</v>
      </c>
      <c r="U652">
        <f>VLOOKUP(Auto_Sales_data___Copy[[#This Row],[CUSTOMER_NAME]],$AF$2:$AH$90,2,FALSE)</f>
        <v>30</v>
      </c>
      <c r="V652">
        <f>VLOOKUP(Auto_Sales_data___Copy[[#This Row],[CUSTOMER_NAME]],$AF$2:$AH$90,3,FALSE)</f>
        <v>104561.95999999999</v>
      </c>
      <c r="W652" s="2">
        <f>6-MATCH(Auto_Sales_data___Copy[[#This Row],[DAYS_SINCE_LAST_ORDER]],Table2[R-Cutoff],1)</f>
        <v>4</v>
      </c>
      <c r="X652" s="2">
        <f>MATCH(Auto_Sales_data___Copy[[#This Row],[Total_Orders_Per_Customer]],Table2[F-Cutoff],1)</f>
        <v>4</v>
      </c>
      <c r="Y652" s="2">
        <f>MATCH(Auto_Sales_data___Copy[[#This Row],[Total_Sales_Per_Customer]],Table2[M-Cutoff],1)</f>
        <v>4</v>
      </c>
      <c r="Z652" s="2" t="str">
        <f>Auto_Sales_data___Copy[[#This Row],[R-Score(1-5)]]&amp;Auto_Sales_data___Copy[[#This Row],[F-Score(1-5)]]&amp;Auto_Sales_data___Copy[[#This Row],[M-Score(1-5)]]</f>
        <v>444</v>
      </c>
      <c r="AA652" s="2" t="str" cm="1">
        <f t="array" ref="AA6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2" s="2" t="str">
        <f>VLOOKUP(Auto_Sales_data___Copy[[#This Row],[Segment Name]],Table3[],2,FALSE)</f>
        <v>VIP Recognitioon &amp; Inclusivity</v>
      </c>
    </row>
    <row r="653" spans="1:28" x14ac:dyDescent="0.25">
      <c r="A653">
        <v>10148</v>
      </c>
      <c r="B653">
        <v>23</v>
      </c>
      <c r="C653">
        <v>117.48</v>
      </c>
      <c r="D653">
        <v>13</v>
      </c>
      <c r="E653">
        <v>2702.04</v>
      </c>
      <c r="F653" s="1">
        <v>43354</v>
      </c>
      <c r="G653" s="2" t="s">
        <v>19</v>
      </c>
      <c r="H653" s="2" t="s">
        <v>183</v>
      </c>
      <c r="I653">
        <v>141</v>
      </c>
      <c r="J653" s="2" t="s">
        <v>576</v>
      </c>
      <c r="K653" s="2" t="s">
        <v>300</v>
      </c>
      <c r="L653" s="2" t="s">
        <v>301</v>
      </c>
      <c r="M653" s="2" t="s">
        <v>302</v>
      </c>
      <c r="N653" s="2" t="s">
        <v>303</v>
      </c>
      <c r="O653" s="2" t="s">
        <v>304</v>
      </c>
      <c r="P653" s="2" t="s">
        <v>87</v>
      </c>
      <c r="Q653" s="2" t="s">
        <v>305</v>
      </c>
      <c r="R653" s="2" t="s">
        <v>306</v>
      </c>
      <c r="S653" s="2" t="s">
        <v>30</v>
      </c>
      <c r="T653">
        <v>1059</v>
      </c>
      <c r="U653">
        <f>VLOOKUP(Auto_Sales_data___Copy[[#This Row],[CUSTOMER_NAME]],$AF$2:$AH$90,2,FALSE)</f>
        <v>46</v>
      </c>
      <c r="V653">
        <f>VLOOKUP(Auto_Sales_data___Copy[[#This Row],[CUSTOMER_NAME]],$AF$2:$AH$90,3,FALSE)</f>
        <v>153996.12999999998</v>
      </c>
      <c r="W653" s="2">
        <f>6-MATCH(Auto_Sales_data___Copy[[#This Row],[DAYS_SINCE_LAST_ORDER]],Table2[R-Cutoff],1)</f>
        <v>4</v>
      </c>
      <c r="X653" s="2">
        <f>MATCH(Auto_Sales_data___Copy[[#This Row],[Total_Orders_Per_Customer]],Table2[F-Cutoff],1)</f>
        <v>4</v>
      </c>
      <c r="Y653" s="2">
        <f>MATCH(Auto_Sales_data___Copy[[#This Row],[Total_Sales_Per_Customer]],Table2[M-Cutoff],1)</f>
        <v>4</v>
      </c>
      <c r="Z653" s="2" t="str">
        <f>Auto_Sales_data___Copy[[#This Row],[R-Score(1-5)]]&amp;Auto_Sales_data___Copy[[#This Row],[F-Score(1-5)]]&amp;Auto_Sales_data___Copy[[#This Row],[M-Score(1-5)]]</f>
        <v>444</v>
      </c>
      <c r="AA653" s="2" t="str" cm="1">
        <f t="array" ref="AA6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3" s="2" t="str">
        <f>VLOOKUP(Auto_Sales_data___Copy[[#This Row],[Segment Name]],Table3[],2,FALSE)</f>
        <v>VIP Recognitioon &amp; Inclusivity</v>
      </c>
    </row>
    <row r="654" spans="1:28" x14ac:dyDescent="0.25">
      <c r="A654">
        <v>10148</v>
      </c>
      <c r="B654">
        <v>47</v>
      </c>
      <c r="C654">
        <v>124.44</v>
      </c>
      <c r="D654">
        <v>9</v>
      </c>
      <c r="E654">
        <v>5848.68</v>
      </c>
      <c r="F654" s="1">
        <v>43354</v>
      </c>
      <c r="G654" s="2" t="s">
        <v>19</v>
      </c>
      <c r="H654" s="2" t="s">
        <v>183</v>
      </c>
      <c r="I654">
        <v>124</v>
      </c>
      <c r="J654" s="2" t="s">
        <v>606</v>
      </c>
      <c r="K654" s="2" t="s">
        <v>300</v>
      </c>
      <c r="L654" s="2" t="s">
        <v>301</v>
      </c>
      <c r="M654" s="2" t="s">
        <v>302</v>
      </c>
      <c r="N654" s="2" t="s">
        <v>303</v>
      </c>
      <c r="O654" s="2" t="s">
        <v>304</v>
      </c>
      <c r="P654" s="2" t="s">
        <v>87</v>
      </c>
      <c r="Q654" s="2" t="s">
        <v>305</v>
      </c>
      <c r="R654" s="2" t="s">
        <v>306</v>
      </c>
      <c r="S654" s="2" t="s">
        <v>46</v>
      </c>
      <c r="T654">
        <v>1133</v>
      </c>
      <c r="U654">
        <f>VLOOKUP(Auto_Sales_data___Copy[[#This Row],[CUSTOMER_NAME]],$AF$2:$AH$90,2,FALSE)</f>
        <v>46</v>
      </c>
      <c r="V654">
        <f>VLOOKUP(Auto_Sales_data___Copy[[#This Row],[CUSTOMER_NAME]],$AF$2:$AH$90,3,FALSE)</f>
        <v>153996.12999999998</v>
      </c>
      <c r="W654" s="2">
        <f>6-MATCH(Auto_Sales_data___Copy[[#This Row],[DAYS_SINCE_LAST_ORDER]],Table2[R-Cutoff],1)</f>
        <v>4</v>
      </c>
      <c r="X654" s="2">
        <f>MATCH(Auto_Sales_data___Copy[[#This Row],[Total_Orders_Per_Customer]],Table2[F-Cutoff],1)</f>
        <v>4</v>
      </c>
      <c r="Y654" s="2">
        <f>MATCH(Auto_Sales_data___Copy[[#This Row],[Total_Sales_Per_Customer]],Table2[M-Cutoff],1)</f>
        <v>4</v>
      </c>
      <c r="Z654" s="2" t="str">
        <f>Auto_Sales_data___Copy[[#This Row],[R-Score(1-5)]]&amp;Auto_Sales_data___Copy[[#This Row],[F-Score(1-5)]]&amp;Auto_Sales_data___Copy[[#This Row],[M-Score(1-5)]]</f>
        <v>444</v>
      </c>
      <c r="AA654" s="2" t="str" cm="1">
        <f t="array" ref="AA6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4" s="2" t="str">
        <f>VLOOKUP(Auto_Sales_data___Copy[[#This Row],[Segment Name]],Table3[],2,FALSE)</f>
        <v>VIP Recognitioon &amp; Inclusivity</v>
      </c>
    </row>
    <row r="655" spans="1:28" x14ac:dyDescent="0.25">
      <c r="A655">
        <v>10148</v>
      </c>
      <c r="B655">
        <v>25</v>
      </c>
      <c r="C655">
        <v>169.28</v>
      </c>
      <c r="D655">
        <v>12</v>
      </c>
      <c r="E655">
        <v>4232</v>
      </c>
      <c r="F655" s="1">
        <v>43354</v>
      </c>
      <c r="G655" s="2" t="s">
        <v>19</v>
      </c>
      <c r="H655" s="2" t="s">
        <v>183</v>
      </c>
      <c r="I655">
        <v>142</v>
      </c>
      <c r="J655" s="2" t="s">
        <v>630</v>
      </c>
      <c r="K655" s="2" t="s">
        <v>300</v>
      </c>
      <c r="L655" s="2" t="s">
        <v>301</v>
      </c>
      <c r="M655" s="2" t="s">
        <v>302</v>
      </c>
      <c r="N655" s="2" t="s">
        <v>303</v>
      </c>
      <c r="O655" s="2" t="s">
        <v>304</v>
      </c>
      <c r="P655" s="2" t="s">
        <v>87</v>
      </c>
      <c r="Q655" s="2" t="s">
        <v>305</v>
      </c>
      <c r="R655" s="2" t="s">
        <v>306</v>
      </c>
      <c r="S655" s="2" t="s">
        <v>46</v>
      </c>
      <c r="T655">
        <v>1230</v>
      </c>
      <c r="U655">
        <f>VLOOKUP(Auto_Sales_data___Copy[[#This Row],[CUSTOMER_NAME]],$AF$2:$AH$90,2,FALSE)</f>
        <v>46</v>
      </c>
      <c r="V655">
        <f>VLOOKUP(Auto_Sales_data___Copy[[#This Row],[CUSTOMER_NAME]],$AF$2:$AH$90,3,FALSE)</f>
        <v>153996.12999999998</v>
      </c>
      <c r="W655" s="2">
        <f>6-MATCH(Auto_Sales_data___Copy[[#This Row],[DAYS_SINCE_LAST_ORDER]],Table2[R-Cutoff],1)</f>
        <v>4</v>
      </c>
      <c r="X655" s="2">
        <f>MATCH(Auto_Sales_data___Copy[[#This Row],[Total_Orders_Per_Customer]],Table2[F-Cutoff],1)</f>
        <v>4</v>
      </c>
      <c r="Y655" s="2">
        <f>MATCH(Auto_Sales_data___Copy[[#This Row],[Total_Sales_Per_Customer]],Table2[M-Cutoff],1)</f>
        <v>4</v>
      </c>
      <c r="Z655" s="2" t="str">
        <f>Auto_Sales_data___Copy[[#This Row],[R-Score(1-5)]]&amp;Auto_Sales_data___Copy[[#This Row],[F-Score(1-5)]]&amp;Auto_Sales_data___Copy[[#This Row],[M-Score(1-5)]]</f>
        <v>444</v>
      </c>
      <c r="AA655" s="2" t="str" cm="1">
        <f t="array" ref="AA6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5" s="2" t="str">
        <f>VLOOKUP(Auto_Sales_data___Copy[[#This Row],[Segment Name]],Table3[],2,FALSE)</f>
        <v>VIP Recognitioon &amp; Inclusivity</v>
      </c>
    </row>
    <row r="656" spans="1:28" x14ac:dyDescent="0.25">
      <c r="A656">
        <v>10148</v>
      </c>
      <c r="B656">
        <v>27</v>
      </c>
      <c r="C656">
        <v>130.68</v>
      </c>
      <c r="D656">
        <v>10</v>
      </c>
      <c r="E656">
        <v>3528.36</v>
      </c>
      <c r="F656" s="1">
        <v>43354</v>
      </c>
      <c r="G656" s="2" t="s">
        <v>19</v>
      </c>
      <c r="H656" s="2" t="s">
        <v>183</v>
      </c>
      <c r="I656">
        <v>132</v>
      </c>
      <c r="J656" s="2" t="s">
        <v>639</v>
      </c>
      <c r="K656" s="2" t="s">
        <v>300</v>
      </c>
      <c r="L656" s="2" t="s">
        <v>301</v>
      </c>
      <c r="M656" s="2" t="s">
        <v>302</v>
      </c>
      <c r="N656" s="2" t="s">
        <v>303</v>
      </c>
      <c r="O656" s="2" t="s">
        <v>304</v>
      </c>
      <c r="P656" s="2" t="s">
        <v>87</v>
      </c>
      <c r="Q656" s="2" t="s">
        <v>305</v>
      </c>
      <c r="R656" s="2" t="s">
        <v>306</v>
      </c>
      <c r="S656" s="2" t="s">
        <v>46</v>
      </c>
      <c r="T656">
        <v>1454</v>
      </c>
      <c r="U656">
        <f>VLOOKUP(Auto_Sales_data___Copy[[#This Row],[CUSTOMER_NAME]],$AF$2:$AH$90,2,FALSE)</f>
        <v>46</v>
      </c>
      <c r="V656">
        <f>VLOOKUP(Auto_Sales_data___Copy[[#This Row],[CUSTOMER_NAME]],$AF$2:$AH$90,3,FALSE)</f>
        <v>153996.12999999998</v>
      </c>
      <c r="W656" s="2">
        <f>6-MATCH(Auto_Sales_data___Copy[[#This Row],[DAYS_SINCE_LAST_ORDER]],Table2[R-Cutoff],1)</f>
        <v>4</v>
      </c>
      <c r="X656" s="2">
        <f>MATCH(Auto_Sales_data___Copy[[#This Row],[Total_Orders_Per_Customer]],Table2[F-Cutoff],1)</f>
        <v>4</v>
      </c>
      <c r="Y656" s="2">
        <f>MATCH(Auto_Sales_data___Copy[[#This Row],[Total_Sales_Per_Customer]],Table2[M-Cutoff],1)</f>
        <v>4</v>
      </c>
      <c r="Z656" s="2" t="str">
        <f>Auto_Sales_data___Copy[[#This Row],[R-Score(1-5)]]&amp;Auto_Sales_data___Copy[[#This Row],[F-Score(1-5)]]&amp;Auto_Sales_data___Copy[[#This Row],[M-Score(1-5)]]</f>
        <v>444</v>
      </c>
      <c r="AA656" s="2" t="str" cm="1">
        <f t="array" ref="AA6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6" s="2" t="str">
        <f>VLOOKUP(Auto_Sales_data___Copy[[#This Row],[Segment Name]],Table3[],2,FALSE)</f>
        <v>VIP Recognitioon &amp; Inclusivity</v>
      </c>
    </row>
    <row r="657" spans="1:28" x14ac:dyDescent="0.25">
      <c r="A657">
        <v>10150</v>
      </c>
      <c r="B657">
        <v>34</v>
      </c>
      <c r="C657">
        <v>136.5</v>
      </c>
      <c r="D657">
        <v>7</v>
      </c>
      <c r="E657">
        <v>4641</v>
      </c>
      <c r="F657" s="1">
        <v>43362</v>
      </c>
      <c r="G657" s="2" t="s">
        <v>19</v>
      </c>
      <c r="H657" s="2" t="s">
        <v>537</v>
      </c>
      <c r="I657">
        <v>116</v>
      </c>
      <c r="J657" s="2" t="s">
        <v>575</v>
      </c>
      <c r="K657" s="2" t="s">
        <v>199</v>
      </c>
      <c r="L657" s="2" t="s">
        <v>200</v>
      </c>
      <c r="M657" s="2" t="s">
        <v>201</v>
      </c>
      <c r="N657" s="2" t="s">
        <v>202</v>
      </c>
      <c r="O657" s="2" t="s">
        <v>203</v>
      </c>
      <c r="P657" s="2" t="s">
        <v>202</v>
      </c>
      <c r="Q657" s="2" t="s">
        <v>204</v>
      </c>
      <c r="R657" s="2" t="s">
        <v>205</v>
      </c>
      <c r="S657" s="2" t="s">
        <v>46</v>
      </c>
      <c r="T657">
        <v>1026</v>
      </c>
      <c r="U657">
        <f>VLOOKUP(Auto_Sales_data___Copy[[#This Row],[CUSTOMER_NAME]],$AF$2:$AH$90,2,FALSE)</f>
        <v>43</v>
      </c>
      <c r="V657">
        <f>VLOOKUP(Auto_Sales_data___Copy[[#This Row],[CUSTOMER_NAME]],$AF$2:$AH$90,3,FALSE)</f>
        <v>172989.68000000008</v>
      </c>
      <c r="W657" s="2">
        <f>6-MATCH(Auto_Sales_data___Copy[[#This Row],[DAYS_SINCE_LAST_ORDER]],Table2[R-Cutoff],1)</f>
        <v>4</v>
      </c>
      <c r="X657" s="2">
        <f>MATCH(Auto_Sales_data___Copy[[#This Row],[Total_Orders_Per_Customer]],Table2[F-Cutoff],1)</f>
        <v>4</v>
      </c>
      <c r="Y657" s="2">
        <f>MATCH(Auto_Sales_data___Copy[[#This Row],[Total_Sales_Per_Customer]],Table2[M-Cutoff],1)</f>
        <v>4</v>
      </c>
      <c r="Z657" s="2" t="str">
        <f>Auto_Sales_data___Copy[[#This Row],[R-Score(1-5)]]&amp;Auto_Sales_data___Copy[[#This Row],[F-Score(1-5)]]&amp;Auto_Sales_data___Copy[[#This Row],[M-Score(1-5)]]</f>
        <v>444</v>
      </c>
      <c r="AA657" s="2" t="str" cm="1">
        <f t="array" ref="AA6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7" s="2" t="str">
        <f>VLOOKUP(Auto_Sales_data___Copy[[#This Row],[Segment Name]],Table3[],2,FALSE)</f>
        <v>VIP Recognitioon &amp; Inclusivity</v>
      </c>
    </row>
    <row r="658" spans="1:28" x14ac:dyDescent="0.25">
      <c r="A658">
        <v>10150</v>
      </c>
      <c r="B658">
        <v>47</v>
      </c>
      <c r="C658">
        <v>91.18</v>
      </c>
      <c r="D658">
        <v>9</v>
      </c>
      <c r="E658">
        <v>4285.46</v>
      </c>
      <c r="F658" s="1">
        <v>43362</v>
      </c>
      <c r="G658" s="2" t="s">
        <v>19</v>
      </c>
      <c r="H658" s="2" t="s">
        <v>589</v>
      </c>
      <c r="I658">
        <v>101</v>
      </c>
      <c r="J658" s="2" t="s">
        <v>640</v>
      </c>
      <c r="K658" s="2" t="s">
        <v>199</v>
      </c>
      <c r="L658" s="2" t="s">
        <v>200</v>
      </c>
      <c r="M658" s="2" t="s">
        <v>201</v>
      </c>
      <c r="N658" s="2" t="s">
        <v>202</v>
      </c>
      <c r="O658" s="2" t="s">
        <v>203</v>
      </c>
      <c r="P658" s="2" t="s">
        <v>202</v>
      </c>
      <c r="Q658" s="2" t="s">
        <v>204</v>
      </c>
      <c r="R658" s="2" t="s">
        <v>205</v>
      </c>
      <c r="S658" s="2" t="s">
        <v>46</v>
      </c>
      <c r="T658">
        <v>1472</v>
      </c>
      <c r="U658">
        <f>VLOOKUP(Auto_Sales_data___Copy[[#This Row],[CUSTOMER_NAME]],$AF$2:$AH$90,2,FALSE)</f>
        <v>43</v>
      </c>
      <c r="V658">
        <f>VLOOKUP(Auto_Sales_data___Copy[[#This Row],[CUSTOMER_NAME]],$AF$2:$AH$90,3,FALSE)</f>
        <v>172989.68000000008</v>
      </c>
      <c r="W658" s="2">
        <f>6-MATCH(Auto_Sales_data___Copy[[#This Row],[DAYS_SINCE_LAST_ORDER]],Table2[R-Cutoff],1)</f>
        <v>4</v>
      </c>
      <c r="X658" s="2">
        <f>MATCH(Auto_Sales_data___Copy[[#This Row],[Total_Orders_Per_Customer]],Table2[F-Cutoff],1)</f>
        <v>4</v>
      </c>
      <c r="Y658" s="2">
        <f>MATCH(Auto_Sales_data___Copy[[#This Row],[Total_Sales_Per_Customer]],Table2[M-Cutoff],1)</f>
        <v>4</v>
      </c>
      <c r="Z658" s="2" t="str">
        <f>Auto_Sales_data___Copy[[#This Row],[R-Score(1-5)]]&amp;Auto_Sales_data___Copy[[#This Row],[F-Score(1-5)]]&amp;Auto_Sales_data___Copy[[#This Row],[M-Score(1-5)]]</f>
        <v>444</v>
      </c>
      <c r="AA658" s="2" t="str" cm="1">
        <f t="array" ref="AA6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8" s="2" t="str">
        <f>VLOOKUP(Auto_Sales_data___Copy[[#This Row],[Segment Name]],Table3[],2,FALSE)</f>
        <v>VIP Recognitioon &amp; Inclusivity</v>
      </c>
    </row>
    <row r="659" spans="1:28" x14ac:dyDescent="0.25">
      <c r="A659">
        <v>10151</v>
      </c>
      <c r="B659">
        <v>24</v>
      </c>
      <c r="C659">
        <v>138.65</v>
      </c>
      <c r="D659">
        <v>3</v>
      </c>
      <c r="E659">
        <v>3327.6</v>
      </c>
      <c r="F659" s="1">
        <v>43364</v>
      </c>
      <c r="G659" s="2" t="s">
        <v>19</v>
      </c>
      <c r="H659" s="2" t="s">
        <v>537</v>
      </c>
      <c r="I659">
        <v>118</v>
      </c>
      <c r="J659" s="2" t="s">
        <v>554</v>
      </c>
      <c r="K659" s="2" t="s">
        <v>411</v>
      </c>
      <c r="L659" s="2" t="s">
        <v>412</v>
      </c>
      <c r="M659" s="2" t="s">
        <v>413</v>
      </c>
      <c r="N659" s="2" t="s">
        <v>414</v>
      </c>
      <c r="O659" s="2" t="s">
        <v>415</v>
      </c>
      <c r="P659" s="2" t="s">
        <v>127</v>
      </c>
      <c r="Q659" s="2" t="s">
        <v>416</v>
      </c>
      <c r="R659" s="2" t="s">
        <v>417</v>
      </c>
      <c r="S659" s="2" t="s">
        <v>46</v>
      </c>
      <c r="T659">
        <v>972</v>
      </c>
      <c r="U659">
        <f>VLOOKUP(Auto_Sales_data___Copy[[#This Row],[CUSTOMER_NAME]],$AF$2:$AH$90,2,FALSE)</f>
        <v>32</v>
      </c>
      <c r="V659">
        <f>VLOOKUP(Auto_Sales_data___Copy[[#This Row],[CUSTOMER_NAME]],$AF$2:$AH$90,3,FALSE)</f>
        <v>104370.37999999999</v>
      </c>
      <c r="W659" s="2">
        <f>6-MATCH(Auto_Sales_data___Copy[[#This Row],[DAYS_SINCE_LAST_ORDER]],Table2[R-Cutoff],1)</f>
        <v>4</v>
      </c>
      <c r="X659" s="2">
        <f>MATCH(Auto_Sales_data___Copy[[#This Row],[Total_Orders_Per_Customer]],Table2[F-Cutoff],1)</f>
        <v>4</v>
      </c>
      <c r="Y659" s="2">
        <f>MATCH(Auto_Sales_data___Copy[[#This Row],[Total_Sales_Per_Customer]],Table2[M-Cutoff],1)</f>
        <v>4</v>
      </c>
      <c r="Z659" s="2" t="str">
        <f>Auto_Sales_data___Copy[[#This Row],[R-Score(1-5)]]&amp;Auto_Sales_data___Copy[[#This Row],[F-Score(1-5)]]&amp;Auto_Sales_data___Copy[[#This Row],[M-Score(1-5)]]</f>
        <v>444</v>
      </c>
      <c r="AA659" s="2" t="str" cm="1">
        <f t="array" ref="AA6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9" s="2" t="str">
        <f>VLOOKUP(Auto_Sales_data___Copy[[#This Row],[Segment Name]],Table3[],2,FALSE)</f>
        <v>VIP Recognitioon &amp; Inclusivity</v>
      </c>
    </row>
    <row r="660" spans="1:28" x14ac:dyDescent="0.25">
      <c r="A660">
        <v>10151</v>
      </c>
      <c r="B660">
        <v>43</v>
      </c>
      <c r="C660">
        <v>165.37</v>
      </c>
      <c r="D660">
        <v>2</v>
      </c>
      <c r="E660">
        <v>7110.91</v>
      </c>
      <c r="F660" s="1">
        <v>43364</v>
      </c>
      <c r="G660" s="2" t="s">
        <v>19</v>
      </c>
      <c r="H660" s="2" t="s">
        <v>183</v>
      </c>
      <c r="I660">
        <v>163</v>
      </c>
      <c r="J660" s="2" t="s">
        <v>631</v>
      </c>
      <c r="K660" s="2" t="s">
        <v>411</v>
      </c>
      <c r="L660" s="2" t="s">
        <v>412</v>
      </c>
      <c r="M660" s="2" t="s">
        <v>413</v>
      </c>
      <c r="N660" s="2" t="s">
        <v>414</v>
      </c>
      <c r="O660" s="2" t="s">
        <v>415</v>
      </c>
      <c r="P660" s="2" t="s">
        <v>127</v>
      </c>
      <c r="Q660" s="2" t="s">
        <v>416</v>
      </c>
      <c r="R660" s="2" t="s">
        <v>417</v>
      </c>
      <c r="S660" s="2" t="s">
        <v>151</v>
      </c>
      <c r="T660">
        <v>1248</v>
      </c>
      <c r="U660">
        <f>VLOOKUP(Auto_Sales_data___Copy[[#This Row],[CUSTOMER_NAME]],$AF$2:$AH$90,2,FALSE)</f>
        <v>32</v>
      </c>
      <c r="V660">
        <f>VLOOKUP(Auto_Sales_data___Copy[[#This Row],[CUSTOMER_NAME]],$AF$2:$AH$90,3,FALSE)</f>
        <v>104370.37999999999</v>
      </c>
      <c r="W660" s="2">
        <f>6-MATCH(Auto_Sales_data___Copy[[#This Row],[DAYS_SINCE_LAST_ORDER]],Table2[R-Cutoff],1)</f>
        <v>4</v>
      </c>
      <c r="X660" s="2">
        <f>MATCH(Auto_Sales_data___Copy[[#This Row],[Total_Orders_Per_Customer]],Table2[F-Cutoff],1)</f>
        <v>4</v>
      </c>
      <c r="Y660" s="2">
        <f>MATCH(Auto_Sales_data___Copy[[#This Row],[Total_Sales_Per_Customer]],Table2[M-Cutoff],1)</f>
        <v>4</v>
      </c>
      <c r="Z660" s="2" t="str">
        <f>Auto_Sales_data___Copy[[#This Row],[R-Score(1-5)]]&amp;Auto_Sales_data___Copy[[#This Row],[F-Score(1-5)]]&amp;Auto_Sales_data___Copy[[#This Row],[M-Score(1-5)]]</f>
        <v>444</v>
      </c>
      <c r="AA660" s="2" t="str" cm="1">
        <f t="array" ref="AA6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0" s="2" t="str">
        <f>VLOOKUP(Auto_Sales_data___Copy[[#This Row],[Segment Name]],Table3[],2,FALSE)</f>
        <v>VIP Recognitioon &amp; Inclusivity</v>
      </c>
    </row>
    <row r="661" spans="1:28" x14ac:dyDescent="0.25">
      <c r="A661">
        <v>10151</v>
      </c>
      <c r="B661">
        <v>49</v>
      </c>
      <c r="C661">
        <v>110.46</v>
      </c>
      <c r="D661">
        <v>6</v>
      </c>
      <c r="E661">
        <v>5412.54</v>
      </c>
      <c r="F661" s="1">
        <v>43364</v>
      </c>
      <c r="G661" s="2" t="s">
        <v>19</v>
      </c>
      <c r="H661" s="2" t="s">
        <v>537</v>
      </c>
      <c r="I661">
        <v>122</v>
      </c>
      <c r="J661" s="2" t="s">
        <v>633</v>
      </c>
      <c r="K661" s="2" t="s">
        <v>411</v>
      </c>
      <c r="L661" s="2" t="s">
        <v>412</v>
      </c>
      <c r="M661" s="2" t="s">
        <v>413</v>
      </c>
      <c r="N661" s="2" t="s">
        <v>414</v>
      </c>
      <c r="O661" s="2" t="s">
        <v>415</v>
      </c>
      <c r="P661" s="2" t="s">
        <v>127</v>
      </c>
      <c r="Q661" s="2" t="s">
        <v>416</v>
      </c>
      <c r="R661" s="2" t="s">
        <v>417</v>
      </c>
      <c r="S661" s="2" t="s">
        <v>46</v>
      </c>
      <c r="T661">
        <v>1296</v>
      </c>
      <c r="U661">
        <f>VLOOKUP(Auto_Sales_data___Copy[[#This Row],[CUSTOMER_NAME]],$AF$2:$AH$90,2,FALSE)</f>
        <v>32</v>
      </c>
      <c r="V661">
        <f>VLOOKUP(Auto_Sales_data___Copy[[#This Row],[CUSTOMER_NAME]],$AF$2:$AH$90,3,FALSE)</f>
        <v>104370.37999999999</v>
      </c>
      <c r="W661" s="2">
        <f>6-MATCH(Auto_Sales_data___Copy[[#This Row],[DAYS_SINCE_LAST_ORDER]],Table2[R-Cutoff],1)</f>
        <v>4</v>
      </c>
      <c r="X661" s="2">
        <f>MATCH(Auto_Sales_data___Copy[[#This Row],[Total_Orders_Per_Customer]],Table2[F-Cutoff],1)</f>
        <v>4</v>
      </c>
      <c r="Y661" s="2">
        <f>MATCH(Auto_Sales_data___Copy[[#This Row],[Total_Sales_Per_Customer]],Table2[M-Cutoff],1)</f>
        <v>4</v>
      </c>
      <c r="Z661" s="2" t="str">
        <f>Auto_Sales_data___Copy[[#This Row],[R-Score(1-5)]]&amp;Auto_Sales_data___Copy[[#This Row],[F-Score(1-5)]]&amp;Auto_Sales_data___Copy[[#This Row],[M-Score(1-5)]]</f>
        <v>444</v>
      </c>
      <c r="AA661" s="2" t="str" cm="1">
        <f t="array" ref="AA6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1" s="2" t="str">
        <f>VLOOKUP(Auto_Sales_data___Copy[[#This Row],[Segment Name]],Table3[],2,FALSE)</f>
        <v>VIP Recognitioon &amp; Inclusivity</v>
      </c>
    </row>
    <row r="662" spans="1:28" x14ac:dyDescent="0.25">
      <c r="A662">
        <v>10151</v>
      </c>
      <c r="B662">
        <v>39</v>
      </c>
      <c r="C662">
        <v>69.28</v>
      </c>
      <c r="D662">
        <v>9</v>
      </c>
      <c r="E662">
        <v>2701.92</v>
      </c>
      <c r="F662" s="1">
        <v>43364</v>
      </c>
      <c r="G662" s="2" t="s">
        <v>19</v>
      </c>
      <c r="H662" s="2" t="s">
        <v>537</v>
      </c>
      <c r="I662">
        <v>60</v>
      </c>
      <c r="J662" s="2" t="s">
        <v>635</v>
      </c>
      <c r="K662" s="2" t="s">
        <v>411</v>
      </c>
      <c r="L662" s="2" t="s">
        <v>412</v>
      </c>
      <c r="M662" s="2" t="s">
        <v>413</v>
      </c>
      <c r="N662" s="2" t="s">
        <v>414</v>
      </c>
      <c r="O662" s="2" t="s">
        <v>415</v>
      </c>
      <c r="P662" s="2" t="s">
        <v>127</v>
      </c>
      <c r="Q662" s="2" t="s">
        <v>416</v>
      </c>
      <c r="R662" s="2" t="s">
        <v>417</v>
      </c>
      <c r="S662" s="2" t="s">
        <v>30</v>
      </c>
      <c r="T662">
        <v>1346</v>
      </c>
      <c r="U662">
        <f>VLOOKUP(Auto_Sales_data___Copy[[#This Row],[CUSTOMER_NAME]],$AF$2:$AH$90,2,FALSE)</f>
        <v>32</v>
      </c>
      <c r="V662">
        <f>VLOOKUP(Auto_Sales_data___Copy[[#This Row],[CUSTOMER_NAME]],$AF$2:$AH$90,3,FALSE)</f>
        <v>104370.37999999999</v>
      </c>
      <c r="W662" s="2">
        <f>6-MATCH(Auto_Sales_data___Copy[[#This Row],[DAYS_SINCE_LAST_ORDER]],Table2[R-Cutoff],1)</f>
        <v>4</v>
      </c>
      <c r="X662" s="2">
        <f>MATCH(Auto_Sales_data___Copy[[#This Row],[Total_Orders_Per_Customer]],Table2[F-Cutoff],1)</f>
        <v>4</v>
      </c>
      <c r="Y662" s="2">
        <f>MATCH(Auto_Sales_data___Copy[[#This Row],[Total_Sales_Per_Customer]],Table2[M-Cutoff],1)</f>
        <v>4</v>
      </c>
      <c r="Z662" s="2" t="str">
        <f>Auto_Sales_data___Copy[[#This Row],[R-Score(1-5)]]&amp;Auto_Sales_data___Copy[[#This Row],[F-Score(1-5)]]&amp;Auto_Sales_data___Copy[[#This Row],[M-Score(1-5)]]</f>
        <v>444</v>
      </c>
      <c r="AA662" s="2" t="str" cm="1">
        <f t="array" ref="AA6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2" s="2" t="str">
        <f>VLOOKUP(Auto_Sales_data___Copy[[#This Row],[Segment Name]],Table3[],2,FALSE)</f>
        <v>VIP Recognitioon &amp; Inclusivity</v>
      </c>
    </row>
    <row r="663" spans="1:28" x14ac:dyDescent="0.25">
      <c r="A663">
        <v>10155</v>
      </c>
      <c r="B663">
        <v>38</v>
      </c>
      <c r="C663">
        <v>171.88</v>
      </c>
      <c r="D663">
        <v>5</v>
      </c>
      <c r="E663">
        <v>6531.44</v>
      </c>
      <c r="F663" s="1">
        <v>43379</v>
      </c>
      <c r="G663" s="2" t="s">
        <v>19</v>
      </c>
      <c r="H663" s="2" t="s">
        <v>607</v>
      </c>
      <c r="I663">
        <v>157</v>
      </c>
      <c r="J663" s="2" t="s">
        <v>608</v>
      </c>
      <c r="K663" s="2" t="s">
        <v>122</v>
      </c>
      <c r="L663" s="2" t="s">
        <v>123</v>
      </c>
      <c r="M663" s="2" t="s">
        <v>124</v>
      </c>
      <c r="N663" s="2" t="s">
        <v>125</v>
      </c>
      <c r="O663" s="2" t="s">
        <v>126</v>
      </c>
      <c r="P663" s="2" t="s">
        <v>127</v>
      </c>
      <c r="Q663" s="2" t="s">
        <v>128</v>
      </c>
      <c r="R663" s="2" t="s">
        <v>129</v>
      </c>
      <c r="S663" s="2" t="s">
        <v>46</v>
      </c>
      <c r="T663">
        <v>1134</v>
      </c>
      <c r="U663">
        <f>VLOOKUP(Auto_Sales_data___Copy[[#This Row],[CUSTOMER_NAME]],$AF$2:$AH$90,2,FALSE)</f>
        <v>30</v>
      </c>
      <c r="V663">
        <f>VLOOKUP(Auto_Sales_data___Copy[[#This Row],[CUSTOMER_NAME]],$AF$2:$AH$90,3,FALSE)</f>
        <v>111250.37999999999</v>
      </c>
      <c r="W663" s="2">
        <f>6-MATCH(Auto_Sales_data___Copy[[#This Row],[DAYS_SINCE_LAST_ORDER]],Table2[R-Cutoff],1)</f>
        <v>4</v>
      </c>
      <c r="X663" s="2">
        <f>MATCH(Auto_Sales_data___Copy[[#This Row],[Total_Orders_Per_Customer]],Table2[F-Cutoff],1)</f>
        <v>4</v>
      </c>
      <c r="Y663" s="2">
        <f>MATCH(Auto_Sales_data___Copy[[#This Row],[Total_Sales_Per_Customer]],Table2[M-Cutoff],1)</f>
        <v>4</v>
      </c>
      <c r="Z663" s="2" t="str">
        <f>Auto_Sales_data___Copy[[#This Row],[R-Score(1-5)]]&amp;Auto_Sales_data___Copy[[#This Row],[F-Score(1-5)]]&amp;Auto_Sales_data___Copy[[#This Row],[M-Score(1-5)]]</f>
        <v>444</v>
      </c>
      <c r="AA663" s="2" t="str" cm="1">
        <f t="array" ref="AA6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3" s="2" t="str">
        <f>VLOOKUP(Auto_Sales_data___Copy[[#This Row],[Segment Name]],Table3[],2,FALSE)</f>
        <v>VIP Recognitioon &amp; Inclusivity</v>
      </c>
    </row>
    <row r="664" spans="1:28" x14ac:dyDescent="0.25">
      <c r="A664">
        <v>10302</v>
      </c>
      <c r="B664">
        <v>43</v>
      </c>
      <c r="C664">
        <v>170</v>
      </c>
      <c r="D664">
        <v>1</v>
      </c>
      <c r="E664">
        <v>7310</v>
      </c>
      <c r="F664" s="1">
        <v>43379</v>
      </c>
      <c r="G664" s="2" t="s">
        <v>19</v>
      </c>
      <c r="H664" s="2" t="s">
        <v>589</v>
      </c>
      <c r="I664">
        <v>170</v>
      </c>
      <c r="J664" s="2" t="s">
        <v>628</v>
      </c>
      <c r="K664" s="2" t="s">
        <v>166</v>
      </c>
      <c r="L664" s="2" t="s">
        <v>167</v>
      </c>
      <c r="M664" s="2" t="s">
        <v>168</v>
      </c>
      <c r="N664" s="2" t="s">
        <v>169</v>
      </c>
      <c r="O664" s="2" t="s">
        <v>170</v>
      </c>
      <c r="P664" s="2" t="s">
        <v>171</v>
      </c>
      <c r="Q664" s="2" t="s">
        <v>172</v>
      </c>
      <c r="R664" s="2" t="s">
        <v>173</v>
      </c>
      <c r="S664" s="2" t="s">
        <v>151</v>
      </c>
      <c r="T664">
        <v>1169</v>
      </c>
      <c r="U664">
        <f>VLOOKUP(Auto_Sales_data___Copy[[#This Row],[CUSTOMER_NAME]],$AF$2:$AH$90,2,FALSE)</f>
        <v>29</v>
      </c>
      <c r="V664">
        <f>VLOOKUP(Auto_Sales_data___Copy[[#This Row],[CUSTOMER_NAME]],$AF$2:$AH$90,3,FALSE)</f>
        <v>118008.26999999999</v>
      </c>
      <c r="W664" s="2">
        <f>6-MATCH(Auto_Sales_data___Copy[[#This Row],[DAYS_SINCE_LAST_ORDER]],Table2[R-Cutoff],1)</f>
        <v>4</v>
      </c>
      <c r="X664" s="2">
        <f>MATCH(Auto_Sales_data___Copy[[#This Row],[Total_Orders_Per_Customer]],Table2[F-Cutoff],1)</f>
        <v>4</v>
      </c>
      <c r="Y664" s="2">
        <f>MATCH(Auto_Sales_data___Copy[[#This Row],[Total_Sales_Per_Customer]],Table2[M-Cutoff],1)</f>
        <v>4</v>
      </c>
      <c r="Z664" s="2" t="str">
        <f>Auto_Sales_data___Copy[[#This Row],[R-Score(1-5)]]&amp;Auto_Sales_data___Copy[[#This Row],[F-Score(1-5)]]&amp;Auto_Sales_data___Copy[[#This Row],[M-Score(1-5)]]</f>
        <v>444</v>
      </c>
      <c r="AA664" s="2" t="str" cm="1">
        <f t="array" ref="AA6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4" s="2" t="str">
        <f>VLOOKUP(Auto_Sales_data___Copy[[#This Row],[Segment Name]],Table3[],2,FALSE)</f>
        <v>VIP Recognitioon &amp; Inclusivity</v>
      </c>
    </row>
    <row r="665" spans="1:28" x14ac:dyDescent="0.25">
      <c r="A665">
        <v>10161</v>
      </c>
      <c r="B665">
        <v>28</v>
      </c>
      <c r="C665">
        <v>134.46</v>
      </c>
      <c r="D665">
        <v>12</v>
      </c>
      <c r="E665">
        <v>3764.88</v>
      </c>
      <c r="F665" s="1">
        <v>43390</v>
      </c>
      <c r="G665" s="2" t="s">
        <v>19</v>
      </c>
      <c r="H665" s="2" t="s">
        <v>183</v>
      </c>
      <c r="I665">
        <v>141</v>
      </c>
      <c r="J665" s="2" t="s">
        <v>576</v>
      </c>
      <c r="K665" s="2" t="s">
        <v>530</v>
      </c>
      <c r="L665" s="2" t="s">
        <v>531</v>
      </c>
      <c r="M665" s="2" t="s">
        <v>532</v>
      </c>
      <c r="N665" s="2" t="s">
        <v>533</v>
      </c>
      <c r="O665" s="2" t="s">
        <v>534</v>
      </c>
      <c r="P665" s="2" t="s">
        <v>344</v>
      </c>
      <c r="Q665" s="2" t="s">
        <v>535</v>
      </c>
      <c r="R665" s="2" t="s">
        <v>536</v>
      </c>
      <c r="S665" s="2" t="s">
        <v>46</v>
      </c>
      <c r="T665">
        <v>1024</v>
      </c>
      <c r="U665">
        <f>VLOOKUP(Auto_Sales_data___Copy[[#This Row],[CUSTOMER_NAME]],$AF$2:$AH$90,2,FALSE)</f>
        <v>27</v>
      </c>
      <c r="V665">
        <f>VLOOKUP(Auto_Sales_data___Copy[[#This Row],[CUSTOMER_NAME]],$AF$2:$AH$90,3,FALSE)</f>
        <v>100595.54999999999</v>
      </c>
      <c r="W665" s="2">
        <f>6-MATCH(Auto_Sales_data___Copy[[#This Row],[DAYS_SINCE_LAST_ORDER]],Table2[R-Cutoff],1)</f>
        <v>4</v>
      </c>
      <c r="X665" s="2">
        <f>MATCH(Auto_Sales_data___Copy[[#This Row],[Total_Orders_Per_Customer]],Table2[F-Cutoff],1)</f>
        <v>4</v>
      </c>
      <c r="Y665" s="2">
        <f>MATCH(Auto_Sales_data___Copy[[#This Row],[Total_Sales_Per_Customer]],Table2[M-Cutoff],1)</f>
        <v>4</v>
      </c>
      <c r="Z665" s="2" t="str">
        <f>Auto_Sales_data___Copy[[#This Row],[R-Score(1-5)]]&amp;Auto_Sales_data___Copy[[#This Row],[F-Score(1-5)]]&amp;Auto_Sales_data___Copy[[#This Row],[M-Score(1-5)]]</f>
        <v>444</v>
      </c>
      <c r="AA665" s="2" t="str" cm="1">
        <f t="array" ref="AA6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5" s="2" t="str">
        <f>VLOOKUP(Auto_Sales_data___Copy[[#This Row],[Segment Name]],Table3[],2,FALSE)</f>
        <v>VIP Recognitioon &amp; Inclusivity</v>
      </c>
    </row>
    <row r="666" spans="1:28" x14ac:dyDescent="0.25">
      <c r="A666">
        <v>10161</v>
      </c>
      <c r="B666">
        <v>43</v>
      </c>
      <c r="C666">
        <v>143.11000000000001</v>
      </c>
      <c r="D666">
        <v>8</v>
      </c>
      <c r="E666">
        <v>6153.73</v>
      </c>
      <c r="F666" s="1">
        <v>43390</v>
      </c>
      <c r="G666" s="2" t="s">
        <v>19</v>
      </c>
      <c r="H666" s="2" t="s">
        <v>183</v>
      </c>
      <c r="I666">
        <v>124</v>
      </c>
      <c r="J666" s="2" t="s">
        <v>606</v>
      </c>
      <c r="K666" s="2" t="s">
        <v>530</v>
      </c>
      <c r="L666" s="2" t="s">
        <v>531</v>
      </c>
      <c r="M666" s="2" t="s">
        <v>532</v>
      </c>
      <c r="N666" s="2" t="s">
        <v>533</v>
      </c>
      <c r="O666" s="2" t="s">
        <v>534</v>
      </c>
      <c r="P666" s="2" t="s">
        <v>344</v>
      </c>
      <c r="Q666" s="2" t="s">
        <v>535</v>
      </c>
      <c r="R666" s="2" t="s">
        <v>536</v>
      </c>
      <c r="S666" s="2" t="s">
        <v>46</v>
      </c>
      <c r="T666">
        <v>1098</v>
      </c>
      <c r="U666">
        <f>VLOOKUP(Auto_Sales_data___Copy[[#This Row],[CUSTOMER_NAME]],$AF$2:$AH$90,2,FALSE)</f>
        <v>27</v>
      </c>
      <c r="V666">
        <f>VLOOKUP(Auto_Sales_data___Copy[[#This Row],[CUSTOMER_NAME]],$AF$2:$AH$90,3,FALSE)</f>
        <v>100595.54999999999</v>
      </c>
      <c r="W666" s="2">
        <f>6-MATCH(Auto_Sales_data___Copy[[#This Row],[DAYS_SINCE_LAST_ORDER]],Table2[R-Cutoff],1)</f>
        <v>4</v>
      </c>
      <c r="X666" s="2">
        <f>MATCH(Auto_Sales_data___Copy[[#This Row],[Total_Orders_Per_Customer]],Table2[F-Cutoff],1)</f>
        <v>4</v>
      </c>
      <c r="Y666" s="2">
        <f>MATCH(Auto_Sales_data___Copy[[#This Row],[Total_Sales_Per_Customer]],Table2[M-Cutoff],1)</f>
        <v>4</v>
      </c>
      <c r="Z666" s="2" t="str">
        <f>Auto_Sales_data___Copy[[#This Row],[R-Score(1-5)]]&amp;Auto_Sales_data___Copy[[#This Row],[F-Score(1-5)]]&amp;Auto_Sales_data___Copy[[#This Row],[M-Score(1-5)]]</f>
        <v>444</v>
      </c>
      <c r="AA666" s="2" t="str" cm="1">
        <f t="array" ref="AA6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6" s="2" t="str">
        <f>VLOOKUP(Auto_Sales_data___Copy[[#This Row],[Segment Name]],Table3[],2,FALSE)</f>
        <v>VIP Recognitioon &amp; Inclusivity</v>
      </c>
    </row>
    <row r="667" spans="1:28" x14ac:dyDescent="0.25">
      <c r="A667">
        <v>10161</v>
      </c>
      <c r="B667">
        <v>48</v>
      </c>
      <c r="C667">
        <v>128.03</v>
      </c>
      <c r="D667">
        <v>11</v>
      </c>
      <c r="E667">
        <v>6145.44</v>
      </c>
      <c r="F667" s="1">
        <v>43390</v>
      </c>
      <c r="G667" s="2" t="s">
        <v>19</v>
      </c>
      <c r="H667" s="2" t="s">
        <v>183</v>
      </c>
      <c r="I667">
        <v>142</v>
      </c>
      <c r="J667" s="2" t="s">
        <v>630</v>
      </c>
      <c r="K667" s="2" t="s">
        <v>530</v>
      </c>
      <c r="L667" s="2" t="s">
        <v>531</v>
      </c>
      <c r="M667" s="2" t="s">
        <v>532</v>
      </c>
      <c r="N667" s="2" t="s">
        <v>533</v>
      </c>
      <c r="O667" s="2" t="s">
        <v>534</v>
      </c>
      <c r="P667" s="2" t="s">
        <v>344</v>
      </c>
      <c r="Q667" s="2" t="s">
        <v>535</v>
      </c>
      <c r="R667" s="2" t="s">
        <v>536</v>
      </c>
      <c r="S667" s="2" t="s">
        <v>46</v>
      </c>
      <c r="T667">
        <v>1195</v>
      </c>
      <c r="U667">
        <f>VLOOKUP(Auto_Sales_data___Copy[[#This Row],[CUSTOMER_NAME]],$AF$2:$AH$90,2,FALSE)</f>
        <v>27</v>
      </c>
      <c r="V667">
        <f>VLOOKUP(Auto_Sales_data___Copy[[#This Row],[CUSTOMER_NAME]],$AF$2:$AH$90,3,FALSE)</f>
        <v>100595.54999999999</v>
      </c>
      <c r="W667" s="2">
        <f>6-MATCH(Auto_Sales_data___Copy[[#This Row],[DAYS_SINCE_LAST_ORDER]],Table2[R-Cutoff],1)</f>
        <v>4</v>
      </c>
      <c r="X667" s="2">
        <f>MATCH(Auto_Sales_data___Copy[[#This Row],[Total_Orders_Per_Customer]],Table2[F-Cutoff],1)</f>
        <v>4</v>
      </c>
      <c r="Y667" s="2">
        <f>MATCH(Auto_Sales_data___Copy[[#This Row],[Total_Sales_Per_Customer]],Table2[M-Cutoff],1)</f>
        <v>4</v>
      </c>
      <c r="Z667" s="2" t="str">
        <f>Auto_Sales_data___Copy[[#This Row],[R-Score(1-5)]]&amp;Auto_Sales_data___Copy[[#This Row],[F-Score(1-5)]]&amp;Auto_Sales_data___Copy[[#This Row],[M-Score(1-5)]]</f>
        <v>444</v>
      </c>
      <c r="AA667" s="2" t="str" cm="1">
        <f t="array" ref="AA6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7" s="2" t="str">
        <f>VLOOKUP(Auto_Sales_data___Copy[[#This Row],[Segment Name]],Table3[],2,FALSE)</f>
        <v>VIP Recognitioon &amp; Inclusivity</v>
      </c>
    </row>
    <row r="668" spans="1:28" x14ac:dyDescent="0.25">
      <c r="A668">
        <v>10161</v>
      </c>
      <c r="B668">
        <v>23</v>
      </c>
      <c r="C668">
        <v>138.6</v>
      </c>
      <c r="D668">
        <v>9</v>
      </c>
      <c r="E668">
        <v>3187.8</v>
      </c>
      <c r="F668" s="1">
        <v>43390</v>
      </c>
      <c r="G668" s="2" t="s">
        <v>19</v>
      </c>
      <c r="H668" s="2" t="s">
        <v>183</v>
      </c>
      <c r="I668">
        <v>132</v>
      </c>
      <c r="J668" s="2" t="s">
        <v>639</v>
      </c>
      <c r="K668" s="2" t="s">
        <v>530</v>
      </c>
      <c r="L668" s="2" t="s">
        <v>531</v>
      </c>
      <c r="M668" s="2" t="s">
        <v>532</v>
      </c>
      <c r="N668" s="2" t="s">
        <v>533</v>
      </c>
      <c r="O668" s="2" t="s">
        <v>534</v>
      </c>
      <c r="P668" s="2" t="s">
        <v>344</v>
      </c>
      <c r="Q668" s="2" t="s">
        <v>535</v>
      </c>
      <c r="R668" s="2" t="s">
        <v>536</v>
      </c>
      <c r="S668" s="2" t="s">
        <v>46</v>
      </c>
      <c r="T668">
        <v>1419</v>
      </c>
      <c r="U668">
        <f>VLOOKUP(Auto_Sales_data___Copy[[#This Row],[CUSTOMER_NAME]],$AF$2:$AH$90,2,FALSE)</f>
        <v>27</v>
      </c>
      <c r="V668">
        <f>VLOOKUP(Auto_Sales_data___Copy[[#This Row],[CUSTOMER_NAME]],$AF$2:$AH$90,3,FALSE)</f>
        <v>100595.54999999999</v>
      </c>
      <c r="W668" s="2">
        <f>6-MATCH(Auto_Sales_data___Copy[[#This Row],[DAYS_SINCE_LAST_ORDER]],Table2[R-Cutoff],1)</f>
        <v>4</v>
      </c>
      <c r="X668" s="2">
        <f>MATCH(Auto_Sales_data___Copy[[#This Row],[Total_Orders_Per_Customer]],Table2[F-Cutoff],1)</f>
        <v>4</v>
      </c>
      <c r="Y668" s="2">
        <f>MATCH(Auto_Sales_data___Copy[[#This Row],[Total_Sales_Per_Customer]],Table2[M-Cutoff],1)</f>
        <v>4</v>
      </c>
      <c r="Z668" s="2" t="str">
        <f>Auto_Sales_data___Copy[[#This Row],[R-Score(1-5)]]&amp;Auto_Sales_data___Copy[[#This Row],[F-Score(1-5)]]&amp;Auto_Sales_data___Copy[[#This Row],[M-Score(1-5)]]</f>
        <v>444</v>
      </c>
      <c r="AA668" s="2" t="str" cm="1">
        <f t="array" ref="AA6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8" s="2" t="str">
        <f>VLOOKUP(Auto_Sales_data___Copy[[#This Row],[Segment Name]],Table3[],2,FALSE)</f>
        <v>VIP Recognitioon &amp; Inclusivity</v>
      </c>
    </row>
    <row r="669" spans="1:28" x14ac:dyDescent="0.25">
      <c r="A669">
        <v>10165</v>
      </c>
      <c r="B669">
        <v>48</v>
      </c>
      <c r="C669">
        <v>142.19999999999999</v>
      </c>
      <c r="D669">
        <v>12</v>
      </c>
      <c r="E669">
        <v>6825.6</v>
      </c>
      <c r="F669" s="1">
        <v>43395</v>
      </c>
      <c r="G669" s="2" t="s">
        <v>19</v>
      </c>
      <c r="H669" s="2" t="s">
        <v>537</v>
      </c>
      <c r="I669">
        <v>118</v>
      </c>
      <c r="J669" s="2" t="s">
        <v>554</v>
      </c>
      <c r="K669" s="2" t="s">
        <v>199</v>
      </c>
      <c r="L669" s="2" t="s">
        <v>200</v>
      </c>
      <c r="M669" s="2" t="s">
        <v>201</v>
      </c>
      <c r="N669" s="2" t="s">
        <v>202</v>
      </c>
      <c r="O669" s="2" t="s">
        <v>203</v>
      </c>
      <c r="P669" s="2" t="s">
        <v>202</v>
      </c>
      <c r="Q669" s="2" t="s">
        <v>204</v>
      </c>
      <c r="R669" s="2" t="s">
        <v>205</v>
      </c>
      <c r="S669" s="2" t="s">
        <v>46</v>
      </c>
      <c r="T669">
        <v>942</v>
      </c>
      <c r="U669">
        <f>VLOOKUP(Auto_Sales_data___Copy[[#This Row],[CUSTOMER_NAME]],$AF$2:$AH$90,2,FALSE)</f>
        <v>43</v>
      </c>
      <c r="V669">
        <f>VLOOKUP(Auto_Sales_data___Copy[[#This Row],[CUSTOMER_NAME]],$AF$2:$AH$90,3,FALSE)</f>
        <v>172989.68000000008</v>
      </c>
      <c r="W669" s="2">
        <f>6-MATCH(Auto_Sales_data___Copy[[#This Row],[DAYS_SINCE_LAST_ORDER]],Table2[R-Cutoff],1)</f>
        <v>4</v>
      </c>
      <c r="X669" s="2">
        <f>MATCH(Auto_Sales_data___Copy[[#This Row],[Total_Orders_Per_Customer]],Table2[F-Cutoff],1)</f>
        <v>4</v>
      </c>
      <c r="Y669" s="2">
        <f>MATCH(Auto_Sales_data___Copy[[#This Row],[Total_Sales_Per_Customer]],Table2[M-Cutoff],1)</f>
        <v>4</v>
      </c>
      <c r="Z669" s="2" t="str">
        <f>Auto_Sales_data___Copy[[#This Row],[R-Score(1-5)]]&amp;Auto_Sales_data___Copy[[#This Row],[F-Score(1-5)]]&amp;Auto_Sales_data___Copy[[#This Row],[M-Score(1-5)]]</f>
        <v>444</v>
      </c>
      <c r="AA669" s="2" t="str" cm="1">
        <f t="array" ref="AA6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9" s="2" t="str">
        <f>VLOOKUP(Auto_Sales_data___Copy[[#This Row],[Segment Name]],Table3[],2,FALSE)</f>
        <v>VIP Recognitioon &amp; Inclusivity</v>
      </c>
    </row>
    <row r="670" spans="1:28" x14ac:dyDescent="0.25">
      <c r="A670">
        <v>10165</v>
      </c>
      <c r="B670">
        <v>29</v>
      </c>
      <c r="C670">
        <v>173.55</v>
      </c>
      <c r="D670">
        <v>11</v>
      </c>
      <c r="E670">
        <v>5032.95</v>
      </c>
      <c r="F670" s="1">
        <v>43395</v>
      </c>
      <c r="G670" s="2" t="s">
        <v>19</v>
      </c>
      <c r="H670" s="2" t="s">
        <v>183</v>
      </c>
      <c r="I670">
        <v>163</v>
      </c>
      <c r="J670" s="2" t="s">
        <v>631</v>
      </c>
      <c r="K670" s="2" t="s">
        <v>199</v>
      </c>
      <c r="L670" s="2" t="s">
        <v>200</v>
      </c>
      <c r="M670" s="2" t="s">
        <v>201</v>
      </c>
      <c r="N670" s="2" t="s">
        <v>202</v>
      </c>
      <c r="O670" s="2" t="s">
        <v>203</v>
      </c>
      <c r="P670" s="2" t="s">
        <v>202</v>
      </c>
      <c r="Q670" s="2" t="s">
        <v>204</v>
      </c>
      <c r="R670" s="2" t="s">
        <v>205</v>
      </c>
      <c r="S670" s="2" t="s">
        <v>46</v>
      </c>
      <c r="T670">
        <v>1218</v>
      </c>
      <c r="U670">
        <f>VLOOKUP(Auto_Sales_data___Copy[[#This Row],[CUSTOMER_NAME]],$AF$2:$AH$90,2,FALSE)</f>
        <v>43</v>
      </c>
      <c r="V670">
        <f>VLOOKUP(Auto_Sales_data___Copy[[#This Row],[CUSTOMER_NAME]],$AF$2:$AH$90,3,FALSE)</f>
        <v>172989.68000000008</v>
      </c>
      <c r="W670" s="2">
        <f>6-MATCH(Auto_Sales_data___Copy[[#This Row],[DAYS_SINCE_LAST_ORDER]],Table2[R-Cutoff],1)</f>
        <v>4</v>
      </c>
      <c r="X670" s="2">
        <f>MATCH(Auto_Sales_data___Copy[[#This Row],[Total_Orders_Per_Customer]],Table2[F-Cutoff],1)</f>
        <v>4</v>
      </c>
      <c r="Y670" s="2">
        <f>MATCH(Auto_Sales_data___Copy[[#This Row],[Total_Sales_Per_Customer]],Table2[M-Cutoff],1)</f>
        <v>4</v>
      </c>
      <c r="Z670" s="2" t="str">
        <f>Auto_Sales_data___Copy[[#This Row],[R-Score(1-5)]]&amp;Auto_Sales_data___Copy[[#This Row],[F-Score(1-5)]]&amp;Auto_Sales_data___Copy[[#This Row],[M-Score(1-5)]]</f>
        <v>444</v>
      </c>
      <c r="AA670" s="2" t="str" cm="1">
        <f t="array" ref="AA6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0" s="2" t="str">
        <f>VLOOKUP(Auto_Sales_data___Copy[[#This Row],[Segment Name]],Table3[],2,FALSE)</f>
        <v>VIP Recognitioon &amp; Inclusivity</v>
      </c>
    </row>
    <row r="671" spans="1:28" x14ac:dyDescent="0.25">
      <c r="A671">
        <v>10165</v>
      </c>
      <c r="B671">
        <v>46</v>
      </c>
      <c r="C671">
        <v>130.09</v>
      </c>
      <c r="D671">
        <v>15</v>
      </c>
      <c r="E671">
        <v>5984.14</v>
      </c>
      <c r="F671" s="1">
        <v>43395</v>
      </c>
      <c r="G671" s="2" t="s">
        <v>19</v>
      </c>
      <c r="H671" s="2" t="s">
        <v>537</v>
      </c>
      <c r="I671">
        <v>122</v>
      </c>
      <c r="J671" s="2" t="s">
        <v>633</v>
      </c>
      <c r="K671" s="2" t="s">
        <v>199</v>
      </c>
      <c r="L671" s="2" t="s">
        <v>200</v>
      </c>
      <c r="M671" s="2" t="s">
        <v>201</v>
      </c>
      <c r="N671" s="2" t="s">
        <v>202</v>
      </c>
      <c r="O671" s="2" t="s">
        <v>203</v>
      </c>
      <c r="P671" s="2" t="s">
        <v>202</v>
      </c>
      <c r="Q671" s="2" t="s">
        <v>204</v>
      </c>
      <c r="R671" s="2" t="s">
        <v>205</v>
      </c>
      <c r="S671" s="2" t="s">
        <v>46</v>
      </c>
      <c r="T671">
        <v>1266</v>
      </c>
      <c r="U671">
        <f>VLOOKUP(Auto_Sales_data___Copy[[#This Row],[CUSTOMER_NAME]],$AF$2:$AH$90,2,FALSE)</f>
        <v>43</v>
      </c>
      <c r="V671">
        <f>VLOOKUP(Auto_Sales_data___Copy[[#This Row],[CUSTOMER_NAME]],$AF$2:$AH$90,3,FALSE)</f>
        <v>172989.68000000008</v>
      </c>
      <c r="W671" s="2">
        <f>6-MATCH(Auto_Sales_data___Copy[[#This Row],[DAYS_SINCE_LAST_ORDER]],Table2[R-Cutoff],1)</f>
        <v>4</v>
      </c>
      <c r="X671" s="2">
        <f>MATCH(Auto_Sales_data___Copy[[#This Row],[Total_Orders_Per_Customer]],Table2[F-Cutoff],1)</f>
        <v>4</v>
      </c>
      <c r="Y671" s="2">
        <f>MATCH(Auto_Sales_data___Copy[[#This Row],[Total_Sales_Per_Customer]],Table2[M-Cutoff],1)</f>
        <v>4</v>
      </c>
      <c r="Z671" s="2" t="str">
        <f>Auto_Sales_data___Copy[[#This Row],[R-Score(1-5)]]&amp;Auto_Sales_data___Copy[[#This Row],[F-Score(1-5)]]&amp;Auto_Sales_data___Copy[[#This Row],[M-Score(1-5)]]</f>
        <v>444</v>
      </c>
      <c r="AA671" s="2" t="str" cm="1">
        <f t="array" ref="AA6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1" s="2" t="str">
        <f>VLOOKUP(Auto_Sales_data___Copy[[#This Row],[Segment Name]],Table3[],2,FALSE)</f>
        <v>VIP Recognitioon &amp; Inclusivity</v>
      </c>
    </row>
    <row r="672" spans="1:28" x14ac:dyDescent="0.25">
      <c r="A672">
        <v>10165</v>
      </c>
      <c r="B672">
        <v>31</v>
      </c>
      <c r="C672">
        <v>71.099999999999994</v>
      </c>
      <c r="D672">
        <v>18</v>
      </c>
      <c r="E672">
        <v>2204.1</v>
      </c>
      <c r="F672" s="1">
        <v>43395</v>
      </c>
      <c r="G672" s="2" t="s">
        <v>19</v>
      </c>
      <c r="H672" s="2" t="s">
        <v>537</v>
      </c>
      <c r="I672">
        <v>60</v>
      </c>
      <c r="J672" s="2" t="s">
        <v>635</v>
      </c>
      <c r="K672" s="2" t="s">
        <v>199</v>
      </c>
      <c r="L672" s="2" t="s">
        <v>200</v>
      </c>
      <c r="M672" s="2" t="s">
        <v>201</v>
      </c>
      <c r="N672" s="2" t="s">
        <v>202</v>
      </c>
      <c r="O672" s="2" t="s">
        <v>203</v>
      </c>
      <c r="P672" s="2" t="s">
        <v>202</v>
      </c>
      <c r="Q672" s="2" t="s">
        <v>204</v>
      </c>
      <c r="R672" s="2" t="s">
        <v>205</v>
      </c>
      <c r="S672" s="2" t="s">
        <v>30</v>
      </c>
      <c r="T672">
        <v>1316</v>
      </c>
      <c r="U672">
        <f>VLOOKUP(Auto_Sales_data___Copy[[#This Row],[CUSTOMER_NAME]],$AF$2:$AH$90,2,FALSE)</f>
        <v>43</v>
      </c>
      <c r="V672">
        <f>VLOOKUP(Auto_Sales_data___Copy[[#This Row],[CUSTOMER_NAME]],$AF$2:$AH$90,3,FALSE)</f>
        <v>172989.68000000008</v>
      </c>
      <c r="W672" s="2">
        <f>6-MATCH(Auto_Sales_data___Copy[[#This Row],[DAYS_SINCE_LAST_ORDER]],Table2[R-Cutoff],1)</f>
        <v>4</v>
      </c>
      <c r="X672" s="2">
        <f>MATCH(Auto_Sales_data___Copy[[#This Row],[Total_Orders_Per_Customer]],Table2[F-Cutoff],1)</f>
        <v>4</v>
      </c>
      <c r="Y672" s="2">
        <f>MATCH(Auto_Sales_data___Copy[[#This Row],[Total_Sales_Per_Customer]],Table2[M-Cutoff],1)</f>
        <v>4</v>
      </c>
      <c r="Z672" s="2" t="str">
        <f>Auto_Sales_data___Copy[[#This Row],[R-Score(1-5)]]&amp;Auto_Sales_data___Copy[[#This Row],[F-Score(1-5)]]&amp;Auto_Sales_data___Copy[[#This Row],[M-Score(1-5)]]</f>
        <v>444</v>
      </c>
      <c r="AA672" s="2" t="str" cm="1">
        <f t="array" ref="AA6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2" s="2" t="str">
        <f>VLOOKUP(Auto_Sales_data___Copy[[#This Row],[Segment Name]],Table3[],2,FALSE)</f>
        <v>VIP Recognitioon &amp; Inclusivity</v>
      </c>
    </row>
    <row r="673" spans="1:28" x14ac:dyDescent="0.25">
      <c r="A673">
        <v>10167</v>
      </c>
      <c r="B673">
        <v>43</v>
      </c>
      <c r="C673">
        <v>134.04</v>
      </c>
      <c r="D673">
        <v>1</v>
      </c>
      <c r="E673">
        <v>5763.72</v>
      </c>
      <c r="F673" s="1">
        <v>43396</v>
      </c>
      <c r="G673" s="2" t="s">
        <v>358</v>
      </c>
      <c r="H673" s="2" t="s">
        <v>607</v>
      </c>
      <c r="I673">
        <v>157</v>
      </c>
      <c r="J673" s="2" t="s">
        <v>608</v>
      </c>
      <c r="K673" s="2" t="s">
        <v>272</v>
      </c>
      <c r="L673" s="2" t="s">
        <v>273</v>
      </c>
      <c r="M673" s="2" t="s">
        <v>274</v>
      </c>
      <c r="N673" s="2" t="s">
        <v>275</v>
      </c>
      <c r="O673" s="2" t="s">
        <v>276</v>
      </c>
      <c r="P673" s="2" t="s">
        <v>190</v>
      </c>
      <c r="Q673" s="2" t="s">
        <v>277</v>
      </c>
      <c r="R673" s="2" t="s">
        <v>209</v>
      </c>
      <c r="S673" s="2" t="s">
        <v>46</v>
      </c>
      <c r="T673">
        <v>1118</v>
      </c>
      <c r="U673">
        <f>VLOOKUP(Auto_Sales_data___Copy[[#This Row],[CUSTOMER_NAME]],$AF$2:$AH$90,2,FALSE)</f>
        <v>38</v>
      </c>
      <c r="V673">
        <f>VLOOKUP(Auto_Sales_data___Copy[[#This Row],[CUSTOMER_NAME]],$AF$2:$AH$90,3,FALSE)</f>
        <v>134259.32999999996</v>
      </c>
      <c r="W673" s="2">
        <f>6-MATCH(Auto_Sales_data___Copy[[#This Row],[DAYS_SINCE_LAST_ORDER]],Table2[R-Cutoff],1)</f>
        <v>4</v>
      </c>
      <c r="X673" s="2">
        <f>MATCH(Auto_Sales_data___Copy[[#This Row],[Total_Orders_Per_Customer]],Table2[F-Cutoff],1)</f>
        <v>4</v>
      </c>
      <c r="Y673" s="2">
        <f>MATCH(Auto_Sales_data___Copy[[#This Row],[Total_Sales_Per_Customer]],Table2[M-Cutoff],1)</f>
        <v>4</v>
      </c>
      <c r="Z673" s="2" t="str">
        <f>Auto_Sales_data___Copy[[#This Row],[R-Score(1-5)]]&amp;Auto_Sales_data___Copy[[#This Row],[F-Score(1-5)]]&amp;Auto_Sales_data___Copy[[#This Row],[M-Score(1-5)]]</f>
        <v>444</v>
      </c>
      <c r="AA673" s="2" t="str" cm="1">
        <f t="array" ref="AA6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3" s="2" t="str">
        <f>VLOOKUP(Auto_Sales_data___Copy[[#This Row],[Segment Name]],Table3[],2,FALSE)</f>
        <v>VIP Recognitioon &amp; Inclusivity</v>
      </c>
    </row>
    <row r="674" spans="1:28" x14ac:dyDescent="0.25">
      <c r="A674">
        <v>10167</v>
      </c>
      <c r="B674">
        <v>46</v>
      </c>
      <c r="C674">
        <v>73.12</v>
      </c>
      <c r="D674">
        <v>7</v>
      </c>
      <c r="E674">
        <v>3363.52</v>
      </c>
      <c r="F674" s="1">
        <v>43396</v>
      </c>
      <c r="G674" s="2" t="s">
        <v>358</v>
      </c>
      <c r="H674" s="2" t="s">
        <v>642</v>
      </c>
      <c r="I674">
        <v>86</v>
      </c>
      <c r="J674" s="2" t="s">
        <v>643</v>
      </c>
      <c r="K674" s="2" t="s">
        <v>272</v>
      </c>
      <c r="L674" s="2" t="s">
        <v>273</v>
      </c>
      <c r="M674" s="2" t="s">
        <v>274</v>
      </c>
      <c r="N674" s="2" t="s">
        <v>275</v>
      </c>
      <c r="O674" s="2" t="s">
        <v>276</v>
      </c>
      <c r="P674" s="2" t="s">
        <v>190</v>
      </c>
      <c r="Q674" s="2" t="s">
        <v>277</v>
      </c>
      <c r="R674" s="2" t="s">
        <v>209</v>
      </c>
      <c r="S674" s="2" t="s">
        <v>46</v>
      </c>
      <c r="T674">
        <v>1489</v>
      </c>
      <c r="U674">
        <f>VLOOKUP(Auto_Sales_data___Copy[[#This Row],[CUSTOMER_NAME]],$AF$2:$AH$90,2,FALSE)</f>
        <v>38</v>
      </c>
      <c r="V674">
        <f>VLOOKUP(Auto_Sales_data___Copy[[#This Row],[CUSTOMER_NAME]],$AF$2:$AH$90,3,FALSE)</f>
        <v>134259.32999999996</v>
      </c>
      <c r="W674" s="2">
        <f>6-MATCH(Auto_Sales_data___Copy[[#This Row],[DAYS_SINCE_LAST_ORDER]],Table2[R-Cutoff],1)</f>
        <v>4</v>
      </c>
      <c r="X674" s="2">
        <f>MATCH(Auto_Sales_data___Copy[[#This Row],[Total_Orders_Per_Customer]],Table2[F-Cutoff],1)</f>
        <v>4</v>
      </c>
      <c r="Y674" s="2">
        <f>MATCH(Auto_Sales_data___Copy[[#This Row],[Total_Sales_Per_Customer]],Table2[M-Cutoff],1)</f>
        <v>4</v>
      </c>
      <c r="Z674" s="2" t="str">
        <f>Auto_Sales_data___Copy[[#This Row],[R-Score(1-5)]]&amp;Auto_Sales_data___Copy[[#This Row],[F-Score(1-5)]]&amp;Auto_Sales_data___Copy[[#This Row],[M-Score(1-5)]]</f>
        <v>444</v>
      </c>
      <c r="AA674" s="2" t="str" cm="1">
        <f t="array" ref="AA6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4" s="2" t="str">
        <f>VLOOKUP(Auto_Sales_data___Copy[[#This Row],[Segment Name]],Table3[],2,FALSE)</f>
        <v>VIP Recognitioon &amp; Inclusivity</v>
      </c>
    </row>
    <row r="675" spans="1:28" x14ac:dyDescent="0.25">
      <c r="A675">
        <v>10168</v>
      </c>
      <c r="B675">
        <v>21</v>
      </c>
      <c r="C675">
        <v>70.959999999999994</v>
      </c>
      <c r="D675">
        <v>9</v>
      </c>
      <c r="E675">
        <v>1490.16</v>
      </c>
      <c r="F675" s="1">
        <v>43401</v>
      </c>
      <c r="G675" s="2" t="s">
        <v>19</v>
      </c>
      <c r="H675" s="2" t="s">
        <v>607</v>
      </c>
      <c r="I675">
        <v>84</v>
      </c>
      <c r="J675" s="2" t="s">
        <v>636</v>
      </c>
      <c r="K675" s="2" t="s">
        <v>54</v>
      </c>
      <c r="L675" s="2" t="s">
        <v>55</v>
      </c>
      <c r="M675" s="2" t="s">
        <v>56</v>
      </c>
      <c r="N675" s="2" t="s">
        <v>57</v>
      </c>
      <c r="O675" s="2" t="s">
        <v>58</v>
      </c>
      <c r="P675" s="2" t="s">
        <v>27</v>
      </c>
      <c r="Q675" s="2" t="s">
        <v>59</v>
      </c>
      <c r="R675" s="2" t="s">
        <v>60</v>
      </c>
      <c r="S675" s="2" t="s">
        <v>30</v>
      </c>
      <c r="T675">
        <v>1336</v>
      </c>
      <c r="U675">
        <f>VLOOKUP(Auto_Sales_data___Copy[[#This Row],[CUSTOMER_NAME]],$AF$2:$AH$90,2,FALSE)</f>
        <v>34</v>
      </c>
      <c r="V675">
        <f>VLOOKUP(Auto_Sales_data___Copy[[#This Row],[CUSTOMER_NAME]],$AF$2:$AH$90,3,FALSE)</f>
        <v>120783.07</v>
      </c>
      <c r="W675" s="2">
        <f>6-MATCH(Auto_Sales_data___Copy[[#This Row],[DAYS_SINCE_LAST_ORDER]],Table2[R-Cutoff],1)</f>
        <v>4</v>
      </c>
      <c r="X675" s="2">
        <f>MATCH(Auto_Sales_data___Copy[[#This Row],[Total_Orders_Per_Customer]],Table2[F-Cutoff],1)</f>
        <v>4</v>
      </c>
      <c r="Y675" s="2">
        <f>MATCH(Auto_Sales_data___Copy[[#This Row],[Total_Sales_Per_Customer]],Table2[M-Cutoff],1)</f>
        <v>4</v>
      </c>
      <c r="Z675" s="2" t="str">
        <f>Auto_Sales_data___Copy[[#This Row],[R-Score(1-5)]]&amp;Auto_Sales_data___Copy[[#This Row],[F-Score(1-5)]]&amp;Auto_Sales_data___Copy[[#This Row],[M-Score(1-5)]]</f>
        <v>444</v>
      </c>
      <c r="AA675" s="2" t="str" cm="1">
        <f t="array" ref="AA6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5" s="2" t="str">
        <f>VLOOKUP(Auto_Sales_data___Copy[[#This Row],[Segment Name]],Table3[],2,FALSE)</f>
        <v>VIP Recognitioon &amp; Inclusivity</v>
      </c>
    </row>
    <row r="676" spans="1:28" x14ac:dyDescent="0.25">
      <c r="A676">
        <v>10168</v>
      </c>
      <c r="B676">
        <v>46</v>
      </c>
      <c r="C676">
        <v>61.18</v>
      </c>
      <c r="D676">
        <v>5</v>
      </c>
      <c r="E676">
        <v>2814.28</v>
      </c>
      <c r="F676" s="1">
        <v>43401</v>
      </c>
      <c r="G676" s="2" t="s">
        <v>19</v>
      </c>
      <c r="H676" s="2" t="s">
        <v>20</v>
      </c>
      <c r="I676">
        <v>60</v>
      </c>
      <c r="J676" s="2" t="s">
        <v>637</v>
      </c>
      <c r="K676" s="2" t="s">
        <v>54</v>
      </c>
      <c r="L676" s="2" t="s">
        <v>55</v>
      </c>
      <c r="M676" s="2" t="s">
        <v>56</v>
      </c>
      <c r="N676" s="2" t="s">
        <v>57</v>
      </c>
      <c r="O676" s="2" t="s">
        <v>58</v>
      </c>
      <c r="P676" s="2" t="s">
        <v>27</v>
      </c>
      <c r="Q676" s="2" t="s">
        <v>59</v>
      </c>
      <c r="R676" s="2" t="s">
        <v>60</v>
      </c>
      <c r="S676" s="2" t="s">
        <v>30</v>
      </c>
      <c r="T676">
        <v>1359</v>
      </c>
      <c r="U676">
        <f>VLOOKUP(Auto_Sales_data___Copy[[#This Row],[CUSTOMER_NAME]],$AF$2:$AH$90,2,FALSE)</f>
        <v>34</v>
      </c>
      <c r="V676">
        <f>VLOOKUP(Auto_Sales_data___Copy[[#This Row],[CUSTOMER_NAME]],$AF$2:$AH$90,3,FALSE)</f>
        <v>120783.07</v>
      </c>
      <c r="W676" s="2">
        <f>6-MATCH(Auto_Sales_data___Copy[[#This Row],[DAYS_SINCE_LAST_ORDER]],Table2[R-Cutoff],1)</f>
        <v>4</v>
      </c>
      <c r="X676" s="2">
        <f>MATCH(Auto_Sales_data___Copy[[#This Row],[Total_Orders_Per_Customer]],Table2[F-Cutoff],1)</f>
        <v>4</v>
      </c>
      <c r="Y676" s="2">
        <f>MATCH(Auto_Sales_data___Copy[[#This Row],[Total_Sales_Per_Customer]],Table2[M-Cutoff],1)</f>
        <v>4</v>
      </c>
      <c r="Z676" s="2" t="str">
        <f>Auto_Sales_data___Copy[[#This Row],[R-Score(1-5)]]&amp;Auto_Sales_data___Copy[[#This Row],[F-Score(1-5)]]&amp;Auto_Sales_data___Copy[[#This Row],[M-Score(1-5)]]</f>
        <v>444</v>
      </c>
      <c r="AA676" s="2" t="str" cm="1">
        <f t="array" ref="AA6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6" s="2" t="str">
        <f>VLOOKUP(Auto_Sales_data___Copy[[#This Row],[Segment Name]],Table3[],2,FALSE)</f>
        <v>VIP Recognitioon &amp; Inclusivity</v>
      </c>
    </row>
    <row r="677" spans="1:28" x14ac:dyDescent="0.25">
      <c r="A677">
        <v>10173</v>
      </c>
      <c r="B677">
        <v>43</v>
      </c>
      <c r="C677">
        <v>117.12</v>
      </c>
      <c r="D677">
        <v>6</v>
      </c>
      <c r="E677">
        <v>5036.16</v>
      </c>
      <c r="F677" s="1">
        <v>43409</v>
      </c>
      <c r="G677" s="2" t="s">
        <v>19</v>
      </c>
      <c r="H677" s="2" t="s">
        <v>589</v>
      </c>
      <c r="I677">
        <v>102</v>
      </c>
      <c r="J677" s="2" t="s">
        <v>590</v>
      </c>
      <c r="K677" s="2" t="s">
        <v>591</v>
      </c>
      <c r="L677" s="2" t="s">
        <v>592</v>
      </c>
      <c r="M677" s="2" t="s">
        <v>593</v>
      </c>
      <c r="N677" s="2" t="s">
        <v>594</v>
      </c>
      <c r="O677" s="2" t="s">
        <v>595</v>
      </c>
      <c r="P677" s="2" t="s">
        <v>269</v>
      </c>
      <c r="Q677" s="2" t="s">
        <v>596</v>
      </c>
      <c r="R677" s="2" t="s">
        <v>597</v>
      </c>
      <c r="S677" s="2" t="s">
        <v>46</v>
      </c>
      <c r="T677">
        <v>1032</v>
      </c>
      <c r="U677">
        <f>VLOOKUP(Auto_Sales_data___Copy[[#This Row],[CUSTOMER_NAME]],$AF$2:$AH$90,2,FALSE)</f>
        <v>48</v>
      </c>
      <c r="V677">
        <f>VLOOKUP(Auto_Sales_data___Copy[[#This Row],[CUSTOMER_NAME]],$AF$2:$AH$90,3,FALSE)</f>
        <v>137955.72</v>
      </c>
      <c r="W677" s="2">
        <f>6-MATCH(Auto_Sales_data___Copy[[#This Row],[DAYS_SINCE_LAST_ORDER]],Table2[R-Cutoff],1)</f>
        <v>4</v>
      </c>
      <c r="X677" s="2">
        <f>MATCH(Auto_Sales_data___Copy[[#This Row],[Total_Orders_Per_Customer]],Table2[F-Cutoff],1)</f>
        <v>4</v>
      </c>
      <c r="Y677" s="2">
        <f>MATCH(Auto_Sales_data___Copy[[#This Row],[Total_Sales_Per_Customer]],Table2[M-Cutoff],1)</f>
        <v>4</v>
      </c>
      <c r="Z677" s="2" t="str">
        <f>Auto_Sales_data___Copy[[#This Row],[R-Score(1-5)]]&amp;Auto_Sales_data___Copy[[#This Row],[F-Score(1-5)]]&amp;Auto_Sales_data___Copy[[#This Row],[M-Score(1-5)]]</f>
        <v>444</v>
      </c>
      <c r="AA677" s="2" t="str" cm="1">
        <f t="array" ref="AA6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7" s="2" t="str">
        <f>VLOOKUP(Auto_Sales_data___Copy[[#This Row],[Segment Name]],Table3[],2,FALSE)</f>
        <v>VIP Recognitioon &amp; Inclusivity</v>
      </c>
    </row>
    <row r="678" spans="1:28" x14ac:dyDescent="0.25">
      <c r="A678">
        <v>10173</v>
      </c>
      <c r="B678">
        <v>48</v>
      </c>
      <c r="C678">
        <v>44.21</v>
      </c>
      <c r="D678">
        <v>5</v>
      </c>
      <c r="E678">
        <v>2122.08</v>
      </c>
      <c r="F678" s="1">
        <v>43409</v>
      </c>
      <c r="G678" s="2" t="s">
        <v>19</v>
      </c>
      <c r="H678" s="2" t="s">
        <v>589</v>
      </c>
      <c r="I678">
        <v>53</v>
      </c>
      <c r="J678" s="2" t="s">
        <v>605</v>
      </c>
      <c r="K678" s="2" t="s">
        <v>591</v>
      </c>
      <c r="L678" s="2" t="s">
        <v>592</v>
      </c>
      <c r="M678" s="2" t="s">
        <v>593</v>
      </c>
      <c r="N678" s="2" t="s">
        <v>594</v>
      </c>
      <c r="O678" s="2" t="s">
        <v>595</v>
      </c>
      <c r="P678" s="2" t="s">
        <v>269</v>
      </c>
      <c r="Q678" s="2" t="s">
        <v>596</v>
      </c>
      <c r="R678" s="2" t="s">
        <v>597</v>
      </c>
      <c r="S678" s="2" t="s">
        <v>30</v>
      </c>
      <c r="T678">
        <v>1056</v>
      </c>
      <c r="U678">
        <f>VLOOKUP(Auto_Sales_data___Copy[[#This Row],[CUSTOMER_NAME]],$AF$2:$AH$90,2,FALSE)</f>
        <v>48</v>
      </c>
      <c r="V678">
        <f>VLOOKUP(Auto_Sales_data___Copy[[#This Row],[CUSTOMER_NAME]],$AF$2:$AH$90,3,FALSE)</f>
        <v>137955.72</v>
      </c>
      <c r="W678" s="2">
        <f>6-MATCH(Auto_Sales_data___Copy[[#This Row],[DAYS_SINCE_LAST_ORDER]],Table2[R-Cutoff],1)</f>
        <v>4</v>
      </c>
      <c r="X678" s="2">
        <f>MATCH(Auto_Sales_data___Copy[[#This Row],[Total_Orders_Per_Customer]],Table2[F-Cutoff],1)</f>
        <v>4</v>
      </c>
      <c r="Y678" s="2">
        <f>MATCH(Auto_Sales_data___Copy[[#This Row],[Total_Sales_Per_Customer]],Table2[M-Cutoff],1)</f>
        <v>4</v>
      </c>
      <c r="Z678" s="2" t="str">
        <f>Auto_Sales_data___Copy[[#This Row],[R-Score(1-5)]]&amp;Auto_Sales_data___Copy[[#This Row],[F-Score(1-5)]]&amp;Auto_Sales_data___Copy[[#This Row],[M-Score(1-5)]]</f>
        <v>444</v>
      </c>
      <c r="AA678" s="2" t="str" cm="1">
        <f t="array" ref="AA6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8" s="2" t="str">
        <f>VLOOKUP(Auto_Sales_data___Copy[[#This Row],[Segment Name]],Table3[],2,FALSE)</f>
        <v>VIP Recognitioon &amp; Inclusivity</v>
      </c>
    </row>
    <row r="679" spans="1:28" x14ac:dyDescent="0.25">
      <c r="A679">
        <v>10173</v>
      </c>
      <c r="B679">
        <v>24</v>
      </c>
      <c r="C679">
        <v>146.19999999999999</v>
      </c>
      <c r="D679">
        <v>13</v>
      </c>
      <c r="E679">
        <v>3508.8</v>
      </c>
      <c r="F679" s="1">
        <v>43409</v>
      </c>
      <c r="G679" s="2" t="s">
        <v>19</v>
      </c>
      <c r="H679" s="2" t="s">
        <v>589</v>
      </c>
      <c r="I679">
        <v>170</v>
      </c>
      <c r="J679" s="2" t="s">
        <v>628</v>
      </c>
      <c r="K679" s="2" t="s">
        <v>591</v>
      </c>
      <c r="L679" s="2" t="s">
        <v>592</v>
      </c>
      <c r="M679" s="2" t="s">
        <v>593</v>
      </c>
      <c r="N679" s="2" t="s">
        <v>594</v>
      </c>
      <c r="O679" s="2" t="s">
        <v>595</v>
      </c>
      <c r="P679" s="2" t="s">
        <v>269</v>
      </c>
      <c r="Q679" s="2" t="s">
        <v>596</v>
      </c>
      <c r="R679" s="2" t="s">
        <v>597</v>
      </c>
      <c r="S679" s="2" t="s">
        <v>46</v>
      </c>
      <c r="T679">
        <v>1130</v>
      </c>
      <c r="U679">
        <f>VLOOKUP(Auto_Sales_data___Copy[[#This Row],[CUSTOMER_NAME]],$AF$2:$AH$90,2,FALSE)</f>
        <v>48</v>
      </c>
      <c r="V679">
        <f>VLOOKUP(Auto_Sales_data___Copy[[#This Row],[CUSTOMER_NAME]],$AF$2:$AH$90,3,FALSE)</f>
        <v>137955.72</v>
      </c>
      <c r="W679" s="2">
        <f>6-MATCH(Auto_Sales_data___Copy[[#This Row],[DAYS_SINCE_LAST_ORDER]],Table2[R-Cutoff],1)</f>
        <v>4</v>
      </c>
      <c r="X679" s="2">
        <f>MATCH(Auto_Sales_data___Copy[[#This Row],[Total_Orders_Per_Customer]],Table2[F-Cutoff],1)</f>
        <v>4</v>
      </c>
      <c r="Y679" s="2">
        <f>MATCH(Auto_Sales_data___Copy[[#This Row],[Total_Sales_Per_Customer]],Table2[M-Cutoff],1)</f>
        <v>4</v>
      </c>
      <c r="Z679" s="2" t="str">
        <f>Auto_Sales_data___Copy[[#This Row],[R-Score(1-5)]]&amp;Auto_Sales_data___Copy[[#This Row],[F-Score(1-5)]]&amp;Auto_Sales_data___Copy[[#This Row],[M-Score(1-5)]]</f>
        <v>444</v>
      </c>
      <c r="AA679" s="2" t="str" cm="1">
        <f t="array" ref="AA6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9" s="2" t="str">
        <f>VLOOKUP(Auto_Sales_data___Copy[[#This Row],[Segment Name]],Table3[],2,FALSE)</f>
        <v>VIP Recognitioon &amp; Inclusivity</v>
      </c>
    </row>
    <row r="680" spans="1:28" x14ac:dyDescent="0.25">
      <c r="A680">
        <v>10173</v>
      </c>
      <c r="B680">
        <v>26</v>
      </c>
      <c r="C680">
        <v>57.51</v>
      </c>
      <c r="D680">
        <v>12</v>
      </c>
      <c r="E680">
        <v>1495.26</v>
      </c>
      <c r="F680" s="1">
        <v>43409</v>
      </c>
      <c r="G680" s="2" t="s">
        <v>19</v>
      </c>
      <c r="H680" s="2" t="s">
        <v>589</v>
      </c>
      <c r="I680">
        <v>60</v>
      </c>
      <c r="J680" s="2" t="s">
        <v>632</v>
      </c>
      <c r="K680" s="2" t="s">
        <v>591</v>
      </c>
      <c r="L680" s="2" t="s">
        <v>592</v>
      </c>
      <c r="M680" s="2" t="s">
        <v>593</v>
      </c>
      <c r="N680" s="2" t="s">
        <v>594</v>
      </c>
      <c r="O680" s="2" t="s">
        <v>595</v>
      </c>
      <c r="P680" s="2" t="s">
        <v>269</v>
      </c>
      <c r="Q680" s="2" t="s">
        <v>596</v>
      </c>
      <c r="R680" s="2" t="s">
        <v>597</v>
      </c>
      <c r="S680" s="2" t="s">
        <v>30</v>
      </c>
      <c r="T680">
        <v>1230</v>
      </c>
      <c r="U680">
        <f>VLOOKUP(Auto_Sales_data___Copy[[#This Row],[CUSTOMER_NAME]],$AF$2:$AH$90,2,FALSE)</f>
        <v>48</v>
      </c>
      <c r="V680">
        <f>VLOOKUP(Auto_Sales_data___Copy[[#This Row],[CUSTOMER_NAME]],$AF$2:$AH$90,3,FALSE)</f>
        <v>137955.72</v>
      </c>
      <c r="W680" s="2">
        <f>6-MATCH(Auto_Sales_data___Copy[[#This Row],[DAYS_SINCE_LAST_ORDER]],Table2[R-Cutoff],1)</f>
        <v>4</v>
      </c>
      <c r="X680" s="2">
        <f>MATCH(Auto_Sales_data___Copy[[#This Row],[Total_Orders_Per_Customer]],Table2[F-Cutoff],1)</f>
        <v>4</v>
      </c>
      <c r="Y680" s="2">
        <f>MATCH(Auto_Sales_data___Copy[[#This Row],[Total_Sales_Per_Customer]],Table2[M-Cutoff],1)</f>
        <v>4</v>
      </c>
      <c r="Z680" s="2" t="str">
        <f>Auto_Sales_data___Copy[[#This Row],[R-Score(1-5)]]&amp;Auto_Sales_data___Copy[[#This Row],[F-Score(1-5)]]&amp;Auto_Sales_data___Copy[[#This Row],[M-Score(1-5)]]</f>
        <v>444</v>
      </c>
      <c r="AA680" s="2" t="str" cm="1">
        <f t="array" ref="AA6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0" s="2" t="str">
        <f>VLOOKUP(Auto_Sales_data___Copy[[#This Row],[Segment Name]],Table3[],2,FALSE)</f>
        <v>VIP Recognitioon &amp; Inclusivity</v>
      </c>
    </row>
    <row r="681" spans="1:28" x14ac:dyDescent="0.25">
      <c r="A681">
        <v>10173</v>
      </c>
      <c r="B681">
        <v>31</v>
      </c>
      <c r="C681">
        <v>144.93</v>
      </c>
      <c r="D681">
        <v>10</v>
      </c>
      <c r="E681">
        <v>4492.83</v>
      </c>
      <c r="F681" s="1">
        <v>43409</v>
      </c>
      <c r="G681" s="2" t="s">
        <v>19</v>
      </c>
      <c r="H681" s="2" t="s">
        <v>589</v>
      </c>
      <c r="I681">
        <v>127</v>
      </c>
      <c r="J681" s="2" t="s">
        <v>634</v>
      </c>
      <c r="K681" s="2" t="s">
        <v>591</v>
      </c>
      <c r="L681" s="2" t="s">
        <v>592</v>
      </c>
      <c r="M681" s="2" t="s">
        <v>593</v>
      </c>
      <c r="N681" s="2" t="s">
        <v>594</v>
      </c>
      <c r="O681" s="2" t="s">
        <v>595</v>
      </c>
      <c r="P681" s="2" t="s">
        <v>269</v>
      </c>
      <c r="Q681" s="2" t="s">
        <v>596</v>
      </c>
      <c r="R681" s="2" t="s">
        <v>597</v>
      </c>
      <c r="S681" s="2" t="s">
        <v>46</v>
      </c>
      <c r="T681">
        <v>1277</v>
      </c>
      <c r="U681">
        <f>VLOOKUP(Auto_Sales_data___Copy[[#This Row],[CUSTOMER_NAME]],$AF$2:$AH$90,2,FALSE)</f>
        <v>48</v>
      </c>
      <c r="V681">
        <f>VLOOKUP(Auto_Sales_data___Copy[[#This Row],[CUSTOMER_NAME]],$AF$2:$AH$90,3,FALSE)</f>
        <v>137955.72</v>
      </c>
      <c r="W681" s="2">
        <f>6-MATCH(Auto_Sales_data___Copy[[#This Row],[DAYS_SINCE_LAST_ORDER]],Table2[R-Cutoff],1)</f>
        <v>4</v>
      </c>
      <c r="X681" s="2">
        <f>MATCH(Auto_Sales_data___Copy[[#This Row],[Total_Orders_Per_Customer]],Table2[F-Cutoff],1)</f>
        <v>4</v>
      </c>
      <c r="Y681" s="2">
        <f>MATCH(Auto_Sales_data___Copy[[#This Row],[Total_Sales_Per_Customer]],Table2[M-Cutoff],1)</f>
        <v>4</v>
      </c>
      <c r="Z681" s="2" t="str">
        <f>Auto_Sales_data___Copy[[#This Row],[R-Score(1-5)]]&amp;Auto_Sales_data___Copy[[#This Row],[F-Score(1-5)]]&amp;Auto_Sales_data___Copy[[#This Row],[M-Score(1-5)]]</f>
        <v>444</v>
      </c>
      <c r="AA681" s="2" t="str" cm="1">
        <f t="array" ref="AA6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1" s="2" t="str">
        <f>VLOOKUP(Auto_Sales_data___Copy[[#This Row],[Segment Name]],Table3[],2,FALSE)</f>
        <v>VIP Recognitioon &amp; Inclusivity</v>
      </c>
    </row>
    <row r="682" spans="1:28" x14ac:dyDescent="0.25">
      <c r="A682">
        <v>10173</v>
      </c>
      <c r="B682">
        <v>22</v>
      </c>
      <c r="C682">
        <v>156.94</v>
      </c>
      <c r="D682">
        <v>7</v>
      </c>
      <c r="E682">
        <v>3452.68</v>
      </c>
      <c r="F682" s="1">
        <v>43409</v>
      </c>
      <c r="G682" s="2" t="s">
        <v>19</v>
      </c>
      <c r="H682" s="2" t="s">
        <v>589</v>
      </c>
      <c r="I682">
        <v>168</v>
      </c>
      <c r="J682" s="2" t="s">
        <v>638</v>
      </c>
      <c r="K682" s="2" t="s">
        <v>591</v>
      </c>
      <c r="L682" s="2" t="s">
        <v>592</v>
      </c>
      <c r="M682" s="2" t="s">
        <v>593</v>
      </c>
      <c r="N682" s="2" t="s">
        <v>594</v>
      </c>
      <c r="O682" s="2" t="s">
        <v>595</v>
      </c>
      <c r="P682" s="2" t="s">
        <v>269</v>
      </c>
      <c r="Q682" s="2" t="s">
        <v>596</v>
      </c>
      <c r="R682" s="2" t="s">
        <v>597</v>
      </c>
      <c r="S682" s="2" t="s">
        <v>46</v>
      </c>
      <c r="T682">
        <v>1376</v>
      </c>
      <c r="U682">
        <f>VLOOKUP(Auto_Sales_data___Copy[[#This Row],[CUSTOMER_NAME]],$AF$2:$AH$90,2,FALSE)</f>
        <v>48</v>
      </c>
      <c r="V682">
        <f>VLOOKUP(Auto_Sales_data___Copy[[#This Row],[CUSTOMER_NAME]],$AF$2:$AH$90,3,FALSE)</f>
        <v>137955.72</v>
      </c>
      <c r="W682" s="2">
        <f>6-MATCH(Auto_Sales_data___Copy[[#This Row],[DAYS_SINCE_LAST_ORDER]],Table2[R-Cutoff],1)</f>
        <v>4</v>
      </c>
      <c r="X682" s="2">
        <f>MATCH(Auto_Sales_data___Copy[[#This Row],[Total_Orders_Per_Customer]],Table2[F-Cutoff],1)</f>
        <v>4</v>
      </c>
      <c r="Y682" s="2">
        <f>MATCH(Auto_Sales_data___Copy[[#This Row],[Total_Sales_Per_Customer]],Table2[M-Cutoff],1)</f>
        <v>4</v>
      </c>
      <c r="Z682" s="2" t="str">
        <f>Auto_Sales_data___Copy[[#This Row],[R-Score(1-5)]]&amp;Auto_Sales_data___Copy[[#This Row],[F-Score(1-5)]]&amp;Auto_Sales_data___Copy[[#This Row],[M-Score(1-5)]]</f>
        <v>444</v>
      </c>
      <c r="AA682" s="2" t="str" cm="1">
        <f t="array" ref="AA6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2" s="2" t="str">
        <f>VLOOKUP(Auto_Sales_data___Copy[[#This Row],[Segment Name]],Table3[],2,FALSE)</f>
        <v>VIP Recognitioon &amp; Inclusivity</v>
      </c>
    </row>
    <row r="683" spans="1:28" x14ac:dyDescent="0.25">
      <c r="A683">
        <v>10173</v>
      </c>
      <c r="B683">
        <v>28</v>
      </c>
      <c r="C683">
        <v>53.72</v>
      </c>
      <c r="D683">
        <v>2</v>
      </c>
      <c r="E683">
        <v>1504.16</v>
      </c>
      <c r="F683" s="1">
        <v>43409</v>
      </c>
      <c r="G683" s="2" t="s">
        <v>19</v>
      </c>
      <c r="H683" s="2" t="s">
        <v>589</v>
      </c>
      <c r="I683">
        <v>62</v>
      </c>
      <c r="J683" s="2" t="s">
        <v>641</v>
      </c>
      <c r="K683" s="2" t="s">
        <v>591</v>
      </c>
      <c r="L683" s="2" t="s">
        <v>592</v>
      </c>
      <c r="M683" s="2" t="s">
        <v>593</v>
      </c>
      <c r="N683" s="2" t="s">
        <v>594</v>
      </c>
      <c r="O683" s="2" t="s">
        <v>595</v>
      </c>
      <c r="P683" s="2" t="s">
        <v>269</v>
      </c>
      <c r="Q683" s="2" t="s">
        <v>596</v>
      </c>
      <c r="R683" s="2" t="s">
        <v>597</v>
      </c>
      <c r="S683" s="2" t="s">
        <v>30</v>
      </c>
      <c r="T683">
        <v>1451</v>
      </c>
      <c r="U683">
        <f>VLOOKUP(Auto_Sales_data___Copy[[#This Row],[CUSTOMER_NAME]],$AF$2:$AH$90,2,FALSE)</f>
        <v>48</v>
      </c>
      <c r="V683">
        <f>VLOOKUP(Auto_Sales_data___Copy[[#This Row],[CUSTOMER_NAME]],$AF$2:$AH$90,3,FALSE)</f>
        <v>137955.72</v>
      </c>
      <c r="W683" s="2">
        <f>6-MATCH(Auto_Sales_data___Copy[[#This Row],[DAYS_SINCE_LAST_ORDER]],Table2[R-Cutoff],1)</f>
        <v>4</v>
      </c>
      <c r="X683" s="2">
        <f>MATCH(Auto_Sales_data___Copy[[#This Row],[Total_Orders_Per_Customer]],Table2[F-Cutoff],1)</f>
        <v>4</v>
      </c>
      <c r="Y683" s="2">
        <f>MATCH(Auto_Sales_data___Copy[[#This Row],[Total_Sales_Per_Customer]],Table2[M-Cutoff],1)</f>
        <v>4</v>
      </c>
      <c r="Z683" s="2" t="str">
        <f>Auto_Sales_data___Copy[[#This Row],[R-Score(1-5)]]&amp;Auto_Sales_data___Copy[[#This Row],[F-Score(1-5)]]&amp;Auto_Sales_data___Copy[[#This Row],[M-Score(1-5)]]</f>
        <v>444</v>
      </c>
      <c r="AA683" s="2" t="str" cm="1">
        <f t="array" ref="AA6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3" s="2" t="str">
        <f>VLOOKUP(Auto_Sales_data___Copy[[#This Row],[Segment Name]],Table3[],2,FALSE)</f>
        <v>VIP Recognitioon &amp; Inclusivity</v>
      </c>
    </row>
    <row r="684" spans="1:28" x14ac:dyDescent="0.25">
      <c r="A684">
        <v>10176</v>
      </c>
      <c r="B684">
        <v>20</v>
      </c>
      <c r="C684">
        <v>183.38</v>
      </c>
      <c r="D684">
        <v>10</v>
      </c>
      <c r="E684">
        <v>3667.6</v>
      </c>
      <c r="F684" s="1">
        <v>43410</v>
      </c>
      <c r="G684" s="2" t="s">
        <v>19</v>
      </c>
      <c r="H684" s="2" t="s">
        <v>183</v>
      </c>
      <c r="I684">
        <v>163</v>
      </c>
      <c r="J684" s="2" t="s">
        <v>631</v>
      </c>
      <c r="K684" s="2" t="s">
        <v>480</v>
      </c>
      <c r="L684" s="2" t="s">
        <v>481</v>
      </c>
      <c r="M684" s="2" t="s">
        <v>482</v>
      </c>
      <c r="N684" s="2" t="s">
        <v>483</v>
      </c>
      <c r="O684" s="2" t="s">
        <v>484</v>
      </c>
      <c r="P684" s="2" t="s">
        <v>269</v>
      </c>
      <c r="Q684" s="2" t="s">
        <v>485</v>
      </c>
      <c r="R684" s="2" t="s">
        <v>486</v>
      </c>
      <c r="S684" s="2" t="s">
        <v>46</v>
      </c>
      <c r="T684">
        <v>1204</v>
      </c>
      <c r="U684">
        <f>VLOOKUP(Auto_Sales_data___Copy[[#This Row],[CUSTOMER_NAME]],$AF$2:$AH$90,2,FALSE)</f>
        <v>39</v>
      </c>
      <c r="V684">
        <f>VLOOKUP(Auto_Sales_data___Copy[[#This Row],[CUSTOMER_NAME]],$AF$2:$AH$90,3,FALSE)</f>
        <v>142601.33000000002</v>
      </c>
      <c r="W684" s="2">
        <f>6-MATCH(Auto_Sales_data___Copy[[#This Row],[DAYS_SINCE_LAST_ORDER]],Table2[R-Cutoff],1)</f>
        <v>4</v>
      </c>
      <c r="X684" s="2">
        <f>MATCH(Auto_Sales_data___Copy[[#This Row],[Total_Orders_Per_Customer]],Table2[F-Cutoff],1)</f>
        <v>4</v>
      </c>
      <c r="Y684" s="2">
        <f>MATCH(Auto_Sales_data___Copy[[#This Row],[Total_Sales_Per_Customer]],Table2[M-Cutoff],1)</f>
        <v>4</v>
      </c>
      <c r="Z684" s="2" t="str">
        <f>Auto_Sales_data___Copy[[#This Row],[R-Score(1-5)]]&amp;Auto_Sales_data___Copy[[#This Row],[F-Score(1-5)]]&amp;Auto_Sales_data___Copy[[#This Row],[M-Score(1-5)]]</f>
        <v>444</v>
      </c>
      <c r="AA684" s="2" t="str" cm="1">
        <f t="array" ref="AA6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4" s="2" t="str">
        <f>VLOOKUP(Auto_Sales_data___Copy[[#This Row],[Segment Name]],Table3[],2,FALSE)</f>
        <v>VIP Recognitioon &amp; Inclusivity</v>
      </c>
    </row>
    <row r="685" spans="1:28" x14ac:dyDescent="0.25">
      <c r="A685">
        <v>10181</v>
      </c>
      <c r="B685">
        <v>36</v>
      </c>
      <c r="C685">
        <v>124.37</v>
      </c>
      <c r="D685">
        <v>11</v>
      </c>
      <c r="E685">
        <v>4477.32</v>
      </c>
      <c r="F685" s="1">
        <v>43416</v>
      </c>
      <c r="G685" s="2" t="s">
        <v>19</v>
      </c>
      <c r="H685" s="2" t="s">
        <v>183</v>
      </c>
      <c r="I685">
        <v>115</v>
      </c>
      <c r="J685" s="2" t="s">
        <v>567</v>
      </c>
      <c r="K685" s="2" t="s">
        <v>68</v>
      </c>
      <c r="L685" s="2" t="s">
        <v>69</v>
      </c>
      <c r="M685" s="2" t="s">
        <v>70</v>
      </c>
      <c r="N685" s="2" t="s">
        <v>71</v>
      </c>
      <c r="O685" s="2" t="s">
        <v>72</v>
      </c>
      <c r="P685" s="2" t="s">
        <v>73</v>
      </c>
      <c r="Q685" s="2" t="s">
        <v>74</v>
      </c>
      <c r="R685" s="2" t="s">
        <v>75</v>
      </c>
      <c r="S685" s="2" t="s">
        <v>46</v>
      </c>
      <c r="T685">
        <v>948</v>
      </c>
      <c r="U685">
        <f>VLOOKUP(Auto_Sales_data___Copy[[#This Row],[CUSTOMER_NAME]],$AF$2:$AH$90,2,FALSE)</f>
        <v>29</v>
      </c>
      <c r="V685">
        <f>VLOOKUP(Auto_Sales_data___Copy[[#This Row],[CUSTOMER_NAME]],$AF$2:$AH$90,3,FALSE)</f>
        <v>111640.28</v>
      </c>
      <c r="W685" s="2">
        <f>6-MATCH(Auto_Sales_data___Copy[[#This Row],[DAYS_SINCE_LAST_ORDER]],Table2[R-Cutoff],1)</f>
        <v>4</v>
      </c>
      <c r="X685" s="2">
        <f>MATCH(Auto_Sales_data___Copy[[#This Row],[Total_Orders_Per_Customer]],Table2[F-Cutoff],1)</f>
        <v>4</v>
      </c>
      <c r="Y685" s="2">
        <f>MATCH(Auto_Sales_data___Copy[[#This Row],[Total_Sales_Per_Customer]],Table2[M-Cutoff],1)</f>
        <v>4</v>
      </c>
      <c r="Z685" s="2" t="str">
        <f>Auto_Sales_data___Copy[[#This Row],[R-Score(1-5)]]&amp;Auto_Sales_data___Copy[[#This Row],[F-Score(1-5)]]&amp;Auto_Sales_data___Copy[[#This Row],[M-Score(1-5)]]</f>
        <v>444</v>
      </c>
      <c r="AA685" s="2" t="str" cm="1">
        <f t="array" ref="AA6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5" s="2" t="str">
        <f>VLOOKUP(Auto_Sales_data___Copy[[#This Row],[Segment Name]],Table3[],2,FALSE)</f>
        <v>VIP Recognitioon &amp; Inclusivity</v>
      </c>
    </row>
    <row r="686" spans="1:28" x14ac:dyDescent="0.25">
      <c r="A686">
        <v>10181</v>
      </c>
      <c r="B686">
        <v>44</v>
      </c>
      <c r="C686">
        <v>123.14</v>
      </c>
      <c r="D686">
        <v>6</v>
      </c>
      <c r="E686">
        <v>5418.16</v>
      </c>
      <c r="F686" s="1">
        <v>43416</v>
      </c>
      <c r="G686" s="2" t="s">
        <v>19</v>
      </c>
      <c r="H686" s="2" t="s">
        <v>183</v>
      </c>
      <c r="I686">
        <v>141</v>
      </c>
      <c r="J686" s="2" t="s">
        <v>576</v>
      </c>
      <c r="K686" s="2" t="s">
        <v>68</v>
      </c>
      <c r="L686" s="2" t="s">
        <v>69</v>
      </c>
      <c r="M686" s="2" t="s">
        <v>70</v>
      </c>
      <c r="N686" s="2" t="s">
        <v>71</v>
      </c>
      <c r="O686" s="2" t="s">
        <v>72</v>
      </c>
      <c r="P686" s="2" t="s">
        <v>73</v>
      </c>
      <c r="Q686" s="2" t="s">
        <v>74</v>
      </c>
      <c r="R686" s="2" t="s">
        <v>75</v>
      </c>
      <c r="S686" s="2" t="s">
        <v>46</v>
      </c>
      <c r="T686">
        <v>1000</v>
      </c>
      <c r="U686">
        <f>VLOOKUP(Auto_Sales_data___Copy[[#This Row],[CUSTOMER_NAME]],$AF$2:$AH$90,2,FALSE)</f>
        <v>29</v>
      </c>
      <c r="V686">
        <f>VLOOKUP(Auto_Sales_data___Copy[[#This Row],[CUSTOMER_NAME]],$AF$2:$AH$90,3,FALSE)</f>
        <v>111640.28</v>
      </c>
      <c r="W686" s="2">
        <f>6-MATCH(Auto_Sales_data___Copy[[#This Row],[DAYS_SINCE_LAST_ORDER]],Table2[R-Cutoff],1)</f>
        <v>4</v>
      </c>
      <c r="X686" s="2">
        <f>MATCH(Auto_Sales_data___Copy[[#This Row],[Total_Orders_Per_Customer]],Table2[F-Cutoff],1)</f>
        <v>4</v>
      </c>
      <c r="Y686" s="2">
        <f>MATCH(Auto_Sales_data___Copy[[#This Row],[Total_Sales_Per_Customer]],Table2[M-Cutoff],1)</f>
        <v>4</v>
      </c>
      <c r="Z686" s="2" t="str">
        <f>Auto_Sales_data___Copy[[#This Row],[R-Score(1-5)]]&amp;Auto_Sales_data___Copy[[#This Row],[F-Score(1-5)]]&amp;Auto_Sales_data___Copy[[#This Row],[M-Score(1-5)]]</f>
        <v>444</v>
      </c>
      <c r="AA686" s="2" t="str" cm="1">
        <f t="array" ref="AA6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6" s="2" t="str">
        <f>VLOOKUP(Auto_Sales_data___Copy[[#This Row],[Segment Name]],Table3[],2,FALSE)</f>
        <v>VIP Recognitioon &amp; Inclusivity</v>
      </c>
    </row>
    <row r="687" spans="1:28" x14ac:dyDescent="0.25">
      <c r="A687">
        <v>10182</v>
      </c>
      <c r="B687">
        <v>25</v>
      </c>
      <c r="C687">
        <v>87.33</v>
      </c>
      <c r="D687">
        <v>3</v>
      </c>
      <c r="E687">
        <v>2183.25</v>
      </c>
      <c r="F687" s="1">
        <v>43416</v>
      </c>
      <c r="G687" s="2" t="s">
        <v>19</v>
      </c>
      <c r="H687" s="2" t="s">
        <v>589</v>
      </c>
      <c r="I687">
        <v>102</v>
      </c>
      <c r="J687" s="2" t="s">
        <v>590</v>
      </c>
      <c r="K687" s="2" t="s">
        <v>284</v>
      </c>
      <c r="L687" s="2" t="s">
        <v>285</v>
      </c>
      <c r="M687" s="2" t="s">
        <v>286</v>
      </c>
      <c r="N687" s="2" t="s">
        <v>287</v>
      </c>
      <c r="O687" s="2" t="s">
        <v>106</v>
      </c>
      <c r="P687" s="2" t="s">
        <v>27</v>
      </c>
      <c r="Q687" s="2" t="s">
        <v>288</v>
      </c>
      <c r="R687" s="2" t="s">
        <v>289</v>
      </c>
      <c r="S687" s="2" t="s">
        <v>30</v>
      </c>
      <c r="T687">
        <v>1026</v>
      </c>
      <c r="U687">
        <f>VLOOKUP(Auto_Sales_data___Copy[[#This Row],[CUSTOMER_NAME]],$AF$2:$AH$90,2,FALSE)</f>
        <v>180</v>
      </c>
      <c r="V687">
        <f>VLOOKUP(Auto_Sales_data___Copy[[#This Row],[CUSTOMER_NAME]],$AF$2:$AH$90,3,FALSE)</f>
        <v>654858.06000000017</v>
      </c>
      <c r="W687" s="2">
        <f>6-MATCH(Auto_Sales_data___Copy[[#This Row],[DAYS_SINCE_LAST_ORDER]],Table2[R-Cutoff],1)</f>
        <v>4</v>
      </c>
      <c r="X687" s="2">
        <f>MATCH(Auto_Sales_data___Copy[[#This Row],[Total_Orders_Per_Customer]],Table2[F-Cutoff],1)</f>
        <v>4</v>
      </c>
      <c r="Y687" s="2">
        <f>MATCH(Auto_Sales_data___Copy[[#This Row],[Total_Sales_Per_Customer]],Table2[M-Cutoff],1)</f>
        <v>4</v>
      </c>
      <c r="Z687" s="2" t="str">
        <f>Auto_Sales_data___Copy[[#This Row],[R-Score(1-5)]]&amp;Auto_Sales_data___Copy[[#This Row],[F-Score(1-5)]]&amp;Auto_Sales_data___Copy[[#This Row],[M-Score(1-5)]]</f>
        <v>444</v>
      </c>
      <c r="AA687" s="2" t="str" cm="1">
        <f t="array" ref="AA6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7" s="2" t="str">
        <f>VLOOKUP(Auto_Sales_data___Copy[[#This Row],[Segment Name]],Table3[],2,FALSE)</f>
        <v>VIP Recognitioon &amp; Inclusivity</v>
      </c>
    </row>
    <row r="688" spans="1:28" x14ac:dyDescent="0.25">
      <c r="A688">
        <v>10182</v>
      </c>
      <c r="B688">
        <v>32</v>
      </c>
      <c r="C688">
        <v>54.45</v>
      </c>
      <c r="D688">
        <v>2</v>
      </c>
      <c r="E688">
        <v>1742.4</v>
      </c>
      <c r="F688" s="1">
        <v>43416</v>
      </c>
      <c r="G688" s="2" t="s">
        <v>19</v>
      </c>
      <c r="H688" s="2" t="s">
        <v>589</v>
      </c>
      <c r="I688">
        <v>53</v>
      </c>
      <c r="J688" s="2" t="s">
        <v>605</v>
      </c>
      <c r="K688" s="2" t="s">
        <v>284</v>
      </c>
      <c r="L688" s="2" t="s">
        <v>285</v>
      </c>
      <c r="M688" s="2" t="s">
        <v>286</v>
      </c>
      <c r="N688" s="2" t="s">
        <v>287</v>
      </c>
      <c r="O688" s="2" t="s">
        <v>106</v>
      </c>
      <c r="P688" s="2" t="s">
        <v>27</v>
      </c>
      <c r="Q688" s="2" t="s">
        <v>288</v>
      </c>
      <c r="R688" s="2" t="s">
        <v>289</v>
      </c>
      <c r="S688" s="2" t="s">
        <v>30</v>
      </c>
      <c r="T688">
        <v>1050</v>
      </c>
      <c r="U688">
        <f>VLOOKUP(Auto_Sales_data___Copy[[#This Row],[CUSTOMER_NAME]],$AF$2:$AH$90,2,FALSE)</f>
        <v>180</v>
      </c>
      <c r="V688">
        <f>VLOOKUP(Auto_Sales_data___Copy[[#This Row],[CUSTOMER_NAME]],$AF$2:$AH$90,3,FALSE)</f>
        <v>654858.06000000017</v>
      </c>
      <c r="W688" s="2">
        <f>6-MATCH(Auto_Sales_data___Copy[[#This Row],[DAYS_SINCE_LAST_ORDER]],Table2[R-Cutoff],1)</f>
        <v>4</v>
      </c>
      <c r="X688" s="2">
        <f>MATCH(Auto_Sales_data___Copy[[#This Row],[Total_Orders_Per_Customer]],Table2[F-Cutoff],1)</f>
        <v>4</v>
      </c>
      <c r="Y688" s="2">
        <f>MATCH(Auto_Sales_data___Copy[[#This Row],[Total_Sales_Per_Customer]],Table2[M-Cutoff],1)</f>
        <v>4</v>
      </c>
      <c r="Z688" s="2" t="str">
        <f>Auto_Sales_data___Copy[[#This Row],[R-Score(1-5)]]&amp;Auto_Sales_data___Copy[[#This Row],[F-Score(1-5)]]&amp;Auto_Sales_data___Copy[[#This Row],[M-Score(1-5)]]</f>
        <v>444</v>
      </c>
      <c r="AA688" s="2" t="str" cm="1">
        <f t="array" ref="AA6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8" s="2" t="str">
        <f>VLOOKUP(Auto_Sales_data___Copy[[#This Row],[Segment Name]],Table3[],2,FALSE)</f>
        <v>VIP Recognitioon &amp; Inclusivity</v>
      </c>
    </row>
    <row r="689" spans="1:28" x14ac:dyDescent="0.25">
      <c r="A689">
        <v>10181</v>
      </c>
      <c r="B689">
        <v>42</v>
      </c>
      <c r="C689">
        <v>129.41999999999999</v>
      </c>
      <c r="D689">
        <v>2</v>
      </c>
      <c r="E689">
        <v>5435.64</v>
      </c>
      <c r="F689" s="1">
        <v>43416</v>
      </c>
      <c r="G689" s="2" t="s">
        <v>19</v>
      </c>
      <c r="H689" s="2" t="s">
        <v>183</v>
      </c>
      <c r="I689">
        <v>124</v>
      </c>
      <c r="J689" s="2" t="s">
        <v>606</v>
      </c>
      <c r="K689" s="2" t="s">
        <v>68</v>
      </c>
      <c r="L689" s="2" t="s">
        <v>69</v>
      </c>
      <c r="M689" s="2" t="s">
        <v>70</v>
      </c>
      <c r="N689" s="2" t="s">
        <v>71</v>
      </c>
      <c r="O689" s="2" t="s">
        <v>72</v>
      </c>
      <c r="P689" s="2" t="s">
        <v>73</v>
      </c>
      <c r="Q689" s="2" t="s">
        <v>74</v>
      </c>
      <c r="R689" s="2" t="s">
        <v>75</v>
      </c>
      <c r="S689" s="2" t="s">
        <v>46</v>
      </c>
      <c r="T689">
        <v>1074</v>
      </c>
      <c r="U689">
        <f>VLOOKUP(Auto_Sales_data___Copy[[#This Row],[CUSTOMER_NAME]],$AF$2:$AH$90,2,FALSE)</f>
        <v>29</v>
      </c>
      <c r="V689">
        <f>VLOOKUP(Auto_Sales_data___Copy[[#This Row],[CUSTOMER_NAME]],$AF$2:$AH$90,3,FALSE)</f>
        <v>111640.28</v>
      </c>
      <c r="W689" s="2">
        <f>6-MATCH(Auto_Sales_data___Copy[[#This Row],[DAYS_SINCE_LAST_ORDER]],Table2[R-Cutoff],1)</f>
        <v>4</v>
      </c>
      <c r="X689" s="2">
        <f>MATCH(Auto_Sales_data___Copy[[#This Row],[Total_Orders_Per_Customer]],Table2[F-Cutoff],1)</f>
        <v>4</v>
      </c>
      <c r="Y689" s="2">
        <f>MATCH(Auto_Sales_data___Copy[[#This Row],[Total_Sales_Per_Customer]],Table2[M-Cutoff],1)</f>
        <v>4</v>
      </c>
      <c r="Z689" s="2" t="str">
        <f>Auto_Sales_data___Copy[[#This Row],[R-Score(1-5)]]&amp;Auto_Sales_data___Copy[[#This Row],[F-Score(1-5)]]&amp;Auto_Sales_data___Copy[[#This Row],[M-Score(1-5)]]</f>
        <v>444</v>
      </c>
      <c r="AA689" s="2" t="str" cm="1">
        <f t="array" ref="AA6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9" s="2" t="str">
        <f>VLOOKUP(Auto_Sales_data___Copy[[#This Row],[Segment Name]],Table3[],2,FALSE)</f>
        <v>VIP Recognitioon &amp; Inclusivity</v>
      </c>
    </row>
    <row r="690" spans="1:28" x14ac:dyDescent="0.25">
      <c r="A690">
        <v>10182</v>
      </c>
      <c r="B690">
        <v>44</v>
      </c>
      <c r="C690">
        <v>171.7</v>
      </c>
      <c r="D690">
        <v>10</v>
      </c>
      <c r="E690">
        <v>7554.8</v>
      </c>
      <c r="F690" s="1">
        <v>43416</v>
      </c>
      <c r="G690" s="2" t="s">
        <v>19</v>
      </c>
      <c r="H690" s="2" t="s">
        <v>589</v>
      </c>
      <c r="I690">
        <v>170</v>
      </c>
      <c r="J690" s="2" t="s">
        <v>628</v>
      </c>
      <c r="K690" s="2" t="s">
        <v>284</v>
      </c>
      <c r="L690" s="2" t="s">
        <v>285</v>
      </c>
      <c r="M690" s="2" t="s">
        <v>286</v>
      </c>
      <c r="N690" s="2" t="s">
        <v>287</v>
      </c>
      <c r="O690" s="2" t="s">
        <v>106</v>
      </c>
      <c r="P690" s="2" t="s">
        <v>27</v>
      </c>
      <c r="Q690" s="2" t="s">
        <v>288</v>
      </c>
      <c r="R690" s="2" t="s">
        <v>289</v>
      </c>
      <c r="S690" s="2" t="s">
        <v>151</v>
      </c>
      <c r="T690">
        <v>1124</v>
      </c>
      <c r="U690">
        <f>VLOOKUP(Auto_Sales_data___Copy[[#This Row],[CUSTOMER_NAME]],$AF$2:$AH$90,2,FALSE)</f>
        <v>180</v>
      </c>
      <c r="V690">
        <f>VLOOKUP(Auto_Sales_data___Copy[[#This Row],[CUSTOMER_NAME]],$AF$2:$AH$90,3,FALSE)</f>
        <v>654858.06000000017</v>
      </c>
      <c r="W690" s="2">
        <f>6-MATCH(Auto_Sales_data___Copy[[#This Row],[DAYS_SINCE_LAST_ORDER]],Table2[R-Cutoff],1)</f>
        <v>4</v>
      </c>
      <c r="X690" s="2">
        <f>MATCH(Auto_Sales_data___Copy[[#This Row],[Total_Orders_Per_Customer]],Table2[F-Cutoff],1)</f>
        <v>4</v>
      </c>
      <c r="Y690" s="2">
        <f>MATCH(Auto_Sales_data___Copy[[#This Row],[Total_Sales_Per_Customer]],Table2[M-Cutoff],1)</f>
        <v>4</v>
      </c>
      <c r="Z690" s="2" t="str">
        <f>Auto_Sales_data___Copy[[#This Row],[R-Score(1-5)]]&amp;Auto_Sales_data___Copy[[#This Row],[F-Score(1-5)]]&amp;Auto_Sales_data___Copy[[#This Row],[M-Score(1-5)]]</f>
        <v>444</v>
      </c>
      <c r="AA690" s="2" t="str" cm="1">
        <f t="array" ref="AA6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0" s="2" t="str">
        <f>VLOOKUP(Auto_Sales_data___Copy[[#This Row],[Segment Name]],Table3[],2,FALSE)</f>
        <v>VIP Recognitioon &amp; Inclusivity</v>
      </c>
    </row>
    <row r="691" spans="1:28" x14ac:dyDescent="0.25">
      <c r="A691">
        <v>10181</v>
      </c>
      <c r="B691">
        <v>22</v>
      </c>
      <c r="C691">
        <v>73.92</v>
      </c>
      <c r="D691">
        <v>10</v>
      </c>
      <c r="E691">
        <v>1626.24</v>
      </c>
      <c r="F691" s="1">
        <v>43416</v>
      </c>
      <c r="G691" s="2" t="s">
        <v>19</v>
      </c>
      <c r="H691" s="2" t="s">
        <v>183</v>
      </c>
      <c r="I691">
        <v>77</v>
      </c>
      <c r="J691" s="2" t="s">
        <v>629</v>
      </c>
      <c r="K691" s="2" t="s">
        <v>68</v>
      </c>
      <c r="L691" s="2" t="s">
        <v>69</v>
      </c>
      <c r="M691" s="2" t="s">
        <v>70</v>
      </c>
      <c r="N691" s="2" t="s">
        <v>71</v>
      </c>
      <c r="O691" s="2" t="s">
        <v>72</v>
      </c>
      <c r="P691" s="2" t="s">
        <v>73</v>
      </c>
      <c r="Q691" s="2" t="s">
        <v>74</v>
      </c>
      <c r="R691" s="2" t="s">
        <v>75</v>
      </c>
      <c r="S691" s="2" t="s">
        <v>30</v>
      </c>
      <c r="T691">
        <v>1145</v>
      </c>
      <c r="U691">
        <f>VLOOKUP(Auto_Sales_data___Copy[[#This Row],[CUSTOMER_NAME]],$AF$2:$AH$90,2,FALSE)</f>
        <v>29</v>
      </c>
      <c r="V691">
        <f>VLOOKUP(Auto_Sales_data___Copy[[#This Row],[CUSTOMER_NAME]],$AF$2:$AH$90,3,FALSE)</f>
        <v>111640.28</v>
      </c>
      <c r="W691" s="2">
        <f>6-MATCH(Auto_Sales_data___Copy[[#This Row],[DAYS_SINCE_LAST_ORDER]],Table2[R-Cutoff],1)</f>
        <v>4</v>
      </c>
      <c r="X691" s="2">
        <f>MATCH(Auto_Sales_data___Copy[[#This Row],[Total_Orders_Per_Customer]],Table2[F-Cutoff],1)</f>
        <v>4</v>
      </c>
      <c r="Y691" s="2">
        <f>MATCH(Auto_Sales_data___Copy[[#This Row],[Total_Sales_Per_Customer]],Table2[M-Cutoff],1)</f>
        <v>4</v>
      </c>
      <c r="Z691" s="2" t="str">
        <f>Auto_Sales_data___Copy[[#This Row],[R-Score(1-5)]]&amp;Auto_Sales_data___Copy[[#This Row],[F-Score(1-5)]]&amp;Auto_Sales_data___Copy[[#This Row],[M-Score(1-5)]]</f>
        <v>444</v>
      </c>
      <c r="AA691" s="2" t="str" cm="1">
        <f t="array" ref="AA6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1" s="2" t="str">
        <f>VLOOKUP(Auto_Sales_data___Copy[[#This Row],[Segment Name]],Table3[],2,FALSE)</f>
        <v>VIP Recognitioon &amp; Inclusivity</v>
      </c>
    </row>
    <row r="692" spans="1:28" x14ac:dyDescent="0.25">
      <c r="A692">
        <v>10181</v>
      </c>
      <c r="B692">
        <v>21</v>
      </c>
      <c r="C692">
        <v>156.47999999999999</v>
      </c>
      <c r="D692">
        <v>5</v>
      </c>
      <c r="E692">
        <v>3286.08</v>
      </c>
      <c r="F692" s="1">
        <v>43416</v>
      </c>
      <c r="G692" s="2" t="s">
        <v>19</v>
      </c>
      <c r="H692" s="2" t="s">
        <v>183</v>
      </c>
      <c r="I692">
        <v>142</v>
      </c>
      <c r="J692" s="2" t="s">
        <v>630</v>
      </c>
      <c r="K692" s="2" t="s">
        <v>68</v>
      </c>
      <c r="L692" s="2" t="s">
        <v>69</v>
      </c>
      <c r="M692" s="2" t="s">
        <v>70</v>
      </c>
      <c r="N692" s="2" t="s">
        <v>71</v>
      </c>
      <c r="O692" s="2" t="s">
        <v>72</v>
      </c>
      <c r="P692" s="2" t="s">
        <v>73</v>
      </c>
      <c r="Q692" s="2" t="s">
        <v>74</v>
      </c>
      <c r="R692" s="2" t="s">
        <v>75</v>
      </c>
      <c r="S692" s="2" t="s">
        <v>46</v>
      </c>
      <c r="T692">
        <v>1171</v>
      </c>
      <c r="U692">
        <f>VLOOKUP(Auto_Sales_data___Copy[[#This Row],[CUSTOMER_NAME]],$AF$2:$AH$90,2,FALSE)</f>
        <v>29</v>
      </c>
      <c r="V692">
        <f>VLOOKUP(Auto_Sales_data___Copy[[#This Row],[CUSTOMER_NAME]],$AF$2:$AH$90,3,FALSE)</f>
        <v>111640.28</v>
      </c>
      <c r="W692" s="2">
        <f>6-MATCH(Auto_Sales_data___Copy[[#This Row],[DAYS_SINCE_LAST_ORDER]],Table2[R-Cutoff],1)</f>
        <v>4</v>
      </c>
      <c r="X692" s="2">
        <f>MATCH(Auto_Sales_data___Copy[[#This Row],[Total_Orders_Per_Customer]],Table2[F-Cutoff],1)</f>
        <v>4</v>
      </c>
      <c r="Y692" s="2">
        <f>MATCH(Auto_Sales_data___Copy[[#This Row],[Total_Sales_Per_Customer]],Table2[M-Cutoff],1)</f>
        <v>4</v>
      </c>
      <c r="Z692" s="2" t="str">
        <f>Auto_Sales_data___Copy[[#This Row],[R-Score(1-5)]]&amp;Auto_Sales_data___Copy[[#This Row],[F-Score(1-5)]]&amp;Auto_Sales_data___Copy[[#This Row],[M-Score(1-5)]]</f>
        <v>444</v>
      </c>
      <c r="AA692" s="2" t="str" cm="1">
        <f t="array" ref="AA6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2" s="2" t="str">
        <f>VLOOKUP(Auto_Sales_data___Copy[[#This Row],[Segment Name]],Table3[],2,FALSE)</f>
        <v>VIP Recognitioon &amp; Inclusivity</v>
      </c>
    </row>
    <row r="693" spans="1:28" x14ac:dyDescent="0.25">
      <c r="A693">
        <v>10182</v>
      </c>
      <c r="B693">
        <v>38</v>
      </c>
      <c r="C693">
        <v>61.15</v>
      </c>
      <c r="D693">
        <v>9</v>
      </c>
      <c r="E693">
        <v>2323.6999999999998</v>
      </c>
      <c r="F693" s="1">
        <v>43416</v>
      </c>
      <c r="G693" s="2" t="s">
        <v>19</v>
      </c>
      <c r="H693" s="2" t="s">
        <v>589</v>
      </c>
      <c r="I693">
        <v>60</v>
      </c>
      <c r="J693" s="2" t="s">
        <v>632</v>
      </c>
      <c r="K693" s="2" t="s">
        <v>284</v>
      </c>
      <c r="L693" s="2" t="s">
        <v>285</v>
      </c>
      <c r="M693" s="2" t="s">
        <v>286</v>
      </c>
      <c r="N693" s="2" t="s">
        <v>287</v>
      </c>
      <c r="O693" s="2" t="s">
        <v>106</v>
      </c>
      <c r="P693" s="2" t="s">
        <v>27</v>
      </c>
      <c r="Q693" s="2" t="s">
        <v>288</v>
      </c>
      <c r="R693" s="2" t="s">
        <v>289</v>
      </c>
      <c r="S693" s="2" t="s">
        <v>30</v>
      </c>
      <c r="T693">
        <v>1224</v>
      </c>
      <c r="U693">
        <f>VLOOKUP(Auto_Sales_data___Copy[[#This Row],[CUSTOMER_NAME]],$AF$2:$AH$90,2,FALSE)</f>
        <v>180</v>
      </c>
      <c r="V693">
        <f>VLOOKUP(Auto_Sales_data___Copy[[#This Row],[CUSTOMER_NAME]],$AF$2:$AH$90,3,FALSE)</f>
        <v>654858.06000000017</v>
      </c>
      <c r="W693" s="2">
        <f>6-MATCH(Auto_Sales_data___Copy[[#This Row],[DAYS_SINCE_LAST_ORDER]],Table2[R-Cutoff],1)</f>
        <v>4</v>
      </c>
      <c r="X693" s="2">
        <f>MATCH(Auto_Sales_data___Copy[[#This Row],[Total_Orders_Per_Customer]],Table2[F-Cutoff],1)</f>
        <v>4</v>
      </c>
      <c r="Y693" s="2">
        <f>MATCH(Auto_Sales_data___Copy[[#This Row],[Total_Sales_Per_Customer]],Table2[M-Cutoff],1)</f>
        <v>4</v>
      </c>
      <c r="Z693" s="2" t="str">
        <f>Auto_Sales_data___Copy[[#This Row],[R-Score(1-5)]]&amp;Auto_Sales_data___Copy[[#This Row],[F-Score(1-5)]]&amp;Auto_Sales_data___Copy[[#This Row],[M-Score(1-5)]]</f>
        <v>444</v>
      </c>
      <c r="AA693" s="2" t="str" cm="1">
        <f t="array" ref="AA6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3" s="2" t="str">
        <f>VLOOKUP(Auto_Sales_data___Copy[[#This Row],[Segment Name]],Table3[],2,FALSE)</f>
        <v>VIP Recognitioon &amp; Inclusivity</v>
      </c>
    </row>
    <row r="694" spans="1:28" x14ac:dyDescent="0.25">
      <c r="A694">
        <v>10182</v>
      </c>
      <c r="B694">
        <v>20</v>
      </c>
      <c r="C694">
        <v>110.6</v>
      </c>
      <c r="D694">
        <v>7</v>
      </c>
      <c r="E694">
        <v>2212</v>
      </c>
      <c r="F694" s="1">
        <v>43416</v>
      </c>
      <c r="G694" s="2" t="s">
        <v>19</v>
      </c>
      <c r="H694" s="2" t="s">
        <v>589</v>
      </c>
      <c r="I694">
        <v>127</v>
      </c>
      <c r="J694" s="2" t="s">
        <v>634</v>
      </c>
      <c r="K694" s="2" t="s">
        <v>284</v>
      </c>
      <c r="L694" s="2" t="s">
        <v>285</v>
      </c>
      <c r="M694" s="2" t="s">
        <v>286</v>
      </c>
      <c r="N694" s="2" t="s">
        <v>287</v>
      </c>
      <c r="O694" s="2" t="s">
        <v>106</v>
      </c>
      <c r="P694" s="2" t="s">
        <v>27</v>
      </c>
      <c r="Q694" s="2" t="s">
        <v>288</v>
      </c>
      <c r="R694" s="2" t="s">
        <v>289</v>
      </c>
      <c r="S694" s="2" t="s">
        <v>30</v>
      </c>
      <c r="T694">
        <v>1271</v>
      </c>
      <c r="U694">
        <f>VLOOKUP(Auto_Sales_data___Copy[[#This Row],[CUSTOMER_NAME]],$AF$2:$AH$90,2,FALSE)</f>
        <v>180</v>
      </c>
      <c r="V694">
        <f>VLOOKUP(Auto_Sales_data___Copy[[#This Row],[CUSTOMER_NAME]],$AF$2:$AH$90,3,FALSE)</f>
        <v>654858.06000000017</v>
      </c>
      <c r="W694" s="2">
        <f>6-MATCH(Auto_Sales_data___Copy[[#This Row],[DAYS_SINCE_LAST_ORDER]],Table2[R-Cutoff],1)</f>
        <v>4</v>
      </c>
      <c r="X694" s="2">
        <f>MATCH(Auto_Sales_data___Copy[[#This Row],[Total_Orders_Per_Customer]],Table2[F-Cutoff],1)</f>
        <v>4</v>
      </c>
      <c r="Y694" s="2">
        <f>MATCH(Auto_Sales_data___Copy[[#This Row],[Total_Sales_Per_Customer]],Table2[M-Cutoff],1)</f>
        <v>4</v>
      </c>
      <c r="Z694" s="2" t="str">
        <f>Auto_Sales_data___Copy[[#This Row],[R-Score(1-5)]]&amp;Auto_Sales_data___Copy[[#This Row],[F-Score(1-5)]]&amp;Auto_Sales_data___Copy[[#This Row],[M-Score(1-5)]]</f>
        <v>444</v>
      </c>
      <c r="AA694" s="2" t="str" cm="1">
        <f t="array" ref="AA6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4" s="2" t="str">
        <f>VLOOKUP(Auto_Sales_data___Copy[[#This Row],[Segment Name]],Table3[],2,FALSE)</f>
        <v>VIP Recognitioon &amp; Inclusivity</v>
      </c>
    </row>
    <row r="695" spans="1:28" x14ac:dyDescent="0.25">
      <c r="A695">
        <v>10182</v>
      </c>
      <c r="B695">
        <v>21</v>
      </c>
      <c r="C695">
        <v>145.13</v>
      </c>
      <c r="D695">
        <v>4</v>
      </c>
      <c r="E695">
        <v>3047.73</v>
      </c>
      <c r="F695" s="1">
        <v>43416</v>
      </c>
      <c r="G695" s="2" t="s">
        <v>19</v>
      </c>
      <c r="H695" s="2" t="s">
        <v>589</v>
      </c>
      <c r="I695">
        <v>168</v>
      </c>
      <c r="J695" s="2" t="s">
        <v>638</v>
      </c>
      <c r="K695" s="2" t="s">
        <v>284</v>
      </c>
      <c r="L695" s="2" t="s">
        <v>285</v>
      </c>
      <c r="M695" s="2" t="s">
        <v>286</v>
      </c>
      <c r="N695" s="2" t="s">
        <v>287</v>
      </c>
      <c r="O695" s="2" t="s">
        <v>106</v>
      </c>
      <c r="P695" s="2" t="s">
        <v>27</v>
      </c>
      <c r="Q695" s="2" t="s">
        <v>288</v>
      </c>
      <c r="R695" s="2" t="s">
        <v>289</v>
      </c>
      <c r="S695" s="2" t="s">
        <v>46</v>
      </c>
      <c r="T695">
        <v>1370</v>
      </c>
      <c r="U695">
        <f>VLOOKUP(Auto_Sales_data___Copy[[#This Row],[CUSTOMER_NAME]],$AF$2:$AH$90,2,FALSE)</f>
        <v>180</v>
      </c>
      <c r="V695">
        <f>VLOOKUP(Auto_Sales_data___Copy[[#This Row],[CUSTOMER_NAME]],$AF$2:$AH$90,3,FALSE)</f>
        <v>654858.06000000017</v>
      </c>
      <c r="W695" s="2">
        <f>6-MATCH(Auto_Sales_data___Copy[[#This Row],[DAYS_SINCE_LAST_ORDER]],Table2[R-Cutoff],1)</f>
        <v>4</v>
      </c>
      <c r="X695" s="2">
        <f>MATCH(Auto_Sales_data___Copy[[#This Row],[Total_Orders_Per_Customer]],Table2[F-Cutoff],1)</f>
        <v>4</v>
      </c>
      <c r="Y695" s="2">
        <f>MATCH(Auto_Sales_data___Copy[[#This Row],[Total_Sales_Per_Customer]],Table2[M-Cutoff],1)</f>
        <v>4</v>
      </c>
      <c r="Z695" s="2" t="str">
        <f>Auto_Sales_data___Copy[[#This Row],[R-Score(1-5)]]&amp;Auto_Sales_data___Copy[[#This Row],[F-Score(1-5)]]&amp;Auto_Sales_data___Copy[[#This Row],[M-Score(1-5)]]</f>
        <v>444</v>
      </c>
      <c r="AA695" s="2" t="str" cm="1">
        <f t="array" ref="AA6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5" s="2" t="str">
        <f>VLOOKUP(Auto_Sales_data___Copy[[#This Row],[Segment Name]],Table3[],2,FALSE)</f>
        <v>VIP Recognitioon &amp; Inclusivity</v>
      </c>
    </row>
    <row r="696" spans="1:28" x14ac:dyDescent="0.25">
      <c r="A696">
        <v>10181</v>
      </c>
      <c r="B696">
        <v>27</v>
      </c>
      <c r="C696">
        <v>143.88</v>
      </c>
      <c r="D696">
        <v>3</v>
      </c>
      <c r="E696">
        <v>3884.76</v>
      </c>
      <c r="F696" s="1">
        <v>43416</v>
      </c>
      <c r="G696" s="2" t="s">
        <v>19</v>
      </c>
      <c r="H696" s="2" t="s">
        <v>183</v>
      </c>
      <c r="I696">
        <v>132</v>
      </c>
      <c r="J696" s="2" t="s">
        <v>639</v>
      </c>
      <c r="K696" s="2" t="s">
        <v>68</v>
      </c>
      <c r="L696" s="2" t="s">
        <v>69</v>
      </c>
      <c r="M696" s="2" t="s">
        <v>70</v>
      </c>
      <c r="N696" s="2" t="s">
        <v>71</v>
      </c>
      <c r="O696" s="2" t="s">
        <v>72</v>
      </c>
      <c r="P696" s="2" t="s">
        <v>73</v>
      </c>
      <c r="Q696" s="2" t="s">
        <v>74</v>
      </c>
      <c r="R696" s="2" t="s">
        <v>75</v>
      </c>
      <c r="S696" s="2" t="s">
        <v>46</v>
      </c>
      <c r="T696">
        <v>1395</v>
      </c>
      <c r="U696">
        <f>VLOOKUP(Auto_Sales_data___Copy[[#This Row],[CUSTOMER_NAME]],$AF$2:$AH$90,2,FALSE)</f>
        <v>29</v>
      </c>
      <c r="V696">
        <f>VLOOKUP(Auto_Sales_data___Copy[[#This Row],[CUSTOMER_NAME]],$AF$2:$AH$90,3,FALSE)</f>
        <v>111640.28</v>
      </c>
      <c r="W696" s="2">
        <f>6-MATCH(Auto_Sales_data___Copy[[#This Row],[DAYS_SINCE_LAST_ORDER]],Table2[R-Cutoff],1)</f>
        <v>4</v>
      </c>
      <c r="X696" s="2">
        <f>MATCH(Auto_Sales_data___Copy[[#This Row],[Total_Orders_Per_Customer]],Table2[F-Cutoff],1)</f>
        <v>4</v>
      </c>
      <c r="Y696" s="2">
        <f>MATCH(Auto_Sales_data___Copy[[#This Row],[Total_Sales_Per_Customer]],Table2[M-Cutoff],1)</f>
        <v>4</v>
      </c>
      <c r="Z696" s="2" t="str">
        <f>Auto_Sales_data___Copy[[#This Row],[R-Score(1-5)]]&amp;Auto_Sales_data___Copy[[#This Row],[F-Score(1-5)]]&amp;Auto_Sales_data___Copy[[#This Row],[M-Score(1-5)]]</f>
        <v>444</v>
      </c>
      <c r="AA696" s="2" t="str" cm="1">
        <f t="array" ref="AA6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6" s="2" t="str">
        <f>VLOOKUP(Auto_Sales_data___Copy[[#This Row],[Segment Name]],Table3[],2,FALSE)</f>
        <v>VIP Recognitioon &amp; Inclusivity</v>
      </c>
    </row>
    <row r="697" spans="1:28" x14ac:dyDescent="0.25">
      <c r="A697">
        <v>10188</v>
      </c>
      <c r="B697">
        <v>32</v>
      </c>
      <c r="C697">
        <v>65.42</v>
      </c>
      <c r="D697">
        <v>5</v>
      </c>
      <c r="E697">
        <v>2093.44</v>
      </c>
      <c r="F697" s="1">
        <v>43422</v>
      </c>
      <c r="G697" s="2" t="s">
        <v>19</v>
      </c>
      <c r="H697" s="2" t="s">
        <v>20</v>
      </c>
      <c r="I697">
        <v>60</v>
      </c>
      <c r="J697" s="2" t="s">
        <v>637</v>
      </c>
      <c r="K697" s="2" t="s">
        <v>68</v>
      </c>
      <c r="L697" s="2" t="s">
        <v>69</v>
      </c>
      <c r="M697" s="2" t="s">
        <v>70</v>
      </c>
      <c r="N697" s="2" t="s">
        <v>71</v>
      </c>
      <c r="O697" s="2" t="s">
        <v>72</v>
      </c>
      <c r="P697" s="2" t="s">
        <v>73</v>
      </c>
      <c r="Q697" s="2" t="s">
        <v>74</v>
      </c>
      <c r="R697" s="2" t="s">
        <v>75</v>
      </c>
      <c r="S697" s="2" t="s">
        <v>30</v>
      </c>
      <c r="T697">
        <v>1340</v>
      </c>
      <c r="U697">
        <f>VLOOKUP(Auto_Sales_data___Copy[[#This Row],[CUSTOMER_NAME]],$AF$2:$AH$90,2,FALSE)</f>
        <v>29</v>
      </c>
      <c r="V697">
        <f>VLOOKUP(Auto_Sales_data___Copy[[#This Row],[CUSTOMER_NAME]],$AF$2:$AH$90,3,FALSE)</f>
        <v>111640.28</v>
      </c>
      <c r="W697" s="2">
        <f>6-MATCH(Auto_Sales_data___Copy[[#This Row],[DAYS_SINCE_LAST_ORDER]],Table2[R-Cutoff],1)</f>
        <v>4</v>
      </c>
      <c r="X697" s="2">
        <f>MATCH(Auto_Sales_data___Copy[[#This Row],[Total_Orders_Per_Customer]],Table2[F-Cutoff],1)</f>
        <v>4</v>
      </c>
      <c r="Y697" s="2">
        <f>MATCH(Auto_Sales_data___Copy[[#This Row],[Total_Sales_Per_Customer]],Table2[M-Cutoff],1)</f>
        <v>4</v>
      </c>
      <c r="Z697" s="2" t="str">
        <f>Auto_Sales_data___Copy[[#This Row],[R-Score(1-5)]]&amp;Auto_Sales_data___Copy[[#This Row],[F-Score(1-5)]]&amp;Auto_Sales_data___Copy[[#This Row],[M-Score(1-5)]]</f>
        <v>444</v>
      </c>
      <c r="AA697" s="2" t="str" cm="1">
        <f t="array" ref="AA6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7" s="2" t="str">
        <f>VLOOKUP(Auto_Sales_data___Copy[[#This Row],[Segment Name]],Table3[],2,FALSE)</f>
        <v>VIP Recognitioon &amp; Inclusivity</v>
      </c>
    </row>
    <row r="698" spans="1:28" x14ac:dyDescent="0.25">
      <c r="A698">
        <v>10192</v>
      </c>
      <c r="B698">
        <v>27</v>
      </c>
      <c r="C698">
        <v>131.28</v>
      </c>
      <c r="D698">
        <v>16</v>
      </c>
      <c r="E698">
        <v>3544.56</v>
      </c>
      <c r="F698" s="1">
        <v>43424</v>
      </c>
      <c r="G698" s="2" t="s">
        <v>19</v>
      </c>
      <c r="H698" s="2" t="s">
        <v>183</v>
      </c>
      <c r="I698">
        <v>115</v>
      </c>
      <c r="J698" s="2" t="s">
        <v>567</v>
      </c>
      <c r="K698" s="2" t="s">
        <v>290</v>
      </c>
      <c r="L698" s="2" t="s">
        <v>291</v>
      </c>
      <c r="M698" s="2" t="s">
        <v>292</v>
      </c>
      <c r="N698" s="2" t="s">
        <v>293</v>
      </c>
      <c r="O698" s="2" t="s">
        <v>294</v>
      </c>
      <c r="P698" s="2" t="s">
        <v>27</v>
      </c>
      <c r="Q698" s="2" t="s">
        <v>52</v>
      </c>
      <c r="R698" s="2" t="s">
        <v>289</v>
      </c>
      <c r="S698" s="2" t="s">
        <v>46</v>
      </c>
      <c r="T698">
        <v>941</v>
      </c>
      <c r="U698">
        <f>VLOOKUP(Auto_Sales_data___Copy[[#This Row],[CUSTOMER_NAME]],$AF$2:$AH$90,2,FALSE)</f>
        <v>34</v>
      </c>
      <c r="V698">
        <f>VLOOKUP(Auto_Sales_data___Copy[[#This Row],[CUSTOMER_NAME]],$AF$2:$AH$90,3,FALSE)</f>
        <v>131685.29999999999</v>
      </c>
      <c r="W698" s="2">
        <f>6-MATCH(Auto_Sales_data___Copy[[#This Row],[DAYS_SINCE_LAST_ORDER]],Table2[R-Cutoff],1)</f>
        <v>4</v>
      </c>
      <c r="X698" s="2">
        <f>MATCH(Auto_Sales_data___Copy[[#This Row],[Total_Orders_Per_Customer]],Table2[F-Cutoff],1)</f>
        <v>4</v>
      </c>
      <c r="Y698" s="2">
        <f>MATCH(Auto_Sales_data___Copy[[#This Row],[Total_Sales_Per_Customer]],Table2[M-Cutoff],1)</f>
        <v>4</v>
      </c>
      <c r="Z698" s="2" t="str">
        <f>Auto_Sales_data___Copy[[#This Row],[R-Score(1-5)]]&amp;Auto_Sales_data___Copy[[#This Row],[F-Score(1-5)]]&amp;Auto_Sales_data___Copy[[#This Row],[M-Score(1-5)]]</f>
        <v>444</v>
      </c>
      <c r="AA698" s="2" t="str" cm="1">
        <f t="array" ref="AA6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8" s="2" t="str">
        <f>VLOOKUP(Auto_Sales_data___Copy[[#This Row],[Segment Name]],Table3[],2,FALSE)</f>
        <v>VIP Recognitioon &amp; Inclusivity</v>
      </c>
    </row>
    <row r="699" spans="1:28" x14ac:dyDescent="0.25">
      <c r="A699">
        <v>10192</v>
      </c>
      <c r="B699">
        <v>22</v>
      </c>
      <c r="C699">
        <v>150.03</v>
      </c>
      <c r="D699">
        <v>11</v>
      </c>
      <c r="E699">
        <v>3300.66</v>
      </c>
      <c r="F699" s="1">
        <v>43424</v>
      </c>
      <c r="G699" s="2" t="s">
        <v>19</v>
      </c>
      <c r="H699" s="2" t="s">
        <v>183</v>
      </c>
      <c r="I699">
        <v>141</v>
      </c>
      <c r="J699" s="2" t="s">
        <v>576</v>
      </c>
      <c r="K699" s="2" t="s">
        <v>290</v>
      </c>
      <c r="L699" s="2" t="s">
        <v>291</v>
      </c>
      <c r="M699" s="2" t="s">
        <v>292</v>
      </c>
      <c r="N699" s="2" t="s">
        <v>293</v>
      </c>
      <c r="O699" s="2" t="s">
        <v>294</v>
      </c>
      <c r="P699" s="2" t="s">
        <v>27</v>
      </c>
      <c r="Q699" s="2" t="s">
        <v>52</v>
      </c>
      <c r="R699" s="2" t="s">
        <v>289</v>
      </c>
      <c r="S699" s="2" t="s">
        <v>46</v>
      </c>
      <c r="T699">
        <v>993</v>
      </c>
      <c r="U699">
        <f>VLOOKUP(Auto_Sales_data___Copy[[#This Row],[CUSTOMER_NAME]],$AF$2:$AH$90,2,FALSE)</f>
        <v>34</v>
      </c>
      <c r="V699">
        <f>VLOOKUP(Auto_Sales_data___Copy[[#This Row],[CUSTOMER_NAME]],$AF$2:$AH$90,3,FALSE)</f>
        <v>131685.29999999999</v>
      </c>
      <c r="W699" s="2">
        <f>6-MATCH(Auto_Sales_data___Copy[[#This Row],[DAYS_SINCE_LAST_ORDER]],Table2[R-Cutoff],1)</f>
        <v>4</v>
      </c>
      <c r="X699" s="2">
        <f>MATCH(Auto_Sales_data___Copy[[#This Row],[Total_Orders_Per_Customer]],Table2[F-Cutoff],1)</f>
        <v>4</v>
      </c>
      <c r="Y699" s="2">
        <f>MATCH(Auto_Sales_data___Copy[[#This Row],[Total_Sales_Per_Customer]],Table2[M-Cutoff],1)</f>
        <v>4</v>
      </c>
      <c r="Z699" s="2" t="str">
        <f>Auto_Sales_data___Copy[[#This Row],[R-Score(1-5)]]&amp;Auto_Sales_data___Copy[[#This Row],[F-Score(1-5)]]&amp;Auto_Sales_data___Copy[[#This Row],[M-Score(1-5)]]</f>
        <v>444</v>
      </c>
      <c r="AA699" s="2" t="str" cm="1">
        <f t="array" ref="AA6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9" s="2" t="str">
        <f>VLOOKUP(Auto_Sales_data___Copy[[#This Row],[Segment Name]],Table3[],2,FALSE)</f>
        <v>VIP Recognitioon &amp; Inclusivity</v>
      </c>
    </row>
    <row r="700" spans="1:28" x14ac:dyDescent="0.25">
      <c r="A700">
        <v>10192</v>
      </c>
      <c r="B700">
        <v>29</v>
      </c>
      <c r="C700">
        <v>146.84</v>
      </c>
      <c r="D700">
        <v>7</v>
      </c>
      <c r="E700">
        <v>4258.3599999999997</v>
      </c>
      <c r="F700" s="1">
        <v>43424</v>
      </c>
      <c r="G700" s="2" t="s">
        <v>19</v>
      </c>
      <c r="H700" s="2" t="s">
        <v>183</v>
      </c>
      <c r="I700">
        <v>124</v>
      </c>
      <c r="J700" s="2" t="s">
        <v>606</v>
      </c>
      <c r="K700" s="2" t="s">
        <v>290</v>
      </c>
      <c r="L700" s="2" t="s">
        <v>291</v>
      </c>
      <c r="M700" s="2" t="s">
        <v>292</v>
      </c>
      <c r="N700" s="2" t="s">
        <v>293</v>
      </c>
      <c r="O700" s="2" t="s">
        <v>294</v>
      </c>
      <c r="P700" s="2" t="s">
        <v>27</v>
      </c>
      <c r="Q700" s="2" t="s">
        <v>52</v>
      </c>
      <c r="R700" s="2" t="s">
        <v>289</v>
      </c>
      <c r="S700" s="2" t="s">
        <v>46</v>
      </c>
      <c r="T700">
        <v>1067</v>
      </c>
      <c r="U700">
        <f>VLOOKUP(Auto_Sales_data___Copy[[#This Row],[CUSTOMER_NAME]],$AF$2:$AH$90,2,FALSE)</f>
        <v>34</v>
      </c>
      <c r="V700">
        <f>VLOOKUP(Auto_Sales_data___Copy[[#This Row],[CUSTOMER_NAME]],$AF$2:$AH$90,3,FALSE)</f>
        <v>131685.29999999999</v>
      </c>
      <c r="W700" s="2">
        <f>6-MATCH(Auto_Sales_data___Copy[[#This Row],[DAYS_SINCE_LAST_ORDER]],Table2[R-Cutoff],1)</f>
        <v>4</v>
      </c>
      <c r="X700" s="2">
        <f>MATCH(Auto_Sales_data___Copy[[#This Row],[Total_Orders_Per_Customer]],Table2[F-Cutoff],1)</f>
        <v>4</v>
      </c>
      <c r="Y700" s="2">
        <f>MATCH(Auto_Sales_data___Copy[[#This Row],[Total_Sales_Per_Customer]],Table2[M-Cutoff],1)</f>
        <v>4</v>
      </c>
      <c r="Z700" s="2" t="str">
        <f>Auto_Sales_data___Copy[[#This Row],[R-Score(1-5)]]&amp;Auto_Sales_data___Copy[[#This Row],[F-Score(1-5)]]&amp;Auto_Sales_data___Copy[[#This Row],[M-Score(1-5)]]</f>
        <v>444</v>
      </c>
      <c r="AA700" s="2" t="str" cm="1">
        <f t="array" ref="AA7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0" s="2" t="str">
        <f>VLOOKUP(Auto_Sales_data___Copy[[#This Row],[Segment Name]],Table3[],2,FALSE)</f>
        <v>VIP Recognitioon &amp; Inclusivity</v>
      </c>
    </row>
    <row r="701" spans="1:28" x14ac:dyDescent="0.25">
      <c r="A701">
        <v>10192</v>
      </c>
      <c r="B701">
        <v>45</v>
      </c>
      <c r="C701">
        <v>90.86</v>
      </c>
      <c r="D701">
        <v>15</v>
      </c>
      <c r="E701">
        <v>4088.7</v>
      </c>
      <c r="F701" s="1">
        <v>43424</v>
      </c>
      <c r="G701" s="2" t="s">
        <v>19</v>
      </c>
      <c r="H701" s="2" t="s">
        <v>183</v>
      </c>
      <c r="I701">
        <v>77</v>
      </c>
      <c r="J701" s="2" t="s">
        <v>629</v>
      </c>
      <c r="K701" s="2" t="s">
        <v>290</v>
      </c>
      <c r="L701" s="2" t="s">
        <v>291</v>
      </c>
      <c r="M701" s="2" t="s">
        <v>292</v>
      </c>
      <c r="N701" s="2" t="s">
        <v>293</v>
      </c>
      <c r="O701" s="2" t="s">
        <v>294</v>
      </c>
      <c r="P701" s="2" t="s">
        <v>27</v>
      </c>
      <c r="Q701" s="2" t="s">
        <v>52</v>
      </c>
      <c r="R701" s="2" t="s">
        <v>289</v>
      </c>
      <c r="S701" s="2" t="s">
        <v>46</v>
      </c>
      <c r="T701">
        <v>1138</v>
      </c>
      <c r="U701">
        <f>VLOOKUP(Auto_Sales_data___Copy[[#This Row],[CUSTOMER_NAME]],$AF$2:$AH$90,2,FALSE)</f>
        <v>34</v>
      </c>
      <c r="V701">
        <f>VLOOKUP(Auto_Sales_data___Copy[[#This Row],[CUSTOMER_NAME]],$AF$2:$AH$90,3,FALSE)</f>
        <v>131685.29999999999</v>
      </c>
      <c r="W701" s="2">
        <f>6-MATCH(Auto_Sales_data___Copy[[#This Row],[DAYS_SINCE_LAST_ORDER]],Table2[R-Cutoff],1)</f>
        <v>4</v>
      </c>
      <c r="X701" s="2">
        <f>MATCH(Auto_Sales_data___Copy[[#This Row],[Total_Orders_Per_Customer]],Table2[F-Cutoff],1)</f>
        <v>4</v>
      </c>
      <c r="Y701" s="2">
        <f>MATCH(Auto_Sales_data___Copy[[#This Row],[Total_Sales_Per_Customer]],Table2[M-Cutoff],1)</f>
        <v>4</v>
      </c>
      <c r="Z701" s="2" t="str">
        <f>Auto_Sales_data___Copy[[#This Row],[R-Score(1-5)]]&amp;Auto_Sales_data___Copy[[#This Row],[F-Score(1-5)]]&amp;Auto_Sales_data___Copy[[#This Row],[M-Score(1-5)]]</f>
        <v>444</v>
      </c>
      <c r="AA701" s="2" t="str" cm="1">
        <f t="array" ref="AA7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1" s="2" t="str">
        <f>VLOOKUP(Auto_Sales_data___Copy[[#This Row],[Segment Name]],Table3[],2,FALSE)</f>
        <v>VIP Recognitioon &amp; Inclusivity</v>
      </c>
    </row>
    <row r="702" spans="1:28" x14ac:dyDescent="0.25">
      <c r="A702">
        <v>10192</v>
      </c>
      <c r="B702">
        <v>47</v>
      </c>
      <c r="C702">
        <v>157.9</v>
      </c>
      <c r="D702">
        <v>10</v>
      </c>
      <c r="E702">
        <v>7421.3</v>
      </c>
      <c r="F702" s="1">
        <v>43424</v>
      </c>
      <c r="G702" s="2" t="s">
        <v>19</v>
      </c>
      <c r="H702" s="2" t="s">
        <v>183</v>
      </c>
      <c r="I702">
        <v>142</v>
      </c>
      <c r="J702" s="2" t="s">
        <v>630</v>
      </c>
      <c r="K702" s="2" t="s">
        <v>290</v>
      </c>
      <c r="L702" s="2" t="s">
        <v>291</v>
      </c>
      <c r="M702" s="2" t="s">
        <v>292</v>
      </c>
      <c r="N702" s="2" t="s">
        <v>293</v>
      </c>
      <c r="O702" s="2" t="s">
        <v>294</v>
      </c>
      <c r="P702" s="2" t="s">
        <v>27</v>
      </c>
      <c r="Q702" s="2" t="s">
        <v>52</v>
      </c>
      <c r="R702" s="2" t="s">
        <v>289</v>
      </c>
      <c r="S702" s="2" t="s">
        <v>151</v>
      </c>
      <c r="T702">
        <v>1164</v>
      </c>
      <c r="U702">
        <f>VLOOKUP(Auto_Sales_data___Copy[[#This Row],[CUSTOMER_NAME]],$AF$2:$AH$90,2,FALSE)</f>
        <v>34</v>
      </c>
      <c r="V702">
        <f>VLOOKUP(Auto_Sales_data___Copy[[#This Row],[CUSTOMER_NAME]],$AF$2:$AH$90,3,FALSE)</f>
        <v>131685.29999999999</v>
      </c>
      <c r="W702" s="2">
        <f>6-MATCH(Auto_Sales_data___Copy[[#This Row],[DAYS_SINCE_LAST_ORDER]],Table2[R-Cutoff],1)</f>
        <v>4</v>
      </c>
      <c r="X702" s="2">
        <f>MATCH(Auto_Sales_data___Copy[[#This Row],[Total_Orders_Per_Customer]],Table2[F-Cutoff],1)</f>
        <v>4</v>
      </c>
      <c r="Y702" s="2">
        <f>MATCH(Auto_Sales_data___Copy[[#This Row],[Total_Sales_Per_Customer]],Table2[M-Cutoff],1)</f>
        <v>4</v>
      </c>
      <c r="Z702" s="2" t="str">
        <f>Auto_Sales_data___Copy[[#This Row],[R-Score(1-5)]]&amp;Auto_Sales_data___Copy[[#This Row],[F-Score(1-5)]]&amp;Auto_Sales_data___Copy[[#This Row],[M-Score(1-5)]]</f>
        <v>444</v>
      </c>
      <c r="AA702" s="2" t="str" cm="1">
        <f t="array" ref="AA7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2" s="2" t="str">
        <f>VLOOKUP(Auto_Sales_data___Copy[[#This Row],[Segment Name]],Table3[],2,FALSE)</f>
        <v>VIP Recognitioon &amp; Inclusivity</v>
      </c>
    </row>
    <row r="703" spans="1:28" x14ac:dyDescent="0.25">
      <c r="A703">
        <v>10192</v>
      </c>
      <c r="B703">
        <v>38</v>
      </c>
      <c r="C703">
        <v>130.68</v>
      </c>
      <c r="D703">
        <v>8</v>
      </c>
      <c r="E703">
        <v>4965.84</v>
      </c>
      <c r="F703" s="1">
        <v>43424</v>
      </c>
      <c r="G703" s="2" t="s">
        <v>19</v>
      </c>
      <c r="H703" s="2" t="s">
        <v>183</v>
      </c>
      <c r="I703">
        <v>132</v>
      </c>
      <c r="J703" s="2" t="s">
        <v>639</v>
      </c>
      <c r="K703" s="2" t="s">
        <v>290</v>
      </c>
      <c r="L703" s="2" t="s">
        <v>291</v>
      </c>
      <c r="M703" s="2" t="s">
        <v>292</v>
      </c>
      <c r="N703" s="2" t="s">
        <v>293</v>
      </c>
      <c r="O703" s="2" t="s">
        <v>294</v>
      </c>
      <c r="P703" s="2" t="s">
        <v>27</v>
      </c>
      <c r="Q703" s="2" t="s">
        <v>52</v>
      </c>
      <c r="R703" s="2" t="s">
        <v>289</v>
      </c>
      <c r="S703" s="2" t="s">
        <v>46</v>
      </c>
      <c r="T703">
        <v>1388</v>
      </c>
      <c r="U703">
        <f>VLOOKUP(Auto_Sales_data___Copy[[#This Row],[CUSTOMER_NAME]],$AF$2:$AH$90,2,FALSE)</f>
        <v>34</v>
      </c>
      <c r="V703">
        <f>VLOOKUP(Auto_Sales_data___Copy[[#This Row],[CUSTOMER_NAME]],$AF$2:$AH$90,3,FALSE)</f>
        <v>131685.29999999999</v>
      </c>
      <c r="W703" s="2">
        <f>6-MATCH(Auto_Sales_data___Copy[[#This Row],[DAYS_SINCE_LAST_ORDER]],Table2[R-Cutoff],1)</f>
        <v>4</v>
      </c>
      <c r="X703" s="2">
        <f>MATCH(Auto_Sales_data___Copy[[#This Row],[Total_Orders_Per_Customer]],Table2[F-Cutoff],1)</f>
        <v>4</v>
      </c>
      <c r="Y703" s="2">
        <f>MATCH(Auto_Sales_data___Copy[[#This Row],[Total_Sales_Per_Customer]],Table2[M-Cutoff],1)</f>
        <v>4</v>
      </c>
      <c r="Z703" s="2" t="str">
        <f>Auto_Sales_data___Copy[[#This Row],[R-Score(1-5)]]&amp;Auto_Sales_data___Copy[[#This Row],[F-Score(1-5)]]&amp;Auto_Sales_data___Copy[[#This Row],[M-Score(1-5)]]</f>
        <v>444</v>
      </c>
      <c r="AA703" s="2" t="str" cm="1">
        <f t="array" ref="AA7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3" s="2" t="str">
        <f>VLOOKUP(Auto_Sales_data___Copy[[#This Row],[Segment Name]],Table3[],2,FALSE)</f>
        <v>VIP Recognitioon &amp; Inclusivity</v>
      </c>
    </row>
    <row r="704" spans="1:28" x14ac:dyDescent="0.25">
      <c r="A704">
        <v>10194</v>
      </c>
      <c r="B704">
        <v>21</v>
      </c>
      <c r="C704">
        <v>93.34</v>
      </c>
      <c r="D704">
        <v>10</v>
      </c>
      <c r="E704">
        <v>1960.14</v>
      </c>
      <c r="F704" s="1">
        <v>43429</v>
      </c>
      <c r="G704" s="2" t="s">
        <v>19</v>
      </c>
      <c r="H704" s="2" t="s">
        <v>537</v>
      </c>
      <c r="I704">
        <v>116</v>
      </c>
      <c r="J704" s="2" t="s">
        <v>575</v>
      </c>
      <c r="K704" s="2" t="s">
        <v>224</v>
      </c>
      <c r="L704" s="2" t="s">
        <v>225</v>
      </c>
      <c r="M704" s="2" t="s">
        <v>226</v>
      </c>
      <c r="N704" s="2" t="s">
        <v>227</v>
      </c>
      <c r="O704" s="2" t="s">
        <v>228</v>
      </c>
      <c r="P704" s="2" t="s">
        <v>36</v>
      </c>
      <c r="Q704" s="2" t="s">
        <v>229</v>
      </c>
      <c r="R704" s="2" t="s">
        <v>230</v>
      </c>
      <c r="S704" s="2" t="s">
        <v>30</v>
      </c>
      <c r="T704">
        <v>963</v>
      </c>
      <c r="U704">
        <f>VLOOKUP(Auto_Sales_data___Copy[[#This Row],[CUSTOMER_NAME]],$AF$2:$AH$90,2,FALSE)</f>
        <v>41</v>
      </c>
      <c r="V704">
        <f>VLOOKUP(Auto_Sales_data___Copy[[#This Row],[CUSTOMER_NAME]],$AF$2:$AH$90,3,FALSE)</f>
        <v>142874.24999999997</v>
      </c>
      <c r="W704" s="2">
        <f>6-MATCH(Auto_Sales_data___Copy[[#This Row],[DAYS_SINCE_LAST_ORDER]],Table2[R-Cutoff],1)</f>
        <v>4</v>
      </c>
      <c r="X704" s="2">
        <f>MATCH(Auto_Sales_data___Copy[[#This Row],[Total_Orders_Per_Customer]],Table2[F-Cutoff],1)</f>
        <v>4</v>
      </c>
      <c r="Y704" s="2">
        <f>MATCH(Auto_Sales_data___Copy[[#This Row],[Total_Sales_Per_Customer]],Table2[M-Cutoff],1)</f>
        <v>4</v>
      </c>
      <c r="Z704" s="2" t="str">
        <f>Auto_Sales_data___Copy[[#This Row],[R-Score(1-5)]]&amp;Auto_Sales_data___Copy[[#This Row],[F-Score(1-5)]]&amp;Auto_Sales_data___Copy[[#This Row],[M-Score(1-5)]]</f>
        <v>444</v>
      </c>
      <c r="AA704" s="2" t="str" cm="1">
        <f t="array" ref="AA7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4" s="2" t="str">
        <f>VLOOKUP(Auto_Sales_data___Copy[[#This Row],[Segment Name]],Table3[],2,FALSE)</f>
        <v>VIP Recognitioon &amp; Inclusivity</v>
      </c>
    </row>
    <row r="705" spans="1:28" x14ac:dyDescent="0.25">
      <c r="A705">
        <v>10194</v>
      </c>
      <c r="B705">
        <v>45</v>
      </c>
      <c r="C705">
        <v>70.489999999999995</v>
      </c>
      <c r="D705">
        <v>2</v>
      </c>
      <c r="E705">
        <v>3172.05</v>
      </c>
      <c r="F705" s="1">
        <v>43429</v>
      </c>
      <c r="G705" s="2" t="s">
        <v>19</v>
      </c>
      <c r="H705" s="2" t="s">
        <v>537</v>
      </c>
      <c r="I705">
        <v>60</v>
      </c>
      <c r="J705" s="2" t="s">
        <v>635</v>
      </c>
      <c r="K705" s="2" t="s">
        <v>224</v>
      </c>
      <c r="L705" s="2" t="s">
        <v>225</v>
      </c>
      <c r="M705" s="2" t="s">
        <v>226</v>
      </c>
      <c r="N705" s="2" t="s">
        <v>227</v>
      </c>
      <c r="O705" s="2" t="s">
        <v>228</v>
      </c>
      <c r="P705" s="2" t="s">
        <v>36</v>
      </c>
      <c r="Q705" s="2" t="s">
        <v>229</v>
      </c>
      <c r="R705" s="2" t="s">
        <v>230</v>
      </c>
      <c r="S705" s="2" t="s">
        <v>46</v>
      </c>
      <c r="T705">
        <v>1285</v>
      </c>
      <c r="U705">
        <f>VLOOKUP(Auto_Sales_data___Copy[[#This Row],[CUSTOMER_NAME]],$AF$2:$AH$90,2,FALSE)</f>
        <v>41</v>
      </c>
      <c r="V705">
        <f>VLOOKUP(Auto_Sales_data___Copy[[#This Row],[CUSTOMER_NAME]],$AF$2:$AH$90,3,FALSE)</f>
        <v>142874.24999999997</v>
      </c>
      <c r="W705" s="2">
        <f>6-MATCH(Auto_Sales_data___Copy[[#This Row],[DAYS_SINCE_LAST_ORDER]],Table2[R-Cutoff],1)</f>
        <v>4</v>
      </c>
      <c r="X705" s="2">
        <f>MATCH(Auto_Sales_data___Copy[[#This Row],[Total_Orders_Per_Customer]],Table2[F-Cutoff],1)</f>
        <v>4</v>
      </c>
      <c r="Y705" s="2">
        <f>MATCH(Auto_Sales_data___Copy[[#This Row],[Total_Sales_Per_Customer]],Table2[M-Cutoff],1)</f>
        <v>4</v>
      </c>
      <c r="Z705" s="2" t="str">
        <f>Auto_Sales_data___Copy[[#This Row],[R-Score(1-5)]]&amp;Auto_Sales_data___Copy[[#This Row],[F-Score(1-5)]]&amp;Auto_Sales_data___Copy[[#This Row],[M-Score(1-5)]]</f>
        <v>444</v>
      </c>
      <c r="AA705" s="2" t="str" cm="1">
        <f t="array" ref="AA7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5" s="2" t="str">
        <f>VLOOKUP(Auto_Sales_data___Copy[[#This Row],[Segment Name]],Table3[],2,FALSE)</f>
        <v>VIP Recognitioon &amp; Inclusivity</v>
      </c>
    </row>
    <row r="706" spans="1:28" x14ac:dyDescent="0.25">
      <c r="A706">
        <v>10204</v>
      </c>
      <c r="B706">
        <v>42</v>
      </c>
      <c r="C706">
        <v>147.19999999999999</v>
      </c>
      <c r="D706">
        <v>17</v>
      </c>
      <c r="E706">
        <v>6182.4</v>
      </c>
      <c r="F706" s="1">
        <v>43436</v>
      </c>
      <c r="G706" s="2" t="s">
        <v>19</v>
      </c>
      <c r="H706" s="2" t="s">
        <v>183</v>
      </c>
      <c r="I706">
        <v>141</v>
      </c>
      <c r="J706" s="2" t="s">
        <v>576</v>
      </c>
      <c r="K706" s="2" t="s">
        <v>506</v>
      </c>
      <c r="L706" s="2" t="s">
        <v>507</v>
      </c>
      <c r="M706" s="2" t="s">
        <v>508</v>
      </c>
      <c r="N706" s="2" t="s">
        <v>25</v>
      </c>
      <c r="O706" s="2" t="s">
        <v>26</v>
      </c>
      <c r="P706" s="2" t="s">
        <v>27</v>
      </c>
      <c r="Q706" s="2" t="s">
        <v>52</v>
      </c>
      <c r="R706" s="2" t="s">
        <v>509</v>
      </c>
      <c r="S706" s="2" t="s">
        <v>46</v>
      </c>
      <c r="T706">
        <v>982</v>
      </c>
      <c r="U706">
        <f>VLOOKUP(Auto_Sales_data___Copy[[#This Row],[CUSTOMER_NAME]],$AF$2:$AH$90,2,FALSE)</f>
        <v>48</v>
      </c>
      <c r="V706">
        <f>VLOOKUP(Auto_Sales_data___Copy[[#This Row],[CUSTOMER_NAME]],$AF$2:$AH$90,3,FALSE)</f>
        <v>197736.93999999997</v>
      </c>
      <c r="W706" s="2">
        <f>6-MATCH(Auto_Sales_data___Copy[[#This Row],[DAYS_SINCE_LAST_ORDER]],Table2[R-Cutoff],1)</f>
        <v>4</v>
      </c>
      <c r="X706" s="2">
        <f>MATCH(Auto_Sales_data___Copy[[#This Row],[Total_Orders_Per_Customer]],Table2[F-Cutoff],1)</f>
        <v>4</v>
      </c>
      <c r="Y706" s="2">
        <f>MATCH(Auto_Sales_data___Copy[[#This Row],[Total_Sales_Per_Customer]],Table2[M-Cutoff],1)</f>
        <v>4</v>
      </c>
      <c r="Z706" s="2" t="str">
        <f>Auto_Sales_data___Copy[[#This Row],[R-Score(1-5)]]&amp;Auto_Sales_data___Copy[[#This Row],[F-Score(1-5)]]&amp;Auto_Sales_data___Copy[[#This Row],[M-Score(1-5)]]</f>
        <v>444</v>
      </c>
      <c r="AA706" s="2" t="str" cm="1">
        <f t="array" ref="AA7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6" s="2" t="str">
        <f>VLOOKUP(Auto_Sales_data___Copy[[#This Row],[Segment Name]],Table3[],2,FALSE)</f>
        <v>VIP Recognitioon &amp; Inclusivity</v>
      </c>
    </row>
    <row r="707" spans="1:28" x14ac:dyDescent="0.25">
      <c r="A707">
        <v>10204</v>
      </c>
      <c r="B707">
        <v>40</v>
      </c>
      <c r="C707">
        <v>100.8</v>
      </c>
      <c r="D707">
        <v>13</v>
      </c>
      <c r="E707">
        <v>4032</v>
      </c>
      <c r="F707" s="1">
        <v>43436</v>
      </c>
      <c r="G707" s="2" t="s">
        <v>19</v>
      </c>
      <c r="H707" s="2" t="s">
        <v>183</v>
      </c>
      <c r="I707">
        <v>124</v>
      </c>
      <c r="J707" s="2" t="s">
        <v>606</v>
      </c>
      <c r="K707" s="2" t="s">
        <v>506</v>
      </c>
      <c r="L707" s="2" t="s">
        <v>507</v>
      </c>
      <c r="M707" s="2" t="s">
        <v>508</v>
      </c>
      <c r="N707" s="2" t="s">
        <v>25</v>
      </c>
      <c r="O707" s="2" t="s">
        <v>26</v>
      </c>
      <c r="P707" s="2" t="s">
        <v>27</v>
      </c>
      <c r="Q707" s="2" t="s">
        <v>52</v>
      </c>
      <c r="R707" s="2" t="s">
        <v>509</v>
      </c>
      <c r="S707" s="2" t="s">
        <v>46</v>
      </c>
      <c r="T707">
        <v>1056</v>
      </c>
      <c r="U707">
        <f>VLOOKUP(Auto_Sales_data___Copy[[#This Row],[CUSTOMER_NAME]],$AF$2:$AH$90,2,FALSE)</f>
        <v>48</v>
      </c>
      <c r="V707">
        <f>VLOOKUP(Auto_Sales_data___Copy[[#This Row],[CUSTOMER_NAME]],$AF$2:$AH$90,3,FALSE)</f>
        <v>197736.93999999997</v>
      </c>
      <c r="W707" s="2">
        <f>6-MATCH(Auto_Sales_data___Copy[[#This Row],[DAYS_SINCE_LAST_ORDER]],Table2[R-Cutoff],1)</f>
        <v>4</v>
      </c>
      <c r="X707" s="2">
        <f>MATCH(Auto_Sales_data___Copy[[#This Row],[Total_Orders_Per_Customer]],Table2[F-Cutoff],1)</f>
        <v>4</v>
      </c>
      <c r="Y707" s="2">
        <f>MATCH(Auto_Sales_data___Copy[[#This Row],[Total_Sales_Per_Customer]],Table2[M-Cutoff],1)</f>
        <v>4</v>
      </c>
      <c r="Z707" s="2" t="str">
        <f>Auto_Sales_data___Copy[[#This Row],[R-Score(1-5)]]&amp;Auto_Sales_data___Copy[[#This Row],[F-Score(1-5)]]&amp;Auto_Sales_data___Copy[[#This Row],[M-Score(1-5)]]</f>
        <v>444</v>
      </c>
      <c r="AA707" s="2" t="str" cm="1">
        <f t="array" ref="AA7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7" s="2" t="str">
        <f>VLOOKUP(Auto_Sales_data___Copy[[#This Row],[Segment Name]],Table3[],2,FALSE)</f>
        <v>VIP Recognitioon &amp; Inclusivity</v>
      </c>
    </row>
    <row r="708" spans="1:28" x14ac:dyDescent="0.25">
      <c r="A708">
        <v>10204</v>
      </c>
      <c r="B708">
        <v>33</v>
      </c>
      <c r="C708">
        <v>178.5</v>
      </c>
      <c r="D708">
        <v>4</v>
      </c>
      <c r="E708">
        <v>5890.5</v>
      </c>
      <c r="F708" s="1">
        <v>43436</v>
      </c>
      <c r="G708" s="2" t="s">
        <v>19</v>
      </c>
      <c r="H708" s="2" t="s">
        <v>589</v>
      </c>
      <c r="I708">
        <v>170</v>
      </c>
      <c r="J708" s="2" t="s">
        <v>628</v>
      </c>
      <c r="K708" s="2" t="s">
        <v>506</v>
      </c>
      <c r="L708" s="2" t="s">
        <v>507</v>
      </c>
      <c r="M708" s="2" t="s">
        <v>508</v>
      </c>
      <c r="N708" s="2" t="s">
        <v>25</v>
      </c>
      <c r="O708" s="2" t="s">
        <v>26</v>
      </c>
      <c r="P708" s="2" t="s">
        <v>27</v>
      </c>
      <c r="Q708" s="2" t="s">
        <v>52</v>
      </c>
      <c r="R708" s="2" t="s">
        <v>509</v>
      </c>
      <c r="S708" s="2" t="s">
        <v>46</v>
      </c>
      <c r="T708">
        <v>1106</v>
      </c>
      <c r="U708">
        <f>VLOOKUP(Auto_Sales_data___Copy[[#This Row],[CUSTOMER_NAME]],$AF$2:$AH$90,2,FALSE)</f>
        <v>48</v>
      </c>
      <c r="V708">
        <f>VLOOKUP(Auto_Sales_data___Copy[[#This Row],[CUSTOMER_NAME]],$AF$2:$AH$90,3,FALSE)</f>
        <v>197736.93999999997</v>
      </c>
      <c r="W708" s="2">
        <f>6-MATCH(Auto_Sales_data___Copy[[#This Row],[DAYS_SINCE_LAST_ORDER]],Table2[R-Cutoff],1)</f>
        <v>4</v>
      </c>
      <c r="X708" s="2">
        <f>MATCH(Auto_Sales_data___Copy[[#This Row],[Total_Orders_Per_Customer]],Table2[F-Cutoff],1)</f>
        <v>4</v>
      </c>
      <c r="Y708" s="2">
        <f>MATCH(Auto_Sales_data___Copy[[#This Row],[Total_Sales_Per_Customer]],Table2[M-Cutoff],1)</f>
        <v>4</v>
      </c>
      <c r="Z708" s="2" t="str">
        <f>Auto_Sales_data___Copy[[#This Row],[R-Score(1-5)]]&amp;Auto_Sales_data___Copy[[#This Row],[F-Score(1-5)]]&amp;Auto_Sales_data___Copy[[#This Row],[M-Score(1-5)]]</f>
        <v>444</v>
      </c>
      <c r="AA708" s="2" t="str" cm="1">
        <f t="array" ref="AA7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8" s="2" t="str">
        <f>VLOOKUP(Auto_Sales_data___Copy[[#This Row],[Segment Name]],Table3[],2,FALSE)</f>
        <v>VIP Recognitioon &amp; Inclusivity</v>
      </c>
    </row>
    <row r="709" spans="1:28" x14ac:dyDescent="0.25">
      <c r="A709">
        <v>10204</v>
      </c>
      <c r="B709">
        <v>38</v>
      </c>
      <c r="C709">
        <v>169.28</v>
      </c>
      <c r="D709">
        <v>16</v>
      </c>
      <c r="E709">
        <v>6432.64</v>
      </c>
      <c r="F709" s="1">
        <v>43436</v>
      </c>
      <c r="G709" s="2" t="s">
        <v>19</v>
      </c>
      <c r="H709" s="2" t="s">
        <v>183</v>
      </c>
      <c r="I709">
        <v>142</v>
      </c>
      <c r="J709" s="2" t="s">
        <v>630</v>
      </c>
      <c r="K709" s="2" t="s">
        <v>506</v>
      </c>
      <c r="L709" s="2" t="s">
        <v>507</v>
      </c>
      <c r="M709" s="2" t="s">
        <v>508</v>
      </c>
      <c r="N709" s="2" t="s">
        <v>25</v>
      </c>
      <c r="O709" s="2" t="s">
        <v>26</v>
      </c>
      <c r="P709" s="2" t="s">
        <v>27</v>
      </c>
      <c r="Q709" s="2" t="s">
        <v>52</v>
      </c>
      <c r="R709" s="2" t="s">
        <v>509</v>
      </c>
      <c r="S709" s="2" t="s">
        <v>46</v>
      </c>
      <c r="T709">
        <v>1153</v>
      </c>
      <c r="U709">
        <f>VLOOKUP(Auto_Sales_data___Copy[[#This Row],[CUSTOMER_NAME]],$AF$2:$AH$90,2,FALSE)</f>
        <v>48</v>
      </c>
      <c r="V709">
        <f>VLOOKUP(Auto_Sales_data___Copy[[#This Row],[CUSTOMER_NAME]],$AF$2:$AH$90,3,FALSE)</f>
        <v>197736.93999999997</v>
      </c>
      <c r="W709" s="2">
        <f>6-MATCH(Auto_Sales_data___Copy[[#This Row],[DAYS_SINCE_LAST_ORDER]],Table2[R-Cutoff],1)</f>
        <v>4</v>
      </c>
      <c r="X709" s="2">
        <f>MATCH(Auto_Sales_data___Copy[[#This Row],[Total_Orders_Per_Customer]],Table2[F-Cutoff],1)</f>
        <v>4</v>
      </c>
      <c r="Y709" s="2">
        <f>MATCH(Auto_Sales_data___Copy[[#This Row],[Total_Sales_Per_Customer]],Table2[M-Cutoff],1)</f>
        <v>4</v>
      </c>
      <c r="Z709" s="2" t="str">
        <f>Auto_Sales_data___Copy[[#This Row],[R-Score(1-5)]]&amp;Auto_Sales_data___Copy[[#This Row],[F-Score(1-5)]]&amp;Auto_Sales_data___Copy[[#This Row],[M-Score(1-5)]]</f>
        <v>444</v>
      </c>
      <c r="AA709" s="2" t="str" cm="1">
        <f t="array" ref="AA7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9" s="2" t="str">
        <f>VLOOKUP(Auto_Sales_data___Copy[[#This Row],[Segment Name]],Table3[],2,FALSE)</f>
        <v>VIP Recognitioon &amp; Inclusivity</v>
      </c>
    </row>
    <row r="710" spans="1:28" x14ac:dyDescent="0.25">
      <c r="A710">
        <v>10204</v>
      </c>
      <c r="B710">
        <v>23</v>
      </c>
      <c r="C710">
        <v>71.44</v>
      </c>
      <c r="D710">
        <v>3</v>
      </c>
      <c r="E710">
        <v>1643.12</v>
      </c>
      <c r="F710" s="1">
        <v>43436</v>
      </c>
      <c r="G710" s="2" t="s">
        <v>19</v>
      </c>
      <c r="H710" s="2" t="s">
        <v>589</v>
      </c>
      <c r="I710">
        <v>60</v>
      </c>
      <c r="J710" s="2" t="s">
        <v>632</v>
      </c>
      <c r="K710" s="2" t="s">
        <v>506</v>
      </c>
      <c r="L710" s="2" t="s">
        <v>507</v>
      </c>
      <c r="M710" s="2" t="s">
        <v>508</v>
      </c>
      <c r="N710" s="2" t="s">
        <v>25</v>
      </c>
      <c r="O710" s="2" t="s">
        <v>26</v>
      </c>
      <c r="P710" s="2" t="s">
        <v>27</v>
      </c>
      <c r="Q710" s="2" t="s">
        <v>52</v>
      </c>
      <c r="R710" s="2" t="s">
        <v>509</v>
      </c>
      <c r="S710" s="2" t="s">
        <v>30</v>
      </c>
      <c r="T710">
        <v>1206</v>
      </c>
      <c r="U710">
        <f>VLOOKUP(Auto_Sales_data___Copy[[#This Row],[CUSTOMER_NAME]],$AF$2:$AH$90,2,FALSE)</f>
        <v>48</v>
      </c>
      <c r="V710">
        <f>VLOOKUP(Auto_Sales_data___Copy[[#This Row],[CUSTOMER_NAME]],$AF$2:$AH$90,3,FALSE)</f>
        <v>197736.93999999997</v>
      </c>
      <c r="W710" s="2">
        <f>6-MATCH(Auto_Sales_data___Copy[[#This Row],[DAYS_SINCE_LAST_ORDER]],Table2[R-Cutoff],1)</f>
        <v>4</v>
      </c>
      <c r="X710" s="2">
        <f>MATCH(Auto_Sales_data___Copy[[#This Row],[Total_Orders_Per_Customer]],Table2[F-Cutoff],1)</f>
        <v>4</v>
      </c>
      <c r="Y710" s="2">
        <f>MATCH(Auto_Sales_data___Copy[[#This Row],[Total_Sales_Per_Customer]],Table2[M-Cutoff],1)</f>
        <v>4</v>
      </c>
      <c r="Z710" s="2" t="str">
        <f>Auto_Sales_data___Copy[[#This Row],[R-Score(1-5)]]&amp;Auto_Sales_data___Copy[[#This Row],[F-Score(1-5)]]&amp;Auto_Sales_data___Copy[[#This Row],[M-Score(1-5)]]</f>
        <v>444</v>
      </c>
      <c r="AA710" s="2" t="str" cm="1">
        <f t="array" ref="AA7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0" s="2" t="str">
        <f>VLOOKUP(Auto_Sales_data___Copy[[#This Row],[Segment Name]],Table3[],2,FALSE)</f>
        <v>VIP Recognitioon &amp; Inclusivity</v>
      </c>
    </row>
    <row r="711" spans="1:28" x14ac:dyDescent="0.25">
      <c r="A711">
        <v>10204</v>
      </c>
      <c r="B711">
        <v>26</v>
      </c>
      <c r="C711">
        <v>123.32</v>
      </c>
      <c r="D711">
        <v>1</v>
      </c>
      <c r="E711">
        <v>3206.32</v>
      </c>
      <c r="F711" s="1">
        <v>43436</v>
      </c>
      <c r="G711" s="2" t="s">
        <v>19</v>
      </c>
      <c r="H711" s="2" t="s">
        <v>589</v>
      </c>
      <c r="I711">
        <v>127</v>
      </c>
      <c r="J711" s="2" t="s">
        <v>634</v>
      </c>
      <c r="K711" s="2" t="s">
        <v>506</v>
      </c>
      <c r="L711" s="2" t="s">
        <v>507</v>
      </c>
      <c r="M711" s="2" t="s">
        <v>508</v>
      </c>
      <c r="N711" s="2" t="s">
        <v>25</v>
      </c>
      <c r="O711" s="2" t="s">
        <v>26</v>
      </c>
      <c r="P711" s="2" t="s">
        <v>27</v>
      </c>
      <c r="Q711" s="2" t="s">
        <v>52</v>
      </c>
      <c r="R711" s="2" t="s">
        <v>509</v>
      </c>
      <c r="S711" s="2" t="s">
        <v>46</v>
      </c>
      <c r="T711">
        <v>1253</v>
      </c>
      <c r="U711">
        <f>VLOOKUP(Auto_Sales_data___Copy[[#This Row],[CUSTOMER_NAME]],$AF$2:$AH$90,2,FALSE)</f>
        <v>48</v>
      </c>
      <c r="V711">
        <f>VLOOKUP(Auto_Sales_data___Copy[[#This Row],[CUSTOMER_NAME]],$AF$2:$AH$90,3,FALSE)</f>
        <v>197736.93999999997</v>
      </c>
      <c r="W711" s="2">
        <f>6-MATCH(Auto_Sales_data___Copy[[#This Row],[DAYS_SINCE_LAST_ORDER]],Table2[R-Cutoff],1)</f>
        <v>4</v>
      </c>
      <c r="X711" s="2">
        <f>MATCH(Auto_Sales_data___Copy[[#This Row],[Total_Orders_Per_Customer]],Table2[F-Cutoff],1)</f>
        <v>4</v>
      </c>
      <c r="Y711" s="2">
        <f>MATCH(Auto_Sales_data___Copy[[#This Row],[Total_Sales_Per_Customer]],Table2[M-Cutoff],1)</f>
        <v>4</v>
      </c>
      <c r="Z711" s="2" t="str">
        <f>Auto_Sales_data___Copy[[#This Row],[R-Score(1-5)]]&amp;Auto_Sales_data___Copy[[#This Row],[F-Score(1-5)]]&amp;Auto_Sales_data___Copy[[#This Row],[M-Score(1-5)]]</f>
        <v>444</v>
      </c>
      <c r="AA711" s="2" t="str" cm="1">
        <f t="array" ref="AA7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1" s="2" t="str">
        <f>VLOOKUP(Auto_Sales_data___Copy[[#This Row],[Segment Name]],Table3[],2,FALSE)</f>
        <v>VIP Recognitioon &amp; Inclusivity</v>
      </c>
    </row>
    <row r="712" spans="1:28" x14ac:dyDescent="0.25">
      <c r="A712">
        <v>10204</v>
      </c>
      <c r="B712">
        <v>27</v>
      </c>
      <c r="C712">
        <v>154.44</v>
      </c>
      <c r="D712">
        <v>14</v>
      </c>
      <c r="E712">
        <v>4169.88</v>
      </c>
      <c r="F712" s="1">
        <v>43436</v>
      </c>
      <c r="G712" s="2" t="s">
        <v>19</v>
      </c>
      <c r="H712" s="2" t="s">
        <v>183</v>
      </c>
      <c r="I712">
        <v>132</v>
      </c>
      <c r="J712" s="2" t="s">
        <v>639</v>
      </c>
      <c r="K712" s="2" t="s">
        <v>506</v>
      </c>
      <c r="L712" s="2" t="s">
        <v>507</v>
      </c>
      <c r="M712" s="2" t="s">
        <v>508</v>
      </c>
      <c r="N712" s="2" t="s">
        <v>25</v>
      </c>
      <c r="O712" s="2" t="s">
        <v>26</v>
      </c>
      <c r="P712" s="2" t="s">
        <v>27</v>
      </c>
      <c r="Q712" s="2" t="s">
        <v>52</v>
      </c>
      <c r="R712" s="2" t="s">
        <v>509</v>
      </c>
      <c r="S712" s="2" t="s">
        <v>46</v>
      </c>
      <c r="T712">
        <v>1377</v>
      </c>
      <c r="U712">
        <f>VLOOKUP(Auto_Sales_data___Copy[[#This Row],[CUSTOMER_NAME]],$AF$2:$AH$90,2,FALSE)</f>
        <v>48</v>
      </c>
      <c r="V712">
        <f>VLOOKUP(Auto_Sales_data___Copy[[#This Row],[CUSTOMER_NAME]],$AF$2:$AH$90,3,FALSE)</f>
        <v>197736.93999999997</v>
      </c>
      <c r="W712" s="2">
        <f>6-MATCH(Auto_Sales_data___Copy[[#This Row],[DAYS_SINCE_LAST_ORDER]],Table2[R-Cutoff],1)</f>
        <v>4</v>
      </c>
      <c r="X712" s="2">
        <f>MATCH(Auto_Sales_data___Copy[[#This Row],[Total_Orders_Per_Customer]],Table2[F-Cutoff],1)</f>
        <v>4</v>
      </c>
      <c r="Y712" s="2">
        <f>MATCH(Auto_Sales_data___Copy[[#This Row],[Total_Sales_Per_Customer]],Table2[M-Cutoff],1)</f>
        <v>4</v>
      </c>
      <c r="Z712" s="2" t="str">
        <f>Auto_Sales_data___Copy[[#This Row],[R-Score(1-5)]]&amp;Auto_Sales_data___Copy[[#This Row],[F-Score(1-5)]]&amp;Auto_Sales_data___Copy[[#This Row],[M-Score(1-5)]]</f>
        <v>444</v>
      </c>
      <c r="AA712" s="2" t="str" cm="1">
        <f t="array" ref="AA7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2" s="2" t="str">
        <f>VLOOKUP(Auto_Sales_data___Copy[[#This Row],[Segment Name]],Table3[],2,FALSE)</f>
        <v>VIP Recognitioon &amp; Inclusivity</v>
      </c>
    </row>
    <row r="713" spans="1:28" x14ac:dyDescent="0.25">
      <c r="A713">
        <v>10208</v>
      </c>
      <c r="B713">
        <v>24</v>
      </c>
      <c r="C713">
        <v>109.27</v>
      </c>
      <c r="D713">
        <v>9</v>
      </c>
      <c r="E713">
        <v>2622.48</v>
      </c>
      <c r="F713" s="1">
        <v>43467</v>
      </c>
      <c r="G713" s="2" t="s">
        <v>19</v>
      </c>
      <c r="H713" s="2" t="s">
        <v>589</v>
      </c>
      <c r="I713">
        <v>136</v>
      </c>
      <c r="J713" s="2" t="s">
        <v>648</v>
      </c>
      <c r="K713" s="2" t="s">
        <v>224</v>
      </c>
      <c r="L713" s="2" t="s">
        <v>225</v>
      </c>
      <c r="M713" s="2" t="s">
        <v>226</v>
      </c>
      <c r="N713" s="2" t="s">
        <v>227</v>
      </c>
      <c r="O713" s="2" t="s">
        <v>228</v>
      </c>
      <c r="P713" s="2" t="s">
        <v>36</v>
      </c>
      <c r="Q713" s="2" t="s">
        <v>229</v>
      </c>
      <c r="R713" s="2" t="s">
        <v>230</v>
      </c>
      <c r="S713" s="2" t="s">
        <v>30</v>
      </c>
      <c r="T713">
        <v>1472</v>
      </c>
      <c r="U713">
        <f>VLOOKUP(Auto_Sales_data___Copy[[#This Row],[CUSTOMER_NAME]],$AF$2:$AH$90,2,FALSE)</f>
        <v>41</v>
      </c>
      <c r="V713">
        <f>VLOOKUP(Auto_Sales_data___Copy[[#This Row],[CUSTOMER_NAME]],$AF$2:$AH$90,3,FALSE)</f>
        <v>142874.24999999997</v>
      </c>
      <c r="W713" s="2">
        <f>6-MATCH(Auto_Sales_data___Copy[[#This Row],[DAYS_SINCE_LAST_ORDER]],Table2[R-Cutoff],1)</f>
        <v>4</v>
      </c>
      <c r="X713" s="2">
        <f>MATCH(Auto_Sales_data___Copy[[#This Row],[Total_Orders_Per_Customer]],Table2[F-Cutoff],1)</f>
        <v>4</v>
      </c>
      <c r="Y713" s="2">
        <f>MATCH(Auto_Sales_data___Copy[[#This Row],[Total_Sales_Per_Customer]],Table2[M-Cutoff],1)</f>
        <v>4</v>
      </c>
      <c r="Z713" s="2" t="str">
        <f>Auto_Sales_data___Copy[[#This Row],[R-Score(1-5)]]&amp;Auto_Sales_data___Copy[[#This Row],[F-Score(1-5)]]&amp;Auto_Sales_data___Copy[[#This Row],[M-Score(1-5)]]</f>
        <v>444</v>
      </c>
      <c r="AA713" s="2" t="str" cm="1">
        <f t="array" ref="AA7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3" s="2" t="str">
        <f>VLOOKUP(Auto_Sales_data___Copy[[#This Row],[Segment Name]],Table3[],2,FALSE)</f>
        <v>VIP Recognitioon &amp; Inclusivity</v>
      </c>
    </row>
    <row r="714" spans="1:28" x14ac:dyDescent="0.25">
      <c r="A714">
        <v>10214</v>
      </c>
      <c r="B714">
        <v>30</v>
      </c>
      <c r="C714">
        <v>198.9</v>
      </c>
      <c r="D714">
        <v>7</v>
      </c>
      <c r="E714">
        <v>5967</v>
      </c>
      <c r="F714" s="1">
        <v>43491</v>
      </c>
      <c r="G714" s="2" t="s">
        <v>19</v>
      </c>
      <c r="H714" s="2" t="s">
        <v>589</v>
      </c>
      <c r="I714">
        <v>170</v>
      </c>
      <c r="J714" s="2" t="s">
        <v>628</v>
      </c>
      <c r="K714" s="2" t="s">
        <v>193</v>
      </c>
      <c r="L714" s="2" t="s">
        <v>194</v>
      </c>
      <c r="M714" s="2" t="s">
        <v>195</v>
      </c>
      <c r="N714" s="2" t="s">
        <v>178</v>
      </c>
      <c r="O714" s="2" t="s">
        <v>196</v>
      </c>
      <c r="P714" s="2" t="s">
        <v>180</v>
      </c>
      <c r="Q714" s="2" t="s">
        <v>197</v>
      </c>
      <c r="R714" s="2" t="s">
        <v>198</v>
      </c>
      <c r="S714" s="2" t="s">
        <v>46</v>
      </c>
      <c r="T714">
        <v>1052</v>
      </c>
      <c r="U714">
        <f>VLOOKUP(Auto_Sales_data___Copy[[#This Row],[CUSTOMER_NAME]],$AF$2:$AH$90,2,FALSE)</f>
        <v>32</v>
      </c>
      <c r="V714">
        <f>VLOOKUP(Auto_Sales_data___Copy[[#This Row],[CUSTOMER_NAME]],$AF$2:$AH$90,3,FALSE)</f>
        <v>120615.28</v>
      </c>
      <c r="W714" s="2">
        <f>6-MATCH(Auto_Sales_data___Copy[[#This Row],[DAYS_SINCE_LAST_ORDER]],Table2[R-Cutoff],1)</f>
        <v>4</v>
      </c>
      <c r="X714" s="2">
        <f>MATCH(Auto_Sales_data___Copy[[#This Row],[Total_Orders_Per_Customer]],Table2[F-Cutoff],1)</f>
        <v>4</v>
      </c>
      <c r="Y714" s="2">
        <f>MATCH(Auto_Sales_data___Copy[[#This Row],[Total_Sales_Per_Customer]],Table2[M-Cutoff],1)</f>
        <v>4</v>
      </c>
      <c r="Z714" s="2" t="str">
        <f>Auto_Sales_data___Copy[[#This Row],[R-Score(1-5)]]&amp;Auto_Sales_data___Copy[[#This Row],[F-Score(1-5)]]&amp;Auto_Sales_data___Copy[[#This Row],[M-Score(1-5)]]</f>
        <v>444</v>
      </c>
      <c r="AA714" s="2" t="str" cm="1">
        <f t="array" ref="AA7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4" s="2" t="str">
        <f>VLOOKUP(Auto_Sales_data___Copy[[#This Row],[Segment Name]],Table3[],2,FALSE)</f>
        <v>VIP Recognitioon &amp; Inclusivity</v>
      </c>
    </row>
    <row r="715" spans="1:28" x14ac:dyDescent="0.25">
      <c r="A715">
        <v>10214</v>
      </c>
      <c r="B715">
        <v>21</v>
      </c>
      <c r="C715">
        <v>62.96</v>
      </c>
      <c r="D715">
        <v>6</v>
      </c>
      <c r="E715">
        <v>1322.16</v>
      </c>
      <c r="F715" s="1">
        <v>43491</v>
      </c>
      <c r="G715" s="2" t="s">
        <v>19</v>
      </c>
      <c r="H715" s="2" t="s">
        <v>589</v>
      </c>
      <c r="I715">
        <v>60</v>
      </c>
      <c r="J715" s="2" t="s">
        <v>632</v>
      </c>
      <c r="K715" s="2" t="s">
        <v>193</v>
      </c>
      <c r="L715" s="2" t="s">
        <v>194</v>
      </c>
      <c r="M715" s="2" t="s">
        <v>195</v>
      </c>
      <c r="N715" s="2" t="s">
        <v>178</v>
      </c>
      <c r="O715" s="2" t="s">
        <v>196</v>
      </c>
      <c r="P715" s="2" t="s">
        <v>180</v>
      </c>
      <c r="Q715" s="2" t="s">
        <v>197</v>
      </c>
      <c r="R715" s="2" t="s">
        <v>198</v>
      </c>
      <c r="S715" s="2" t="s">
        <v>30</v>
      </c>
      <c r="T715">
        <v>1152</v>
      </c>
      <c r="U715">
        <f>VLOOKUP(Auto_Sales_data___Copy[[#This Row],[CUSTOMER_NAME]],$AF$2:$AH$90,2,FALSE)</f>
        <v>32</v>
      </c>
      <c r="V715">
        <f>VLOOKUP(Auto_Sales_data___Copy[[#This Row],[CUSTOMER_NAME]],$AF$2:$AH$90,3,FALSE)</f>
        <v>120615.28</v>
      </c>
      <c r="W715" s="2">
        <f>6-MATCH(Auto_Sales_data___Copy[[#This Row],[DAYS_SINCE_LAST_ORDER]],Table2[R-Cutoff],1)</f>
        <v>4</v>
      </c>
      <c r="X715" s="2">
        <f>MATCH(Auto_Sales_data___Copy[[#This Row],[Total_Orders_Per_Customer]],Table2[F-Cutoff],1)</f>
        <v>4</v>
      </c>
      <c r="Y715" s="2">
        <f>MATCH(Auto_Sales_data___Copy[[#This Row],[Total_Sales_Per_Customer]],Table2[M-Cutoff],1)</f>
        <v>4</v>
      </c>
      <c r="Z715" s="2" t="str">
        <f>Auto_Sales_data___Copy[[#This Row],[R-Score(1-5)]]&amp;Auto_Sales_data___Copy[[#This Row],[F-Score(1-5)]]&amp;Auto_Sales_data___Copy[[#This Row],[M-Score(1-5)]]</f>
        <v>444</v>
      </c>
      <c r="AA715" s="2" t="str" cm="1">
        <f t="array" ref="AA7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5" s="2" t="str">
        <f>VLOOKUP(Auto_Sales_data___Copy[[#This Row],[Segment Name]],Table3[],2,FALSE)</f>
        <v>VIP Recognitioon &amp; Inclusivity</v>
      </c>
    </row>
    <row r="716" spans="1:28" x14ac:dyDescent="0.25">
      <c r="A716">
        <v>10214</v>
      </c>
      <c r="B716">
        <v>27</v>
      </c>
      <c r="C716">
        <v>133.49</v>
      </c>
      <c r="D716">
        <v>4</v>
      </c>
      <c r="E716">
        <v>3604.23</v>
      </c>
      <c r="F716" s="1">
        <v>43491</v>
      </c>
      <c r="G716" s="2" t="s">
        <v>19</v>
      </c>
      <c r="H716" s="2" t="s">
        <v>589</v>
      </c>
      <c r="I716">
        <v>127</v>
      </c>
      <c r="J716" s="2" t="s">
        <v>634</v>
      </c>
      <c r="K716" s="2" t="s">
        <v>193</v>
      </c>
      <c r="L716" s="2" t="s">
        <v>194</v>
      </c>
      <c r="M716" s="2" t="s">
        <v>195</v>
      </c>
      <c r="N716" s="2" t="s">
        <v>178</v>
      </c>
      <c r="O716" s="2" t="s">
        <v>196</v>
      </c>
      <c r="P716" s="2" t="s">
        <v>180</v>
      </c>
      <c r="Q716" s="2" t="s">
        <v>197</v>
      </c>
      <c r="R716" s="2" t="s">
        <v>198</v>
      </c>
      <c r="S716" s="2" t="s">
        <v>46</v>
      </c>
      <c r="T716">
        <v>1199</v>
      </c>
      <c r="U716">
        <f>VLOOKUP(Auto_Sales_data___Copy[[#This Row],[CUSTOMER_NAME]],$AF$2:$AH$90,2,FALSE)</f>
        <v>32</v>
      </c>
      <c r="V716">
        <f>VLOOKUP(Auto_Sales_data___Copy[[#This Row],[CUSTOMER_NAME]],$AF$2:$AH$90,3,FALSE)</f>
        <v>120615.28</v>
      </c>
      <c r="W716" s="2">
        <f>6-MATCH(Auto_Sales_data___Copy[[#This Row],[DAYS_SINCE_LAST_ORDER]],Table2[R-Cutoff],1)</f>
        <v>4</v>
      </c>
      <c r="X716" s="2">
        <f>MATCH(Auto_Sales_data___Copy[[#This Row],[Total_Orders_Per_Customer]],Table2[F-Cutoff],1)</f>
        <v>4</v>
      </c>
      <c r="Y716" s="2">
        <f>MATCH(Auto_Sales_data___Copy[[#This Row],[Total_Sales_Per_Customer]],Table2[M-Cutoff],1)</f>
        <v>4</v>
      </c>
      <c r="Z716" s="2" t="str">
        <f>Auto_Sales_data___Copy[[#This Row],[R-Score(1-5)]]&amp;Auto_Sales_data___Copy[[#This Row],[F-Score(1-5)]]&amp;Auto_Sales_data___Copy[[#This Row],[M-Score(1-5)]]</f>
        <v>444</v>
      </c>
      <c r="AA716" s="2" t="str" cm="1">
        <f t="array" ref="AA7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6" s="2" t="str">
        <f>VLOOKUP(Auto_Sales_data___Copy[[#This Row],[Segment Name]],Table3[],2,FALSE)</f>
        <v>VIP Recognitioon &amp; Inclusivity</v>
      </c>
    </row>
    <row r="717" spans="1:28" x14ac:dyDescent="0.25">
      <c r="A717">
        <v>10214</v>
      </c>
      <c r="B717">
        <v>50</v>
      </c>
      <c r="C717">
        <v>190.69</v>
      </c>
      <c r="D717">
        <v>1</v>
      </c>
      <c r="E717">
        <v>9534.5</v>
      </c>
      <c r="F717" s="1">
        <v>43491</v>
      </c>
      <c r="G717" s="2" t="s">
        <v>19</v>
      </c>
      <c r="H717" s="2" t="s">
        <v>589</v>
      </c>
      <c r="I717">
        <v>168</v>
      </c>
      <c r="J717" s="2" t="s">
        <v>638</v>
      </c>
      <c r="K717" s="2" t="s">
        <v>193</v>
      </c>
      <c r="L717" s="2" t="s">
        <v>194</v>
      </c>
      <c r="M717" s="2" t="s">
        <v>195</v>
      </c>
      <c r="N717" s="2" t="s">
        <v>178</v>
      </c>
      <c r="O717" s="2" t="s">
        <v>196</v>
      </c>
      <c r="P717" s="2" t="s">
        <v>180</v>
      </c>
      <c r="Q717" s="2" t="s">
        <v>197</v>
      </c>
      <c r="R717" s="2" t="s">
        <v>198</v>
      </c>
      <c r="S717" s="2" t="s">
        <v>151</v>
      </c>
      <c r="T717">
        <v>1298</v>
      </c>
      <c r="U717">
        <f>VLOOKUP(Auto_Sales_data___Copy[[#This Row],[CUSTOMER_NAME]],$AF$2:$AH$90,2,FALSE)</f>
        <v>32</v>
      </c>
      <c r="V717">
        <f>VLOOKUP(Auto_Sales_data___Copy[[#This Row],[CUSTOMER_NAME]],$AF$2:$AH$90,3,FALSE)</f>
        <v>120615.28</v>
      </c>
      <c r="W717" s="2">
        <f>6-MATCH(Auto_Sales_data___Copy[[#This Row],[DAYS_SINCE_LAST_ORDER]],Table2[R-Cutoff],1)</f>
        <v>4</v>
      </c>
      <c r="X717" s="2">
        <f>MATCH(Auto_Sales_data___Copy[[#This Row],[Total_Orders_Per_Customer]],Table2[F-Cutoff],1)</f>
        <v>4</v>
      </c>
      <c r="Y717" s="2">
        <f>MATCH(Auto_Sales_data___Copy[[#This Row],[Total_Sales_Per_Customer]],Table2[M-Cutoff],1)</f>
        <v>4</v>
      </c>
      <c r="Z717" s="2" t="str">
        <f>Auto_Sales_data___Copy[[#This Row],[R-Score(1-5)]]&amp;Auto_Sales_data___Copy[[#This Row],[F-Score(1-5)]]&amp;Auto_Sales_data___Copy[[#This Row],[M-Score(1-5)]]</f>
        <v>444</v>
      </c>
      <c r="AA717" s="2" t="str" cm="1">
        <f t="array" ref="AA7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7" s="2" t="str">
        <f>VLOOKUP(Auto_Sales_data___Copy[[#This Row],[Segment Name]],Table3[],2,FALSE)</f>
        <v>VIP Recognitioon &amp; Inclusivity</v>
      </c>
    </row>
    <row r="718" spans="1:28" x14ac:dyDescent="0.25">
      <c r="A718">
        <v>10217</v>
      </c>
      <c r="B718">
        <v>35</v>
      </c>
      <c r="C718">
        <v>61.38</v>
      </c>
      <c r="D718">
        <v>2</v>
      </c>
      <c r="E718">
        <v>2148.3000000000002</v>
      </c>
      <c r="F718" s="1">
        <v>43500</v>
      </c>
      <c r="G718" s="2" t="s">
        <v>19</v>
      </c>
      <c r="H718" s="2" t="s">
        <v>537</v>
      </c>
      <c r="I718">
        <v>60</v>
      </c>
      <c r="J718" s="2" t="s">
        <v>635</v>
      </c>
      <c r="K718" s="2" t="s">
        <v>443</v>
      </c>
      <c r="L718" s="2" t="s">
        <v>444</v>
      </c>
      <c r="M718" s="2" t="s">
        <v>445</v>
      </c>
      <c r="N718" s="2" t="s">
        <v>202</v>
      </c>
      <c r="O718" s="2" t="s">
        <v>446</v>
      </c>
      <c r="P718" s="2" t="s">
        <v>202</v>
      </c>
      <c r="Q718" s="2" t="s">
        <v>447</v>
      </c>
      <c r="R718" s="2" t="s">
        <v>448</v>
      </c>
      <c r="S718" s="2" t="s">
        <v>30</v>
      </c>
      <c r="T718">
        <v>1216</v>
      </c>
      <c r="U718">
        <f>VLOOKUP(Auto_Sales_data___Copy[[#This Row],[CUSTOMER_NAME]],$AF$2:$AH$90,2,FALSE)</f>
        <v>36</v>
      </c>
      <c r="V718">
        <f>VLOOKUP(Auto_Sales_data___Copy[[#This Row],[CUSTOMER_NAME]],$AF$2:$AH$90,3,FALSE)</f>
        <v>115498.72999999998</v>
      </c>
      <c r="W718" s="2">
        <f>6-MATCH(Auto_Sales_data___Copy[[#This Row],[DAYS_SINCE_LAST_ORDER]],Table2[R-Cutoff],1)</f>
        <v>4</v>
      </c>
      <c r="X718" s="2">
        <f>MATCH(Auto_Sales_data___Copy[[#This Row],[Total_Orders_Per_Customer]],Table2[F-Cutoff],1)</f>
        <v>4</v>
      </c>
      <c r="Y718" s="2">
        <f>MATCH(Auto_Sales_data___Copy[[#This Row],[Total_Sales_Per_Customer]],Table2[M-Cutoff],1)</f>
        <v>4</v>
      </c>
      <c r="Z718" s="2" t="str">
        <f>Auto_Sales_data___Copy[[#This Row],[R-Score(1-5)]]&amp;Auto_Sales_data___Copy[[#This Row],[F-Score(1-5)]]&amp;Auto_Sales_data___Copy[[#This Row],[M-Score(1-5)]]</f>
        <v>444</v>
      </c>
      <c r="AA718" s="2" t="str" cm="1">
        <f t="array" ref="AA7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8" s="2" t="str">
        <f>VLOOKUP(Auto_Sales_data___Copy[[#This Row],[Segment Name]],Table3[],2,FALSE)</f>
        <v>VIP Recognitioon &amp; Inclusivity</v>
      </c>
    </row>
    <row r="719" spans="1:28" x14ac:dyDescent="0.25">
      <c r="A719">
        <v>10223</v>
      </c>
      <c r="B719">
        <v>47</v>
      </c>
      <c r="C719">
        <v>100.53</v>
      </c>
      <c r="D719">
        <v>9</v>
      </c>
      <c r="E719">
        <v>4724.91</v>
      </c>
      <c r="F719" s="1">
        <v>43516</v>
      </c>
      <c r="G719" s="2" t="s">
        <v>19</v>
      </c>
      <c r="H719" s="2" t="s">
        <v>607</v>
      </c>
      <c r="I719">
        <v>84</v>
      </c>
      <c r="J719" s="2" t="s">
        <v>636</v>
      </c>
      <c r="K719" s="2" t="s">
        <v>82</v>
      </c>
      <c r="L719" s="2" t="s">
        <v>83</v>
      </c>
      <c r="M719" s="2" t="s">
        <v>84</v>
      </c>
      <c r="N719" s="2" t="s">
        <v>85</v>
      </c>
      <c r="O719" s="2" t="s">
        <v>86</v>
      </c>
      <c r="P719" s="2" t="s">
        <v>87</v>
      </c>
      <c r="Q719" s="2" t="s">
        <v>88</v>
      </c>
      <c r="R719" s="2" t="s">
        <v>89</v>
      </c>
      <c r="S719" s="2" t="s">
        <v>46</v>
      </c>
      <c r="T719">
        <v>1223</v>
      </c>
      <c r="U719">
        <f>VLOOKUP(Auto_Sales_data___Copy[[#This Row],[CUSTOMER_NAME]],$AF$2:$AH$90,2,FALSE)</f>
        <v>55</v>
      </c>
      <c r="V719">
        <f>VLOOKUP(Auto_Sales_data___Copy[[#This Row],[CUSTOMER_NAME]],$AF$2:$AH$90,3,FALSE)</f>
        <v>200995.41000000006</v>
      </c>
      <c r="W719" s="2">
        <f>6-MATCH(Auto_Sales_data___Copy[[#This Row],[DAYS_SINCE_LAST_ORDER]],Table2[R-Cutoff],1)</f>
        <v>4</v>
      </c>
      <c r="X719" s="2">
        <f>MATCH(Auto_Sales_data___Copy[[#This Row],[Total_Orders_Per_Customer]],Table2[F-Cutoff],1)</f>
        <v>4</v>
      </c>
      <c r="Y719" s="2">
        <f>MATCH(Auto_Sales_data___Copy[[#This Row],[Total_Sales_Per_Customer]],Table2[M-Cutoff],1)</f>
        <v>4</v>
      </c>
      <c r="Z719" s="2" t="str">
        <f>Auto_Sales_data___Copy[[#This Row],[R-Score(1-5)]]&amp;Auto_Sales_data___Copy[[#This Row],[F-Score(1-5)]]&amp;Auto_Sales_data___Copy[[#This Row],[M-Score(1-5)]]</f>
        <v>444</v>
      </c>
      <c r="AA719" s="2" t="str" cm="1">
        <f t="array" ref="AA7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9" s="2" t="str">
        <f>VLOOKUP(Auto_Sales_data___Copy[[#This Row],[Segment Name]],Table3[],2,FALSE)</f>
        <v>VIP Recognitioon &amp; Inclusivity</v>
      </c>
    </row>
    <row r="720" spans="1:28" x14ac:dyDescent="0.25">
      <c r="A720">
        <v>10223</v>
      </c>
      <c r="B720">
        <v>28</v>
      </c>
      <c r="C720">
        <v>60.57</v>
      </c>
      <c r="D720">
        <v>5</v>
      </c>
      <c r="E720">
        <v>1695.96</v>
      </c>
      <c r="F720" s="1">
        <v>43516</v>
      </c>
      <c r="G720" s="2" t="s">
        <v>19</v>
      </c>
      <c r="H720" s="2" t="s">
        <v>20</v>
      </c>
      <c r="I720">
        <v>60</v>
      </c>
      <c r="J720" s="2" t="s">
        <v>637</v>
      </c>
      <c r="K720" s="2" t="s">
        <v>82</v>
      </c>
      <c r="L720" s="2" t="s">
        <v>83</v>
      </c>
      <c r="M720" s="2" t="s">
        <v>84</v>
      </c>
      <c r="N720" s="2" t="s">
        <v>85</v>
      </c>
      <c r="O720" s="2" t="s">
        <v>86</v>
      </c>
      <c r="P720" s="2" t="s">
        <v>87</v>
      </c>
      <c r="Q720" s="2" t="s">
        <v>88</v>
      </c>
      <c r="R720" s="2" t="s">
        <v>89</v>
      </c>
      <c r="S720" s="2" t="s">
        <v>30</v>
      </c>
      <c r="T720">
        <v>1248</v>
      </c>
      <c r="U720">
        <f>VLOOKUP(Auto_Sales_data___Copy[[#This Row],[CUSTOMER_NAME]],$AF$2:$AH$90,2,FALSE)</f>
        <v>55</v>
      </c>
      <c r="V720">
        <f>VLOOKUP(Auto_Sales_data___Copy[[#This Row],[CUSTOMER_NAME]],$AF$2:$AH$90,3,FALSE)</f>
        <v>200995.41000000006</v>
      </c>
      <c r="W720" s="2">
        <f>6-MATCH(Auto_Sales_data___Copy[[#This Row],[DAYS_SINCE_LAST_ORDER]],Table2[R-Cutoff],1)</f>
        <v>4</v>
      </c>
      <c r="X720" s="2">
        <f>MATCH(Auto_Sales_data___Copy[[#This Row],[Total_Orders_Per_Customer]],Table2[F-Cutoff],1)</f>
        <v>4</v>
      </c>
      <c r="Y720" s="2">
        <f>MATCH(Auto_Sales_data___Copy[[#This Row],[Total_Sales_Per_Customer]],Table2[M-Cutoff],1)</f>
        <v>4</v>
      </c>
      <c r="Z720" s="2" t="str">
        <f>Auto_Sales_data___Copy[[#This Row],[R-Score(1-5)]]&amp;Auto_Sales_data___Copy[[#This Row],[F-Score(1-5)]]&amp;Auto_Sales_data___Copy[[#This Row],[M-Score(1-5)]]</f>
        <v>444</v>
      </c>
      <c r="AA720" s="2" t="str" cm="1">
        <f t="array" ref="AA7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0" s="2" t="str">
        <f>VLOOKUP(Auto_Sales_data___Copy[[#This Row],[Segment Name]],Table3[],2,FALSE)</f>
        <v>VIP Recognitioon &amp; Inclusivity</v>
      </c>
    </row>
    <row r="721" spans="1:28" x14ac:dyDescent="0.25">
      <c r="A721">
        <v>10225</v>
      </c>
      <c r="B721">
        <v>47</v>
      </c>
      <c r="C721">
        <v>64.680000000000007</v>
      </c>
      <c r="D721">
        <v>5</v>
      </c>
      <c r="E721">
        <v>3039.96</v>
      </c>
      <c r="F721" s="1">
        <v>43518</v>
      </c>
      <c r="G721" s="2" t="s">
        <v>19</v>
      </c>
      <c r="H721" s="2" t="s">
        <v>183</v>
      </c>
      <c r="I721">
        <v>77</v>
      </c>
      <c r="J721" s="2" t="s">
        <v>629</v>
      </c>
      <c r="K721" s="2" t="s">
        <v>473</v>
      </c>
      <c r="L721" s="2" t="s">
        <v>474</v>
      </c>
      <c r="M721" s="2" t="s">
        <v>475</v>
      </c>
      <c r="N721" s="2" t="s">
        <v>476</v>
      </c>
      <c r="O721" s="2" t="s">
        <v>477</v>
      </c>
      <c r="P721" s="2" t="s">
        <v>478</v>
      </c>
      <c r="Q721" s="2" t="s">
        <v>479</v>
      </c>
      <c r="R721" s="2" t="s">
        <v>94</v>
      </c>
      <c r="S721" s="2" t="s">
        <v>46</v>
      </c>
      <c r="T721">
        <v>1047</v>
      </c>
      <c r="U721">
        <f>VLOOKUP(Auto_Sales_data___Copy[[#This Row],[CUSTOMER_NAME]],$AF$2:$AH$90,2,FALSE)</f>
        <v>31</v>
      </c>
      <c r="V721">
        <f>VLOOKUP(Auto_Sales_data___Copy[[#This Row],[CUSTOMER_NAME]],$AF$2:$AH$90,3,FALSE)</f>
        <v>117713.56000000001</v>
      </c>
      <c r="W721" s="2">
        <f>6-MATCH(Auto_Sales_data___Copy[[#This Row],[DAYS_SINCE_LAST_ORDER]],Table2[R-Cutoff],1)</f>
        <v>4</v>
      </c>
      <c r="X721" s="2">
        <f>MATCH(Auto_Sales_data___Copy[[#This Row],[Total_Orders_Per_Customer]],Table2[F-Cutoff],1)</f>
        <v>4</v>
      </c>
      <c r="Y721" s="2">
        <f>MATCH(Auto_Sales_data___Copy[[#This Row],[Total_Sales_Per_Customer]],Table2[M-Cutoff],1)</f>
        <v>4</v>
      </c>
      <c r="Z721" s="2" t="str">
        <f>Auto_Sales_data___Copy[[#This Row],[R-Score(1-5)]]&amp;Auto_Sales_data___Copy[[#This Row],[F-Score(1-5)]]&amp;Auto_Sales_data___Copy[[#This Row],[M-Score(1-5)]]</f>
        <v>444</v>
      </c>
      <c r="AA721" s="2" t="str" cm="1">
        <f t="array" ref="AA7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1" s="2" t="str">
        <f>VLOOKUP(Auto_Sales_data___Copy[[#This Row],[Segment Name]],Table3[],2,FALSE)</f>
        <v>VIP Recognitioon &amp; Inclusivity</v>
      </c>
    </row>
    <row r="722" spans="1:28" x14ac:dyDescent="0.25">
      <c r="A722">
        <v>10225</v>
      </c>
      <c r="B722">
        <v>43</v>
      </c>
      <c r="C722">
        <v>149.02000000000001</v>
      </c>
      <c r="D722">
        <v>2</v>
      </c>
      <c r="E722">
        <v>6407.86</v>
      </c>
      <c r="F722" s="1">
        <v>43518</v>
      </c>
      <c r="G722" s="2" t="s">
        <v>19</v>
      </c>
      <c r="H722" s="2" t="s">
        <v>183</v>
      </c>
      <c r="I722">
        <v>169</v>
      </c>
      <c r="J722" s="2" t="s">
        <v>649</v>
      </c>
      <c r="K722" s="2" t="s">
        <v>473</v>
      </c>
      <c r="L722" s="2" t="s">
        <v>474</v>
      </c>
      <c r="M722" s="2" t="s">
        <v>475</v>
      </c>
      <c r="N722" s="2" t="s">
        <v>476</v>
      </c>
      <c r="O722" s="2" t="s">
        <v>477</v>
      </c>
      <c r="P722" s="2" t="s">
        <v>478</v>
      </c>
      <c r="Q722" s="2" t="s">
        <v>479</v>
      </c>
      <c r="R722" s="2" t="s">
        <v>94</v>
      </c>
      <c r="S722" s="2" t="s">
        <v>46</v>
      </c>
      <c r="T722">
        <v>1456</v>
      </c>
      <c r="U722">
        <f>VLOOKUP(Auto_Sales_data___Copy[[#This Row],[CUSTOMER_NAME]],$AF$2:$AH$90,2,FALSE)</f>
        <v>31</v>
      </c>
      <c r="V722">
        <f>VLOOKUP(Auto_Sales_data___Copy[[#This Row],[CUSTOMER_NAME]],$AF$2:$AH$90,3,FALSE)</f>
        <v>117713.56000000001</v>
      </c>
      <c r="W722" s="2">
        <f>6-MATCH(Auto_Sales_data___Copy[[#This Row],[DAYS_SINCE_LAST_ORDER]],Table2[R-Cutoff],1)</f>
        <v>4</v>
      </c>
      <c r="X722" s="2">
        <f>MATCH(Auto_Sales_data___Copy[[#This Row],[Total_Orders_Per_Customer]],Table2[F-Cutoff],1)</f>
        <v>4</v>
      </c>
      <c r="Y722" s="2">
        <f>MATCH(Auto_Sales_data___Copy[[#This Row],[Total_Sales_Per_Customer]],Table2[M-Cutoff],1)</f>
        <v>4</v>
      </c>
      <c r="Z722" s="2" t="str">
        <f>Auto_Sales_data___Copy[[#This Row],[R-Score(1-5)]]&amp;Auto_Sales_data___Copy[[#This Row],[F-Score(1-5)]]&amp;Auto_Sales_data___Copy[[#This Row],[M-Score(1-5)]]</f>
        <v>444</v>
      </c>
      <c r="AA722" s="2" t="str" cm="1">
        <f t="array" ref="AA7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2" s="2" t="str">
        <f>VLOOKUP(Auto_Sales_data___Copy[[#This Row],[Segment Name]],Table3[],2,FALSE)</f>
        <v>VIP Recognitioon &amp; Inclusivity</v>
      </c>
    </row>
    <row r="723" spans="1:28" x14ac:dyDescent="0.25">
      <c r="A723">
        <v>10227</v>
      </c>
      <c r="B723">
        <v>31</v>
      </c>
      <c r="C723">
        <v>48.52</v>
      </c>
      <c r="D723">
        <v>2</v>
      </c>
      <c r="E723">
        <v>1504.12</v>
      </c>
      <c r="F723" s="1">
        <v>43526</v>
      </c>
      <c r="G723" s="2" t="s">
        <v>19</v>
      </c>
      <c r="H723" s="2" t="s">
        <v>589</v>
      </c>
      <c r="I723">
        <v>53</v>
      </c>
      <c r="J723" s="2" t="s">
        <v>605</v>
      </c>
      <c r="K723" s="2" t="s">
        <v>224</v>
      </c>
      <c r="L723" s="2" t="s">
        <v>225</v>
      </c>
      <c r="M723" s="2" t="s">
        <v>226</v>
      </c>
      <c r="N723" s="2" t="s">
        <v>227</v>
      </c>
      <c r="O723" s="2" t="s">
        <v>228</v>
      </c>
      <c r="P723" s="2" t="s">
        <v>36</v>
      </c>
      <c r="Q723" s="2" t="s">
        <v>229</v>
      </c>
      <c r="R723" s="2" t="s">
        <v>230</v>
      </c>
      <c r="S723" s="2" t="s">
        <v>30</v>
      </c>
      <c r="T723">
        <v>944</v>
      </c>
      <c r="U723">
        <f>VLOOKUP(Auto_Sales_data___Copy[[#This Row],[CUSTOMER_NAME]],$AF$2:$AH$90,2,FALSE)</f>
        <v>41</v>
      </c>
      <c r="V723">
        <f>VLOOKUP(Auto_Sales_data___Copy[[#This Row],[CUSTOMER_NAME]],$AF$2:$AH$90,3,FALSE)</f>
        <v>142874.24999999997</v>
      </c>
      <c r="W723" s="2">
        <f>6-MATCH(Auto_Sales_data___Copy[[#This Row],[DAYS_SINCE_LAST_ORDER]],Table2[R-Cutoff],1)</f>
        <v>4</v>
      </c>
      <c r="X723" s="2">
        <f>MATCH(Auto_Sales_data___Copy[[#This Row],[Total_Orders_Per_Customer]],Table2[F-Cutoff],1)</f>
        <v>4</v>
      </c>
      <c r="Y723" s="2">
        <f>MATCH(Auto_Sales_data___Copy[[#This Row],[Total_Sales_Per_Customer]],Table2[M-Cutoff],1)</f>
        <v>4</v>
      </c>
      <c r="Z723" s="2" t="str">
        <f>Auto_Sales_data___Copy[[#This Row],[R-Score(1-5)]]&amp;Auto_Sales_data___Copy[[#This Row],[F-Score(1-5)]]&amp;Auto_Sales_data___Copy[[#This Row],[M-Score(1-5)]]</f>
        <v>444</v>
      </c>
      <c r="AA723" s="2" t="str" cm="1">
        <f t="array" ref="AA7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3" s="2" t="str">
        <f>VLOOKUP(Auto_Sales_data___Copy[[#This Row],[Segment Name]],Table3[],2,FALSE)</f>
        <v>VIP Recognitioon &amp; Inclusivity</v>
      </c>
    </row>
    <row r="724" spans="1:28" x14ac:dyDescent="0.25">
      <c r="A724">
        <v>10227</v>
      </c>
      <c r="B724">
        <v>26</v>
      </c>
      <c r="C724">
        <v>142.80000000000001</v>
      </c>
      <c r="D724">
        <v>10</v>
      </c>
      <c r="E724">
        <v>3712.8</v>
      </c>
      <c r="F724" s="1">
        <v>43526</v>
      </c>
      <c r="G724" s="2" t="s">
        <v>19</v>
      </c>
      <c r="H724" s="2" t="s">
        <v>589</v>
      </c>
      <c r="I724">
        <v>170</v>
      </c>
      <c r="J724" s="2" t="s">
        <v>628</v>
      </c>
      <c r="K724" s="2" t="s">
        <v>224</v>
      </c>
      <c r="L724" s="2" t="s">
        <v>225</v>
      </c>
      <c r="M724" s="2" t="s">
        <v>226</v>
      </c>
      <c r="N724" s="2" t="s">
        <v>227</v>
      </c>
      <c r="O724" s="2" t="s">
        <v>228</v>
      </c>
      <c r="P724" s="2" t="s">
        <v>36</v>
      </c>
      <c r="Q724" s="2" t="s">
        <v>229</v>
      </c>
      <c r="R724" s="2" t="s">
        <v>230</v>
      </c>
      <c r="S724" s="2" t="s">
        <v>46</v>
      </c>
      <c r="T724">
        <v>1018</v>
      </c>
      <c r="U724">
        <f>VLOOKUP(Auto_Sales_data___Copy[[#This Row],[CUSTOMER_NAME]],$AF$2:$AH$90,2,FALSE)</f>
        <v>41</v>
      </c>
      <c r="V724">
        <f>VLOOKUP(Auto_Sales_data___Copy[[#This Row],[CUSTOMER_NAME]],$AF$2:$AH$90,3,FALSE)</f>
        <v>142874.24999999997</v>
      </c>
      <c r="W724" s="2">
        <f>6-MATCH(Auto_Sales_data___Copy[[#This Row],[DAYS_SINCE_LAST_ORDER]],Table2[R-Cutoff],1)</f>
        <v>4</v>
      </c>
      <c r="X724" s="2">
        <f>MATCH(Auto_Sales_data___Copy[[#This Row],[Total_Orders_Per_Customer]],Table2[F-Cutoff],1)</f>
        <v>4</v>
      </c>
      <c r="Y724" s="2">
        <f>MATCH(Auto_Sales_data___Copy[[#This Row],[Total_Sales_Per_Customer]],Table2[M-Cutoff],1)</f>
        <v>4</v>
      </c>
      <c r="Z724" s="2" t="str">
        <f>Auto_Sales_data___Copy[[#This Row],[R-Score(1-5)]]&amp;Auto_Sales_data___Copy[[#This Row],[F-Score(1-5)]]&amp;Auto_Sales_data___Copy[[#This Row],[M-Score(1-5)]]</f>
        <v>444</v>
      </c>
      <c r="AA724" s="2" t="str" cm="1">
        <f t="array" ref="AA7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4" s="2" t="str">
        <f>VLOOKUP(Auto_Sales_data___Copy[[#This Row],[Segment Name]],Table3[],2,FALSE)</f>
        <v>VIP Recognitioon &amp; Inclusivity</v>
      </c>
    </row>
    <row r="725" spans="1:28" x14ac:dyDescent="0.25">
      <c r="A725">
        <v>10227</v>
      </c>
      <c r="B725">
        <v>28</v>
      </c>
      <c r="C725">
        <v>50.85</v>
      </c>
      <c r="D725">
        <v>9</v>
      </c>
      <c r="E725">
        <v>1423.8</v>
      </c>
      <c r="F725" s="1">
        <v>43526</v>
      </c>
      <c r="G725" s="2" t="s">
        <v>19</v>
      </c>
      <c r="H725" s="2" t="s">
        <v>589</v>
      </c>
      <c r="I725">
        <v>60</v>
      </c>
      <c r="J725" s="2" t="s">
        <v>632</v>
      </c>
      <c r="K725" s="2" t="s">
        <v>224</v>
      </c>
      <c r="L725" s="2" t="s">
        <v>225</v>
      </c>
      <c r="M725" s="2" t="s">
        <v>226</v>
      </c>
      <c r="N725" s="2" t="s">
        <v>227</v>
      </c>
      <c r="O725" s="2" t="s">
        <v>228</v>
      </c>
      <c r="P725" s="2" t="s">
        <v>36</v>
      </c>
      <c r="Q725" s="2" t="s">
        <v>229</v>
      </c>
      <c r="R725" s="2" t="s">
        <v>230</v>
      </c>
      <c r="S725" s="2" t="s">
        <v>30</v>
      </c>
      <c r="T725">
        <v>1118</v>
      </c>
      <c r="U725">
        <f>VLOOKUP(Auto_Sales_data___Copy[[#This Row],[CUSTOMER_NAME]],$AF$2:$AH$90,2,FALSE)</f>
        <v>41</v>
      </c>
      <c r="V725">
        <f>VLOOKUP(Auto_Sales_data___Copy[[#This Row],[CUSTOMER_NAME]],$AF$2:$AH$90,3,FALSE)</f>
        <v>142874.24999999997</v>
      </c>
      <c r="W725" s="2">
        <f>6-MATCH(Auto_Sales_data___Copy[[#This Row],[DAYS_SINCE_LAST_ORDER]],Table2[R-Cutoff],1)</f>
        <v>4</v>
      </c>
      <c r="X725" s="2">
        <f>MATCH(Auto_Sales_data___Copy[[#This Row],[Total_Orders_Per_Customer]],Table2[F-Cutoff],1)</f>
        <v>4</v>
      </c>
      <c r="Y725" s="2">
        <f>MATCH(Auto_Sales_data___Copy[[#This Row],[Total_Sales_Per_Customer]],Table2[M-Cutoff],1)</f>
        <v>4</v>
      </c>
      <c r="Z725" s="2" t="str">
        <f>Auto_Sales_data___Copy[[#This Row],[R-Score(1-5)]]&amp;Auto_Sales_data___Copy[[#This Row],[F-Score(1-5)]]&amp;Auto_Sales_data___Copy[[#This Row],[M-Score(1-5)]]</f>
        <v>444</v>
      </c>
      <c r="AA725" s="2" t="str" cm="1">
        <f t="array" ref="AA7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5" s="2" t="str">
        <f>VLOOKUP(Auto_Sales_data___Copy[[#This Row],[Segment Name]],Table3[],2,FALSE)</f>
        <v>VIP Recognitioon &amp; Inclusivity</v>
      </c>
    </row>
    <row r="726" spans="1:28" x14ac:dyDescent="0.25">
      <c r="A726">
        <v>10227</v>
      </c>
      <c r="B726">
        <v>46</v>
      </c>
      <c r="C726">
        <v>152.56</v>
      </c>
      <c r="D726">
        <v>7</v>
      </c>
      <c r="E726">
        <v>7017.76</v>
      </c>
      <c r="F726" s="1">
        <v>43526</v>
      </c>
      <c r="G726" s="2" t="s">
        <v>19</v>
      </c>
      <c r="H726" s="2" t="s">
        <v>589</v>
      </c>
      <c r="I726">
        <v>127</v>
      </c>
      <c r="J726" s="2" t="s">
        <v>634</v>
      </c>
      <c r="K726" s="2" t="s">
        <v>224</v>
      </c>
      <c r="L726" s="2" t="s">
        <v>225</v>
      </c>
      <c r="M726" s="2" t="s">
        <v>226</v>
      </c>
      <c r="N726" s="2" t="s">
        <v>227</v>
      </c>
      <c r="O726" s="2" t="s">
        <v>228</v>
      </c>
      <c r="P726" s="2" t="s">
        <v>36</v>
      </c>
      <c r="Q726" s="2" t="s">
        <v>229</v>
      </c>
      <c r="R726" s="2" t="s">
        <v>230</v>
      </c>
      <c r="S726" s="2" t="s">
        <v>151</v>
      </c>
      <c r="T726">
        <v>1165</v>
      </c>
      <c r="U726">
        <f>VLOOKUP(Auto_Sales_data___Copy[[#This Row],[CUSTOMER_NAME]],$AF$2:$AH$90,2,FALSE)</f>
        <v>41</v>
      </c>
      <c r="V726">
        <f>VLOOKUP(Auto_Sales_data___Copy[[#This Row],[CUSTOMER_NAME]],$AF$2:$AH$90,3,FALSE)</f>
        <v>142874.24999999997</v>
      </c>
      <c r="W726" s="2">
        <f>6-MATCH(Auto_Sales_data___Copy[[#This Row],[DAYS_SINCE_LAST_ORDER]],Table2[R-Cutoff],1)</f>
        <v>4</v>
      </c>
      <c r="X726" s="2">
        <f>MATCH(Auto_Sales_data___Copy[[#This Row],[Total_Orders_Per_Customer]],Table2[F-Cutoff],1)</f>
        <v>4</v>
      </c>
      <c r="Y726" s="2">
        <f>MATCH(Auto_Sales_data___Copy[[#This Row],[Total_Sales_Per_Customer]],Table2[M-Cutoff],1)</f>
        <v>4</v>
      </c>
      <c r="Z726" s="2" t="str">
        <f>Auto_Sales_data___Copy[[#This Row],[R-Score(1-5)]]&amp;Auto_Sales_data___Copy[[#This Row],[F-Score(1-5)]]&amp;Auto_Sales_data___Copy[[#This Row],[M-Score(1-5)]]</f>
        <v>444</v>
      </c>
      <c r="AA726" s="2" t="str" cm="1">
        <f t="array" ref="AA7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6" s="2" t="str">
        <f>VLOOKUP(Auto_Sales_data___Copy[[#This Row],[Segment Name]],Table3[],2,FALSE)</f>
        <v>VIP Recognitioon &amp; Inclusivity</v>
      </c>
    </row>
    <row r="727" spans="1:28" x14ac:dyDescent="0.25">
      <c r="A727">
        <v>10227</v>
      </c>
      <c r="B727">
        <v>29</v>
      </c>
      <c r="C727">
        <v>192.38</v>
      </c>
      <c r="D727">
        <v>4</v>
      </c>
      <c r="E727">
        <v>5579.02</v>
      </c>
      <c r="F727" s="1">
        <v>43526</v>
      </c>
      <c r="G727" s="2" t="s">
        <v>19</v>
      </c>
      <c r="H727" s="2" t="s">
        <v>589</v>
      </c>
      <c r="I727">
        <v>168</v>
      </c>
      <c r="J727" s="2" t="s">
        <v>638</v>
      </c>
      <c r="K727" s="2" t="s">
        <v>224</v>
      </c>
      <c r="L727" s="2" t="s">
        <v>225</v>
      </c>
      <c r="M727" s="2" t="s">
        <v>226</v>
      </c>
      <c r="N727" s="2" t="s">
        <v>227</v>
      </c>
      <c r="O727" s="2" t="s">
        <v>228</v>
      </c>
      <c r="P727" s="2" t="s">
        <v>36</v>
      </c>
      <c r="Q727" s="2" t="s">
        <v>229</v>
      </c>
      <c r="R727" s="2" t="s">
        <v>230</v>
      </c>
      <c r="S727" s="2" t="s">
        <v>46</v>
      </c>
      <c r="T727">
        <v>1264</v>
      </c>
      <c r="U727">
        <f>VLOOKUP(Auto_Sales_data___Copy[[#This Row],[CUSTOMER_NAME]],$AF$2:$AH$90,2,FALSE)</f>
        <v>41</v>
      </c>
      <c r="V727">
        <f>VLOOKUP(Auto_Sales_data___Copy[[#This Row],[CUSTOMER_NAME]],$AF$2:$AH$90,3,FALSE)</f>
        <v>142874.24999999997</v>
      </c>
      <c r="W727" s="2">
        <f>6-MATCH(Auto_Sales_data___Copy[[#This Row],[DAYS_SINCE_LAST_ORDER]],Table2[R-Cutoff],1)</f>
        <v>4</v>
      </c>
      <c r="X727" s="2">
        <f>MATCH(Auto_Sales_data___Copy[[#This Row],[Total_Orders_Per_Customer]],Table2[F-Cutoff],1)</f>
        <v>4</v>
      </c>
      <c r="Y727" s="2">
        <f>MATCH(Auto_Sales_data___Copy[[#This Row],[Total_Sales_Per_Customer]],Table2[M-Cutoff],1)</f>
        <v>4</v>
      </c>
      <c r="Z727" s="2" t="str">
        <f>Auto_Sales_data___Copy[[#This Row],[R-Score(1-5)]]&amp;Auto_Sales_data___Copy[[#This Row],[F-Score(1-5)]]&amp;Auto_Sales_data___Copy[[#This Row],[M-Score(1-5)]]</f>
        <v>444</v>
      </c>
      <c r="AA727" s="2" t="str" cm="1">
        <f t="array" ref="AA7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7" s="2" t="str">
        <f>VLOOKUP(Auto_Sales_data___Copy[[#This Row],[Segment Name]],Table3[],2,FALSE)</f>
        <v>VIP Recognitioon &amp; Inclusivity</v>
      </c>
    </row>
    <row r="728" spans="1:28" x14ac:dyDescent="0.25">
      <c r="A728">
        <v>10229</v>
      </c>
      <c r="B728">
        <v>26</v>
      </c>
      <c r="C728">
        <v>144.82</v>
      </c>
      <c r="D728">
        <v>4</v>
      </c>
      <c r="E728">
        <v>3765.32</v>
      </c>
      <c r="F728" s="1">
        <v>43535</v>
      </c>
      <c r="G728" s="2" t="s">
        <v>19</v>
      </c>
      <c r="H728" s="2" t="s">
        <v>537</v>
      </c>
      <c r="I728">
        <v>122</v>
      </c>
      <c r="J728" s="2" t="s">
        <v>633</v>
      </c>
      <c r="K728" s="2" t="s">
        <v>284</v>
      </c>
      <c r="L728" s="2" t="s">
        <v>285</v>
      </c>
      <c r="M728" s="2" t="s">
        <v>286</v>
      </c>
      <c r="N728" s="2" t="s">
        <v>287</v>
      </c>
      <c r="O728" s="2" t="s">
        <v>106</v>
      </c>
      <c r="P728" s="2" t="s">
        <v>27</v>
      </c>
      <c r="Q728" s="2" t="s">
        <v>288</v>
      </c>
      <c r="R728" s="2" t="s">
        <v>289</v>
      </c>
      <c r="S728" s="2" t="s">
        <v>46</v>
      </c>
      <c r="T728">
        <v>1131</v>
      </c>
      <c r="U728">
        <f>VLOOKUP(Auto_Sales_data___Copy[[#This Row],[CUSTOMER_NAME]],$AF$2:$AH$90,2,FALSE)</f>
        <v>180</v>
      </c>
      <c r="V728">
        <f>VLOOKUP(Auto_Sales_data___Copy[[#This Row],[CUSTOMER_NAME]],$AF$2:$AH$90,3,FALSE)</f>
        <v>654858.06000000017</v>
      </c>
      <c r="W728" s="2">
        <f>6-MATCH(Auto_Sales_data___Copy[[#This Row],[DAYS_SINCE_LAST_ORDER]],Table2[R-Cutoff],1)</f>
        <v>4</v>
      </c>
      <c r="X728" s="2">
        <f>MATCH(Auto_Sales_data___Copy[[#This Row],[Total_Orders_Per_Customer]],Table2[F-Cutoff],1)</f>
        <v>4</v>
      </c>
      <c r="Y728" s="2">
        <f>MATCH(Auto_Sales_data___Copy[[#This Row],[Total_Sales_Per_Customer]],Table2[M-Cutoff],1)</f>
        <v>4</v>
      </c>
      <c r="Z728" s="2" t="str">
        <f>Auto_Sales_data___Copy[[#This Row],[R-Score(1-5)]]&amp;Auto_Sales_data___Copy[[#This Row],[F-Score(1-5)]]&amp;Auto_Sales_data___Copy[[#This Row],[M-Score(1-5)]]</f>
        <v>444</v>
      </c>
      <c r="AA728" s="2" t="str" cm="1">
        <f t="array" ref="AA7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8" s="2" t="str">
        <f>VLOOKUP(Auto_Sales_data___Copy[[#This Row],[Segment Name]],Table3[],2,FALSE)</f>
        <v>VIP Recognitioon &amp; Inclusivity</v>
      </c>
    </row>
    <row r="729" spans="1:28" x14ac:dyDescent="0.25">
      <c r="A729">
        <v>10229</v>
      </c>
      <c r="B729">
        <v>28</v>
      </c>
      <c r="C729">
        <v>59.55</v>
      </c>
      <c r="D729">
        <v>7</v>
      </c>
      <c r="E729">
        <v>1667.4</v>
      </c>
      <c r="F729" s="1">
        <v>43535</v>
      </c>
      <c r="G729" s="2" t="s">
        <v>19</v>
      </c>
      <c r="H729" s="2" t="s">
        <v>537</v>
      </c>
      <c r="I729">
        <v>60</v>
      </c>
      <c r="J729" s="2" t="s">
        <v>635</v>
      </c>
      <c r="K729" s="2" t="s">
        <v>284</v>
      </c>
      <c r="L729" s="2" t="s">
        <v>285</v>
      </c>
      <c r="M729" s="2" t="s">
        <v>286</v>
      </c>
      <c r="N729" s="2" t="s">
        <v>287</v>
      </c>
      <c r="O729" s="2" t="s">
        <v>106</v>
      </c>
      <c r="P729" s="2" t="s">
        <v>27</v>
      </c>
      <c r="Q729" s="2" t="s">
        <v>288</v>
      </c>
      <c r="R729" s="2" t="s">
        <v>289</v>
      </c>
      <c r="S729" s="2" t="s">
        <v>30</v>
      </c>
      <c r="T729">
        <v>1182</v>
      </c>
      <c r="U729">
        <f>VLOOKUP(Auto_Sales_data___Copy[[#This Row],[CUSTOMER_NAME]],$AF$2:$AH$90,2,FALSE)</f>
        <v>180</v>
      </c>
      <c r="V729">
        <f>VLOOKUP(Auto_Sales_data___Copy[[#This Row],[CUSTOMER_NAME]],$AF$2:$AH$90,3,FALSE)</f>
        <v>654858.06000000017</v>
      </c>
      <c r="W729" s="2">
        <f>6-MATCH(Auto_Sales_data___Copy[[#This Row],[DAYS_SINCE_LAST_ORDER]],Table2[R-Cutoff],1)</f>
        <v>4</v>
      </c>
      <c r="X729" s="2">
        <f>MATCH(Auto_Sales_data___Copy[[#This Row],[Total_Orders_Per_Customer]],Table2[F-Cutoff],1)</f>
        <v>4</v>
      </c>
      <c r="Y729" s="2">
        <f>MATCH(Auto_Sales_data___Copy[[#This Row],[Total_Sales_Per_Customer]],Table2[M-Cutoff],1)</f>
        <v>4</v>
      </c>
      <c r="Z729" s="2" t="str">
        <f>Auto_Sales_data___Copy[[#This Row],[R-Score(1-5)]]&amp;Auto_Sales_data___Copy[[#This Row],[F-Score(1-5)]]&amp;Auto_Sales_data___Copy[[#This Row],[M-Score(1-5)]]</f>
        <v>444</v>
      </c>
      <c r="AA729" s="2" t="str" cm="1">
        <f t="array" ref="AA7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9" s="2" t="str">
        <f>VLOOKUP(Auto_Sales_data___Copy[[#This Row],[Segment Name]],Table3[],2,FALSE)</f>
        <v>VIP Recognitioon &amp; Inclusivity</v>
      </c>
    </row>
    <row r="730" spans="1:28" x14ac:dyDescent="0.25">
      <c r="A730">
        <v>10229</v>
      </c>
      <c r="B730">
        <v>22</v>
      </c>
      <c r="C730">
        <v>189.66</v>
      </c>
      <c r="D730">
        <v>5</v>
      </c>
      <c r="E730">
        <v>4172.5200000000004</v>
      </c>
      <c r="F730" s="1">
        <v>43535</v>
      </c>
      <c r="G730" s="2" t="s">
        <v>19</v>
      </c>
      <c r="H730" s="2" t="s">
        <v>183</v>
      </c>
      <c r="I730">
        <v>169</v>
      </c>
      <c r="J730" s="2" t="s">
        <v>649</v>
      </c>
      <c r="K730" s="2" t="s">
        <v>284</v>
      </c>
      <c r="L730" s="2" t="s">
        <v>285</v>
      </c>
      <c r="M730" s="2" t="s">
        <v>286</v>
      </c>
      <c r="N730" s="2" t="s">
        <v>287</v>
      </c>
      <c r="O730" s="2" t="s">
        <v>106</v>
      </c>
      <c r="P730" s="2" t="s">
        <v>27</v>
      </c>
      <c r="Q730" s="2" t="s">
        <v>288</v>
      </c>
      <c r="R730" s="2" t="s">
        <v>289</v>
      </c>
      <c r="S730" s="2" t="s">
        <v>46</v>
      </c>
      <c r="T730">
        <v>1440</v>
      </c>
      <c r="U730">
        <f>VLOOKUP(Auto_Sales_data___Copy[[#This Row],[CUSTOMER_NAME]],$AF$2:$AH$90,2,FALSE)</f>
        <v>180</v>
      </c>
      <c r="V730">
        <f>VLOOKUP(Auto_Sales_data___Copy[[#This Row],[CUSTOMER_NAME]],$AF$2:$AH$90,3,FALSE)</f>
        <v>654858.06000000017</v>
      </c>
      <c r="W730" s="2">
        <f>6-MATCH(Auto_Sales_data___Copy[[#This Row],[DAYS_SINCE_LAST_ORDER]],Table2[R-Cutoff],1)</f>
        <v>4</v>
      </c>
      <c r="X730" s="2">
        <f>MATCH(Auto_Sales_data___Copy[[#This Row],[Total_Orders_Per_Customer]],Table2[F-Cutoff],1)</f>
        <v>4</v>
      </c>
      <c r="Y730" s="2">
        <f>MATCH(Auto_Sales_data___Copy[[#This Row],[Total_Sales_Per_Customer]],Table2[M-Cutoff],1)</f>
        <v>4</v>
      </c>
      <c r="Z730" s="2" t="str">
        <f>Auto_Sales_data___Copy[[#This Row],[R-Score(1-5)]]&amp;Auto_Sales_data___Copy[[#This Row],[F-Score(1-5)]]&amp;Auto_Sales_data___Copy[[#This Row],[M-Score(1-5)]]</f>
        <v>444</v>
      </c>
      <c r="AA730" s="2" t="str" cm="1">
        <f t="array" ref="AA7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0" s="2" t="str">
        <f>VLOOKUP(Auto_Sales_data___Copy[[#This Row],[Segment Name]],Table3[],2,FALSE)</f>
        <v>VIP Recognitioon &amp; Inclusivity</v>
      </c>
    </row>
    <row r="731" spans="1:28" x14ac:dyDescent="0.25">
      <c r="A731">
        <v>10238</v>
      </c>
      <c r="B731">
        <v>41</v>
      </c>
      <c r="C731">
        <v>73.17</v>
      </c>
      <c r="D731">
        <v>6</v>
      </c>
      <c r="E731">
        <v>2999.97</v>
      </c>
      <c r="F731" s="1">
        <v>43564</v>
      </c>
      <c r="G731" s="2" t="s">
        <v>19</v>
      </c>
      <c r="H731" s="2" t="s">
        <v>183</v>
      </c>
      <c r="I731">
        <v>80</v>
      </c>
      <c r="J731" s="2" t="s">
        <v>652</v>
      </c>
      <c r="K731" s="2" t="s">
        <v>339</v>
      </c>
      <c r="L731" s="2" t="s">
        <v>340</v>
      </c>
      <c r="M731" s="2" t="s">
        <v>341</v>
      </c>
      <c r="N731" s="2" t="s">
        <v>342</v>
      </c>
      <c r="O731" s="2" t="s">
        <v>343</v>
      </c>
      <c r="P731" s="2" t="s">
        <v>344</v>
      </c>
      <c r="Q731" s="2" t="s">
        <v>345</v>
      </c>
      <c r="R731" s="2" t="s">
        <v>346</v>
      </c>
      <c r="S731" s="2" t="s">
        <v>30</v>
      </c>
      <c r="T731">
        <v>1477</v>
      </c>
      <c r="U731">
        <f>VLOOKUP(Auto_Sales_data___Copy[[#This Row],[CUSTOMER_NAME]],$AF$2:$AH$90,2,FALSE)</f>
        <v>36</v>
      </c>
      <c r="V731">
        <f>VLOOKUP(Auto_Sales_data___Copy[[#This Row],[CUSTOMER_NAME]],$AF$2:$AH$90,3,FALSE)</f>
        <v>145041.60000000001</v>
      </c>
      <c r="W731" s="2">
        <f>6-MATCH(Auto_Sales_data___Copy[[#This Row],[DAYS_SINCE_LAST_ORDER]],Table2[R-Cutoff],1)</f>
        <v>4</v>
      </c>
      <c r="X731" s="2">
        <f>MATCH(Auto_Sales_data___Copy[[#This Row],[Total_Orders_Per_Customer]],Table2[F-Cutoff],1)</f>
        <v>4</v>
      </c>
      <c r="Y731" s="2">
        <f>MATCH(Auto_Sales_data___Copy[[#This Row],[Total_Sales_Per_Customer]],Table2[M-Cutoff],1)</f>
        <v>4</v>
      </c>
      <c r="Z731" s="2" t="str">
        <f>Auto_Sales_data___Copy[[#This Row],[R-Score(1-5)]]&amp;Auto_Sales_data___Copy[[#This Row],[F-Score(1-5)]]&amp;Auto_Sales_data___Copy[[#This Row],[M-Score(1-5)]]</f>
        <v>444</v>
      </c>
      <c r="AA731" s="2" t="str" cm="1">
        <f t="array" ref="AA7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1" s="2" t="str">
        <f>VLOOKUP(Auto_Sales_data___Copy[[#This Row],[Segment Name]],Table3[],2,FALSE)</f>
        <v>VIP Recognitioon &amp; Inclusivity</v>
      </c>
    </row>
    <row r="732" spans="1:28" x14ac:dyDescent="0.25">
      <c r="A732">
        <v>10239</v>
      </c>
      <c r="B732">
        <v>46</v>
      </c>
      <c r="C732">
        <v>73.92</v>
      </c>
      <c r="D732">
        <v>4</v>
      </c>
      <c r="E732">
        <v>3400.32</v>
      </c>
      <c r="F732" s="1">
        <v>43567</v>
      </c>
      <c r="G732" s="2" t="s">
        <v>19</v>
      </c>
      <c r="H732" s="2" t="s">
        <v>183</v>
      </c>
      <c r="I732">
        <v>77</v>
      </c>
      <c r="J732" s="2" t="s">
        <v>629</v>
      </c>
      <c r="K732" s="2" t="s">
        <v>411</v>
      </c>
      <c r="L732" s="2" t="s">
        <v>412</v>
      </c>
      <c r="M732" s="2" t="s">
        <v>413</v>
      </c>
      <c r="N732" s="2" t="s">
        <v>414</v>
      </c>
      <c r="O732" s="2" t="s">
        <v>415</v>
      </c>
      <c r="P732" s="2" t="s">
        <v>127</v>
      </c>
      <c r="Q732" s="2" t="s">
        <v>416</v>
      </c>
      <c r="R732" s="2" t="s">
        <v>417</v>
      </c>
      <c r="S732" s="2" t="s">
        <v>46</v>
      </c>
      <c r="T732">
        <v>999</v>
      </c>
      <c r="U732">
        <f>VLOOKUP(Auto_Sales_data___Copy[[#This Row],[CUSTOMER_NAME]],$AF$2:$AH$90,2,FALSE)</f>
        <v>32</v>
      </c>
      <c r="V732">
        <f>VLOOKUP(Auto_Sales_data___Copy[[#This Row],[CUSTOMER_NAME]],$AF$2:$AH$90,3,FALSE)</f>
        <v>104370.37999999999</v>
      </c>
      <c r="W732" s="2">
        <f>6-MATCH(Auto_Sales_data___Copy[[#This Row],[DAYS_SINCE_LAST_ORDER]],Table2[R-Cutoff],1)</f>
        <v>4</v>
      </c>
      <c r="X732" s="2">
        <f>MATCH(Auto_Sales_data___Copy[[#This Row],[Total_Orders_Per_Customer]],Table2[F-Cutoff],1)</f>
        <v>4</v>
      </c>
      <c r="Y732" s="2">
        <f>MATCH(Auto_Sales_data___Copy[[#This Row],[Total_Sales_Per_Customer]],Table2[M-Cutoff],1)</f>
        <v>4</v>
      </c>
      <c r="Z732" s="2" t="str">
        <f>Auto_Sales_data___Copy[[#This Row],[R-Score(1-5)]]&amp;Auto_Sales_data___Copy[[#This Row],[F-Score(1-5)]]&amp;Auto_Sales_data___Copy[[#This Row],[M-Score(1-5)]]</f>
        <v>444</v>
      </c>
      <c r="AA732" s="2" t="str" cm="1">
        <f t="array" ref="AA7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2" s="2" t="str">
        <f>VLOOKUP(Auto_Sales_data___Copy[[#This Row],[Segment Name]],Table3[],2,FALSE)</f>
        <v>VIP Recognitioon &amp; Inclusivity</v>
      </c>
    </row>
    <row r="733" spans="1:28" x14ac:dyDescent="0.25">
      <c r="A733">
        <v>10239</v>
      </c>
      <c r="B733">
        <v>47</v>
      </c>
      <c r="C733">
        <v>150.71</v>
      </c>
      <c r="D733">
        <v>1</v>
      </c>
      <c r="E733">
        <v>7083.37</v>
      </c>
      <c r="F733" s="1">
        <v>43567</v>
      </c>
      <c r="G733" s="2" t="s">
        <v>19</v>
      </c>
      <c r="H733" s="2" t="s">
        <v>183</v>
      </c>
      <c r="I733">
        <v>169</v>
      </c>
      <c r="J733" s="2" t="s">
        <v>649</v>
      </c>
      <c r="K733" s="2" t="s">
        <v>411</v>
      </c>
      <c r="L733" s="2" t="s">
        <v>412</v>
      </c>
      <c r="M733" s="2" t="s">
        <v>413</v>
      </c>
      <c r="N733" s="2" t="s">
        <v>414</v>
      </c>
      <c r="O733" s="2" t="s">
        <v>415</v>
      </c>
      <c r="P733" s="2" t="s">
        <v>127</v>
      </c>
      <c r="Q733" s="2" t="s">
        <v>416</v>
      </c>
      <c r="R733" s="2" t="s">
        <v>417</v>
      </c>
      <c r="S733" s="2" t="s">
        <v>151</v>
      </c>
      <c r="T733">
        <v>1409</v>
      </c>
      <c r="U733">
        <f>VLOOKUP(Auto_Sales_data___Copy[[#This Row],[CUSTOMER_NAME]],$AF$2:$AH$90,2,FALSE)</f>
        <v>32</v>
      </c>
      <c r="V733">
        <f>VLOOKUP(Auto_Sales_data___Copy[[#This Row],[CUSTOMER_NAME]],$AF$2:$AH$90,3,FALSE)</f>
        <v>104370.37999999999</v>
      </c>
      <c r="W733" s="2">
        <f>6-MATCH(Auto_Sales_data___Copy[[#This Row],[DAYS_SINCE_LAST_ORDER]],Table2[R-Cutoff],1)</f>
        <v>4</v>
      </c>
      <c r="X733" s="2">
        <f>MATCH(Auto_Sales_data___Copy[[#This Row],[Total_Orders_Per_Customer]],Table2[F-Cutoff],1)</f>
        <v>4</v>
      </c>
      <c r="Y733" s="2">
        <f>MATCH(Auto_Sales_data___Copy[[#This Row],[Total_Sales_Per_Customer]],Table2[M-Cutoff],1)</f>
        <v>4</v>
      </c>
      <c r="Z733" s="2" t="str">
        <f>Auto_Sales_data___Copy[[#This Row],[R-Score(1-5)]]&amp;Auto_Sales_data___Copy[[#This Row],[F-Score(1-5)]]&amp;Auto_Sales_data___Copy[[#This Row],[M-Score(1-5)]]</f>
        <v>444</v>
      </c>
      <c r="AA733" s="2" t="str" cm="1">
        <f t="array" ref="AA7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3" s="2" t="str">
        <f>VLOOKUP(Auto_Sales_data___Copy[[#This Row],[Segment Name]],Table3[],2,FALSE)</f>
        <v>VIP Recognitioon &amp; Inclusivity</v>
      </c>
    </row>
    <row r="734" spans="1:28" x14ac:dyDescent="0.25">
      <c r="A734">
        <v>10248</v>
      </c>
      <c r="B734">
        <v>21</v>
      </c>
      <c r="C734">
        <v>73.98</v>
      </c>
      <c r="D734">
        <v>1</v>
      </c>
      <c r="E734">
        <v>1553.58</v>
      </c>
      <c r="F734" s="1">
        <v>43592</v>
      </c>
      <c r="G734" s="2" t="s">
        <v>358</v>
      </c>
      <c r="H734" s="2" t="s">
        <v>642</v>
      </c>
      <c r="I734">
        <v>86</v>
      </c>
      <c r="J734" s="2" t="s">
        <v>643</v>
      </c>
      <c r="K734" s="2" t="s">
        <v>22</v>
      </c>
      <c r="L734" s="2" t="s">
        <v>23</v>
      </c>
      <c r="M734" s="2" t="s">
        <v>24</v>
      </c>
      <c r="N734" s="2" t="s">
        <v>25</v>
      </c>
      <c r="O734" s="2" t="s">
        <v>26</v>
      </c>
      <c r="P734" s="2" t="s">
        <v>27</v>
      </c>
      <c r="Q734" s="2" t="s">
        <v>28</v>
      </c>
      <c r="R734" s="2" t="s">
        <v>29</v>
      </c>
      <c r="S734" s="2" t="s">
        <v>30</v>
      </c>
      <c r="T734">
        <v>1298</v>
      </c>
      <c r="U734">
        <f>VLOOKUP(Auto_Sales_data___Copy[[#This Row],[CUSTOMER_NAME]],$AF$2:$AH$90,2,FALSE)</f>
        <v>49</v>
      </c>
      <c r="V734">
        <f>VLOOKUP(Auto_Sales_data___Copy[[#This Row],[CUSTOMER_NAME]],$AF$2:$AH$90,3,FALSE)</f>
        <v>164069.43999999997</v>
      </c>
      <c r="W734" s="2">
        <f>6-MATCH(Auto_Sales_data___Copy[[#This Row],[DAYS_SINCE_LAST_ORDER]],Table2[R-Cutoff],1)</f>
        <v>4</v>
      </c>
      <c r="X734" s="2">
        <f>MATCH(Auto_Sales_data___Copy[[#This Row],[Total_Orders_Per_Customer]],Table2[F-Cutoff],1)</f>
        <v>4</v>
      </c>
      <c r="Y734" s="2">
        <f>MATCH(Auto_Sales_data___Copy[[#This Row],[Total_Sales_Per_Customer]],Table2[M-Cutoff],1)</f>
        <v>4</v>
      </c>
      <c r="Z734" s="2" t="str">
        <f>Auto_Sales_data___Copy[[#This Row],[R-Score(1-5)]]&amp;Auto_Sales_data___Copy[[#This Row],[F-Score(1-5)]]&amp;Auto_Sales_data___Copy[[#This Row],[M-Score(1-5)]]</f>
        <v>444</v>
      </c>
      <c r="AA734" s="2" t="str" cm="1">
        <f t="array" ref="AA7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4" s="2" t="str">
        <f>VLOOKUP(Auto_Sales_data___Copy[[#This Row],[Segment Name]],Table3[],2,FALSE)</f>
        <v>VIP Recognitioon &amp; Inclusivity</v>
      </c>
    </row>
    <row r="735" spans="1:28" x14ac:dyDescent="0.25">
      <c r="A735">
        <v>10248</v>
      </c>
      <c r="B735">
        <v>32</v>
      </c>
      <c r="C735">
        <v>118.83</v>
      </c>
      <c r="D735">
        <v>12</v>
      </c>
      <c r="E735">
        <v>3802.56</v>
      </c>
      <c r="F735" s="1">
        <v>43592</v>
      </c>
      <c r="G735" s="2" t="s">
        <v>358</v>
      </c>
      <c r="H735" s="2" t="s">
        <v>589</v>
      </c>
      <c r="I735">
        <v>136</v>
      </c>
      <c r="J735" s="2" t="s">
        <v>648</v>
      </c>
      <c r="K735" s="2" t="s">
        <v>22</v>
      </c>
      <c r="L735" s="2" t="s">
        <v>23</v>
      </c>
      <c r="M735" s="2" t="s">
        <v>24</v>
      </c>
      <c r="N735" s="2" t="s">
        <v>25</v>
      </c>
      <c r="O735" s="2" t="s">
        <v>26</v>
      </c>
      <c r="P735" s="2" t="s">
        <v>27</v>
      </c>
      <c r="Q735" s="2" t="s">
        <v>28</v>
      </c>
      <c r="R735" s="2" t="s">
        <v>29</v>
      </c>
      <c r="S735" s="2" t="s">
        <v>46</v>
      </c>
      <c r="T735">
        <v>1350</v>
      </c>
      <c r="U735">
        <f>VLOOKUP(Auto_Sales_data___Copy[[#This Row],[CUSTOMER_NAME]],$AF$2:$AH$90,2,FALSE)</f>
        <v>49</v>
      </c>
      <c r="V735">
        <f>VLOOKUP(Auto_Sales_data___Copy[[#This Row],[CUSTOMER_NAME]],$AF$2:$AH$90,3,FALSE)</f>
        <v>164069.43999999997</v>
      </c>
      <c r="W735" s="2">
        <f>6-MATCH(Auto_Sales_data___Copy[[#This Row],[DAYS_SINCE_LAST_ORDER]],Table2[R-Cutoff],1)</f>
        <v>4</v>
      </c>
      <c r="X735" s="2">
        <f>MATCH(Auto_Sales_data___Copy[[#This Row],[Total_Orders_Per_Customer]],Table2[F-Cutoff],1)</f>
        <v>4</v>
      </c>
      <c r="Y735" s="2">
        <f>MATCH(Auto_Sales_data___Copy[[#This Row],[Total_Sales_Per_Customer]],Table2[M-Cutoff],1)</f>
        <v>4</v>
      </c>
      <c r="Z735" s="2" t="str">
        <f>Auto_Sales_data___Copy[[#This Row],[R-Score(1-5)]]&amp;Auto_Sales_data___Copy[[#This Row],[F-Score(1-5)]]&amp;Auto_Sales_data___Copy[[#This Row],[M-Score(1-5)]]</f>
        <v>444</v>
      </c>
      <c r="AA735" s="2" t="str" cm="1">
        <f t="array" ref="AA7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5" s="2" t="str">
        <f>VLOOKUP(Auto_Sales_data___Copy[[#This Row],[Segment Name]],Table3[],2,FALSE)</f>
        <v>VIP Recognitioon &amp; Inclusivity</v>
      </c>
    </row>
    <row r="736" spans="1:28" x14ac:dyDescent="0.25">
      <c r="A736">
        <v>10248</v>
      </c>
      <c r="B736">
        <v>42</v>
      </c>
      <c r="C736">
        <v>121.01</v>
      </c>
      <c r="D736">
        <v>14</v>
      </c>
      <c r="E736">
        <v>5082.42</v>
      </c>
      <c r="F736" s="1">
        <v>43592</v>
      </c>
      <c r="G736" s="2" t="s">
        <v>358</v>
      </c>
      <c r="H736" s="2" t="s">
        <v>650</v>
      </c>
      <c r="I736">
        <v>100</v>
      </c>
      <c r="J736" s="2" t="s">
        <v>651</v>
      </c>
      <c r="K736" s="2" t="s">
        <v>22</v>
      </c>
      <c r="L736" s="2" t="s">
        <v>23</v>
      </c>
      <c r="M736" s="2" t="s">
        <v>24</v>
      </c>
      <c r="N736" s="2" t="s">
        <v>25</v>
      </c>
      <c r="O736" s="2" t="s">
        <v>26</v>
      </c>
      <c r="P736" s="2" t="s">
        <v>27</v>
      </c>
      <c r="Q736" s="2" t="s">
        <v>28</v>
      </c>
      <c r="R736" s="2" t="s">
        <v>29</v>
      </c>
      <c r="S736" s="2" t="s">
        <v>46</v>
      </c>
      <c r="T736">
        <v>1426</v>
      </c>
      <c r="U736">
        <f>VLOOKUP(Auto_Sales_data___Copy[[#This Row],[CUSTOMER_NAME]],$AF$2:$AH$90,2,FALSE)</f>
        <v>49</v>
      </c>
      <c r="V736">
        <f>VLOOKUP(Auto_Sales_data___Copy[[#This Row],[CUSTOMER_NAME]],$AF$2:$AH$90,3,FALSE)</f>
        <v>164069.43999999997</v>
      </c>
      <c r="W736" s="2">
        <f>6-MATCH(Auto_Sales_data___Copy[[#This Row],[DAYS_SINCE_LAST_ORDER]],Table2[R-Cutoff],1)</f>
        <v>4</v>
      </c>
      <c r="X736" s="2">
        <f>MATCH(Auto_Sales_data___Copy[[#This Row],[Total_Orders_Per_Customer]],Table2[F-Cutoff],1)</f>
        <v>4</v>
      </c>
      <c r="Y736" s="2">
        <f>MATCH(Auto_Sales_data___Copy[[#This Row],[Total_Sales_Per_Customer]],Table2[M-Cutoff],1)</f>
        <v>4</v>
      </c>
      <c r="Z736" s="2" t="str">
        <f>Auto_Sales_data___Copy[[#This Row],[R-Score(1-5)]]&amp;Auto_Sales_data___Copy[[#This Row],[F-Score(1-5)]]&amp;Auto_Sales_data___Copy[[#This Row],[M-Score(1-5)]]</f>
        <v>444</v>
      </c>
      <c r="AA736" s="2" t="str" cm="1">
        <f t="array" ref="AA7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6" s="2" t="str">
        <f>VLOOKUP(Auto_Sales_data___Copy[[#This Row],[Segment Name]],Table3[],2,FALSE)</f>
        <v>VIP Recognitioon &amp; Inclusivity</v>
      </c>
    </row>
    <row r="737" spans="1:28" x14ac:dyDescent="0.25">
      <c r="A737">
        <v>10250</v>
      </c>
      <c r="B737">
        <v>27</v>
      </c>
      <c r="C737">
        <v>98.84</v>
      </c>
      <c r="D737">
        <v>4</v>
      </c>
      <c r="E737">
        <v>2668.68</v>
      </c>
      <c r="F737" s="1">
        <v>43596</v>
      </c>
      <c r="G737" s="2" t="s">
        <v>19</v>
      </c>
      <c r="H737" s="2" t="s">
        <v>607</v>
      </c>
      <c r="I737">
        <v>84</v>
      </c>
      <c r="J737" s="2" t="s">
        <v>636</v>
      </c>
      <c r="K737" s="2" t="s">
        <v>418</v>
      </c>
      <c r="L737" s="2" t="s">
        <v>419</v>
      </c>
      <c r="M737" s="2" t="s">
        <v>420</v>
      </c>
      <c r="N737" s="2" t="s">
        <v>421</v>
      </c>
      <c r="O737" s="2" t="s">
        <v>58</v>
      </c>
      <c r="P737" s="2" t="s">
        <v>27</v>
      </c>
      <c r="Q737" s="2" t="s">
        <v>93</v>
      </c>
      <c r="R737" s="2" t="s">
        <v>422</v>
      </c>
      <c r="S737" s="2" t="s">
        <v>30</v>
      </c>
      <c r="T737">
        <v>1145</v>
      </c>
      <c r="U737">
        <f>VLOOKUP(Auto_Sales_data___Copy[[#This Row],[CUSTOMER_NAME]],$AF$2:$AH$90,2,FALSE)</f>
        <v>40</v>
      </c>
      <c r="V737">
        <f>VLOOKUP(Auto_Sales_data___Copy[[#This Row],[CUSTOMER_NAME]],$AF$2:$AH$90,3,FALSE)</f>
        <v>160010.27000000005</v>
      </c>
      <c r="W737" s="2">
        <f>6-MATCH(Auto_Sales_data___Copy[[#This Row],[DAYS_SINCE_LAST_ORDER]],Table2[R-Cutoff],1)</f>
        <v>4</v>
      </c>
      <c r="X737" s="2">
        <f>MATCH(Auto_Sales_data___Copy[[#This Row],[Total_Orders_Per_Customer]],Table2[F-Cutoff],1)</f>
        <v>4</v>
      </c>
      <c r="Y737" s="2">
        <f>MATCH(Auto_Sales_data___Copy[[#This Row],[Total_Sales_Per_Customer]],Table2[M-Cutoff],1)</f>
        <v>4</v>
      </c>
      <c r="Z737" s="2" t="str">
        <f>Auto_Sales_data___Copy[[#This Row],[R-Score(1-5)]]&amp;Auto_Sales_data___Copy[[#This Row],[F-Score(1-5)]]&amp;Auto_Sales_data___Copy[[#This Row],[M-Score(1-5)]]</f>
        <v>444</v>
      </c>
      <c r="AA737" s="2" t="str" cm="1">
        <f t="array" ref="AA7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7" s="2" t="str">
        <f>VLOOKUP(Auto_Sales_data___Copy[[#This Row],[Segment Name]],Table3[],2,FALSE)</f>
        <v>VIP Recognitioon &amp; Inclusivity</v>
      </c>
    </row>
    <row r="738" spans="1:28" x14ac:dyDescent="0.25">
      <c r="A738">
        <v>10253</v>
      </c>
      <c r="B738">
        <v>23</v>
      </c>
      <c r="C738">
        <v>83.93</v>
      </c>
      <c r="D738">
        <v>9</v>
      </c>
      <c r="E738">
        <v>1930.39</v>
      </c>
      <c r="F738" s="1">
        <v>43617</v>
      </c>
      <c r="G738" s="2" t="s">
        <v>358</v>
      </c>
      <c r="H738" s="2" t="s">
        <v>183</v>
      </c>
      <c r="I738">
        <v>77</v>
      </c>
      <c r="J738" s="2" t="s">
        <v>629</v>
      </c>
      <c r="K738" s="2" t="s">
        <v>166</v>
      </c>
      <c r="L738" s="2" t="s">
        <v>167</v>
      </c>
      <c r="M738" s="2" t="s">
        <v>168</v>
      </c>
      <c r="N738" s="2" t="s">
        <v>169</v>
      </c>
      <c r="O738" s="2" t="s">
        <v>170</v>
      </c>
      <c r="P738" s="2" t="s">
        <v>171</v>
      </c>
      <c r="Q738" s="2" t="s">
        <v>172</v>
      </c>
      <c r="R738" s="2" t="s">
        <v>173</v>
      </c>
      <c r="S738" s="2" t="s">
        <v>30</v>
      </c>
      <c r="T738">
        <v>950</v>
      </c>
      <c r="U738">
        <f>VLOOKUP(Auto_Sales_data___Copy[[#This Row],[CUSTOMER_NAME]],$AF$2:$AH$90,2,FALSE)</f>
        <v>29</v>
      </c>
      <c r="V738">
        <f>VLOOKUP(Auto_Sales_data___Copy[[#This Row],[CUSTOMER_NAME]],$AF$2:$AH$90,3,FALSE)</f>
        <v>118008.26999999999</v>
      </c>
      <c r="W738" s="2">
        <f>6-MATCH(Auto_Sales_data___Copy[[#This Row],[DAYS_SINCE_LAST_ORDER]],Table2[R-Cutoff],1)</f>
        <v>4</v>
      </c>
      <c r="X738" s="2">
        <f>MATCH(Auto_Sales_data___Copy[[#This Row],[Total_Orders_Per_Customer]],Table2[F-Cutoff],1)</f>
        <v>4</v>
      </c>
      <c r="Y738" s="2">
        <f>MATCH(Auto_Sales_data___Copy[[#This Row],[Total_Sales_Per_Customer]],Table2[M-Cutoff],1)</f>
        <v>4</v>
      </c>
      <c r="Z738" s="2" t="str">
        <f>Auto_Sales_data___Copy[[#This Row],[R-Score(1-5)]]&amp;Auto_Sales_data___Copy[[#This Row],[F-Score(1-5)]]&amp;Auto_Sales_data___Copy[[#This Row],[M-Score(1-5)]]</f>
        <v>444</v>
      </c>
      <c r="AA738" s="2" t="str" cm="1">
        <f t="array" ref="AA7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8" s="2" t="str">
        <f>VLOOKUP(Auto_Sales_data___Copy[[#This Row],[Segment Name]],Table3[],2,FALSE)</f>
        <v>VIP Recognitioon &amp; Inclusivity</v>
      </c>
    </row>
    <row r="739" spans="1:28" x14ac:dyDescent="0.25">
      <c r="A739">
        <v>10253</v>
      </c>
      <c r="B739">
        <v>33</v>
      </c>
      <c r="C739">
        <v>135.13999999999999</v>
      </c>
      <c r="D739">
        <v>4</v>
      </c>
      <c r="E739">
        <v>4459.62</v>
      </c>
      <c r="F739" s="1">
        <v>43617</v>
      </c>
      <c r="G739" s="2" t="s">
        <v>358</v>
      </c>
      <c r="H739" s="2" t="s">
        <v>183</v>
      </c>
      <c r="I739">
        <v>142</v>
      </c>
      <c r="J739" s="2" t="s">
        <v>630</v>
      </c>
      <c r="K739" s="2" t="s">
        <v>166</v>
      </c>
      <c r="L739" s="2" t="s">
        <v>167</v>
      </c>
      <c r="M739" s="2" t="s">
        <v>168</v>
      </c>
      <c r="N739" s="2" t="s">
        <v>169</v>
      </c>
      <c r="O739" s="2" t="s">
        <v>170</v>
      </c>
      <c r="P739" s="2" t="s">
        <v>171</v>
      </c>
      <c r="Q739" s="2" t="s">
        <v>172</v>
      </c>
      <c r="R739" s="2" t="s">
        <v>173</v>
      </c>
      <c r="S739" s="2" t="s">
        <v>46</v>
      </c>
      <c r="T739">
        <v>976</v>
      </c>
      <c r="U739">
        <f>VLOOKUP(Auto_Sales_data___Copy[[#This Row],[CUSTOMER_NAME]],$AF$2:$AH$90,2,FALSE)</f>
        <v>29</v>
      </c>
      <c r="V739">
        <f>VLOOKUP(Auto_Sales_data___Copy[[#This Row],[CUSTOMER_NAME]],$AF$2:$AH$90,3,FALSE)</f>
        <v>118008.26999999999</v>
      </c>
      <c r="W739" s="2">
        <f>6-MATCH(Auto_Sales_data___Copy[[#This Row],[DAYS_SINCE_LAST_ORDER]],Table2[R-Cutoff],1)</f>
        <v>4</v>
      </c>
      <c r="X739" s="2">
        <f>MATCH(Auto_Sales_data___Copy[[#This Row],[Total_Orders_Per_Customer]],Table2[F-Cutoff],1)</f>
        <v>4</v>
      </c>
      <c r="Y739" s="2">
        <f>MATCH(Auto_Sales_data___Copy[[#This Row],[Total_Sales_Per_Customer]],Table2[M-Cutoff],1)</f>
        <v>4</v>
      </c>
      <c r="Z739" s="2" t="str">
        <f>Auto_Sales_data___Copy[[#This Row],[R-Score(1-5)]]&amp;Auto_Sales_data___Copy[[#This Row],[F-Score(1-5)]]&amp;Auto_Sales_data___Copy[[#This Row],[M-Score(1-5)]]</f>
        <v>444</v>
      </c>
      <c r="AA739" s="2" t="str" cm="1">
        <f t="array" ref="AA7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9" s="2" t="str">
        <f>VLOOKUP(Auto_Sales_data___Copy[[#This Row],[Segment Name]],Table3[],2,FALSE)</f>
        <v>VIP Recognitioon &amp; Inclusivity</v>
      </c>
    </row>
    <row r="740" spans="1:28" x14ac:dyDescent="0.25">
      <c r="A740">
        <v>10253</v>
      </c>
      <c r="B740">
        <v>37</v>
      </c>
      <c r="C740">
        <v>139.91999999999999</v>
      </c>
      <c r="D740">
        <v>2</v>
      </c>
      <c r="E740">
        <v>5177.04</v>
      </c>
      <c r="F740" s="1">
        <v>43617</v>
      </c>
      <c r="G740" s="2" t="s">
        <v>358</v>
      </c>
      <c r="H740" s="2" t="s">
        <v>183</v>
      </c>
      <c r="I740">
        <v>132</v>
      </c>
      <c r="J740" s="2" t="s">
        <v>639</v>
      </c>
      <c r="K740" s="2" t="s">
        <v>166</v>
      </c>
      <c r="L740" s="2" t="s">
        <v>167</v>
      </c>
      <c r="M740" s="2" t="s">
        <v>168</v>
      </c>
      <c r="N740" s="2" t="s">
        <v>169</v>
      </c>
      <c r="O740" s="2" t="s">
        <v>170</v>
      </c>
      <c r="P740" s="2" t="s">
        <v>171</v>
      </c>
      <c r="Q740" s="2" t="s">
        <v>172</v>
      </c>
      <c r="R740" s="2" t="s">
        <v>173</v>
      </c>
      <c r="S740" s="2" t="s">
        <v>46</v>
      </c>
      <c r="T740">
        <v>1200</v>
      </c>
      <c r="U740">
        <f>VLOOKUP(Auto_Sales_data___Copy[[#This Row],[CUSTOMER_NAME]],$AF$2:$AH$90,2,FALSE)</f>
        <v>29</v>
      </c>
      <c r="V740">
        <f>VLOOKUP(Auto_Sales_data___Copy[[#This Row],[CUSTOMER_NAME]],$AF$2:$AH$90,3,FALSE)</f>
        <v>118008.26999999999</v>
      </c>
      <c r="W740" s="2">
        <f>6-MATCH(Auto_Sales_data___Copy[[#This Row],[DAYS_SINCE_LAST_ORDER]],Table2[R-Cutoff],1)</f>
        <v>4</v>
      </c>
      <c r="X740" s="2">
        <f>MATCH(Auto_Sales_data___Copy[[#This Row],[Total_Orders_Per_Customer]],Table2[F-Cutoff],1)</f>
        <v>4</v>
      </c>
      <c r="Y740" s="2">
        <f>MATCH(Auto_Sales_data___Copy[[#This Row],[Total_Sales_Per_Customer]],Table2[M-Cutoff],1)</f>
        <v>4</v>
      </c>
      <c r="Z740" s="2" t="str">
        <f>Auto_Sales_data___Copy[[#This Row],[R-Score(1-5)]]&amp;Auto_Sales_data___Copy[[#This Row],[F-Score(1-5)]]&amp;Auto_Sales_data___Copy[[#This Row],[M-Score(1-5)]]</f>
        <v>444</v>
      </c>
      <c r="AA740" s="2" t="str" cm="1">
        <f t="array" ref="AA7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0" s="2" t="str">
        <f>VLOOKUP(Auto_Sales_data___Copy[[#This Row],[Segment Name]],Table3[],2,FALSE)</f>
        <v>VIP Recognitioon &amp; Inclusivity</v>
      </c>
    </row>
    <row r="741" spans="1:28" x14ac:dyDescent="0.25">
      <c r="A741">
        <v>10253</v>
      </c>
      <c r="B741">
        <v>40</v>
      </c>
      <c r="C741">
        <v>169.34</v>
      </c>
      <c r="D741">
        <v>6</v>
      </c>
      <c r="E741">
        <v>6773.6</v>
      </c>
      <c r="F741" s="1">
        <v>43617</v>
      </c>
      <c r="G741" s="2" t="s">
        <v>358</v>
      </c>
      <c r="H741" s="2" t="s">
        <v>183</v>
      </c>
      <c r="I741">
        <v>169</v>
      </c>
      <c r="J741" s="2" t="s">
        <v>649</v>
      </c>
      <c r="K741" s="2" t="s">
        <v>166</v>
      </c>
      <c r="L741" s="2" t="s">
        <v>167</v>
      </c>
      <c r="M741" s="2" t="s">
        <v>168</v>
      </c>
      <c r="N741" s="2" t="s">
        <v>169</v>
      </c>
      <c r="O741" s="2" t="s">
        <v>170</v>
      </c>
      <c r="P741" s="2" t="s">
        <v>171</v>
      </c>
      <c r="Q741" s="2" t="s">
        <v>172</v>
      </c>
      <c r="R741" s="2" t="s">
        <v>173</v>
      </c>
      <c r="S741" s="2" t="s">
        <v>46</v>
      </c>
      <c r="T741">
        <v>1361</v>
      </c>
      <c r="U741">
        <f>VLOOKUP(Auto_Sales_data___Copy[[#This Row],[CUSTOMER_NAME]],$AF$2:$AH$90,2,FALSE)</f>
        <v>29</v>
      </c>
      <c r="V741">
        <f>VLOOKUP(Auto_Sales_data___Copy[[#This Row],[CUSTOMER_NAME]],$AF$2:$AH$90,3,FALSE)</f>
        <v>118008.26999999999</v>
      </c>
      <c r="W741" s="2">
        <f>6-MATCH(Auto_Sales_data___Copy[[#This Row],[DAYS_SINCE_LAST_ORDER]],Table2[R-Cutoff],1)</f>
        <v>4</v>
      </c>
      <c r="X741" s="2">
        <f>MATCH(Auto_Sales_data___Copy[[#This Row],[Total_Orders_Per_Customer]],Table2[F-Cutoff],1)</f>
        <v>4</v>
      </c>
      <c r="Y741" s="2">
        <f>MATCH(Auto_Sales_data___Copy[[#This Row],[Total_Sales_Per_Customer]],Table2[M-Cutoff],1)</f>
        <v>4</v>
      </c>
      <c r="Z741" s="2" t="str">
        <f>Auto_Sales_data___Copy[[#This Row],[R-Score(1-5)]]&amp;Auto_Sales_data___Copy[[#This Row],[F-Score(1-5)]]&amp;Auto_Sales_data___Copy[[#This Row],[M-Score(1-5)]]</f>
        <v>444</v>
      </c>
      <c r="AA741" s="2" t="str" cm="1">
        <f t="array" ref="AA7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1" s="2" t="str">
        <f>VLOOKUP(Auto_Sales_data___Copy[[#This Row],[Segment Name]],Table3[],2,FALSE)</f>
        <v>VIP Recognitioon &amp; Inclusivity</v>
      </c>
    </row>
    <row r="742" spans="1:28" x14ac:dyDescent="0.25">
      <c r="A742">
        <v>10257</v>
      </c>
      <c r="B742">
        <v>50</v>
      </c>
      <c r="C742">
        <v>88.14</v>
      </c>
      <c r="D742">
        <v>1</v>
      </c>
      <c r="E742">
        <v>4407</v>
      </c>
      <c r="F742" s="1">
        <v>43630</v>
      </c>
      <c r="G742" s="2" t="s">
        <v>19</v>
      </c>
      <c r="H742" s="2" t="s">
        <v>589</v>
      </c>
      <c r="I742">
        <v>101</v>
      </c>
      <c r="J742" s="2" t="s">
        <v>640</v>
      </c>
      <c r="K742" s="2" t="s">
        <v>418</v>
      </c>
      <c r="L742" s="2" t="s">
        <v>419</v>
      </c>
      <c r="M742" s="2" t="s">
        <v>420</v>
      </c>
      <c r="N742" s="2" t="s">
        <v>421</v>
      </c>
      <c r="O742" s="2" t="s">
        <v>58</v>
      </c>
      <c r="P742" s="2" t="s">
        <v>27</v>
      </c>
      <c r="Q742" s="2" t="s">
        <v>93</v>
      </c>
      <c r="R742" s="2" t="s">
        <v>422</v>
      </c>
      <c r="S742" s="2" t="s">
        <v>46</v>
      </c>
      <c r="T742">
        <v>1213</v>
      </c>
      <c r="U742">
        <f>VLOOKUP(Auto_Sales_data___Copy[[#This Row],[CUSTOMER_NAME]],$AF$2:$AH$90,2,FALSE)</f>
        <v>40</v>
      </c>
      <c r="V742">
        <f>VLOOKUP(Auto_Sales_data___Copy[[#This Row],[CUSTOMER_NAME]],$AF$2:$AH$90,3,FALSE)</f>
        <v>160010.27000000005</v>
      </c>
      <c r="W742" s="2">
        <f>6-MATCH(Auto_Sales_data___Copy[[#This Row],[DAYS_SINCE_LAST_ORDER]],Table2[R-Cutoff],1)</f>
        <v>4</v>
      </c>
      <c r="X742" s="2">
        <f>MATCH(Auto_Sales_data___Copy[[#This Row],[Total_Orders_Per_Customer]],Table2[F-Cutoff],1)</f>
        <v>4</v>
      </c>
      <c r="Y742" s="2">
        <f>MATCH(Auto_Sales_data___Copy[[#This Row],[Total_Sales_Per_Customer]],Table2[M-Cutoff],1)</f>
        <v>4</v>
      </c>
      <c r="Z742" s="2" t="str">
        <f>Auto_Sales_data___Copy[[#This Row],[R-Score(1-5)]]&amp;Auto_Sales_data___Copy[[#This Row],[F-Score(1-5)]]&amp;Auto_Sales_data___Copy[[#This Row],[M-Score(1-5)]]</f>
        <v>444</v>
      </c>
      <c r="AA742" s="2" t="str" cm="1">
        <f t="array" ref="AA7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2" s="2" t="str">
        <f>VLOOKUP(Auto_Sales_data___Copy[[#This Row],[Segment Name]],Table3[],2,FALSE)</f>
        <v>VIP Recognitioon &amp; Inclusivity</v>
      </c>
    </row>
    <row r="743" spans="1:28" x14ac:dyDescent="0.25">
      <c r="A743">
        <v>10257</v>
      </c>
      <c r="B743">
        <v>49</v>
      </c>
      <c r="C743">
        <v>53.72</v>
      </c>
      <c r="D743">
        <v>3</v>
      </c>
      <c r="E743">
        <v>2632.28</v>
      </c>
      <c r="F743" s="1">
        <v>43630</v>
      </c>
      <c r="G743" s="2" t="s">
        <v>19</v>
      </c>
      <c r="H743" s="2" t="s">
        <v>589</v>
      </c>
      <c r="I743">
        <v>62</v>
      </c>
      <c r="J743" s="2" t="s">
        <v>641</v>
      </c>
      <c r="K743" s="2" t="s">
        <v>418</v>
      </c>
      <c r="L743" s="2" t="s">
        <v>419</v>
      </c>
      <c r="M743" s="2" t="s">
        <v>420</v>
      </c>
      <c r="N743" s="2" t="s">
        <v>421</v>
      </c>
      <c r="O743" s="2" t="s">
        <v>58</v>
      </c>
      <c r="P743" s="2" t="s">
        <v>27</v>
      </c>
      <c r="Q743" s="2" t="s">
        <v>93</v>
      </c>
      <c r="R743" s="2" t="s">
        <v>422</v>
      </c>
      <c r="S743" s="2" t="s">
        <v>30</v>
      </c>
      <c r="T743">
        <v>1237</v>
      </c>
      <c r="U743">
        <f>VLOOKUP(Auto_Sales_data___Copy[[#This Row],[CUSTOMER_NAME]],$AF$2:$AH$90,2,FALSE)</f>
        <v>40</v>
      </c>
      <c r="V743">
        <f>VLOOKUP(Auto_Sales_data___Copy[[#This Row],[CUSTOMER_NAME]],$AF$2:$AH$90,3,FALSE)</f>
        <v>160010.27000000005</v>
      </c>
      <c r="W743" s="2">
        <f>6-MATCH(Auto_Sales_data___Copy[[#This Row],[DAYS_SINCE_LAST_ORDER]],Table2[R-Cutoff],1)</f>
        <v>4</v>
      </c>
      <c r="X743" s="2">
        <f>MATCH(Auto_Sales_data___Copy[[#This Row],[Total_Orders_Per_Customer]],Table2[F-Cutoff],1)</f>
        <v>4</v>
      </c>
      <c r="Y743" s="2">
        <f>MATCH(Auto_Sales_data___Copy[[#This Row],[Total_Sales_Per_Customer]],Table2[M-Cutoff],1)</f>
        <v>4</v>
      </c>
      <c r="Z743" s="2" t="str">
        <f>Auto_Sales_data___Copy[[#This Row],[R-Score(1-5)]]&amp;Auto_Sales_data___Copy[[#This Row],[F-Score(1-5)]]&amp;Auto_Sales_data___Copy[[#This Row],[M-Score(1-5)]]</f>
        <v>444</v>
      </c>
      <c r="AA743" s="2" t="str" cm="1">
        <f t="array" ref="AA7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3" s="2" t="str">
        <f>VLOOKUP(Auto_Sales_data___Copy[[#This Row],[Segment Name]],Table3[],2,FALSE)</f>
        <v>VIP Recognitioon &amp; Inclusivity</v>
      </c>
    </row>
    <row r="744" spans="1:28" x14ac:dyDescent="0.25">
      <c r="A744">
        <v>10257</v>
      </c>
      <c r="B744">
        <v>37</v>
      </c>
      <c r="C744">
        <v>84.82</v>
      </c>
      <c r="D744">
        <v>2</v>
      </c>
      <c r="E744">
        <v>3138.34</v>
      </c>
      <c r="F744" s="1">
        <v>43630</v>
      </c>
      <c r="G744" s="2" t="s">
        <v>19</v>
      </c>
      <c r="H744" s="2" t="s">
        <v>589</v>
      </c>
      <c r="I744">
        <v>104</v>
      </c>
      <c r="J744" s="2" t="s">
        <v>647</v>
      </c>
      <c r="K744" s="2" t="s">
        <v>418</v>
      </c>
      <c r="L744" s="2" t="s">
        <v>419</v>
      </c>
      <c r="M744" s="2" t="s">
        <v>420</v>
      </c>
      <c r="N744" s="2" t="s">
        <v>421</v>
      </c>
      <c r="O744" s="2" t="s">
        <v>58</v>
      </c>
      <c r="P744" s="2" t="s">
        <v>27</v>
      </c>
      <c r="Q744" s="2" t="s">
        <v>93</v>
      </c>
      <c r="R744" s="2" t="s">
        <v>422</v>
      </c>
      <c r="S744" s="2" t="s">
        <v>46</v>
      </c>
      <c r="T744">
        <v>1287</v>
      </c>
      <c r="U744">
        <f>VLOOKUP(Auto_Sales_data___Copy[[#This Row],[CUSTOMER_NAME]],$AF$2:$AH$90,2,FALSE)</f>
        <v>40</v>
      </c>
      <c r="V744">
        <f>VLOOKUP(Auto_Sales_data___Copy[[#This Row],[CUSTOMER_NAME]],$AF$2:$AH$90,3,FALSE)</f>
        <v>160010.27000000005</v>
      </c>
      <c r="W744" s="2">
        <f>6-MATCH(Auto_Sales_data___Copy[[#This Row],[DAYS_SINCE_LAST_ORDER]],Table2[R-Cutoff],1)</f>
        <v>4</v>
      </c>
      <c r="X744" s="2">
        <f>MATCH(Auto_Sales_data___Copy[[#This Row],[Total_Orders_Per_Customer]],Table2[F-Cutoff],1)</f>
        <v>4</v>
      </c>
      <c r="Y744" s="2">
        <f>MATCH(Auto_Sales_data___Copy[[#This Row],[Total_Sales_Per_Customer]],Table2[M-Cutoff],1)</f>
        <v>4</v>
      </c>
      <c r="Z744" s="2" t="str">
        <f>Auto_Sales_data___Copy[[#This Row],[R-Score(1-5)]]&amp;Auto_Sales_data___Copy[[#This Row],[F-Score(1-5)]]&amp;Auto_Sales_data___Copy[[#This Row],[M-Score(1-5)]]</f>
        <v>444</v>
      </c>
      <c r="AA744" s="2" t="str" cm="1">
        <f t="array" ref="AA7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4" s="2" t="str">
        <f>VLOOKUP(Auto_Sales_data___Copy[[#This Row],[Segment Name]],Table3[],2,FALSE)</f>
        <v>VIP Recognitioon &amp; Inclusivity</v>
      </c>
    </row>
    <row r="745" spans="1:28" x14ac:dyDescent="0.25">
      <c r="A745">
        <v>10257</v>
      </c>
      <c r="B745">
        <v>26</v>
      </c>
      <c r="C745">
        <v>89.29</v>
      </c>
      <c r="D745">
        <v>5</v>
      </c>
      <c r="E745">
        <v>2321.54</v>
      </c>
      <c r="F745" s="1">
        <v>43630</v>
      </c>
      <c r="G745" s="2" t="s">
        <v>19</v>
      </c>
      <c r="H745" s="2" t="s">
        <v>589</v>
      </c>
      <c r="I745">
        <v>99</v>
      </c>
      <c r="J745" s="2" t="s">
        <v>653</v>
      </c>
      <c r="K745" s="2" t="s">
        <v>418</v>
      </c>
      <c r="L745" s="2" t="s">
        <v>419</v>
      </c>
      <c r="M745" s="2" t="s">
        <v>420</v>
      </c>
      <c r="N745" s="2" t="s">
        <v>421</v>
      </c>
      <c r="O745" s="2" t="s">
        <v>58</v>
      </c>
      <c r="P745" s="2" t="s">
        <v>27</v>
      </c>
      <c r="Q745" s="2" t="s">
        <v>93</v>
      </c>
      <c r="R745" s="2" t="s">
        <v>422</v>
      </c>
      <c r="S745" s="2" t="s">
        <v>30</v>
      </c>
      <c r="T745">
        <v>1436</v>
      </c>
      <c r="U745">
        <f>VLOOKUP(Auto_Sales_data___Copy[[#This Row],[CUSTOMER_NAME]],$AF$2:$AH$90,2,FALSE)</f>
        <v>40</v>
      </c>
      <c r="V745">
        <f>VLOOKUP(Auto_Sales_data___Copy[[#This Row],[CUSTOMER_NAME]],$AF$2:$AH$90,3,FALSE)</f>
        <v>160010.27000000005</v>
      </c>
      <c r="W745" s="2">
        <f>6-MATCH(Auto_Sales_data___Copy[[#This Row],[DAYS_SINCE_LAST_ORDER]],Table2[R-Cutoff],1)</f>
        <v>4</v>
      </c>
      <c r="X745" s="2">
        <f>MATCH(Auto_Sales_data___Copy[[#This Row],[Total_Orders_Per_Customer]],Table2[F-Cutoff],1)</f>
        <v>4</v>
      </c>
      <c r="Y745" s="2">
        <f>MATCH(Auto_Sales_data___Copy[[#This Row],[Total_Sales_Per_Customer]],Table2[M-Cutoff],1)</f>
        <v>4</v>
      </c>
      <c r="Z745" s="2" t="str">
        <f>Auto_Sales_data___Copy[[#This Row],[R-Score(1-5)]]&amp;Auto_Sales_data___Copy[[#This Row],[F-Score(1-5)]]&amp;Auto_Sales_data___Copy[[#This Row],[M-Score(1-5)]]</f>
        <v>444</v>
      </c>
      <c r="AA745" s="2" t="str" cm="1">
        <f t="array" ref="AA7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5" s="2" t="str">
        <f>VLOOKUP(Auto_Sales_data___Copy[[#This Row],[Segment Name]],Table3[],2,FALSE)</f>
        <v>VIP Recognitioon &amp; Inclusivity</v>
      </c>
    </row>
    <row r="746" spans="1:28" x14ac:dyDescent="0.25">
      <c r="A746">
        <v>10259</v>
      </c>
      <c r="B746">
        <v>30</v>
      </c>
      <c r="C746">
        <v>189.93</v>
      </c>
      <c r="D746">
        <v>3</v>
      </c>
      <c r="E746">
        <v>5697.9</v>
      </c>
      <c r="F746" s="1">
        <v>43631</v>
      </c>
      <c r="G746" s="2" t="s">
        <v>19</v>
      </c>
      <c r="H746" s="2" t="s">
        <v>183</v>
      </c>
      <c r="I746">
        <v>163</v>
      </c>
      <c r="J746" s="2" t="s">
        <v>631</v>
      </c>
      <c r="K746" s="2" t="s">
        <v>443</v>
      </c>
      <c r="L746" s="2" t="s">
        <v>444</v>
      </c>
      <c r="M746" s="2" t="s">
        <v>445</v>
      </c>
      <c r="N746" s="2" t="s">
        <v>202</v>
      </c>
      <c r="O746" s="2" t="s">
        <v>446</v>
      </c>
      <c r="P746" s="2" t="s">
        <v>202</v>
      </c>
      <c r="Q746" s="2" t="s">
        <v>447</v>
      </c>
      <c r="R746" s="2" t="s">
        <v>448</v>
      </c>
      <c r="S746" s="2" t="s">
        <v>46</v>
      </c>
      <c r="T746">
        <v>990</v>
      </c>
      <c r="U746">
        <f>VLOOKUP(Auto_Sales_data___Copy[[#This Row],[CUSTOMER_NAME]],$AF$2:$AH$90,2,FALSE)</f>
        <v>36</v>
      </c>
      <c r="V746">
        <f>VLOOKUP(Auto_Sales_data___Copy[[#This Row],[CUSTOMER_NAME]],$AF$2:$AH$90,3,FALSE)</f>
        <v>115498.72999999998</v>
      </c>
      <c r="W746" s="2">
        <f>6-MATCH(Auto_Sales_data___Copy[[#This Row],[DAYS_SINCE_LAST_ORDER]],Table2[R-Cutoff],1)</f>
        <v>4</v>
      </c>
      <c r="X746" s="2">
        <f>MATCH(Auto_Sales_data___Copy[[#This Row],[Total_Orders_Per_Customer]],Table2[F-Cutoff],1)</f>
        <v>4</v>
      </c>
      <c r="Y746" s="2">
        <f>MATCH(Auto_Sales_data___Copy[[#This Row],[Total_Sales_Per_Customer]],Table2[M-Cutoff],1)</f>
        <v>4</v>
      </c>
      <c r="Z746" s="2" t="str">
        <f>Auto_Sales_data___Copy[[#This Row],[R-Score(1-5)]]&amp;Auto_Sales_data___Copy[[#This Row],[F-Score(1-5)]]&amp;Auto_Sales_data___Copy[[#This Row],[M-Score(1-5)]]</f>
        <v>444</v>
      </c>
      <c r="AA746" s="2" t="str" cm="1">
        <f t="array" ref="AA7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6" s="2" t="str">
        <f>VLOOKUP(Auto_Sales_data___Copy[[#This Row],[Segment Name]],Table3[],2,FALSE)</f>
        <v>VIP Recognitioon &amp; Inclusivity</v>
      </c>
    </row>
    <row r="747" spans="1:28" x14ac:dyDescent="0.25">
      <c r="A747">
        <v>10259</v>
      </c>
      <c r="B747">
        <v>34</v>
      </c>
      <c r="C747">
        <v>99.41</v>
      </c>
      <c r="D747">
        <v>7</v>
      </c>
      <c r="E747">
        <v>3379.94</v>
      </c>
      <c r="F747" s="1">
        <v>43631</v>
      </c>
      <c r="G747" s="2" t="s">
        <v>19</v>
      </c>
      <c r="H747" s="2" t="s">
        <v>537</v>
      </c>
      <c r="I747">
        <v>122</v>
      </c>
      <c r="J747" s="2" t="s">
        <v>633</v>
      </c>
      <c r="K747" s="2" t="s">
        <v>443</v>
      </c>
      <c r="L747" s="2" t="s">
        <v>444</v>
      </c>
      <c r="M747" s="2" t="s">
        <v>445</v>
      </c>
      <c r="N747" s="2" t="s">
        <v>202</v>
      </c>
      <c r="O747" s="2" t="s">
        <v>446</v>
      </c>
      <c r="P747" s="2" t="s">
        <v>202</v>
      </c>
      <c r="Q747" s="2" t="s">
        <v>447</v>
      </c>
      <c r="R747" s="2" t="s">
        <v>448</v>
      </c>
      <c r="S747" s="2" t="s">
        <v>46</v>
      </c>
      <c r="T747">
        <v>1037</v>
      </c>
      <c r="U747">
        <f>VLOOKUP(Auto_Sales_data___Copy[[#This Row],[CUSTOMER_NAME]],$AF$2:$AH$90,2,FALSE)</f>
        <v>36</v>
      </c>
      <c r="V747">
        <f>VLOOKUP(Auto_Sales_data___Copy[[#This Row],[CUSTOMER_NAME]],$AF$2:$AH$90,3,FALSE)</f>
        <v>115498.72999999998</v>
      </c>
      <c r="W747" s="2">
        <f>6-MATCH(Auto_Sales_data___Copy[[#This Row],[DAYS_SINCE_LAST_ORDER]],Table2[R-Cutoff],1)</f>
        <v>4</v>
      </c>
      <c r="X747" s="2">
        <f>MATCH(Auto_Sales_data___Copy[[#This Row],[Total_Orders_Per_Customer]],Table2[F-Cutoff],1)</f>
        <v>4</v>
      </c>
      <c r="Y747" s="2">
        <f>MATCH(Auto_Sales_data___Copy[[#This Row],[Total_Sales_Per_Customer]],Table2[M-Cutoff],1)</f>
        <v>4</v>
      </c>
      <c r="Z747" s="2" t="str">
        <f>Auto_Sales_data___Copy[[#This Row],[R-Score(1-5)]]&amp;Auto_Sales_data___Copy[[#This Row],[F-Score(1-5)]]&amp;Auto_Sales_data___Copy[[#This Row],[M-Score(1-5)]]</f>
        <v>444</v>
      </c>
      <c r="AA747" s="2" t="str" cm="1">
        <f t="array" ref="AA7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7" s="2" t="str">
        <f>VLOOKUP(Auto_Sales_data___Copy[[#This Row],[Segment Name]],Table3[],2,FALSE)</f>
        <v>VIP Recognitioon &amp; Inclusivity</v>
      </c>
    </row>
    <row r="748" spans="1:28" x14ac:dyDescent="0.25">
      <c r="A748">
        <v>10259</v>
      </c>
      <c r="B748">
        <v>30</v>
      </c>
      <c r="C748">
        <v>49.22</v>
      </c>
      <c r="D748">
        <v>10</v>
      </c>
      <c r="E748">
        <v>1476.6</v>
      </c>
      <c r="F748" s="1">
        <v>43631</v>
      </c>
      <c r="G748" s="2" t="s">
        <v>19</v>
      </c>
      <c r="H748" s="2" t="s">
        <v>537</v>
      </c>
      <c r="I748">
        <v>60</v>
      </c>
      <c r="J748" s="2" t="s">
        <v>635</v>
      </c>
      <c r="K748" s="2" t="s">
        <v>443</v>
      </c>
      <c r="L748" s="2" t="s">
        <v>444</v>
      </c>
      <c r="M748" s="2" t="s">
        <v>445</v>
      </c>
      <c r="N748" s="2" t="s">
        <v>202</v>
      </c>
      <c r="O748" s="2" t="s">
        <v>446</v>
      </c>
      <c r="P748" s="2" t="s">
        <v>202</v>
      </c>
      <c r="Q748" s="2" t="s">
        <v>447</v>
      </c>
      <c r="R748" s="2" t="s">
        <v>448</v>
      </c>
      <c r="S748" s="2" t="s">
        <v>30</v>
      </c>
      <c r="T748">
        <v>1088</v>
      </c>
      <c r="U748">
        <f>VLOOKUP(Auto_Sales_data___Copy[[#This Row],[CUSTOMER_NAME]],$AF$2:$AH$90,2,FALSE)</f>
        <v>36</v>
      </c>
      <c r="V748">
        <f>VLOOKUP(Auto_Sales_data___Copy[[#This Row],[CUSTOMER_NAME]],$AF$2:$AH$90,3,FALSE)</f>
        <v>115498.72999999998</v>
      </c>
      <c r="W748" s="2">
        <f>6-MATCH(Auto_Sales_data___Copy[[#This Row],[DAYS_SINCE_LAST_ORDER]],Table2[R-Cutoff],1)</f>
        <v>4</v>
      </c>
      <c r="X748" s="2">
        <f>MATCH(Auto_Sales_data___Copy[[#This Row],[Total_Orders_Per_Customer]],Table2[F-Cutoff],1)</f>
        <v>4</v>
      </c>
      <c r="Y748" s="2">
        <f>MATCH(Auto_Sales_data___Copy[[#This Row],[Total_Sales_Per_Customer]],Table2[M-Cutoff],1)</f>
        <v>4</v>
      </c>
      <c r="Z748" s="2" t="str">
        <f>Auto_Sales_data___Copy[[#This Row],[R-Score(1-5)]]&amp;Auto_Sales_data___Copy[[#This Row],[F-Score(1-5)]]&amp;Auto_Sales_data___Copy[[#This Row],[M-Score(1-5)]]</f>
        <v>444</v>
      </c>
      <c r="AA748" s="2" t="str" cm="1">
        <f t="array" ref="AA7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8" s="2" t="str">
        <f>VLOOKUP(Auto_Sales_data___Copy[[#This Row],[Segment Name]],Table3[],2,FALSE)</f>
        <v>VIP Recognitioon &amp; Inclusivity</v>
      </c>
    </row>
    <row r="749" spans="1:28" x14ac:dyDescent="0.25">
      <c r="A749">
        <v>10259</v>
      </c>
      <c r="B749">
        <v>27</v>
      </c>
      <c r="C749">
        <v>135.47</v>
      </c>
      <c r="D749">
        <v>8</v>
      </c>
      <c r="E749">
        <v>3657.69</v>
      </c>
      <c r="F749" s="1">
        <v>43631</v>
      </c>
      <c r="G749" s="2" t="s">
        <v>19</v>
      </c>
      <c r="H749" s="2" t="s">
        <v>183</v>
      </c>
      <c r="I749">
        <v>169</v>
      </c>
      <c r="J749" s="2" t="s">
        <v>649</v>
      </c>
      <c r="K749" s="2" t="s">
        <v>443</v>
      </c>
      <c r="L749" s="2" t="s">
        <v>444</v>
      </c>
      <c r="M749" s="2" t="s">
        <v>445</v>
      </c>
      <c r="N749" s="2" t="s">
        <v>202</v>
      </c>
      <c r="O749" s="2" t="s">
        <v>446</v>
      </c>
      <c r="P749" s="2" t="s">
        <v>202</v>
      </c>
      <c r="Q749" s="2" t="s">
        <v>447</v>
      </c>
      <c r="R749" s="2" t="s">
        <v>448</v>
      </c>
      <c r="S749" s="2" t="s">
        <v>46</v>
      </c>
      <c r="T749">
        <v>1348</v>
      </c>
      <c r="U749">
        <f>VLOOKUP(Auto_Sales_data___Copy[[#This Row],[CUSTOMER_NAME]],$AF$2:$AH$90,2,FALSE)</f>
        <v>36</v>
      </c>
      <c r="V749">
        <f>VLOOKUP(Auto_Sales_data___Copy[[#This Row],[CUSTOMER_NAME]],$AF$2:$AH$90,3,FALSE)</f>
        <v>115498.72999999998</v>
      </c>
      <c r="W749" s="2">
        <f>6-MATCH(Auto_Sales_data___Copy[[#This Row],[DAYS_SINCE_LAST_ORDER]],Table2[R-Cutoff],1)</f>
        <v>4</v>
      </c>
      <c r="X749" s="2">
        <f>MATCH(Auto_Sales_data___Copy[[#This Row],[Total_Orders_Per_Customer]],Table2[F-Cutoff],1)</f>
        <v>4</v>
      </c>
      <c r="Y749" s="2">
        <f>MATCH(Auto_Sales_data___Copy[[#This Row],[Total_Sales_Per_Customer]],Table2[M-Cutoff],1)</f>
        <v>4</v>
      </c>
      <c r="Z749" s="2" t="str">
        <f>Auto_Sales_data___Copy[[#This Row],[R-Score(1-5)]]&amp;Auto_Sales_data___Copy[[#This Row],[F-Score(1-5)]]&amp;Auto_Sales_data___Copy[[#This Row],[M-Score(1-5)]]</f>
        <v>444</v>
      </c>
      <c r="AA749" s="2" t="str" cm="1">
        <f t="array" ref="AA7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9" s="2" t="str">
        <f>VLOOKUP(Auto_Sales_data___Copy[[#This Row],[Segment Name]],Table3[],2,FALSE)</f>
        <v>VIP Recognitioon &amp; Inclusivity</v>
      </c>
    </row>
    <row r="750" spans="1:28" x14ac:dyDescent="0.25">
      <c r="A750">
        <v>10266</v>
      </c>
      <c r="B750">
        <v>49</v>
      </c>
      <c r="C750">
        <v>126.6</v>
      </c>
      <c r="D750">
        <v>5</v>
      </c>
      <c r="E750">
        <v>6203.4</v>
      </c>
      <c r="F750" s="1">
        <v>43652</v>
      </c>
      <c r="G750" s="2" t="s">
        <v>19</v>
      </c>
      <c r="H750" s="2" t="s">
        <v>183</v>
      </c>
      <c r="I750">
        <v>142</v>
      </c>
      <c r="J750" s="2" t="s">
        <v>630</v>
      </c>
      <c r="K750" s="2" t="s">
        <v>480</v>
      </c>
      <c r="L750" s="2" t="s">
        <v>481</v>
      </c>
      <c r="M750" s="2" t="s">
        <v>482</v>
      </c>
      <c r="N750" s="2" t="s">
        <v>483</v>
      </c>
      <c r="O750" s="2" t="s">
        <v>484</v>
      </c>
      <c r="P750" s="2" t="s">
        <v>269</v>
      </c>
      <c r="Q750" s="2" t="s">
        <v>485</v>
      </c>
      <c r="R750" s="2" t="s">
        <v>486</v>
      </c>
      <c r="S750" s="2" t="s">
        <v>46</v>
      </c>
      <c r="T750">
        <v>942</v>
      </c>
      <c r="U750">
        <f>VLOOKUP(Auto_Sales_data___Copy[[#This Row],[CUSTOMER_NAME]],$AF$2:$AH$90,2,FALSE)</f>
        <v>39</v>
      </c>
      <c r="V750">
        <f>VLOOKUP(Auto_Sales_data___Copy[[#This Row],[CUSTOMER_NAME]],$AF$2:$AH$90,3,FALSE)</f>
        <v>142601.33000000002</v>
      </c>
      <c r="W750" s="2">
        <f>6-MATCH(Auto_Sales_data___Copy[[#This Row],[DAYS_SINCE_LAST_ORDER]],Table2[R-Cutoff],1)</f>
        <v>4</v>
      </c>
      <c r="X750" s="2">
        <f>MATCH(Auto_Sales_data___Copy[[#This Row],[Total_Orders_Per_Customer]],Table2[F-Cutoff],1)</f>
        <v>4</v>
      </c>
      <c r="Y750" s="2">
        <f>MATCH(Auto_Sales_data___Copy[[#This Row],[Total_Sales_Per_Customer]],Table2[M-Cutoff],1)</f>
        <v>4</v>
      </c>
      <c r="Z750" s="2" t="str">
        <f>Auto_Sales_data___Copy[[#This Row],[R-Score(1-5)]]&amp;Auto_Sales_data___Copy[[#This Row],[F-Score(1-5)]]&amp;Auto_Sales_data___Copy[[#This Row],[M-Score(1-5)]]</f>
        <v>444</v>
      </c>
      <c r="AA750" s="2" t="str" cm="1">
        <f t="array" ref="AA7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0" s="2" t="str">
        <f>VLOOKUP(Auto_Sales_data___Copy[[#This Row],[Segment Name]],Table3[],2,FALSE)</f>
        <v>VIP Recognitioon &amp; Inclusivity</v>
      </c>
    </row>
    <row r="751" spans="1:28" x14ac:dyDescent="0.25">
      <c r="A751">
        <v>10266</v>
      </c>
      <c r="B751">
        <v>20</v>
      </c>
      <c r="C751">
        <v>141.24</v>
      </c>
      <c r="D751">
        <v>3</v>
      </c>
      <c r="E751">
        <v>2824.8</v>
      </c>
      <c r="F751" s="1">
        <v>43652</v>
      </c>
      <c r="G751" s="2" t="s">
        <v>19</v>
      </c>
      <c r="H751" s="2" t="s">
        <v>183</v>
      </c>
      <c r="I751">
        <v>132</v>
      </c>
      <c r="J751" s="2" t="s">
        <v>639</v>
      </c>
      <c r="K751" s="2" t="s">
        <v>480</v>
      </c>
      <c r="L751" s="2" t="s">
        <v>481</v>
      </c>
      <c r="M751" s="2" t="s">
        <v>482</v>
      </c>
      <c r="N751" s="2" t="s">
        <v>483</v>
      </c>
      <c r="O751" s="2" t="s">
        <v>484</v>
      </c>
      <c r="P751" s="2" t="s">
        <v>269</v>
      </c>
      <c r="Q751" s="2" t="s">
        <v>485</v>
      </c>
      <c r="R751" s="2" t="s">
        <v>486</v>
      </c>
      <c r="S751" s="2" t="s">
        <v>30</v>
      </c>
      <c r="T751">
        <v>1166</v>
      </c>
      <c r="U751">
        <f>VLOOKUP(Auto_Sales_data___Copy[[#This Row],[CUSTOMER_NAME]],$AF$2:$AH$90,2,FALSE)</f>
        <v>39</v>
      </c>
      <c r="V751">
        <f>VLOOKUP(Auto_Sales_data___Copy[[#This Row],[CUSTOMER_NAME]],$AF$2:$AH$90,3,FALSE)</f>
        <v>142601.33000000002</v>
      </c>
      <c r="W751" s="2">
        <f>6-MATCH(Auto_Sales_data___Copy[[#This Row],[DAYS_SINCE_LAST_ORDER]],Table2[R-Cutoff],1)</f>
        <v>4</v>
      </c>
      <c r="X751" s="2">
        <f>MATCH(Auto_Sales_data___Copy[[#This Row],[Total_Orders_Per_Customer]],Table2[F-Cutoff],1)</f>
        <v>4</v>
      </c>
      <c r="Y751" s="2">
        <f>MATCH(Auto_Sales_data___Copy[[#This Row],[Total_Sales_Per_Customer]],Table2[M-Cutoff],1)</f>
        <v>4</v>
      </c>
      <c r="Z751" s="2" t="str">
        <f>Auto_Sales_data___Copy[[#This Row],[R-Score(1-5)]]&amp;Auto_Sales_data___Copy[[#This Row],[F-Score(1-5)]]&amp;Auto_Sales_data___Copy[[#This Row],[M-Score(1-5)]]</f>
        <v>444</v>
      </c>
      <c r="AA751" s="2" t="str" cm="1">
        <f t="array" ref="AA7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1" s="2" t="str">
        <f>VLOOKUP(Auto_Sales_data___Copy[[#This Row],[Segment Name]],Table3[],2,FALSE)</f>
        <v>VIP Recognitioon &amp; Inclusivity</v>
      </c>
    </row>
    <row r="752" spans="1:28" x14ac:dyDescent="0.25">
      <c r="A752">
        <v>10266</v>
      </c>
      <c r="B752">
        <v>29</v>
      </c>
      <c r="C752">
        <v>165.95</v>
      </c>
      <c r="D752">
        <v>7</v>
      </c>
      <c r="E752">
        <v>4812.55</v>
      </c>
      <c r="F752" s="1">
        <v>43652</v>
      </c>
      <c r="G752" s="2" t="s">
        <v>19</v>
      </c>
      <c r="H752" s="2" t="s">
        <v>183</v>
      </c>
      <c r="I752">
        <v>169</v>
      </c>
      <c r="J752" s="2" t="s">
        <v>649</v>
      </c>
      <c r="K752" s="2" t="s">
        <v>480</v>
      </c>
      <c r="L752" s="2" t="s">
        <v>481</v>
      </c>
      <c r="M752" s="2" t="s">
        <v>482</v>
      </c>
      <c r="N752" s="2" t="s">
        <v>483</v>
      </c>
      <c r="O752" s="2" t="s">
        <v>484</v>
      </c>
      <c r="P752" s="2" t="s">
        <v>269</v>
      </c>
      <c r="Q752" s="2" t="s">
        <v>485</v>
      </c>
      <c r="R752" s="2" t="s">
        <v>486</v>
      </c>
      <c r="S752" s="2" t="s">
        <v>46</v>
      </c>
      <c r="T752">
        <v>1328</v>
      </c>
      <c r="U752">
        <f>VLOOKUP(Auto_Sales_data___Copy[[#This Row],[CUSTOMER_NAME]],$AF$2:$AH$90,2,FALSE)</f>
        <v>39</v>
      </c>
      <c r="V752">
        <f>VLOOKUP(Auto_Sales_data___Copy[[#This Row],[CUSTOMER_NAME]],$AF$2:$AH$90,3,FALSE)</f>
        <v>142601.33000000002</v>
      </c>
      <c r="W752" s="2">
        <f>6-MATCH(Auto_Sales_data___Copy[[#This Row],[DAYS_SINCE_LAST_ORDER]],Table2[R-Cutoff],1)</f>
        <v>4</v>
      </c>
      <c r="X752" s="2">
        <f>MATCH(Auto_Sales_data___Copy[[#This Row],[Total_Orders_Per_Customer]],Table2[F-Cutoff],1)</f>
        <v>4</v>
      </c>
      <c r="Y752" s="2">
        <f>MATCH(Auto_Sales_data___Copy[[#This Row],[Total_Sales_Per_Customer]],Table2[M-Cutoff],1)</f>
        <v>4</v>
      </c>
      <c r="Z752" s="2" t="str">
        <f>Auto_Sales_data___Copy[[#This Row],[R-Score(1-5)]]&amp;Auto_Sales_data___Copy[[#This Row],[F-Score(1-5)]]&amp;Auto_Sales_data___Copy[[#This Row],[M-Score(1-5)]]</f>
        <v>444</v>
      </c>
      <c r="AA752" s="2" t="str" cm="1">
        <f t="array" ref="AA7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2" s="2" t="str">
        <f>VLOOKUP(Auto_Sales_data___Copy[[#This Row],[Segment Name]],Table3[],2,FALSE)</f>
        <v>VIP Recognitioon &amp; Inclusivity</v>
      </c>
    </row>
    <row r="753" spans="1:28" x14ac:dyDescent="0.25">
      <c r="A753">
        <v>10266</v>
      </c>
      <c r="B753">
        <v>33</v>
      </c>
      <c r="C753">
        <v>152.58000000000001</v>
      </c>
      <c r="D753">
        <v>4</v>
      </c>
      <c r="E753">
        <v>5035.1400000000003</v>
      </c>
      <c r="F753" s="1">
        <v>43652</v>
      </c>
      <c r="G753" s="2" t="s">
        <v>19</v>
      </c>
      <c r="H753" s="2" t="s">
        <v>183</v>
      </c>
      <c r="I753">
        <v>141</v>
      </c>
      <c r="J753" s="2" t="s">
        <v>655</v>
      </c>
      <c r="K753" s="2" t="s">
        <v>480</v>
      </c>
      <c r="L753" s="2" t="s">
        <v>481</v>
      </c>
      <c r="M753" s="2" t="s">
        <v>482</v>
      </c>
      <c r="N753" s="2" t="s">
        <v>483</v>
      </c>
      <c r="O753" s="2" t="s">
        <v>484</v>
      </c>
      <c r="P753" s="2" t="s">
        <v>269</v>
      </c>
      <c r="Q753" s="2" t="s">
        <v>485</v>
      </c>
      <c r="R753" s="2" t="s">
        <v>486</v>
      </c>
      <c r="S753" s="2" t="s">
        <v>46</v>
      </c>
      <c r="T753">
        <v>1463</v>
      </c>
      <c r="U753">
        <f>VLOOKUP(Auto_Sales_data___Copy[[#This Row],[CUSTOMER_NAME]],$AF$2:$AH$90,2,FALSE)</f>
        <v>39</v>
      </c>
      <c r="V753">
        <f>VLOOKUP(Auto_Sales_data___Copy[[#This Row],[CUSTOMER_NAME]],$AF$2:$AH$90,3,FALSE)</f>
        <v>142601.33000000002</v>
      </c>
      <c r="W753" s="2">
        <f>6-MATCH(Auto_Sales_data___Copy[[#This Row],[DAYS_SINCE_LAST_ORDER]],Table2[R-Cutoff],1)</f>
        <v>4</v>
      </c>
      <c r="X753" s="2">
        <f>MATCH(Auto_Sales_data___Copy[[#This Row],[Total_Orders_Per_Customer]],Table2[F-Cutoff],1)</f>
        <v>4</v>
      </c>
      <c r="Y753" s="2">
        <f>MATCH(Auto_Sales_data___Copy[[#This Row],[Total_Sales_Per_Customer]],Table2[M-Cutoff],1)</f>
        <v>4</v>
      </c>
      <c r="Z753" s="2" t="str">
        <f>Auto_Sales_data___Copy[[#This Row],[R-Score(1-5)]]&amp;Auto_Sales_data___Copy[[#This Row],[F-Score(1-5)]]&amp;Auto_Sales_data___Copy[[#This Row],[M-Score(1-5)]]</f>
        <v>444</v>
      </c>
      <c r="AA753" s="2" t="str" cm="1">
        <f t="array" ref="AA7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3" s="2" t="str">
        <f>VLOOKUP(Auto_Sales_data___Copy[[#This Row],[Segment Name]],Table3[],2,FALSE)</f>
        <v>VIP Recognitioon &amp; Inclusivity</v>
      </c>
    </row>
    <row r="754" spans="1:28" x14ac:dyDescent="0.25">
      <c r="A754">
        <v>10269</v>
      </c>
      <c r="B754">
        <v>32</v>
      </c>
      <c r="C754">
        <v>63.08</v>
      </c>
      <c r="D754">
        <v>1</v>
      </c>
      <c r="E754">
        <v>2018.56</v>
      </c>
      <c r="F754" s="1">
        <v>43662</v>
      </c>
      <c r="G754" s="2" t="s">
        <v>19</v>
      </c>
      <c r="H754" s="2" t="s">
        <v>589</v>
      </c>
      <c r="I754">
        <v>62</v>
      </c>
      <c r="J754" s="2" t="s">
        <v>641</v>
      </c>
      <c r="K754" s="2" t="s">
        <v>143</v>
      </c>
      <c r="L754" s="2" t="s">
        <v>144</v>
      </c>
      <c r="M754" s="2" t="s">
        <v>145</v>
      </c>
      <c r="N754" s="2" t="s">
        <v>146</v>
      </c>
      <c r="O754" s="2" t="s">
        <v>147</v>
      </c>
      <c r="P754" s="2" t="s">
        <v>148</v>
      </c>
      <c r="Q754" s="2" t="s">
        <v>149</v>
      </c>
      <c r="R754" s="2" t="s">
        <v>150</v>
      </c>
      <c r="S754" s="2" t="s">
        <v>30</v>
      </c>
      <c r="T754">
        <v>1206</v>
      </c>
      <c r="U754">
        <f>VLOOKUP(Auto_Sales_data___Copy[[#This Row],[CUSTOMER_NAME]],$AF$2:$AH$90,2,FALSE)</f>
        <v>40</v>
      </c>
      <c r="V754">
        <f>VLOOKUP(Auto_Sales_data___Copy[[#This Row],[CUSTOMER_NAME]],$AF$2:$AH$90,3,FALSE)</f>
        <v>149798.63</v>
      </c>
      <c r="W754" s="2">
        <f>6-MATCH(Auto_Sales_data___Copy[[#This Row],[DAYS_SINCE_LAST_ORDER]],Table2[R-Cutoff],1)</f>
        <v>4</v>
      </c>
      <c r="X754" s="2">
        <f>MATCH(Auto_Sales_data___Copy[[#This Row],[Total_Orders_Per_Customer]],Table2[F-Cutoff],1)</f>
        <v>4</v>
      </c>
      <c r="Y754" s="2">
        <f>MATCH(Auto_Sales_data___Copy[[#This Row],[Total_Sales_Per_Customer]],Table2[M-Cutoff],1)</f>
        <v>4</v>
      </c>
      <c r="Z754" s="2" t="str">
        <f>Auto_Sales_data___Copy[[#This Row],[R-Score(1-5)]]&amp;Auto_Sales_data___Copy[[#This Row],[F-Score(1-5)]]&amp;Auto_Sales_data___Copy[[#This Row],[M-Score(1-5)]]</f>
        <v>444</v>
      </c>
      <c r="AA754" s="2" t="str" cm="1">
        <f t="array" ref="AA7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4" s="2" t="str">
        <f>VLOOKUP(Auto_Sales_data___Copy[[#This Row],[Segment Name]],Table3[],2,FALSE)</f>
        <v>VIP Recognitioon &amp; Inclusivity</v>
      </c>
    </row>
    <row r="755" spans="1:28" x14ac:dyDescent="0.25">
      <c r="A755">
        <v>10270</v>
      </c>
      <c r="B755">
        <v>31</v>
      </c>
      <c r="C755">
        <v>96.24</v>
      </c>
      <c r="D755">
        <v>10</v>
      </c>
      <c r="E755">
        <v>2983.44</v>
      </c>
      <c r="F755" s="1">
        <v>43665</v>
      </c>
      <c r="G755" s="2" t="s">
        <v>19</v>
      </c>
      <c r="H755" s="2" t="s">
        <v>589</v>
      </c>
      <c r="I755">
        <v>101</v>
      </c>
      <c r="J755" s="2" t="s">
        <v>640</v>
      </c>
      <c r="K755" s="2" t="s">
        <v>152</v>
      </c>
      <c r="L755" s="2" t="s">
        <v>153</v>
      </c>
      <c r="M755" s="2" t="s">
        <v>154</v>
      </c>
      <c r="N755" s="2" t="s">
        <v>155</v>
      </c>
      <c r="O755" s="2" t="s">
        <v>156</v>
      </c>
      <c r="P755" s="2" t="s">
        <v>87</v>
      </c>
      <c r="Q755" s="2" t="s">
        <v>157</v>
      </c>
      <c r="R755" s="2" t="s">
        <v>158</v>
      </c>
      <c r="S755" s="2" t="s">
        <v>30</v>
      </c>
      <c r="T755">
        <v>1179</v>
      </c>
      <c r="U755">
        <f>VLOOKUP(Auto_Sales_data___Copy[[#This Row],[CUSTOMER_NAME]],$AF$2:$AH$90,2,FALSE)</f>
        <v>46</v>
      </c>
      <c r="V755">
        <f>VLOOKUP(Auto_Sales_data___Copy[[#This Row],[CUSTOMER_NAME]],$AF$2:$AH$90,3,FALSE)</f>
        <v>151570.98000000001</v>
      </c>
      <c r="W755" s="2">
        <f>6-MATCH(Auto_Sales_data___Copy[[#This Row],[DAYS_SINCE_LAST_ORDER]],Table2[R-Cutoff],1)</f>
        <v>4</v>
      </c>
      <c r="X755" s="2">
        <f>MATCH(Auto_Sales_data___Copy[[#This Row],[Total_Orders_Per_Customer]],Table2[F-Cutoff],1)</f>
        <v>4</v>
      </c>
      <c r="Y755" s="2">
        <f>MATCH(Auto_Sales_data___Copy[[#This Row],[Total_Sales_Per_Customer]],Table2[M-Cutoff],1)</f>
        <v>4</v>
      </c>
      <c r="Z755" s="2" t="str">
        <f>Auto_Sales_data___Copy[[#This Row],[R-Score(1-5)]]&amp;Auto_Sales_data___Copy[[#This Row],[F-Score(1-5)]]&amp;Auto_Sales_data___Copy[[#This Row],[M-Score(1-5)]]</f>
        <v>444</v>
      </c>
      <c r="AA755" s="2" t="str" cm="1">
        <f t="array" ref="AA7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5" s="2" t="str">
        <f>VLOOKUP(Auto_Sales_data___Copy[[#This Row],[Segment Name]],Table3[],2,FALSE)</f>
        <v>VIP Recognitioon &amp; Inclusivity</v>
      </c>
    </row>
    <row r="756" spans="1:28" x14ac:dyDescent="0.25">
      <c r="A756">
        <v>10270</v>
      </c>
      <c r="B756">
        <v>38</v>
      </c>
      <c r="C756">
        <v>125.66</v>
      </c>
      <c r="D756">
        <v>11</v>
      </c>
      <c r="E756">
        <v>4775.08</v>
      </c>
      <c r="F756" s="1">
        <v>43665</v>
      </c>
      <c r="G756" s="2" t="s">
        <v>19</v>
      </c>
      <c r="H756" s="2" t="s">
        <v>589</v>
      </c>
      <c r="I756">
        <v>104</v>
      </c>
      <c r="J756" s="2" t="s">
        <v>647</v>
      </c>
      <c r="K756" s="2" t="s">
        <v>152</v>
      </c>
      <c r="L756" s="2" t="s">
        <v>153</v>
      </c>
      <c r="M756" s="2" t="s">
        <v>154</v>
      </c>
      <c r="N756" s="2" t="s">
        <v>155</v>
      </c>
      <c r="O756" s="2" t="s">
        <v>156</v>
      </c>
      <c r="P756" s="2" t="s">
        <v>87</v>
      </c>
      <c r="Q756" s="2" t="s">
        <v>157</v>
      </c>
      <c r="R756" s="2" t="s">
        <v>158</v>
      </c>
      <c r="S756" s="2" t="s">
        <v>46</v>
      </c>
      <c r="T756">
        <v>1253</v>
      </c>
      <c r="U756">
        <f>VLOOKUP(Auto_Sales_data___Copy[[#This Row],[CUSTOMER_NAME]],$AF$2:$AH$90,2,FALSE)</f>
        <v>46</v>
      </c>
      <c r="V756">
        <f>VLOOKUP(Auto_Sales_data___Copy[[#This Row],[CUSTOMER_NAME]],$AF$2:$AH$90,3,FALSE)</f>
        <v>151570.98000000001</v>
      </c>
      <c r="W756" s="2">
        <f>6-MATCH(Auto_Sales_data___Copy[[#This Row],[DAYS_SINCE_LAST_ORDER]],Table2[R-Cutoff],1)</f>
        <v>4</v>
      </c>
      <c r="X756" s="2">
        <f>MATCH(Auto_Sales_data___Copy[[#This Row],[Total_Orders_Per_Customer]],Table2[F-Cutoff],1)</f>
        <v>4</v>
      </c>
      <c r="Y756" s="2">
        <f>MATCH(Auto_Sales_data___Copy[[#This Row],[Total_Sales_Per_Customer]],Table2[M-Cutoff],1)</f>
        <v>4</v>
      </c>
      <c r="Z756" s="2" t="str">
        <f>Auto_Sales_data___Copy[[#This Row],[R-Score(1-5)]]&amp;Auto_Sales_data___Copy[[#This Row],[F-Score(1-5)]]&amp;Auto_Sales_data___Copy[[#This Row],[M-Score(1-5)]]</f>
        <v>444</v>
      </c>
      <c r="AA756" s="2" t="str" cm="1">
        <f t="array" ref="AA7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6" s="2" t="str">
        <f>VLOOKUP(Auto_Sales_data___Copy[[#This Row],[Segment Name]],Table3[],2,FALSE)</f>
        <v>VIP Recognitioon &amp; Inclusivity</v>
      </c>
    </row>
    <row r="757" spans="1:28" x14ac:dyDescent="0.25">
      <c r="A757">
        <v>10271</v>
      </c>
      <c r="B757">
        <v>50</v>
      </c>
      <c r="C757">
        <v>183.38</v>
      </c>
      <c r="D757">
        <v>4</v>
      </c>
      <c r="E757">
        <v>9169</v>
      </c>
      <c r="F757" s="1">
        <v>43666</v>
      </c>
      <c r="G757" s="2" t="s">
        <v>19</v>
      </c>
      <c r="H757" s="2" t="s">
        <v>183</v>
      </c>
      <c r="I757">
        <v>163</v>
      </c>
      <c r="J757" s="2" t="s">
        <v>631</v>
      </c>
      <c r="K757" s="2" t="s">
        <v>284</v>
      </c>
      <c r="L757" s="2" t="s">
        <v>285</v>
      </c>
      <c r="M757" s="2" t="s">
        <v>286</v>
      </c>
      <c r="N757" s="2" t="s">
        <v>287</v>
      </c>
      <c r="O757" s="2" t="s">
        <v>106</v>
      </c>
      <c r="P757" s="2" t="s">
        <v>27</v>
      </c>
      <c r="Q757" s="2" t="s">
        <v>288</v>
      </c>
      <c r="R757" s="2" t="s">
        <v>289</v>
      </c>
      <c r="S757" s="2" t="s">
        <v>151</v>
      </c>
      <c r="T757">
        <v>956</v>
      </c>
      <c r="U757">
        <f>VLOOKUP(Auto_Sales_data___Copy[[#This Row],[CUSTOMER_NAME]],$AF$2:$AH$90,2,FALSE)</f>
        <v>180</v>
      </c>
      <c r="V757">
        <f>VLOOKUP(Auto_Sales_data___Copy[[#This Row],[CUSTOMER_NAME]],$AF$2:$AH$90,3,FALSE)</f>
        <v>654858.06000000017</v>
      </c>
      <c r="W757" s="2">
        <f>6-MATCH(Auto_Sales_data___Copy[[#This Row],[DAYS_SINCE_LAST_ORDER]],Table2[R-Cutoff],1)</f>
        <v>4</v>
      </c>
      <c r="X757" s="2">
        <f>MATCH(Auto_Sales_data___Copy[[#This Row],[Total_Orders_Per_Customer]],Table2[F-Cutoff],1)</f>
        <v>4</v>
      </c>
      <c r="Y757" s="2">
        <f>MATCH(Auto_Sales_data___Copy[[#This Row],[Total_Sales_Per_Customer]],Table2[M-Cutoff],1)</f>
        <v>4</v>
      </c>
      <c r="Z757" s="2" t="str">
        <f>Auto_Sales_data___Copy[[#This Row],[R-Score(1-5)]]&amp;Auto_Sales_data___Copy[[#This Row],[F-Score(1-5)]]&amp;Auto_Sales_data___Copy[[#This Row],[M-Score(1-5)]]</f>
        <v>444</v>
      </c>
      <c r="AA757" s="2" t="str" cm="1">
        <f t="array" ref="AA7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7" s="2" t="str">
        <f>VLOOKUP(Auto_Sales_data___Copy[[#This Row],[Segment Name]],Table3[],2,FALSE)</f>
        <v>VIP Recognitioon &amp; Inclusivity</v>
      </c>
    </row>
    <row r="758" spans="1:28" x14ac:dyDescent="0.25">
      <c r="A758">
        <v>10271</v>
      </c>
      <c r="B758">
        <v>50</v>
      </c>
      <c r="C758">
        <v>101.87</v>
      </c>
      <c r="D758">
        <v>8</v>
      </c>
      <c r="E758">
        <v>5093.5</v>
      </c>
      <c r="F758" s="1">
        <v>43666</v>
      </c>
      <c r="G758" s="2" t="s">
        <v>19</v>
      </c>
      <c r="H758" s="2" t="s">
        <v>537</v>
      </c>
      <c r="I758">
        <v>122</v>
      </c>
      <c r="J758" s="2" t="s">
        <v>633</v>
      </c>
      <c r="K758" s="2" t="s">
        <v>284</v>
      </c>
      <c r="L758" s="2" t="s">
        <v>285</v>
      </c>
      <c r="M758" s="2" t="s">
        <v>286</v>
      </c>
      <c r="N758" s="2" t="s">
        <v>287</v>
      </c>
      <c r="O758" s="2" t="s">
        <v>106</v>
      </c>
      <c r="P758" s="2" t="s">
        <v>27</v>
      </c>
      <c r="Q758" s="2" t="s">
        <v>288</v>
      </c>
      <c r="R758" s="2" t="s">
        <v>289</v>
      </c>
      <c r="S758" s="2" t="s">
        <v>46</v>
      </c>
      <c r="T758">
        <v>1003</v>
      </c>
      <c r="U758">
        <f>VLOOKUP(Auto_Sales_data___Copy[[#This Row],[CUSTOMER_NAME]],$AF$2:$AH$90,2,FALSE)</f>
        <v>180</v>
      </c>
      <c r="V758">
        <f>VLOOKUP(Auto_Sales_data___Copy[[#This Row],[CUSTOMER_NAME]],$AF$2:$AH$90,3,FALSE)</f>
        <v>654858.06000000017</v>
      </c>
      <c r="W758" s="2">
        <f>6-MATCH(Auto_Sales_data___Copy[[#This Row],[DAYS_SINCE_LAST_ORDER]],Table2[R-Cutoff],1)</f>
        <v>4</v>
      </c>
      <c r="X758" s="2">
        <f>MATCH(Auto_Sales_data___Copy[[#This Row],[Total_Orders_Per_Customer]],Table2[F-Cutoff],1)</f>
        <v>4</v>
      </c>
      <c r="Y758" s="2">
        <f>MATCH(Auto_Sales_data___Copy[[#This Row],[Total_Sales_Per_Customer]],Table2[M-Cutoff],1)</f>
        <v>4</v>
      </c>
      <c r="Z758" s="2" t="str">
        <f>Auto_Sales_data___Copy[[#This Row],[R-Score(1-5)]]&amp;Auto_Sales_data___Copy[[#This Row],[F-Score(1-5)]]&amp;Auto_Sales_data___Copy[[#This Row],[M-Score(1-5)]]</f>
        <v>444</v>
      </c>
      <c r="AA758" s="2" t="str" cm="1">
        <f t="array" ref="AA7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8" s="2" t="str">
        <f>VLOOKUP(Auto_Sales_data___Copy[[#This Row],[Segment Name]],Table3[],2,FALSE)</f>
        <v>VIP Recognitioon &amp; Inclusivity</v>
      </c>
    </row>
    <row r="759" spans="1:28" x14ac:dyDescent="0.25">
      <c r="A759">
        <v>10271</v>
      </c>
      <c r="B759">
        <v>25</v>
      </c>
      <c r="C759">
        <v>69.28</v>
      </c>
      <c r="D759">
        <v>11</v>
      </c>
      <c r="E759">
        <v>1732</v>
      </c>
      <c r="F759" s="1">
        <v>43666</v>
      </c>
      <c r="G759" s="2" t="s">
        <v>19</v>
      </c>
      <c r="H759" s="2" t="s">
        <v>537</v>
      </c>
      <c r="I759">
        <v>60</v>
      </c>
      <c r="J759" s="2" t="s">
        <v>635</v>
      </c>
      <c r="K759" s="2" t="s">
        <v>284</v>
      </c>
      <c r="L759" s="2" t="s">
        <v>285</v>
      </c>
      <c r="M759" s="2" t="s">
        <v>286</v>
      </c>
      <c r="N759" s="2" t="s">
        <v>287</v>
      </c>
      <c r="O759" s="2" t="s">
        <v>106</v>
      </c>
      <c r="P759" s="2" t="s">
        <v>27</v>
      </c>
      <c r="Q759" s="2" t="s">
        <v>288</v>
      </c>
      <c r="R759" s="2" t="s">
        <v>289</v>
      </c>
      <c r="S759" s="2" t="s">
        <v>30</v>
      </c>
      <c r="T759">
        <v>1054</v>
      </c>
      <c r="U759">
        <f>VLOOKUP(Auto_Sales_data___Copy[[#This Row],[CUSTOMER_NAME]],$AF$2:$AH$90,2,FALSE)</f>
        <v>180</v>
      </c>
      <c r="V759">
        <f>VLOOKUP(Auto_Sales_data___Copy[[#This Row],[CUSTOMER_NAME]],$AF$2:$AH$90,3,FALSE)</f>
        <v>654858.06000000017</v>
      </c>
      <c r="W759" s="2">
        <f>6-MATCH(Auto_Sales_data___Copy[[#This Row],[DAYS_SINCE_LAST_ORDER]],Table2[R-Cutoff],1)</f>
        <v>4</v>
      </c>
      <c r="X759" s="2">
        <f>MATCH(Auto_Sales_data___Copy[[#This Row],[Total_Orders_Per_Customer]],Table2[F-Cutoff],1)</f>
        <v>4</v>
      </c>
      <c r="Y759" s="2">
        <f>MATCH(Auto_Sales_data___Copy[[#This Row],[Total_Sales_Per_Customer]],Table2[M-Cutoff],1)</f>
        <v>4</v>
      </c>
      <c r="Z759" s="2" t="str">
        <f>Auto_Sales_data___Copy[[#This Row],[R-Score(1-5)]]&amp;Auto_Sales_data___Copy[[#This Row],[F-Score(1-5)]]&amp;Auto_Sales_data___Copy[[#This Row],[M-Score(1-5)]]</f>
        <v>444</v>
      </c>
      <c r="AA759" s="2" t="str" cm="1">
        <f t="array" ref="AA7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9" s="2" t="str">
        <f>VLOOKUP(Auto_Sales_data___Copy[[#This Row],[Segment Name]],Table3[],2,FALSE)</f>
        <v>VIP Recognitioon &amp; Inclusivity</v>
      </c>
    </row>
    <row r="760" spans="1:28" x14ac:dyDescent="0.25">
      <c r="A760">
        <v>10271</v>
      </c>
      <c r="B760">
        <v>20</v>
      </c>
      <c r="C760">
        <v>196.43</v>
      </c>
      <c r="D760">
        <v>9</v>
      </c>
      <c r="E760">
        <v>3928.6</v>
      </c>
      <c r="F760" s="1">
        <v>43666</v>
      </c>
      <c r="G760" s="2" t="s">
        <v>19</v>
      </c>
      <c r="H760" s="2" t="s">
        <v>183</v>
      </c>
      <c r="I760">
        <v>169</v>
      </c>
      <c r="J760" s="2" t="s">
        <v>649</v>
      </c>
      <c r="K760" s="2" t="s">
        <v>284</v>
      </c>
      <c r="L760" s="2" t="s">
        <v>285</v>
      </c>
      <c r="M760" s="2" t="s">
        <v>286</v>
      </c>
      <c r="N760" s="2" t="s">
        <v>287</v>
      </c>
      <c r="O760" s="2" t="s">
        <v>106</v>
      </c>
      <c r="P760" s="2" t="s">
        <v>27</v>
      </c>
      <c r="Q760" s="2" t="s">
        <v>288</v>
      </c>
      <c r="R760" s="2" t="s">
        <v>289</v>
      </c>
      <c r="S760" s="2" t="s">
        <v>46</v>
      </c>
      <c r="T760">
        <v>1315</v>
      </c>
      <c r="U760">
        <f>VLOOKUP(Auto_Sales_data___Copy[[#This Row],[CUSTOMER_NAME]],$AF$2:$AH$90,2,FALSE)</f>
        <v>180</v>
      </c>
      <c r="V760">
        <f>VLOOKUP(Auto_Sales_data___Copy[[#This Row],[CUSTOMER_NAME]],$AF$2:$AH$90,3,FALSE)</f>
        <v>654858.06000000017</v>
      </c>
      <c r="W760" s="2">
        <f>6-MATCH(Auto_Sales_data___Copy[[#This Row],[DAYS_SINCE_LAST_ORDER]],Table2[R-Cutoff],1)</f>
        <v>4</v>
      </c>
      <c r="X760" s="2">
        <f>MATCH(Auto_Sales_data___Copy[[#This Row],[Total_Orders_Per_Customer]],Table2[F-Cutoff],1)</f>
        <v>4</v>
      </c>
      <c r="Y760" s="2">
        <f>MATCH(Auto_Sales_data___Copy[[#This Row],[Total_Sales_Per_Customer]],Table2[M-Cutoff],1)</f>
        <v>4</v>
      </c>
      <c r="Z760" s="2" t="str">
        <f>Auto_Sales_data___Copy[[#This Row],[R-Score(1-5)]]&amp;Auto_Sales_data___Copy[[#This Row],[F-Score(1-5)]]&amp;Auto_Sales_data___Copy[[#This Row],[M-Score(1-5)]]</f>
        <v>444</v>
      </c>
      <c r="AA760" s="2" t="str" cm="1">
        <f t="array" ref="AA7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0" s="2" t="str">
        <f>VLOOKUP(Auto_Sales_data___Copy[[#This Row],[Segment Name]],Table3[],2,FALSE)</f>
        <v>VIP Recognitioon &amp; Inclusivity</v>
      </c>
    </row>
    <row r="761" spans="1:28" x14ac:dyDescent="0.25">
      <c r="A761">
        <v>10275</v>
      </c>
      <c r="B761">
        <v>35</v>
      </c>
      <c r="C761">
        <v>90.39</v>
      </c>
      <c r="D761">
        <v>9</v>
      </c>
      <c r="E761">
        <v>3163.65</v>
      </c>
      <c r="F761" s="1">
        <v>43669</v>
      </c>
      <c r="G761" s="2" t="s">
        <v>19</v>
      </c>
      <c r="H761" s="2" t="s">
        <v>607</v>
      </c>
      <c r="I761">
        <v>84</v>
      </c>
      <c r="J761" s="2" t="s">
        <v>636</v>
      </c>
      <c r="K761" s="2" t="s">
        <v>108</v>
      </c>
      <c r="L761" s="2" t="s">
        <v>109</v>
      </c>
      <c r="M761" s="2" t="s">
        <v>110</v>
      </c>
      <c r="N761" s="2" t="s">
        <v>111</v>
      </c>
      <c r="O761" s="2" t="s">
        <v>112</v>
      </c>
      <c r="P761" s="2" t="s">
        <v>36</v>
      </c>
      <c r="Q761" s="2" t="s">
        <v>113</v>
      </c>
      <c r="R761" s="2" t="s">
        <v>114</v>
      </c>
      <c r="S761" s="2" t="s">
        <v>46</v>
      </c>
      <c r="T761">
        <v>1074</v>
      </c>
      <c r="U761">
        <f>VLOOKUP(Auto_Sales_data___Copy[[#This Row],[CUSTOMER_NAME]],$AF$2:$AH$90,2,FALSE)</f>
        <v>53</v>
      </c>
      <c r="V761">
        <f>VLOOKUP(Auto_Sales_data___Copy[[#This Row],[CUSTOMER_NAME]],$AF$2:$AH$90,3,FALSE)</f>
        <v>180124.90000000008</v>
      </c>
      <c r="W761" s="2">
        <f>6-MATCH(Auto_Sales_data___Copy[[#This Row],[DAYS_SINCE_LAST_ORDER]],Table2[R-Cutoff],1)</f>
        <v>4</v>
      </c>
      <c r="X761" s="2">
        <f>MATCH(Auto_Sales_data___Copy[[#This Row],[Total_Orders_Per_Customer]],Table2[F-Cutoff],1)</f>
        <v>4</v>
      </c>
      <c r="Y761" s="2">
        <f>MATCH(Auto_Sales_data___Copy[[#This Row],[Total_Sales_Per_Customer]],Table2[M-Cutoff],1)</f>
        <v>4</v>
      </c>
      <c r="Z761" s="2" t="str">
        <f>Auto_Sales_data___Copy[[#This Row],[R-Score(1-5)]]&amp;Auto_Sales_data___Copy[[#This Row],[F-Score(1-5)]]&amp;Auto_Sales_data___Copy[[#This Row],[M-Score(1-5)]]</f>
        <v>444</v>
      </c>
      <c r="AA761" s="2" t="str" cm="1">
        <f t="array" ref="AA7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1" s="2" t="str">
        <f>VLOOKUP(Auto_Sales_data___Copy[[#This Row],[Segment Name]],Table3[],2,FALSE)</f>
        <v>VIP Recognitioon &amp; Inclusivity</v>
      </c>
    </row>
    <row r="762" spans="1:28" x14ac:dyDescent="0.25">
      <c r="A762">
        <v>10275</v>
      </c>
      <c r="B762">
        <v>37</v>
      </c>
      <c r="C762">
        <v>63.6</v>
      </c>
      <c r="D762">
        <v>5</v>
      </c>
      <c r="E762">
        <v>2353.1999999999998</v>
      </c>
      <c r="F762" s="1">
        <v>43669</v>
      </c>
      <c r="G762" s="2" t="s">
        <v>19</v>
      </c>
      <c r="H762" s="2" t="s">
        <v>20</v>
      </c>
      <c r="I762">
        <v>60</v>
      </c>
      <c r="J762" s="2" t="s">
        <v>637</v>
      </c>
      <c r="K762" s="2" t="s">
        <v>108</v>
      </c>
      <c r="L762" s="2" t="s">
        <v>109</v>
      </c>
      <c r="M762" s="2" t="s">
        <v>110</v>
      </c>
      <c r="N762" s="2" t="s">
        <v>111</v>
      </c>
      <c r="O762" s="2" t="s">
        <v>112</v>
      </c>
      <c r="P762" s="2" t="s">
        <v>36</v>
      </c>
      <c r="Q762" s="2" t="s">
        <v>113</v>
      </c>
      <c r="R762" s="2" t="s">
        <v>114</v>
      </c>
      <c r="S762" s="2" t="s">
        <v>30</v>
      </c>
      <c r="T762">
        <v>1099</v>
      </c>
      <c r="U762">
        <f>VLOOKUP(Auto_Sales_data___Copy[[#This Row],[CUSTOMER_NAME]],$AF$2:$AH$90,2,FALSE)</f>
        <v>53</v>
      </c>
      <c r="V762">
        <f>VLOOKUP(Auto_Sales_data___Copy[[#This Row],[CUSTOMER_NAME]],$AF$2:$AH$90,3,FALSE)</f>
        <v>180124.90000000008</v>
      </c>
      <c r="W762" s="2">
        <f>6-MATCH(Auto_Sales_data___Copy[[#This Row],[DAYS_SINCE_LAST_ORDER]],Table2[R-Cutoff],1)</f>
        <v>4</v>
      </c>
      <c r="X762" s="2">
        <f>MATCH(Auto_Sales_data___Copy[[#This Row],[Total_Orders_Per_Customer]],Table2[F-Cutoff],1)</f>
        <v>4</v>
      </c>
      <c r="Y762" s="2">
        <f>MATCH(Auto_Sales_data___Copy[[#This Row],[Total_Sales_Per_Customer]],Table2[M-Cutoff],1)</f>
        <v>4</v>
      </c>
      <c r="Z762" s="2" t="str">
        <f>Auto_Sales_data___Copy[[#This Row],[R-Score(1-5)]]&amp;Auto_Sales_data___Copy[[#This Row],[F-Score(1-5)]]&amp;Auto_Sales_data___Copy[[#This Row],[M-Score(1-5)]]</f>
        <v>444</v>
      </c>
      <c r="AA762" s="2" t="str" cm="1">
        <f t="array" ref="AA7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2" s="2" t="str">
        <f>VLOOKUP(Auto_Sales_data___Copy[[#This Row],[Segment Name]],Table3[],2,FALSE)</f>
        <v>VIP Recognitioon &amp; Inclusivity</v>
      </c>
    </row>
    <row r="763" spans="1:28" x14ac:dyDescent="0.25">
      <c r="A763">
        <v>10281</v>
      </c>
      <c r="B763">
        <v>48</v>
      </c>
      <c r="C763">
        <v>120.28</v>
      </c>
      <c r="D763">
        <v>4</v>
      </c>
      <c r="E763">
        <v>5773.44</v>
      </c>
      <c r="F763" s="1">
        <v>43696</v>
      </c>
      <c r="G763" s="2" t="s">
        <v>19</v>
      </c>
      <c r="H763" s="2" t="s">
        <v>537</v>
      </c>
      <c r="I763">
        <v>122</v>
      </c>
      <c r="J763" s="2" t="s">
        <v>633</v>
      </c>
      <c r="K763" s="2" t="s">
        <v>137</v>
      </c>
      <c r="L763" s="2" t="s">
        <v>138</v>
      </c>
      <c r="M763" s="2" t="s">
        <v>139</v>
      </c>
      <c r="N763" s="2" t="s">
        <v>140</v>
      </c>
      <c r="O763" s="2" t="s">
        <v>141</v>
      </c>
      <c r="P763" s="2" t="s">
        <v>27</v>
      </c>
      <c r="Q763" s="2" t="s">
        <v>28</v>
      </c>
      <c r="R763" s="2" t="s">
        <v>142</v>
      </c>
      <c r="S763" s="2" t="s">
        <v>46</v>
      </c>
      <c r="T763">
        <v>974</v>
      </c>
      <c r="U763">
        <f>VLOOKUP(Auto_Sales_data___Copy[[#This Row],[CUSTOMER_NAME]],$AF$2:$AH$90,2,FALSE)</f>
        <v>31</v>
      </c>
      <c r="V763">
        <f>VLOOKUP(Auto_Sales_data___Copy[[#This Row],[CUSTOMER_NAME]],$AF$2:$AH$90,3,FALSE)</f>
        <v>122138.14</v>
      </c>
      <c r="W763" s="2">
        <f>6-MATCH(Auto_Sales_data___Copy[[#This Row],[DAYS_SINCE_LAST_ORDER]],Table2[R-Cutoff],1)</f>
        <v>4</v>
      </c>
      <c r="X763" s="2">
        <f>MATCH(Auto_Sales_data___Copy[[#This Row],[Total_Orders_Per_Customer]],Table2[F-Cutoff],1)</f>
        <v>4</v>
      </c>
      <c r="Y763" s="2">
        <f>MATCH(Auto_Sales_data___Copy[[#This Row],[Total_Sales_Per_Customer]],Table2[M-Cutoff],1)</f>
        <v>4</v>
      </c>
      <c r="Z763" s="2" t="str">
        <f>Auto_Sales_data___Copy[[#This Row],[R-Score(1-5)]]&amp;Auto_Sales_data___Copy[[#This Row],[F-Score(1-5)]]&amp;Auto_Sales_data___Copy[[#This Row],[M-Score(1-5)]]</f>
        <v>444</v>
      </c>
      <c r="AA763" s="2" t="str" cm="1">
        <f t="array" ref="AA7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3" s="2" t="str">
        <f>VLOOKUP(Auto_Sales_data___Copy[[#This Row],[Segment Name]],Table3[],2,FALSE)</f>
        <v>VIP Recognitioon &amp; Inclusivity</v>
      </c>
    </row>
    <row r="764" spans="1:28" x14ac:dyDescent="0.25">
      <c r="A764">
        <v>10281</v>
      </c>
      <c r="B764">
        <v>29</v>
      </c>
      <c r="C764">
        <v>57.73</v>
      </c>
      <c r="D764">
        <v>7</v>
      </c>
      <c r="E764">
        <v>1674.17</v>
      </c>
      <c r="F764" s="1">
        <v>43696</v>
      </c>
      <c r="G764" s="2" t="s">
        <v>19</v>
      </c>
      <c r="H764" s="2" t="s">
        <v>537</v>
      </c>
      <c r="I764">
        <v>60</v>
      </c>
      <c r="J764" s="2" t="s">
        <v>635</v>
      </c>
      <c r="K764" s="2" t="s">
        <v>137</v>
      </c>
      <c r="L764" s="2" t="s">
        <v>138</v>
      </c>
      <c r="M764" s="2" t="s">
        <v>139</v>
      </c>
      <c r="N764" s="2" t="s">
        <v>140</v>
      </c>
      <c r="O764" s="2" t="s">
        <v>141</v>
      </c>
      <c r="P764" s="2" t="s">
        <v>27</v>
      </c>
      <c r="Q764" s="2" t="s">
        <v>28</v>
      </c>
      <c r="R764" s="2" t="s">
        <v>142</v>
      </c>
      <c r="S764" s="2" t="s">
        <v>30</v>
      </c>
      <c r="T764">
        <v>1025</v>
      </c>
      <c r="U764">
        <f>VLOOKUP(Auto_Sales_data___Copy[[#This Row],[CUSTOMER_NAME]],$AF$2:$AH$90,2,FALSE)</f>
        <v>31</v>
      </c>
      <c r="V764">
        <f>VLOOKUP(Auto_Sales_data___Copy[[#This Row],[CUSTOMER_NAME]],$AF$2:$AH$90,3,FALSE)</f>
        <v>122138.14</v>
      </c>
      <c r="W764" s="2">
        <f>6-MATCH(Auto_Sales_data___Copy[[#This Row],[DAYS_SINCE_LAST_ORDER]],Table2[R-Cutoff],1)</f>
        <v>4</v>
      </c>
      <c r="X764" s="2">
        <f>MATCH(Auto_Sales_data___Copy[[#This Row],[Total_Orders_Per_Customer]],Table2[F-Cutoff],1)</f>
        <v>4</v>
      </c>
      <c r="Y764" s="2">
        <f>MATCH(Auto_Sales_data___Copy[[#This Row],[Total_Sales_Per_Customer]],Table2[M-Cutoff],1)</f>
        <v>4</v>
      </c>
      <c r="Z764" s="2" t="str">
        <f>Auto_Sales_data___Copy[[#This Row],[R-Score(1-5)]]&amp;Auto_Sales_data___Copy[[#This Row],[F-Score(1-5)]]&amp;Auto_Sales_data___Copy[[#This Row],[M-Score(1-5)]]</f>
        <v>444</v>
      </c>
      <c r="AA764" s="2" t="str" cm="1">
        <f t="array" ref="AA7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4" s="2" t="str">
        <f>VLOOKUP(Auto_Sales_data___Copy[[#This Row],[Segment Name]],Table3[],2,FALSE)</f>
        <v>VIP Recognitioon &amp; Inclusivity</v>
      </c>
    </row>
    <row r="765" spans="1:28" x14ac:dyDescent="0.25">
      <c r="A765">
        <v>10281</v>
      </c>
      <c r="B765">
        <v>25</v>
      </c>
      <c r="C765">
        <v>167.65</v>
      </c>
      <c r="D765">
        <v>5</v>
      </c>
      <c r="E765">
        <v>4191.25</v>
      </c>
      <c r="F765" s="1">
        <v>43696</v>
      </c>
      <c r="G765" s="2" t="s">
        <v>19</v>
      </c>
      <c r="H765" s="2" t="s">
        <v>183</v>
      </c>
      <c r="I765">
        <v>169</v>
      </c>
      <c r="J765" s="2" t="s">
        <v>649</v>
      </c>
      <c r="K765" s="2" t="s">
        <v>137</v>
      </c>
      <c r="L765" s="2" t="s">
        <v>138</v>
      </c>
      <c r="M765" s="2" t="s">
        <v>139</v>
      </c>
      <c r="N765" s="2" t="s">
        <v>140</v>
      </c>
      <c r="O765" s="2" t="s">
        <v>141</v>
      </c>
      <c r="P765" s="2" t="s">
        <v>27</v>
      </c>
      <c r="Q765" s="2" t="s">
        <v>28</v>
      </c>
      <c r="R765" s="2" t="s">
        <v>142</v>
      </c>
      <c r="S765" s="2" t="s">
        <v>46</v>
      </c>
      <c r="T765">
        <v>1287</v>
      </c>
      <c r="U765">
        <f>VLOOKUP(Auto_Sales_data___Copy[[#This Row],[CUSTOMER_NAME]],$AF$2:$AH$90,2,FALSE)</f>
        <v>31</v>
      </c>
      <c r="V765">
        <f>VLOOKUP(Auto_Sales_data___Copy[[#This Row],[CUSTOMER_NAME]],$AF$2:$AH$90,3,FALSE)</f>
        <v>122138.14</v>
      </c>
      <c r="W765" s="2">
        <f>6-MATCH(Auto_Sales_data___Copy[[#This Row],[DAYS_SINCE_LAST_ORDER]],Table2[R-Cutoff],1)</f>
        <v>4</v>
      </c>
      <c r="X765" s="2">
        <f>MATCH(Auto_Sales_data___Copy[[#This Row],[Total_Orders_Per_Customer]],Table2[F-Cutoff],1)</f>
        <v>4</v>
      </c>
      <c r="Y765" s="2">
        <f>MATCH(Auto_Sales_data___Copy[[#This Row],[Total_Sales_Per_Customer]],Table2[M-Cutoff],1)</f>
        <v>4</v>
      </c>
      <c r="Z765" s="2" t="str">
        <f>Auto_Sales_data___Copy[[#This Row],[R-Score(1-5)]]&amp;Auto_Sales_data___Copy[[#This Row],[F-Score(1-5)]]&amp;Auto_Sales_data___Copy[[#This Row],[M-Score(1-5)]]</f>
        <v>444</v>
      </c>
      <c r="AA765" s="2" t="str" cm="1">
        <f t="array" ref="AA7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5" s="2" t="str">
        <f>VLOOKUP(Auto_Sales_data___Copy[[#This Row],[Segment Name]],Table3[],2,FALSE)</f>
        <v>VIP Recognitioon &amp; Inclusivity</v>
      </c>
    </row>
    <row r="766" spans="1:28" x14ac:dyDescent="0.25">
      <c r="A766">
        <v>10282</v>
      </c>
      <c r="B766">
        <v>43</v>
      </c>
      <c r="C766">
        <v>155.71</v>
      </c>
      <c r="D766">
        <v>1</v>
      </c>
      <c r="E766">
        <v>6695.53</v>
      </c>
      <c r="F766" s="1">
        <v>43697</v>
      </c>
      <c r="G766" s="2" t="s">
        <v>19</v>
      </c>
      <c r="H766" s="2" t="s">
        <v>589</v>
      </c>
      <c r="I766">
        <v>136</v>
      </c>
      <c r="J766" s="2" t="s">
        <v>648</v>
      </c>
      <c r="K766" s="2" t="s">
        <v>284</v>
      </c>
      <c r="L766" s="2" t="s">
        <v>285</v>
      </c>
      <c r="M766" s="2" t="s">
        <v>286</v>
      </c>
      <c r="N766" s="2" t="s">
        <v>287</v>
      </c>
      <c r="O766" s="2" t="s">
        <v>106</v>
      </c>
      <c r="P766" s="2" t="s">
        <v>27</v>
      </c>
      <c r="Q766" s="2" t="s">
        <v>288</v>
      </c>
      <c r="R766" s="2" t="s">
        <v>289</v>
      </c>
      <c r="S766" s="2" t="s">
        <v>46</v>
      </c>
      <c r="T766">
        <v>1247</v>
      </c>
      <c r="U766">
        <f>VLOOKUP(Auto_Sales_data___Copy[[#This Row],[CUSTOMER_NAME]],$AF$2:$AH$90,2,FALSE)</f>
        <v>180</v>
      </c>
      <c r="V766">
        <f>VLOOKUP(Auto_Sales_data___Copy[[#This Row],[CUSTOMER_NAME]],$AF$2:$AH$90,3,FALSE)</f>
        <v>654858.06000000017</v>
      </c>
      <c r="W766" s="2">
        <f>6-MATCH(Auto_Sales_data___Copy[[#This Row],[DAYS_SINCE_LAST_ORDER]],Table2[R-Cutoff],1)</f>
        <v>4</v>
      </c>
      <c r="X766" s="2">
        <f>MATCH(Auto_Sales_data___Copy[[#This Row],[Total_Orders_Per_Customer]],Table2[F-Cutoff],1)</f>
        <v>4</v>
      </c>
      <c r="Y766" s="2">
        <f>MATCH(Auto_Sales_data___Copy[[#This Row],[Total_Sales_Per_Customer]],Table2[M-Cutoff],1)</f>
        <v>4</v>
      </c>
      <c r="Z766" s="2" t="str">
        <f>Auto_Sales_data___Copy[[#This Row],[R-Score(1-5)]]&amp;Auto_Sales_data___Copy[[#This Row],[F-Score(1-5)]]&amp;Auto_Sales_data___Copy[[#This Row],[M-Score(1-5)]]</f>
        <v>444</v>
      </c>
      <c r="AA766" s="2" t="str" cm="1">
        <f t="array" ref="AA7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6" s="2" t="str">
        <f>VLOOKUP(Auto_Sales_data___Copy[[#This Row],[Segment Name]],Table3[],2,FALSE)</f>
        <v>VIP Recognitioon &amp; Inclusivity</v>
      </c>
    </row>
    <row r="767" spans="1:28" x14ac:dyDescent="0.25">
      <c r="A767">
        <v>10282</v>
      </c>
      <c r="B767">
        <v>36</v>
      </c>
      <c r="C767">
        <v>115.97</v>
      </c>
      <c r="D767">
        <v>3</v>
      </c>
      <c r="E767">
        <v>4174.92</v>
      </c>
      <c r="F767" s="1">
        <v>43697</v>
      </c>
      <c r="G767" s="2" t="s">
        <v>19</v>
      </c>
      <c r="H767" s="2" t="s">
        <v>650</v>
      </c>
      <c r="I767">
        <v>100</v>
      </c>
      <c r="J767" s="2" t="s">
        <v>651</v>
      </c>
      <c r="K767" s="2" t="s">
        <v>284</v>
      </c>
      <c r="L767" s="2" t="s">
        <v>285</v>
      </c>
      <c r="M767" s="2" t="s">
        <v>286</v>
      </c>
      <c r="N767" s="2" t="s">
        <v>287</v>
      </c>
      <c r="O767" s="2" t="s">
        <v>106</v>
      </c>
      <c r="P767" s="2" t="s">
        <v>27</v>
      </c>
      <c r="Q767" s="2" t="s">
        <v>288</v>
      </c>
      <c r="R767" s="2" t="s">
        <v>289</v>
      </c>
      <c r="S767" s="2" t="s">
        <v>46</v>
      </c>
      <c r="T767">
        <v>1323</v>
      </c>
      <c r="U767">
        <f>VLOOKUP(Auto_Sales_data___Copy[[#This Row],[CUSTOMER_NAME]],$AF$2:$AH$90,2,FALSE)</f>
        <v>180</v>
      </c>
      <c r="V767">
        <f>VLOOKUP(Auto_Sales_data___Copy[[#This Row],[CUSTOMER_NAME]],$AF$2:$AH$90,3,FALSE)</f>
        <v>654858.06000000017</v>
      </c>
      <c r="W767" s="2">
        <f>6-MATCH(Auto_Sales_data___Copy[[#This Row],[DAYS_SINCE_LAST_ORDER]],Table2[R-Cutoff],1)</f>
        <v>4</v>
      </c>
      <c r="X767" s="2">
        <f>MATCH(Auto_Sales_data___Copy[[#This Row],[Total_Orders_Per_Customer]],Table2[F-Cutoff],1)</f>
        <v>4</v>
      </c>
      <c r="Y767" s="2">
        <f>MATCH(Auto_Sales_data___Copy[[#This Row],[Total_Sales_Per_Customer]],Table2[M-Cutoff],1)</f>
        <v>4</v>
      </c>
      <c r="Z767" s="2" t="str">
        <f>Auto_Sales_data___Copy[[#This Row],[R-Score(1-5)]]&amp;Auto_Sales_data___Copy[[#This Row],[F-Score(1-5)]]&amp;Auto_Sales_data___Copy[[#This Row],[M-Score(1-5)]]</f>
        <v>444</v>
      </c>
      <c r="AA767" s="2" t="str" cm="1">
        <f t="array" ref="AA7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7" s="2" t="str">
        <f>VLOOKUP(Auto_Sales_data___Copy[[#This Row],[Segment Name]],Table3[],2,FALSE)</f>
        <v>VIP Recognitioon &amp; Inclusivity</v>
      </c>
    </row>
    <row r="768" spans="1:28" x14ac:dyDescent="0.25">
      <c r="A768">
        <v>10285</v>
      </c>
      <c r="B768">
        <v>20</v>
      </c>
      <c r="C768">
        <v>49.06</v>
      </c>
      <c r="D768">
        <v>10</v>
      </c>
      <c r="E768">
        <v>981.2</v>
      </c>
      <c r="F768" s="1">
        <v>43704</v>
      </c>
      <c r="G768" s="2" t="s">
        <v>19</v>
      </c>
      <c r="H768" s="2" t="s">
        <v>20</v>
      </c>
      <c r="I768">
        <v>60</v>
      </c>
      <c r="J768" s="2" t="s">
        <v>637</v>
      </c>
      <c r="K768" s="2" t="s">
        <v>115</v>
      </c>
      <c r="L768" s="2" t="s">
        <v>116</v>
      </c>
      <c r="M768" s="2" t="s">
        <v>117</v>
      </c>
      <c r="N768" s="2" t="s">
        <v>118</v>
      </c>
      <c r="O768" s="2" t="s">
        <v>119</v>
      </c>
      <c r="P768" s="2" t="s">
        <v>27</v>
      </c>
      <c r="Q768" s="2" t="s">
        <v>120</v>
      </c>
      <c r="R768" s="2" t="s">
        <v>121</v>
      </c>
      <c r="S768" s="2" t="s">
        <v>30</v>
      </c>
      <c r="T768">
        <v>1065</v>
      </c>
      <c r="U768">
        <f>VLOOKUP(Auto_Sales_data___Copy[[#This Row],[CUSTOMER_NAME]],$AF$2:$AH$90,2,FALSE)</f>
        <v>27</v>
      </c>
      <c r="V768">
        <f>VLOOKUP(Auto_Sales_data___Copy[[#This Row],[CUSTOMER_NAME]],$AF$2:$AH$90,3,FALSE)</f>
        <v>103080.37999999998</v>
      </c>
      <c r="W768" s="2">
        <f>6-MATCH(Auto_Sales_data___Copy[[#This Row],[DAYS_SINCE_LAST_ORDER]],Table2[R-Cutoff],1)</f>
        <v>4</v>
      </c>
      <c r="X768" s="2">
        <f>MATCH(Auto_Sales_data___Copy[[#This Row],[Total_Orders_Per_Customer]],Table2[F-Cutoff],1)</f>
        <v>4</v>
      </c>
      <c r="Y768" s="2">
        <f>MATCH(Auto_Sales_data___Copy[[#This Row],[Total_Sales_Per_Customer]],Table2[M-Cutoff],1)</f>
        <v>4</v>
      </c>
      <c r="Z768" s="2" t="str">
        <f>Auto_Sales_data___Copy[[#This Row],[R-Score(1-5)]]&amp;Auto_Sales_data___Copy[[#This Row],[F-Score(1-5)]]&amp;Auto_Sales_data___Copy[[#This Row],[M-Score(1-5)]]</f>
        <v>444</v>
      </c>
      <c r="AA768" s="2" t="str" cm="1">
        <f t="array" ref="AA7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8" s="2" t="str">
        <f>VLOOKUP(Auto_Sales_data___Copy[[#This Row],[Segment Name]],Table3[],2,FALSE)</f>
        <v>VIP Recognitioon &amp; Inclusivity</v>
      </c>
    </row>
    <row r="769" spans="1:28" x14ac:dyDescent="0.25">
      <c r="A769">
        <v>10287</v>
      </c>
      <c r="B769">
        <v>44</v>
      </c>
      <c r="C769">
        <v>114.84</v>
      </c>
      <c r="D769">
        <v>1</v>
      </c>
      <c r="E769">
        <v>5052.96</v>
      </c>
      <c r="F769" s="1">
        <v>43707</v>
      </c>
      <c r="G769" s="2" t="s">
        <v>19</v>
      </c>
      <c r="H769" s="2" t="s">
        <v>183</v>
      </c>
      <c r="I769">
        <v>132</v>
      </c>
      <c r="J769" s="2" t="s">
        <v>639</v>
      </c>
      <c r="K769" s="2" t="s">
        <v>473</v>
      </c>
      <c r="L769" s="2" t="s">
        <v>474</v>
      </c>
      <c r="M769" s="2" t="s">
        <v>475</v>
      </c>
      <c r="N769" s="2" t="s">
        <v>476</v>
      </c>
      <c r="O769" s="2" t="s">
        <v>477</v>
      </c>
      <c r="P769" s="2" t="s">
        <v>478</v>
      </c>
      <c r="Q769" s="2" t="s">
        <v>479</v>
      </c>
      <c r="R769" s="2" t="s">
        <v>94</v>
      </c>
      <c r="S769" s="2" t="s">
        <v>46</v>
      </c>
      <c r="T769">
        <v>1113</v>
      </c>
      <c r="U769">
        <f>VLOOKUP(Auto_Sales_data___Copy[[#This Row],[CUSTOMER_NAME]],$AF$2:$AH$90,2,FALSE)</f>
        <v>31</v>
      </c>
      <c r="V769">
        <f>VLOOKUP(Auto_Sales_data___Copy[[#This Row],[CUSTOMER_NAME]],$AF$2:$AH$90,3,FALSE)</f>
        <v>117713.56000000001</v>
      </c>
      <c r="W769" s="2">
        <f>6-MATCH(Auto_Sales_data___Copy[[#This Row],[DAYS_SINCE_LAST_ORDER]],Table2[R-Cutoff],1)</f>
        <v>4</v>
      </c>
      <c r="X769" s="2">
        <f>MATCH(Auto_Sales_data___Copy[[#This Row],[Total_Orders_Per_Customer]],Table2[F-Cutoff],1)</f>
        <v>4</v>
      </c>
      <c r="Y769" s="2">
        <f>MATCH(Auto_Sales_data___Copy[[#This Row],[Total_Sales_Per_Customer]],Table2[M-Cutoff],1)</f>
        <v>4</v>
      </c>
      <c r="Z769" s="2" t="str">
        <f>Auto_Sales_data___Copy[[#This Row],[R-Score(1-5)]]&amp;Auto_Sales_data___Copy[[#This Row],[F-Score(1-5)]]&amp;Auto_Sales_data___Copy[[#This Row],[M-Score(1-5)]]</f>
        <v>444</v>
      </c>
      <c r="AA769" s="2" t="str" cm="1">
        <f t="array" ref="AA7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9" s="2" t="str">
        <f>VLOOKUP(Auto_Sales_data___Copy[[#This Row],[Segment Name]],Table3[],2,FALSE)</f>
        <v>VIP Recognitioon &amp; Inclusivity</v>
      </c>
    </row>
    <row r="770" spans="1:28" x14ac:dyDescent="0.25">
      <c r="A770">
        <v>10287</v>
      </c>
      <c r="B770">
        <v>36</v>
      </c>
      <c r="C770">
        <v>162.57</v>
      </c>
      <c r="D770">
        <v>5</v>
      </c>
      <c r="E770">
        <v>5852.52</v>
      </c>
      <c r="F770" s="1">
        <v>43707</v>
      </c>
      <c r="G770" s="2" t="s">
        <v>19</v>
      </c>
      <c r="H770" s="2" t="s">
        <v>183</v>
      </c>
      <c r="I770">
        <v>169</v>
      </c>
      <c r="J770" s="2" t="s">
        <v>649</v>
      </c>
      <c r="K770" s="2" t="s">
        <v>473</v>
      </c>
      <c r="L770" s="2" t="s">
        <v>474</v>
      </c>
      <c r="M770" s="2" t="s">
        <v>475</v>
      </c>
      <c r="N770" s="2" t="s">
        <v>476</v>
      </c>
      <c r="O770" s="2" t="s">
        <v>477</v>
      </c>
      <c r="P770" s="2" t="s">
        <v>478</v>
      </c>
      <c r="Q770" s="2" t="s">
        <v>479</v>
      </c>
      <c r="R770" s="2" t="s">
        <v>94</v>
      </c>
      <c r="S770" s="2" t="s">
        <v>46</v>
      </c>
      <c r="T770">
        <v>1277</v>
      </c>
      <c r="U770">
        <f>VLOOKUP(Auto_Sales_data___Copy[[#This Row],[CUSTOMER_NAME]],$AF$2:$AH$90,2,FALSE)</f>
        <v>31</v>
      </c>
      <c r="V770">
        <f>VLOOKUP(Auto_Sales_data___Copy[[#This Row],[CUSTOMER_NAME]],$AF$2:$AH$90,3,FALSE)</f>
        <v>117713.56000000001</v>
      </c>
      <c r="W770" s="2">
        <f>6-MATCH(Auto_Sales_data___Copy[[#This Row],[DAYS_SINCE_LAST_ORDER]],Table2[R-Cutoff],1)</f>
        <v>4</v>
      </c>
      <c r="X770" s="2">
        <f>MATCH(Auto_Sales_data___Copy[[#This Row],[Total_Orders_Per_Customer]],Table2[F-Cutoff],1)</f>
        <v>4</v>
      </c>
      <c r="Y770" s="2">
        <f>MATCH(Auto_Sales_data___Copy[[#This Row],[Total_Sales_Per_Customer]],Table2[M-Cutoff],1)</f>
        <v>4</v>
      </c>
      <c r="Z770" s="2" t="str">
        <f>Auto_Sales_data___Copy[[#This Row],[R-Score(1-5)]]&amp;Auto_Sales_data___Copy[[#This Row],[F-Score(1-5)]]&amp;Auto_Sales_data___Copy[[#This Row],[M-Score(1-5)]]</f>
        <v>444</v>
      </c>
      <c r="AA770" s="2" t="str" cm="1">
        <f t="array" ref="AA7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0" s="2" t="str">
        <f>VLOOKUP(Auto_Sales_data___Copy[[#This Row],[Segment Name]],Table3[],2,FALSE)</f>
        <v>VIP Recognitioon &amp; Inclusivity</v>
      </c>
    </row>
    <row r="771" spans="1:28" x14ac:dyDescent="0.25">
      <c r="A771">
        <v>10287</v>
      </c>
      <c r="B771">
        <v>43</v>
      </c>
      <c r="C771">
        <v>70.760000000000005</v>
      </c>
      <c r="D771">
        <v>15</v>
      </c>
      <c r="E771">
        <v>3042.68</v>
      </c>
      <c r="F771" s="1">
        <v>43707</v>
      </c>
      <c r="G771" s="2" t="s">
        <v>19</v>
      </c>
      <c r="H771" s="2" t="s">
        <v>183</v>
      </c>
      <c r="I771">
        <v>80</v>
      </c>
      <c r="J771" s="2" t="s">
        <v>652</v>
      </c>
      <c r="K771" s="2" t="s">
        <v>473</v>
      </c>
      <c r="L771" s="2" t="s">
        <v>474</v>
      </c>
      <c r="M771" s="2" t="s">
        <v>475</v>
      </c>
      <c r="N771" s="2" t="s">
        <v>476</v>
      </c>
      <c r="O771" s="2" t="s">
        <v>477</v>
      </c>
      <c r="P771" s="2" t="s">
        <v>478</v>
      </c>
      <c r="Q771" s="2" t="s">
        <v>479</v>
      </c>
      <c r="R771" s="2" t="s">
        <v>94</v>
      </c>
      <c r="S771" s="2" t="s">
        <v>46</v>
      </c>
      <c r="T771">
        <v>1338</v>
      </c>
      <c r="U771">
        <f>VLOOKUP(Auto_Sales_data___Copy[[#This Row],[CUSTOMER_NAME]],$AF$2:$AH$90,2,FALSE)</f>
        <v>31</v>
      </c>
      <c r="V771">
        <f>VLOOKUP(Auto_Sales_data___Copy[[#This Row],[CUSTOMER_NAME]],$AF$2:$AH$90,3,FALSE)</f>
        <v>117713.56000000001</v>
      </c>
      <c r="W771" s="2">
        <f>6-MATCH(Auto_Sales_data___Copy[[#This Row],[DAYS_SINCE_LAST_ORDER]],Table2[R-Cutoff],1)</f>
        <v>4</v>
      </c>
      <c r="X771" s="2">
        <f>MATCH(Auto_Sales_data___Copy[[#This Row],[Total_Orders_Per_Customer]],Table2[F-Cutoff],1)</f>
        <v>4</v>
      </c>
      <c r="Y771" s="2">
        <f>MATCH(Auto_Sales_data___Copy[[#This Row],[Total_Sales_Per_Customer]],Table2[M-Cutoff],1)</f>
        <v>4</v>
      </c>
      <c r="Z771" s="2" t="str">
        <f>Auto_Sales_data___Copy[[#This Row],[R-Score(1-5)]]&amp;Auto_Sales_data___Copy[[#This Row],[F-Score(1-5)]]&amp;Auto_Sales_data___Copy[[#This Row],[M-Score(1-5)]]</f>
        <v>444</v>
      </c>
      <c r="AA771" s="2" t="str" cm="1">
        <f t="array" ref="AA7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1" s="2" t="str">
        <f>VLOOKUP(Auto_Sales_data___Copy[[#This Row],[Segment Name]],Table3[],2,FALSE)</f>
        <v>VIP Recognitioon &amp; Inclusivity</v>
      </c>
    </row>
    <row r="772" spans="1:28" x14ac:dyDescent="0.25">
      <c r="A772">
        <v>10287</v>
      </c>
      <c r="B772">
        <v>40</v>
      </c>
      <c r="C772">
        <v>169.04</v>
      </c>
      <c r="D772">
        <v>14</v>
      </c>
      <c r="E772">
        <v>6761.6</v>
      </c>
      <c r="F772" s="1">
        <v>43707</v>
      </c>
      <c r="G772" s="2" t="s">
        <v>19</v>
      </c>
      <c r="H772" s="2" t="s">
        <v>183</v>
      </c>
      <c r="I772">
        <v>146</v>
      </c>
      <c r="J772" s="2" t="s">
        <v>654</v>
      </c>
      <c r="K772" s="2" t="s">
        <v>473</v>
      </c>
      <c r="L772" s="2" t="s">
        <v>474</v>
      </c>
      <c r="M772" s="2" t="s">
        <v>475</v>
      </c>
      <c r="N772" s="2" t="s">
        <v>476</v>
      </c>
      <c r="O772" s="2" t="s">
        <v>477</v>
      </c>
      <c r="P772" s="2" t="s">
        <v>478</v>
      </c>
      <c r="Q772" s="2" t="s">
        <v>479</v>
      </c>
      <c r="R772" s="2" t="s">
        <v>94</v>
      </c>
      <c r="S772" s="2" t="s">
        <v>46</v>
      </c>
      <c r="T772">
        <v>1385</v>
      </c>
      <c r="U772">
        <f>VLOOKUP(Auto_Sales_data___Copy[[#This Row],[CUSTOMER_NAME]],$AF$2:$AH$90,2,FALSE)</f>
        <v>31</v>
      </c>
      <c r="V772">
        <f>VLOOKUP(Auto_Sales_data___Copy[[#This Row],[CUSTOMER_NAME]],$AF$2:$AH$90,3,FALSE)</f>
        <v>117713.56000000001</v>
      </c>
      <c r="W772" s="2">
        <f>6-MATCH(Auto_Sales_data___Copy[[#This Row],[DAYS_SINCE_LAST_ORDER]],Table2[R-Cutoff],1)</f>
        <v>4</v>
      </c>
      <c r="X772" s="2">
        <f>MATCH(Auto_Sales_data___Copy[[#This Row],[Total_Orders_Per_Customer]],Table2[F-Cutoff],1)</f>
        <v>4</v>
      </c>
      <c r="Y772" s="2">
        <f>MATCH(Auto_Sales_data___Copy[[#This Row],[Total_Sales_Per_Customer]],Table2[M-Cutoff],1)</f>
        <v>4</v>
      </c>
      <c r="Z772" s="2" t="str">
        <f>Auto_Sales_data___Copy[[#This Row],[R-Score(1-5)]]&amp;Auto_Sales_data___Copy[[#This Row],[F-Score(1-5)]]&amp;Auto_Sales_data___Copy[[#This Row],[M-Score(1-5)]]</f>
        <v>444</v>
      </c>
      <c r="AA772" s="2" t="str" cm="1">
        <f t="array" ref="AA7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2" s="2" t="str">
        <f>VLOOKUP(Auto_Sales_data___Copy[[#This Row],[Segment Name]],Table3[],2,FALSE)</f>
        <v>VIP Recognitioon &amp; Inclusivity</v>
      </c>
    </row>
    <row r="773" spans="1:28" x14ac:dyDescent="0.25">
      <c r="A773">
        <v>10287</v>
      </c>
      <c r="B773">
        <v>27</v>
      </c>
      <c r="C773">
        <v>159.65</v>
      </c>
      <c r="D773">
        <v>2</v>
      </c>
      <c r="E773">
        <v>4310.55</v>
      </c>
      <c r="F773" s="1">
        <v>43707</v>
      </c>
      <c r="G773" s="2" t="s">
        <v>19</v>
      </c>
      <c r="H773" s="2" t="s">
        <v>183</v>
      </c>
      <c r="I773">
        <v>141</v>
      </c>
      <c r="J773" s="2" t="s">
        <v>655</v>
      </c>
      <c r="K773" s="2" t="s">
        <v>473</v>
      </c>
      <c r="L773" s="2" t="s">
        <v>474</v>
      </c>
      <c r="M773" s="2" t="s">
        <v>475</v>
      </c>
      <c r="N773" s="2" t="s">
        <v>476</v>
      </c>
      <c r="O773" s="2" t="s">
        <v>477</v>
      </c>
      <c r="P773" s="2" t="s">
        <v>478</v>
      </c>
      <c r="Q773" s="2" t="s">
        <v>479</v>
      </c>
      <c r="R773" s="2" t="s">
        <v>94</v>
      </c>
      <c r="S773" s="2" t="s">
        <v>46</v>
      </c>
      <c r="T773">
        <v>1410</v>
      </c>
      <c r="U773">
        <f>VLOOKUP(Auto_Sales_data___Copy[[#This Row],[CUSTOMER_NAME]],$AF$2:$AH$90,2,FALSE)</f>
        <v>31</v>
      </c>
      <c r="V773">
        <f>VLOOKUP(Auto_Sales_data___Copy[[#This Row],[CUSTOMER_NAME]],$AF$2:$AH$90,3,FALSE)</f>
        <v>117713.56000000001</v>
      </c>
      <c r="W773" s="2">
        <f>6-MATCH(Auto_Sales_data___Copy[[#This Row],[DAYS_SINCE_LAST_ORDER]],Table2[R-Cutoff],1)</f>
        <v>4</v>
      </c>
      <c r="X773" s="2">
        <f>MATCH(Auto_Sales_data___Copy[[#This Row],[Total_Orders_Per_Customer]],Table2[F-Cutoff],1)</f>
        <v>4</v>
      </c>
      <c r="Y773" s="2">
        <f>MATCH(Auto_Sales_data___Copy[[#This Row],[Total_Sales_Per_Customer]],Table2[M-Cutoff],1)</f>
        <v>4</v>
      </c>
      <c r="Z773" s="2" t="str">
        <f>Auto_Sales_data___Copy[[#This Row],[R-Score(1-5)]]&amp;Auto_Sales_data___Copy[[#This Row],[F-Score(1-5)]]&amp;Auto_Sales_data___Copy[[#This Row],[M-Score(1-5)]]</f>
        <v>444</v>
      </c>
      <c r="AA773" s="2" t="str" cm="1">
        <f t="array" ref="AA7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3" s="2" t="str">
        <f>VLOOKUP(Auto_Sales_data___Copy[[#This Row],[Segment Name]],Table3[],2,FALSE)</f>
        <v>VIP Recognitioon &amp; Inclusivity</v>
      </c>
    </row>
    <row r="774" spans="1:28" x14ac:dyDescent="0.25">
      <c r="A774">
        <v>10288</v>
      </c>
      <c r="B774">
        <v>31</v>
      </c>
      <c r="C774">
        <v>123.32</v>
      </c>
      <c r="D774">
        <v>2</v>
      </c>
      <c r="E774">
        <v>3822.92</v>
      </c>
      <c r="F774" s="1">
        <v>43709</v>
      </c>
      <c r="G774" s="2" t="s">
        <v>19</v>
      </c>
      <c r="H774" s="2" t="s">
        <v>589</v>
      </c>
      <c r="I774">
        <v>127</v>
      </c>
      <c r="J774" s="2" t="s">
        <v>634</v>
      </c>
      <c r="K774" s="2" t="s">
        <v>443</v>
      </c>
      <c r="L774" s="2" t="s">
        <v>444</v>
      </c>
      <c r="M774" s="2" t="s">
        <v>445</v>
      </c>
      <c r="N774" s="2" t="s">
        <v>202</v>
      </c>
      <c r="O774" s="2" t="s">
        <v>446</v>
      </c>
      <c r="P774" s="2" t="s">
        <v>202</v>
      </c>
      <c r="Q774" s="2" t="s">
        <v>447</v>
      </c>
      <c r="R774" s="2" t="s">
        <v>448</v>
      </c>
      <c r="S774" s="2" t="s">
        <v>46</v>
      </c>
      <c r="T774">
        <v>985</v>
      </c>
      <c r="U774">
        <f>VLOOKUP(Auto_Sales_data___Copy[[#This Row],[CUSTOMER_NAME]],$AF$2:$AH$90,2,FALSE)</f>
        <v>36</v>
      </c>
      <c r="V774">
        <f>VLOOKUP(Auto_Sales_data___Copy[[#This Row],[CUSTOMER_NAME]],$AF$2:$AH$90,3,FALSE)</f>
        <v>115498.72999999998</v>
      </c>
      <c r="W774" s="2">
        <f>6-MATCH(Auto_Sales_data___Copy[[#This Row],[DAYS_SINCE_LAST_ORDER]],Table2[R-Cutoff],1)</f>
        <v>4</v>
      </c>
      <c r="X774" s="2">
        <f>MATCH(Auto_Sales_data___Copy[[#This Row],[Total_Orders_Per_Customer]],Table2[F-Cutoff],1)</f>
        <v>4</v>
      </c>
      <c r="Y774" s="2">
        <f>MATCH(Auto_Sales_data___Copy[[#This Row],[Total_Sales_Per_Customer]],Table2[M-Cutoff],1)</f>
        <v>4</v>
      </c>
      <c r="Z774" s="2" t="str">
        <f>Auto_Sales_data___Copy[[#This Row],[R-Score(1-5)]]&amp;Auto_Sales_data___Copy[[#This Row],[F-Score(1-5)]]&amp;Auto_Sales_data___Copy[[#This Row],[M-Score(1-5)]]</f>
        <v>444</v>
      </c>
      <c r="AA774" s="2" t="str" cm="1">
        <f t="array" ref="AA7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4" s="2" t="str">
        <f>VLOOKUP(Auto_Sales_data___Copy[[#This Row],[Segment Name]],Table3[],2,FALSE)</f>
        <v>VIP Recognitioon &amp; Inclusivity</v>
      </c>
    </row>
    <row r="775" spans="1:28" x14ac:dyDescent="0.25">
      <c r="A775">
        <v>10289</v>
      </c>
      <c r="B775">
        <v>43</v>
      </c>
      <c r="C775">
        <v>192.38</v>
      </c>
      <c r="D775">
        <v>3</v>
      </c>
      <c r="E775">
        <v>8272.34</v>
      </c>
      <c r="F775" s="1">
        <v>43711</v>
      </c>
      <c r="G775" s="2" t="s">
        <v>19</v>
      </c>
      <c r="H775" s="2" t="s">
        <v>589</v>
      </c>
      <c r="I775">
        <v>168</v>
      </c>
      <c r="J775" s="2" t="s">
        <v>638</v>
      </c>
      <c r="K775" s="2" t="s">
        <v>68</v>
      </c>
      <c r="L775" s="2" t="s">
        <v>69</v>
      </c>
      <c r="M775" s="2" t="s">
        <v>70</v>
      </c>
      <c r="N775" s="2" t="s">
        <v>71</v>
      </c>
      <c r="O775" s="2" t="s">
        <v>72</v>
      </c>
      <c r="P775" s="2" t="s">
        <v>73</v>
      </c>
      <c r="Q775" s="2" t="s">
        <v>74</v>
      </c>
      <c r="R775" s="2" t="s">
        <v>75</v>
      </c>
      <c r="S775" s="2" t="s">
        <v>151</v>
      </c>
      <c r="T775">
        <v>1083</v>
      </c>
      <c r="U775">
        <f>VLOOKUP(Auto_Sales_data___Copy[[#This Row],[CUSTOMER_NAME]],$AF$2:$AH$90,2,FALSE)</f>
        <v>29</v>
      </c>
      <c r="V775">
        <f>VLOOKUP(Auto_Sales_data___Copy[[#This Row],[CUSTOMER_NAME]],$AF$2:$AH$90,3,FALSE)</f>
        <v>111640.28</v>
      </c>
      <c r="W775" s="2">
        <f>6-MATCH(Auto_Sales_data___Copy[[#This Row],[DAYS_SINCE_LAST_ORDER]],Table2[R-Cutoff],1)</f>
        <v>4</v>
      </c>
      <c r="X775" s="2">
        <f>MATCH(Auto_Sales_data___Copy[[#This Row],[Total_Orders_Per_Customer]],Table2[F-Cutoff],1)</f>
        <v>4</v>
      </c>
      <c r="Y775" s="2">
        <f>MATCH(Auto_Sales_data___Copy[[#This Row],[Total_Sales_Per_Customer]],Table2[M-Cutoff],1)</f>
        <v>4</v>
      </c>
      <c r="Z775" s="2" t="str">
        <f>Auto_Sales_data___Copy[[#This Row],[R-Score(1-5)]]&amp;Auto_Sales_data___Copy[[#This Row],[F-Score(1-5)]]&amp;Auto_Sales_data___Copy[[#This Row],[M-Score(1-5)]]</f>
        <v>444</v>
      </c>
      <c r="AA775" s="2" t="str" cm="1">
        <f t="array" ref="AA7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5" s="2" t="str">
        <f>VLOOKUP(Auto_Sales_data___Copy[[#This Row],[Segment Name]],Table3[],2,FALSE)</f>
        <v>VIP Recognitioon &amp; Inclusivity</v>
      </c>
    </row>
    <row r="776" spans="1:28" x14ac:dyDescent="0.25">
      <c r="A776">
        <v>10292</v>
      </c>
      <c r="B776">
        <v>41</v>
      </c>
      <c r="C776">
        <v>110.46</v>
      </c>
      <c r="D776">
        <v>11</v>
      </c>
      <c r="E776">
        <v>4528.8599999999997</v>
      </c>
      <c r="F776" s="1">
        <v>43716</v>
      </c>
      <c r="G776" s="2" t="s">
        <v>19</v>
      </c>
      <c r="H776" s="2" t="s">
        <v>537</v>
      </c>
      <c r="I776">
        <v>122</v>
      </c>
      <c r="J776" s="2" t="s">
        <v>633</v>
      </c>
      <c r="K776" s="2" t="s">
        <v>22</v>
      </c>
      <c r="L776" s="2" t="s">
        <v>23</v>
      </c>
      <c r="M776" s="2" t="s">
        <v>24</v>
      </c>
      <c r="N776" s="2" t="s">
        <v>25</v>
      </c>
      <c r="O776" s="2" t="s">
        <v>26</v>
      </c>
      <c r="P776" s="2" t="s">
        <v>27</v>
      </c>
      <c r="Q776" s="2" t="s">
        <v>28</v>
      </c>
      <c r="R776" s="2" t="s">
        <v>29</v>
      </c>
      <c r="S776" s="2" t="s">
        <v>46</v>
      </c>
      <c r="T776">
        <v>955</v>
      </c>
      <c r="U776">
        <f>VLOOKUP(Auto_Sales_data___Copy[[#This Row],[CUSTOMER_NAME]],$AF$2:$AH$90,2,FALSE)</f>
        <v>49</v>
      </c>
      <c r="V776">
        <f>VLOOKUP(Auto_Sales_data___Copy[[#This Row],[CUSTOMER_NAME]],$AF$2:$AH$90,3,FALSE)</f>
        <v>164069.43999999997</v>
      </c>
      <c r="W776" s="2">
        <f>6-MATCH(Auto_Sales_data___Copy[[#This Row],[DAYS_SINCE_LAST_ORDER]],Table2[R-Cutoff],1)</f>
        <v>4</v>
      </c>
      <c r="X776" s="2">
        <f>MATCH(Auto_Sales_data___Copy[[#This Row],[Total_Orders_Per_Customer]],Table2[F-Cutoff],1)</f>
        <v>4</v>
      </c>
      <c r="Y776" s="2">
        <f>MATCH(Auto_Sales_data___Copy[[#This Row],[Total_Sales_Per_Customer]],Table2[M-Cutoff],1)</f>
        <v>4</v>
      </c>
      <c r="Z776" s="2" t="str">
        <f>Auto_Sales_data___Copy[[#This Row],[R-Score(1-5)]]&amp;Auto_Sales_data___Copy[[#This Row],[F-Score(1-5)]]&amp;Auto_Sales_data___Copy[[#This Row],[M-Score(1-5)]]</f>
        <v>444</v>
      </c>
      <c r="AA776" s="2" t="str" cm="1">
        <f t="array" ref="AA7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6" s="2" t="str">
        <f>VLOOKUP(Auto_Sales_data___Copy[[#This Row],[Segment Name]],Table3[],2,FALSE)</f>
        <v>VIP Recognitioon &amp; Inclusivity</v>
      </c>
    </row>
    <row r="777" spans="1:28" x14ac:dyDescent="0.25">
      <c r="A777">
        <v>10291</v>
      </c>
      <c r="B777">
        <v>26</v>
      </c>
      <c r="C777">
        <v>57.73</v>
      </c>
      <c r="D777">
        <v>2</v>
      </c>
      <c r="E777">
        <v>1500.98</v>
      </c>
      <c r="F777" s="1">
        <v>43716</v>
      </c>
      <c r="G777" s="2" t="s">
        <v>19</v>
      </c>
      <c r="H777" s="2" t="s">
        <v>537</v>
      </c>
      <c r="I777">
        <v>60</v>
      </c>
      <c r="J777" s="2" t="s">
        <v>635</v>
      </c>
      <c r="K777" s="2" t="s">
        <v>272</v>
      </c>
      <c r="L777" s="2" t="s">
        <v>273</v>
      </c>
      <c r="M777" s="2" t="s">
        <v>274</v>
      </c>
      <c r="N777" s="2" t="s">
        <v>275</v>
      </c>
      <c r="O777" s="2" t="s">
        <v>276</v>
      </c>
      <c r="P777" s="2" t="s">
        <v>190</v>
      </c>
      <c r="Q777" s="2" t="s">
        <v>277</v>
      </c>
      <c r="R777" s="2" t="s">
        <v>209</v>
      </c>
      <c r="S777" s="2" t="s">
        <v>30</v>
      </c>
      <c r="T777">
        <v>1006</v>
      </c>
      <c r="U777">
        <f>VLOOKUP(Auto_Sales_data___Copy[[#This Row],[CUSTOMER_NAME]],$AF$2:$AH$90,2,FALSE)</f>
        <v>38</v>
      </c>
      <c r="V777">
        <f>VLOOKUP(Auto_Sales_data___Copy[[#This Row],[CUSTOMER_NAME]],$AF$2:$AH$90,3,FALSE)</f>
        <v>134259.32999999996</v>
      </c>
      <c r="W777" s="2">
        <f>6-MATCH(Auto_Sales_data___Copy[[#This Row],[DAYS_SINCE_LAST_ORDER]],Table2[R-Cutoff],1)</f>
        <v>4</v>
      </c>
      <c r="X777" s="2">
        <f>MATCH(Auto_Sales_data___Copy[[#This Row],[Total_Orders_Per_Customer]],Table2[F-Cutoff],1)</f>
        <v>4</v>
      </c>
      <c r="Y777" s="2">
        <f>MATCH(Auto_Sales_data___Copy[[#This Row],[Total_Sales_Per_Customer]],Table2[M-Cutoff],1)</f>
        <v>4</v>
      </c>
      <c r="Z777" s="2" t="str">
        <f>Auto_Sales_data___Copy[[#This Row],[R-Score(1-5)]]&amp;Auto_Sales_data___Copy[[#This Row],[F-Score(1-5)]]&amp;Auto_Sales_data___Copy[[#This Row],[M-Score(1-5)]]</f>
        <v>444</v>
      </c>
      <c r="AA777" s="2" t="str" cm="1">
        <f t="array" ref="AA7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7" s="2" t="str">
        <f>VLOOKUP(Auto_Sales_data___Copy[[#This Row],[Segment Name]],Table3[],2,FALSE)</f>
        <v>VIP Recognitioon &amp; Inclusivity</v>
      </c>
    </row>
    <row r="778" spans="1:28" x14ac:dyDescent="0.25">
      <c r="A778">
        <v>10291</v>
      </c>
      <c r="B778">
        <v>47</v>
      </c>
      <c r="C778">
        <v>121.57</v>
      </c>
      <c r="D778">
        <v>12</v>
      </c>
      <c r="E778">
        <v>5713.79</v>
      </c>
      <c r="F778" s="1">
        <v>43716</v>
      </c>
      <c r="G778" s="2" t="s">
        <v>19</v>
      </c>
      <c r="H778" s="2" t="s">
        <v>589</v>
      </c>
      <c r="I778">
        <v>101</v>
      </c>
      <c r="J778" s="2" t="s">
        <v>640</v>
      </c>
      <c r="K778" s="2" t="s">
        <v>272</v>
      </c>
      <c r="L778" s="2" t="s">
        <v>273</v>
      </c>
      <c r="M778" s="2" t="s">
        <v>274</v>
      </c>
      <c r="N778" s="2" t="s">
        <v>275</v>
      </c>
      <c r="O778" s="2" t="s">
        <v>276</v>
      </c>
      <c r="P778" s="2" t="s">
        <v>190</v>
      </c>
      <c r="Q778" s="2" t="s">
        <v>277</v>
      </c>
      <c r="R778" s="2" t="s">
        <v>209</v>
      </c>
      <c r="S778" s="2" t="s">
        <v>46</v>
      </c>
      <c r="T778">
        <v>1130</v>
      </c>
      <c r="U778">
        <f>VLOOKUP(Auto_Sales_data___Copy[[#This Row],[CUSTOMER_NAME]],$AF$2:$AH$90,2,FALSE)</f>
        <v>38</v>
      </c>
      <c r="V778">
        <f>VLOOKUP(Auto_Sales_data___Copy[[#This Row],[CUSTOMER_NAME]],$AF$2:$AH$90,3,FALSE)</f>
        <v>134259.32999999996</v>
      </c>
      <c r="W778" s="2">
        <f>6-MATCH(Auto_Sales_data___Copy[[#This Row],[DAYS_SINCE_LAST_ORDER]],Table2[R-Cutoff],1)</f>
        <v>4</v>
      </c>
      <c r="X778" s="2">
        <f>MATCH(Auto_Sales_data___Copy[[#This Row],[Total_Orders_Per_Customer]],Table2[F-Cutoff],1)</f>
        <v>4</v>
      </c>
      <c r="Y778" s="2">
        <f>MATCH(Auto_Sales_data___Copy[[#This Row],[Total_Sales_Per_Customer]],Table2[M-Cutoff],1)</f>
        <v>4</v>
      </c>
      <c r="Z778" s="2" t="str">
        <f>Auto_Sales_data___Copy[[#This Row],[R-Score(1-5)]]&amp;Auto_Sales_data___Copy[[#This Row],[F-Score(1-5)]]&amp;Auto_Sales_data___Copy[[#This Row],[M-Score(1-5)]]</f>
        <v>444</v>
      </c>
      <c r="AA778" s="2" t="str" cm="1">
        <f t="array" ref="AA7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8" s="2" t="str">
        <f>VLOOKUP(Auto_Sales_data___Copy[[#This Row],[Segment Name]],Table3[],2,FALSE)</f>
        <v>VIP Recognitioon &amp; Inclusivity</v>
      </c>
    </row>
    <row r="779" spans="1:28" x14ac:dyDescent="0.25">
      <c r="A779">
        <v>10291</v>
      </c>
      <c r="B779">
        <v>37</v>
      </c>
      <c r="C779">
        <v>50.59</v>
      </c>
      <c r="D779">
        <v>14</v>
      </c>
      <c r="E779">
        <v>1871.83</v>
      </c>
      <c r="F779" s="1">
        <v>43716</v>
      </c>
      <c r="G779" s="2" t="s">
        <v>19</v>
      </c>
      <c r="H779" s="2" t="s">
        <v>589</v>
      </c>
      <c r="I779">
        <v>62</v>
      </c>
      <c r="J779" s="2" t="s">
        <v>641</v>
      </c>
      <c r="K779" s="2" t="s">
        <v>272</v>
      </c>
      <c r="L779" s="2" t="s">
        <v>273</v>
      </c>
      <c r="M779" s="2" t="s">
        <v>274</v>
      </c>
      <c r="N779" s="2" t="s">
        <v>275</v>
      </c>
      <c r="O779" s="2" t="s">
        <v>276</v>
      </c>
      <c r="P779" s="2" t="s">
        <v>190</v>
      </c>
      <c r="Q779" s="2" t="s">
        <v>277</v>
      </c>
      <c r="R779" s="2" t="s">
        <v>209</v>
      </c>
      <c r="S779" s="2" t="s">
        <v>30</v>
      </c>
      <c r="T779">
        <v>1154</v>
      </c>
      <c r="U779">
        <f>VLOOKUP(Auto_Sales_data___Copy[[#This Row],[CUSTOMER_NAME]],$AF$2:$AH$90,2,FALSE)</f>
        <v>38</v>
      </c>
      <c r="V779">
        <f>VLOOKUP(Auto_Sales_data___Copy[[#This Row],[CUSTOMER_NAME]],$AF$2:$AH$90,3,FALSE)</f>
        <v>134259.32999999996</v>
      </c>
      <c r="W779" s="2">
        <f>6-MATCH(Auto_Sales_data___Copy[[#This Row],[DAYS_SINCE_LAST_ORDER]],Table2[R-Cutoff],1)</f>
        <v>4</v>
      </c>
      <c r="X779" s="2">
        <f>MATCH(Auto_Sales_data___Copy[[#This Row],[Total_Orders_Per_Customer]],Table2[F-Cutoff],1)</f>
        <v>4</v>
      </c>
      <c r="Y779" s="2">
        <f>MATCH(Auto_Sales_data___Copy[[#This Row],[Total_Sales_Per_Customer]],Table2[M-Cutoff],1)</f>
        <v>4</v>
      </c>
      <c r="Z779" s="2" t="str">
        <f>Auto_Sales_data___Copy[[#This Row],[R-Score(1-5)]]&amp;Auto_Sales_data___Copy[[#This Row],[F-Score(1-5)]]&amp;Auto_Sales_data___Copy[[#This Row],[M-Score(1-5)]]</f>
        <v>444</v>
      </c>
      <c r="AA779" s="2" t="str" cm="1">
        <f t="array" ref="AA7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9" s="2" t="str">
        <f>VLOOKUP(Auto_Sales_data___Copy[[#This Row],[Segment Name]],Table3[],2,FALSE)</f>
        <v>VIP Recognitioon &amp; Inclusivity</v>
      </c>
    </row>
    <row r="780" spans="1:28" x14ac:dyDescent="0.25">
      <c r="A780">
        <v>10291</v>
      </c>
      <c r="B780">
        <v>23</v>
      </c>
      <c r="C780">
        <v>124.62</v>
      </c>
      <c r="D780">
        <v>13</v>
      </c>
      <c r="E780">
        <v>2866.26</v>
      </c>
      <c r="F780" s="1">
        <v>43716</v>
      </c>
      <c r="G780" s="2" t="s">
        <v>19</v>
      </c>
      <c r="H780" s="2" t="s">
        <v>589</v>
      </c>
      <c r="I780">
        <v>104</v>
      </c>
      <c r="J780" s="2" t="s">
        <v>647</v>
      </c>
      <c r="K780" s="2" t="s">
        <v>272</v>
      </c>
      <c r="L780" s="2" t="s">
        <v>273</v>
      </c>
      <c r="M780" s="2" t="s">
        <v>274</v>
      </c>
      <c r="N780" s="2" t="s">
        <v>275</v>
      </c>
      <c r="O780" s="2" t="s">
        <v>276</v>
      </c>
      <c r="P780" s="2" t="s">
        <v>190</v>
      </c>
      <c r="Q780" s="2" t="s">
        <v>277</v>
      </c>
      <c r="R780" s="2" t="s">
        <v>209</v>
      </c>
      <c r="S780" s="2" t="s">
        <v>30</v>
      </c>
      <c r="T780">
        <v>1204</v>
      </c>
      <c r="U780">
        <f>VLOOKUP(Auto_Sales_data___Copy[[#This Row],[CUSTOMER_NAME]],$AF$2:$AH$90,2,FALSE)</f>
        <v>38</v>
      </c>
      <c r="V780">
        <f>VLOOKUP(Auto_Sales_data___Copy[[#This Row],[CUSTOMER_NAME]],$AF$2:$AH$90,3,FALSE)</f>
        <v>134259.32999999996</v>
      </c>
      <c r="W780" s="2">
        <f>6-MATCH(Auto_Sales_data___Copy[[#This Row],[DAYS_SINCE_LAST_ORDER]],Table2[R-Cutoff],1)</f>
        <v>4</v>
      </c>
      <c r="X780" s="2">
        <f>MATCH(Auto_Sales_data___Copy[[#This Row],[Total_Orders_Per_Customer]],Table2[F-Cutoff],1)</f>
        <v>4</v>
      </c>
      <c r="Y780" s="2">
        <f>MATCH(Auto_Sales_data___Copy[[#This Row],[Total_Sales_Per_Customer]],Table2[M-Cutoff],1)</f>
        <v>4</v>
      </c>
      <c r="Z780" s="2" t="str">
        <f>Auto_Sales_data___Copy[[#This Row],[R-Score(1-5)]]&amp;Auto_Sales_data___Copy[[#This Row],[F-Score(1-5)]]&amp;Auto_Sales_data___Copy[[#This Row],[M-Score(1-5)]]</f>
        <v>444</v>
      </c>
      <c r="AA780" s="2" t="str" cm="1">
        <f t="array" ref="AA7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0" s="2" t="str">
        <f>VLOOKUP(Auto_Sales_data___Copy[[#This Row],[Segment Name]],Table3[],2,FALSE)</f>
        <v>VIP Recognitioon &amp; Inclusivity</v>
      </c>
    </row>
    <row r="781" spans="1:28" x14ac:dyDescent="0.25">
      <c r="A781">
        <v>10292</v>
      </c>
      <c r="B781">
        <v>21</v>
      </c>
      <c r="C781">
        <v>135.47</v>
      </c>
      <c r="D781">
        <v>12</v>
      </c>
      <c r="E781">
        <v>2844.87</v>
      </c>
      <c r="F781" s="1">
        <v>43716</v>
      </c>
      <c r="G781" s="2" t="s">
        <v>19</v>
      </c>
      <c r="H781" s="2" t="s">
        <v>183</v>
      </c>
      <c r="I781">
        <v>169</v>
      </c>
      <c r="J781" s="2" t="s">
        <v>649</v>
      </c>
      <c r="K781" s="2" t="s">
        <v>22</v>
      </c>
      <c r="L781" s="2" t="s">
        <v>23</v>
      </c>
      <c r="M781" s="2" t="s">
        <v>24</v>
      </c>
      <c r="N781" s="2" t="s">
        <v>25</v>
      </c>
      <c r="O781" s="2" t="s">
        <v>26</v>
      </c>
      <c r="P781" s="2" t="s">
        <v>27</v>
      </c>
      <c r="Q781" s="2" t="s">
        <v>28</v>
      </c>
      <c r="R781" s="2" t="s">
        <v>29</v>
      </c>
      <c r="S781" s="2" t="s">
        <v>30</v>
      </c>
      <c r="T781">
        <v>1269</v>
      </c>
      <c r="U781">
        <f>VLOOKUP(Auto_Sales_data___Copy[[#This Row],[CUSTOMER_NAME]],$AF$2:$AH$90,2,FALSE)</f>
        <v>49</v>
      </c>
      <c r="V781">
        <f>VLOOKUP(Auto_Sales_data___Copy[[#This Row],[CUSTOMER_NAME]],$AF$2:$AH$90,3,FALSE)</f>
        <v>164069.43999999997</v>
      </c>
      <c r="W781" s="2">
        <f>6-MATCH(Auto_Sales_data___Copy[[#This Row],[DAYS_SINCE_LAST_ORDER]],Table2[R-Cutoff],1)</f>
        <v>4</v>
      </c>
      <c r="X781" s="2">
        <f>MATCH(Auto_Sales_data___Copy[[#This Row],[Total_Orders_Per_Customer]],Table2[F-Cutoff],1)</f>
        <v>4</v>
      </c>
      <c r="Y781" s="2">
        <f>MATCH(Auto_Sales_data___Copy[[#This Row],[Total_Sales_Per_Customer]],Table2[M-Cutoff],1)</f>
        <v>4</v>
      </c>
      <c r="Z781" s="2" t="str">
        <f>Auto_Sales_data___Copy[[#This Row],[R-Score(1-5)]]&amp;Auto_Sales_data___Copy[[#This Row],[F-Score(1-5)]]&amp;Auto_Sales_data___Copy[[#This Row],[M-Score(1-5)]]</f>
        <v>444</v>
      </c>
      <c r="AA781" s="2" t="str" cm="1">
        <f t="array" ref="AA7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1" s="2" t="str">
        <f>VLOOKUP(Auto_Sales_data___Copy[[#This Row],[Segment Name]],Table3[],2,FALSE)</f>
        <v>VIP Recognitioon &amp; Inclusivity</v>
      </c>
    </row>
    <row r="782" spans="1:28" x14ac:dyDescent="0.25">
      <c r="A782">
        <v>10292</v>
      </c>
      <c r="B782">
        <v>44</v>
      </c>
      <c r="C782">
        <v>162.29</v>
      </c>
      <c r="D782">
        <v>2</v>
      </c>
      <c r="E782">
        <v>7140.76</v>
      </c>
      <c r="F782" s="1">
        <v>43716</v>
      </c>
      <c r="G782" s="2" t="s">
        <v>19</v>
      </c>
      <c r="H782" s="2" t="s">
        <v>183</v>
      </c>
      <c r="I782">
        <v>143</v>
      </c>
      <c r="J782" s="2" t="s">
        <v>658</v>
      </c>
      <c r="K782" s="2" t="s">
        <v>22</v>
      </c>
      <c r="L782" s="2" t="s">
        <v>23</v>
      </c>
      <c r="M782" s="2" t="s">
        <v>24</v>
      </c>
      <c r="N782" s="2" t="s">
        <v>25</v>
      </c>
      <c r="O782" s="2" t="s">
        <v>26</v>
      </c>
      <c r="P782" s="2" t="s">
        <v>27</v>
      </c>
      <c r="Q782" s="2" t="s">
        <v>28</v>
      </c>
      <c r="R782" s="2" t="s">
        <v>29</v>
      </c>
      <c r="S782" s="2" t="s">
        <v>151</v>
      </c>
      <c r="T782">
        <v>1475</v>
      </c>
      <c r="U782">
        <f>VLOOKUP(Auto_Sales_data___Copy[[#This Row],[CUSTOMER_NAME]],$AF$2:$AH$90,2,FALSE)</f>
        <v>49</v>
      </c>
      <c r="V782">
        <f>VLOOKUP(Auto_Sales_data___Copy[[#This Row],[CUSTOMER_NAME]],$AF$2:$AH$90,3,FALSE)</f>
        <v>164069.43999999997</v>
      </c>
      <c r="W782" s="2">
        <f>6-MATCH(Auto_Sales_data___Copy[[#This Row],[DAYS_SINCE_LAST_ORDER]],Table2[R-Cutoff],1)</f>
        <v>4</v>
      </c>
      <c r="X782" s="2">
        <f>MATCH(Auto_Sales_data___Copy[[#This Row],[Total_Orders_Per_Customer]],Table2[F-Cutoff],1)</f>
        <v>4</v>
      </c>
      <c r="Y782" s="2">
        <f>MATCH(Auto_Sales_data___Copy[[#This Row],[Total_Sales_Per_Customer]],Table2[M-Cutoff],1)</f>
        <v>4</v>
      </c>
      <c r="Z782" s="2" t="str">
        <f>Auto_Sales_data___Copy[[#This Row],[R-Score(1-5)]]&amp;Auto_Sales_data___Copy[[#This Row],[F-Score(1-5)]]&amp;Auto_Sales_data___Copy[[#This Row],[M-Score(1-5)]]</f>
        <v>444</v>
      </c>
      <c r="AA782" s="2" t="str" cm="1">
        <f t="array" ref="AA7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2" s="2" t="str">
        <f>VLOOKUP(Auto_Sales_data___Copy[[#This Row],[Segment Name]],Table3[],2,FALSE)</f>
        <v>VIP Recognitioon &amp; Inclusivity</v>
      </c>
    </row>
    <row r="783" spans="1:28" x14ac:dyDescent="0.25">
      <c r="A783">
        <v>10299</v>
      </c>
      <c r="B783">
        <v>39</v>
      </c>
      <c r="C783">
        <v>55.95</v>
      </c>
      <c r="D783">
        <v>3</v>
      </c>
      <c r="E783">
        <v>2182.0500000000002</v>
      </c>
      <c r="F783" s="1">
        <v>43738</v>
      </c>
      <c r="G783" s="2" t="s">
        <v>19</v>
      </c>
      <c r="H783" s="2" t="s">
        <v>20</v>
      </c>
      <c r="I783">
        <v>62</v>
      </c>
      <c r="J783" s="2" t="s">
        <v>656</v>
      </c>
      <c r="K783" s="2" t="s">
        <v>122</v>
      </c>
      <c r="L783" s="2" t="s">
        <v>123</v>
      </c>
      <c r="M783" s="2" t="s">
        <v>124</v>
      </c>
      <c r="N783" s="2" t="s">
        <v>125</v>
      </c>
      <c r="O783" s="2" t="s">
        <v>126</v>
      </c>
      <c r="P783" s="2" t="s">
        <v>127</v>
      </c>
      <c r="Q783" s="2" t="s">
        <v>128</v>
      </c>
      <c r="R783" s="2" t="s">
        <v>129</v>
      </c>
      <c r="S783" s="2" t="s">
        <v>30</v>
      </c>
      <c r="T783">
        <v>1403</v>
      </c>
      <c r="U783">
        <f>VLOOKUP(Auto_Sales_data___Copy[[#This Row],[CUSTOMER_NAME]],$AF$2:$AH$90,2,FALSE)</f>
        <v>30</v>
      </c>
      <c r="V783">
        <f>VLOOKUP(Auto_Sales_data___Copy[[#This Row],[CUSTOMER_NAME]],$AF$2:$AH$90,3,FALSE)</f>
        <v>111250.37999999999</v>
      </c>
      <c r="W783" s="2">
        <f>6-MATCH(Auto_Sales_data___Copy[[#This Row],[DAYS_SINCE_LAST_ORDER]],Table2[R-Cutoff],1)</f>
        <v>4</v>
      </c>
      <c r="X783" s="2">
        <f>MATCH(Auto_Sales_data___Copy[[#This Row],[Total_Orders_Per_Customer]],Table2[F-Cutoff],1)</f>
        <v>4</v>
      </c>
      <c r="Y783" s="2">
        <f>MATCH(Auto_Sales_data___Copy[[#This Row],[Total_Sales_Per_Customer]],Table2[M-Cutoff],1)</f>
        <v>4</v>
      </c>
      <c r="Z783" s="2" t="str">
        <f>Auto_Sales_data___Copy[[#This Row],[R-Score(1-5)]]&amp;Auto_Sales_data___Copy[[#This Row],[F-Score(1-5)]]&amp;Auto_Sales_data___Copy[[#This Row],[M-Score(1-5)]]</f>
        <v>444</v>
      </c>
      <c r="AA783" s="2" t="str" cm="1">
        <f t="array" ref="AA7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3" s="2" t="str">
        <f>VLOOKUP(Auto_Sales_data___Copy[[#This Row],[Segment Name]],Table3[],2,FALSE)</f>
        <v>VIP Recognitioon &amp; Inclusivity</v>
      </c>
    </row>
    <row r="784" spans="1:28" x14ac:dyDescent="0.25">
      <c r="A784">
        <v>10305</v>
      </c>
      <c r="B784">
        <v>41</v>
      </c>
      <c r="C784">
        <v>53.48</v>
      </c>
      <c r="D784">
        <v>11</v>
      </c>
      <c r="E784">
        <v>2192.6799999999998</v>
      </c>
      <c r="F784" s="1">
        <v>43751</v>
      </c>
      <c r="G784" s="2" t="s">
        <v>19</v>
      </c>
      <c r="H784" s="2" t="s">
        <v>537</v>
      </c>
      <c r="I784">
        <v>60</v>
      </c>
      <c r="J784" s="2" t="s">
        <v>635</v>
      </c>
      <c r="K784" s="2" t="s">
        <v>115</v>
      </c>
      <c r="L784" s="2" t="s">
        <v>116</v>
      </c>
      <c r="M784" s="2" t="s">
        <v>117</v>
      </c>
      <c r="N784" s="2" t="s">
        <v>118</v>
      </c>
      <c r="O784" s="2" t="s">
        <v>119</v>
      </c>
      <c r="P784" s="2" t="s">
        <v>27</v>
      </c>
      <c r="Q784" s="2" t="s">
        <v>120</v>
      </c>
      <c r="R784" s="2" t="s">
        <v>121</v>
      </c>
      <c r="S784" s="2" t="s">
        <v>30</v>
      </c>
      <c r="T784">
        <v>972</v>
      </c>
      <c r="U784">
        <f>VLOOKUP(Auto_Sales_data___Copy[[#This Row],[CUSTOMER_NAME]],$AF$2:$AH$90,2,FALSE)</f>
        <v>27</v>
      </c>
      <c r="V784">
        <f>VLOOKUP(Auto_Sales_data___Copy[[#This Row],[CUSTOMER_NAME]],$AF$2:$AH$90,3,FALSE)</f>
        <v>103080.37999999998</v>
      </c>
      <c r="W784" s="2">
        <f>6-MATCH(Auto_Sales_data___Copy[[#This Row],[DAYS_SINCE_LAST_ORDER]],Table2[R-Cutoff],1)</f>
        <v>4</v>
      </c>
      <c r="X784" s="2">
        <f>MATCH(Auto_Sales_data___Copy[[#This Row],[Total_Orders_Per_Customer]],Table2[F-Cutoff],1)</f>
        <v>4</v>
      </c>
      <c r="Y784" s="2">
        <f>MATCH(Auto_Sales_data___Copy[[#This Row],[Total_Sales_Per_Customer]],Table2[M-Cutoff],1)</f>
        <v>4</v>
      </c>
      <c r="Z784" s="2" t="str">
        <f>Auto_Sales_data___Copy[[#This Row],[R-Score(1-5)]]&amp;Auto_Sales_data___Copy[[#This Row],[F-Score(1-5)]]&amp;Auto_Sales_data___Copy[[#This Row],[M-Score(1-5)]]</f>
        <v>444</v>
      </c>
      <c r="AA784" s="2" t="str" cm="1">
        <f t="array" ref="AA7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4" s="2" t="str">
        <f>VLOOKUP(Auto_Sales_data___Copy[[#This Row],[Segment Name]],Table3[],2,FALSE)</f>
        <v>VIP Recognitioon &amp; Inclusivity</v>
      </c>
    </row>
    <row r="785" spans="1:28" x14ac:dyDescent="0.25">
      <c r="A785">
        <v>10305</v>
      </c>
      <c r="B785">
        <v>37</v>
      </c>
      <c r="C785">
        <v>201.51</v>
      </c>
      <c r="D785">
        <v>9</v>
      </c>
      <c r="E785">
        <v>7455.87</v>
      </c>
      <c r="F785" s="1">
        <v>43751</v>
      </c>
      <c r="G785" s="2" t="s">
        <v>19</v>
      </c>
      <c r="H785" s="2" t="s">
        <v>183</v>
      </c>
      <c r="I785">
        <v>169</v>
      </c>
      <c r="J785" s="2" t="s">
        <v>649</v>
      </c>
      <c r="K785" s="2" t="s">
        <v>115</v>
      </c>
      <c r="L785" s="2" t="s">
        <v>116</v>
      </c>
      <c r="M785" s="2" t="s">
        <v>117</v>
      </c>
      <c r="N785" s="2" t="s">
        <v>118</v>
      </c>
      <c r="O785" s="2" t="s">
        <v>119</v>
      </c>
      <c r="P785" s="2" t="s">
        <v>27</v>
      </c>
      <c r="Q785" s="2" t="s">
        <v>120</v>
      </c>
      <c r="R785" s="2" t="s">
        <v>121</v>
      </c>
      <c r="S785" s="2" t="s">
        <v>151</v>
      </c>
      <c r="T785">
        <v>1236</v>
      </c>
      <c r="U785">
        <f>VLOOKUP(Auto_Sales_data___Copy[[#This Row],[CUSTOMER_NAME]],$AF$2:$AH$90,2,FALSE)</f>
        <v>27</v>
      </c>
      <c r="V785">
        <f>VLOOKUP(Auto_Sales_data___Copy[[#This Row],[CUSTOMER_NAME]],$AF$2:$AH$90,3,FALSE)</f>
        <v>103080.37999999998</v>
      </c>
      <c r="W785" s="2">
        <f>6-MATCH(Auto_Sales_data___Copy[[#This Row],[DAYS_SINCE_LAST_ORDER]],Table2[R-Cutoff],1)</f>
        <v>4</v>
      </c>
      <c r="X785" s="2">
        <f>MATCH(Auto_Sales_data___Copy[[#This Row],[Total_Orders_Per_Customer]],Table2[F-Cutoff],1)</f>
        <v>4</v>
      </c>
      <c r="Y785" s="2">
        <f>MATCH(Auto_Sales_data___Copy[[#This Row],[Total_Sales_Per_Customer]],Table2[M-Cutoff],1)</f>
        <v>4</v>
      </c>
      <c r="Z785" s="2" t="str">
        <f>Auto_Sales_data___Copy[[#This Row],[R-Score(1-5)]]&amp;Auto_Sales_data___Copy[[#This Row],[F-Score(1-5)]]&amp;Auto_Sales_data___Copy[[#This Row],[M-Score(1-5)]]</f>
        <v>444</v>
      </c>
      <c r="AA785" s="2" t="str" cm="1">
        <f t="array" ref="AA7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5" s="2" t="str">
        <f>VLOOKUP(Auto_Sales_data___Copy[[#This Row],[Segment Name]],Table3[],2,FALSE)</f>
        <v>VIP Recognitioon &amp; Inclusivity</v>
      </c>
    </row>
    <row r="786" spans="1:28" x14ac:dyDescent="0.25">
      <c r="A786">
        <v>10306</v>
      </c>
      <c r="B786">
        <v>32</v>
      </c>
      <c r="C786">
        <v>117.47</v>
      </c>
      <c r="D786">
        <v>9</v>
      </c>
      <c r="E786">
        <v>3759.04</v>
      </c>
      <c r="F786" s="1">
        <v>43752</v>
      </c>
      <c r="G786" s="2" t="s">
        <v>19</v>
      </c>
      <c r="H786" s="2" t="s">
        <v>589</v>
      </c>
      <c r="I786">
        <v>136</v>
      </c>
      <c r="J786" s="2" t="s">
        <v>648</v>
      </c>
      <c r="K786" s="2" t="s">
        <v>523</v>
      </c>
      <c r="L786" s="2" t="s">
        <v>524</v>
      </c>
      <c r="M786" s="2" t="s">
        <v>525</v>
      </c>
      <c r="N786" s="2" t="s">
        <v>526</v>
      </c>
      <c r="O786" s="2" t="s">
        <v>527</v>
      </c>
      <c r="P786" s="2" t="s">
        <v>171</v>
      </c>
      <c r="Q786" s="2" t="s">
        <v>528</v>
      </c>
      <c r="R786" s="2" t="s">
        <v>529</v>
      </c>
      <c r="S786" s="2" t="s">
        <v>46</v>
      </c>
      <c r="T786">
        <v>1194</v>
      </c>
      <c r="U786">
        <f>VLOOKUP(Auto_Sales_data___Copy[[#This Row],[CUSTOMER_NAME]],$AF$2:$AH$90,2,FALSE)</f>
        <v>51</v>
      </c>
      <c r="V786">
        <f>VLOOKUP(Auto_Sales_data___Copy[[#This Row],[CUSTOMER_NAME]],$AF$2:$AH$90,3,FALSE)</f>
        <v>157807.80999999994</v>
      </c>
      <c r="W786" s="2">
        <f>6-MATCH(Auto_Sales_data___Copy[[#This Row],[DAYS_SINCE_LAST_ORDER]],Table2[R-Cutoff],1)</f>
        <v>4</v>
      </c>
      <c r="X786" s="2">
        <f>MATCH(Auto_Sales_data___Copy[[#This Row],[Total_Orders_Per_Customer]],Table2[F-Cutoff],1)</f>
        <v>4</v>
      </c>
      <c r="Y786" s="2">
        <f>MATCH(Auto_Sales_data___Copy[[#This Row],[Total_Sales_Per_Customer]],Table2[M-Cutoff],1)</f>
        <v>4</v>
      </c>
      <c r="Z786" s="2" t="str">
        <f>Auto_Sales_data___Copy[[#This Row],[R-Score(1-5)]]&amp;Auto_Sales_data___Copy[[#This Row],[F-Score(1-5)]]&amp;Auto_Sales_data___Copy[[#This Row],[M-Score(1-5)]]</f>
        <v>444</v>
      </c>
      <c r="AA786" s="2" t="str" cm="1">
        <f t="array" ref="AA7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6" s="2" t="str">
        <f>VLOOKUP(Auto_Sales_data___Copy[[#This Row],[Segment Name]],Table3[],2,FALSE)</f>
        <v>VIP Recognitioon &amp; Inclusivity</v>
      </c>
    </row>
    <row r="787" spans="1:28" x14ac:dyDescent="0.25">
      <c r="A787">
        <v>10306</v>
      </c>
      <c r="B787">
        <v>40</v>
      </c>
      <c r="C787">
        <v>91.76</v>
      </c>
      <c r="D787">
        <v>11</v>
      </c>
      <c r="E787">
        <v>3670.4</v>
      </c>
      <c r="F787" s="1">
        <v>43752</v>
      </c>
      <c r="G787" s="2" t="s">
        <v>19</v>
      </c>
      <c r="H787" s="2" t="s">
        <v>650</v>
      </c>
      <c r="I787">
        <v>100</v>
      </c>
      <c r="J787" s="2" t="s">
        <v>651</v>
      </c>
      <c r="K787" s="2" t="s">
        <v>523</v>
      </c>
      <c r="L787" s="2" t="s">
        <v>524</v>
      </c>
      <c r="M787" s="2" t="s">
        <v>525</v>
      </c>
      <c r="N787" s="2" t="s">
        <v>526</v>
      </c>
      <c r="O787" s="2" t="s">
        <v>527</v>
      </c>
      <c r="P787" s="2" t="s">
        <v>171</v>
      </c>
      <c r="Q787" s="2" t="s">
        <v>528</v>
      </c>
      <c r="R787" s="2" t="s">
        <v>529</v>
      </c>
      <c r="S787" s="2" t="s">
        <v>46</v>
      </c>
      <c r="T787">
        <v>1270</v>
      </c>
      <c r="U787">
        <f>VLOOKUP(Auto_Sales_data___Copy[[#This Row],[CUSTOMER_NAME]],$AF$2:$AH$90,2,FALSE)</f>
        <v>51</v>
      </c>
      <c r="V787">
        <f>VLOOKUP(Auto_Sales_data___Copy[[#This Row],[CUSTOMER_NAME]],$AF$2:$AH$90,3,FALSE)</f>
        <v>157807.80999999994</v>
      </c>
      <c r="W787" s="2">
        <f>6-MATCH(Auto_Sales_data___Copy[[#This Row],[DAYS_SINCE_LAST_ORDER]],Table2[R-Cutoff],1)</f>
        <v>4</v>
      </c>
      <c r="X787" s="2">
        <f>MATCH(Auto_Sales_data___Copy[[#This Row],[Total_Orders_Per_Customer]],Table2[F-Cutoff],1)</f>
        <v>4</v>
      </c>
      <c r="Y787" s="2">
        <f>MATCH(Auto_Sales_data___Copy[[#This Row],[Total_Sales_Per_Customer]],Table2[M-Cutoff],1)</f>
        <v>4</v>
      </c>
      <c r="Z787" s="2" t="str">
        <f>Auto_Sales_data___Copy[[#This Row],[R-Score(1-5)]]&amp;Auto_Sales_data___Copy[[#This Row],[F-Score(1-5)]]&amp;Auto_Sales_data___Copy[[#This Row],[M-Score(1-5)]]</f>
        <v>444</v>
      </c>
      <c r="AA787" s="2" t="str" cm="1">
        <f t="array" ref="AA7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7" s="2" t="str">
        <f>VLOOKUP(Auto_Sales_data___Copy[[#This Row],[Segment Name]],Table3[],2,FALSE)</f>
        <v>VIP Recognitioon &amp; Inclusivity</v>
      </c>
    </row>
    <row r="788" spans="1:28" x14ac:dyDescent="0.25">
      <c r="A788">
        <v>10306</v>
      </c>
      <c r="B788">
        <v>23</v>
      </c>
      <c r="C788">
        <v>156.55000000000001</v>
      </c>
      <c r="D788">
        <v>16</v>
      </c>
      <c r="E788">
        <v>3600.65</v>
      </c>
      <c r="F788" s="1">
        <v>43752</v>
      </c>
      <c r="G788" s="2" t="s">
        <v>19</v>
      </c>
      <c r="H788" s="2" t="s">
        <v>183</v>
      </c>
      <c r="I788">
        <v>143</v>
      </c>
      <c r="J788" s="2" t="s">
        <v>658</v>
      </c>
      <c r="K788" s="2" t="s">
        <v>523</v>
      </c>
      <c r="L788" s="2" t="s">
        <v>524</v>
      </c>
      <c r="M788" s="2" t="s">
        <v>525</v>
      </c>
      <c r="N788" s="2" t="s">
        <v>526</v>
      </c>
      <c r="O788" s="2" t="s">
        <v>527</v>
      </c>
      <c r="P788" s="2" t="s">
        <v>171</v>
      </c>
      <c r="Q788" s="2" t="s">
        <v>528</v>
      </c>
      <c r="R788" s="2" t="s">
        <v>529</v>
      </c>
      <c r="S788" s="2" t="s">
        <v>46</v>
      </c>
      <c r="T788">
        <v>1440</v>
      </c>
      <c r="U788">
        <f>VLOOKUP(Auto_Sales_data___Copy[[#This Row],[CUSTOMER_NAME]],$AF$2:$AH$90,2,FALSE)</f>
        <v>51</v>
      </c>
      <c r="V788">
        <f>VLOOKUP(Auto_Sales_data___Copy[[#This Row],[CUSTOMER_NAME]],$AF$2:$AH$90,3,FALSE)</f>
        <v>157807.80999999994</v>
      </c>
      <c r="W788" s="2">
        <f>6-MATCH(Auto_Sales_data___Copy[[#This Row],[DAYS_SINCE_LAST_ORDER]],Table2[R-Cutoff],1)</f>
        <v>4</v>
      </c>
      <c r="X788" s="2">
        <f>MATCH(Auto_Sales_data___Copy[[#This Row],[Total_Orders_Per_Customer]],Table2[F-Cutoff],1)</f>
        <v>4</v>
      </c>
      <c r="Y788" s="2">
        <f>MATCH(Auto_Sales_data___Copy[[#This Row],[Total_Sales_Per_Customer]],Table2[M-Cutoff],1)</f>
        <v>4</v>
      </c>
      <c r="Z788" s="2" t="str">
        <f>Auto_Sales_data___Copy[[#This Row],[R-Score(1-5)]]&amp;Auto_Sales_data___Copy[[#This Row],[F-Score(1-5)]]&amp;Auto_Sales_data___Copy[[#This Row],[M-Score(1-5)]]</f>
        <v>444</v>
      </c>
      <c r="AA788" s="2" t="str" cm="1">
        <f t="array" ref="AA7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8" s="2" t="str">
        <f>VLOOKUP(Auto_Sales_data___Copy[[#This Row],[Segment Name]],Table3[],2,FALSE)</f>
        <v>VIP Recognitioon &amp; Inclusivity</v>
      </c>
    </row>
    <row r="789" spans="1:28" x14ac:dyDescent="0.25">
      <c r="A789">
        <v>10306</v>
      </c>
      <c r="B789">
        <v>39</v>
      </c>
      <c r="C789">
        <v>90.4</v>
      </c>
      <c r="D789">
        <v>8</v>
      </c>
      <c r="E789">
        <v>3525.6</v>
      </c>
      <c r="F789" s="1">
        <v>43752</v>
      </c>
      <c r="G789" s="2" t="s">
        <v>19</v>
      </c>
      <c r="H789" s="2" t="s">
        <v>589</v>
      </c>
      <c r="I789">
        <v>87</v>
      </c>
      <c r="J789" s="2" t="s">
        <v>660</v>
      </c>
      <c r="K789" s="2" t="s">
        <v>523</v>
      </c>
      <c r="L789" s="2" t="s">
        <v>524</v>
      </c>
      <c r="M789" s="2" t="s">
        <v>525</v>
      </c>
      <c r="N789" s="2" t="s">
        <v>526</v>
      </c>
      <c r="O789" s="2" t="s">
        <v>527</v>
      </c>
      <c r="P789" s="2" t="s">
        <v>171</v>
      </c>
      <c r="Q789" s="2" t="s">
        <v>528</v>
      </c>
      <c r="R789" s="2" t="s">
        <v>529</v>
      </c>
      <c r="S789" s="2" t="s">
        <v>46</v>
      </c>
      <c r="T789">
        <v>1488</v>
      </c>
      <c r="U789">
        <f>VLOOKUP(Auto_Sales_data___Copy[[#This Row],[CUSTOMER_NAME]],$AF$2:$AH$90,2,FALSE)</f>
        <v>51</v>
      </c>
      <c r="V789">
        <f>VLOOKUP(Auto_Sales_data___Copy[[#This Row],[CUSTOMER_NAME]],$AF$2:$AH$90,3,FALSE)</f>
        <v>157807.80999999994</v>
      </c>
      <c r="W789" s="2">
        <f>6-MATCH(Auto_Sales_data___Copy[[#This Row],[DAYS_SINCE_LAST_ORDER]],Table2[R-Cutoff],1)</f>
        <v>4</v>
      </c>
      <c r="X789" s="2">
        <f>MATCH(Auto_Sales_data___Copy[[#This Row],[Total_Orders_Per_Customer]],Table2[F-Cutoff],1)</f>
        <v>4</v>
      </c>
      <c r="Y789" s="2">
        <f>MATCH(Auto_Sales_data___Copy[[#This Row],[Total_Sales_Per_Customer]],Table2[M-Cutoff],1)</f>
        <v>4</v>
      </c>
      <c r="Z789" s="2" t="str">
        <f>Auto_Sales_data___Copy[[#This Row],[R-Score(1-5)]]&amp;Auto_Sales_data___Copy[[#This Row],[F-Score(1-5)]]&amp;Auto_Sales_data___Copy[[#This Row],[M-Score(1-5)]]</f>
        <v>444</v>
      </c>
      <c r="AA789" s="2" t="str" cm="1">
        <f t="array" ref="AA7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9" s="2" t="str">
        <f>VLOOKUP(Auto_Sales_data___Copy[[#This Row],[Segment Name]],Table3[],2,FALSE)</f>
        <v>VIP Recognitioon &amp; Inclusivity</v>
      </c>
    </row>
    <row r="790" spans="1:28" x14ac:dyDescent="0.25">
      <c r="A790">
        <v>10312</v>
      </c>
      <c r="B790">
        <v>25</v>
      </c>
      <c r="C790">
        <v>155.25</v>
      </c>
      <c r="D790">
        <v>11</v>
      </c>
      <c r="E790">
        <v>3881.25</v>
      </c>
      <c r="F790" s="1">
        <v>43759</v>
      </c>
      <c r="G790" s="2" t="s">
        <v>19</v>
      </c>
      <c r="H790" s="2" t="s">
        <v>589</v>
      </c>
      <c r="I790">
        <v>168</v>
      </c>
      <c r="J790" s="2" t="s">
        <v>638</v>
      </c>
      <c r="K790" s="2" t="s">
        <v>284</v>
      </c>
      <c r="L790" s="2" t="s">
        <v>285</v>
      </c>
      <c r="M790" s="2" t="s">
        <v>286</v>
      </c>
      <c r="N790" s="2" t="s">
        <v>287</v>
      </c>
      <c r="O790" s="2" t="s">
        <v>106</v>
      </c>
      <c r="P790" s="2" t="s">
        <v>27</v>
      </c>
      <c r="Q790" s="2" t="s">
        <v>288</v>
      </c>
      <c r="R790" s="2" t="s">
        <v>289</v>
      </c>
      <c r="S790" s="2" t="s">
        <v>46</v>
      </c>
      <c r="T790">
        <v>1037</v>
      </c>
      <c r="U790">
        <f>VLOOKUP(Auto_Sales_data___Copy[[#This Row],[CUSTOMER_NAME]],$AF$2:$AH$90,2,FALSE)</f>
        <v>180</v>
      </c>
      <c r="V790">
        <f>VLOOKUP(Auto_Sales_data___Copy[[#This Row],[CUSTOMER_NAME]],$AF$2:$AH$90,3,FALSE)</f>
        <v>654858.06000000017</v>
      </c>
      <c r="W790" s="2">
        <f>6-MATCH(Auto_Sales_data___Copy[[#This Row],[DAYS_SINCE_LAST_ORDER]],Table2[R-Cutoff],1)</f>
        <v>4</v>
      </c>
      <c r="X790" s="2">
        <f>MATCH(Auto_Sales_data___Copy[[#This Row],[Total_Orders_Per_Customer]],Table2[F-Cutoff],1)</f>
        <v>4</v>
      </c>
      <c r="Y790" s="2">
        <f>MATCH(Auto_Sales_data___Copy[[#This Row],[Total_Sales_Per_Customer]],Table2[M-Cutoff],1)</f>
        <v>4</v>
      </c>
      <c r="Z790" s="2" t="str">
        <f>Auto_Sales_data___Copy[[#This Row],[R-Score(1-5)]]&amp;Auto_Sales_data___Copy[[#This Row],[F-Score(1-5)]]&amp;Auto_Sales_data___Copy[[#This Row],[M-Score(1-5)]]</f>
        <v>444</v>
      </c>
      <c r="AA790" s="2" t="str" cm="1">
        <f t="array" ref="AA7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0" s="2" t="str">
        <f>VLOOKUP(Auto_Sales_data___Copy[[#This Row],[Segment Name]],Table3[],2,FALSE)</f>
        <v>VIP Recognitioon &amp; Inclusivity</v>
      </c>
    </row>
    <row r="791" spans="1:28" x14ac:dyDescent="0.25">
      <c r="A791">
        <v>10312</v>
      </c>
      <c r="B791">
        <v>37</v>
      </c>
      <c r="C791">
        <v>100.3</v>
      </c>
      <c r="D791">
        <v>4</v>
      </c>
      <c r="E791">
        <v>3711.1</v>
      </c>
      <c r="F791" s="1">
        <v>43759</v>
      </c>
      <c r="G791" s="2" t="s">
        <v>19</v>
      </c>
      <c r="H791" s="2" t="s">
        <v>589</v>
      </c>
      <c r="I791">
        <v>101</v>
      </c>
      <c r="J791" s="2" t="s">
        <v>640</v>
      </c>
      <c r="K791" s="2" t="s">
        <v>284</v>
      </c>
      <c r="L791" s="2" t="s">
        <v>285</v>
      </c>
      <c r="M791" s="2" t="s">
        <v>286</v>
      </c>
      <c r="N791" s="2" t="s">
        <v>287</v>
      </c>
      <c r="O791" s="2" t="s">
        <v>106</v>
      </c>
      <c r="P791" s="2" t="s">
        <v>27</v>
      </c>
      <c r="Q791" s="2" t="s">
        <v>288</v>
      </c>
      <c r="R791" s="2" t="s">
        <v>289</v>
      </c>
      <c r="S791" s="2" t="s">
        <v>46</v>
      </c>
      <c r="T791">
        <v>1089</v>
      </c>
      <c r="U791">
        <f>VLOOKUP(Auto_Sales_data___Copy[[#This Row],[CUSTOMER_NAME]],$AF$2:$AH$90,2,FALSE)</f>
        <v>180</v>
      </c>
      <c r="V791">
        <f>VLOOKUP(Auto_Sales_data___Copy[[#This Row],[CUSTOMER_NAME]],$AF$2:$AH$90,3,FALSE)</f>
        <v>654858.06000000017</v>
      </c>
      <c r="W791" s="2">
        <f>6-MATCH(Auto_Sales_data___Copy[[#This Row],[DAYS_SINCE_LAST_ORDER]],Table2[R-Cutoff],1)</f>
        <v>4</v>
      </c>
      <c r="X791" s="2">
        <f>MATCH(Auto_Sales_data___Copy[[#This Row],[Total_Orders_Per_Customer]],Table2[F-Cutoff],1)</f>
        <v>4</v>
      </c>
      <c r="Y791" s="2">
        <f>MATCH(Auto_Sales_data___Copy[[#This Row],[Total_Sales_Per_Customer]],Table2[M-Cutoff],1)</f>
        <v>4</v>
      </c>
      <c r="Z791" s="2" t="str">
        <f>Auto_Sales_data___Copy[[#This Row],[R-Score(1-5)]]&amp;Auto_Sales_data___Copy[[#This Row],[F-Score(1-5)]]&amp;Auto_Sales_data___Copy[[#This Row],[M-Score(1-5)]]</f>
        <v>444</v>
      </c>
      <c r="AA791" s="2" t="str" cm="1">
        <f t="array" ref="AA7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1" s="2" t="str">
        <f>VLOOKUP(Auto_Sales_data___Copy[[#This Row],[Segment Name]],Table3[],2,FALSE)</f>
        <v>VIP Recognitioon &amp; Inclusivity</v>
      </c>
    </row>
    <row r="792" spans="1:28" x14ac:dyDescent="0.25">
      <c r="A792">
        <v>10312</v>
      </c>
      <c r="B792">
        <v>35</v>
      </c>
      <c r="C792">
        <v>53.72</v>
      </c>
      <c r="D792">
        <v>6</v>
      </c>
      <c r="E792">
        <v>1880.2</v>
      </c>
      <c r="F792" s="1">
        <v>43759</v>
      </c>
      <c r="G792" s="2" t="s">
        <v>19</v>
      </c>
      <c r="H792" s="2" t="s">
        <v>589</v>
      </c>
      <c r="I792">
        <v>62</v>
      </c>
      <c r="J792" s="2" t="s">
        <v>641</v>
      </c>
      <c r="K792" s="2" t="s">
        <v>284</v>
      </c>
      <c r="L792" s="2" t="s">
        <v>285</v>
      </c>
      <c r="M792" s="2" t="s">
        <v>286</v>
      </c>
      <c r="N792" s="2" t="s">
        <v>287</v>
      </c>
      <c r="O792" s="2" t="s">
        <v>106</v>
      </c>
      <c r="P792" s="2" t="s">
        <v>27</v>
      </c>
      <c r="Q792" s="2" t="s">
        <v>288</v>
      </c>
      <c r="R792" s="2" t="s">
        <v>289</v>
      </c>
      <c r="S792" s="2" t="s">
        <v>30</v>
      </c>
      <c r="T792">
        <v>1113</v>
      </c>
      <c r="U792">
        <f>VLOOKUP(Auto_Sales_data___Copy[[#This Row],[CUSTOMER_NAME]],$AF$2:$AH$90,2,FALSE)</f>
        <v>180</v>
      </c>
      <c r="V792">
        <f>VLOOKUP(Auto_Sales_data___Copy[[#This Row],[CUSTOMER_NAME]],$AF$2:$AH$90,3,FALSE)</f>
        <v>654858.06000000017</v>
      </c>
      <c r="W792" s="2">
        <f>6-MATCH(Auto_Sales_data___Copy[[#This Row],[DAYS_SINCE_LAST_ORDER]],Table2[R-Cutoff],1)</f>
        <v>4</v>
      </c>
      <c r="X792" s="2">
        <f>MATCH(Auto_Sales_data___Copy[[#This Row],[Total_Orders_Per_Customer]],Table2[F-Cutoff],1)</f>
        <v>4</v>
      </c>
      <c r="Y792" s="2">
        <f>MATCH(Auto_Sales_data___Copy[[#This Row],[Total_Sales_Per_Customer]],Table2[M-Cutoff],1)</f>
        <v>4</v>
      </c>
      <c r="Z792" s="2" t="str">
        <f>Auto_Sales_data___Copy[[#This Row],[R-Score(1-5)]]&amp;Auto_Sales_data___Copy[[#This Row],[F-Score(1-5)]]&amp;Auto_Sales_data___Copy[[#This Row],[M-Score(1-5)]]</f>
        <v>444</v>
      </c>
      <c r="AA792" s="2" t="str" cm="1">
        <f t="array" ref="AA7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2" s="2" t="str">
        <f>VLOOKUP(Auto_Sales_data___Copy[[#This Row],[Segment Name]],Table3[],2,FALSE)</f>
        <v>VIP Recognitioon &amp; Inclusivity</v>
      </c>
    </row>
    <row r="793" spans="1:28" x14ac:dyDescent="0.25">
      <c r="A793">
        <v>10312</v>
      </c>
      <c r="B793">
        <v>38</v>
      </c>
      <c r="C793">
        <v>117.29</v>
      </c>
      <c r="D793">
        <v>5</v>
      </c>
      <c r="E793">
        <v>4457.0200000000004</v>
      </c>
      <c r="F793" s="1">
        <v>43759</v>
      </c>
      <c r="G793" s="2" t="s">
        <v>19</v>
      </c>
      <c r="H793" s="2" t="s">
        <v>589</v>
      </c>
      <c r="I793">
        <v>104</v>
      </c>
      <c r="J793" s="2" t="s">
        <v>647</v>
      </c>
      <c r="K793" s="2" t="s">
        <v>284</v>
      </c>
      <c r="L793" s="2" t="s">
        <v>285</v>
      </c>
      <c r="M793" s="2" t="s">
        <v>286</v>
      </c>
      <c r="N793" s="2" t="s">
        <v>287</v>
      </c>
      <c r="O793" s="2" t="s">
        <v>106</v>
      </c>
      <c r="P793" s="2" t="s">
        <v>27</v>
      </c>
      <c r="Q793" s="2" t="s">
        <v>288</v>
      </c>
      <c r="R793" s="2" t="s">
        <v>289</v>
      </c>
      <c r="S793" s="2" t="s">
        <v>46</v>
      </c>
      <c r="T793">
        <v>1163</v>
      </c>
      <c r="U793">
        <f>VLOOKUP(Auto_Sales_data___Copy[[#This Row],[CUSTOMER_NAME]],$AF$2:$AH$90,2,FALSE)</f>
        <v>180</v>
      </c>
      <c r="V793">
        <f>VLOOKUP(Auto_Sales_data___Copy[[#This Row],[CUSTOMER_NAME]],$AF$2:$AH$90,3,FALSE)</f>
        <v>654858.06000000017</v>
      </c>
      <c r="W793" s="2">
        <f>6-MATCH(Auto_Sales_data___Copy[[#This Row],[DAYS_SINCE_LAST_ORDER]],Table2[R-Cutoff],1)</f>
        <v>4</v>
      </c>
      <c r="X793" s="2">
        <f>MATCH(Auto_Sales_data___Copy[[#This Row],[Total_Orders_Per_Customer]],Table2[F-Cutoff],1)</f>
        <v>4</v>
      </c>
      <c r="Y793" s="2">
        <f>MATCH(Auto_Sales_data___Copy[[#This Row],[Total_Sales_Per_Customer]],Table2[M-Cutoff],1)</f>
        <v>4</v>
      </c>
      <c r="Z793" s="2" t="str">
        <f>Auto_Sales_data___Copy[[#This Row],[R-Score(1-5)]]&amp;Auto_Sales_data___Copy[[#This Row],[F-Score(1-5)]]&amp;Auto_Sales_data___Copy[[#This Row],[M-Score(1-5)]]</f>
        <v>444</v>
      </c>
      <c r="AA793" s="2" t="str" cm="1">
        <f t="array" ref="AA7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3" s="2" t="str">
        <f>VLOOKUP(Auto_Sales_data___Copy[[#This Row],[Segment Name]],Table3[],2,FALSE)</f>
        <v>VIP Recognitioon &amp; Inclusivity</v>
      </c>
    </row>
    <row r="794" spans="1:28" x14ac:dyDescent="0.25">
      <c r="A794">
        <v>10312</v>
      </c>
      <c r="B794">
        <v>33</v>
      </c>
      <c r="C794">
        <v>107.15</v>
      </c>
      <c r="D794">
        <v>8</v>
      </c>
      <c r="E794">
        <v>3535.95</v>
      </c>
      <c r="F794" s="1">
        <v>43759</v>
      </c>
      <c r="G794" s="2" t="s">
        <v>19</v>
      </c>
      <c r="H794" s="2" t="s">
        <v>589</v>
      </c>
      <c r="I794">
        <v>99</v>
      </c>
      <c r="J794" s="2" t="s">
        <v>653</v>
      </c>
      <c r="K794" s="2" t="s">
        <v>284</v>
      </c>
      <c r="L794" s="2" t="s">
        <v>285</v>
      </c>
      <c r="M794" s="2" t="s">
        <v>286</v>
      </c>
      <c r="N794" s="2" t="s">
        <v>287</v>
      </c>
      <c r="O794" s="2" t="s">
        <v>106</v>
      </c>
      <c r="P794" s="2" t="s">
        <v>27</v>
      </c>
      <c r="Q794" s="2" t="s">
        <v>288</v>
      </c>
      <c r="R794" s="2" t="s">
        <v>289</v>
      </c>
      <c r="S794" s="2" t="s">
        <v>46</v>
      </c>
      <c r="T794">
        <v>1311</v>
      </c>
      <c r="U794">
        <f>VLOOKUP(Auto_Sales_data___Copy[[#This Row],[CUSTOMER_NAME]],$AF$2:$AH$90,2,FALSE)</f>
        <v>180</v>
      </c>
      <c r="V794">
        <f>VLOOKUP(Auto_Sales_data___Copy[[#This Row],[CUSTOMER_NAME]],$AF$2:$AH$90,3,FALSE)</f>
        <v>654858.06000000017</v>
      </c>
      <c r="W794" s="2">
        <f>6-MATCH(Auto_Sales_data___Copy[[#This Row],[DAYS_SINCE_LAST_ORDER]],Table2[R-Cutoff],1)</f>
        <v>4</v>
      </c>
      <c r="X794" s="2">
        <f>MATCH(Auto_Sales_data___Copy[[#This Row],[Total_Orders_Per_Customer]],Table2[F-Cutoff],1)</f>
        <v>4</v>
      </c>
      <c r="Y794" s="2">
        <f>MATCH(Auto_Sales_data___Copy[[#This Row],[Total_Sales_Per_Customer]],Table2[M-Cutoff],1)</f>
        <v>4</v>
      </c>
      <c r="Z794" s="2" t="str">
        <f>Auto_Sales_data___Copy[[#This Row],[R-Score(1-5)]]&amp;Auto_Sales_data___Copy[[#This Row],[F-Score(1-5)]]&amp;Auto_Sales_data___Copy[[#This Row],[M-Score(1-5)]]</f>
        <v>444</v>
      </c>
      <c r="AA794" s="2" t="str" cm="1">
        <f t="array" ref="AA7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4" s="2" t="str">
        <f>VLOOKUP(Auto_Sales_data___Copy[[#This Row],[Segment Name]],Table3[],2,FALSE)</f>
        <v>VIP Recognitioon &amp; Inclusivity</v>
      </c>
    </row>
    <row r="795" spans="1:28" x14ac:dyDescent="0.25">
      <c r="A795">
        <v>10314</v>
      </c>
      <c r="B795">
        <v>20</v>
      </c>
      <c r="C795">
        <v>136.59</v>
      </c>
      <c r="D795">
        <v>1</v>
      </c>
      <c r="E795">
        <v>2731.8</v>
      </c>
      <c r="F795" s="1">
        <v>43760</v>
      </c>
      <c r="G795" s="2" t="s">
        <v>19</v>
      </c>
      <c r="H795" s="2" t="s">
        <v>589</v>
      </c>
      <c r="I795">
        <v>136</v>
      </c>
      <c r="J795" s="2" t="s">
        <v>648</v>
      </c>
      <c r="K795" s="2" t="s">
        <v>530</v>
      </c>
      <c r="L795" s="2" t="s">
        <v>531</v>
      </c>
      <c r="M795" s="2" t="s">
        <v>532</v>
      </c>
      <c r="N795" s="2" t="s">
        <v>533</v>
      </c>
      <c r="O795" s="2" t="s">
        <v>534</v>
      </c>
      <c r="P795" s="2" t="s">
        <v>344</v>
      </c>
      <c r="Q795" s="2" t="s">
        <v>535</v>
      </c>
      <c r="R795" s="2" t="s">
        <v>536</v>
      </c>
      <c r="S795" s="2" t="s">
        <v>30</v>
      </c>
      <c r="T795">
        <v>1187</v>
      </c>
      <c r="U795">
        <f>VLOOKUP(Auto_Sales_data___Copy[[#This Row],[CUSTOMER_NAME]],$AF$2:$AH$90,2,FALSE)</f>
        <v>27</v>
      </c>
      <c r="V795">
        <f>VLOOKUP(Auto_Sales_data___Copy[[#This Row],[CUSTOMER_NAME]],$AF$2:$AH$90,3,FALSE)</f>
        <v>100595.54999999999</v>
      </c>
      <c r="W795" s="2">
        <f>6-MATCH(Auto_Sales_data___Copy[[#This Row],[DAYS_SINCE_LAST_ORDER]],Table2[R-Cutoff],1)</f>
        <v>4</v>
      </c>
      <c r="X795" s="2">
        <f>MATCH(Auto_Sales_data___Copy[[#This Row],[Total_Orders_Per_Customer]],Table2[F-Cutoff],1)</f>
        <v>4</v>
      </c>
      <c r="Y795" s="2">
        <f>MATCH(Auto_Sales_data___Copy[[#This Row],[Total_Sales_Per_Customer]],Table2[M-Cutoff],1)</f>
        <v>4</v>
      </c>
      <c r="Z795" s="2" t="str">
        <f>Auto_Sales_data___Copy[[#This Row],[R-Score(1-5)]]&amp;Auto_Sales_data___Copy[[#This Row],[F-Score(1-5)]]&amp;Auto_Sales_data___Copy[[#This Row],[M-Score(1-5)]]</f>
        <v>444</v>
      </c>
      <c r="AA795" s="2" t="str" cm="1">
        <f t="array" ref="AA7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5" s="2" t="str">
        <f>VLOOKUP(Auto_Sales_data___Copy[[#This Row],[Segment Name]],Table3[],2,FALSE)</f>
        <v>VIP Recognitioon &amp; Inclusivity</v>
      </c>
    </row>
    <row r="796" spans="1:28" x14ac:dyDescent="0.25">
      <c r="A796">
        <v>10314</v>
      </c>
      <c r="B796">
        <v>23</v>
      </c>
      <c r="C796">
        <v>107.9</v>
      </c>
      <c r="D796">
        <v>3</v>
      </c>
      <c r="E796">
        <v>2481.6999999999998</v>
      </c>
      <c r="F796" s="1">
        <v>43760</v>
      </c>
      <c r="G796" s="2" t="s">
        <v>19</v>
      </c>
      <c r="H796" s="2" t="s">
        <v>650</v>
      </c>
      <c r="I796">
        <v>100</v>
      </c>
      <c r="J796" s="2" t="s">
        <v>651</v>
      </c>
      <c r="K796" s="2" t="s">
        <v>530</v>
      </c>
      <c r="L796" s="2" t="s">
        <v>531</v>
      </c>
      <c r="M796" s="2" t="s">
        <v>532</v>
      </c>
      <c r="N796" s="2" t="s">
        <v>533</v>
      </c>
      <c r="O796" s="2" t="s">
        <v>534</v>
      </c>
      <c r="P796" s="2" t="s">
        <v>344</v>
      </c>
      <c r="Q796" s="2" t="s">
        <v>535</v>
      </c>
      <c r="R796" s="2" t="s">
        <v>536</v>
      </c>
      <c r="S796" s="2" t="s">
        <v>30</v>
      </c>
      <c r="T796">
        <v>1263</v>
      </c>
      <c r="U796">
        <f>VLOOKUP(Auto_Sales_data___Copy[[#This Row],[CUSTOMER_NAME]],$AF$2:$AH$90,2,FALSE)</f>
        <v>27</v>
      </c>
      <c r="V796">
        <f>VLOOKUP(Auto_Sales_data___Copy[[#This Row],[CUSTOMER_NAME]],$AF$2:$AH$90,3,FALSE)</f>
        <v>100595.54999999999</v>
      </c>
      <c r="W796" s="2">
        <f>6-MATCH(Auto_Sales_data___Copy[[#This Row],[DAYS_SINCE_LAST_ORDER]],Table2[R-Cutoff],1)</f>
        <v>4</v>
      </c>
      <c r="X796" s="2">
        <f>MATCH(Auto_Sales_data___Copy[[#This Row],[Total_Orders_Per_Customer]],Table2[F-Cutoff],1)</f>
        <v>4</v>
      </c>
      <c r="Y796" s="2">
        <f>MATCH(Auto_Sales_data___Copy[[#This Row],[Total_Sales_Per_Customer]],Table2[M-Cutoff],1)</f>
        <v>4</v>
      </c>
      <c r="Z796" s="2" t="str">
        <f>Auto_Sales_data___Copy[[#This Row],[R-Score(1-5)]]&amp;Auto_Sales_data___Copy[[#This Row],[F-Score(1-5)]]&amp;Auto_Sales_data___Copy[[#This Row],[M-Score(1-5)]]</f>
        <v>444</v>
      </c>
      <c r="AA796" s="2" t="str" cm="1">
        <f t="array" ref="AA7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6" s="2" t="str">
        <f>VLOOKUP(Auto_Sales_data___Copy[[#This Row],[Segment Name]],Table3[],2,FALSE)</f>
        <v>VIP Recognitioon &amp; Inclusivity</v>
      </c>
    </row>
    <row r="797" spans="1:28" x14ac:dyDescent="0.25">
      <c r="A797">
        <v>10314</v>
      </c>
      <c r="B797">
        <v>29</v>
      </c>
      <c r="C797">
        <v>145.06</v>
      </c>
      <c r="D797">
        <v>8</v>
      </c>
      <c r="E797">
        <v>4206.74</v>
      </c>
      <c r="F797" s="1">
        <v>43760</v>
      </c>
      <c r="G797" s="2" t="s">
        <v>19</v>
      </c>
      <c r="H797" s="2" t="s">
        <v>183</v>
      </c>
      <c r="I797">
        <v>143</v>
      </c>
      <c r="J797" s="2" t="s">
        <v>658</v>
      </c>
      <c r="K797" s="2" t="s">
        <v>530</v>
      </c>
      <c r="L797" s="2" t="s">
        <v>531</v>
      </c>
      <c r="M797" s="2" t="s">
        <v>532</v>
      </c>
      <c r="N797" s="2" t="s">
        <v>533</v>
      </c>
      <c r="O797" s="2" t="s">
        <v>534</v>
      </c>
      <c r="P797" s="2" t="s">
        <v>344</v>
      </c>
      <c r="Q797" s="2" t="s">
        <v>535</v>
      </c>
      <c r="R797" s="2" t="s">
        <v>536</v>
      </c>
      <c r="S797" s="2" t="s">
        <v>46</v>
      </c>
      <c r="T797">
        <v>1433</v>
      </c>
      <c r="U797">
        <f>VLOOKUP(Auto_Sales_data___Copy[[#This Row],[CUSTOMER_NAME]],$AF$2:$AH$90,2,FALSE)</f>
        <v>27</v>
      </c>
      <c r="V797">
        <f>VLOOKUP(Auto_Sales_data___Copy[[#This Row],[CUSTOMER_NAME]],$AF$2:$AH$90,3,FALSE)</f>
        <v>100595.54999999999</v>
      </c>
      <c r="W797" s="2">
        <f>6-MATCH(Auto_Sales_data___Copy[[#This Row],[DAYS_SINCE_LAST_ORDER]],Table2[R-Cutoff],1)</f>
        <v>4</v>
      </c>
      <c r="X797" s="2">
        <f>MATCH(Auto_Sales_data___Copy[[#This Row],[Total_Orders_Per_Customer]],Table2[F-Cutoff],1)</f>
        <v>4</v>
      </c>
      <c r="Y797" s="2">
        <f>MATCH(Auto_Sales_data___Copy[[#This Row],[Total_Sales_Per_Customer]],Table2[M-Cutoff],1)</f>
        <v>4</v>
      </c>
      <c r="Z797" s="2" t="str">
        <f>Auto_Sales_data___Copy[[#This Row],[R-Score(1-5)]]&amp;Auto_Sales_data___Copy[[#This Row],[F-Score(1-5)]]&amp;Auto_Sales_data___Copy[[#This Row],[M-Score(1-5)]]</f>
        <v>444</v>
      </c>
      <c r="AA797" s="2" t="str" cm="1">
        <f t="array" ref="AA7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7" s="2" t="str">
        <f>VLOOKUP(Auto_Sales_data___Copy[[#This Row],[Segment Name]],Table3[],2,FALSE)</f>
        <v>VIP Recognitioon &amp; Inclusivity</v>
      </c>
    </row>
    <row r="798" spans="1:28" x14ac:dyDescent="0.25">
      <c r="A798">
        <v>10315</v>
      </c>
      <c r="B798">
        <v>36</v>
      </c>
      <c r="C798">
        <v>100.06</v>
      </c>
      <c r="D798">
        <v>7</v>
      </c>
      <c r="E798">
        <v>3602.16</v>
      </c>
      <c r="F798" s="1">
        <v>43767</v>
      </c>
      <c r="G798" s="2" t="s">
        <v>19</v>
      </c>
      <c r="H798" s="2" t="s">
        <v>589</v>
      </c>
      <c r="I798">
        <v>87</v>
      </c>
      <c r="J798" s="2" t="s">
        <v>660</v>
      </c>
      <c r="K798" s="2" t="s">
        <v>108</v>
      </c>
      <c r="L798" s="2" t="s">
        <v>109</v>
      </c>
      <c r="M798" s="2" t="s">
        <v>110</v>
      </c>
      <c r="N798" s="2" t="s">
        <v>111</v>
      </c>
      <c r="O798" s="2" t="s">
        <v>112</v>
      </c>
      <c r="P798" s="2" t="s">
        <v>36</v>
      </c>
      <c r="Q798" s="2" t="s">
        <v>113</v>
      </c>
      <c r="R798" s="2" t="s">
        <v>114</v>
      </c>
      <c r="S798" s="2" t="s">
        <v>46</v>
      </c>
      <c r="T798">
        <v>1474</v>
      </c>
      <c r="U798">
        <f>VLOOKUP(Auto_Sales_data___Copy[[#This Row],[CUSTOMER_NAME]],$AF$2:$AH$90,2,FALSE)</f>
        <v>53</v>
      </c>
      <c r="V798">
        <f>VLOOKUP(Auto_Sales_data___Copy[[#This Row],[CUSTOMER_NAME]],$AF$2:$AH$90,3,FALSE)</f>
        <v>180124.90000000008</v>
      </c>
      <c r="W798" s="2">
        <f>6-MATCH(Auto_Sales_data___Copy[[#This Row],[DAYS_SINCE_LAST_ORDER]],Table2[R-Cutoff],1)</f>
        <v>4</v>
      </c>
      <c r="X798" s="2">
        <f>MATCH(Auto_Sales_data___Copy[[#This Row],[Total_Orders_Per_Customer]],Table2[F-Cutoff],1)</f>
        <v>4</v>
      </c>
      <c r="Y798" s="2">
        <f>MATCH(Auto_Sales_data___Copy[[#This Row],[Total_Sales_Per_Customer]],Table2[M-Cutoff],1)</f>
        <v>4</v>
      </c>
      <c r="Z798" s="2" t="str">
        <f>Auto_Sales_data___Copy[[#This Row],[R-Score(1-5)]]&amp;Auto_Sales_data___Copy[[#This Row],[F-Score(1-5)]]&amp;Auto_Sales_data___Copy[[#This Row],[M-Score(1-5)]]</f>
        <v>444</v>
      </c>
      <c r="AA798" s="2" t="str" cm="1">
        <f t="array" ref="AA7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8" s="2" t="str">
        <f>VLOOKUP(Auto_Sales_data___Copy[[#This Row],[Segment Name]],Table3[],2,FALSE)</f>
        <v>VIP Recognitioon &amp; Inclusivity</v>
      </c>
    </row>
    <row r="799" spans="1:28" x14ac:dyDescent="0.25">
      <c r="A799">
        <v>10318</v>
      </c>
      <c r="B799">
        <v>31</v>
      </c>
      <c r="C799">
        <v>100.53</v>
      </c>
      <c r="D799">
        <v>9</v>
      </c>
      <c r="E799">
        <v>3116.43</v>
      </c>
      <c r="F799" s="1">
        <v>43771</v>
      </c>
      <c r="G799" s="2" t="s">
        <v>19</v>
      </c>
      <c r="H799" s="2" t="s">
        <v>607</v>
      </c>
      <c r="I799">
        <v>84</v>
      </c>
      <c r="J799" s="2" t="s">
        <v>636</v>
      </c>
      <c r="K799" s="2" t="s">
        <v>137</v>
      </c>
      <c r="L799" s="2" t="s">
        <v>138</v>
      </c>
      <c r="M799" s="2" t="s">
        <v>139</v>
      </c>
      <c r="N799" s="2" t="s">
        <v>140</v>
      </c>
      <c r="O799" s="2" t="s">
        <v>141</v>
      </c>
      <c r="P799" s="2" t="s">
        <v>27</v>
      </c>
      <c r="Q799" s="2" t="s">
        <v>28</v>
      </c>
      <c r="R799" s="2" t="s">
        <v>142</v>
      </c>
      <c r="S799" s="2" t="s">
        <v>46</v>
      </c>
      <c r="T799">
        <v>976</v>
      </c>
      <c r="U799">
        <f>VLOOKUP(Auto_Sales_data___Copy[[#This Row],[CUSTOMER_NAME]],$AF$2:$AH$90,2,FALSE)</f>
        <v>31</v>
      </c>
      <c r="V799">
        <f>VLOOKUP(Auto_Sales_data___Copy[[#This Row],[CUSTOMER_NAME]],$AF$2:$AH$90,3,FALSE)</f>
        <v>122138.14</v>
      </c>
      <c r="W799" s="2">
        <f>6-MATCH(Auto_Sales_data___Copy[[#This Row],[DAYS_SINCE_LAST_ORDER]],Table2[R-Cutoff],1)</f>
        <v>4</v>
      </c>
      <c r="X799" s="2">
        <f>MATCH(Auto_Sales_data___Copy[[#This Row],[Total_Orders_Per_Customer]],Table2[F-Cutoff],1)</f>
        <v>4</v>
      </c>
      <c r="Y799" s="2">
        <f>MATCH(Auto_Sales_data___Copy[[#This Row],[Total_Sales_Per_Customer]],Table2[M-Cutoff],1)</f>
        <v>4</v>
      </c>
      <c r="Z799" s="2" t="str">
        <f>Auto_Sales_data___Copy[[#This Row],[R-Score(1-5)]]&amp;Auto_Sales_data___Copy[[#This Row],[F-Score(1-5)]]&amp;Auto_Sales_data___Copy[[#This Row],[M-Score(1-5)]]</f>
        <v>444</v>
      </c>
      <c r="AA799" s="2" t="str" cm="1">
        <f t="array" ref="AA7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9" s="2" t="str">
        <f>VLOOKUP(Auto_Sales_data___Copy[[#This Row],[Segment Name]],Table3[],2,FALSE)</f>
        <v>VIP Recognitioon &amp; Inclusivity</v>
      </c>
    </row>
    <row r="800" spans="1:28" x14ac:dyDescent="0.25">
      <c r="A800">
        <v>10318</v>
      </c>
      <c r="B800">
        <v>42</v>
      </c>
      <c r="C800">
        <v>52.7</v>
      </c>
      <c r="D800">
        <v>5</v>
      </c>
      <c r="E800">
        <v>2213.4</v>
      </c>
      <c r="F800" s="1">
        <v>43771</v>
      </c>
      <c r="G800" s="2" t="s">
        <v>19</v>
      </c>
      <c r="H800" s="2" t="s">
        <v>20</v>
      </c>
      <c r="I800">
        <v>60</v>
      </c>
      <c r="J800" s="2" t="s">
        <v>637</v>
      </c>
      <c r="K800" s="2" t="s">
        <v>137</v>
      </c>
      <c r="L800" s="2" t="s">
        <v>138</v>
      </c>
      <c r="M800" s="2" t="s">
        <v>139</v>
      </c>
      <c r="N800" s="2" t="s">
        <v>140</v>
      </c>
      <c r="O800" s="2" t="s">
        <v>141</v>
      </c>
      <c r="P800" s="2" t="s">
        <v>27</v>
      </c>
      <c r="Q800" s="2" t="s">
        <v>28</v>
      </c>
      <c r="R800" s="2" t="s">
        <v>142</v>
      </c>
      <c r="S800" s="2" t="s">
        <v>30</v>
      </c>
      <c r="T800">
        <v>1001</v>
      </c>
      <c r="U800">
        <f>VLOOKUP(Auto_Sales_data___Copy[[#This Row],[CUSTOMER_NAME]],$AF$2:$AH$90,2,FALSE)</f>
        <v>31</v>
      </c>
      <c r="V800">
        <f>VLOOKUP(Auto_Sales_data___Copy[[#This Row],[CUSTOMER_NAME]],$AF$2:$AH$90,3,FALSE)</f>
        <v>122138.14</v>
      </c>
      <c r="W800" s="2">
        <f>6-MATCH(Auto_Sales_data___Copy[[#This Row],[DAYS_SINCE_LAST_ORDER]],Table2[R-Cutoff],1)</f>
        <v>4</v>
      </c>
      <c r="X800" s="2">
        <f>MATCH(Auto_Sales_data___Copy[[#This Row],[Total_Orders_Per_Customer]],Table2[F-Cutoff],1)</f>
        <v>4</v>
      </c>
      <c r="Y800" s="2">
        <f>MATCH(Auto_Sales_data___Copy[[#This Row],[Total_Sales_Per_Customer]],Table2[M-Cutoff],1)</f>
        <v>4</v>
      </c>
      <c r="Z800" s="2" t="str">
        <f>Auto_Sales_data___Copy[[#This Row],[R-Score(1-5)]]&amp;Auto_Sales_data___Copy[[#This Row],[F-Score(1-5)]]&amp;Auto_Sales_data___Copy[[#This Row],[M-Score(1-5)]]</f>
        <v>444</v>
      </c>
      <c r="AA800" s="2" t="str" cm="1">
        <f t="array" ref="AA8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0" s="2" t="str">
        <f>VLOOKUP(Auto_Sales_data___Copy[[#This Row],[Segment Name]],Table3[],2,FALSE)</f>
        <v>VIP Recognitioon &amp; Inclusivity</v>
      </c>
    </row>
    <row r="801" spans="1:28" x14ac:dyDescent="0.25">
      <c r="A801">
        <v>10322</v>
      </c>
      <c r="B801">
        <v>35</v>
      </c>
      <c r="C801">
        <v>61.21</v>
      </c>
      <c r="D801">
        <v>11</v>
      </c>
      <c r="E801">
        <v>2142.35</v>
      </c>
      <c r="F801" s="1">
        <v>43773</v>
      </c>
      <c r="G801" s="2" t="s">
        <v>19</v>
      </c>
      <c r="H801" s="2" t="s">
        <v>537</v>
      </c>
      <c r="I801">
        <v>60</v>
      </c>
      <c r="J801" s="2" t="s">
        <v>635</v>
      </c>
      <c r="K801" s="2" t="s">
        <v>290</v>
      </c>
      <c r="L801" s="2" t="s">
        <v>291</v>
      </c>
      <c r="M801" s="2" t="s">
        <v>292</v>
      </c>
      <c r="N801" s="2" t="s">
        <v>293</v>
      </c>
      <c r="O801" s="2" t="s">
        <v>294</v>
      </c>
      <c r="P801" s="2" t="s">
        <v>27</v>
      </c>
      <c r="Q801" s="2" t="s">
        <v>52</v>
      </c>
      <c r="R801" s="2" t="s">
        <v>289</v>
      </c>
      <c r="S801" s="2" t="s">
        <v>30</v>
      </c>
      <c r="T801">
        <v>952</v>
      </c>
      <c r="U801">
        <f>VLOOKUP(Auto_Sales_data___Copy[[#This Row],[CUSTOMER_NAME]],$AF$2:$AH$90,2,FALSE)</f>
        <v>34</v>
      </c>
      <c r="V801">
        <f>VLOOKUP(Auto_Sales_data___Copy[[#This Row],[CUSTOMER_NAME]],$AF$2:$AH$90,3,FALSE)</f>
        <v>131685.29999999999</v>
      </c>
      <c r="W801" s="2">
        <f>6-MATCH(Auto_Sales_data___Copy[[#This Row],[DAYS_SINCE_LAST_ORDER]],Table2[R-Cutoff],1)</f>
        <v>4</v>
      </c>
      <c r="X801" s="2">
        <f>MATCH(Auto_Sales_data___Copy[[#This Row],[Total_Orders_Per_Customer]],Table2[F-Cutoff],1)</f>
        <v>4</v>
      </c>
      <c r="Y801" s="2">
        <f>MATCH(Auto_Sales_data___Copy[[#This Row],[Total_Sales_Per_Customer]],Table2[M-Cutoff],1)</f>
        <v>4</v>
      </c>
      <c r="Z801" s="2" t="str">
        <f>Auto_Sales_data___Copy[[#This Row],[R-Score(1-5)]]&amp;Auto_Sales_data___Copy[[#This Row],[F-Score(1-5)]]&amp;Auto_Sales_data___Copy[[#This Row],[M-Score(1-5)]]</f>
        <v>444</v>
      </c>
      <c r="AA801" s="2" t="str" cm="1">
        <f t="array" ref="AA8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1" s="2" t="str">
        <f>VLOOKUP(Auto_Sales_data___Copy[[#This Row],[Segment Name]],Table3[],2,FALSE)</f>
        <v>VIP Recognitioon &amp; Inclusivity</v>
      </c>
    </row>
    <row r="802" spans="1:28" x14ac:dyDescent="0.25">
      <c r="A802">
        <v>10322</v>
      </c>
      <c r="B802">
        <v>36</v>
      </c>
      <c r="C802">
        <v>161.04</v>
      </c>
      <c r="D802">
        <v>2</v>
      </c>
      <c r="E802">
        <v>5797.44</v>
      </c>
      <c r="F802" s="1">
        <v>43773</v>
      </c>
      <c r="G802" s="2" t="s">
        <v>19</v>
      </c>
      <c r="H802" s="2" t="s">
        <v>589</v>
      </c>
      <c r="I802">
        <v>168</v>
      </c>
      <c r="J802" s="2" t="s">
        <v>638</v>
      </c>
      <c r="K802" s="2" t="s">
        <v>290</v>
      </c>
      <c r="L802" s="2" t="s">
        <v>291</v>
      </c>
      <c r="M802" s="2" t="s">
        <v>292</v>
      </c>
      <c r="N802" s="2" t="s">
        <v>293</v>
      </c>
      <c r="O802" s="2" t="s">
        <v>294</v>
      </c>
      <c r="P802" s="2" t="s">
        <v>27</v>
      </c>
      <c r="Q802" s="2" t="s">
        <v>52</v>
      </c>
      <c r="R802" s="2" t="s">
        <v>289</v>
      </c>
      <c r="S802" s="2" t="s">
        <v>46</v>
      </c>
      <c r="T802">
        <v>1024</v>
      </c>
      <c r="U802">
        <f>VLOOKUP(Auto_Sales_data___Copy[[#This Row],[CUSTOMER_NAME]],$AF$2:$AH$90,2,FALSE)</f>
        <v>34</v>
      </c>
      <c r="V802">
        <f>VLOOKUP(Auto_Sales_data___Copy[[#This Row],[CUSTOMER_NAME]],$AF$2:$AH$90,3,FALSE)</f>
        <v>131685.29999999999</v>
      </c>
      <c r="W802" s="2">
        <f>6-MATCH(Auto_Sales_data___Copy[[#This Row],[DAYS_SINCE_LAST_ORDER]],Table2[R-Cutoff],1)</f>
        <v>4</v>
      </c>
      <c r="X802" s="2">
        <f>MATCH(Auto_Sales_data___Copy[[#This Row],[Total_Orders_Per_Customer]],Table2[F-Cutoff],1)</f>
        <v>4</v>
      </c>
      <c r="Y802" s="2">
        <f>MATCH(Auto_Sales_data___Copy[[#This Row],[Total_Sales_Per_Customer]],Table2[M-Cutoff],1)</f>
        <v>4</v>
      </c>
      <c r="Z802" s="2" t="str">
        <f>Auto_Sales_data___Copy[[#This Row],[R-Score(1-5)]]&amp;Auto_Sales_data___Copy[[#This Row],[F-Score(1-5)]]&amp;Auto_Sales_data___Copy[[#This Row],[M-Score(1-5)]]</f>
        <v>444</v>
      </c>
      <c r="AA802" s="2" t="str" cm="1">
        <f t="array" ref="AA8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2" s="2" t="str">
        <f>VLOOKUP(Auto_Sales_data___Copy[[#This Row],[Segment Name]],Table3[],2,FALSE)</f>
        <v>VIP Recognitioon &amp; Inclusivity</v>
      </c>
    </row>
    <row r="803" spans="1:28" x14ac:dyDescent="0.25">
      <c r="A803">
        <v>10322</v>
      </c>
      <c r="B803">
        <v>33</v>
      </c>
      <c r="C803">
        <v>106.81</v>
      </c>
      <c r="D803">
        <v>12</v>
      </c>
      <c r="E803">
        <v>3524.73</v>
      </c>
      <c r="F803" s="1">
        <v>43773</v>
      </c>
      <c r="G803" s="2" t="s">
        <v>19</v>
      </c>
      <c r="H803" s="2" t="s">
        <v>589</v>
      </c>
      <c r="I803">
        <v>101</v>
      </c>
      <c r="J803" s="2" t="s">
        <v>640</v>
      </c>
      <c r="K803" s="2" t="s">
        <v>290</v>
      </c>
      <c r="L803" s="2" t="s">
        <v>291</v>
      </c>
      <c r="M803" s="2" t="s">
        <v>292</v>
      </c>
      <c r="N803" s="2" t="s">
        <v>293</v>
      </c>
      <c r="O803" s="2" t="s">
        <v>294</v>
      </c>
      <c r="P803" s="2" t="s">
        <v>27</v>
      </c>
      <c r="Q803" s="2" t="s">
        <v>52</v>
      </c>
      <c r="R803" s="2" t="s">
        <v>289</v>
      </c>
      <c r="S803" s="2" t="s">
        <v>46</v>
      </c>
      <c r="T803">
        <v>1076</v>
      </c>
      <c r="U803">
        <f>VLOOKUP(Auto_Sales_data___Copy[[#This Row],[CUSTOMER_NAME]],$AF$2:$AH$90,2,FALSE)</f>
        <v>34</v>
      </c>
      <c r="V803">
        <f>VLOOKUP(Auto_Sales_data___Copy[[#This Row],[CUSTOMER_NAME]],$AF$2:$AH$90,3,FALSE)</f>
        <v>131685.29999999999</v>
      </c>
      <c r="W803" s="2">
        <f>6-MATCH(Auto_Sales_data___Copy[[#This Row],[DAYS_SINCE_LAST_ORDER]],Table2[R-Cutoff],1)</f>
        <v>4</v>
      </c>
      <c r="X803" s="2">
        <f>MATCH(Auto_Sales_data___Copy[[#This Row],[Total_Orders_Per_Customer]],Table2[F-Cutoff],1)</f>
        <v>4</v>
      </c>
      <c r="Y803" s="2">
        <f>MATCH(Auto_Sales_data___Copy[[#This Row],[Total_Sales_Per_Customer]],Table2[M-Cutoff],1)</f>
        <v>4</v>
      </c>
      <c r="Z803" s="2" t="str">
        <f>Auto_Sales_data___Copy[[#This Row],[R-Score(1-5)]]&amp;Auto_Sales_data___Copy[[#This Row],[F-Score(1-5)]]&amp;Auto_Sales_data___Copy[[#This Row],[M-Score(1-5)]]</f>
        <v>444</v>
      </c>
      <c r="AA803" s="2" t="str" cm="1">
        <f t="array" ref="AA8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3" s="2" t="str">
        <f>VLOOKUP(Auto_Sales_data___Copy[[#This Row],[Segment Name]],Table3[],2,FALSE)</f>
        <v>VIP Recognitioon &amp; Inclusivity</v>
      </c>
    </row>
    <row r="804" spans="1:28" x14ac:dyDescent="0.25">
      <c r="A804">
        <v>10322</v>
      </c>
      <c r="B804">
        <v>41</v>
      </c>
      <c r="C804">
        <v>29.87</v>
      </c>
      <c r="D804">
        <v>13</v>
      </c>
      <c r="E804">
        <v>1224.67</v>
      </c>
      <c r="F804" s="1">
        <v>43773</v>
      </c>
      <c r="G804" s="2" t="s">
        <v>19</v>
      </c>
      <c r="H804" s="2" t="s">
        <v>589</v>
      </c>
      <c r="I804">
        <v>62</v>
      </c>
      <c r="J804" s="2" t="s">
        <v>641</v>
      </c>
      <c r="K804" s="2" t="s">
        <v>290</v>
      </c>
      <c r="L804" s="2" t="s">
        <v>291</v>
      </c>
      <c r="M804" s="2" t="s">
        <v>292</v>
      </c>
      <c r="N804" s="2" t="s">
        <v>293</v>
      </c>
      <c r="O804" s="2" t="s">
        <v>294</v>
      </c>
      <c r="P804" s="2" t="s">
        <v>27</v>
      </c>
      <c r="Q804" s="2" t="s">
        <v>52</v>
      </c>
      <c r="R804" s="2" t="s">
        <v>289</v>
      </c>
      <c r="S804" s="2" t="s">
        <v>30</v>
      </c>
      <c r="T804">
        <v>1100</v>
      </c>
      <c r="U804">
        <f>VLOOKUP(Auto_Sales_data___Copy[[#This Row],[CUSTOMER_NAME]],$AF$2:$AH$90,2,FALSE)</f>
        <v>34</v>
      </c>
      <c r="V804">
        <f>VLOOKUP(Auto_Sales_data___Copy[[#This Row],[CUSTOMER_NAME]],$AF$2:$AH$90,3,FALSE)</f>
        <v>131685.29999999999</v>
      </c>
      <c r="W804" s="2">
        <f>6-MATCH(Auto_Sales_data___Copy[[#This Row],[DAYS_SINCE_LAST_ORDER]],Table2[R-Cutoff],1)</f>
        <v>4</v>
      </c>
      <c r="X804" s="2">
        <f>MATCH(Auto_Sales_data___Copy[[#This Row],[Total_Orders_Per_Customer]],Table2[F-Cutoff],1)</f>
        <v>4</v>
      </c>
      <c r="Y804" s="2">
        <f>MATCH(Auto_Sales_data___Copy[[#This Row],[Total_Sales_Per_Customer]],Table2[M-Cutoff],1)</f>
        <v>4</v>
      </c>
      <c r="Z804" s="2" t="str">
        <f>Auto_Sales_data___Copy[[#This Row],[R-Score(1-5)]]&amp;Auto_Sales_data___Copy[[#This Row],[F-Score(1-5)]]&amp;Auto_Sales_data___Copy[[#This Row],[M-Score(1-5)]]</f>
        <v>444</v>
      </c>
      <c r="AA804" s="2" t="str" cm="1">
        <f t="array" ref="AA8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4" s="2" t="str">
        <f>VLOOKUP(Auto_Sales_data___Copy[[#This Row],[Segment Name]],Table3[],2,FALSE)</f>
        <v>VIP Recognitioon &amp; Inclusivity</v>
      </c>
    </row>
    <row r="805" spans="1:28" x14ac:dyDescent="0.25">
      <c r="A805">
        <v>10322</v>
      </c>
      <c r="B805">
        <v>48</v>
      </c>
      <c r="C805">
        <v>47.04</v>
      </c>
      <c r="D805">
        <v>7</v>
      </c>
      <c r="E805">
        <v>2257.92</v>
      </c>
      <c r="F805" s="1">
        <v>43773</v>
      </c>
      <c r="G805" s="2" t="s">
        <v>19</v>
      </c>
      <c r="H805" s="2" t="s">
        <v>589</v>
      </c>
      <c r="I805">
        <v>104</v>
      </c>
      <c r="J805" s="2" t="s">
        <v>647</v>
      </c>
      <c r="K805" s="2" t="s">
        <v>290</v>
      </c>
      <c r="L805" s="2" t="s">
        <v>291</v>
      </c>
      <c r="M805" s="2" t="s">
        <v>292</v>
      </c>
      <c r="N805" s="2" t="s">
        <v>293</v>
      </c>
      <c r="O805" s="2" t="s">
        <v>294</v>
      </c>
      <c r="P805" s="2" t="s">
        <v>27</v>
      </c>
      <c r="Q805" s="2" t="s">
        <v>52</v>
      </c>
      <c r="R805" s="2" t="s">
        <v>289</v>
      </c>
      <c r="S805" s="2" t="s">
        <v>30</v>
      </c>
      <c r="T805">
        <v>1150</v>
      </c>
      <c r="U805">
        <f>VLOOKUP(Auto_Sales_data___Copy[[#This Row],[CUSTOMER_NAME]],$AF$2:$AH$90,2,FALSE)</f>
        <v>34</v>
      </c>
      <c r="V805">
        <f>VLOOKUP(Auto_Sales_data___Copy[[#This Row],[CUSTOMER_NAME]],$AF$2:$AH$90,3,FALSE)</f>
        <v>131685.29999999999</v>
      </c>
      <c r="W805" s="2">
        <f>6-MATCH(Auto_Sales_data___Copy[[#This Row],[DAYS_SINCE_LAST_ORDER]],Table2[R-Cutoff],1)</f>
        <v>4</v>
      </c>
      <c r="X805" s="2">
        <f>MATCH(Auto_Sales_data___Copy[[#This Row],[Total_Orders_Per_Customer]],Table2[F-Cutoff],1)</f>
        <v>4</v>
      </c>
      <c r="Y805" s="2">
        <f>MATCH(Auto_Sales_data___Copy[[#This Row],[Total_Sales_Per_Customer]],Table2[M-Cutoff],1)</f>
        <v>4</v>
      </c>
      <c r="Z805" s="2" t="str">
        <f>Auto_Sales_data___Copy[[#This Row],[R-Score(1-5)]]&amp;Auto_Sales_data___Copy[[#This Row],[F-Score(1-5)]]&amp;Auto_Sales_data___Copy[[#This Row],[M-Score(1-5)]]</f>
        <v>444</v>
      </c>
      <c r="AA805" s="2" t="str" cm="1">
        <f t="array" ref="AA8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5" s="2" t="str">
        <f>VLOOKUP(Auto_Sales_data___Copy[[#This Row],[Segment Name]],Table3[],2,FALSE)</f>
        <v>VIP Recognitioon &amp; Inclusivity</v>
      </c>
    </row>
    <row r="806" spans="1:28" x14ac:dyDescent="0.25">
      <c r="A806">
        <v>10325</v>
      </c>
      <c r="B806">
        <v>24</v>
      </c>
      <c r="C806">
        <v>69.12</v>
      </c>
      <c r="D806">
        <v>9</v>
      </c>
      <c r="E806">
        <v>1658.88</v>
      </c>
      <c r="F806" s="1">
        <v>43774</v>
      </c>
      <c r="G806" s="2" t="s">
        <v>19</v>
      </c>
      <c r="H806" s="2" t="s">
        <v>589</v>
      </c>
      <c r="I806">
        <v>136</v>
      </c>
      <c r="J806" s="2" t="s">
        <v>648</v>
      </c>
      <c r="K806" s="2" t="s">
        <v>130</v>
      </c>
      <c r="L806" s="2" t="s">
        <v>131</v>
      </c>
      <c r="M806" s="2" t="s">
        <v>132</v>
      </c>
      <c r="N806" s="2" t="s">
        <v>133</v>
      </c>
      <c r="O806" s="2" t="s">
        <v>134</v>
      </c>
      <c r="P806" s="2" t="s">
        <v>73</v>
      </c>
      <c r="Q806" s="2" t="s">
        <v>135</v>
      </c>
      <c r="R806" s="2" t="s">
        <v>136</v>
      </c>
      <c r="S806" s="2" t="s">
        <v>30</v>
      </c>
      <c r="T806">
        <v>1174</v>
      </c>
      <c r="U806">
        <f>VLOOKUP(Auto_Sales_data___Copy[[#This Row],[CUSTOMER_NAME]],$AF$2:$AH$90,2,FALSE)</f>
        <v>32</v>
      </c>
      <c r="V806">
        <f>VLOOKUP(Auto_Sales_data___Copy[[#This Row],[CUSTOMER_NAME]],$AF$2:$AH$90,3,FALSE)</f>
        <v>116599.18999999999</v>
      </c>
      <c r="W806" s="2">
        <f>6-MATCH(Auto_Sales_data___Copy[[#This Row],[DAYS_SINCE_LAST_ORDER]],Table2[R-Cutoff],1)</f>
        <v>4</v>
      </c>
      <c r="X806" s="2">
        <f>MATCH(Auto_Sales_data___Copy[[#This Row],[Total_Orders_Per_Customer]],Table2[F-Cutoff],1)</f>
        <v>4</v>
      </c>
      <c r="Y806" s="2">
        <f>MATCH(Auto_Sales_data___Copy[[#This Row],[Total_Sales_Per_Customer]],Table2[M-Cutoff],1)</f>
        <v>4</v>
      </c>
      <c r="Z806" s="2" t="str">
        <f>Auto_Sales_data___Copy[[#This Row],[R-Score(1-5)]]&amp;Auto_Sales_data___Copy[[#This Row],[F-Score(1-5)]]&amp;Auto_Sales_data___Copy[[#This Row],[M-Score(1-5)]]</f>
        <v>444</v>
      </c>
      <c r="AA806" s="2" t="str" cm="1">
        <f t="array" ref="AA8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6" s="2" t="str">
        <f>VLOOKUP(Auto_Sales_data___Copy[[#This Row],[Segment Name]],Table3[],2,FALSE)</f>
        <v>VIP Recognitioon &amp; Inclusivity</v>
      </c>
    </row>
    <row r="807" spans="1:28" x14ac:dyDescent="0.25">
      <c r="A807">
        <v>10327</v>
      </c>
      <c r="B807">
        <v>45</v>
      </c>
      <c r="C807">
        <v>106.26</v>
      </c>
      <c r="D807">
        <v>8</v>
      </c>
      <c r="E807">
        <v>4781.7</v>
      </c>
      <c r="F807" s="1">
        <v>43779</v>
      </c>
      <c r="G807" s="2" t="s">
        <v>431</v>
      </c>
      <c r="H807" s="2" t="s">
        <v>607</v>
      </c>
      <c r="I807">
        <v>84</v>
      </c>
      <c r="J807" s="2" t="s">
        <v>636</v>
      </c>
      <c r="K807" s="2" t="s">
        <v>339</v>
      </c>
      <c r="L807" s="2" t="s">
        <v>340</v>
      </c>
      <c r="M807" s="2" t="s">
        <v>341</v>
      </c>
      <c r="N807" s="2" t="s">
        <v>342</v>
      </c>
      <c r="O807" s="2" t="s">
        <v>343</v>
      </c>
      <c r="P807" s="2" t="s">
        <v>344</v>
      </c>
      <c r="Q807" s="2" t="s">
        <v>345</v>
      </c>
      <c r="R807" s="2" t="s">
        <v>346</v>
      </c>
      <c r="S807" s="2" t="s">
        <v>46</v>
      </c>
      <c r="T807">
        <v>969</v>
      </c>
      <c r="U807">
        <f>VLOOKUP(Auto_Sales_data___Copy[[#This Row],[CUSTOMER_NAME]],$AF$2:$AH$90,2,FALSE)</f>
        <v>36</v>
      </c>
      <c r="V807">
        <f>VLOOKUP(Auto_Sales_data___Copy[[#This Row],[CUSTOMER_NAME]],$AF$2:$AH$90,3,FALSE)</f>
        <v>145041.60000000001</v>
      </c>
      <c r="W807" s="2">
        <f>6-MATCH(Auto_Sales_data___Copy[[#This Row],[DAYS_SINCE_LAST_ORDER]],Table2[R-Cutoff],1)</f>
        <v>4</v>
      </c>
      <c r="X807" s="2">
        <f>MATCH(Auto_Sales_data___Copy[[#This Row],[Total_Orders_Per_Customer]],Table2[F-Cutoff],1)</f>
        <v>4</v>
      </c>
      <c r="Y807" s="2">
        <f>MATCH(Auto_Sales_data___Copy[[#This Row],[Total_Sales_Per_Customer]],Table2[M-Cutoff],1)</f>
        <v>4</v>
      </c>
      <c r="Z807" s="2" t="str">
        <f>Auto_Sales_data___Copy[[#This Row],[R-Score(1-5)]]&amp;Auto_Sales_data___Copy[[#This Row],[F-Score(1-5)]]&amp;Auto_Sales_data___Copy[[#This Row],[M-Score(1-5)]]</f>
        <v>444</v>
      </c>
      <c r="AA807" s="2" t="str" cm="1">
        <f t="array" ref="AA8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7" s="2" t="str">
        <f>VLOOKUP(Auto_Sales_data___Copy[[#This Row],[Segment Name]],Table3[],2,FALSE)</f>
        <v>VIP Recognitioon &amp; Inclusivity</v>
      </c>
    </row>
    <row r="808" spans="1:28" x14ac:dyDescent="0.25">
      <c r="A808">
        <v>10327</v>
      </c>
      <c r="B808">
        <v>25</v>
      </c>
      <c r="C808">
        <v>45.86</v>
      </c>
      <c r="D808">
        <v>5</v>
      </c>
      <c r="E808">
        <v>1146.5</v>
      </c>
      <c r="F808" s="1">
        <v>43779</v>
      </c>
      <c r="G808" s="2" t="s">
        <v>431</v>
      </c>
      <c r="H808" s="2" t="s">
        <v>642</v>
      </c>
      <c r="I808">
        <v>86</v>
      </c>
      <c r="J808" s="2" t="s">
        <v>643</v>
      </c>
      <c r="K808" s="2" t="s">
        <v>339</v>
      </c>
      <c r="L808" s="2" t="s">
        <v>340</v>
      </c>
      <c r="M808" s="2" t="s">
        <v>341</v>
      </c>
      <c r="N808" s="2" t="s">
        <v>342</v>
      </c>
      <c r="O808" s="2" t="s">
        <v>343</v>
      </c>
      <c r="P808" s="2" t="s">
        <v>344</v>
      </c>
      <c r="Q808" s="2" t="s">
        <v>345</v>
      </c>
      <c r="R808" s="2" t="s">
        <v>346</v>
      </c>
      <c r="S808" s="2" t="s">
        <v>30</v>
      </c>
      <c r="T808">
        <v>1118</v>
      </c>
      <c r="U808">
        <f>VLOOKUP(Auto_Sales_data___Copy[[#This Row],[CUSTOMER_NAME]],$AF$2:$AH$90,2,FALSE)</f>
        <v>36</v>
      </c>
      <c r="V808">
        <f>VLOOKUP(Auto_Sales_data___Copy[[#This Row],[CUSTOMER_NAME]],$AF$2:$AH$90,3,FALSE)</f>
        <v>145041.60000000001</v>
      </c>
      <c r="W808" s="2">
        <f>6-MATCH(Auto_Sales_data___Copy[[#This Row],[DAYS_SINCE_LAST_ORDER]],Table2[R-Cutoff],1)</f>
        <v>4</v>
      </c>
      <c r="X808" s="2">
        <f>MATCH(Auto_Sales_data___Copy[[#This Row],[Total_Orders_Per_Customer]],Table2[F-Cutoff],1)</f>
        <v>4</v>
      </c>
      <c r="Y808" s="2">
        <f>MATCH(Auto_Sales_data___Copy[[#This Row],[Total_Sales_Per_Customer]],Table2[M-Cutoff],1)</f>
        <v>4</v>
      </c>
      <c r="Z808" s="2" t="str">
        <f>Auto_Sales_data___Copy[[#This Row],[R-Score(1-5)]]&amp;Auto_Sales_data___Copy[[#This Row],[F-Score(1-5)]]&amp;Auto_Sales_data___Copy[[#This Row],[M-Score(1-5)]]</f>
        <v>444</v>
      </c>
      <c r="AA808" s="2" t="str" cm="1">
        <f t="array" ref="AA8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8" s="2" t="str">
        <f>VLOOKUP(Auto_Sales_data___Copy[[#This Row],[Segment Name]],Table3[],2,FALSE)</f>
        <v>VIP Recognitioon &amp; Inclusivity</v>
      </c>
    </row>
    <row r="809" spans="1:28" x14ac:dyDescent="0.25">
      <c r="A809">
        <v>10328</v>
      </c>
      <c r="B809">
        <v>34</v>
      </c>
      <c r="C809">
        <v>112.22</v>
      </c>
      <c r="D809">
        <v>6</v>
      </c>
      <c r="E809">
        <v>3815.48</v>
      </c>
      <c r="F809" s="1">
        <v>43781</v>
      </c>
      <c r="G809" s="2" t="s">
        <v>19</v>
      </c>
      <c r="H809" s="2" t="s">
        <v>589</v>
      </c>
      <c r="I809">
        <v>105</v>
      </c>
      <c r="J809" s="2" t="s">
        <v>657</v>
      </c>
      <c r="K809" s="2" t="s">
        <v>591</v>
      </c>
      <c r="L809" s="2" t="s">
        <v>592</v>
      </c>
      <c r="M809" s="2" t="s">
        <v>593</v>
      </c>
      <c r="N809" s="2" t="s">
        <v>594</v>
      </c>
      <c r="O809" s="2" t="s">
        <v>595</v>
      </c>
      <c r="P809" s="2" t="s">
        <v>269</v>
      </c>
      <c r="Q809" s="2" t="s">
        <v>596</v>
      </c>
      <c r="R809" s="2" t="s">
        <v>597</v>
      </c>
      <c r="S809" s="2" t="s">
        <v>46</v>
      </c>
      <c r="T809">
        <v>1387</v>
      </c>
      <c r="U809">
        <f>VLOOKUP(Auto_Sales_data___Copy[[#This Row],[CUSTOMER_NAME]],$AF$2:$AH$90,2,FALSE)</f>
        <v>48</v>
      </c>
      <c r="V809">
        <f>VLOOKUP(Auto_Sales_data___Copy[[#This Row],[CUSTOMER_NAME]],$AF$2:$AH$90,3,FALSE)</f>
        <v>137955.72</v>
      </c>
      <c r="W809" s="2">
        <f>6-MATCH(Auto_Sales_data___Copy[[#This Row],[DAYS_SINCE_LAST_ORDER]],Table2[R-Cutoff],1)</f>
        <v>4</v>
      </c>
      <c r="X809" s="2">
        <f>MATCH(Auto_Sales_data___Copy[[#This Row],[Total_Orders_Per_Customer]],Table2[F-Cutoff],1)</f>
        <v>4</v>
      </c>
      <c r="Y809" s="2">
        <f>MATCH(Auto_Sales_data___Copy[[#This Row],[Total_Sales_Per_Customer]],Table2[M-Cutoff],1)</f>
        <v>4</v>
      </c>
      <c r="Z809" s="2" t="str">
        <f>Auto_Sales_data___Copy[[#This Row],[R-Score(1-5)]]&amp;Auto_Sales_data___Copy[[#This Row],[F-Score(1-5)]]&amp;Auto_Sales_data___Copy[[#This Row],[M-Score(1-5)]]</f>
        <v>444</v>
      </c>
      <c r="AA809" s="2" t="str" cm="1">
        <f t="array" ref="AA8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9" s="2" t="str">
        <f>VLOOKUP(Auto_Sales_data___Copy[[#This Row],[Segment Name]],Table3[],2,FALSE)</f>
        <v>VIP Recognitioon &amp; Inclusivity</v>
      </c>
    </row>
    <row r="810" spans="1:28" x14ac:dyDescent="0.25">
      <c r="A810">
        <v>10329</v>
      </c>
      <c r="B810">
        <v>38</v>
      </c>
      <c r="C810">
        <v>138.58000000000001</v>
      </c>
      <c r="D810">
        <v>12</v>
      </c>
      <c r="E810">
        <v>5266.04</v>
      </c>
      <c r="F810" s="1">
        <v>43784</v>
      </c>
      <c r="G810" s="2" t="s">
        <v>19</v>
      </c>
      <c r="H810" s="2" t="s">
        <v>20</v>
      </c>
      <c r="I810">
        <v>60</v>
      </c>
      <c r="J810" s="2" t="s">
        <v>637</v>
      </c>
      <c r="K810" s="2" t="s">
        <v>22</v>
      </c>
      <c r="L810" s="2" t="s">
        <v>23</v>
      </c>
      <c r="M810" s="2" t="s">
        <v>24</v>
      </c>
      <c r="N810" s="2" t="s">
        <v>25</v>
      </c>
      <c r="O810" s="2" t="s">
        <v>26</v>
      </c>
      <c r="P810" s="2" t="s">
        <v>27</v>
      </c>
      <c r="Q810" s="2" t="s">
        <v>28</v>
      </c>
      <c r="R810" s="2" t="s">
        <v>29</v>
      </c>
      <c r="S810" s="2" t="s">
        <v>46</v>
      </c>
      <c r="T810">
        <v>989</v>
      </c>
      <c r="U810">
        <f>VLOOKUP(Auto_Sales_data___Copy[[#This Row],[CUSTOMER_NAME]],$AF$2:$AH$90,2,FALSE)</f>
        <v>49</v>
      </c>
      <c r="V810">
        <f>VLOOKUP(Auto_Sales_data___Copy[[#This Row],[CUSTOMER_NAME]],$AF$2:$AH$90,3,FALSE)</f>
        <v>164069.43999999997</v>
      </c>
      <c r="W810" s="2">
        <f>6-MATCH(Auto_Sales_data___Copy[[#This Row],[DAYS_SINCE_LAST_ORDER]],Table2[R-Cutoff],1)</f>
        <v>4</v>
      </c>
      <c r="X810" s="2">
        <f>MATCH(Auto_Sales_data___Copy[[#This Row],[Total_Orders_Per_Customer]],Table2[F-Cutoff],1)</f>
        <v>4</v>
      </c>
      <c r="Y810" s="2">
        <f>MATCH(Auto_Sales_data___Copy[[#This Row],[Total_Sales_Per_Customer]],Table2[M-Cutoff],1)</f>
        <v>4</v>
      </c>
      <c r="Z810" s="2" t="str">
        <f>Auto_Sales_data___Copy[[#This Row],[R-Score(1-5)]]&amp;Auto_Sales_data___Copy[[#This Row],[F-Score(1-5)]]&amp;Auto_Sales_data___Copy[[#This Row],[M-Score(1-5)]]</f>
        <v>444</v>
      </c>
      <c r="AA810" s="2" t="str" cm="1">
        <f t="array" ref="AA8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0" s="2" t="str">
        <f>VLOOKUP(Auto_Sales_data___Copy[[#This Row],[Segment Name]],Table3[],2,FALSE)</f>
        <v>VIP Recognitioon &amp; Inclusivity</v>
      </c>
    </row>
    <row r="811" spans="1:28" x14ac:dyDescent="0.25">
      <c r="A811">
        <v>10329</v>
      </c>
      <c r="B811">
        <v>38</v>
      </c>
      <c r="C811">
        <v>59.1</v>
      </c>
      <c r="D811">
        <v>10</v>
      </c>
      <c r="E811">
        <v>2245.8000000000002</v>
      </c>
      <c r="F811" s="1">
        <v>43784</v>
      </c>
      <c r="G811" s="2" t="s">
        <v>19</v>
      </c>
      <c r="H811" s="2" t="s">
        <v>183</v>
      </c>
      <c r="I811">
        <v>80</v>
      </c>
      <c r="J811" s="2" t="s">
        <v>652</v>
      </c>
      <c r="K811" s="2" t="s">
        <v>22</v>
      </c>
      <c r="L811" s="2" t="s">
        <v>23</v>
      </c>
      <c r="M811" s="2" t="s">
        <v>24</v>
      </c>
      <c r="N811" s="2" t="s">
        <v>25</v>
      </c>
      <c r="O811" s="2" t="s">
        <v>26</v>
      </c>
      <c r="P811" s="2" t="s">
        <v>27</v>
      </c>
      <c r="Q811" s="2" t="s">
        <v>28</v>
      </c>
      <c r="R811" s="2" t="s">
        <v>29</v>
      </c>
      <c r="S811" s="2" t="s">
        <v>30</v>
      </c>
      <c r="T811">
        <v>1265</v>
      </c>
      <c r="U811">
        <f>VLOOKUP(Auto_Sales_data___Copy[[#This Row],[CUSTOMER_NAME]],$AF$2:$AH$90,2,FALSE)</f>
        <v>49</v>
      </c>
      <c r="V811">
        <f>VLOOKUP(Auto_Sales_data___Copy[[#This Row],[CUSTOMER_NAME]],$AF$2:$AH$90,3,FALSE)</f>
        <v>164069.43999999997</v>
      </c>
      <c r="W811" s="2">
        <f>6-MATCH(Auto_Sales_data___Copy[[#This Row],[DAYS_SINCE_LAST_ORDER]],Table2[R-Cutoff],1)</f>
        <v>4</v>
      </c>
      <c r="X811" s="2">
        <f>MATCH(Auto_Sales_data___Copy[[#This Row],[Total_Orders_Per_Customer]],Table2[F-Cutoff],1)</f>
        <v>4</v>
      </c>
      <c r="Y811" s="2">
        <f>MATCH(Auto_Sales_data___Copy[[#This Row],[Total_Sales_Per_Customer]],Table2[M-Cutoff],1)</f>
        <v>4</v>
      </c>
      <c r="Z811" s="2" t="str">
        <f>Auto_Sales_data___Copy[[#This Row],[R-Score(1-5)]]&amp;Auto_Sales_data___Copy[[#This Row],[F-Score(1-5)]]&amp;Auto_Sales_data___Copy[[#This Row],[M-Score(1-5)]]</f>
        <v>444</v>
      </c>
      <c r="AA811" s="2" t="str" cm="1">
        <f t="array" ref="AA8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1" s="2" t="str">
        <f>VLOOKUP(Auto_Sales_data___Copy[[#This Row],[Segment Name]],Table3[],2,FALSE)</f>
        <v>VIP Recognitioon &amp; Inclusivity</v>
      </c>
    </row>
    <row r="812" spans="1:28" x14ac:dyDescent="0.25">
      <c r="A812">
        <v>10332</v>
      </c>
      <c r="B812">
        <v>24</v>
      </c>
      <c r="C812">
        <v>52.67</v>
      </c>
      <c r="D812">
        <v>1</v>
      </c>
      <c r="E812">
        <v>1264.08</v>
      </c>
      <c r="F812" s="1">
        <v>43786</v>
      </c>
      <c r="G812" s="2" t="s">
        <v>19</v>
      </c>
      <c r="H812" s="2" t="s">
        <v>589</v>
      </c>
      <c r="I812">
        <v>168</v>
      </c>
      <c r="J812" s="2" t="s">
        <v>638</v>
      </c>
      <c r="K812" s="2" t="s">
        <v>523</v>
      </c>
      <c r="L812" s="2" t="s">
        <v>524</v>
      </c>
      <c r="M812" s="2" t="s">
        <v>525</v>
      </c>
      <c r="N812" s="2" t="s">
        <v>526</v>
      </c>
      <c r="O812" s="2" t="s">
        <v>527</v>
      </c>
      <c r="P812" s="2" t="s">
        <v>171</v>
      </c>
      <c r="Q812" s="2" t="s">
        <v>528</v>
      </c>
      <c r="R812" s="2" t="s">
        <v>529</v>
      </c>
      <c r="S812" s="2" t="s">
        <v>30</v>
      </c>
      <c r="T812">
        <v>1012</v>
      </c>
      <c r="U812">
        <f>VLOOKUP(Auto_Sales_data___Copy[[#This Row],[CUSTOMER_NAME]],$AF$2:$AH$90,2,FALSE)</f>
        <v>51</v>
      </c>
      <c r="V812">
        <f>VLOOKUP(Auto_Sales_data___Copy[[#This Row],[CUSTOMER_NAME]],$AF$2:$AH$90,3,FALSE)</f>
        <v>157807.80999999994</v>
      </c>
      <c r="W812" s="2">
        <f>6-MATCH(Auto_Sales_data___Copy[[#This Row],[DAYS_SINCE_LAST_ORDER]],Table2[R-Cutoff],1)</f>
        <v>4</v>
      </c>
      <c r="X812" s="2">
        <f>MATCH(Auto_Sales_data___Copy[[#This Row],[Total_Orders_Per_Customer]],Table2[F-Cutoff],1)</f>
        <v>4</v>
      </c>
      <c r="Y812" s="2">
        <f>MATCH(Auto_Sales_data___Copy[[#This Row],[Total_Sales_Per_Customer]],Table2[M-Cutoff],1)</f>
        <v>4</v>
      </c>
      <c r="Z812" s="2" t="str">
        <f>Auto_Sales_data___Copy[[#This Row],[R-Score(1-5)]]&amp;Auto_Sales_data___Copy[[#This Row],[F-Score(1-5)]]&amp;Auto_Sales_data___Copy[[#This Row],[M-Score(1-5)]]</f>
        <v>444</v>
      </c>
      <c r="AA812" s="2" t="str" cm="1">
        <f t="array" ref="AA8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2" s="2" t="str">
        <f>VLOOKUP(Auto_Sales_data___Copy[[#This Row],[Segment Name]],Table3[],2,FALSE)</f>
        <v>VIP Recognitioon &amp; Inclusivity</v>
      </c>
    </row>
    <row r="813" spans="1:28" x14ac:dyDescent="0.25">
      <c r="A813">
        <v>10332</v>
      </c>
      <c r="B813">
        <v>26</v>
      </c>
      <c r="C813">
        <v>114.58</v>
      </c>
      <c r="D813">
        <v>17</v>
      </c>
      <c r="E813">
        <v>2979.08</v>
      </c>
      <c r="F813" s="1">
        <v>43786</v>
      </c>
      <c r="G813" s="2" t="s">
        <v>19</v>
      </c>
      <c r="H813" s="2" t="s">
        <v>589</v>
      </c>
      <c r="I813">
        <v>62</v>
      </c>
      <c r="J813" s="2" t="s">
        <v>641</v>
      </c>
      <c r="K813" s="2" t="s">
        <v>523</v>
      </c>
      <c r="L813" s="2" t="s">
        <v>524</v>
      </c>
      <c r="M813" s="2" t="s">
        <v>525</v>
      </c>
      <c r="N813" s="2" t="s">
        <v>526</v>
      </c>
      <c r="O813" s="2" t="s">
        <v>527</v>
      </c>
      <c r="P813" s="2" t="s">
        <v>171</v>
      </c>
      <c r="Q813" s="2" t="s">
        <v>528</v>
      </c>
      <c r="R813" s="2" t="s">
        <v>529</v>
      </c>
      <c r="S813" s="2" t="s">
        <v>30</v>
      </c>
      <c r="T813">
        <v>1088</v>
      </c>
      <c r="U813">
        <f>VLOOKUP(Auto_Sales_data___Copy[[#This Row],[CUSTOMER_NAME]],$AF$2:$AH$90,2,FALSE)</f>
        <v>51</v>
      </c>
      <c r="V813">
        <f>VLOOKUP(Auto_Sales_data___Copy[[#This Row],[CUSTOMER_NAME]],$AF$2:$AH$90,3,FALSE)</f>
        <v>157807.80999999994</v>
      </c>
      <c r="W813" s="2">
        <f>6-MATCH(Auto_Sales_data___Copy[[#This Row],[DAYS_SINCE_LAST_ORDER]],Table2[R-Cutoff],1)</f>
        <v>4</v>
      </c>
      <c r="X813" s="2">
        <f>MATCH(Auto_Sales_data___Copy[[#This Row],[Total_Orders_Per_Customer]],Table2[F-Cutoff],1)</f>
        <v>4</v>
      </c>
      <c r="Y813" s="2">
        <f>MATCH(Auto_Sales_data___Copy[[#This Row],[Total_Sales_Per_Customer]],Table2[M-Cutoff],1)</f>
        <v>4</v>
      </c>
      <c r="Z813" s="2" t="str">
        <f>Auto_Sales_data___Copy[[#This Row],[R-Score(1-5)]]&amp;Auto_Sales_data___Copy[[#This Row],[F-Score(1-5)]]&amp;Auto_Sales_data___Copy[[#This Row],[M-Score(1-5)]]</f>
        <v>444</v>
      </c>
      <c r="AA813" s="2" t="str" cm="1">
        <f t="array" ref="AA8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3" s="2" t="str">
        <f>VLOOKUP(Auto_Sales_data___Copy[[#This Row],[Segment Name]],Table3[],2,FALSE)</f>
        <v>VIP Recognitioon &amp; Inclusivity</v>
      </c>
    </row>
    <row r="814" spans="1:28" x14ac:dyDescent="0.25">
      <c r="A814">
        <v>10332</v>
      </c>
      <c r="B814">
        <v>40</v>
      </c>
      <c r="C814">
        <v>39.799999999999997</v>
      </c>
      <c r="D814">
        <v>18</v>
      </c>
      <c r="E814">
        <v>1592</v>
      </c>
      <c r="F814" s="1">
        <v>43786</v>
      </c>
      <c r="G814" s="2" t="s">
        <v>19</v>
      </c>
      <c r="H814" s="2" t="s">
        <v>589</v>
      </c>
      <c r="I814">
        <v>104</v>
      </c>
      <c r="J814" s="2" t="s">
        <v>647</v>
      </c>
      <c r="K814" s="2" t="s">
        <v>523</v>
      </c>
      <c r="L814" s="2" t="s">
        <v>524</v>
      </c>
      <c r="M814" s="2" t="s">
        <v>525</v>
      </c>
      <c r="N814" s="2" t="s">
        <v>526</v>
      </c>
      <c r="O814" s="2" t="s">
        <v>527</v>
      </c>
      <c r="P814" s="2" t="s">
        <v>171</v>
      </c>
      <c r="Q814" s="2" t="s">
        <v>528</v>
      </c>
      <c r="R814" s="2" t="s">
        <v>529</v>
      </c>
      <c r="S814" s="2" t="s">
        <v>30</v>
      </c>
      <c r="T814">
        <v>1138</v>
      </c>
      <c r="U814">
        <f>VLOOKUP(Auto_Sales_data___Copy[[#This Row],[CUSTOMER_NAME]],$AF$2:$AH$90,2,FALSE)</f>
        <v>51</v>
      </c>
      <c r="V814">
        <f>VLOOKUP(Auto_Sales_data___Copy[[#This Row],[CUSTOMER_NAME]],$AF$2:$AH$90,3,FALSE)</f>
        <v>157807.80999999994</v>
      </c>
      <c r="W814" s="2">
        <f>6-MATCH(Auto_Sales_data___Copy[[#This Row],[DAYS_SINCE_LAST_ORDER]],Table2[R-Cutoff],1)</f>
        <v>4</v>
      </c>
      <c r="X814" s="2">
        <f>MATCH(Auto_Sales_data___Copy[[#This Row],[Total_Orders_Per_Customer]],Table2[F-Cutoff],1)</f>
        <v>4</v>
      </c>
      <c r="Y814" s="2">
        <f>MATCH(Auto_Sales_data___Copy[[#This Row],[Total_Sales_Per_Customer]],Table2[M-Cutoff],1)</f>
        <v>4</v>
      </c>
      <c r="Z814" s="2" t="str">
        <f>Auto_Sales_data___Copy[[#This Row],[R-Score(1-5)]]&amp;Auto_Sales_data___Copy[[#This Row],[F-Score(1-5)]]&amp;Auto_Sales_data___Copy[[#This Row],[M-Score(1-5)]]</f>
        <v>444</v>
      </c>
      <c r="AA814" s="2" t="str" cm="1">
        <f t="array" ref="AA8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4" s="2" t="str">
        <f>VLOOKUP(Auto_Sales_data___Copy[[#This Row],[Segment Name]],Table3[],2,FALSE)</f>
        <v>VIP Recognitioon &amp; Inclusivity</v>
      </c>
    </row>
    <row r="815" spans="1:28" x14ac:dyDescent="0.25">
      <c r="A815">
        <v>10332</v>
      </c>
      <c r="B815">
        <v>50</v>
      </c>
      <c r="C815">
        <v>146.19999999999999</v>
      </c>
      <c r="D815">
        <v>2</v>
      </c>
      <c r="E815">
        <v>7310</v>
      </c>
      <c r="F815" s="1">
        <v>43786</v>
      </c>
      <c r="G815" s="2" t="s">
        <v>19</v>
      </c>
      <c r="H815" s="2" t="s">
        <v>589</v>
      </c>
      <c r="I815">
        <v>92</v>
      </c>
      <c r="J815" s="2" t="s">
        <v>659</v>
      </c>
      <c r="K815" s="2" t="s">
        <v>523</v>
      </c>
      <c r="L815" s="2" t="s">
        <v>524</v>
      </c>
      <c r="M815" s="2" t="s">
        <v>525</v>
      </c>
      <c r="N815" s="2" t="s">
        <v>526</v>
      </c>
      <c r="O815" s="2" t="s">
        <v>527</v>
      </c>
      <c r="P815" s="2" t="s">
        <v>171</v>
      </c>
      <c r="Q815" s="2" t="s">
        <v>528</v>
      </c>
      <c r="R815" s="2" t="s">
        <v>529</v>
      </c>
      <c r="S815" s="2" t="s">
        <v>151</v>
      </c>
      <c r="T815">
        <v>1431</v>
      </c>
      <c r="U815">
        <f>VLOOKUP(Auto_Sales_data___Copy[[#This Row],[CUSTOMER_NAME]],$AF$2:$AH$90,2,FALSE)</f>
        <v>51</v>
      </c>
      <c r="V815">
        <f>VLOOKUP(Auto_Sales_data___Copy[[#This Row],[CUSTOMER_NAME]],$AF$2:$AH$90,3,FALSE)</f>
        <v>157807.80999999994</v>
      </c>
      <c r="W815" s="2">
        <f>6-MATCH(Auto_Sales_data___Copy[[#This Row],[DAYS_SINCE_LAST_ORDER]],Table2[R-Cutoff],1)</f>
        <v>4</v>
      </c>
      <c r="X815" s="2">
        <f>MATCH(Auto_Sales_data___Copy[[#This Row],[Total_Orders_Per_Customer]],Table2[F-Cutoff],1)</f>
        <v>4</v>
      </c>
      <c r="Y815" s="2">
        <f>MATCH(Auto_Sales_data___Copy[[#This Row],[Total_Sales_Per_Customer]],Table2[M-Cutoff],1)</f>
        <v>4</v>
      </c>
      <c r="Z815" s="2" t="str">
        <f>Auto_Sales_data___Copy[[#This Row],[R-Score(1-5)]]&amp;Auto_Sales_data___Copy[[#This Row],[F-Score(1-5)]]&amp;Auto_Sales_data___Copy[[#This Row],[M-Score(1-5)]]</f>
        <v>444</v>
      </c>
      <c r="AA815" s="2" t="str" cm="1">
        <f t="array" ref="AA8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5" s="2" t="str">
        <f>VLOOKUP(Auto_Sales_data___Copy[[#This Row],[Segment Name]],Table3[],2,FALSE)</f>
        <v>VIP Recognitioon &amp; Inclusivity</v>
      </c>
    </row>
    <row r="816" spans="1:28" x14ac:dyDescent="0.25">
      <c r="A816">
        <v>10339</v>
      </c>
      <c r="B816">
        <v>27</v>
      </c>
      <c r="C816">
        <v>104.1</v>
      </c>
      <c r="D816">
        <v>2</v>
      </c>
      <c r="E816">
        <v>2810.7</v>
      </c>
      <c r="F816" s="1">
        <v>43792</v>
      </c>
      <c r="G816" s="2" t="s">
        <v>19</v>
      </c>
      <c r="H816" s="2" t="s">
        <v>607</v>
      </c>
      <c r="I816">
        <v>84</v>
      </c>
      <c r="J816" s="2" t="s">
        <v>636</v>
      </c>
      <c r="K816" s="2" t="s">
        <v>256</v>
      </c>
      <c r="L816" s="2" t="s">
        <v>257</v>
      </c>
      <c r="M816" s="2" t="s">
        <v>258</v>
      </c>
      <c r="N816" s="2" t="s">
        <v>259</v>
      </c>
      <c r="O816" s="2" t="s">
        <v>260</v>
      </c>
      <c r="P816" s="2" t="s">
        <v>261</v>
      </c>
      <c r="Q816" s="2" t="s">
        <v>262</v>
      </c>
      <c r="R816" s="2" t="s">
        <v>263</v>
      </c>
      <c r="S816" s="2" t="s">
        <v>30</v>
      </c>
      <c r="T816">
        <v>957</v>
      </c>
      <c r="U816">
        <f>VLOOKUP(Auto_Sales_data___Copy[[#This Row],[CUSTOMER_NAME]],$AF$2:$AH$90,2,FALSE)</f>
        <v>32</v>
      </c>
      <c r="V816">
        <f>VLOOKUP(Auto_Sales_data___Copy[[#This Row],[CUSTOMER_NAME]],$AF$2:$AH$90,3,FALSE)</f>
        <v>120562.74000000002</v>
      </c>
      <c r="W816" s="2">
        <f>6-MATCH(Auto_Sales_data___Copy[[#This Row],[DAYS_SINCE_LAST_ORDER]],Table2[R-Cutoff],1)</f>
        <v>4</v>
      </c>
      <c r="X816" s="2">
        <f>MATCH(Auto_Sales_data___Copy[[#This Row],[Total_Orders_Per_Customer]],Table2[F-Cutoff],1)</f>
        <v>4</v>
      </c>
      <c r="Y816" s="2">
        <f>MATCH(Auto_Sales_data___Copy[[#This Row],[Total_Sales_Per_Customer]],Table2[M-Cutoff],1)</f>
        <v>4</v>
      </c>
      <c r="Z816" s="2" t="str">
        <f>Auto_Sales_data___Copy[[#This Row],[R-Score(1-5)]]&amp;Auto_Sales_data___Copy[[#This Row],[F-Score(1-5)]]&amp;Auto_Sales_data___Copy[[#This Row],[M-Score(1-5)]]</f>
        <v>444</v>
      </c>
      <c r="AA816" s="2" t="str" cm="1">
        <f t="array" ref="AA8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6" s="2" t="str">
        <f>VLOOKUP(Auto_Sales_data___Copy[[#This Row],[Segment Name]],Table3[],2,FALSE)</f>
        <v>VIP Recognitioon &amp; Inclusivity</v>
      </c>
    </row>
    <row r="817" spans="1:28" x14ac:dyDescent="0.25">
      <c r="A817">
        <v>10339</v>
      </c>
      <c r="B817">
        <v>30</v>
      </c>
      <c r="C817">
        <v>62.16</v>
      </c>
      <c r="D817">
        <v>1</v>
      </c>
      <c r="E817">
        <v>1864.8</v>
      </c>
      <c r="F817" s="1">
        <v>43792</v>
      </c>
      <c r="G817" s="2" t="s">
        <v>19</v>
      </c>
      <c r="H817" s="2" t="s">
        <v>20</v>
      </c>
      <c r="I817">
        <v>60</v>
      </c>
      <c r="J817" s="2" t="s">
        <v>637</v>
      </c>
      <c r="K817" s="2" t="s">
        <v>256</v>
      </c>
      <c r="L817" s="2" t="s">
        <v>257</v>
      </c>
      <c r="M817" s="2" t="s">
        <v>258</v>
      </c>
      <c r="N817" s="2" t="s">
        <v>259</v>
      </c>
      <c r="O817" s="2" t="s">
        <v>260</v>
      </c>
      <c r="P817" s="2" t="s">
        <v>261</v>
      </c>
      <c r="Q817" s="2" t="s">
        <v>262</v>
      </c>
      <c r="R817" s="2" t="s">
        <v>263</v>
      </c>
      <c r="S817" s="2" t="s">
        <v>30</v>
      </c>
      <c r="T817">
        <v>982</v>
      </c>
      <c r="U817">
        <f>VLOOKUP(Auto_Sales_data___Copy[[#This Row],[CUSTOMER_NAME]],$AF$2:$AH$90,2,FALSE)</f>
        <v>32</v>
      </c>
      <c r="V817">
        <f>VLOOKUP(Auto_Sales_data___Copy[[#This Row],[CUSTOMER_NAME]],$AF$2:$AH$90,3,FALSE)</f>
        <v>120562.74000000002</v>
      </c>
      <c r="W817" s="2">
        <f>6-MATCH(Auto_Sales_data___Copy[[#This Row],[DAYS_SINCE_LAST_ORDER]],Table2[R-Cutoff],1)</f>
        <v>4</v>
      </c>
      <c r="X817" s="2">
        <f>MATCH(Auto_Sales_data___Copy[[#This Row],[Total_Orders_Per_Customer]],Table2[F-Cutoff],1)</f>
        <v>4</v>
      </c>
      <c r="Y817" s="2">
        <f>MATCH(Auto_Sales_data___Copy[[#This Row],[Total_Sales_Per_Customer]],Table2[M-Cutoff],1)</f>
        <v>4</v>
      </c>
      <c r="Z817" s="2" t="str">
        <f>Auto_Sales_data___Copy[[#This Row],[R-Score(1-5)]]&amp;Auto_Sales_data___Copy[[#This Row],[F-Score(1-5)]]&amp;Auto_Sales_data___Copy[[#This Row],[M-Score(1-5)]]</f>
        <v>444</v>
      </c>
      <c r="AA817" s="2" t="str" cm="1">
        <f t="array" ref="AA8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7" s="2" t="str">
        <f>VLOOKUP(Auto_Sales_data___Copy[[#This Row],[Segment Name]],Table3[],2,FALSE)</f>
        <v>VIP Recognitioon &amp; Inclusivity</v>
      </c>
    </row>
    <row r="818" spans="1:28" x14ac:dyDescent="0.25">
      <c r="A818">
        <v>10343</v>
      </c>
      <c r="B818">
        <v>25</v>
      </c>
      <c r="C818">
        <v>52.32</v>
      </c>
      <c r="D818">
        <v>3</v>
      </c>
      <c r="E818">
        <v>1308</v>
      </c>
      <c r="F818" s="1">
        <v>43793</v>
      </c>
      <c r="G818" s="2" t="s">
        <v>19</v>
      </c>
      <c r="H818" s="2" t="s">
        <v>183</v>
      </c>
      <c r="I818">
        <v>132</v>
      </c>
      <c r="J818" s="2" t="s">
        <v>639</v>
      </c>
      <c r="K818" s="2" t="s">
        <v>31</v>
      </c>
      <c r="L818" s="2" t="s">
        <v>32</v>
      </c>
      <c r="M818" s="2" t="s">
        <v>33</v>
      </c>
      <c r="N818" s="2" t="s">
        <v>34</v>
      </c>
      <c r="O818" s="2" t="s">
        <v>35</v>
      </c>
      <c r="P818" s="2" t="s">
        <v>36</v>
      </c>
      <c r="Q818" s="2" t="s">
        <v>37</v>
      </c>
      <c r="R818" s="2" t="s">
        <v>38</v>
      </c>
      <c r="S818" s="2" t="s">
        <v>30</v>
      </c>
      <c r="T818">
        <v>1032</v>
      </c>
      <c r="U818">
        <f>VLOOKUP(Auto_Sales_data___Copy[[#This Row],[CUSTOMER_NAME]],$AF$2:$AH$90,2,FALSE)</f>
        <v>41</v>
      </c>
      <c r="V818">
        <f>VLOOKUP(Auto_Sales_data___Copy[[#This Row],[CUSTOMER_NAME]],$AF$2:$AH$90,3,FALSE)</f>
        <v>135042.94</v>
      </c>
      <c r="W818" s="2">
        <f>6-MATCH(Auto_Sales_data___Copy[[#This Row],[DAYS_SINCE_LAST_ORDER]],Table2[R-Cutoff],1)</f>
        <v>4</v>
      </c>
      <c r="X818" s="2">
        <f>MATCH(Auto_Sales_data___Copy[[#This Row],[Total_Orders_Per_Customer]],Table2[F-Cutoff],1)</f>
        <v>4</v>
      </c>
      <c r="Y818" s="2">
        <f>MATCH(Auto_Sales_data___Copy[[#This Row],[Total_Sales_Per_Customer]],Table2[M-Cutoff],1)</f>
        <v>4</v>
      </c>
      <c r="Z818" s="2" t="str">
        <f>Auto_Sales_data___Copy[[#This Row],[R-Score(1-5)]]&amp;Auto_Sales_data___Copy[[#This Row],[F-Score(1-5)]]&amp;Auto_Sales_data___Copy[[#This Row],[M-Score(1-5)]]</f>
        <v>444</v>
      </c>
      <c r="AA818" s="2" t="str" cm="1">
        <f t="array" ref="AA8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8" s="2" t="str">
        <f>VLOOKUP(Auto_Sales_data___Copy[[#This Row],[Segment Name]],Table3[],2,FALSE)</f>
        <v>VIP Recognitioon &amp; Inclusivity</v>
      </c>
    </row>
    <row r="819" spans="1:28" x14ac:dyDescent="0.25">
      <c r="A819">
        <v>10342</v>
      </c>
      <c r="B819">
        <v>30</v>
      </c>
      <c r="C819">
        <v>167.65</v>
      </c>
      <c r="D819">
        <v>4</v>
      </c>
      <c r="E819">
        <v>5029.5</v>
      </c>
      <c r="F819" s="1">
        <v>43793</v>
      </c>
      <c r="G819" s="2" t="s">
        <v>19</v>
      </c>
      <c r="H819" s="2" t="s">
        <v>183</v>
      </c>
      <c r="I819">
        <v>169</v>
      </c>
      <c r="J819" s="2" t="s">
        <v>649</v>
      </c>
      <c r="K819" s="2" t="s">
        <v>82</v>
      </c>
      <c r="L819" s="2" t="s">
        <v>83</v>
      </c>
      <c r="M819" s="2" t="s">
        <v>84</v>
      </c>
      <c r="N819" s="2" t="s">
        <v>85</v>
      </c>
      <c r="O819" s="2" t="s">
        <v>86</v>
      </c>
      <c r="P819" s="2" t="s">
        <v>87</v>
      </c>
      <c r="Q819" s="2" t="s">
        <v>88</v>
      </c>
      <c r="R819" s="2" t="s">
        <v>89</v>
      </c>
      <c r="S819" s="2" t="s">
        <v>46</v>
      </c>
      <c r="T819">
        <v>1201</v>
      </c>
      <c r="U819">
        <f>VLOOKUP(Auto_Sales_data___Copy[[#This Row],[CUSTOMER_NAME]],$AF$2:$AH$90,2,FALSE)</f>
        <v>55</v>
      </c>
      <c r="V819">
        <f>VLOOKUP(Auto_Sales_data___Copy[[#This Row],[CUSTOMER_NAME]],$AF$2:$AH$90,3,FALSE)</f>
        <v>200995.41000000006</v>
      </c>
      <c r="W819" s="2">
        <f>6-MATCH(Auto_Sales_data___Copy[[#This Row],[DAYS_SINCE_LAST_ORDER]],Table2[R-Cutoff],1)</f>
        <v>4</v>
      </c>
      <c r="X819" s="2">
        <f>MATCH(Auto_Sales_data___Copy[[#This Row],[Total_Orders_Per_Customer]],Table2[F-Cutoff],1)</f>
        <v>4</v>
      </c>
      <c r="Y819" s="2">
        <f>MATCH(Auto_Sales_data___Copy[[#This Row],[Total_Sales_Per_Customer]],Table2[M-Cutoff],1)</f>
        <v>4</v>
      </c>
      <c r="Z819" s="2" t="str">
        <f>Auto_Sales_data___Copy[[#This Row],[R-Score(1-5)]]&amp;Auto_Sales_data___Copy[[#This Row],[F-Score(1-5)]]&amp;Auto_Sales_data___Copy[[#This Row],[M-Score(1-5)]]</f>
        <v>444</v>
      </c>
      <c r="AA819" s="2" t="str" cm="1">
        <f t="array" ref="AA8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9" s="2" t="str">
        <f>VLOOKUP(Auto_Sales_data___Copy[[#This Row],[Segment Name]],Table3[],2,FALSE)</f>
        <v>VIP Recognitioon &amp; Inclusivity</v>
      </c>
    </row>
    <row r="820" spans="1:28" x14ac:dyDescent="0.25">
      <c r="A820">
        <v>10342</v>
      </c>
      <c r="B820">
        <v>25</v>
      </c>
      <c r="C820">
        <v>66.739999999999995</v>
      </c>
      <c r="D820">
        <v>5</v>
      </c>
      <c r="E820">
        <v>1668.5</v>
      </c>
      <c r="F820" s="1">
        <v>43793</v>
      </c>
      <c r="G820" s="2" t="s">
        <v>19</v>
      </c>
      <c r="H820" s="2" t="s">
        <v>183</v>
      </c>
      <c r="I820">
        <v>80</v>
      </c>
      <c r="J820" s="2" t="s">
        <v>652</v>
      </c>
      <c r="K820" s="2" t="s">
        <v>82</v>
      </c>
      <c r="L820" s="2" t="s">
        <v>83</v>
      </c>
      <c r="M820" s="2" t="s">
        <v>84</v>
      </c>
      <c r="N820" s="2" t="s">
        <v>85</v>
      </c>
      <c r="O820" s="2" t="s">
        <v>86</v>
      </c>
      <c r="P820" s="2" t="s">
        <v>87</v>
      </c>
      <c r="Q820" s="2" t="s">
        <v>88</v>
      </c>
      <c r="R820" s="2" t="s">
        <v>89</v>
      </c>
      <c r="S820" s="2" t="s">
        <v>30</v>
      </c>
      <c r="T820">
        <v>1257</v>
      </c>
      <c r="U820">
        <f>VLOOKUP(Auto_Sales_data___Copy[[#This Row],[CUSTOMER_NAME]],$AF$2:$AH$90,2,FALSE)</f>
        <v>55</v>
      </c>
      <c r="V820">
        <f>VLOOKUP(Auto_Sales_data___Copy[[#This Row],[CUSTOMER_NAME]],$AF$2:$AH$90,3,FALSE)</f>
        <v>200995.41000000006</v>
      </c>
      <c r="W820" s="2">
        <f>6-MATCH(Auto_Sales_data___Copy[[#This Row],[DAYS_SINCE_LAST_ORDER]],Table2[R-Cutoff],1)</f>
        <v>4</v>
      </c>
      <c r="X820" s="2">
        <f>MATCH(Auto_Sales_data___Copy[[#This Row],[Total_Orders_Per_Customer]],Table2[F-Cutoff],1)</f>
        <v>4</v>
      </c>
      <c r="Y820" s="2">
        <f>MATCH(Auto_Sales_data___Copy[[#This Row],[Total_Sales_Per_Customer]],Table2[M-Cutoff],1)</f>
        <v>4</v>
      </c>
      <c r="Z820" s="2" t="str">
        <f>Auto_Sales_data___Copy[[#This Row],[R-Score(1-5)]]&amp;Auto_Sales_data___Copy[[#This Row],[F-Score(1-5)]]&amp;Auto_Sales_data___Copy[[#This Row],[M-Score(1-5)]]</f>
        <v>444</v>
      </c>
      <c r="AA820" s="2" t="str" cm="1">
        <f t="array" ref="AA8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0" s="2" t="str">
        <f>VLOOKUP(Auto_Sales_data___Copy[[#This Row],[Segment Name]],Table3[],2,FALSE)</f>
        <v>VIP Recognitioon &amp; Inclusivity</v>
      </c>
    </row>
    <row r="821" spans="1:28" x14ac:dyDescent="0.25">
      <c r="A821">
        <v>10342</v>
      </c>
      <c r="B821">
        <v>55</v>
      </c>
      <c r="C821">
        <v>119.06</v>
      </c>
      <c r="D821">
        <v>7</v>
      </c>
      <c r="E821">
        <v>6548.3</v>
      </c>
      <c r="F821" s="1">
        <v>43793</v>
      </c>
      <c r="G821" s="2" t="s">
        <v>19</v>
      </c>
      <c r="H821" s="2" t="s">
        <v>183</v>
      </c>
      <c r="I821">
        <v>146</v>
      </c>
      <c r="J821" s="2" t="s">
        <v>654</v>
      </c>
      <c r="K821" s="2" t="s">
        <v>82</v>
      </c>
      <c r="L821" s="2" t="s">
        <v>83</v>
      </c>
      <c r="M821" s="2" t="s">
        <v>84</v>
      </c>
      <c r="N821" s="2" t="s">
        <v>85</v>
      </c>
      <c r="O821" s="2" t="s">
        <v>86</v>
      </c>
      <c r="P821" s="2" t="s">
        <v>87</v>
      </c>
      <c r="Q821" s="2" t="s">
        <v>88</v>
      </c>
      <c r="R821" s="2" t="s">
        <v>89</v>
      </c>
      <c r="S821" s="2" t="s">
        <v>46</v>
      </c>
      <c r="T821">
        <v>1304</v>
      </c>
      <c r="U821">
        <f>VLOOKUP(Auto_Sales_data___Copy[[#This Row],[CUSTOMER_NAME]],$AF$2:$AH$90,2,FALSE)</f>
        <v>55</v>
      </c>
      <c r="V821">
        <f>VLOOKUP(Auto_Sales_data___Copy[[#This Row],[CUSTOMER_NAME]],$AF$2:$AH$90,3,FALSE)</f>
        <v>200995.41000000006</v>
      </c>
      <c r="W821" s="2">
        <f>6-MATCH(Auto_Sales_data___Copy[[#This Row],[DAYS_SINCE_LAST_ORDER]],Table2[R-Cutoff],1)</f>
        <v>4</v>
      </c>
      <c r="X821" s="2">
        <f>MATCH(Auto_Sales_data___Copy[[#This Row],[Total_Orders_Per_Customer]],Table2[F-Cutoff],1)</f>
        <v>4</v>
      </c>
      <c r="Y821" s="2">
        <f>MATCH(Auto_Sales_data___Copy[[#This Row],[Total_Sales_Per_Customer]],Table2[M-Cutoff],1)</f>
        <v>4</v>
      </c>
      <c r="Z821" s="2" t="str">
        <f>Auto_Sales_data___Copy[[#This Row],[R-Score(1-5)]]&amp;Auto_Sales_data___Copy[[#This Row],[F-Score(1-5)]]&amp;Auto_Sales_data___Copy[[#This Row],[M-Score(1-5)]]</f>
        <v>444</v>
      </c>
      <c r="AA821" s="2" t="str" cm="1">
        <f t="array" ref="AA8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1" s="2" t="str">
        <f>VLOOKUP(Auto_Sales_data___Copy[[#This Row],[Segment Name]],Table3[],2,FALSE)</f>
        <v>VIP Recognitioon &amp; Inclusivity</v>
      </c>
    </row>
    <row r="822" spans="1:28" x14ac:dyDescent="0.25">
      <c r="A822">
        <v>10343</v>
      </c>
      <c r="B822">
        <v>44</v>
      </c>
      <c r="C822">
        <v>84.88</v>
      </c>
      <c r="D822">
        <v>2</v>
      </c>
      <c r="E822">
        <v>3734.72</v>
      </c>
      <c r="F822" s="1">
        <v>43793</v>
      </c>
      <c r="G822" s="2" t="s">
        <v>19</v>
      </c>
      <c r="H822" s="2" t="s">
        <v>183</v>
      </c>
      <c r="I822">
        <v>141</v>
      </c>
      <c r="J822" s="2" t="s">
        <v>655</v>
      </c>
      <c r="K822" s="2" t="s">
        <v>31</v>
      </c>
      <c r="L822" s="2" t="s">
        <v>32</v>
      </c>
      <c r="M822" s="2" t="s">
        <v>33</v>
      </c>
      <c r="N822" s="2" t="s">
        <v>34</v>
      </c>
      <c r="O822" s="2" t="s">
        <v>35</v>
      </c>
      <c r="P822" s="2" t="s">
        <v>36</v>
      </c>
      <c r="Q822" s="2" t="s">
        <v>37</v>
      </c>
      <c r="R822" s="2" t="s">
        <v>38</v>
      </c>
      <c r="S822" s="2" t="s">
        <v>46</v>
      </c>
      <c r="T822">
        <v>1329</v>
      </c>
      <c r="U822">
        <f>VLOOKUP(Auto_Sales_data___Copy[[#This Row],[CUSTOMER_NAME]],$AF$2:$AH$90,2,FALSE)</f>
        <v>41</v>
      </c>
      <c r="V822">
        <f>VLOOKUP(Auto_Sales_data___Copy[[#This Row],[CUSTOMER_NAME]],$AF$2:$AH$90,3,FALSE)</f>
        <v>135042.94</v>
      </c>
      <c r="W822" s="2">
        <f>6-MATCH(Auto_Sales_data___Copy[[#This Row],[DAYS_SINCE_LAST_ORDER]],Table2[R-Cutoff],1)</f>
        <v>4</v>
      </c>
      <c r="X822" s="2">
        <f>MATCH(Auto_Sales_data___Copy[[#This Row],[Total_Orders_Per_Customer]],Table2[F-Cutoff],1)</f>
        <v>4</v>
      </c>
      <c r="Y822" s="2">
        <f>MATCH(Auto_Sales_data___Copy[[#This Row],[Total_Sales_Per_Customer]],Table2[M-Cutoff],1)</f>
        <v>4</v>
      </c>
      <c r="Z822" s="2" t="str">
        <f>Auto_Sales_data___Copy[[#This Row],[R-Score(1-5)]]&amp;Auto_Sales_data___Copy[[#This Row],[F-Score(1-5)]]&amp;Auto_Sales_data___Copy[[#This Row],[M-Score(1-5)]]</f>
        <v>444</v>
      </c>
      <c r="AA822" s="2" t="str" cm="1">
        <f t="array" ref="AA8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2" s="2" t="str">
        <f>VLOOKUP(Auto_Sales_data___Copy[[#This Row],[Segment Name]],Table3[],2,FALSE)</f>
        <v>VIP Recognitioon &amp; Inclusivity</v>
      </c>
    </row>
    <row r="823" spans="1:28" x14ac:dyDescent="0.25">
      <c r="A823">
        <v>10342</v>
      </c>
      <c r="B823">
        <v>26</v>
      </c>
      <c r="C823">
        <v>55.95</v>
      </c>
      <c r="D823">
        <v>8</v>
      </c>
      <c r="E823">
        <v>1454.7</v>
      </c>
      <c r="F823" s="1">
        <v>43793</v>
      </c>
      <c r="G823" s="2" t="s">
        <v>19</v>
      </c>
      <c r="H823" s="2" t="s">
        <v>20</v>
      </c>
      <c r="I823">
        <v>62</v>
      </c>
      <c r="J823" s="2" t="s">
        <v>656</v>
      </c>
      <c r="K823" s="2" t="s">
        <v>82</v>
      </c>
      <c r="L823" s="2" t="s">
        <v>83</v>
      </c>
      <c r="M823" s="2" t="s">
        <v>84</v>
      </c>
      <c r="N823" s="2" t="s">
        <v>85</v>
      </c>
      <c r="O823" s="2" t="s">
        <v>86</v>
      </c>
      <c r="P823" s="2" t="s">
        <v>87</v>
      </c>
      <c r="Q823" s="2" t="s">
        <v>88</v>
      </c>
      <c r="R823" s="2" t="s">
        <v>89</v>
      </c>
      <c r="S823" s="2" t="s">
        <v>30</v>
      </c>
      <c r="T823">
        <v>1352</v>
      </c>
      <c r="U823">
        <f>VLOOKUP(Auto_Sales_data___Copy[[#This Row],[CUSTOMER_NAME]],$AF$2:$AH$90,2,FALSE)</f>
        <v>55</v>
      </c>
      <c r="V823">
        <f>VLOOKUP(Auto_Sales_data___Copy[[#This Row],[CUSTOMER_NAME]],$AF$2:$AH$90,3,FALSE)</f>
        <v>200995.41000000006</v>
      </c>
      <c r="W823" s="2">
        <f>6-MATCH(Auto_Sales_data___Copy[[#This Row],[DAYS_SINCE_LAST_ORDER]],Table2[R-Cutoff],1)</f>
        <v>4</v>
      </c>
      <c r="X823" s="2">
        <f>MATCH(Auto_Sales_data___Copy[[#This Row],[Total_Orders_Per_Customer]],Table2[F-Cutoff],1)</f>
        <v>4</v>
      </c>
      <c r="Y823" s="2">
        <f>MATCH(Auto_Sales_data___Copy[[#This Row],[Total_Sales_Per_Customer]],Table2[M-Cutoff],1)</f>
        <v>4</v>
      </c>
      <c r="Z823" s="2" t="str">
        <f>Auto_Sales_data___Copy[[#This Row],[R-Score(1-5)]]&amp;Auto_Sales_data___Copy[[#This Row],[F-Score(1-5)]]&amp;Auto_Sales_data___Copy[[#This Row],[M-Score(1-5)]]</f>
        <v>444</v>
      </c>
      <c r="AA823" s="2" t="str" cm="1">
        <f t="array" ref="AA8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3" s="2" t="str">
        <f>VLOOKUP(Auto_Sales_data___Copy[[#This Row],[Segment Name]],Table3[],2,FALSE)</f>
        <v>VIP Recognitioon &amp; Inclusivity</v>
      </c>
    </row>
    <row r="824" spans="1:28" x14ac:dyDescent="0.25">
      <c r="A824">
        <v>10347</v>
      </c>
      <c r="B824">
        <v>21</v>
      </c>
      <c r="C824">
        <v>229.3</v>
      </c>
      <c r="D824">
        <v>6</v>
      </c>
      <c r="E824">
        <v>4815.3</v>
      </c>
      <c r="F824" s="1">
        <v>43798</v>
      </c>
      <c r="G824" s="2" t="s">
        <v>19</v>
      </c>
      <c r="H824" s="2" t="s">
        <v>589</v>
      </c>
      <c r="I824">
        <v>168</v>
      </c>
      <c r="J824" s="2" t="s">
        <v>638</v>
      </c>
      <c r="K824" s="2" t="s">
        <v>82</v>
      </c>
      <c r="L824" s="2" t="s">
        <v>83</v>
      </c>
      <c r="M824" s="2" t="s">
        <v>84</v>
      </c>
      <c r="N824" s="2" t="s">
        <v>85</v>
      </c>
      <c r="O824" s="2" t="s">
        <v>86</v>
      </c>
      <c r="P824" s="2" t="s">
        <v>87</v>
      </c>
      <c r="Q824" s="2" t="s">
        <v>88</v>
      </c>
      <c r="R824" s="2" t="s">
        <v>89</v>
      </c>
      <c r="S824" s="2" t="s">
        <v>46</v>
      </c>
      <c r="T824">
        <v>1001</v>
      </c>
      <c r="U824">
        <f>VLOOKUP(Auto_Sales_data___Copy[[#This Row],[CUSTOMER_NAME]],$AF$2:$AH$90,2,FALSE)</f>
        <v>55</v>
      </c>
      <c r="V824">
        <f>VLOOKUP(Auto_Sales_data___Copy[[#This Row],[CUSTOMER_NAME]],$AF$2:$AH$90,3,FALSE)</f>
        <v>200995.41000000006</v>
      </c>
      <c r="W824" s="2">
        <f>6-MATCH(Auto_Sales_data___Copy[[#This Row],[DAYS_SINCE_LAST_ORDER]],Table2[R-Cutoff],1)</f>
        <v>4</v>
      </c>
      <c r="X824" s="2">
        <f>MATCH(Auto_Sales_data___Copy[[#This Row],[Total_Orders_Per_Customer]],Table2[F-Cutoff],1)</f>
        <v>4</v>
      </c>
      <c r="Y824" s="2">
        <f>MATCH(Auto_Sales_data___Copy[[#This Row],[Total_Sales_Per_Customer]],Table2[M-Cutoff],1)</f>
        <v>4</v>
      </c>
      <c r="Z824" s="2" t="str">
        <f>Auto_Sales_data___Copy[[#This Row],[R-Score(1-5)]]&amp;Auto_Sales_data___Copy[[#This Row],[F-Score(1-5)]]&amp;Auto_Sales_data___Copy[[#This Row],[M-Score(1-5)]]</f>
        <v>444</v>
      </c>
      <c r="AA824" s="2" t="str" cm="1">
        <f t="array" ref="AA8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4" s="2" t="str">
        <f>VLOOKUP(Auto_Sales_data___Copy[[#This Row],[Segment Name]],Table3[],2,FALSE)</f>
        <v>VIP Recognitioon &amp; Inclusivity</v>
      </c>
    </row>
    <row r="825" spans="1:28" x14ac:dyDescent="0.25">
      <c r="A825">
        <v>10347</v>
      </c>
      <c r="B825">
        <v>48</v>
      </c>
      <c r="C825">
        <v>100.3</v>
      </c>
      <c r="D825">
        <v>9</v>
      </c>
      <c r="E825">
        <v>4814.3999999999996</v>
      </c>
      <c r="F825" s="1">
        <v>43798</v>
      </c>
      <c r="G825" s="2" t="s">
        <v>19</v>
      </c>
      <c r="H825" s="2" t="s">
        <v>589</v>
      </c>
      <c r="I825">
        <v>101</v>
      </c>
      <c r="J825" s="2" t="s">
        <v>640</v>
      </c>
      <c r="K825" s="2" t="s">
        <v>82</v>
      </c>
      <c r="L825" s="2" t="s">
        <v>83</v>
      </c>
      <c r="M825" s="2" t="s">
        <v>84</v>
      </c>
      <c r="N825" s="2" t="s">
        <v>85</v>
      </c>
      <c r="O825" s="2" t="s">
        <v>86</v>
      </c>
      <c r="P825" s="2" t="s">
        <v>87</v>
      </c>
      <c r="Q825" s="2" t="s">
        <v>88</v>
      </c>
      <c r="R825" s="2" t="s">
        <v>89</v>
      </c>
      <c r="S825" s="2" t="s">
        <v>46</v>
      </c>
      <c r="T825">
        <v>1052</v>
      </c>
      <c r="U825">
        <f>VLOOKUP(Auto_Sales_data___Copy[[#This Row],[CUSTOMER_NAME]],$AF$2:$AH$90,2,FALSE)</f>
        <v>55</v>
      </c>
      <c r="V825">
        <f>VLOOKUP(Auto_Sales_data___Copy[[#This Row],[CUSTOMER_NAME]],$AF$2:$AH$90,3,FALSE)</f>
        <v>200995.41000000006</v>
      </c>
      <c r="W825" s="2">
        <f>6-MATCH(Auto_Sales_data___Copy[[#This Row],[DAYS_SINCE_LAST_ORDER]],Table2[R-Cutoff],1)</f>
        <v>4</v>
      </c>
      <c r="X825" s="2">
        <f>MATCH(Auto_Sales_data___Copy[[#This Row],[Total_Orders_Per_Customer]],Table2[F-Cutoff],1)</f>
        <v>4</v>
      </c>
      <c r="Y825" s="2">
        <f>MATCH(Auto_Sales_data___Copy[[#This Row],[Total_Sales_Per_Customer]],Table2[M-Cutoff],1)</f>
        <v>4</v>
      </c>
      <c r="Z825" s="2" t="str">
        <f>Auto_Sales_data___Copy[[#This Row],[R-Score(1-5)]]&amp;Auto_Sales_data___Copy[[#This Row],[F-Score(1-5)]]&amp;Auto_Sales_data___Copy[[#This Row],[M-Score(1-5)]]</f>
        <v>444</v>
      </c>
      <c r="AA825" s="2" t="str" cm="1">
        <f t="array" ref="AA8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5" s="2" t="str">
        <f>VLOOKUP(Auto_Sales_data___Copy[[#This Row],[Segment Name]],Table3[],2,FALSE)</f>
        <v>VIP Recognitioon &amp; Inclusivity</v>
      </c>
    </row>
    <row r="826" spans="1:28" x14ac:dyDescent="0.25">
      <c r="A826">
        <v>10347</v>
      </c>
      <c r="B826">
        <v>34</v>
      </c>
      <c r="C826">
        <v>64.959999999999994</v>
      </c>
      <c r="D826">
        <v>10</v>
      </c>
      <c r="E826">
        <v>2208.64</v>
      </c>
      <c r="F826" s="1">
        <v>43798</v>
      </c>
      <c r="G826" s="2" t="s">
        <v>19</v>
      </c>
      <c r="H826" s="2" t="s">
        <v>589</v>
      </c>
      <c r="I826">
        <v>62</v>
      </c>
      <c r="J826" s="2" t="s">
        <v>641</v>
      </c>
      <c r="K826" s="2" t="s">
        <v>82</v>
      </c>
      <c r="L826" s="2" t="s">
        <v>83</v>
      </c>
      <c r="M826" s="2" t="s">
        <v>84</v>
      </c>
      <c r="N826" s="2" t="s">
        <v>85</v>
      </c>
      <c r="O826" s="2" t="s">
        <v>86</v>
      </c>
      <c r="P826" s="2" t="s">
        <v>87</v>
      </c>
      <c r="Q826" s="2" t="s">
        <v>88</v>
      </c>
      <c r="R826" s="2" t="s">
        <v>89</v>
      </c>
      <c r="S826" s="2" t="s">
        <v>30</v>
      </c>
      <c r="T826">
        <v>1077</v>
      </c>
      <c r="U826">
        <f>VLOOKUP(Auto_Sales_data___Copy[[#This Row],[CUSTOMER_NAME]],$AF$2:$AH$90,2,FALSE)</f>
        <v>55</v>
      </c>
      <c r="V826">
        <f>VLOOKUP(Auto_Sales_data___Copy[[#This Row],[CUSTOMER_NAME]],$AF$2:$AH$90,3,FALSE)</f>
        <v>200995.41000000006</v>
      </c>
      <c r="W826" s="2">
        <f>6-MATCH(Auto_Sales_data___Copy[[#This Row],[DAYS_SINCE_LAST_ORDER]],Table2[R-Cutoff],1)</f>
        <v>4</v>
      </c>
      <c r="X826" s="2">
        <f>MATCH(Auto_Sales_data___Copy[[#This Row],[Total_Orders_Per_Customer]],Table2[F-Cutoff],1)</f>
        <v>4</v>
      </c>
      <c r="Y826" s="2">
        <f>MATCH(Auto_Sales_data___Copy[[#This Row],[Total_Sales_Per_Customer]],Table2[M-Cutoff],1)</f>
        <v>4</v>
      </c>
      <c r="Z826" s="2" t="str">
        <f>Auto_Sales_data___Copy[[#This Row],[R-Score(1-5)]]&amp;Auto_Sales_data___Copy[[#This Row],[F-Score(1-5)]]&amp;Auto_Sales_data___Copy[[#This Row],[M-Score(1-5)]]</f>
        <v>444</v>
      </c>
      <c r="AA826" s="2" t="str" cm="1">
        <f t="array" ref="AA8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6" s="2" t="str">
        <f>VLOOKUP(Auto_Sales_data___Copy[[#This Row],[Segment Name]],Table3[],2,FALSE)</f>
        <v>VIP Recognitioon &amp; Inclusivity</v>
      </c>
    </row>
    <row r="827" spans="1:28" x14ac:dyDescent="0.25">
      <c r="A827">
        <v>10347</v>
      </c>
      <c r="B827">
        <v>45</v>
      </c>
      <c r="C827">
        <v>109.96</v>
      </c>
      <c r="D827">
        <v>11</v>
      </c>
      <c r="E827">
        <v>4948.2</v>
      </c>
      <c r="F827" s="1">
        <v>43798</v>
      </c>
      <c r="G827" s="2" t="s">
        <v>19</v>
      </c>
      <c r="H827" s="2" t="s">
        <v>589</v>
      </c>
      <c r="I827">
        <v>104</v>
      </c>
      <c r="J827" s="2" t="s">
        <v>647</v>
      </c>
      <c r="K827" s="2" t="s">
        <v>82</v>
      </c>
      <c r="L827" s="2" t="s">
        <v>83</v>
      </c>
      <c r="M827" s="2" t="s">
        <v>84</v>
      </c>
      <c r="N827" s="2" t="s">
        <v>85</v>
      </c>
      <c r="O827" s="2" t="s">
        <v>86</v>
      </c>
      <c r="P827" s="2" t="s">
        <v>87</v>
      </c>
      <c r="Q827" s="2" t="s">
        <v>88</v>
      </c>
      <c r="R827" s="2" t="s">
        <v>89</v>
      </c>
      <c r="S827" s="2" t="s">
        <v>46</v>
      </c>
      <c r="T827">
        <v>1127</v>
      </c>
      <c r="U827">
        <f>VLOOKUP(Auto_Sales_data___Copy[[#This Row],[CUSTOMER_NAME]],$AF$2:$AH$90,2,FALSE)</f>
        <v>55</v>
      </c>
      <c r="V827">
        <f>VLOOKUP(Auto_Sales_data___Copy[[#This Row],[CUSTOMER_NAME]],$AF$2:$AH$90,3,FALSE)</f>
        <v>200995.41000000006</v>
      </c>
      <c r="W827" s="2">
        <f>6-MATCH(Auto_Sales_data___Copy[[#This Row],[DAYS_SINCE_LAST_ORDER]],Table2[R-Cutoff],1)</f>
        <v>4</v>
      </c>
      <c r="X827" s="2">
        <f>MATCH(Auto_Sales_data___Copy[[#This Row],[Total_Orders_Per_Customer]],Table2[F-Cutoff],1)</f>
        <v>4</v>
      </c>
      <c r="Y827" s="2">
        <f>MATCH(Auto_Sales_data___Copy[[#This Row],[Total_Sales_Per_Customer]],Table2[M-Cutoff],1)</f>
        <v>4</v>
      </c>
      <c r="Z827" s="2" t="str">
        <f>Auto_Sales_data___Copy[[#This Row],[R-Score(1-5)]]&amp;Auto_Sales_data___Copy[[#This Row],[F-Score(1-5)]]&amp;Auto_Sales_data___Copy[[#This Row],[M-Score(1-5)]]</f>
        <v>444</v>
      </c>
      <c r="AA827" s="2" t="str" cm="1">
        <f t="array" ref="AA8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7" s="2" t="str">
        <f>VLOOKUP(Auto_Sales_data___Copy[[#This Row],[Segment Name]],Table3[],2,FALSE)</f>
        <v>VIP Recognitioon &amp; Inclusivity</v>
      </c>
    </row>
    <row r="828" spans="1:28" x14ac:dyDescent="0.25">
      <c r="A828">
        <v>10347</v>
      </c>
      <c r="B828">
        <v>26</v>
      </c>
      <c r="C828">
        <v>102.19</v>
      </c>
      <c r="D828">
        <v>12</v>
      </c>
      <c r="E828">
        <v>2656.94</v>
      </c>
      <c r="F828" s="1">
        <v>43798</v>
      </c>
      <c r="G828" s="2" t="s">
        <v>19</v>
      </c>
      <c r="H828" s="2" t="s">
        <v>589</v>
      </c>
      <c r="I828">
        <v>99</v>
      </c>
      <c r="J828" s="2" t="s">
        <v>653</v>
      </c>
      <c r="K828" s="2" t="s">
        <v>82</v>
      </c>
      <c r="L828" s="2" t="s">
        <v>83</v>
      </c>
      <c r="M828" s="2" t="s">
        <v>84</v>
      </c>
      <c r="N828" s="2" t="s">
        <v>85</v>
      </c>
      <c r="O828" s="2" t="s">
        <v>86</v>
      </c>
      <c r="P828" s="2" t="s">
        <v>87</v>
      </c>
      <c r="Q828" s="2" t="s">
        <v>88</v>
      </c>
      <c r="R828" s="2" t="s">
        <v>89</v>
      </c>
      <c r="S828" s="2" t="s">
        <v>30</v>
      </c>
      <c r="T828">
        <v>1274</v>
      </c>
      <c r="U828">
        <f>VLOOKUP(Auto_Sales_data___Copy[[#This Row],[CUSTOMER_NAME]],$AF$2:$AH$90,2,FALSE)</f>
        <v>55</v>
      </c>
      <c r="V828">
        <f>VLOOKUP(Auto_Sales_data___Copy[[#This Row],[CUSTOMER_NAME]],$AF$2:$AH$90,3,FALSE)</f>
        <v>200995.41000000006</v>
      </c>
      <c r="W828" s="2">
        <f>6-MATCH(Auto_Sales_data___Copy[[#This Row],[DAYS_SINCE_LAST_ORDER]],Table2[R-Cutoff],1)</f>
        <v>4</v>
      </c>
      <c r="X828" s="2">
        <f>MATCH(Auto_Sales_data___Copy[[#This Row],[Total_Orders_Per_Customer]],Table2[F-Cutoff],1)</f>
        <v>4</v>
      </c>
      <c r="Y828" s="2">
        <f>MATCH(Auto_Sales_data___Copy[[#This Row],[Total_Sales_Per_Customer]],Table2[M-Cutoff],1)</f>
        <v>4</v>
      </c>
      <c r="Z828" s="2" t="str">
        <f>Auto_Sales_data___Copy[[#This Row],[R-Score(1-5)]]&amp;Auto_Sales_data___Copy[[#This Row],[F-Score(1-5)]]&amp;Auto_Sales_data___Copy[[#This Row],[M-Score(1-5)]]</f>
        <v>444</v>
      </c>
      <c r="AA828" s="2" t="str" cm="1">
        <f t="array" ref="AA8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8" s="2" t="str">
        <f>VLOOKUP(Auto_Sales_data___Copy[[#This Row],[Segment Name]],Table3[],2,FALSE)</f>
        <v>VIP Recognitioon &amp; Inclusivity</v>
      </c>
    </row>
    <row r="829" spans="1:28" x14ac:dyDescent="0.25">
      <c r="A829">
        <v>10347</v>
      </c>
      <c r="B829">
        <v>45</v>
      </c>
      <c r="C829">
        <v>130.77000000000001</v>
      </c>
      <c r="D829">
        <v>4</v>
      </c>
      <c r="E829">
        <v>5884.65</v>
      </c>
      <c r="F829" s="1">
        <v>43798</v>
      </c>
      <c r="G829" s="2" t="s">
        <v>19</v>
      </c>
      <c r="H829" s="2" t="s">
        <v>537</v>
      </c>
      <c r="I829">
        <v>121</v>
      </c>
      <c r="J829" s="2" t="s">
        <v>661</v>
      </c>
      <c r="K829" s="2" t="s">
        <v>82</v>
      </c>
      <c r="L829" s="2" t="s">
        <v>83</v>
      </c>
      <c r="M829" s="2" t="s">
        <v>84</v>
      </c>
      <c r="N829" s="2" t="s">
        <v>85</v>
      </c>
      <c r="O829" s="2" t="s">
        <v>86</v>
      </c>
      <c r="P829" s="2" t="s">
        <v>87</v>
      </c>
      <c r="Q829" s="2" t="s">
        <v>88</v>
      </c>
      <c r="R829" s="2" t="s">
        <v>89</v>
      </c>
      <c r="S829" s="2" t="s">
        <v>46</v>
      </c>
      <c r="T829">
        <v>1472</v>
      </c>
      <c r="U829">
        <f>VLOOKUP(Auto_Sales_data___Copy[[#This Row],[CUSTOMER_NAME]],$AF$2:$AH$90,2,FALSE)</f>
        <v>55</v>
      </c>
      <c r="V829">
        <f>VLOOKUP(Auto_Sales_data___Copy[[#This Row],[CUSTOMER_NAME]],$AF$2:$AH$90,3,FALSE)</f>
        <v>200995.41000000006</v>
      </c>
      <c r="W829" s="2">
        <f>6-MATCH(Auto_Sales_data___Copy[[#This Row],[DAYS_SINCE_LAST_ORDER]],Table2[R-Cutoff],1)</f>
        <v>4</v>
      </c>
      <c r="X829" s="2">
        <f>MATCH(Auto_Sales_data___Copy[[#This Row],[Total_Orders_Per_Customer]],Table2[F-Cutoff],1)</f>
        <v>4</v>
      </c>
      <c r="Y829" s="2">
        <f>MATCH(Auto_Sales_data___Copy[[#This Row],[Total_Sales_Per_Customer]],Table2[M-Cutoff],1)</f>
        <v>4</v>
      </c>
      <c r="Z829" s="2" t="str">
        <f>Auto_Sales_data___Copy[[#This Row],[R-Score(1-5)]]&amp;Auto_Sales_data___Copy[[#This Row],[F-Score(1-5)]]&amp;Auto_Sales_data___Copy[[#This Row],[M-Score(1-5)]]</f>
        <v>444</v>
      </c>
      <c r="AA829" s="2" t="str" cm="1">
        <f t="array" ref="AA8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9" s="2" t="str">
        <f>VLOOKUP(Auto_Sales_data___Copy[[#This Row],[Segment Name]],Table3[],2,FALSE)</f>
        <v>VIP Recognitioon &amp; Inclusivity</v>
      </c>
    </row>
    <row r="830" spans="1:28" x14ac:dyDescent="0.25">
      <c r="A830">
        <v>10349</v>
      </c>
      <c r="B830">
        <v>48</v>
      </c>
      <c r="C830">
        <v>154.1</v>
      </c>
      <c r="D830">
        <v>6</v>
      </c>
      <c r="E830">
        <v>7396.8</v>
      </c>
      <c r="F830" s="1">
        <v>43800</v>
      </c>
      <c r="G830" s="2" t="s">
        <v>19</v>
      </c>
      <c r="H830" s="2" t="s">
        <v>183</v>
      </c>
      <c r="I830">
        <v>169</v>
      </c>
      <c r="J830" s="2" t="s">
        <v>649</v>
      </c>
      <c r="K830" s="2" t="s">
        <v>506</v>
      </c>
      <c r="L830" s="2" t="s">
        <v>507</v>
      </c>
      <c r="M830" s="2" t="s">
        <v>508</v>
      </c>
      <c r="N830" s="2" t="s">
        <v>25</v>
      </c>
      <c r="O830" s="2" t="s">
        <v>26</v>
      </c>
      <c r="P830" s="2" t="s">
        <v>27</v>
      </c>
      <c r="Q830" s="2" t="s">
        <v>52</v>
      </c>
      <c r="R830" s="2" t="s">
        <v>509</v>
      </c>
      <c r="S830" s="2" t="s">
        <v>151</v>
      </c>
      <c r="T830">
        <v>1195</v>
      </c>
      <c r="U830">
        <f>VLOOKUP(Auto_Sales_data___Copy[[#This Row],[CUSTOMER_NAME]],$AF$2:$AH$90,2,FALSE)</f>
        <v>48</v>
      </c>
      <c r="V830">
        <f>VLOOKUP(Auto_Sales_data___Copy[[#This Row],[CUSTOMER_NAME]],$AF$2:$AH$90,3,FALSE)</f>
        <v>197736.93999999997</v>
      </c>
      <c r="W830" s="2">
        <f>6-MATCH(Auto_Sales_data___Copy[[#This Row],[DAYS_SINCE_LAST_ORDER]],Table2[R-Cutoff],1)</f>
        <v>4</v>
      </c>
      <c r="X830" s="2">
        <f>MATCH(Auto_Sales_data___Copy[[#This Row],[Total_Orders_Per_Customer]],Table2[F-Cutoff],1)</f>
        <v>4</v>
      </c>
      <c r="Y830" s="2">
        <f>MATCH(Auto_Sales_data___Copy[[#This Row],[Total_Sales_Per_Customer]],Table2[M-Cutoff],1)</f>
        <v>4</v>
      </c>
      <c r="Z830" s="2" t="str">
        <f>Auto_Sales_data___Copy[[#This Row],[R-Score(1-5)]]&amp;Auto_Sales_data___Copy[[#This Row],[F-Score(1-5)]]&amp;Auto_Sales_data___Copy[[#This Row],[M-Score(1-5)]]</f>
        <v>444</v>
      </c>
      <c r="AA830" s="2" t="str" cm="1">
        <f t="array" ref="AA8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0" s="2" t="str">
        <f>VLOOKUP(Auto_Sales_data___Copy[[#This Row],[Segment Name]],Table3[],2,FALSE)</f>
        <v>VIP Recognitioon &amp; Inclusivity</v>
      </c>
    </row>
    <row r="831" spans="1:28" x14ac:dyDescent="0.25">
      <c r="A831">
        <v>10349</v>
      </c>
      <c r="B831">
        <v>34</v>
      </c>
      <c r="C831">
        <v>129.26</v>
      </c>
      <c r="D831">
        <v>5</v>
      </c>
      <c r="E831">
        <v>4394.84</v>
      </c>
      <c r="F831" s="1">
        <v>43800</v>
      </c>
      <c r="G831" s="2" t="s">
        <v>19</v>
      </c>
      <c r="H831" s="2" t="s">
        <v>183</v>
      </c>
      <c r="I831">
        <v>143</v>
      </c>
      <c r="J831" s="2" t="s">
        <v>658</v>
      </c>
      <c r="K831" s="2" t="s">
        <v>506</v>
      </c>
      <c r="L831" s="2" t="s">
        <v>507</v>
      </c>
      <c r="M831" s="2" t="s">
        <v>508</v>
      </c>
      <c r="N831" s="2" t="s">
        <v>25</v>
      </c>
      <c r="O831" s="2" t="s">
        <v>26</v>
      </c>
      <c r="P831" s="2" t="s">
        <v>27</v>
      </c>
      <c r="Q831" s="2" t="s">
        <v>52</v>
      </c>
      <c r="R831" s="2" t="s">
        <v>509</v>
      </c>
      <c r="S831" s="2" t="s">
        <v>46</v>
      </c>
      <c r="T831">
        <v>1396</v>
      </c>
      <c r="U831">
        <f>VLOOKUP(Auto_Sales_data___Copy[[#This Row],[CUSTOMER_NAME]],$AF$2:$AH$90,2,FALSE)</f>
        <v>48</v>
      </c>
      <c r="V831">
        <f>VLOOKUP(Auto_Sales_data___Copy[[#This Row],[CUSTOMER_NAME]],$AF$2:$AH$90,3,FALSE)</f>
        <v>197736.93999999997</v>
      </c>
      <c r="W831" s="2">
        <f>6-MATCH(Auto_Sales_data___Copy[[#This Row],[DAYS_SINCE_LAST_ORDER]],Table2[R-Cutoff],1)</f>
        <v>4</v>
      </c>
      <c r="X831" s="2">
        <f>MATCH(Auto_Sales_data___Copy[[#This Row],[Total_Orders_Per_Customer]],Table2[F-Cutoff],1)</f>
        <v>4</v>
      </c>
      <c r="Y831" s="2">
        <f>MATCH(Auto_Sales_data___Copy[[#This Row],[Total_Sales_Per_Customer]],Table2[M-Cutoff],1)</f>
        <v>4</v>
      </c>
      <c r="Z831" s="2" t="str">
        <f>Auto_Sales_data___Copy[[#This Row],[R-Score(1-5)]]&amp;Auto_Sales_data___Copy[[#This Row],[F-Score(1-5)]]&amp;Auto_Sales_data___Copy[[#This Row],[M-Score(1-5)]]</f>
        <v>444</v>
      </c>
      <c r="AA831" s="2" t="str" cm="1">
        <f t="array" ref="AA8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1" s="2" t="str">
        <f>VLOOKUP(Auto_Sales_data___Copy[[#This Row],[Segment Name]],Table3[],2,FALSE)</f>
        <v>VIP Recognitioon &amp; Inclusivity</v>
      </c>
    </row>
    <row r="832" spans="1:28" x14ac:dyDescent="0.25">
      <c r="A832">
        <v>10357</v>
      </c>
      <c r="B832">
        <v>41</v>
      </c>
      <c r="C832">
        <v>87.13</v>
      </c>
      <c r="D832">
        <v>6</v>
      </c>
      <c r="E832">
        <v>3572.33</v>
      </c>
      <c r="F832" s="1">
        <v>43809</v>
      </c>
      <c r="G832" s="2" t="s">
        <v>19</v>
      </c>
      <c r="H832" s="2" t="s">
        <v>589</v>
      </c>
      <c r="I832">
        <v>101</v>
      </c>
      <c r="J832" s="2" t="s">
        <v>640</v>
      </c>
      <c r="K832" s="2" t="s">
        <v>284</v>
      </c>
      <c r="L832" s="2" t="s">
        <v>285</v>
      </c>
      <c r="M832" s="2" t="s">
        <v>286</v>
      </c>
      <c r="N832" s="2" t="s">
        <v>287</v>
      </c>
      <c r="O832" s="2" t="s">
        <v>106</v>
      </c>
      <c r="P832" s="2" t="s">
        <v>27</v>
      </c>
      <c r="Q832" s="2" t="s">
        <v>288</v>
      </c>
      <c r="R832" s="2" t="s">
        <v>289</v>
      </c>
      <c r="S832" s="2" t="s">
        <v>46</v>
      </c>
      <c r="T832">
        <v>1042</v>
      </c>
      <c r="U832">
        <f>VLOOKUP(Auto_Sales_data___Copy[[#This Row],[CUSTOMER_NAME]],$AF$2:$AH$90,2,FALSE)</f>
        <v>180</v>
      </c>
      <c r="V832">
        <f>VLOOKUP(Auto_Sales_data___Copy[[#This Row],[CUSTOMER_NAME]],$AF$2:$AH$90,3,FALSE)</f>
        <v>654858.06000000017</v>
      </c>
      <c r="W832" s="2">
        <f>6-MATCH(Auto_Sales_data___Copy[[#This Row],[DAYS_SINCE_LAST_ORDER]],Table2[R-Cutoff],1)</f>
        <v>4</v>
      </c>
      <c r="X832" s="2">
        <f>MATCH(Auto_Sales_data___Copy[[#This Row],[Total_Orders_Per_Customer]],Table2[F-Cutoff],1)</f>
        <v>4</v>
      </c>
      <c r="Y832" s="2">
        <f>MATCH(Auto_Sales_data___Copy[[#This Row],[Total_Sales_Per_Customer]],Table2[M-Cutoff],1)</f>
        <v>4</v>
      </c>
      <c r="Z832" s="2" t="str">
        <f>Auto_Sales_data___Copy[[#This Row],[R-Score(1-5)]]&amp;Auto_Sales_data___Copy[[#This Row],[F-Score(1-5)]]&amp;Auto_Sales_data___Copy[[#This Row],[M-Score(1-5)]]</f>
        <v>444</v>
      </c>
      <c r="AA832" s="2" t="str" cm="1">
        <f t="array" ref="AA8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2" s="2" t="str">
        <f>VLOOKUP(Auto_Sales_data___Copy[[#This Row],[Segment Name]],Table3[],2,FALSE)</f>
        <v>VIP Recognitioon &amp; Inclusivity</v>
      </c>
    </row>
    <row r="833" spans="1:28" x14ac:dyDescent="0.25">
      <c r="A833">
        <v>10357</v>
      </c>
      <c r="B833">
        <v>49</v>
      </c>
      <c r="C833">
        <v>70.58</v>
      </c>
      <c r="D833">
        <v>5</v>
      </c>
      <c r="E833">
        <v>3458.42</v>
      </c>
      <c r="F833" s="1">
        <v>43809</v>
      </c>
      <c r="G833" s="2" t="s">
        <v>19</v>
      </c>
      <c r="H833" s="2" t="s">
        <v>589</v>
      </c>
      <c r="I833">
        <v>62</v>
      </c>
      <c r="J833" s="2" t="s">
        <v>641</v>
      </c>
      <c r="K833" s="2" t="s">
        <v>284</v>
      </c>
      <c r="L833" s="2" t="s">
        <v>285</v>
      </c>
      <c r="M833" s="2" t="s">
        <v>286</v>
      </c>
      <c r="N833" s="2" t="s">
        <v>287</v>
      </c>
      <c r="O833" s="2" t="s">
        <v>106</v>
      </c>
      <c r="P833" s="2" t="s">
        <v>27</v>
      </c>
      <c r="Q833" s="2" t="s">
        <v>288</v>
      </c>
      <c r="R833" s="2" t="s">
        <v>289</v>
      </c>
      <c r="S833" s="2" t="s">
        <v>46</v>
      </c>
      <c r="T833">
        <v>1067</v>
      </c>
      <c r="U833">
        <f>VLOOKUP(Auto_Sales_data___Copy[[#This Row],[CUSTOMER_NAME]],$AF$2:$AH$90,2,FALSE)</f>
        <v>180</v>
      </c>
      <c r="V833">
        <f>VLOOKUP(Auto_Sales_data___Copy[[#This Row],[CUSTOMER_NAME]],$AF$2:$AH$90,3,FALSE)</f>
        <v>654858.06000000017</v>
      </c>
      <c r="W833" s="2">
        <f>6-MATCH(Auto_Sales_data___Copy[[#This Row],[DAYS_SINCE_LAST_ORDER]],Table2[R-Cutoff],1)</f>
        <v>4</v>
      </c>
      <c r="X833" s="2">
        <f>MATCH(Auto_Sales_data___Copy[[#This Row],[Total_Orders_Per_Customer]],Table2[F-Cutoff],1)</f>
        <v>4</v>
      </c>
      <c r="Y833" s="2">
        <f>MATCH(Auto_Sales_data___Copy[[#This Row],[Total_Sales_Per_Customer]],Table2[M-Cutoff],1)</f>
        <v>4</v>
      </c>
      <c r="Z833" s="2" t="str">
        <f>Auto_Sales_data___Copy[[#This Row],[R-Score(1-5)]]&amp;Auto_Sales_data___Copy[[#This Row],[F-Score(1-5)]]&amp;Auto_Sales_data___Copy[[#This Row],[M-Score(1-5)]]</f>
        <v>444</v>
      </c>
      <c r="AA833" s="2" t="str" cm="1">
        <f t="array" ref="AA8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3" s="2" t="str">
        <f>VLOOKUP(Auto_Sales_data___Copy[[#This Row],[Segment Name]],Table3[],2,FALSE)</f>
        <v>VIP Recognitioon &amp; Inclusivity</v>
      </c>
    </row>
    <row r="834" spans="1:28" x14ac:dyDescent="0.25">
      <c r="A834">
        <v>10357</v>
      </c>
      <c r="B834">
        <v>44</v>
      </c>
      <c r="C834">
        <v>117.29</v>
      </c>
      <c r="D834">
        <v>4</v>
      </c>
      <c r="E834">
        <v>5160.76</v>
      </c>
      <c r="F834" s="1">
        <v>43809</v>
      </c>
      <c r="G834" s="2" t="s">
        <v>19</v>
      </c>
      <c r="H834" s="2" t="s">
        <v>589</v>
      </c>
      <c r="I834">
        <v>104</v>
      </c>
      <c r="J834" s="2" t="s">
        <v>647</v>
      </c>
      <c r="K834" s="2" t="s">
        <v>284</v>
      </c>
      <c r="L834" s="2" t="s">
        <v>285</v>
      </c>
      <c r="M834" s="2" t="s">
        <v>286</v>
      </c>
      <c r="N834" s="2" t="s">
        <v>287</v>
      </c>
      <c r="O834" s="2" t="s">
        <v>106</v>
      </c>
      <c r="P834" s="2" t="s">
        <v>27</v>
      </c>
      <c r="Q834" s="2" t="s">
        <v>288</v>
      </c>
      <c r="R834" s="2" t="s">
        <v>289</v>
      </c>
      <c r="S834" s="2" t="s">
        <v>46</v>
      </c>
      <c r="T834">
        <v>1117</v>
      </c>
      <c r="U834">
        <f>VLOOKUP(Auto_Sales_data___Copy[[#This Row],[CUSTOMER_NAME]],$AF$2:$AH$90,2,FALSE)</f>
        <v>180</v>
      </c>
      <c r="V834">
        <f>VLOOKUP(Auto_Sales_data___Copy[[#This Row],[CUSTOMER_NAME]],$AF$2:$AH$90,3,FALSE)</f>
        <v>654858.06000000017</v>
      </c>
      <c r="W834" s="2">
        <f>6-MATCH(Auto_Sales_data___Copy[[#This Row],[DAYS_SINCE_LAST_ORDER]],Table2[R-Cutoff],1)</f>
        <v>4</v>
      </c>
      <c r="X834" s="2">
        <f>MATCH(Auto_Sales_data___Copy[[#This Row],[Total_Orders_Per_Customer]],Table2[F-Cutoff],1)</f>
        <v>4</v>
      </c>
      <c r="Y834" s="2">
        <f>MATCH(Auto_Sales_data___Copy[[#This Row],[Total_Sales_Per_Customer]],Table2[M-Cutoff],1)</f>
        <v>4</v>
      </c>
      <c r="Z834" s="2" t="str">
        <f>Auto_Sales_data___Copy[[#This Row],[R-Score(1-5)]]&amp;Auto_Sales_data___Copy[[#This Row],[F-Score(1-5)]]&amp;Auto_Sales_data___Copy[[#This Row],[M-Score(1-5)]]</f>
        <v>444</v>
      </c>
      <c r="AA834" s="2" t="str" cm="1">
        <f t="array" ref="AA8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4" s="2" t="str">
        <f>VLOOKUP(Auto_Sales_data___Copy[[#This Row],[Segment Name]],Table3[],2,FALSE)</f>
        <v>VIP Recognitioon &amp; Inclusivity</v>
      </c>
    </row>
    <row r="835" spans="1:28" x14ac:dyDescent="0.25">
      <c r="A835">
        <v>10357</v>
      </c>
      <c r="B835">
        <v>25</v>
      </c>
      <c r="C835">
        <v>104.17</v>
      </c>
      <c r="D835">
        <v>3</v>
      </c>
      <c r="E835">
        <v>2604.25</v>
      </c>
      <c r="F835" s="1">
        <v>43809</v>
      </c>
      <c r="G835" s="2" t="s">
        <v>19</v>
      </c>
      <c r="H835" s="2" t="s">
        <v>589</v>
      </c>
      <c r="I835">
        <v>99</v>
      </c>
      <c r="J835" s="2" t="s">
        <v>653</v>
      </c>
      <c r="K835" s="2" t="s">
        <v>284</v>
      </c>
      <c r="L835" s="2" t="s">
        <v>285</v>
      </c>
      <c r="M835" s="2" t="s">
        <v>286</v>
      </c>
      <c r="N835" s="2" t="s">
        <v>287</v>
      </c>
      <c r="O835" s="2" t="s">
        <v>106</v>
      </c>
      <c r="P835" s="2" t="s">
        <v>27</v>
      </c>
      <c r="Q835" s="2" t="s">
        <v>288</v>
      </c>
      <c r="R835" s="2" t="s">
        <v>289</v>
      </c>
      <c r="S835" s="2" t="s">
        <v>30</v>
      </c>
      <c r="T835">
        <v>1264</v>
      </c>
      <c r="U835">
        <f>VLOOKUP(Auto_Sales_data___Copy[[#This Row],[CUSTOMER_NAME]],$AF$2:$AH$90,2,FALSE)</f>
        <v>180</v>
      </c>
      <c r="V835">
        <f>VLOOKUP(Auto_Sales_data___Copy[[#This Row],[CUSTOMER_NAME]],$AF$2:$AH$90,3,FALSE)</f>
        <v>654858.06000000017</v>
      </c>
      <c r="W835" s="2">
        <f>6-MATCH(Auto_Sales_data___Copy[[#This Row],[DAYS_SINCE_LAST_ORDER]],Table2[R-Cutoff],1)</f>
        <v>4</v>
      </c>
      <c r="X835" s="2">
        <f>MATCH(Auto_Sales_data___Copy[[#This Row],[Total_Orders_Per_Customer]],Table2[F-Cutoff],1)</f>
        <v>4</v>
      </c>
      <c r="Y835" s="2">
        <f>MATCH(Auto_Sales_data___Copy[[#This Row],[Total_Sales_Per_Customer]],Table2[M-Cutoff],1)</f>
        <v>4</v>
      </c>
      <c r="Z835" s="2" t="str">
        <f>Auto_Sales_data___Copy[[#This Row],[R-Score(1-5)]]&amp;Auto_Sales_data___Copy[[#This Row],[F-Score(1-5)]]&amp;Auto_Sales_data___Copy[[#This Row],[M-Score(1-5)]]</f>
        <v>444</v>
      </c>
      <c r="AA835" s="2" t="str" cm="1">
        <f t="array" ref="AA8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5" s="2" t="str">
        <f>VLOOKUP(Auto_Sales_data___Copy[[#This Row],[Segment Name]],Table3[],2,FALSE)</f>
        <v>VIP Recognitioon &amp; Inclusivity</v>
      </c>
    </row>
    <row r="836" spans="1:28" x14ac:dyDescent="0.25">
      <c r="A836">
        <v>10357</v>
      </c>
      <c r="B836">
        <v>28</v>
      </c>
      <c r="C836">
        <v>127.13</v>
      </c>
      <c r="D836">
        <v>2</v>
      </c>
      <c r="E836">
        <v>3559.64</v>
      </c>
      <c r="F836" s="1">
        <v>43809</v>
      </c>
      <c r="G836" s="2" t="s">
        <v>19</v>
      </c>
      <c r="H836" s="2" t="s">
        <v>537</v>
      </c>
      <c r="I836">
        <v>121</v>
      </c>
      <c r="J836" s="2" t="s">
        <v>661</v>
      </c>
      <c r="K836" s="2" t="s">
        <v>284</v>
      </c>
      <c r="L836" s="2" t="s">
        <v>285</v>
      </c>
      <c r="M836" s="2" t="s">
        <v>286</v>
      </c>
      <c r="N836" s="2" t="s">
        <v>287</v>
      </c>
      <c r="O836" s="2" t="s">
        <v>106</v>
      </c>
      <c r="P836" s="2" t="s">
        <v>27</v>
      </c>
      <c r="Q836" s="2" t="s">
        <v>288</v>
      </c>
      <c r="R836" s="2" t="s">
        <v>289</v>
      </c>
      <c r="S836" s="2" t="s">
        <v>46</v>
      </c>
      <c r="T836">
        <v>1462</v>
      </c>
      <c r="U836">
        <f>VLOOKUP(Auto_Sales_data___Copy[[#This Row],[CUSTOMER_NAME]],$AF$2:$AH$90,2,FALSE)</f>
        <v>180</v>
      </c>
      <c r="V836">
        <f>VLOOKUP(Auto_Sales_data___Copy[[#This Row],[CUSTOMER_NAME]],$AF$2:$AH$90,3,FALSE)</f>
        <v>654858.06000000017</v>
      </c>
      <c r="W836" s="2">
        <f>6-MATCH(Auto_Sales_data___Copy[[#This Row],[DAYS_SINCE_LAST_ORDER]],Table2[R-Cutoff],1)</f>
        <v>4</v>
      </c>
      <c r="X836" s="2">
        <f>MATCH(Auto_Sales_data___Copy[[#This Row],[Total_Orders_Per_Customer]],Table2[F-Cutoff],1)</f>
        <v>4</v>
      </c>
      <c r="Y836" s="2">
        <f>MATCH(Auto_Sales_data___Copy[[#This Row],[Total_Sales_Per_Customer]],Table2[M-Cutoff],1)</f>
        <v>4</v>
      </c>
      <c r="Z836" s="2" t="str">
        <f>Auto_Sales_data___Copy[[#This Row],[R-Score(1-5)]]&amp;Auto_Sales_data___Copy[[#This Row],[F-Score(1-5)]]&amp;Auto_Sales_data___Copy[[#This Row],[M-Score(1-5)]]</f>
        <v>444</v>
      </c>
      <c r="AA836" s="2" t="str" cm="1">
        <f t="array" ref="AA8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6" s="2" t="str">
        <f>VLOOKUP(Auto_Sales_data___Copy[[#This Row],[Segment Name]],Table3[],2,FALSE)</f>
        <v>VIP Recognitioon &amp; Inclusivity</v>
      </c>
    </row>
    <row r="837" spans="1:28" x14ac:dyDescent="0.25">
      <c r="A837">
        <v>10362</v>
      </c>
      <c r="B837">
        <v>23</v>
      </c>
      <c r="C837">
        <v>49.67</v>
      </c>
      <c r="D837">
        <v>3</v>
      </c>
      <c r="E837">
        <v>1142.4100000000001</v>
      </c>
      <c r="F837" s="1">
        <v>43835</v>
      </c>
      <c r="G837" s="2" t="s">
        <v>19</v>
      </c>
      <c r="H837" s="2" t="s">
        <v>20</v>
      </c>
      <c r="I837">
        <v>60</v>
      </c>
      <c r="J837" s="2" t="s">
        <v>637</v>
      </c>
      <c r="K837" s="2" t="s">
        <v>54</v>
      </c>
      <c r="L837" s="2" t="s">
        <v>55</v>
      </c>
      <c r="M837" s="2" t="s">
        <v>56</v>
      </c>
      <c r="N837" s="2" t="s">
        <v>57</v>
      </c>
      <c r="O837" s="2" t="s">
        <v>58</v>
      </c>
      <c r="P837" s="2" t="s">
        <v>27</v>
      </c>
      <c r="Q837" s="2" t="s">
        <v>59</v>
      </c>
      <c r="R837" s="2" t="s">
        <v>60</v>
      </c>
      <c r="S837" s="2" t="s">
        <v>30</v>
      </c>
      <c r="T837">
        <v>940</v>
      </c>
      <c r="U837">
        <f>VLOOKUP(Auto_Sales_data___Copy[[#This Row],[CUSTOMER_NAME]],$AF$2:$AH$90,2,FALSE)</f>
        <v>34</v>
      </c>
      <c r="V837">
        <f>VLOOKUP(Auto_Sales_data___Copy[[#This Row],[CUSTOMER_NAME]],$AF$2:$AH$90,3,FALSE)</f>
        <v>120783.07</v>
      </c>
      <c r="W837" s="2">
        <f>6-MATCH(Auto_Sales_data___Copy[[#This Row],[DAYS_SINCE_LAST_ORDER]],Table2[R-Cutoff],1)</f>
        <v>4</v>
      </c>
      <c r="X837" s="2">
        <f>MATCH(Auto_Sales_data___Copy[[#This Row],[Total_Orders_Per_Customer]],Table2[F-Cutoff],1)</f>
        <v>4</v>
      </c>
      <c r="Y837" s="2">
        <f>MATCH(Auto_Sales_data___Copy[[#This Row],[Total_Sales_Per_Customer]],Table2[M-Cutoff],1)</f>
        <v>4</v>
      </c>
      <c r="Z837" s="2" t="str">
        <f>Auto_Sales_data___Copy[[#This Row],[R-Score(1-5)]]&amp;Auto_Sales_data___Copy[[#This Row],[F-Score(1-5)]]&amp;Auto_Sales_data___Copy[[#This Row],[M-Score(1-5)]]</f>
        <v>444</v>
      </c>
      <c r="AA837" s="2" t="str" cm="1">
        <f t="array" ref="AA8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7" s="2" t="str">
        <f>VLOOKUP(Auto_Sales_data___Copy[[#This Row],[Segment Name]],Table3[],2,FALSE)</f>
        <v>VIP Recognitioon &amp; Inclusivity</v>
      </c>
    </row>
    <row r="838" spans="1:28" x14ac:dyDescent="0.25">
      <c r="A838">
        <v>10363</v>
      </c>
      <c r="B838">
        <v>46</v>
      </c>
      <c r="C838">
        <v>60.3</v>
      </c>
      <c r="D838">
        <v>10</v>
      </c>
      <c r="E838">
        <v>2773.8</v>
      </c>
      <c r="F838" s="1">
        <v>43836</v>
      </c>
      <c r="G838" s="2" t="s">
        <v>19</v>
      </c>
      <c r="H838" s="2" t="s">
        <v>183</v>
      </c>
      <c r="I838">
        <v>80</v>
      </c>
      <c r="J838" s="2" t="s">
        <v>652</v>
      </c>
      <c r="K838" s="2" t="s">
        <v>498</v>
      </c>
      <c r="L838" s="2" t="s">
        <v>499</v>
      </c>
      <c r="M838" s="2" t="s">
        <v>500</v>
      </c>
      <c r="N838" s="2" t="s">
        <v>501</v>
      </c>
      <c r="O838" s="2" t="s">
        <v>502</v>
      </c>
      <c r="P838" s="2" t="s">
        <v>127</v>
      </c>
      <c r="Q838" s="2" t="s">
        <v>503</v>
      </c>
      <c r="R838" s="2" t="s">
        <v>504</v>
      </c>
      <c r="S838" s="2" t="s">
        <v>30</v>
      </c>
      <c r="T838">
        <v>1215</v>
      </c>
      <c r="U838">
        <f>VLOOKUP(Auto_Sales_data___Copy[[#This Row],[CUSTOMER_NAME]],$AF$2:$AH$90,2,FALSE)</f>
        <v>30</v>
      </c>
      <c r="V838">
        <f>VLOOKUP(Auto_Sales_data___Copy[[#This Row],[CUSTOMER_NAME]],$AF$2:$AH$90,3,FALSE)</f>
        <v>113961.14999999997</v>
      </c>
      <c r="W838" s="2">
        <f>6-MATCH(Auto_Sales_data___Copy[[#This Row],[DAYS_SINCE_LAST_ORDER]],Table2[R-Cutoff],1)</f>
        <v>4</v>
      </c>
      <c r="X838" s="2">
        <f>MATCH(Auto_Sales_data___Copy[[#This Row],[Total_Orders_Per_Customer]],Table2[F-Cutoff],1)</f>
        <v>4</v>
      </c>
      <c r="Y838" s="2">
        <f>MATCH(Auto_Sales_data___Copy[[#This Row],[Total_Sales_Per_Customer]],Table2[M-Cutoff],1)</f>
        <v>4</v>
      </c>
      <c r="Z838" s="2" t="str">
        <f>Auto_Sales_data___Copy[[#This Row],[R-Score(1-5)]]&amp;Auto_Sales_data___Copy[[#This Row],[F-Score(1-5)]]&amp;Auto_Sales_data___Copy[[#This Row],[M-Score(1-5)]]</f>
        <v>444</v>
      </c>
      <c r="AA838" s="2" t="str" cm="1">
        <f t="array" ref="AA8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8" s="2" t="str">
        <f>VLOOKUP(Auto_Sales_data___Copy[[#This Row],[Segment Name]],Table3[],2,FALSE)</f>
        <v>VIP Recognitioon &amp; Inclusivity</v>
      </c>
    </row>
    <row r="839" spans="1:28" x14ac:dyDescent="0.25">
      <c r="A839">
        <v>10363</v>
      </c>
      <c r="B839">
        <v>24</v>
      </c>
      <c r="C839">
        <v>172.61</v>
      </c>
      <c r="D839">
        <v>11</v>
      </c>
      <c r="E839">
        <v>4142.6400000000003</v>
      </c>
      <c r="F839" s="1">
        <v>43836</v>
      </c>
      <c r="G839" s="2" t="s">
        <v>19</v>
      </c>
      <c r="H839" s="2" t="s">
        <v>183</v>
      </c>
      <c r="I839">
        <v>146</v>
      </c>
      <c r="J839" s="2" t="s">
        <v>654</v>
      </c>
      <c r="K839" s="2" t="s">
        <v>498</v>
      </c>
      <c r="L839" s="2" t="s">
        <v>499</v>
      </c>
      <c r="M839" s="2" t="s">
        <v>500</v>
      </c>
      <c r="N839" s="2" t="s">
        <v>501</v>
      </c>
      <c r="O839" s="2" t="s">
        <v>502</v>
      </c>
      <c r="P839" s="2" t="s">
        <v>127</v>
      </c>
      <c r="Q839" s="2" t="s">
        <v>503</v>
      </c>
      <c r="R839" s="2" t="s">
        <v>504</v>
      </c>
      <c r="S839" s="2" t="s">
        <v>46</v>
      </c>
      <c r="T839">
        <v>1263</v>
      </c>
      <c r="U839">
        <f>VLOOKUP(Auto_Sales_data___Copy[[#This Row],[CUSTOMER_NAME]],$AF$2:$AH$90,2,FALSE)</f>
        <v>30</v>
      </c>
      <c r="V839">
        <f>VLOOKUP(Auto_Sales_data___Copy[[#This Row],[CUSTOMER_NAME]],$AF$2:$AH$90,3,FALSE)</f>
        <v>113961.14999999997</v>
      </c>
      <c r="W839" s="2">
        <f>6-MATCH(Auto_Sales_data___Copy[[#This Row],[DAYS_SINCE_LAST_ORDER]],Table2[R-Cutoff],1)</f>
        <v>4</v>
      </c>
      <c r="X839" s="2">
        <f>MATCH(Auto_Sales_data___Copy[[#This Row],[Total_Orders_Per_Customer]],Table2[F-Cutoff],1)</f>
        <v>4</v>
      </c>
      <c r="Y839" s="2">
        <f>MATCH(Auto_Sales_data___Copy[[#This Row],[Total_Sales_Per_Customer]],Table2[M-Cutoff],1)</f>
        <v>4</v>
      </c>
      <c r="Z839" s="2" t="str">
        <f>Auto_Sales_data___Copy[[#This Row],[R-Score(1-5)]]&amp;Auto_Sales_data___Copy[[#This Row],[F-Score(1-5)]]&amp;Auto_Sales_data___Copy[[#This Row],[M-Score(1-5)]]</f>
        <v>444</v>
      </c>
      <c r="AA839" s="2" t="str" cm="1">
        <f t="array" ref="AA8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9" s="2" t="str">
        <f>VLOOKUP(Auto_Sales_data___Copy[[#This Row],[Segment Name]],Table3[],2,FALSE)</f>
        <v>VIP Recognitioon &amp; Inclusivity</v>
      </c>
    </row>
    <row r="840" spans="1:28" x14ac:dyDescent="0.25">
      <c r="A840">
        <v>10363</v>
      </c>
      <c r="B840">
        <v>32</v>
      </c>
      <c r="C840">
        <v>89.12</v>
      </c>
      <c r="D840">
        <v>12</v>
      </c>
      <c r="E840">
        <v>2851.84</v>
      </c>
      <c r="F840" s="1">
        <v>43836</v>
      </c>
      <c r="G840" s="2" t="s">
        <v>19</v>
      </c>
      <c r="H840" s="2" t="s">
        <v>20</v>
      </c>
      <c r="I840">
        <v>62</v>
      </c>
      <c r="J840" s="2" t="s">
        <v>656</v>
      </c>
      <c r="K840" s="2" t="s">
        <v>498</v>
      </c>
      <c r="L840" s="2" t="s">
        <v>499</v>
      </c>
      <c r="M840" s="2" t="s">
        <v>500</v>
      </c>
      <c r="N840" s="2" t="s">
        <v>501</v>
      </c>
      <c r="O840" s="2" t="s">
        <v>502</v>
      </c>
      <c r="P840" s="2" t="s">
        <v>127</v>
      </c>
      <c r="Q840" s="2" t="s">
        <v>503</v>
      </c>
      <c r="R840" s="2" t="s">
        <v>504</v>
      </c>
      <c r="S840" s="2" t="s">
        <v>30</v>
      </c>
      <c r="T840">
        <v>1311</v>
      </c>
      <c r="U840">
        <f>VLOOKUP(Auto_Sales_data___Copy[[#This Row],[CUSTOMER_NAME]],$AF$2:$AH$90,2,FALSE)</f>
        <v>30</v>
      </c>
      <c r="V840">
        <f>VLOOKUP(Auto_Sales_data___Copy[[#This Row],[CUSTOMER_NAME]],$AF$2:$AH$90,3,FALSE)</f>
        <v>113961.14999999997</v>
      </c>
      <c r="W840" s="2">
        <f>6-MATCH(Auto_Sales_data___Copy[[#This Row],[DAYS_SINCE_LAST_ORDER]],Table2[R-Cutoff],1)</f>
        <v>4</v>
      </c>
      <c r="X840" s="2">
        <f>MATCH(Auto_Sales_data___Copy[[#This Row],[Total_Orders_Per_Customer]],Table2[F-Cutoff],1)</f>
        <v>4</v>
      </c>
      <c r="Y840" s="2">
        <f>MATCH(Auto_Sales_data___Copy[[#This Row],[Total_Sales_Per_Customer]],Table2[M-Cutoff],1)</f>
        <v>4</v>
      </c>
      <c r="Z840" s="2" t="str">
        <f>Auto_Sales_data___Copy[[#This Row],[R-Score(1-5)]]&amp;Auto_Sales_data___Copy[[#This Row],[F-Score(1-5)]]&amp;Auto_Sales_data___Copy[[#This Row],[M-Score(1-5)]]</f>
        <v>444</v>
      </c>
      <c r="AA840" s="2" t="str" cm="1">
        <f t="array" ref="AA8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0" s="2" t="str">
        <f>VLOOKUP(Auto_Sales_data___Copy[[#This Row],[Segment Name]],Table3[],2,FALSE)</f>
        <v>VIP Recognitioon &amp; Inclusivity</v>
      </c>
    </row>
    <row r="841" spans="1:28" x14ac:dyDescent="0.25">
      <c r="A841">
        <v>10363</v>
      </c>
      <c r="B841">
        <v>28</v>
      </c>
      <c r="C841">
        <v>58.18</v>
      </c>
      <c r="D841">
        <v>13</v>
      </c>
      <c r="E841">
        <v>1629.04</v>
      </c>
      <c r="F841" s="1">
        <v>43836</v>
      </c>
      <c r="G841" s="2" t="s">
        <v>19</v>
      </c>
      <c r="H841" s="2" t="s">
        <v>183</v>
      </c>
      <c r="I841">
        <v>148</v>
      </c>
      <c r="J841" s="2" t="s">
        <v>663</v>
      </c>
      <c r="K841" s="2" t="s">
        <v>498</v>
      </c>
      <c r="L841" s="2" t="s">
        <v>499</v>
      </c>
      <c r="M841" s="2" t="s">
        <v>500</v>
      </c>
      <c r="N841" s="2" t="s">
        <v>501</v>
      </c>
      <c r="O841" s="2" t="s">
        <v>502</v>
      </c>
      <c r="P841" s="2" t="s">
        <v>127</v>
      </c>
      <c r="Q841" s="2" t="s">
        <v>503</v>
      </c>
      <c r="R841" s="2" t="s">
        <v>504</v>
      </c>
      <c r="S841" s="2" t="s">
        <v>30</v>
      </c>
      <c r="T841">
        <v>1486</v>
      </c>
      <c r="U841">
        <f>VLOOKUP(Auto_Sales_data___Copy[[#This Row],[CUSTOMER_NAME]],$AF$2:$AH$90,2,FALSE)</f>
        <v>30</v>
      </c>
      <c r="V841">
        <f>VLOOKUP(Auto_Sales_data___Copy[[#This Row],[CUSTOMER_NAME]],$AF$2:$AH$90,3,FALSE)</f>
        <v>113961.14999999997</v>
      </c>
      <c r="W841" s="2">
        <f>6-MATCH(Auto_Sales_data___Copy[[#This Row],[DAYS_SINCE_LAST_ORDER]],Table2[R-Cutoff],1)</f>
        <v>4</v>
      </c>
      <c r="X841" s="2">
        <f>MATCH(Auto_Sales_data___Copy[[#This Row],[Total_Orders_Per_Customer]],Table2[F-Cutoff],1)</f>
        <v>4</v>
      </c>
      <c r="Y841" s="2">
        <f>MATCH(Auto_Sales_data___Copy[[#This Row],[Total_Sales_Per_Customer]],Table2[M-Cutoff],1)</f>
        <v>4</v>
      </c>
      <c r="Z841" s="2" t="str">
        <f>Auto_Sales_data___Copy[[#This Row],[R-Score(1-5)]]&amp;Auto_Sales_data___Copy[[#This Row],[F-Score(1-5)]]&amp;Auto_Sales_data___Copy[[#This Row],[M-Score(1-5)]]</f>
        <v>444</v>
      </c>
      <c r="AA841" s="2" t="str" cm="1">
        <f t="array" ref="AA8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1" s="2" t="str">
        <f>VLOOKUP(Auto_Sales_data___Copy[[#This Row],[Segment Name]],Table3[],2,FALSE)</f>
        <v>VIP Recognitioon &amp; Inclusivity</v>
      </c>
    </row>
    <row r="842" spans="1:28" x14ac:dyDescent="0.25">
      <c r="A842">
        <v>10367</v>
      </c>
      <c r="B842">
        <v>32</v>
      </c>
      <c r="C842">
        <v>94.79</v>
      </c>
      <c r="D842">
        <v>7</v>
      </c>
      <c r="E842">
        <v>3033.28</v>
      </c>
      <c r="F842" s="1">
        <v>43842</v>
      </c>
      <c r="G842" s="2" t="s">
        <v>431</v>
      </c>
      <c r="H842" s="2" t="s">
        <v>589</v>
      </c>
      <c r="I842">
        <v>168</v>
      </c>
      <c r="J842" s="2" t="s">
        <v>638</v>
      </c>
      <c r="K842" s="2" t="s">
        <v>47</v>
      </c>
      <c r="L842" s="2" t="s">
        <v>48</v>
      </c>
      <c r="M842" s="2" t="s">
        <v>49</v>
      </c>
      <c r="N842" s="2" t="s">
        <v>50</v>
      </c>
      <c r="O842" s="2" t="s">
        <v>51</v>
      </c>
      <c r="P842" s="2" t="s">
        <v>27</v>
      </c>
      <c r="Q842" s="2" t="s">
        <v>52</v>
      </c>
      <c r="R842" s="2" t="s">
        <v>53</v>
      </c>
      <c r="S842" s="2" t="s">
        <v>46</v>
      </c>
      <c r="T842">
        <v>959</v>
      </c>
      <c r="U842">
        <f>VLOOKUP(Auto_Sales_data___Copy[[#This Row],[CUSTOMER_NAME]],$AF$2:$AH$90,2,FALSE)</f>
        <v>30</v>
      </c>
      <c r="V842">
        <f>VLOOKUP(Auto_Sales_data___Copy[[#This Row],[CUSTOMER_NAME]],$AF$2:$AH$90,3,FALSE)</f>
        <v>104561.95999999999</v>
      </c>
      <c r="W842" s="2">
        <f>6-MATCH(Auto_Sales_data___Copy[[#This Row],[DAYS_SINCE_LAST_ORDER]],Table2[R-Cutoff],1)</f>
        <v>4</v>
      </c>
      <c r="X842" s="2">
        <f>MATCH(Auto_Sales_data___Copy[[#This Row],[Total_Orders_Per_Customer]],Table2[F-Cutoff],1)</f>
        <v>4</v>
      </c>
      <c r="Y842" s="2">
        <f>MATCH(Auto_Sales_data___Copy[[#This Row],[Total_Sales_Per_Customer]],Table2[M-Cutoff],1)</f>
        <v>4</v>
      </c>
      <c r="Z842" s="2" t="str">
        <f>Auto_Sales_data___Copy[[#This Row],[R-Score(1-5)]]&amp;Auto_Sales_data___Copy[[#This Row],[F-Score(1-5)]]&amp;Auto_Sales_data___Copy[[#This Row],[M-Score(1-5)]]</f>
        <v>444</v>
      </c>
      <c r="AA842" s="2" t="str" cm="1">
        <f t="array" ref="AA8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2" s="2" t="str">
        <f>VLOOKUP(Auto_Sales_data___Copy[[#This Row],[Segment Name]],Table3[],2,FALSE)</f>
        <v>VIP Recognitioon &amp; Inclusivity</v>
      </c>
    </row>
    <row r="843" spans="1:28" x14ac:dyDescent="0.25">
      <c r="A843">
        <v>10367</v>
      </c>
      <c r="B843">
        <v>46</v>
      </c>
      <c r="C843">
        <v>104.53</v>
      </c>
      <c r="D843">
        <v>6</v>
      </c>
      <c r="E843">
        <v>4808.38</v>
      </c>
      <c r="F843" s="1">
        <v>43842</v>
      </c>
      <c r="G843" s="2" t="s">
        <v>431</v>
      </c>
      <c r="H843" s="2" t="s">
        <v>183</v>
      </c>
      <c r="I843">
        <v>141</v>
      </c>
      <c r="J843" s="2" t="s">
        <v>655</v>
      </c>
      <c r="K843" s="2" t="s">
        <v>47</v>
      </c>
      <c r="L843" s="2" t="s">
        <v>48</v>
      </c>
      <c r="M843" s="2" t="s">
        <v>49</v>
      </c>
      <c r="N843" s="2" t="s">
        <v>50</v>
      </c>
      <c r="O843" s="2" t="s">
        <v>51</v>
      </c>
      <c r="P843" s="2" t="s">
        <v>27</v>
      </c>
      <c r="Q843" s="2" t="s">
        <v>52</v>
      </c>
      <c r="R843" s="2" t="s">
        <v>53</v>
      </c>
      <c r="S843" s="2" t="s">
        <v>46</v>
      </c>
      <c r="T843">
        <v>1281</v>
      </c>
      <c r="U843">
        <f>VLOOKUP(Auto_Sales_data___Copy[[#This Row],[CUSTOMER_NAME]],$AF$2:$AH$90,2,FALSE)</f>
        <v>30</v>
      </c>
      <c r="V843">
        <f>VLOOKUP(Auto_Sales_data___Copy[[#This Row],[CUSTOMER_NAME]],$AF$2:$AH$90,3,FALSE)</f>
        <v>104561.95999999999</v>
      </c>
      <c r="W843" s="2">
        <f>6-MATCH(Auto_Sales_data___Copy[[#This Row],[DAYS_SINCE_LAST_ORDER]],Table2[R-Cutoff],1)</f>
        <v>4</v>
      </c>
      <c r="X843" s="2">
        <f>MATCH(Auto_Sales_data___Copy[[#This Row],[Total_Orders_Per_Customer]],Table2[F-Cutoff],1)</f>
        <v>4</v>
      </c>
      <c r="Y843" s="2">
        <f>MATCH(Auto_Sales_data___Copy[[#This Row],[Total_Sales_Per_Customer]],Table2[M-Cutoff],1)</f>
        <v>4</v>
      </c>
      <c r="Z843" s="2" t="str">
        <f>Auto_Sales_data___Copy[[#This Row],[R-Score(1-5)]]&amp;Auto_Sales_data___Copy[[#This Row],[F-Score(1-5)]]&amp;Auto_Sales_data___Copy[[#This Row],[M-Score(1-5)]]</f>
        <v>444</v>
      </c>
      <c r="AA843" s="2" t="str" cm="1">
        <f t="array" ref="AA8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3" s="2" t="str">
        <f>VLOOKUP(Auto_Sales_data___Copy[[#This Row],[Segment Name]],Table3[],2,FALSE)</f>
        <v>VIP Recognitioon &amp; Inclusivity</v>
      </c>
    </row>
    <row r="844" spans="1:28" x14ac:dyDescent="0.25">
      <c r="A844">
        <v>10367</v>
      </c>
      <c r="B844">
        <v>43</v>
      </c>
      <c r="C844">
        <v>62.72</v>
      </c>
      <c r="D844">
        <v>8</v>
      </c>
      <c r="E844">
        <v>2696.96</v>
      </c>
      <c r="F844" s="1">
        <v>43842</v>
      </c>
      <c r="G844" s="2" t="s">
        <v>431</v>
      </c>
      <c r="H844" s="2" t="s">
        <v>589</v>
      </c>
      <c r="I844">
        <v>92</v>
      </c>
      <c r="J844" s="2" t="s">
        <v>659</v>
      </c>
      <c r="K844" s="2" t="s">
        <v>47</v>
      </c>
      <c r="L844" s="2" t="s">
        <v>48</v>
      </c>
      <c r="M844" s="2" t="s">
        <v>49</v>
      </c>
      <c r="N844" s="2" t="s">
        <v>50</v>
      </c>
      <c r="O844" s="2" t="s">
        <v>51</v>
      </c>
      <c r="P844" s="2" t="s">
        <v>27</v>
      </c>
      <c r="Q844" s="2" t="s">
        <v>52</v>
      </c>
      <c r="R844" s="2" t="s">
        <v>53</v>
      </c>
      <c r="S844" s="2" t="s">
        <v>30</v>
      </c>
      <c r="T844">
        <v>1377</v>
      </c>
      <c r="U844">
        <f>VLOOKUP(Auto_Sales_data___Copy[[#This Row],[CUSTOMER_NAME]],$AF$2:$AH$90,2,FALSE)</f>
        <v>30</v>
      </c>
      <c r="V844">
        <f>VLOOKUP(Auto_Sales_data___Copy[[#This Row],[CUSTOMER_NAME]],$AF$2:$AH$90,3,FALSE)</f>
        <v>104561.95999999999</v>
      </c>
      <c r="W844" s="2">
        <f>6-MATCH(Auto_Sales_data___Copy[[#This Row],[DAYS_SINCE_LAST_ORDER]],Table2[R-Cutoff],1)</f>
        <v>4</v>
      </c>
      <c r="X844" s="2">
        <f>MATCH(Auto_Sales_data___Copy[[#This Row],[Total_Orders_Per_Customer]],Table2[F-Cutoff],1)</f>
        <v>4</v>
      </c>
      <c r="Y844" s="2">
        <f>MATCH(Auto_Sales_data___Copy[[#This Row],[Total_Sales_Per_Customer]],Table2[M-Cutoff],1)</f>
        <v>4</v>
      </c>
      <c r="Z844" s="2" t="str">
        <f>Auto_Sales_data___Copy[[#This Row],[R-Score(1-5)]]&amp;Auto_Sales_data___Copy[[#This Row],[F-Score(1-5)]]&amp;Auto_Sales_data___Copy[[#This Row],[M-Score(1-5)]]</f>
        <v>444</v>
      </c>
      <c r="AA844" s="2" t="str" cm="1">
        <f t="array" ref="AA8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4" s="2" t="str">
        <f>VLOOKUP(Auto_Sales_data___Copy[[#This Row],[Segment Name]],Table3[],2,FALSE)</f>
        <v>VIP Recognitioon &amp; Inclusivity</v>
      </c>
    </row>
    <row r="845" spans="1:28" x14ac:dyDescent="0.25">
      <c r="A845">
        <v>10370</v>
      </c>
      <c r="B845">
        <v>27</v>
      </c>
      <c r="C845">
        <v>56.85</v>
      </c>
      <c r="D845">
        <v>9</v>
      </c>
      <c r="E845">
        <v>1534.95</v>
      </c>
      <c r="F845" s="1">
        <v>43850</v>
      </c>
      <c r="G845" s="2" t="s">
        <v>19</v>
      </c>
      <c r="H845" s="2" t="s">
        <v>183</v>
      </c>
      <c r="I845">
        <v>169</v>
      </c>
      <c r="J845" s="2" t="s">
        <v>649</v>
      </c>
      <c r="K845" s="2" t="s">
        <v>300</v>
      </c>
      <c r="L845" s="2" t="s">
        <v>301</v>
      </c>
      <c r="M845" s="2" t="s">
        <v>302</v>
      </c>
      <c r="N845" s="2" t="s">
        <v>303</v>
      </c>
      <c r="O845" s="2" t="s">
        <v>304</v>
      </c>
      <c r="P845" s="2" t="s">
        <v>87</v>
      </c>
      <c r="Q845" s="2" t="s">
        <v>305</v>
      </c>
      <c r="R845" s="2" t="s">
        <v>306</v>
      </c>
      <c r="S845" s="2" t="s">
        <v>30</v>
      </c>
      <c r="T845">
        <v>1148</v>
      </c>
      <c r="U845">
        <f>VLOOKUP(Auto_Sales_data___Copy[[#This Row],[CUSTOMER_NAME]],$AF$2:$AH$90,2,FALSE)</f>
        <v>46</v>
      </c>
      <c r="V845">
        <f>VLOOKUP(Auto_Sales_data___Copy[[#This Row],[CUSTOMER_NAME]],$AF$2:$AH$90,3,FALSE)</f>
        <v>153996.12999999998</v>
      </c>
      <c r="W845" s="2">
        <f>6-MATCH(Auto_Sales_data___Copy[[#This Row],[DAYS_SINCE_LAST_ORDER]],Table2[R-Cutoff],1)</f>
        <v>4</v>
      </c>
      <c r="X845" s="2">
        <f>MATCH(Auto_Sales_data___Copy[[#This Row],[Total_Orders_Per_Customer]],Table2[F-Cutoff],1)</f>
        <v>4</v>
      </c>
      <c r="Y845" s="2">
        <f>MATCH(Auto_Sales_data___Copy[[#This Row],[Total_Sales_Per_Customer]],Table2[M-Cutoff],1)</f>
        <v>4</v>
      </c>
      <c r="Z845" s="2" t="str">
        <f>Auto_Sales_data___Copy[[#This Row],[R-Score(1-5)]]&amp;Auto_Sales_data___Copy[[#This Row],[F-Score(1-5)]]&amp;Auto_Sales_data___Copy[[#This Row],[M-Score(1-5)]]</f>
        <v>444</v>
      </c>
      <c r="AA845" s="2" t="str" cm="1">
        <f t="array" ref="AA8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5" s="2" t="str">
        <f>VLOOKUP(Auto_Sales_data___Copy[[#This Row],[Segment Name]],Table3[],2,FALSE)</f>
        <v>VIP Recognitioon &amp; Inclusivity</v>
      </c>
    </row>
    <row r="846" spans="1:28" x14ac:dyDescent="0.25">
      <c r="A846">
        <v>10370</v>
      </c>
      <c r="B846">
        <v>29</v>
      </c>
      <c r="C846">
        <v>57.53</v>
      </c>
      <c r="D846">
        <v>6</v>
      </c>
      <c r="E846">
        <v>1668.37</v>
      </c>
      <c r="F846" s="1">
        <v>43850</v>
      </c>
      <c r="G846" s="2" t="s">
        <v>19</v>
      </c>
      <c r="H846" s="2" t="s">
        <v>537</v>
      </c>
      <c r="I846">
        <v>121</v>
      </c>
      <c r="J846" s="2" t="s">
        <v>661</v>
      </c>
      <c r="K846" s="2" t="s">
        <v>300</v>
      </c>
      <c r="L846" s="2" t="s">
        <v>301</v>
      </c>
      <c r="M846" s="2" t="s">
        <v>302</v>
      </c>
      <c r="N846" s="2" t="s">
        <v>303</v>
      </c>
      <c r="O846" s="2" t="s">
        <v>304</v>
      </c>
      <c r="P846" s="2" t="s">
        <v>87</v>
      </c>
      <c r="Q846" s="2" t="s">
        <v>305</v>
      </c>
      <c r="R846" s="2" t="s">
        <v>306</v>
      </c>
      <c r="S846" s="2" t="s">
        <v>30</v>
      </c>
      <c r="T846">
        <v>1422</v>
      </c>
      <c r="U846">
        <f>VLOOKUP(Auto_Sales_data___Copy[[#This Row],[CUSTOMER_NAME]],$AF$2:$AH$90,2,FALSE)</f>
        <v>46</v>
      </c>
      <c r="V846">
        <f>VLOOKUP(Auto_Sales_data___Copy[[#This Row],[CUSTOMER_NAME]],$AF$2:$AH$90,3,FALSE)</f>
        <v>153996.12999999998</v>
      </c>
      <c r="W846" s="2">
        <f>6-MATCH(Auto_Sales_data___Copy[[#This Row],[DAYS_SINCE_LAST_ORDER]],Table2[R-Cutoff],1)</f>
        <v>4</v>
      </c>
      <c r="X846" s="2">
        <f>MATCH(Auto_Sales_data___Copy[[#This Row],[Total_Orders_Per_Customer]],Table2[F-Cutoff],1)</f>
        <v>4</v>
      </c>
      <c r="Y846" s="2">
        <f>MATCH(Auto_Sales_data___Copy[[#This Row],[Total_Sales_Per_Customer]],Table2[M-Cutoff],1)</f>
        <v>4</v>
      </c>
      <c r="Z846" s="2" t="str">
        <f>Auto_Sales_data___Copy[[#This Row],[R-Score(1-5)]]&amp;Auto_Sales_data___Copy[[#This Row],[F-Score(1-5)]]&amp;Auto_Sales_data___Copy[[#This Row],[M-Score(1-5)]]</f>
        <v>444</v>
      </c>
      <c r="AA846" s="2" t="str" cm="1">
        <f t="array" ref="AA8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6" s="2" t="str">
        <f>VLOOKUP(Auto_Sales_data___Copy[[#This Row],[Segment Name]],Table3[],2,FALSE)</f>
        <v>VIP Recognitioon &amp; Inclusivity</v>
      </c>
    </row>
    <row r="847" spans="1:28" x14ac:dyDescent="0.25">
      <c r="A847">
        <v>10370</v>
      </c>
      <c r="B847">
        <v>20</v>
      </c>
      <c r="C847">
        <v>136.5</v>
      </c>
      <c r="D847">
        <v>2</v>
      </c>
      <c r="E847">
        <v>2730</v>
      </c>
      <c r="F847" s="1">
        <v>43850</v>
      </c>
      <c r="G847" s="2" t="s">
        <v>19</v>
      </c>
      <c r="H847" s="2" t="s">
        <v>589</v>
      </c>
      <c r="I847">
        <v>50</v>
      </c>
      <c r="J847" s="2" t="s">
        <v>662</v>
      </c>
      <c r="K847" s="2" t="s">
        <v>300</v>
      </c>
      <c r="L847" s="2" t="s">
        <v>301</v>
      </c>
      <c r="M847" s="2" t="s">
        <v>302</v>
      </c>
      <c r="N847" s="2" t="s">
        <v>303</v>
      </c>
      <c r="O847" s="2" t="s">
        <v>304</v>
      </c>
      <c r="P847" s="2" t="s">
        <v>87</v>
      </c>
      <c r="Q847" s="2" t="s">
        <v>305</v>
      </c>
      <c r="R847" s="2" t="s">
        <v>306</v>
      </c>
      <c r="S847" s="2" t="s">
        <v>30</v>
      </c>
      <c r="T847">
        <v>1448</v>
      </c>
      <c r="U847">
        <f>VLOOKUP(Auto_Sales_data___Copy[[#This Row],[CUSTOMER_NAME]],$AF$2:$AH$90,2,FALSE)</f>
        <v>46</v>
      </c>
      <c r="V847">
        <f>VLOOKUP(Auto_Sales_data___Copy[[#This Row],[CUSTOMER_NAME]],$AF$2:$AH$90,3,FALSE)</f>
        <v>153996.12999999998</v>
      </c>
      <c r="W847" s="2">
        <f>6-MATCH(Auto_Sales_data___Copy[[#This Row],[DAYS_SINCE_LAST_ORDER]],Table2[R-Cutoff],1)</f>
        <v>4</v>
      </c>
      <c r="X847" s="2">
        <f>MATCH(Auto_Sales_data___Copy[[#This Row],[Total_Orders_Per_Customer]],Table2[F-Cutoff],1)</f>
        <v>4</v>
      </c>
      <c r="Y847" s="2">
        <f>MATCH(Auto_Sales_data___Copy[[#This Row],[Total_Sales_Per_Customer]],Table2[M-Cutoff],1)</f>
        <v>4</v>
      </c>
      <c r="Z847" s="2" t="str">
        <f>Auto_Sales_data___Copy[[#This Row],[R-Score(1-5)]]&amp;Auto_Sales_data___Copy[[#This Row],[F-Score(1-5)]]&amp;Auto_Sales_data___Copy[[#This Row],[M-Score(1-5)]]</f>
        <v>444</v>
      </c>
      <c r="AA847" s="2" t="str" cm="1">
        <f t="array" ref="AA8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7" s="2" t="str">
        <f>VLOOKUP(Auto_Sales_data___Copy[[#This Row],[Segment Name]],Table3[],2,FALSE)</f>
        <v>VIP Recognitioon &amp; Inclusivity</v>
      </c>
    </row>
    <row r="848" spans="1:28" x14ac:dyDescent="0.25">
      <c r="A848">
        <v>10372</v>
      </c>
      <c r="B848">
        <v>28</v>
      </c>
      <c r="C848">
        <v>137.96</v>
      </c>
      <c r="D848">
        <v>3</v>
      </c>
      <c r="E848">
        <v>3862.88</v>
      </c>
      <c r="F848" s="1">
        <v>43856</v>
      </c>
      <c r="G848" s="2" t="s">
        <v>19</v>
      </c>
      <c r="H848" s="2" t="s">
        <v>589</v>
      </c>
      <c r="I848">
        <v>136</v>
      </c>
      <c r="J848" s="2" t="s">
        <v>648</v>
      </c>
      <c r="K848" s="2" t="s">
        <v>256</v>
      </c>
      <c r="L848" s="2" t="s">
        <v>257</v>
      </c>
      <c r="M848" s="2" t="s">
        <v>258</v>
      </c>
      <c r="N848" s="2" t="s">
        <v>259</v>
      </c>
      <c r="O848" s="2" t="s">
        <v>260</v>
      </c>
      <c r="P848" s="2" t="s">
        <v>261</v>
      </c>
      <c r="Q848" s="2" t="s">
        <v>262</v>
      </c>
      <c r="R848" s="2" t="s">
        <v>263</v>
      </c>
      <c r="S848" s="2" t="s">
        <v>46</v>
      </c>
      <c r="T848">
        <v>1095</v>
      </c>
      <c r="U848">
        <f>VLOOKUP(Auto_Sales_data___Copy[[#This Row],[CUSTOMER_NAME]],$AF$2:$AH$90,2,FALSE)</f>
        <v>32</v>
      </c>
      <c r="V848">
        <f>VLOOKUP(Auto_Sales_data___Copy[[#This Row],[CUSTOMER_NAME]],$AF$2:$AH$90,3,FALSE)</f>
        <v>120562.74000000002</v>
      </c>
      <c r="W848" s="2">
        <f>6-MATCH(Auto_Sales_data___Copy[[#This Row],[DAYS_SINCE_LAST_ORDER]],Table2[R-Cutoff],1)</f>
        <v>4</v>
      </c>
      <c r="X848" s="2">
        <f>MATCH(Auto_Sales_data___Copy[[#This Row],[Total_Orders_Per_Customer]],Table2[F-Cutoff],1)</f>
        <v>4</v>
      </c>
      <c r="Y848" s="2">
        <f>MATCH(Auto_Sales_data___Copy[[#This Row],[Total_Sales_Per_Customer]],Table2[M-Cutoff],1)</f>
        <v>4</v>
      </c>
      <c r="Z848" s="2" t="str">
        <f>Auto_Sales_data___Copy[[#This Row],[R-Score(1-5)]]&amp;Auto_Sales_data___Copy[[#This Row],[F-Score(1-5)]]&amp;Auto_Sales_data___Copy[[#This Row],[M-Score(1-5)]]</f>
        <v>444</v>
      </c>
      <c r="AA848" s="2" t="str" cm="1">
        <f t="array" ref="AA8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8" s="2" t="str">
        <f>VLOOKUP(Auto_Sales_data___Copy[[#This Row],[Segment Name]],Table3[],2,FALSE)</f>
        <v>VIP Recognitioon &amp; Inclusivity</v>
      </c>
    </row>
    <row r="849" spans="1:28" x14ac:dyDescent="0.25">
      <c r="A849">
        <v>10372</v>
      </c>
      <c r="B849">
        <v>25</v>
      </c>
      <c r="C849">
        <v>84.71</v>
      </c>
      <c r="D849">
        <v>5</v>
      </c>
      <c r="E849">
        <v>2117.75</v>
      </c>
      <c r="F849" s="1">
        <v>43856</v>
      </c>
      <c r="G849" s="2" t="s">
        <v>19</v>
      </c>
      <c r="H849" s="2" t="s">
        <v>650</v>
      </c>
      <c r="I849">
        <v>100</v>
      </c>
      <c r="J849" s="2" t="s">
        <v>651</v>
      </c>
      <c r="K849" s="2" t="s">
        <v>256</v>
      </c>
      <c r="L849" s="2" t="s">
        <v>257</v>
      </c>
      <c r="M849" s="2" t="s">
        <v>258</v>
      </c>
      <c r="N849" s="2" t="s">
        <v>259</v>
      </c>
      <c r="O849" s="2" t="s">
        <v>260</v>
      </c>
      <c r="P849" s="2" t="s">
        <v>261</v>
      </c>
      <c r="Q849" s="2" t="s">
        <v>262</v>
      </c>
      <c r="R849" s="2" t="s">
        <v>263</v>
      </c>
      <c r="S849" s="2" t="s">
        <v>30</v>
      </c>
      <c r="T849">
        <v>1171</v>
      </c>
      <c r="U849">
        <f>VLOOKUP(Auto_Sales_data___Copy[[#This Row],[CUSTOMER_NAME]],$AF$2:$AH$90,2,FALSE)</f>
        <v>32</v>
      </c>
      <c r="V849">
        <f>VLOOKUP(Auto_Sales_data___Copy[[#This Row],[CUSTOMER_NAME]],$AF$2:$AH$90,3,FALSE)</f>
        <v>120562.74000000002</v>
      </c>
      <c r="W849" s="2">
        <f>6-MATCH(Auto_Sales_data___Copy[[#This Row],[DAYS_SINCE_LAST_ORDER]],Table2[R-Cutoff],1)</f>
        <v>4</v>
      </c>
      <c r="X849" s="2">
        <f>MATCH(Auto_Sales_data___Copy[[#This Row],[Total_Orders_Per_Customer]],Table2[F-Cutoff],1)</f>
        <v>4</v>
      </c>
      <c r="Y849" s="2">
        <f>MATCH(Auto_Sales_data___Copy[[#This Row],[Total_Sales_Per_Customer]],Table2[M-Cutoff],1)</f>
        <v>4</v>
      </c>
      <c r="Z849" s="2" t="str">
        <f>Auto_Sales_data___Copy[[#This Row],[R-Score(1-5)]]&amp;Auto_Sales_data___Copy[[#This Row],[F-Score(1-5)]]&amp;Auto_Sales_data___Copy[[#This Row],[M-Score(1-5)]]</f>
        <v>444</v>
      </c>
      <c r="AA849" s="2" t="str" cm="1">
        <f t="array" ref="AA8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9" s="2" t="str">
        <f>VLOOKUP(Auto_Sales_data___Copy[[#This Row],[Segment Name]],Table3[],2,FALSE)</f>
        <v>VIP Recognitioon &amp; Inclusivity</v>
      </c>
    </row>
    <row r="850" spans="1:28" x14ac:dyDescent="0.25">
      <c r="A850">
        <v>10372</v>
      </c>
      <c r="B850">
        <v>48</v>
      </c>
      <c r="C850">
        <v>146.49</v>
      </c>
      <c r="D850">
        <v>6</v>
      </c>
      <c r="E850">
        <v>7031.52</v>
      </c>
      <c r="F850" s="1">
        <v>43856</v>
      </c>
      <c r="G850" s="2" t="s">
        <v>19</v>
      </c>
      <c r="H850" s="2" t="s">
        <v>183</v>
      </c>
      <c r="I850">
        <v>143</v>
      </c>
      <c r="J850" s="2" t="s">
        <v>658</v>
      </c>
      <c r="K850" s="2" t="s">
        <v>256</v>
      </c>
      <c r="L850" s="2" t="s">
        <v>257</v>
      </c>
      <c r="M850" s="2" t="s">
        <v>258</v>
      </c>
      <c r="N850" s="2" t="s">
        <v>259</v>
      </c>
      <c r="O850" s="2" t="s">
        <v>260</v>
      </c>
      <c r="P850" s="2" t="s">
        <v>261</v>
      </c>
      <c r="Q850" s="2" t="s">
        <v>262</v>
      </c>
      <c r="R850" s="2" t="s">
        <v>263</v>
      </c>
      <c r="S850" s="2" t="s">
        <v>151</v>
      </c>
      <c r="T850">
        <v>1342</v>
      </c>
      <c r="U850">
        <f>VLOOKUP(Auto_Sales_data___Copy[[#This Row],[CUSTOMER_NAME]],$AF$2:$AH$90,2,FALSE)</f>
        <v>32</v>
      </c>
      <c r="V850">
        <f>VLOOKUP(Auto_Sales_data___Copy[[#This Row],[CUSTOMER_NAME]],$AF$2:$AH$90,3,FALSE)</f>
        <v>120562.74000000002</v>
      </c>
      <c r="W850" s="2">
        <f>6-MATCH(Auto_Sales_data___Copy[[#This Row],[DAYS_SINCE_LAST_ORDER]],Table2[R-Cutoff],1)</f>
        <v>4</v>
      </c>
      <c r="X850" s="2">
        <f>MATCH(Auto_Sales_data___Copy[[#This Row],[Total_Orders_Per_Customer]],Table2[F-Cutoff],1)</f>
        <v>4</v>
      </c>
      <c r="Y850" s="2">
        <f>MATCH(Auto_Sales_data___Copy[[#This Row],[Total_Sales_Per_Customer]],Table2[M-Cutoff],1)</f>
        <v>4</v>
      </c>
      <c r="Z850" s="2" t="str">
        <f>Auto_Sales_data___Copy[[#This Row],[R-Score(1-5)]]&amp;Auto_Sales_data___Copy[[#This Row],[F-Score(1-5)]]&amp;Auto_Sales_data___Copy[[#This Row],[M-Score(1-5)]]</f>
        <v>444</v>
      </c>
      <c r="AA850" s="2" t="str" cm="1">
        <f t="array" ref="AA8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0" s="2" t="str">
        <f>VLOOKUP(Auto_Sales_data___Copy[[#This Row],[Segment Name]],Table3[],2,FALSE)</f>
        <v>VIP Recognitioon &amp; Inclusivity</v>
      </c>
    </row>
    <row r="851" spans="1:28" x14ac:dyDescent="0.25">
      <c r="A851">
        <v>10372</v>
      </c>
      <c r="B851">
        <v>41</v>
      </c>
      <c r="C851">
        <v>86.89</v>
      </c>
      <c r="D851">
        <v>7</v>
      </c>
      <c r="E851">
        <v>3562.49</v>
      </c>
      <c r="F851" s="1">
        <v>43856</v>
      </c>
      <c r="G851" s="2" t="s">
        <v>19</v>
      </c>
      <c r="H851" s="2" t="s">
        <v>589</v>
      </c>
      <c r="I851">
        <v>87</v>
      </c>
      <c r="J851" s="2" t="s">
        <v>660</v>
      </c>
      <c r="K851" s="2" t="s">
        <v>256</v>
      </c>
      <c r="L851" s="2" t="s">
        <v>257</v>
      </c>
      <c r="M851" s="2" t="s">
        <v>258</v>
      </c>
      <c r="N851" s="2" t="s">
        <v>259</v>
      </c>
      <c r="O851" s="2" t="s">
        <v>260</v>
      </c>
      <c r="P851" s="2" t="s">
        <v>261</v>
      </c>
      <c r="Q851" s="2" t="s">
        <v>262</v>
      </c>
      <c r="R851" s="2" t="s">
        <v>263</v>
      </c>
      <c r="S851" s="2" t="s">
        <v>46</v>
      </c>
      <c r="T851">
        <v>1389</v>
      </c>
      <c r="U851">
        <f>VLOOKUP(Auto_Sales_data___Copy[[#This Row],[CUSTOMER_NAME]],$AF$2:$AH$90,2,FALSE)</f>
        <v>32</v>
      </c>
      <c r="V851">
        <f>VLOOKUP(Auto_Sales_data___Copy[[#This Row],[CUSTOMER_NAME]],$AF$2:$AH$90,3,FALSE)</f>
        <v>120562.74000000002</v>
      </c>
      <c r="W851" s="2">
        <f>6-MATCH(Auto_Sales_data___Copy[[#This Row],[DAYS_SINCE_LAST_ORDER]],Table2[R-Cutoff],1)</f>
        <v>4</v>
      </c>
      <c r="X851" s="2">
        <f>MATCH(Auto_Sales_data___Copy[[#This Row],[Total_Orders_Per_Customer]],Table2[F-Cutoff],1)</f>
        <v>4</v>
      </c>
      <c r="Y851" s="2">
        <f>MATCH(Auto_Sales_data___Copy[[#This Row],[Total_Sales_Per_Customer]],Table2[M-Cutoff],1)</f>
        <v>4</v>
      </c>
      <c r="Z851" s="2" t="str">
        <f>Auto_Sales_data___Copy[[#This Row],[R-Score(1-5)]]&amp;Auto_Sales_data___Copy[[#This Row],[F-Score(1-5)]]&amp;Auto_Sales_data___Copy[[#This Row],[M-Score(1-5)]]</f>
        <v>444</v>
      </c>
      <c r="AA851" s="2" t="str" cm="1">
        <f t="array" ref="AA8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1" s="2" t="str">
        <f>VLOOKUP(Auto_Sales_data___Copy[[#This Row],[Segment Name]],Table3[],2,FALSE)</f>
        <v>VIP Recognitioon &amp; Inclusivity</v>
      </c>
    </row>
    <row r="852" spans="1:28" x14ac:dyDescent="0.25">
      <c r="A852">
        <v>10373</v>
      </c>
      <c r="B852">
        <v>22</v>
      </c>
      <c r="C852">
        <v>86.74</v>
      </c>
      <c r="D852">
        <v>5</v>
      </c>
      <c r="E852">
        <v>1908.28</v>
      </c>
      <c r="F852" s="1">
        <v>43861</v>
      </c>
      <c r="G852" s="2" t="s">
        <v>19</v>
      </c>
      <c r="H852" s="2" t="s">
        <v>642</v>
      </c>
      <c r="I852">
        <v>86</v>
      </c>
      <c r="J852" s="2" t="s">
        <v>643</v>
      </c>
      <c r="K852" s="2" t="s">
        <v>411</v>
      </c>
      <c r="L852" s="2" t="s">
        <v>412</v>
      </c>
      <c r="M852" s="2" t="s">
        <v>413</v>
      </c>
      <c r="N852" s="2" t="s">
        <v>414</v>
      </c>
      <c r="O852" s="2" t="s">
        <v>415</v>
      </c>
      <c r="P852" s="2" t="s">
        <v>127</v>
      </c>
      <c r="Q852" s="2" t="s">
        <v>416</v>
      </c>
      <c r="R852" s="2" t="s">
        <v>417</v>
      </c>
      <c r="S852" s="2" t="s">
        <v>30</v>
      </c>
      <c r="T852">
        <v>1039</v>
      </c>
      <c r="U852">
        <f>VLOOKUP(Auto_Sales_data___Copy[[#This Row],[CUSTOMER_NAME]],$AF$2:$AH$90,2,FALSE)</f>
        <v>32</v>
      </c>
      <c r="V852">
        <f>VLOOKUP(Auto_Sales_data___Copy[[#This Row],[CUSTOMER_NAME]],$AF$2:$AH$90,3,FALSE)</f>
        <v>104370.37999999999</v>
      </c>
      <c r="W852" s="2">
        <f>6-MATCH(Auto_Sales_data___Copy[[#This Row],[DAYS_SINCE_LAST_ORDER]],Table2[R-Cutoff],1)</f>
        <v>4</v>
      </c>
      <c r="X852" s="2">
        <f>MATCH(Auto_Sales_data___Copy[[#This Row],[Total_Orders_Per_Customer]],Table2[F-Cutoff],1)</f>
        <v>4</v>
      </c>
      <c r="Y852" s="2">
        <f>MATCH(Auto_Sales_data___Copy[[#This Row],[Total_Sales_Per_Customer]],Table2[M-Cutoff],1)</f>
        <v>4</v>
      </c>
      <c r="Z852" s="2" t="str">
        <f>Auto_Sales_data___Copy[[#This Row],[R-Score(1-5)]]&amp;Auto_Sales_data___Copy[[#This Row],[F-Score(1-5)]]&amp;Auto_Sales_data___Copy[[#This Row],[M-Score(1-5)]]</f>
        <v>444</v>
      </c>
      <c r="AA852" s="2" t="str" cm="1">
        <f t="array" ref="AA8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2" s="2" t="str">
        <f>VLOOKUP(Auto_Sales_data___Copy[[#This Row],[Segment Name]],Table3[],2,FALSE)</f>
        <v>VIP Recognitioon &amp; Inclusivity</v>
      </c>
    </row>
    <row r="853" spans="1:28" x14ac:dyDescent="0.25">
      <c r="A853">
        <v>10373</v>
      </c>
      <c r="B853">
        <v>50</v>
      </c>
      <c r="C853">
        <v>60.49</v>
      </c>
      <c r="D853">
        <v>6</v>
      </c>
      <c r="E853">
        <v>3024.5</v>
      </c>
      <c r="F853" s="1">
        <v>43861</v>
      </c>
      <c r="G853" s="2" t="s">
        <v>19</v>
      </c>
      <c r="H853" s="2" t="s">
        <v>589</v>
      </c>
      <c r="I853">
        <v>105</v>
      </c>
      <c r="J853" s="2" t="s">
        <v>657</v>
      </c>
      <c r="K853" s="2" t="s">
        <v>411</v>
      </c>
      <c r="L853" s="2" t="s">
        <v>412</v>
      </c>
      <c r="M853" s="2" t="s">
        <v>413</v>
      </c>
      <c r="N853" s="2" t="s">
        <v>414</v>
      </c>
      <c r="O853" s="2" t="s">
        <v>415</v>
      </c>
      <c r="P853" s="2" t="s">
        <v>127</v>
      </c>
      <c r="Q853" s="2" t="s">
        <v>416</v>
      </c>
      <c r="R853" s="2" t="s">
        <v>417</v>
      </c>
      <c r="S853" s="2" t="s">
        <v>46</v>
      </c>
      <c r="T853">
        <v>1310</v>
      </c>
      <c r="U853">
        <f>VLOOKUP(Auto_Sales_data___Copy[[#This Row],[CUSTOMER_NAME]],$AF$2:$AH$90,2,FALSE)</f>
        <v>32</v>
      </c>
      <c r="V853">
        <f>VLOOKUP(Auto_Sales_data___Copy[[#This Row],[CUSTOMER_NAME]],$AF$2:$AH$90,3,FALSE)</f>
        <v>104370.37999999999</v>
      </c>
      <c r="W853" s="2">
        <f>6-MATCH(Auto_Sales_data___Copy[[#This Row],[DAYS_SINCE_LAST_ORDER]],Table2[R-Cutoff],1)</f>
        <v>4</v>
      </c>
      <c r="X853" s="2">
        <f>MATCH(Auto_Sales_data___Copy[[#This Row],[Total_Orders_Per_Customer]],Table2[F-Cutoff],1)</f>
        <v>4</v>
      </c>
      <c r="Y853" s="2">
        <f>MATCH(Auto_Sales_data___Copy[[#This Row],[Total_Sales_Per_Customer]],Table2[M-Cutoff],1)</f>
        <v>4</v>
      </c>
      <c r="Z853" s="2" t="str">
        <f>Auto_Sales_data___Copy[[#This Row],[R-Score(1-5)]]&amp;Auto_Sales_data___Copy[[#This Row],[F-Score(1-5)]]&amp;Auto_Sales_data___Copy[[#This Row],[M-Score(1-5)]]</f>
        <v>444</v>
      </c>
      <c r="AA853" s="2" t="str" cm="1">
        <f t="array" ref="AA8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3" s="2" t="str">
        <f>VLOOKUP(Auto_Sales_data___Copy[[#This Row],[Segment Name]],Table3[],2,FALSE)</f>
        <v>VIP Recognitioon &amp; Inclusivity</v>
      </c>
    </row>
    <row r="854" spans="1:28" x14ac:dyDescent="0.25">
      <c r="A854">
        <v>10377</v>
      </c>
      <c r="B854">
        <v>39</v>
      </c>
      <c r="C854">
        <v>186.27</v>
      </c>
      <c r="D854">
        <v>3</v>
      </c>
      <c r="E854">
        <v>7264.53</v>
      </c>
      <c r="F854" s="1">
        <v>43870</v>
      </c>
      <c r="G854" s="2" t="s">
        <v>19</v>
      </c>
      <c r="H854" s="2" t="s">
        <v>183</v>
      </c>
      <c r="I854">
        <v>169</v>
      </c>
      <c r="J854" s="2" t="s">
        <v>649</v>
      </c>
      <c r="K854" s="2" t="s">
        <v>122</v>
      </c>
      <c r="L854" s="2" t="s">
        <v>123</v>
      </c>
      <c r="M854" s="2" t="s">
        <v>124</v>
      </c>
      <c r="N854" s="2" t="s">
        <v>125</v>
      </c>
      <c r="O854" s="2" t="s">
        <v>126</v>
      </c>
      <c r="P854" s="2" t="s">
        <v>127</v>
      </c>
      <c r="Q854" s="2" t="s">
        <v>128</v>
      </c>
      <c r="R854" s="2" t="s">
        <v>129</v>
      </c>
      <c r="S854" s="2" t="s">
        <v>151</v>
      </c>
      <c r="T854">
        <v>1129</v>
      </c>
      <c r="U854">
        <f>VLOOKUP(Auto_Sales_data___Copy[[#This Row],[CUSTOMER_NAME]],$AF$2:$AH$90,2,FALSE)</f>
        <v>30</v>
      </c>
      <c r="V854">
        <f>VLOOKUP(Auto_Sales_data___Copy[[#This Row],[CUSTOMER_NAME]],$AF$2:$AH$90,3,FALSE)</f>
        <v>111250.37999999999</v>
      </c>
      <c r="W854" s="2">
        <f>6-MATCH(Auto_Sales_data___Copy[[#This Row],[DAYS_SINCE_LAST_ORDER]],Table2[R-Cutoff],1)</f>
        <v>4</v>
      </c>
      <c r="X854" s="2">
        <f>MATCH(Auto_Sales_data___Copy[[#This Row],[Total_Orders_Per_Customer]],Table2[F-Cutoff],1)</f>
        <v>4</v>
      </c>
      <c r="Y854" s="2">
        <f>MATCH(Auto_Sales_data___Copy[[#This Row],[Total_Sales_Per_Customer]],Table2[M-Cutoff],1)</f>
        <v>4</v>
      </c>
      <c r="Z854" s="2" t="str">
        <f>Auto_Sales_data___Copy[[#This Row],[R-Score(1-5)]]&amp;Auto_Sales_data___Copy[[#This Row],[F-Score(1-5)]]&amp;Auto_Sales_data___Copy[[#This Row],[M-Score(1-5)]]</f>
        <v>444</v>
      </c>
      <c r="AA854" s="2" t="str" cm="1">
        <f t="array" ref="AA8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4" s="2" t="str">
        <f>VLOOKUP(Auto_Sales_data___Copy[[#This Row],[Segment Name]],Table3[],2,FALSE)</f>
        <v>VIP Recognitioon &amp; Inclusivity</v>
      </c>
    </row>
    <row r="855" spans="1:28" x14ac:dyDescent="0.25">
      <c r="A855">
        <v>10382</v>
      </c>
      <c r="B855">
        <v>50</v>
      </c>
      <c r="C855">
        <v>178.71</v>
      </c>
      <c r="D855">
        <v>7</v>
      </c>
      <c r="E855">
        <v>8935.5</v>
      </c>
      <c r="F855" s="1">
        <v>43878</v>
      </c>
      <c r="G855" s="2" t="s">
        <v>19</v>
      </c>
      <c r="H855" s="2" t="s">
        <v>589</v>
      </c>
      <c r="I855">
        <v>99</v>
      </c>
      <c r="J855" s="2" t="s">
        <v>653</v>
      </c>
      <c r="K855" s="2" t="s">
        <v>284</v>
      </c>
      <c r="L855" s="2" t="s">
        <v>285</v>
      </c>
      <c r="M855" s="2" t="s">
        <v>286</v>
      </c>
      <c r="N855" s="2" t="s">
        <v>287</v>
      </c>
      <c r="O855" s="2" t="s">
        <v>106</v>
      </c>
      <c r="P855" s="2" t="s">
        <v>27</v>
      </c>
      <c r="Q855" s="2" t="s">
        <v>288</v>
      </c>
      <c r="R855" s="2" t="s">
        <v>289</v>
      </c>
      <c r="S855" s="2" t="s">
        <v>151</v>
      </c>
      <c r="T855">
        <v>1197</v>
      </c>
      <c r="U855">
        <f>VLOOKUP(Auto_Sales_data___Copy[[#This Row],[CUSTOMER_NAME]],$AF$2:$AH$90,2,FALSE)</f>
        <v>180</v>
      </c>
      <c r="V855">
        <f>VLOOKUP(Auto_Sales_data___Copy[[#This Row],[CUSTOMER_NAME]],$AF$2:$AH$90,3,FALSE)</f>
        <v>654858.06000000017</v>
      </c>
      <c r="W855" s="2">
        <f>6-MATCH(Auto_Sales_data___Copy[[#This Row],[DAYS_SINCE_LAST_ORDER]],Table2[R-Cutoff],1)</f>
        <v>4</v>
      </c>
      <c r="X855" s="2">
        <f>MATCH(Auto_Sales_data___Copy[[#This Row],[Total_Orders_Per_Customer]],Table2[F-Cutoff],1)</f>
        <v>4</v>
      </c>
      <c r="Y855" s="2">
        <f>MATCH(Auto_Sales_data___Copy[[#This Row],[Total_Sales_Per_Customer]],Table2[M-Cutoff],1)</f>
        <v>4</v>
      </c>
      <c r="Z855" s="2" t="str">
        <f>Auto_Sales_data___Copy[[#This Row],[R-Score(1-5)]]&amp;Auto_Sales_data___Copy[[#This Row],[F-Score(1-5)]]&amp;Auto_Sales_data___Copy[[#This Row],[M-Score(1-5)]]</f>
        <v>444</v>
      </c>
      <c r="AA855" s="2" t="str" cm="1">
        <f t="array" ref="AA8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5" s="2" t="str">
        <f>VLOOKUP(Auto_Sales_data___Copy[[#This Row],[Segment Name]],Table3[],2,FALSE)</f>
        <v>VIP Recognitioon &amp; Inclusivity</v>
      </c>
    </row>
    <row r="856" spans="1:28" x14ac:dyDescent="0.25">
      <c r="A856">
        <v>10382</v>
      </c>
      <c r="B856">
        <v>39</v>
      </c>
      <c r="C856">
        <v>125.4</v>
      </c>
      <c r="D856">
        <v>1</v>
      </c>
      <c r="E856">
        <v>4890.6000000000004</v>
      </c>
      <c r="F856" s="1">
        <v>43878</v>
      </c>
      <c r="G856" s="2" t="s">
        <v>19</v>
      </c>
      <c r="H856" s="2" t="s">
        <v>537</v>
      </c>
      <c r="I856">
        <v>121</v>
      </c>
      <c r="J856" s="2" t="s">
        <v>661</v>
      </c>
      <c r="K856" s="2" t="s">
        <v>284</v>
      </c>
      <c r="L856" s="2" t="s">
        <v>285</v>
      </c>
      <c r="M856" s="2" t="s">
        <v>286</v>
      </c>
      <c r="N856" s="2" t="s">
        <v>287</v>
      </c>
      <c r="O856" s="2" t="s">
        <v>106</v>
      </c>
      <c r="P856" s="2" t="s">
        <v>27</v>
      </c>
      <c r="Q856" s="2" t="s">
        <v>288</v>
      </c>
      <c r="R856" s="2" t="s">
        <v>289</v>
      </c>
      <c r="S856" s="2" t="s">
        <v>46</v>
      </c>
      <c r="T856">
        <v>1395</v>
      </c>
      <c r="U856">
        <f>VLOOKUP(Auto_Sales_data___Copy[[#This Row],[CUSTOMER_NAME]],$AF$2:$AH$90,2,FALSE)</f>
        <v>180</v>
      </c>
      <c r="V856">
        <f>VLOOKUP(Auto_Sales_data___Copy[[#This Row],[CUSTOMER_NAME]],$AF$2:$AH$90,3,FALSE)</f>
        <v>654858.06000000017</v>
      </c>
      <c r="W856" s="2">
        <f>6-MATCH(Auto_Sales_data___Copy[[#This Row],[DAYS_SINCE_LAST_ORDER]],Table2[R-Cutoff],1)</f>
        <v>4</v>
      </c>
      <c r="X856" s="2">
        <f>MATCH(Auto_Sales_data___Copy[[#This Row],[Total_Orders_Per_Customer]],Table2[F-Cutoff],1)</f>
        <v>4</v>
      </c>
      <c r="Y856" s="2">
        <f>MATCH(Auto_Sales_data___Copy[[#This Row],[Total_Sales_Per_Customer]],Table2[M-Cutoff],1)</f>
        <v>4</v>
      </c>
      <c r="Z856" s="2" t="str">
        <f>Auto_Sales_data___Copy[[#This Row],[R-Score(1-5)]]&amp;Auto_Sales_data___Copy[[#This Row],[F-Score(1-5)]]&amp;Auto_Sales_data___Copy[[#This Row],[M-Score(1-5)]]</f>
        <v>444</v>
      </c>
      <c r="AA856" s="2" t="str" cm="1">
        <f t="array" ref="AA8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6" s="2" t="str">
        <f>VLOOKUP(Auto_Sales_data___Copy[[#This Row],[Segment Name]],Table3[],2,FALSE)</f>
        <v>VIP Recognitioon &amp; Inclusivity</v>
      </c>
    </row>
    <row r="857" spans="1:28" x14ac:dyDescent="0.25">
      <c r="A857">
        <v>10382</v>
      </c>
      <c r="B857">
        <v>39</v>
      </c>
      <c r="C857">
        <v>200.7</v>
      </c>
      <c r="D857">
        <v>2</v>
      </c>
      <c r="E857">
        <v>7827.3</v>
      </c>
      <c r="F857" s="1">
        <v>43878</v>
      </c>
      <c r="G857" s="2" t="s">
        <v>19</v>
      </c>
      <c r="H857" s="2" t="s">
        <v>589</v>
      </c>
      <c r="I857">
        <v>50</v>
      </c>
      <c r="J857" s="2" t="s">
        <v>662</v>
      </c>
      <c r="K857" s="2" t="s">
        <v>284</v>
      </c>
      <c r="L857" s="2" t="s">
        <v>285</v>
      </c>
      <c r="M857" s="2" t="s">
        <v>286</v>
      </c>
      <c r="N857" s="2" t="s">
        <v>287</v>
      </c>
      <c r="O857" s="2" t="s">
        <v>106</v>
      </c>
      <c r="P857" s="2" t="s">
        <v>27</v>
      </c>
      <c r="Q857" s="2" t="s">
        <v>288</v>
      </c>
      <c r="R857" s="2" t="s">
        <v>289</v>
      </c>
      <c r="S857" s="2" t="s">
        <v>151</v>
      </c>
      <c r="T857">
        <v>1421</v>
      </c>
      <c r="U857">
        <f>VLOOKUP(Auto_Sales_data___Copy[[#This Row],[CUSTOMER_NAME]],$AF$2:$AH$90,2,FALSE)</f>
        <v>180</v>
      </c>
      <c r="V857">
        <f>VLOOKUP(Auto_Sales_data___Copy[[#This Row],[CUSTOMER_NAME]],$AF$2:$AH$90,3,FALSE)</f>
        <v>654858.06000000017</v>
      </c>
      <c r="W857" s="2">
        <f>6-MATCH(Auto_Sales_data___Copy[[#This Row],[DAYS_SINCE_LAST_ORDER]],Table2[R-Cutoff],1)</f>
        <v>4</v>
      </c>
      <c r="X857" s="2">
        <f>MATCH(Auto_Sales_data___Copy[[#This Row],[Total_Orders_Per_Customer]],Table2[F-Cutoff],1)</f>
        <v>4</v>
      </c>
      <c r="Y857" s="2">
        <f>MATCH(Auto_Sales_data___Copy[[#This Row],[Total_Sales_Per_Customer]],Table2[M-Cutoff],1)</f>
        <v>4</v>
      </c>
      <c r="Z857" s="2" t="str">
        <f>Auto_Sales_data___Copy[[#This Row],[R-Score(1-5)]]&amp;Auto_Sales_data___Copy[[#This Row],[F-Score(1-5)]]&amp;Auto_Sales_data___Copy[[#This Row],[M-Score(1-5)]]</f>
        <v>444</v>
      </c>
      <c r="AA857" s="2" t="str" cm="1">
        <f t="array" ref="AA8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7" s="2" t="str">
        <f>VLOOKUP(Auto_Sales_data___Copy[[#This Row],[Segment Name]],Table3[],2,FALSE)</f>
        <v>VIP Recognitioon &amp; Inclusivity</v>
      </c>
    </row>
    <row r="858" spans="1:28" x14ac:dyDescent="0.25">
      <c r="A858">
        <v>10390</v>
      </c>
      <c r="B858">
        <v>40</v>
      </c>
      <c r="C858">
        <v>137.29</v>
      </c>
      <c r="D858">
        <v>9</v>
      </c>
      <c r="E858">
        <v>5491.6</v>
      </c>
      <c r="F858" s="1">
        <v>43894</v>
      </c>
      <c r="G858" s="2" t="s">
        <v>19</v>
      </c>
      <c r="H858" s="2" t="s">
        <v>183</v>
      </c>
      <c r="I858">
        <v>80</v>
      </c>
      <c r="J858" s="2" t="s">
        <v>652</v>
      </c>
      <c r="K858" s="2" t="s">
        <v>284</v>
      </c>
      <c r="L858" s="2" t="s">
        <v>285</v>
      </c>
      <c r="M858" s="2" t="s">
        <v>286</v>
      </c>
      <c r="N858" s="2" t="s">
        <v>287</v>
      </c>
      <c r="O858" s="2" t="s">
        <v>106</v>
      </c>
      <c r="P858" s="2" t="s">
        <v>27</v>
      </c>
      <c r="Q858" s="2" t="s">
        <v>288</v>
      </c>
      <c r="R858" s="2" t="s">
        <v>289</v>
      </c>
      <c r="S858" s="2" t="s">
        <v>46</v>
      </c>
      <c r="T858">
        <v>1159</v>
      </c>
      <c r="U858">
        <f>VLOOKUP(Auto_Sales_data___Copy[[#This Row],[CUSTOMER_NAME]],$AF$2:$AH$90,2,FALSE)</f>
        <v>180</v>
      </c>
      <c r="V858">
        <f>VLOOKUP(Auto_Sales_data___Copy[[#This Row],[CUSTOMER_NAME]],$AF$2:$AH$90,3,FALSE)</f>
        <v>654858.06000000017</v>
      </c>
      <c r="W858" s="2">
        <f>6-MATCH(Auto_Sales_data___Copy[[#This Row],[DAYS_SINCE_LAST_ORDER]],Table2[R-Cutoff],1)</f>
        <v>4</v>
      </c>
      <c r="X858" s="2">
        <f>MATCH(Auto_Sales_data___Copy[[#This Row],[Total_Orders_Per_Customer]],Table2[F-Cutoff],1)</f>
        <v>4</v>
      </c>
      <c r="Y858" s="2">
        <f>MATCH(Auto_Sales_data___Copy[[#This Row],[Total_Sales_Per_Customer]],Table2[M-Cutoff],1)</f>
        <v>4</v>
      </c>
      <c r="Z858" s="2" t="str">
        <f>Auto_Sales_data___Copy[[#This Row],[R-Score(1-5)]]&amp;Auto_Sales_data___Copy[[#This Row],[F-Score(1-5)]]&amp;Auto_Sales_data___Copy[[#This Row],[M-Score(1-5)]]</f>
        <v>444</v>
      </c>
      <c r="AA858" s="2" t="str" cm="1">
        <f t="array" ref="AA8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8" s="2" t="str">
        <f>VLOOKUP(Auto_Sales_data___Copy[[#This Row],[Segment Name]],Table3[],2,FALSE)</f>
        <v>VIP Recognitioon &amp; Inclusivity</v>
      </c>
    </row>
    <row r="859" spans="1:28" x14ac:dyDescent="0.25">
      <c r="A859">
        <v>10390</v>
      </c>
      <c r="B859">
        <v>50</v>
      </c>
      <c r="C859">
        <v>147.94</v>
      </c>
      <c r="D859">
        <v>1</v>
      </c>
      <c r="E859">
        <v>7397</v>
      </c>
      <c r="F859" s="1">
        <v>43894</v>
      </c>
      <c r="G859" s="2" t="s">
        <v>19</v>
      </c>
      <c r="H859" s="2" t="s">
        <v>183</v>
      </c>
      <c r="I859">
        <v>146</v>
      </c>
      <c r="J859" s="2" t="s">
        <v>654</v>
      </c>
      <c r="K859" s="2" t="s">
        <v>284</v>
      </c>
      <c r="L859" s="2" t="s">
        <v>285</v>
      </c>
      <c r="M859" s="2" t="s">
        <v>286</v>
      </c>
      <c r="N859" s="2" t="s">
        <v>287</v>
      </c>
      <c r="O859" s="2" t="s">
        <v>106</v>
      </c>
      <c r="P859" s="2" t="s">
        <v>27</v>
      </c>
      <c r="Q859" s="2" t="s">
        <v>288</v>
      </c>
      <c r="R859" s="2" t="s">
        <v>289</v>
      </c>
      <c r="S859" s="2" t="s">
        <v>151</v>
      </c>
      <c r="T859">
        <v>1207</v>
      </c>
      <c r="U859">
        <f>VLOOKUP(Auto_Sales_data___Copy[[#This Row],[CUSTOMER_NAME]],$AF$2:$AH$90,2,FALSE)</f>
        <v>180</v>
      </c>
      <c r="V859">
        <f>VLOOKUP(Auto_Sales_data___Copy[[#This Row],[CUSTOMER_NAME]],$AF$2:$AH$90,3,FALSE)</f>
        <v>654858.06000000017</v>
      </c>
      <c r="W859" s="2">
        <f>6-MATCH(Auto_Sales_data___Copy[[#This Row],[DAYS_SINCE_LAST_ORDER]],Table2[R-Cutoff],1)</f>
        <v>4</v>
      </c>
      <c r="X859" s="2">
        <f>MATCH(Auto_Sales_data___Copy[[#This Row],[Total_Orders_Per_Customer]],Table2[F-Cutoff],1)</f>
        <v>4</v>
      </c>
      <c r="Y859" s="2">
        <f>MATCH(Auto_Sales_data___Copy[[#This Row],[Total_Sales_Per_Customer]],Table2[M-Cutoff],1)</f>
        <v>4</v>
      </c>
      <c r="Z859" s="2" t="str">
        <f>Auto_Sales_data___Copy[[#This Row],[R-Score(1-5)]]&amp;Auto_Sales_data___Copy[[#This Row],[F-Score(1-5)]]&amp;Auto_Sales_data___Copy[[#This Row],[M-Score(1-5)]]</f>
        <v>444</v>
      </c>
      <c r="AA859" s="2" t="str" cm="1">
        <f t="array" ref="AA8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9" s="2" t="str">
        <f>VLOOKUP(Auto_Sales_data___Copy[[#This Row],[Segment Name]],Table3[],2,FALSE)</f>
        <v>VIP Recognitioon &amp; Inclusivity</v>
      </c>
    </row>
    <row r="860" spans="1:28" x14ac:dyDescent="0.25">
      <c r="A860">
        <v>10390</v>
      </c>
      <c r="B860">
        <v>36</v>
      </c>
      <c r="C860">
        <v>141.11000000000001</v>
      </c>
      <c r="D860">
        <v>2</v>
      </c>
      <c r="E860">
        <v>5079.96</v>
      </c>
      <c r="F860" s="1">
        <v>43894</v>
      </c>
      <c r="G860" s="2" t="s">
        <v>19</v>
      </c>
      <c r="H860" s="2" t="s">
        <v>20</v>
      </c>
      <c r="I860">
        <v>62</v>
      </c>
      <c r="J860" s="2" t="s">
        <v>656</v>
      </c>
      <c r="K860" s="2" t="s">
        <v>284</v>
      </c>
      <c r="L860" s="2" t="s">
        <v>285</v>
      </c>
      <c r="M860" s="2" t="s">
        <v>286</v>
      </c>
      <c r="N860" s="2" t="s">
        <v>287</v>
      </c>
      <c r="O860" s="2" t="s">
        <v>106</v>
      </c>
      <c r="P860" s="2" t="s">
        <v>27</v>
      </c>
      <c r="Q860" s="2" t="s">
        <v>288</v>
      </c>
      <c r="R860" s="2" t="s">
        <v>289</v>
      </c>
      <c r="S860" s="2" t="s">
        <v>46</v>
      </c>
      <c r="T860">
        <v>1255</v>
      </c>
      <c r="U860">
        <f>VLOOKUP(Auto_Sales_data___Copy[[#This Row],[CUSTOMER_NAME]],$AF$2:$AH$90,2,FALSE)</f>
        <v>180</v>
      </c>
      <c r="V860">
        <f>VLOOKUP(Auto_Sales_data___Copy[[#This Row],[CUSTOMER_NAME]],$AF$2:$AH$90,3,FALSE)</f>
        <v>654858.06000000017</v>
      </c>
      <c r="W860" s="2">
        <f>6-MATCH(Auto_Sales_data___Copy[[#This Row],[DAYS_SINCE_LAST_ORDER]],Table2[R-Cutoff],1)</f>
        <v>4</v>
      </c>
      <c r="X860" s="2">
        <f>MATCH(Auto_Sales_data___Copy[[#This Row],[Total_Orders_Per_Customer]],Table2[F-Cutoff],1)</f>
        <v>4</v>
      </c>
      <c r="Y860" s="2">
        <f>MATCH(Auto_Sales_data___Copy[[#This Row],[Total_Sales_Per_Customer]],Table2[M-Cutoff],1)</f>
        <v>4</v>
      </c>
      <c r="Z860" s="2" t="str">
        <f>Auto_Sales_data___Copy[[#This Row],[R-Score(1-5)]]&amp;Auto_Sales_data___Copy[[#This Row],[F-Score(1-5)]]&amp;Auto_Sales_data___Copy[[#This Row],[M-Score(1-5)]]</f>
        <v>444</v>
      </c>
      <c r="AA860" s="2" t="str" cm="1">
        <f t="array" ref="AA8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0" s="2" t="str">
        <f>VLOOKUP(Auto_Sales_data___Copy[[#This Row],[Segment Name]],Table3[],2,FALSE)</f>
        <v>VIP Recognitioon &amp; Inclusivity</v>
      </c>
    </row>
    <row r="861" spans="1:28" x14ac:dyDescent="0.25">
      <c r="A861">
        <v>10390</v>
      </c>
      <c r="B861">
        <v>49</v>
      </c>
      <c r="C861">
        <v>140.06</v>
      </c>
      <c r="D861">
        <v>3</v>
      </c>
      <c r="E861">
        <v>6862.94</v>
      </c>
      <c r="F861" s="1">
        <v>43894</v>
      </c>
      <c r="G861" s="2" t="s">
        <v>19</v>
      </c>
      <c r="H861" s="2" t="s">
        <v>183</v>
      </c>
      <c r="I861">
        <v>148</v>
      </c>
      <c r="J861" s="2" t="s">
        <v>663</v>
      </c>
      <c r="K861" s="2" t="s">
        <v>284</v>
      </c>
      <c r="L861" s="2" t="s">
        <v>285</v>
      </c>
      <c r="M861" s="2" t="s">
        <v>286</v>
      </c>
      <c r="N861" s="2" t="s">
        <v>287</v>
      </c>
      <c r="O861" s="2" t="s">
        <v>106</v>
      </c>
      <c r="P861" s="2" t="s">
        <v>27</v>
      </c>
      <c r="Q861" s="2" t="s">
        <v>288</v>
      </c>
      <c r="R861" s="2" t="s">
        <v>289</v>
      </c>
      <c r="S861" s="2" t="s">
        <v>46</v>
      </c>
      <c r="T861">
        <v>1430</v>
      </c>
      <c r="U861">
        <f>VLOOKUP(Auto_Sales_data___Copy[[#This Row],[CUSTOMER_NAME]],$AF$2:$AH$90,2,FALSE)</f>
        <v>180</v>
      </c>
      <c r="V861">
        <f>VLOOKUP(Auto_Sales_data___Copy[[#This Row],[CUSTOMER_NAME]],$AF$2:$AH$90,3,FALSE)</f>
        <v>654858.06000000017</v>
      </c>
      <c r="W861" s="2">
        <f>6-MATCH(Auto_Sales_data___Copy[[#This Row],[DAYS_SINCE_LAST_ORDER]],Table2[R-Cutoff],1)</f>
        <v>4</v>
      </c>
      <c r="X861" s="2">
        <f>MATCH(Auto_Sales_data___Copy[[#This Row],[Total_Orders_Per_Customer]],Table2[F-Cutoff],1)</f>
        <v>4</v>
      </c>
      <c r="Y861" s="2">
        <f>MATCH(Auto_Sales_data___Copy[[#This Row],[Total_Sales_Per_Customer]],Table2[M-Cutoff],1)</f>
        <v>4</v>
      </c>
      <c r="Z861" s="2" t="str">
        <f>Auto_Sales_data___Copy[[#This Row],[R-Score(1-5)]]&amp;Auto_Sales_data___Copy[[#This Row],[F-Score(1-5)]]&amp;Auto_Sales_data___Copy[[#This Row],[M-Score(1-5)]]</f>
        <v>444</v>
      </c>
      <c r="AA861" s="2" t="str" cm="1">
        <f t="array" ref="AA8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1" s="2" t="str">
        <f>VLOOKUP(Auto_Sales_data___Copy[[#This Row],[Segment Name]],Table3[],2,FALSE)</f>
        <v>VIP Recognitioon &amp; Inclusivity</v>
      </c>
    </row>
    <row r="862" spans="1:28" x14ac:dyDescent="0.25">
      <c r="A862">
        <v>10391</v>
      </c>
      <c r="B862">
        <v>32</v>
      </c>
      <c r="C862">
        <v>45.25</v>
      </c>
      <c r="D862">
        <v>6</v>
      </c>
      <c r="E862">
        <v>1448</v>
      </c>
      <c r="F862" s="1">
        <v>43899</v>
      </c>
      <c r="G862" s="2" t="s">
        <v>19</v>
      </c>
      <c r="H862" s="2" t="s">
        <v>589</v>
      </c>
      <c r="I862">
        <v>101</v>
      </c>
      <c r="J862" s="2" t="s">
        <v>640</v>
      </c>
      <c r="K862" s="2" t="s">
        <v>300</v>
      </c>
      <c r="L862" s="2" t="s">
        <v>301</v>
      </c>
      <c r="M862" s="2" t="s">
        <v>302</v>
      </c>
      <c r="N862" s="2" t="s">
        <v>303</v>
      </c>
      <c r="O862" s="2" t="s">
        <v>304</v>
      </c>
      <c r="P862" s="2" t="s">
        <v>87</v>
      </c>
      <c r="Q862" s="2" t="s">
        <v>305</v>
      </c>
      <c r="R862" s="2" t="s">
        <v>306</v>
      </c>
      <c r="S862" s="2" t="s">
        <v>30</v>
      </c>
      <c r="T862">
        <v>954</v>
      </c>
      <c r="U862">
        <f>VLOOKUP(Auto_Sales_data___Copy[[#This Row],[CUSTOMER_NAME]],$AF$2:$AH$90,2,FALSE)</f>
        <v>46</v>
      </c>
      <c r="V862">
        <f>VLOOKUP(Auto_Sales_data___Copy[[#This Row],[CUSTOMER_NAME]],$AF$2:$AH$90,3,FALSE)</f>
        <v>153996.12999999998</v>
      </c>
      <c r="W862" s="2">
        <f>6-MATCH(Auto_Sales_data___Copy[[#This Row],[DAYS_SINCE_LAST_ORDER]],Table2[R-Cutoff],1)</f>
        <v>4</v>
      </c>
      <c r="X862" s="2">
        <f>MATCH(Auto_Sales_data___Copy[[#This Row],[Total_Orders_Per_Customer]],Table2[F-Cutoff],1)</f>
        <v>4</v>
      </c>
      <c r="Y862" s="2">
        <f>MATCH(Auto_Sales_data___Copy[[#This Row],[Total_Sales_Per_Customer]],Table2[M-Cutoff],1)</f>
        <v>4</v>
      </c>
      <c r="Z862" s="2" t="str">
        <f>Auto_Sales_data___Copy[[#This Row],[R-Score(1-5)]]&amp;Auto_Sales_data___Copy[[#This Row],[F-Score(1-5)]]&amp;Auto_Sales_data___Copy[[#This Row],[M-Score(1-5)]]</f>
        <v>444</v>
      </c>
      <c r="AA862" s="2" t="str" cm="1">
        <f t="array" ref="AA8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2" s="2" t="str">
        <f>VLOOKUP(Auto_Sales_data___Copy[[#This Row],[Segment Name]],Table3[],2,FALSE)</f>
        <v>VIP Recognitioon &amp; Inclusivity</v>
      </c>
    </row>
    <row r="863" spans="1:28" x14ac:dyDescent="0.25">
      <c r="A863">
        <v>10396</v>
      </c>
      <c r="B863">
        <v>33</v>
      </c>
      <c r="C863">
        <v>159.81</v>
      </c>
      <c r="D863">
        <v>2</v>
      </c>
      <c r="E863">
        <v>5273.73</v>
      </c>
      <c r="F863" s="1">
        <v>43913</v>
      </c>
      <c r="G863" s="2" t="s">
        <v>19</v>
      </c>
      <c r="H863" s="2" t="s">
        <v>589</v>
      </c>
      <c r="I863">
        <v>136</v>
      </c>
      <c r="J863" s="2" t="s">
        <v>648</v>
      </c>
      <c r="K863" s="2" t="s">
        <v>284</v>
      </c>
      <c r="L863" s="2" t="s">
        <v>285</v>
      </c>
      <c r="M863" s="2" t="s">
        <v>286</v>
      </c>
      <c r="N863" s="2" t="s">
        <v>287</v>
      </c>
      <c r="O863" s="2" t="s">
        <v>106</v>
      </c>
      <c r="P863" s="2" t="s">
        <v>27</v>
      </c>
      <c r="Q863" s="2" t="s">
        <v>288</v>
      </c>
      <c r="R863" s="2" t="s">
        <v>289</v>
      </c>
      <c r="S863" s="2" t="s">
        <v>46</v>
      </c>
      <c r="T863">
        <v>1040</v>
      </c>
      <c r="U863">
        <f>VLOOKUP(Auto_Sales_data___Copy[[#This Row],[CUSTOMER_NAME]],$AF$2:$AH$90,2,FALSE)</f>
        <v>180</v>
      </c>
      <c r="V863">
        <f>VLOOKUP(Auto_Sales_data___Copy[[#This Row],[CUSTOMER_NAME]],$AF$2:$AH$90,3,FALSE)</f>
        <v>654858.06000000017</v>
      </c>
      <c r="W863" s="2">
        <f>6-MATCH(Auto_Sales_data___Copy[[#This Row],[DAYS_SINCE_LAST_ORDER]],Table2[R-Cutoff],1)</f>
        <v>4</v>
      </c>
      <c r="X863" s="2">
        <f>MATCH(Auto_Sales_data___Copy[[#This Row],[Total_Orders_Per_Customer]],Table2[F-Cutoff],1)</f>
        <v>4</v>
      </c>
      <c r="Y863" s="2">
        <f>MATCH(Auto_Sales_data___Copy[[#This Row],[Total_Sales_Per_Customer]],Table2[M-Cutoff],1)</f>
        <v>4</v>
      </c>
      <c r="Z863" s="2" t="str">
        <f>Auto_Sales_data___Copy[[#This Row],[R-Score(1-5)]]&amp;Auto_Sales_data___Copy[[#This Row],[F-Score(1-5)]]&amp;Auto_Sales_data___Copy[[#This Row],[M-Score(1-5)]]</f>
        <v>444</v>
      </c>
      <c r="AA863" s="2" t="str" cm="1">
        <f t="array" ref="AA8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3" s="2" t="str">
        <f>VLOOKUP(Auto_Sales_data___Copy[[#This Row],[Segment Name]],Table3[],2,FALSE)</f>
        <v>VIP Recognitioon &amp; Inclusivity</v>
      </c>
    </row>
    <row r="864" spans="1:28" x14ac:dyDescent="0.25">
      <c r="A864">
        <v>10396</v>
      </c>
      <c r="B864">
        <v>24</v>
      </c>
      <c r="C864">
        <v>89.75</v>
      </c>
      <c r="D864">
        <v>4</v>
      </c>
      <c r="E864">
        <v>2154</v>
      </c>
      <c r="F864" s="1">
        <v>43913</v>
      </c>
      <c r="G864" s="2" t="s">
        <v>19</v>
      </c>
      <c r="H864" s="2" t="s">
        <v>650</v>
      </c>
      <c r="I864">
        <v>100</v>
      </c>
      <c r="J864" s="2" t="s">
        <v>651</v>
      </c>
      <c r="K864" s="2" t="s">
        <v>284</v>
      </c>
      <c r="L864" s="2" t="s">
        <v>285</v>
      </c>
      <c r="M864" s="2" t="s">
        <v>286</v>
      </c>
      <c r="N864" s="2" t="s">
        <v>287</v>
      </c>
      <c r="O864" s="2" t="s">
        <v>106</v>
      </c>
      <c r="P864" s="2" t="s">
        <v>27</v>
      </c>
      <c r="Q864" s="2" t="s">
        <v>288</v>
      </c>
      <c r="R864" s="2" t="s">
        <v>289</v>
      </c>
      <c r="S864" s="2" t="s">
        <v>30</v>
      </c>
      <c r="T864">
        <v>1116</v>
      </c>
      <c r="U864">
        <f>VLOOKUP(Auto_Sales_data___Copy[[#This Row],[CUSTOMER_NAME]],$AF$2:$AH$90,2,FALSE)</f>
        <v>180</v>
      </c>
      <c r="V864">
        <f>VLOOKUP(Auto_Sales_data___Copy[[#This Row],[CUSTOMER_NAME]],$AF$2:$AH$90,3,FALSE)</f>
        <v>654858.06000000017</v>
      </c>
      <c r="W864" s="2">
        <f>6-MATCH(Auto_Sales_data___Copy[[#This Row],[DAYS_SINCE_LAST_ORDER]],Table2[R-Cutoff],1)</f>
        <v>4</v>
      </c>
      <c r="X864" s="2">
        <f>MATCH(Auto_Sales_data___Copy[[#This Row],[Total_Orders_Per_Customer]],Table2[F-Cutoff],1)</f>
        <v>4</v>
      </c>
      <c r="Y864" s="2">
        <f>MATCH(Auto_Sales_data___Copy[[#This Row],[Total_Sales_Per_Customer]],Table2[M-Cutoff],1)</f>
        <v>4</v>
      </c>
      <c r="Z864" s="2" t="str">
        <f>Auto_Sales_data___Copy[[#This Row],[R-Score(1-5)]]&amp;Auto_Sales_data___Copy[[#This Row],[F-Score(1-5)]]&amp;Auto_Sales_data___Copy[[#This Row],[M-Score(1-5)]]</f>
        <v>444</v>
      </c>
      <c r="AA864" s="2" t="str" cm="1">
        <f t="array" ref="AA8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4" s="2" t="str">
        <f>VLOOKUP(Auto_Sales_data___Copy[[#This Row],[Segment Name]],Table3[],2,FALSE)</f>
        <v>VIP Recognitioon &amp; Inclusivity</v>
      </c>
    </row>
    <row r="865" spans="1:28" x14ac:dyDescent="0.25">
      <c r="A865">
        <v>10396</v>
      </c>
      <c r="B865">
        <v>45</v>
      </c>
      <c r="C865">
        <v>105.32</v>
      </c>
      <c r="D865">
        <v>5</v>
      </c>
      <c r="E865">
        <v>4739.3999999999996</v>
      </c>
      <c r="F865" s="1">
        <v>43913</v>
      </c>
      <c r="G865" s="2" t="s">
        <v>19</v>
      </c>
      <c r="H865" s="2" t="s">
        <v>589</v>
      </c>
      <c r="I865">
        <v>87</v>
      </c>
      <c r="J865" s="2" t="s">
        <v>660</v>
      </c>
      <c r="K865" s="2" t="s">
        <v>284</v>
      </c>
      <c r="L865" s="2" t="s">
        <v>285</v>
      </c>
      <c r="M865" s="2" t="s">
        <v>286</v>
      </c>
      <c r="N865" s="2" t="s">
        <v>287</v>
      </c>
      <c r="O865" s="2" t="s">
        <v>106</v>
      </c>
      <c r="P865" s="2" t="s">
        <v>27</v>
      </c>
      <c r="Q865" s="2" t="s">
        <v>288</v>
      </c>
      <c r="R865" s="2" t="s">
        <v>289</v>
      </c>
      <c r="S865" s="2" t="s">
        <v>46</v>
      </c>
      <c r="T865">
        <v>1334</v>
      </c>
      <c r="U865">
        <f>VLOOKUP(Auto_Sales_data___Copy[[#This Row],[CUSTOMER_NAME]],$AF$2:$AH$90,2,FALSE)</f>
        <v>180</v>
      </c>
      <c r="V865">
        <f>VLOOKUP(Auto_Sales_data___Copy[[#This Row],[CUSTOMER_NAME]],$AF$2:$AH$90,3,FALSE)</f>
        <v>654858.06000000017</v>
      </c>
      <c r="W865" s="2">
        <f>6-MATCH(Auto_Sales_data___Copy[[#This Row],[DAYS_SINCE_LAST_ORDER]],Table2[R-Cutoff],1)</f>
        <v>4</v>
      </c>
      <c r="X865" s="2">
        <f>MATCH(Auto_Sales_data___Copy[[#This Row],[Total_Orders_Per_Customer]],Table2[F-Cutoff],1)</f>
        <v>4</v>
      </c>
      <c r="Y865" s="2">
        <f>MATCH(Auto_Sales_data___Copy[[#This Row],[Total_Sales_Per_Customer]],Table2[M-Cutoff],1)</f>
        <v>4</v>
      </c>
      <c r="Z865" s="2" t="str">
        <f>Auto_Sales_data___Copy[[#This Row],[R-Score(1-5)]]&amp;Auto_Sales_data___Copy[[#This Row],[F-Score(1-5)]]&amp;Auto_Sales_data___Copy[[#This Row],[M-Score(1-5)]]</f>
        <v>444</v>
      </c>
      <c r="AA865" s="2" t="str" cm="1">
        <f t="array" ref="AA8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5" s="2" t="str">
        <f>VLOOKUP(Auto_Sales_data___Copy[[#This Row],[Segment Name]],Table3[],2,FALSE)</f>
        <v>VIP Recognitioon &amp; Inclusivity</v>
      </c>
    </row>
    <row r="866" spans="1:28" x14ac:dyDescent="0.25">
      <c r="A866">
        <v>10398</v>
      </c>
      <c r="B866">
        <v>28</v>
      </c>
      <c r="C866">
        <v>72.260000000000005</v>
      </c>
      <c r="D866">
        <v>18</v>
      </c>
      <c r="E866">
        <v>2023.28</v>
      </c>
      <c r="F866" s="1">
        <v>43920</v>
      </c>
      <c r="G866" s="2" t="s">
        <v>19</v>
      </c>
      <c r="H866" s="2" t="s">
        <v>642</v>
      </c>
      <c r="I866">
        <v>86</v>
      </c>
      <c r="J866" s="2" t="s">
        <v>643</v>
      </c>
      <c r="K866" s="2" t="s">
        <v>31</v>
      </c>
      <c r="L866" s="2" t="s">
        <v>32</v>
      </c>
      <c r="M866" s="2" t="s">
        <v>33</v>
      </c>
      <c r="N866" s="2" t="s">
        <v>34</v>
      </c>
      <c r="O866" s="2" t="s">
        <v>35</v>
      </c>
      <c r="P866" s="2" t="s">
        <v>36</v>
      </c>
      <c r="Q866" s="2" t="s">
        <v>37</v>
      </c>
      <c r="R866" s="2" t="s">
        <v>38</v>
      </c>
      <c r="S866" s="2" t="s">
        <v>30</v>
      </c>
      <c r="T866">
        <v>982</v>
      </c>
      <c r="U866">
        <f>VLOOKUP(Auto_Sales_data___Copy[[#This Row],[CUSTOMER_NAME]],$AF$2:$AH$90,2,FALSE)</f>
        <v>41</v>
      </c>
      <c r="V866">
        <f>VLOOKUP(Auto_Sales_data___Copy[[#This Row],[CUSTOMER_NAME]],$AF$2:$AH$90,3,FALSE)</f>
        <v>135042.94</v>
      </c>
      <c r="W866" s="2">
        <f>6-MATCH(Auto_Sales_data___Copy[[#This Row],[DAYS_SINCE_LAST_ORDER]],Table2[R-Cutoff],1)</f>
        <v>4</v>
      </c>
      <c r="X866" s="2">
        <f>MATCH(Auto_Sales_data___Copy[[#This Row],[Total_Orders_Per_Customer]],Table2[F-Cutoff],1)</f>
        <v>4</v>
      </c>
      <c r="Y866" s="2">
        <f>MATCH(Auto_Sales_data___Copy[[#This Row],[Total_Sales_Per_Customer]],Table2[M-Cutoff],1)</f>
        <v>4</v>
      </c>
      <c r="Z866" s="2" t="str">
        <f>Auto_Sales_data___Copy[[#This Row],[R-Score(1-5)]]&amp;Auto_Sales_data___Copy[[#This Row],[F-Score(1-5)]]&amp;Auto_Sales_data___Copy[[#This Row],[M-Score(1-5)]]</f>
        <v>444</v>
      </c>
      <c r="AA866" s="2" t="str" cm="1">
        <f t="array" ref="AA8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6" s="2" t="str">
        <f>VLOOKUP(Auto_Sales_data___Copy[[#This Row],[Segment Name]],Table3[],2,FALSE)</f>
        <v>VIP Recognitioon &amp; Inclusivity</v>
      </c>
    </row>
    <row r="867" spans="1:28" x14ac:dyDescent="0.25">
      <c r="A867">
        <v>10398</v>
      </c>
      <c r="B867">
        <v>45</v>
      </c>
      <c r="C867">
        <v>106.93</v>
      </c>
      <c r="D867">
        <v>17</v>
      </c>
      <c r="E867">
        <v>4811.8500000000004</v>
      </c>
      <c r="F867" s="1">
        <v>43920</v>
      </c>
      <c r="G867" s="2" t="s">
        <v>19</v>
      </c>
      <c r="H867" s="2" t="s">
        <v>589</v>
      </c>
      <c r="I867">
        <v>105</v>
      </c>
      <c r="J867" s="2" t="s">
        <v>657</v>
      </c>
      <c r="K867" s="2" t="s">
        <v>31</v>
      </c>
      <c r="L867" s="2" t="s">
        <v>32</v>
      </c>
      <c r="M867" s="2" t="s">
        <v>33</v>
      </c>
      <c r="N867" s="2" t="s">
        <v>34</v>
      </c>
      <c r="O867" s="2" t="s">
        <v>35</v>
      </c>
      <c r="P867" s="2" t="s">
        <v>36</v>
      </c>
      <c r="Q867" s="2" t="s">
        <v>37</v>
      </c>
      <c r="R867" s="2" t="s">
        <v>38</v>
      </c>
      <c r="S867" s="2" t="s">
        <v>46</v>
      </c>
      <c r="T867">
        <v>1253</v>
      </c>
      <c r="U867">
        <f>VLOOKUP(Auto_Sales_data___Copy[[#This Row],[CUSTOMER_NAME]],$AF$2:$AH$90,2,FALSE)</f>
        <v>41</v>
      </c>
      <c r="V867">
        <f>VLOOKUP(Auto_Sales_data___Copy[[#This Row],[CUSTOMER_NAME]],$AF$2:$AH$90,3,FALSE)</f>
        <v>135042.94</v>
      </c>
      <c r="W867" s="2">
        <f>6-MATCH(Auto_Sales_data___Copy[[#This Row],[DAYS_SINCE_LAST_ORDER]],Table2[R-Cutoff],1)</f>
        <v>4</v>
      </c>
      <c r="X867" s="2">
        <f>MATCH(Auto_Sales_data___Copy[[#This Row],[Total_Orders_Per_Customer]],Table2[F-Cutoff],1)</f>
        <v>4</v>
      </c>
      <c r="Y867" s="2">
        <f>MATCH(Auto_Sales_data___Copy[[#This Row],[Total_Sales_Per_Customer]],Table2[M-Cutoff],1)</f>
        <v>4</v>
      </c>
      <c r="Z867" s="2" t="str">
        <f>Auto_Sales_data___Copy[[#This Row],[R-Score(1-5)]]&amp;Auto_Sales_data___Copy[[#This Row],[F-Score(1-5)]]&amp;Auto_Sales_data___Copy[[#This Row],[M-Score(1-5)]]</f>
        <v>444</v>
      </c>
      <c r="AA867" s="2" t="str" cm="1">
        <f t="array" ref="AA8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7" s="2" t="str">
        <f>VLOOKUP(Auto_Sales_data___Copy[[#This Row],[Segment Name]],Table3[],2,FALSE)</f>
        <v>VIP Recognitioon &amp; Inclusivity</v>
      </c>
    </row>
    <row r="868" spans="1:28" x14ac:dyDescent="0.25">
      <c r="A868">
        <v>10400</v>
      </c>
      <c r="B868">
        <v>30</v>
      </c>
      <c r="C868">
        <v>74.84</v>
      </c>
      <c r="D868">
        <v>7</v>
      </c>
      <c r="E868">
        <v>2245.1999999999998</v>
      </c>
      <c r="F868" s="1">
        <v>43922</v>
      </c>
      <c r="G868" s="2" t="s">
        <v>19</v>
      </c>
      <c r="H868" s="2" t="s">
        <v>642</v>
      </c>
      <c r="I868">
        <v>86</v>
      </c>
      <c r="J868" s="2" t="s">
        <v>643</v>
      </c>
      <c r="K868" s="2" t="s">
        <v>418</v>
      </c>
      <c r="L868" s="2" t="s">
        <v>419</v>
      </c>
      <c r="M868" s="2" t="s">
        <v>420</v>
      </c>
      <c r="N868" s="2" t="s">
        <v>421</v>
      </c>
      <c r="O868" s="2" t="s">
        <v>58</v>
      </c>
      <c r="P868" s="2" t="s">
        <v>27</v>
      </c>
      <c r="Q868" s="2" t="s">
        <v>93</v>
      </c>
      <c r="R868" s="2" t="s">
        <v>422</v>
      </c>
      <c r="S868" s="2" t="s">
        <v>30</v>
      </c>
      <c r="T868">
        <v>981</v>
      </c>
      <c r="U868">
        <f>VLOOKUP(Auto_Sales_data___Copy[[#This Row],[CUSTOMER_NAME]],$AF$2:$AH$90,2,FALSE)</f>
        <v>40</v>
      </c>
      <c r="V868">
        <f>VLOOKUP(Auto_Sales_data___Copy[[#This Row],[CUSTOMER_NAME]],$AF$2:$AH$90,3,FALSE)</f>
        <v>160010.27000000005</v>
      </c>
      <c r="W868" s="2">
        <f>6-MATCH(Auto_Sales_data___Copy[[#This Row],[DAYS_SINCE_LAST_ORDER]],Table2[R-Cutoff],1)</f>
        <v>4</v>
      </c>
      <c r="X868" s="2">
        <f>MATCH(Auto_Sales_data___Copy[[#This Row],[Total_Orders_Per_Customer]],Table2[F-Cutoff],1)</f>
        <v>4</v>
      </c>
      <c r="Y868" s="2">
        <f>MATCH(Auto_Sales_data___Copy[[#This Row],[Total_Sales_Per_Customer]],Table2[M-Cutoff],1)</f>
        <v>4</v>
      </c>
      <c r="Z868" s="2" t="str">
        <f>Auto_Sales_data___Copy[[#This Row],[R-Score(1-5)]]&amp;Auto_Sales_data___Copy[[#This Row],[F-Score(1-5)]]&amp;Auto_Sales_data___Copy[[#This Row],[M-Score(1-5)]]</f>
        <v>444</v>
      </c>
      <c r="AA868" s="2" t="str" cm="1">
        <f t="array" ref="AA8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8" s="2" t="str">
        <f>VLOOKUP(Auto_Sales_data___Copy[[#This Row],[Segment Name]],Table3[],2,FALSE)</f>
        <v>VIP Recognitioon &amp; Inclusivity</v>
      </c>
    </row>
    <row r="869" spans="1:28" x14ac:dyDescent="0.25">
      <c r="A869">
        <v>10400</v>
      </c>
      <c r="B869">
        <v>58</v>
      </c>
      <c r="C869">
        <v>125.99</v>
      </c>
      <c r="D869">
        <v>6</v>
      </c>
      <c r="E869">
        <v>7307.42</v>
      </c>
      <c r="F869" s="1">
        <v>43922</v>
      </c>
      <c r="G869" s="2" t="s">
        <v>19</v>
      </c>
      <c r="H869" s="2" t="s">
        <v>589</v>
      </c>
      <c r="I869">
        <v>105</v>
      </c>
      <c r="J869" s="2" t="s">
        <v>657</v>
      </c>
      <c r="K869" s="2" t="s">
        <v>418</v>
      </c>
      <c r="L869" s="2" t="s">
        <v>419</v>
      </c>
      <c r="M869" s="2" t="s">
        <v>420</v>
      </c>
      <c r="N869" s="2" t="s">
        <v>421</v>
      </c>
      <c r="O869" s="2" t="s">
        <v>58</v>
      </c>
      <c r="P869" s="2" t="s">
        <v>27</v>
      </c>
      <c r="Q869" s="2" t="s">
        <v>93</v>
      </c>
      <c r="R869" s="2" t="s">
        <v>422</v>
      </c>
      <c r="S869" s="2" t="s">
        <v>151</v>
      </c>
      <c r="T869">
        <v>1252</v>
      </c>
      <c r="U869">
        <f>VLOOKUP(Auto_Sales_data___Copy[[#This Row],[CUSTOMER_NAME]],$AF$2:$AH$90,2,FALSE)</f>
        <v>40</v>
      </c>
      <c r="V869">
        <f>VLOOKUP(Auto_Sales_data___Copy[[#This Row],[CUSTOMER_NAME]],$AF$2:$AH$90,3,FALSE)</f>
        <v>160010.27000000005</v>
      </c>
      <c r="W869" s="2">
        <f>6-MATCH(Auto_Sales_data___Copy[[#This Row],[DAYS_SINCE_LAST_ORDER]],Table2[R-Cutoff],1)</f>
        <v>4</v>
      </c>
      <c r="X869" s="2">
        <f>MATCH(Auto_Sales_data___Copy[[#This Row],[Total_Orders_Per_Customer]],Table2[F-Cutoff],1)</f>
        <v>4</v>
      </c>
      <c r="Y869" s="2">
        <f>MATCH(Auto_Sales_data___Copy[[#This Row],[Total_Sales_Per_Customer]],Table2[M-Cutoff],1)</f>
        <v>4</v>
      </c>
      <c r="Z869" s="2" t="str">
        <f>Auto_Sales_data___Copy[[#This Row],[R-Score(1-5)]]&amp;Auto_Sales_data___Copy[[#This Row],[F-Score(1-5)]]&amp;Auto_Sales_data___Copy[[#This Row],[M-Score(1-5)]]</f>
        <v>444</v>
      </c>
      <c r="AA869" s="2" t="str" cm="1">
        <f t="array" ref="AA8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9" s="2" t="str">
        <f>VLOOKUP(Auto_Sales_data___Copy[[#This Row],[Segment Name]],Table3[],2,FALSE)</f>
        <v>VIP Recognitioon &amp; Inclusivity</v>
      </c>
    </row>
    <row r="870" spans="1:28" x14ac:dyDescent="0.25">
      <c r="A870">
        <v>10403</v>
      </c>
      <c r="B870">
        <v>36</v>
      </c>
      <c r="C870">
        <v>52.22</v>
      </c>
      <c r="D870">
        <v>1</v>
      </c>
      <c r="E870">
        <v>1879.92</v>
      </c>
      <c r="F870" s="1">
        <v>43929</v>
      </c>
      <c r="G870" s="2" t="s">
        <v>19</v>
      </c>
      <c r="H870" s="2" t="s">
        <v>20</v>
      </c>
      <c r="I870">
        <v>62</v>
      </c>
      <c r="J870" s="2" t="s">
        <v>656</v>
      </c>
      <c r="K870" s="2" t="s">
        <v>166</v>
      </c>
      <c r="L870" s="2" t="s">
        <v>167</v>
      </c>
      <c r="M870" s="2" t="s">
        <v>168</v>
      </c>
      <c r="N870" s="2" t="s">
        <v>169</v>
      </c>
      <c r="O870" s="2" t="s">
        <v>170</v>
      </c>
      <c r="P870" s="2" t="s">
        <v>171</v>
      </c>
      <c r="Q870" s="2" t="s">
        <v>172</v>
      </c>
      <c r="R870" s="2" t="s">
        <v>173</v>
      </c>
      <c r="S870" s="2" t="s">
        <v>30</v>
      </c>
      <c r="T870">
        <v>1221</v>
      </c>
      <c r="U870">
        <f>VLOOKUP(Auto_Sales_data___Copy[[#This Row],[CUSTOMER_NAME]],$AF$2:$AH$90,2,FALSE)</f>
        <v>29</v>
      </c>
      <c r="V870">
        <f>VLOOKUP(Auto_Sales_data___Copy[[#This Row],[CUSTOMER_NAME]],$AF$2:$AH$90,3,FALSE)</f>
        <v>118008.26999999999</v>
      </c>
      <c r="W870" s="2">
        <f>6-MATCH(Auto_Sales_data___Copy[[#This Row],[DAYS_SINCE_LAST_ORDER]],Table2[R-Cutoff],1)</f>
        <v>4</v>
      </c>
      <c r="X870" s="2">
        <f>MATCH(Auto_Sales_data___Copy[[#This Row],[Total_Orders_Per_Customer]],Table2[F-Cutoff],1)</f>
        <v>4</v>
      </c>
      <c r="Y870" s="2">
        <f>MATCH(Auto_Sales_data___Copy[[#This Row],[Total_Sales_Per_Customer]],Table2[M-Cutoff],1)</f>
        <v>4</v>
      </c>
      <c r="Z870" s="2" t="str">
        <f>Auto_Sales_data___Copy[[#This Row],[R-Score(1-5)]]&amp;Auto_Sales_data___Copy[[#This Row],[F-Score(1-5)]]&amp;Auto_Sales_data___Copy[[#This Row],[M-Score(1-5)]]</f>
        <v>444</v>
      </c>
      <c r="AA870" s="2" t="str" cm="1">
        <f t="array" ref="AA8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0" s="2" t="str">
        <f>VLOOKUP(Auto_Sales_data___Copy[[#This Row],[Segment Name]],Table3[],2,FALSE)</f>
        <v>VIP Recognitioon &amp; Inclusivity</v>
      </c>
    </row>
    <row r="871" spans="1:28" x14ac:dyDescent="0.25">
      <c r="A871">
        <v>10403</v>
      </c>
      <c r="B871">
        <v>46</v>
      </c>
      <c r="C871">
        <v>114.95</v>
      </c>
      <c r="D871">
        <v>8</v>
      </c>
      <c r="E871">
        <v>5287.7</v>
      </c>
      <c r="F871" s="1">
        <v>43929</v>
      </c>
      <c r="G871" s="2" t="s">
        <v>19</v>
      </c>
      <c r="H871" s="2" t="s">
        <v>20</v>
      </c>
      <c r="I871">
        <v>112</v>
      </c>
      <c r="J871" s="2" t="s">
        <v>667</v>
      </c>
      <c r="K871" s="2" t="s">
        <v>166</v>
      </c>
      <c r="L871" s="2" t="s">
        <v>167</v>
      </c>
      <c r="M871" s="2" t="s">
        <v>168</v>
      </c>
      <c r="N871" s="2" t="s">
        <v>169</v>
      </c>
      <c r="O871" s="2" t="s">
        <v>170</v>
      </c>
      <c r="P871" s="2" t="s">
        <v>171</v>
      </c>
      <c r="Q871" s="2" t="s">
        <v>172</v>
      </c>
      <c r="R871" s="2" t="s">
        <v>173</v>
      </c>
      <c r="S871" s="2" t="s">
        <v>46</v>
      </c>
      <c r="T871">
        <v>1491</v>
      </c>
      <c r="U871">
        <f>VLOOKUP(Auto_Sales_data___Copy[[#This Row],[CUSTOMER_NAME]],$AF$2:$AH$90,2,FALSE)</f>
        <v>29</v>
      </c>
      <c r="V871">
        <f>VLOOKUP(Auto_Sales_data___Copy[[#This Row],[CUSTOMER_NAME]],$AF$2:$AH$90,3,FALSE)</f>
        <v>118008.26999999999</v>
      </c>
      <c r="W871" s="2">
        <f>6-MATCH(Auto_Sales_data___Copy[[#This Row],[DAYS_SINCE_LAST_ORDER]],Table2[R-Cutoff],1)</f>
        <v>4</v>
      </c>
      <c r="X871" s="2">
        <f>MATCH(Auto_Sales_data___Copy[[#This Row],[Total_Orders_Per_Customer]],Table2[F-Cutoff],1)</f>
        <v>4</v>
      </c>
      <c r="Y871" s="2">
        <f>MATCH(Auto_Sales_data___Copy[[#This Row],[Total_Sales_Per_Customer]],Table2[M-Cutoff],1)</f>
        <v>4</v>
      </c>
      <c r="Z871" s="2" t="str">
        <f>Auto_Sales_data___Copy[[#This Row],[R-Score(1-5)]]&amp;Auto_Sales_data___Copy[[#This Row],[F-Score(1-5)]]&amp;Auto_Sales_data___Copy[[#This Row],[M-Score(1-5)]]</f>
        <v>444</v>
      </c>
      <c r="AA871" s="2" t="str" cm="1">
        <f t="array" ref="AA8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1" s="2" t="str">
        <f>VLOOKUP(Auto_Sales_data___Copy[[#This Row],[Segment Name]],Table3[],2,FALSE)</f>
        <v>VIP Recognitioon &amp; Inclusivity</v>
      </c>
    </row>
    <row r="872" spans="1:28" x14ac:dyDescent="0.25">
      <c r="A872">
        <v>10406</v>
      </c>
      <c r="B872">
        <v>65</v>
      </c>
      <c r="C872">
        <v>161.06</v>
      </c>
      <c r="D872">
        <v>1</v>
      </c>
      <c r="E872">
        <v>10468.9</v>
      </c>
      <c r="F872" s="1">
        <v>43936</v>
      </c>
      <c r="G872" s="2" t="s">
        <v>174</v>
      </c>
      <c r="H872" s="2" t="s">
        <v>183</v>
      </c>
      <c r="I872">
        <v>141</v>
      </c>
      <c r="J872" s="2" t="s">
        <v>655</v>
      </c>
      <c r="K872" s="2" t="s">
        <v>339</v>
      </c>
      <c r="L872" s="2" t="s">
        <v>340</v>
      </c>
      <c r="M872" s="2" t="s">
        <v>341</v>
      </c>
      <c r="N872" s="2" t="s">
        <v>342</v>
      </c>
      <c r="O872" s="2" t="s">
        <v>343</v>
      </c>
      <c r="P872" s="2" t="s">
        <v>344</v>
      </c>
      <c r="Q872" s="2" t="s">
        <v>345</v>
      </c>
      <c r="R872" s="2" t="s">
        <v>346</v>
      </c>
      <c r="S872" s="2" t="s">
        <v>151</v>
      </c>
      <c r="T872">
        <v>1189</v>
      </c>
      <c r="U872">
        <f>VLOOKUP(Auto_Sales_data___Copy[[#This Row],[CUSTOMER_NAME]],$AF$2:$AH$90,2,FALSE)</f>
        <v>36</v>
      </c>
      <c r="V872">
        <f>VLOOKUP(Auto_Sales_data___Copy[[#This Row],[CUSTOMER_NAME]],$AF$2:$AH$90,3,FALSE)</f>
        <v>145041.60000000001</v>
      </c>
      <c r="W872" s="2">
        <f>6-MATCH(Auto_Sales_data___Copy[[#This Row],[DAYS_SINCE_LAST_ORDER]],Table2[R-Cutoff],1)</f>
        <v>4</v>
      </c>
      <c r="X872" s="2">
        <f>MATCH(Auto_Sales_data___Copy[[#This Row],[Total_Orders_Per_Customer]],Table2[F-Cutoff],1)</f>
        <v>4</v>
      </c>
      <c r="Y872" s="2">
        <f>MATCH(Auto_Sales_data___Copy[[#This Row],[Total_Sales_Per_Customer]],Table2[M-Cutoff],1)</f>
        <v>4</v>
      </c>
      <c r="Z872" s="2" t="str">
        <f>Auto_Sales_data___Copy[[#This Row],[R-Score(1-5)]]&amp;Auto_Sales_data___Copy[[#This Row],[F-Score(1-5)]]&amp;Auto_Sales_data___Copy[[#This Row],[M-Score(1-5)]]</f>
        <v>444</v>
      </c>
      <c r="AA872" s="2" t="str" cm="1">
        <f t="array" ref="AA8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2" s="2" t="str">
        <f>VLOOKUP(Auto_Sales_data___Copy[[#This Row],[Segment Name]],Table3[],2,FALSE)</f>
        <v>VIP Recognitioon &amp; Inclusivity</v>
      </c>
    </row>
    <row r="873" spans="1:28" x14ac:dyDescent="0.25">
      <c r="A873">
        <v>10407</v>
      </c>
      <c r="B873">
        <v>6</v>
      </c>
      <c r="C873">
        <v>90.19</v>
      </c>
      <c r="D873">
        <v>3</v>
      </c>
      <c r="E873">
        <v>541.14</v>
      </c>
      <c r="F873" s="1">
        <v>43943</v>
      </c>
      <c r="G873" s="2" t="s">
        <v>423</v>
      </c>
      <c r="H873" s="2" t="s">
        <v>589</v>
      </c>
      <c r="I873">
        <v>92</v>
      </c>
      <c r="J873" s="2" t="s">
        <v>659</v>
      </c>
      <c r="K873" s="2" t="s">
        <v>418</v>
      </c>
      <c r="L873" s="2" t="s">
        <v>419</v>
      </c>
      <c r="M873" s="2" t="s">
        <v>420</v>
      </c>
      <c r="N873" s="2" t="s">
        <v>421</v>
      </c>
      <c r="O873" s="2" t="s">
        <v>58</v>
      </c>
      <c r="P873" s="2" t="s">
        <v>27</v>
      </c>
      <c r="Q873" s="2" t="s">
        <v>93</v>
      </c>
      <c r="R873" s="2" t="s">
        <v>422</v>
      </c>
      <c r="S873" s="2" t="s">
        <v>30</v>
      </c>
      <c r="T873">
        <v>1278</v>
      </c>
      <c r="U873">
        <f>VLOOKUP(Auto_Sales_data___Copy[[#This Row],[CUSTOMER_NAME]],$AF$2:$AH$90,2,FALSE)</f>
        <v>40</v>
      </c>
      <c r="V873">
        <f>VLOOKUP(Auto_Sales_data___Copy[[#This Row],[CUSTOMER_NAME]],$AF$2:$AH$90,3,FALSE)</f>
        <v>160010.27000000005</v>
      </c>
      <c r="W873" s="2">
        <f>6-MATCH(Auto_Sales_data___Copy[[#This Row],[DAYS_SINCE_LAST_ORDER]],Table2[R-Cutoff],1)</f>
        <v>4</v>
      </c>
      <c r="X873" s="2">
        <f>MATCH(Auto_Sales_data___Copy[[#This Row],[Total_Orders_Per_Customer]],Table2[F-Cutoff],1)</f>
        <v>4</v>
      </c>
      <c r="Y873" s="2">
        <f>MATCH(Auto_Sales_data___Copy[[#This Row],[Total_Sales_Per_Customer]],Table2[M-Cutoff],1)</f>
        <v>4</v>
      </c>
      <c r="Z873" s="2" t="str">
        <f>Auto_Sales_data___Copy[[#This Row],[R-Score(1-5)]]&amp;Auto_Sales_data___Copy[[#This Row],[F-Score(1-5)]]&amp;Auto_Sales_data___Copy[[#This Row],[M-Score(1-5)]]</f>
        <v>444</v>
      </c>
      <c r="AA873" s="2" t="str" cm="1">
        <f t="array" ref="AA8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3" s="2" t="str">
        <f>VLOOKUP(Auto_Sales_data___Copy[[#This Row],[Segment Name]],Table3[],2,FALSE)</f>
        <v>VIP Recognitioon &amp; Inclusivity</v>
      </c>
    </row>
    <row r="874" spans="1:28" x14ac:dyDescent="0.25">
      <c r="A874">
        <v>10407</v>
      </c>
      <c r="B874">
        <v>66</v>
      </c>
      <c r="C874">
        <v>66.989999999999995</v>
      </c>
      <c r="D874">
        <v>4</v>
      </c>
      <c r="E874">
        <v>4421.34</v>
      </c>
      <c r="F874" s="1">
        <v>43943</v>
      </c>
      <c r="G874" s="2" t="s">
        <v>423</v>
      </c>
      <c r="H874" s="2" t="s">
        <v>183</v>
      </c>
      <c r="I874">
        <v>71</v>
      </c>
      <c r="J874" s="2" t="s">
        <v>664</v>
      </c>
      <c r="K874" s="2" t="s">
        <v>418</v>
      </c>
      <c r="L874" s="2" t="s">
        <v>419</v>
      </c>
      <c r="M874" s="2" t="s">
        <v>420</v>
      </c>
      <c r="N874" s="2" t="s">
        <v>421</v>
      </c>
      <c r="O874" s="2" t="s">
        <v>58</v>
      </c>
      <c r="P874" s="2" t="s">
        <v>27</v>
      </c>
      <c r="Q874" s="2" t="s">
        <v>93</v>
      </c>
      <c r="R874" s="2" t="s">
        <v>422</v>
      </c>
      <c r="S874" s="2" t="s">
        <v>46</v>
      </c>
      <c r="T874">
        <v>1402</v>
      </c>
      <c r="U874">
        <f>VLOOKUP(Auto_Sales_data___Copy[[#This Row],[CUSTOMER_NAME]],$AF$2:$AH$90,2,FALSE)</f>
        <v>40</v>
      </c>
      <c r="V874">
        <f>VLOOKUP(Auto_Sales_data___Copy[[#This Row],[CUSTOMER_NAME]],$AF$2:$AH$90,3,FALSE)</f>
        <v>160010.27000000005</v>
      </c>
      <c r="W874" s="2">
        <f>6-MATCH(Auto_Sales_data___Copy[[#This Row],[DAYS_SINCE_LAST_ORDER]],Table2[R-Cutoff],1)</f>
        <v>4</v>
      </c>
      <c r="X874" s="2">
        <f>MATCH(Auto_Sales_data___Copy[[#This Row],[Total_Orders_Per_Customer]],Table2[F-Cutoff],1)</f>
        <v>4</v>
      </c>
      <c r="Y874" s="2">
        <f>MATCH(Auto_Sales_data___Copy[[#This Row],[Total_Sales_Per_Customer]],Table2[M-Cutoff],1)</f>
        <v>4</v>
      </c>
      <c r="Z874" s="2" t="str">
        <f>Auto_Sales_data___Copy[[#This Row],[R-Score(1-5)]]&amp;Auto_Sales_data___Copy[[#This Row],[F-Score(1-5)]]&amp;Auto_Sales_data___Copy[[#This Row],[M-Score(1-5)]]</f>
        <v>444</v>
      </c>
      <c r="AA874" s="2" t="str" cm="1">
        <f t="array" ref="AA8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4" s="2" t="str">
        <f>VLOOKUP(Auto_Sales_data___Copy[[#This Row],[Segment Name]],Table3[],2,FALSE)</f>
        <v>VIP Recognitioon &amp; Inclusivity</v>
      </c>
    </row>
    <row r="875" spans="1:28" x14ac:dyDescent="0.25">
      <c r="A875">
        <v>10407</v>
      </c>
      <c r="B875">
        <v>26</v>
      </c>
      <c r="C875">
        <v>76.430000000000007</v>
      </c>
      <c r="D875">
        <v>8</v>
      </c>
      <c r="E875">
        <v>1987.18</v>
      </c>
      <c r="F875" s="1">
        <v>43943</v>
      </c>
      <c r="G875" s="2" t="s">
        <v>423</v>
      </c>
      <c r="H875" s="2" t="s">
        <v>183</v>
      </c>
      <c r="I875">
        <v>73</v>
      </c>
      <c r="J875" s="2" t="s">
        <v>665</v>
      </c>
      <c r="K875" s="2" t="s">
        <v>418</v>
      </c>
      <c r="L875" s="2" t="s">
        <v>419</v>
      </c>
      <c r="M875" s="2" t="s">
        <v>420</v>
      </c>
      <c r="N875" s="2" t="s">
        <v>421</v>
      </c>
      <c r="O875" s="2" t="s">
        <v>58</v>
      </c>
      <c r="P875" s="2" t="s">
        <v>27</v>
      </c>
      <c r="Q875" s="2" t="s">
        <v>93</v>
      </c>
      <c r="R875" s="2" t="s">
        <v>422</v>
      </c>
      <c r="S875" s="2" t="s">
        <v>30</v>
      </c>
      <c r="T875">
        <v>1425</v>
      </c>
      <c r="U875">
        <f>VLOOKUP(Auto_Sales_data___Copy[[#This Row],[CUSTOMER_NAME]],$AF$2:$AH$90,2,FALSE)</f>
        <v>40</v>
      </c>
      <c r="V875">
        <f>VLOOKUP(Auto_Sales_data___Copy[[#This Row],[CUSTOMER_NAME]],$AF$2:$AH$90,3,FALSE)</f>
        <v>160010.27000000005</v>
      </c>
      <c r="W875" s="2">
        <f>6-MATCH(Auto_Sales_data___Copy[[#This Row],[DAYS_SINCE_LAST_ORDER]],Table2[R-Cutoff],1)</f>
        <v>4</v>
      </c>
      <c r="X875" s="2">
        <f>MATCH(Auto_Sales_data___Copy[[#This Row],[Total_Orders_Per_Customer]],Table2[F-Cutoff],1)</f>
        <v>4</v>
      </c>
      <c r="Y875" s="2">
        <f>MATCH(Auto_Sales_data___Copy[[#This Row],[Total_Sales_Per_Customer]],Table2[M-Cutoff],1)</f>
        <v>4</v>
      </c>
      <c r="Z875" s="2" t="str">
        <f>Auto_Sales_data___Copy[[#This Row],[R-Score(1-5)]]&amp;Auto_Sales_data___Copy[[#This Row],[F-Score(1-5)]]&amp;Auto_Sales_data___Copy[[#This Row],[M-Score(1-5)]]</f>
        <v>444</v>
      </c>
      <c r="AA875" s="2" t="str" cm="1">
        <f t="array" ref="AA8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5" s="2" t="str">
        <f>VLOOKUP(Auto_Sales_data___Copy[[#This Row],[Segment Name]],Table3[],2,FALSE)</f>
        <v>VIP Recognitioon &amp; Inclusivity</v>
      </c>
    </row>
    <row r="876" spans="1:28" x14ac:dyDescent="0.25">
      <c r="A876">
        <v>10419</v>
      </c>
      <c r="B876">
        <v>35</v>
      </c>
      <c r="C876">
        <v>169.34</v>
      </c>
      <c r="D876">
        <v>6</v>
      </c>
      <c r="E876">
        <v>5926.9</v>
      </c>
      <c r="F876" s="1">
        <v>43968</v>
      </c>
      <c r="G876" s="2" t="s">
        <v>19</v>
      </c>
      <c r="H876" s="2" t="s">
        <v>183</v>
      </c>
      <c r="I876">
        <v>169</v>
      </c>
      <c r="J876" s="2" t="s">
        <v>649</v>
      </c>
      <c r="K876" s="2" t="s">
        <v>143</v>
      </c>
      <c r="L876" s="2" t="s">
        <v>144</v>
      </c>
      <c r="M876" s="2" t="s">
        <v>145</v>
      </c>
      <c r="N876" s="2" t="s">
        <v>146</v>
      </c>
      <c r="O876" s="2" t="s">
        <v>147</v>
      </c>
      <c r="P876" s="2" t="s">
        <v>148</v>
      </c>
      <c r="Q876" s="2" t="s">
        <v>149</v>
      </c>
      <c r="R876" s="2" t="s">
        <v>150</v>
      </c>
      <c r="S876" s="2" t="s">
        <v>46</v>
      </c>
      <c r="T876">
        <v>1036</v>
      </c>
      <c r="U876">
        <f>VLOOKUP(Auto_Sales_data___Copy[[#This Row],[CUSTOMER_NAME]],$AF$2:$AH$90,2,FALSE)</f>
        <v>40</v>
      </c>
      <c r="V876">
        <f>VLOOKUP(Auto_Sales_data___Copy[[#This Row],[CUSTOMER_NAME]],$AF$2:$AH$90,3,FALSE)</f>
        <v>149798.63</v>
      </c>
      <c r="W876" s="2">
        <f>6-MATCH(Auto_Sales_data___Copy[[#This Row],[DAYS_SINCE_LAST_ORDER]],Table2[R-Cutoff],1)</f>
        <v>4</v>
      </c>
      <c r="X876" s="2">
        <f>MATCH(Auto_Sales_data___Copy[[#This Row],[Total_Orders_Per_Customer]],Table2[F-Cutoff],1)</f>
        <v>4</v>
      </c>
      <c r="Y876" s="2">
        <f>MATCH(Auto_Sales_data___Copy[[#This Row],[Total_Sales_Per_Customer]],Table2[M-Cutoff],1)</f>
        <v>4</v>
      </c>
      <c r="Z876" s="2" t="str">
        <f>Auto_Sales_data___Copy[[#This Row],[R-Score(1-5)]]&amp;Auto_Sales_data___Copy[[#This Row],[F-Score(1-5)]]&amp;Auto_Sales_data___Copy[[#This Row],[M-Score(1-5)]]</f>
        <v>444</v>
      </c>
      <c r="AA876" s="2" t="str" cm="1">
        <f t="array" ref="AA8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6" s="2" t="str">
        <f>VLOOKUP(Auto_Sales_data___Copy[[#This Row],[Segment Name]],Table3[],2,FALSE)</f>
        <v>VIP Recognitioon &amp; Inclusivity</v>
      </c>
    </row>
    <row r="877" spans="1:28" x14ac:dyDescent="0.25">
      <c r="A877">
        <v>10419</v>
      </c>
      <c r="B877">
        <v>43</v>
      </c>
      <c r="C877">
        <v>129.97999999999999</v>
      </c>
      <c r="D877">
        <v>3</v>
      </c>
      <c r="E877">
        <v>5589.14</v>
      </c>
      <c r="F877" s="1">
        <v>43968</v>
      </c>
      <c r="G877" s="2" t="s">
        <v>19</v>
      </c>
      <c r="H877" s="2" t="s">
        <v>183</v>
      </c>
      <c r="I877">
        <v>141</v>
      </c>
      <c r="J877" s="2" t="s">
        <v>655</v>
      </c>
      <c r="K877" s="2" t="s">
        <v>143</v>
      </c>
      <c r="L877" s="2" t="s">
        <v>144</v>
      </c>
      <c r="M877" s="2" t="s">
        <v>145</v>
      </c>
      <c r="N877" s="2" t="s">
        <v>146</v>
      </c>
      <c r="O877" s="2" t="s">
        <v>147</v>
      </c>
      <c r="P877" s="2" t="s">
        <v>148</v>
      </c>
      <c r="Q877" s="2" t="s">
        <v>149</v>
      </c>
      <c r="R877" s="2" t="s">
        <v>150</v>
      </c>
      <c r="S877" s="2" t="s">
        <v>46</v>
      </c>
      <c r="T877">
        <v>1158</v>
      </c>
      <c r="U877">
        <f>VLOOKUP(Auto_Sales_data___Copy[[#This Row],[CUSTOMER_NAME]],$AF$2:$AH$90,2,FALSE)</f>
        <v>40</v>
      </c>
      <c r="V877">
        <f>VLOOKUP(Auto_Sales_data___Copy[[#This Row],[CUSTOMER_NAME]],$AF$2:$AH$90,3,FALSE)</f>
        <v>149798.63</v>
      </c>
      <c r="W877" s="2">
        <f>6-MATCH(Auto_Sales_data___Copy[[#This Row],[DAYS_SINCE_LAST_ORDER]],Table2[R-Cutoff],1)</f>
        <v>4</v>
      </c>
      <c r="X877" s="2">
        <f>MATCH(Auto_Sales_data___Copy[[#This Row],[Total_Orders_Per_Customer]],Table2[F-Cutoff],1)</f>
        <v>4</v>
      </c>
      <c r="Y877" s="2">
        <f>MATCH(Auto_Sales_data___Copy[[#This Row],[Total_Sales_Per_Customer]],Table2[M-Cutoff],1)</f>
        <v>4</v>
      </c>
      <c r="Z877" s="2" t="str">
        <f>Auto_Sales_data___Copy[[#This Row],[R-Score(1-5)]]&amp;Auto_Sales_data___Copy[[#This Row],[F-Score(1-5)]]&amp;Auto_Sales_data___Copy[[#This Row],[M-Score(1-5)]]</f>
        <v>444</v>
      </c>
      <c r="AA877" s="2" t="str" cm="1">
        <f t="array" ref="AA8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7" s="2" t="str">
        <f>VLOOKUP(Auto_Sales_data___Copy[[#This Row],[Segment Name]],Table3[],2,FALSE)</f>
        <v>VIP Recognitioon &amp; Inclusivity</v>
      </c>
    </row>
    <row r="878" spans="1:28" x14ac:dyDescent="0.25">
      <c r="A878">
        <v>10420</v>
      </c>
      <c r="B878">
        <v>66</v>
      </c>
      <c r="C878">
        <v>92.95</v>
      </c>
      <c r="D878">
        <v>6</v>
      </c>
      <c r="E878">
        <v>6134.7</v>
      </c>
      <c r="F878" s="1">
        <v>43980</v>
      </c>
      <c r="G878" s="2" t="s">
        <v>314</v>
      </c>
      <c r="H878" s="2" t="s">
        <v>589</v>
      </c>
      <c r="I878">
        <v>92</v>
      </c>
      <c r="J878" s="2" t="s">
        <v>659</v>
      </c>
      <c r="K878" s="2" t="s">
        <v>152</v>
      </c>
      <c r="L878" s="2" t="s">
        <v>153</v>
      </c>
      <c r="M878" s="2" t="s">
        <v>154</v>
      </c>
      <c r="N878" s="2" t="s">
        <v>155</v>
      </c>
      <c r="O878" s="2" t="s">
        <v>156</v>
      </c>
      <c r="P878" s="2" t="s">
        <v>87</v>
      </c>
      <c r="Q878" s="2" t="s">
        <v>157</v>
      </c>
      <c r="R878" s="2" t="s">
        <v>158</v>
      </c>
      <c r="S878" s="2" t="s">
        <v>46</v>
      </c>
      <c r="T878">
        <v>1242</v>
      </c>
      <c r="U878">
        <f>VLOOKUP(Auto_Sales_data___Copy[[#This Row],[CUSTOMER_NAME]],$AF$2:$AH$90,2,FALSE)</f>
        <v>46</v>
      </c>
      <c r="V878">
        <f>VLOOKUP(Auto_Sales_data___Copy[[#This Row],[CUSTOMER_NAME]],$AF$2:$AH$90,3,FALSE)</f>
        <v>151570.98000000001</v>
      </c>
      <c r="W878" s="2">
        <f>6-MATCH(Auto_Sales_data___Copy[[#This Row],[DAYS_SINCE_LAST_ORDER]],Table2[R-Cutoff],1)</f>
        <v>4</v>
      </c>
      <c r="X878" s="2">
        <f>MATCH(Auto_Sales_data___Copy[[#This Row],[Total_Orders_Per_Customer]],Table2[F-Cutoff],1)</f>
        <v>4</v>
      </c>
      <c r="Y878" s="2">
        <f>MATCH(Auto_Sales_data___Copy[[#This Row],[Total_Sales_Per_Customer]],Table2[M-Cutoff],1)</f>
        <v>4</v>
      </c>
      <c r="Z878" s="2" t="str">
        <f>Auto_Sales_data___Copy[[#This Row],[R-Score(1-5)]]&amp;Auto_Sales_data___Copy[[#This Row],[F-Score(1-5)]]&amp;Auto_Sales_data___Copy[[#This Row],[M-Score(1-5)]]</f>
        <v>444</v>
      </c>
      <c r="AA878" s="2" t="str" cm="1">
        <f t="array" ref="AA8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8" s="2" t="str">
        <f>VLOOKUP(Auto_Sales_data___Copy[[#This Row],[Segment Name]],Table3[],2,FALSE)</f>
        <v>VIP Recognitioon &amp; Inclusivity</v>
      </c>
    </row>
    <row r="879" spans="1:28" x14ac:dyDescent="0.25">
      <c r="A879">
        <v>10420</v>
      </c>
      <c r="B879">
        <v>36</v>
      </c>
      <c r="C879">
        <v>57.73</v>
      </c>
      <c r="D879">
        <v>7</v>
      </c>
      <c r="E879">
        <v>2078.2800000000002</v>
      </c>
      <c r="F879" s="1">
        <v>43980</v>
      </c>
      <c r="G879" s="2" t="s">
        <v>314</v>
      </c>
      <c r="H879" s="2" t="s">
        <v>183</v>
      </c>
      <c r="I879">
        <v>71</v>
      </c>
      <c r="J879" s="2" t="s">
        <v>664</v>
      </c>
      <c r="K879" s="2" t="s">
        <v>152</v>
      </c>
      <c r="L879" s="2" t="s">
        <v>153</v>
      </c>
      <c r="M879" s="2" t="s">
        <v>154</v>
      </c>
      <c r="N879" s="2" t="s">
        <v>155</v>
      </c>
      <c r="O879" s="2" t="s">
        <v>156</v>
      </c>
      <c r="P879" s="2" t="s">
        <v>87</v>
      </c>
      <c r="Q879" s="2" t="s">
        <v>157</v>
      </c>
      <c r="R879" s="2" t="s">
        <v>158</v>
      </c>
      <c r="S879" s="2" t="s">
        <v>30</v>
      </c>
      <c r="T879">
        <v>1366</v>
      </c>
      <c r="U879">
        <f>VLOOKUP(Auto_Sales_data___Copy[[#This Row],[CUSTOMER_NAME]],$AF$2:$AH$90,2,FALSE)</f>
        <v>46</v>
      </c>
      <c r="V879">
        <f>VLOOKUP(Auto_Sales_data___Copy[[#This Row],[CUSTOMER_NAME]],$AF$2:$AH$90,3,FALSE)</f>
        <v>151570.98000000001</v>
      </c>
      <c r="W879" s="2">
        <f>6-MATCH(Auto_Sales_data___Copy[[#This Row],[DAYS_SINCE_LAST_ORDER]],Table2[R-Cutoff],1)</f>
        <v>4</v>
      </c>
      <c r="X879" s="2">
        <f>MATCH(Auto_Sales_data___Copy[[#This Row],[Total_Orders_Per_Customer]],Table2[F-Cutoff],1)</f>
        <v>4</v>
      </c>
      <c r="Y879" s="2">
        <f>MATCH(Auto_Sales_data___Copy[[#This Row],[Total_Sales_Per_Customer]],Table2[M-Cutoff],1)</f>
        <v>4</v>
      </c>
      <c r="Z879" s="2" t="str">
        <f>Auto_Sales_data___Copy[[#This Row],[R-Score(1-5)]]&amp;Auto_Sales_data___Copy[[#This Row],[F-Score(1-5)]]&amp;Auto_Sales_data___Copy[[#This Row],[M-Score(1-5)]]</f>
        <v>444</v>
      </c>
      <c r="AA879" s="2" t="str" cm="1">
        <f t="array" ref="AA8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9" s="2" t="str">
        <f>VLOOKUP(Auto_Sales_data___Copy[[#This Row],[Segment Name]],Table3[],2,FALSE)</f>
        <v>VIP Recognitioon &amp; Inclusivity</v>
      </c>
    </row>
    <row r="880" spans="1:28" x14ac:dyDescent="0.25">
      <c r="A880">
        <v>10420</v>
      </c>
      <c r="B880">
        <v>60</v>
      </c>
      <c r="C880">
        <v>64.67</v>
      </c>
      <c r="D880">
        <v>11</v>
      </c>
      <c r="E880">
        <v>3880.2</v>
      </c>
      <c r="F880" s="1">
        <v>43980</v>
      </c>
      <c r="G880" s="2" t="s">
        <v>314</v>
      </c>
      <c r="H880" s="2" t="s">
        <v>183</v>
      </c>
      <c r="I880">
        <v>73</v>
      </c>
      <c r="J880" s="2" t="s">
        <v>665</v>
      </c>
      <c r="K880" s="2" t="s">
        <v>152</v>
      </c>
      <c r="L880" s="2" t="s">
        <v>153</v>
      </c>
      <c r="M880" s="2" t="s">
        <v>154</v>
      </c>
      <c r="N880" s="2" t="s">
        <v>155</v>
      </c>
      <c r="O880" s="2" t="s">
        <v>156</v>
      </c>
      <c r="P880" s="2" t="s">
        <v>87</v>
      </c>
      <c r="Q880" s="2" t="s">
        <v>157</v>
      </c>
      <c r="R880" s="2" t="s">
        <v>158</v>
      </c>
      <c r="S880" s="2" t="s">
        <v>46</v>
      </c>
      <c r="T880">
        <v>1389</v>
      </c>
      <c r="U880">
        <f>VLOOKUP(Auto_Sales_data___Copy[[#This Row],[CUSTOMER_NAME]],$AF$2:$AH$90,2,FALSE)</f>
        <v>46</v>
      </c>
      <c r="V880">
        <f>VLOOKUP(Auto_Sales_data___Copy[[#This Row],[CUSTOMER_NAME]],$AF$2:$AH$90,3,FALSE)</f>
        <v>151570.98000000001</v>
      </c>
      <c r="W880" s="2">
        <f>6-MATCH(Auto_Sales_data___Copy[[#This Row],[DAYS_SINCE_LAST_ORDER]],Table2[R-Cutoff],1)</f>
        <v>4</v>
      </c>
      <c r="X880" s="2">
        <f>MATCH(Auto_Sales_data___Copy[[#This Row],[Total_Orders_Per_Customer]],Table2[F-Cutoff],1)</f>
        <v>4</v>
      </c>
      <c r="Y880" s="2">
        <f>MATCH(Auto_Sales_data___Copy[[#This Row],[Total_Sales_Per_Customer]],Table2[M-Cutoff],1)</f>
        <v>4</v>
      </c>
      <c r="Z880" s="2" t="str">
        <f>Auto_Sales_data___Copy[[#This Row],[R-Score(1-5)]]&amp;Auto_Sales_data___Copy[[#This Row],[F-Score(1-5)]]&amp;Auto_Sales_data___Copy[[#This Row],[M-Score(1-5)]]</f>
        <v>444</v>
      </c>
      <c r="AA880" s="2" t="str" cm="1">
        <f t="array" ref="AA8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0" s="2" t="str">
        <f>VLOOKUP(Auto_Sales_data___Copy[[#This Row],[Segment Name]],Table3[],2,FALSE)</f>
        <v>VIP Recognitioon &amp; Inclusivity</v>
      </c>
    </row>
    <row r="881" spans="1:28" x14ac:dyDescent="0.25">
      <c r="A881">
        <v>10420</v>
      </c>
      <c r="B881">
        <v>37</v>
      </c>
      <c r="C881">
        <v>60.37</v>
      </c>
      <c r="D881">
        <v>13</v>
      </c>
      <c r="E881">
        <v>2233.69</v>
      </c>
      <c r="F881" s="1">
        <v>43980</v>
      </c>
      <c r="G881" s="2" t="s">
        <v>314</v>
      </c>
      <c r="H881" s="2" t="s">
        <v>183</v>
      </c>
      <c r="I881">
        <v>50</v>
      </c>
      <c r="J881" s="2" t="s">
        <v>668</v>
      </c>
      <c r="K881" s="2" t="s">
        <v>152</v>
      </c>
      <c r="L881" s="2" t="s">
        <v>153</v>
      </c>
      <c r="M881" s="2" t="s">
        <v>154</v>
      </c>
      <c r="N881" s="2" t="s">
        <v>155</v>
      </c>
      <c r="O881" s="2" t="s">
        <v>156</v>
      </c>
      <c r="P881" s="2" t="s">
        <v>87</v>
      </c>
      <c r="Q881" s="2" t="s">
        <v>157</v>
      </c>
      <c r="R881" s="2" t="s">
        <v>158</v>
      </c>
      <c r="S881" s="2" t="s">
        <v>30</v>
      </c>
      <c r="T881">
        <v>1465</v>
      </c>
      <c r="U881">
        <f>VLOOKUP(Auto_Sales_data___Copy[[#This Row],[CUSTOMER_NAME]],$AF$2:$AH$90,2,FALSE)</f>
        <v>46</v>
      </c>
      <c r="V881">
        <f>VLOOKUP(Auto_Sales_data___Copy[[#This Row],[CUSTOMER_NAME]],$AF$2:$AH$90,3,FALSE)</f>
        <v>151570.98000000001</v>
      </c>
      <c r="W881" s="2">
        <f>6-MATCH(Auto_Sales_data___Copy[[#This Row],[DAYS_SINCE_LAST_ORDER]],Table2[R-Cutoff],1)</f>
        <v>4</v>
      </c>
      <c r="X881" s="2">
        <f>MATCH(Auto_Sales_data___Copy[[#This Row],[Total_Orders_Per_Customer]],Table2[F-Cutoff],1)</f>
        <v>4</v>
      </c>
      <c r="Y881" s="2">
        <f>MATCH(Auto_Sales_data___Copy[[#This Row],[Total_Sales_Per_Customer]],Table2[M-Cutoff],1)</f>
        <v>4</v>
      </c>
      <c r="Z881" s="2" t="str">
        <f>Auto_Sales_data___Copy[[#This Row],[R-Score(1-5)]]&amp;Auto_Sales_data___Copy[[#This Row],[F-Score(1-5)]]&amp;Auto_Sales_data___Copy[[#This Row],[M-Score(1-5)]]</f>
        <v>444</v>
      </c>
      <c r="AA881" s="2" t="str" cm="1">
        <f t="array" ref="AA8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1" s="2" t="str">
        <f>VLOOKUP(Auto_Sales_data___Copy[[#This Row],[Segment Name]],Table3[],2,FALSE)</f>
        <v>VIP Recognitioon &amp; Inclusivity</v>
      </c>
    </row>
    <row r="882" spans="1:28" x14ac:dyDescent="0.25">
      <c r="A882">
        <v>10425</v>
      </c>
      <c r="B882">
        <v>28</v>
      </c>
      <c r="C882">
        <v>135.47</v>
      </c>
      <c r="D882">
        <v>8</v>
      </c>
      <c r="E882">
        <v>3793.16</v>
      </c>
      <c r="F882" s="1">
        <v>43982</v>
      </c>
      <c r="G882" s="2" t="s">
        <v>314</v>
      </c>
      <c r="H882" s="2" t="s">
        <v>183</v>
      </c>
      <c r="I882">
        <v>169</v>
      </c>
      <c r="J882" s="2" t="s">
        <v>649</v>
      </c>
      <c r="K882" s="2" t="s">
        <v>108</v>
      </c>
      <c r="L882" s="2" t="s">
        <v>109</v>
      </c>
      <c r="M882" s="2" t="s">
        <v>110</v>
      </c>
      <c r="N882" s="2" t="s">
        <v>111</v>
      </c>
      <c r="O882" s="2" t="s">
        <v>112</v>
      </c>
      <c r="P882" s="2" t="s">
        <v>36</v>
      </c>
      <c r="Q882" s="2" t="s">
        <v>113</v>
      </c>
      <c r="R882" s="2" t="s">
        <v>114</v>
      </c>
      <c r="S882" s="2" t="s">
        <v>46</v>
      </c>
      <c r="T882">
        <v>1023</v>
      </c>
      <c r="U882">
        <f>VLOOKUP(Auto_Sales_data___Copy[[#This Row],[CUSTOMER_NAME]],$AF$2:$AH$90,2,FALSE)</f>
        <v>53</v>
      </c>
      <c r="V882">
        <f>VLOOKUP(Auto_Sales_data___Copy[[#This Row],[CUSTOMER_NAME]],$AF$2:$AH$90,3,FALSE)</f>
        <v>180124.90000000008</v>
      </c>
      <c r="W882" s="2">
        <f>6-MATCH(Auto_Sales_data___Copy[[#This Row],[DAYS_SINCE_LAST_ORDER]],Table2[R-Cutoff],1)</f>
        <v>4</v>
      </c>
      <c r="X882" s="2">
        <f>MATCH(Auto_Sales_data___Copy[[#This Row],[Total_Orders_Per_Customer]],Table2[F-Cutoff],1)</f>
        <v>4</v>
      </c>
      <c r="Y882" s="2">
        <f>MATCH(Auto_Sales_data___Copy[[#This Row],[Total_Sales_Per_Customer]],Table2[M-Cutoff],1)</f>
        <v>4</v>
      </c>
      <c r="Z882" s="2" t="str">
        <f>Auto_Sales_data___Copy[[#This Row],[R-Score(1-5)]]&amp;Auto_Sales_data___Copy[[#This Row],[F-Score(1-5)]]&amp;Auto_Sales_data___Copy[[#This Row],[M-Score(1-5)]]</f>
        <v>444</v>
      </c>
      <c r="AA882" s="2" t="str" cm="1">
        <f t="array" ref="AA8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2" s="2" t="str">
        <f>VLOOKUP(Auto_Sales_data___Copy[[#This Row],[Segment Name]],Table3[],2,FALSE)</f>
        <v>VIP Recognitioon &amp; Inclusivity</v>
      </c>
    </row>
    <row r="883" spans="1:28" x14ac:dyDescent="0.25">
      <c r="A883">
        <v>10425</v>
      </c>
      <c r="B883">
        <v>38</v>
      </c>
      <c r="C883">
        <v>113.82</v>
      </c>
      <c r="D883">
        <v>13</v>
      </c>
      <c r="E883">
        <v>4325.16</v>
      </c>
      <c r="F883" s="1">
        <v>43982</v>
      </c>
      <c r="G883" s="2" t="s">
        <v>314</v>
      </c>
      <c r="H883" s="2" t="s">
        <v>537</v>
      </c>
      <c r="I883">
        <v>121</v>
      </c>
      <c r="J883" s="2" t="s">
        <v>661</v>
      </c>
      <c r="K883" s="2" t="s">
        <v>108</v>
      </c>
      <c r="L883" s="2" t="s">
        <v>109</v>
      </c>
      <c r="M883" s="2" t="s">
        <v>110</v>
      </c>
      <c r="N883" s="2" t="s">
        <v>111</v>
      </c>
      <c r="O883" s="2" t="s">
        <v>112</v>
      </c>
      <c r="P883" s="2" t="s">
        <v>36</v>
      </c>
      <c r="Q883" s="2" t="s">
        <v>113</v>
      </c>
      <c r="R883" s="2" t="s">
        <v>114</v>
      </c>
      <c r="S883" s="2" t="s">
        <v>46</v>
      </c>
      <c r="T883">
        <v>1293</v>
      </c>
      <c r="U883">
        <f>VLOOKUP(Auto_Sales_data___Copy[[#This Row],[CUSTOMER_NAME]],$AF$2:$AH$90,2,FALSE)</f>
        <v>53</v>
      </c>
      <c r="V883">
        <f>VLOOKUP(Auto_Sales_data___Copy[[#This Row],[CUSTOMER_NAME]],$AF$2:$AH$90,3,FALSE)</f>
        <v>180124.90000000008</v>
      </c>
      <c r="W883" s="2">
        <f>6-MATCH(Auto_Sales_data___Copy[[#This Row],[DAYS_SINCE_LAST_ORDER]],Table2[R-Cutoff],1)</f>
        <v>4</v>
      </c>
      <c r="X883" s="2">
        <f>MATCH(Auto_Sales_data___Copy[[#This Row],[Total_Orders_Per_Customer]],Table2[F-Cutoff],1)</f>
        <v>4</v>
      </c>
      <c r="Y883" s="2">
        <f>MATCH(Auto_Sales_data___Copy[[#This Row],[Total_Sales_Per_Customer]],Table2[M-Cutoff],1)</f>
        <v>4</v>
      </c>
      <c r="Z883" s="2" t="str">
        <f>Auto_Sales_data___Copy[[#This Row],[R-Score(1-5)]]&amp;Auto_Sales_data___Copy[[#This Row],[F-Score(1-5)]]&amp;Auto_Sales_data___Copy[[#This Row],[M-Score(1-5)]]</f>
        <v>444</v>
      </c>
      <c r="AA883" s="2" t="str" cm="1">
        <f t="array" ref="AA8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3" s="2" t="str">
        <f>VLOOKUP(Auto_Sales_data___Copy[[#This Row],[Segment Name]],Table3[],2,FALSE)</f>
        <v>VIP Recognitioon &amp; Inclusivity</v>
      </c>
    </row>
    <row r="884" spans="1:28" x14ac:dyDescent="0.25">
      <c r="A884">
        <v>10425</v>
      </c>
      <c r="B884">
        <v>55</v>
      </c>
      <c r="C884">
        <v>46.82</v>
      </c>
      <c r="D884">
        <v>1</v>
      </c>
      <c r="E884">
        <v>2575.1</v>
      </c>
      <c r="F884" s="1">
        <v>43982</v>
      </c>
      <c r="G884" s="2" t="s">
        <v>314</v>
      </c>
      <c r="H884" s="2" t="s">
        <v>183</v>
      </c>
      <c r="I884">
        <v>57</v>
      </c>
      <c r="J884" s="2" t="s">
        <v>666</v>
      </c>
      <c r="K884" s="2" t="s">
        <v>108</v>
      </c>
      <c r="L884" s="2" t="s">
        <v>109</v>
      </c>
      <c r="M884" s="2" t="s">
        <v>110</v>
      </c>
      <c r="N884" s="2" t="s">
        <v>111</v>
      </c>
      <c r="O884" s="2" t="s">
        <v>112</v>
      </c>
      <c r="P884" s="2" t="s">
        <v>36</v>
      </c>
      <c r="Q884" s="2" t="s">
        <v>113</v>
      </c>
      <c r="R884" s="2" t="s">
        <v>114</v>
      </c>
      <c r="S884" s="2" t="s">
        <v>30</v>
      </c>
      <c r="T884">
        <v>1415</v>
      </c>
      <c r="U884">
        <f>VLOOKUP(Auto_Sales_data___Copy[[#This Row],[CUSTOMER_NAME]],$AF$2:$AH$90,2,FALSE)</f>
        <v>53</v>
      </c>
      <c r="V884">
        <f>VLOOKUP(Auto_Sales_data___Copy[[#This Row],[CUSTOMER_NAME]],$AF$2:$AH$90,3,FALSE)</f>
        <v>180124.90000000008</v>
      </c>
      <c r="W884" s="2">
        <f>6-MATCH(Auto_Sales_data___Copy[[#This Row],[DAYS_SINCE_LAST_ORDER]],Table2[R-Cutoff],1)</f>
        <v>4</v>
      </c>
      <c r="X884" s="2">
        <f>MATCH(Auto_Sales_data___Copy[[#This Row],[Total_Orders_Per_Customer]],Table2[F-Cutoff],1)</f>
        <v>4</v>
      </c>
      <c r="Y884" s="2">
        <f>MATCH(Auto_Sales_data___Copy[[#This Row],[Total_Sales_Per_Customer]],Table2[M-Cutoff],1)</f>
        <v>4</v>
      </c>
      <c r="Z884" s="2" t="str">
        <f>Auto_Sales_data___Copy[[#This Row],[R-Score(1-5)]]&amp;Auto_Sales_data___Copy[[#This Row],[F-Score(1-5)]]&amp;Auto_Sales_data___Copy[[#This Row],[M-Score(1-5)]]</f>
        <v>444</v>
      </c>
      <c r="AA884" s="2" t="str" cm="1">
        <f t="array" ref="AA8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4" s="2" t="str">
        <f>VLOOKUP(Auto_Sales_data___Copy[[#This Row],[Segment Name]],Table3[],2,FALSE)</f>
        <v>VIP Recognitioon &amp; Inclusivity</v>
      </c>
    </row>
    <row r="885" spans="1:28" x14ac:dyDescent="0.25">
      <c r="A885">
        <v>10124</v>
      </c>
      <c r="B885">
        <v>21</v>
      </c>
      <c r="C885">
        <v>136</v>
      </c>
      <c r="D885">
        <v>6</v>
      </c>
      <c r="E885">
        <v>2856</v>
      </c>
      <c r="F885" s="1">
        <v>43241</v>
      </c>
      <c r="G885" s="2" t="s">
        <v>19</v>
      </c>
      <c r="H885" s="2" t="s">
        <v>589</v>
      </c>
      <c r="I885">
        <v>170</v>
      </c>
      <c r="J885" s="2" t="s">
        <v>628</v>
      </c>
      <c r="K885" s="2" t="s">
        <v>577</v>
      </c>
      <c r="L885" s="2" t="s">
        <v>578</v>
      </c>
      <c r="M885" s="2" t="s">
        <v>579</v>
      </c>
      <c r="N885" s="2" t="s">
        <v>580</v>
      </c>
      <c r="O885" s="2" t="s">
        <v>581</v>
      </c>
      <c r="P885" s="2" t="s">
        <v>27</v>
      </c>
      <c r="Q885" s="2" t="s">
        <v>107</v>
      </c>
      <c r="R885" s="2" t="s">
        <v>422</v>
      </c>
      <c r="S885" s="2" t="s">
        <v>30</v>
      </c>
      <c r="T885">
        <v>1296</v>
      </c>
      <c r="U885">
        <f>VLOOKUP(Auto_Sales_data___Copy[[#This Row],[CUSTOMER_NAME]],$AF$2:$AH$90,2,FALSE)</f>
        <v>29</v>
      </c>
      <c r="V885">
        <f>VLOOKUP(Auto_Sales_data___Copy[[#This Row],[CUSTOMER_NAME]],$AF$2:$AH$90,3,FALSE)</f>
        <v>82751.079999999987</v>
      </c>
      <c r="W885" s="2">
        <f>6-MATCH(Auto_Sales_data___Copy[[#This Row],[DAYS_SINCE_LAST_ORDER]],Table2[R-Cutoff],1)</f>
        <v>4</v>
      </c>
      <c r="X885" s="2">
        <f>MATCH(Auto_Sales_data___Copy[[#This Row],[Total_Orders_Per_Customer]],Table2[F-Cutoff],1)</f>
        <v>4</v>
      </c>
      <c r="Y885" s="2">
        <f>MATCH(Auto_Sales_data___Copy[[#This Row],[Total_Sales_Per_Customer]],Table2[M-Cutoff],1)</f>
        <v>3</v>
      </c>
      <c r="Z885" s="2" t="str">
        <f>Auto_Sales_data___Copy[[#This Row],[R-Score(1-5)]]&amp;Auto_Sales_data___Copy[[#This Row],[F-Score(1-5)]]&amp;Auto_Sales_data___Copy[[#This Row],[M-Score(1-5)]]</f>
        <v>443</v>
      </c>
      <c r="AA885" s="2" t="str" cm="1">
        <f t="array" ref="AA8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85" s="2" t="str">
        <f>VLOOKUP(Auto_Sales_data___Copy[[#This Row],[Segment Name]],Table3[],2,FALSE)</f>
        <v>Brand Awareness &amp; Value Proposition</v>
      </c>
    </row>
    <row r="886" spans="1:28" x14ac:dyDescent="0.25">
      <c r="A886">
        <v>10124</v>
      </c>
      <c r="B886">
        <v>42</v>
      </c>
      <c r="C886">
        <v>53.88</v>
      </c>
      <c r="D886">
        <v>5</v>
      </c>
      <c r="E886">
        <v>2262.96</v>
      </c>
      <c r="F886" s="1">
        <v>43241</v>
      </c>
      <c r="G886" s="2" t="s">
        <v>19</v>
      </c>
      <c r="H886" s="2" t="s">
        <v>589</v>
      </c>
      <c r="I886">
        <v>60</v>
      </c>
      <c r="J886" s="2" t="s">
        <v>632</v>
      </c>
      <c r="K886" s="2" t="s">
        <v>577</v>
      </c>
      <c r="L886" s="2" t="s">
        <v>578</v>
      </c>
      <c r="M886" s="2" t="s">
        <v>579</v>
      </c>
      <c r="N886" s="2" t="s">
        <v>580</v>
      </c>
      <c r="O886" s="2" t="s">
        <v>581</v>
      </c>
      <c r="P886" s="2" t="s">
        <v>27</v>
      </c>
      <c r="Q886" s="2" t="s">
        <v>107</v>
      </c>
      <c r="R886" s="2" t="s">
        <v>422</v>
      </c>
      <c r="S886" s="2" t="s">
        <v>30</v>
      </c>
      <c r="T886">
        <v>1396</v>
      </c>
      <c r="U886">
        <f>VLOOKUP(Auto_Sales_data___Copy[[#This Row],[CUSTOMER_NAME]],$AF$2:$AH$90,2,FALSE)</f>
        <v>29</v>
      </c>
      <c r="V886">
        <f>VLOOKUP(Auto_Sales_data___Copy[[#This Row],[CUSTOMER_NAME]],$AF$2:$AH$90,3,FALSE)</f>
        <v>82751.079999999987</v>
      </c>
      <c r="W886" s="2">
        <f>6-MATCH(Auto_Sales_data___Copy[[#This Row],[DAYS_SINCE_LAST_ORDER]],Table2[R-Cutoff],1)</f>
        <v>4</v>
      </c>
      <c r="X886" s="2">
        <f>MATCH(Auto_Sales_data___Copy[[#This Row],[Total_Orders_Per_Customer]],Table2[F-Cutoff],1)</f>
        <v>4</v>
      </c>
      <c r="Y886" s="2">
        <f>MATCH(Auto_Sales_data___Copy[[#This Row],[Total_Sales_Per_Customer]],Table2[M-Cutoff],1)</f>
        <v>3</v>
      </c>
      <c r="Z886" s="2" t="str">
        <f>Auto_Sales_data___Copy[[#This Row],[R-Score(1-5)]]&amp;Auto_Sales_data___Copy[[#This Row],[F-Score(1-5)]]&amp;Auto_Sales_data___Copy[[#This Row],[M-Score(1-5)]]</f>
        <v>443</v>
      </c>
      <c r="AA886" s="2" t="str" cm="1">
        <f t="array" ref="AA8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86" s="2" t="str">
        <f>VLOOKUP(Auto_Sales_data___Copy[[#This Row],[Segment Name]],Table3[],2,FALSE)</f>
        <v>Brand Awareness &amp; Value Proposition</v>
      </c>
    </row>
    <row r="887" spans="1:28" x14ac:dyDescent="0.25">
      <c r="A887">
        <v>10124</v>
      </c>
      <c r="B887">
        <v>42</v>
      </c>
      <c r="C887">
        <v>105.52</v>
      </c>
      <c r="D887">
        <v>3</v>
      </c>
      <c r="E887">
        <v>4431.84</v>
      </c>
      <c r="F887" s="1">
        <v>43241</v>
      </c>
      <c r="G887" s="2" t="s">
        <v>19</v>
      </c>
      <c r="H887" s="2" t="s">
        <v>589</v>
      </c>
      <c r="I887">
        <v>127</v>
      </c>
      <c r="J887" s="2" t="s">
        <v>634</v>
      </c>
      <c r="K887" s="2" t="s">
        <v>577</v>
      </c>
      <c r="L887" s="2" t="s">
        <v>578</v>
      </c>
      <c r="M887" s="2" t="s">
        <v>579</v>
      </c>
      <c r="N887" s="2" t="s">
        <v>580</v>
      </c>
      <c r="O887" s="2" t="s">
        <v>581</v>
      </c>
      <c r="P887" s="2" t="s">
        <v>27</v>
      </c>
      <c r="Q887" s="2" t="s">
        <v>107</v>
      </c>
      <c r="R887" s="2" t="s">
        <v>422</v>
      </c>
      <c r="S887" s="2" t="s">
        <v>46</v>
      </c>
      <c r="T887">
        <v>1443</v>
      </c>
      <c r="U887">
        <f>VLOOKUP(Auto_Sales_data___Copy[[#This Row],[CUSTOMER_NAME]],$AF$2:$AH$90,2,FALSE)</f>
        <v>29</v>
      </c>
      <c r="V887">
        <f>VLOOKUP(Auto_Sales_data___Copy[[#This Row],[CUSTOMER_NAME]],$AF$2:$AH$90,3,FALSE)</f>
        <v>82751.079999999987</v>
      </c>
      <c r="W887" s="2">
        <f>6-MATCH(Auto_Sales_data___Copy[[#This Row],[DAYS_SINCE_LAST_ORDER]],Table2[R-Cutoff],1)</f>
        <v>4</v>
      </c>
      <c r="X887" s="2">
        <f>MATCH(Auto_Sales_data___Copy[[#This Row],[Total_Orders_Per_Customer]],Table2[F-Cutoff],1)</f>
        <v>4</v>
      </c>
      <c r="Y887" s="2">
        <f>MATCH(Auto_Sales_data___Copy[[#This Row],[Total_Sales_Per_Customer]],Table2[M-Cutoff],1)</f>
        <v>3</v>
      </c>
      <c r="Z887" s="2" t="str">
        <f>Auto_Sales_data___Copy[[#This Row],[R-Score(1-5)]]&amp;Auto_Sales_data___Copy[[#This Row],[F-Score(1-5)]]&amp;Auto_Sales_data___Copy[[#This Row],[M-Score(1-5)]]</f>
        <v>443</v>
      </c>
      <c r="AA887" s="2" t="str" cm="1">
        <f t="array" ref="AA8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87" s="2" t="str">
        <f>VLOOKUP(Auto_Sales_data___Copy[[#This Row],[Segment Name]],Table3[],2,FALSE)</f>
        <v>Brand Awareness &amp; Value Proposition</v>
      </c>
    </row>
    <row r="888" spans="1:28" x14ac:dyDescent="0.25">
      <c r="A888">
        <v>10252</v>
      </c>
      <c r="B888">
        <v>20</v>
      </c>
      <c r="C888">
        <v>76.39</v>
      </c>
      <c r="D888">
        <v>2</v>
      </c>
      <c r="E888">
        <v>1527.8</v>
      </c>
      <c r="F888" s="1">
        <v>43611</v>
      </c>
      <c r="G888" s="2" t="s">
        <v>19</v>
      </c>
      <c r="H888" s="2" t="s">
        <v>183</v>
      </c>
      <c r="I888">
        <v>80</v>
      </c>
      <c r="J888" s="2" t="s">
        <v>652</v>
      </c>
      <c r="K888" s="2" t="s">
        <v>76</v>
      </c>
      <c r="L888" s="2" t="s">
        <v>77</v>
      </c>
      <c r="M888" s="2" t="s">
        <v>78</v>
      </c>
      <c r="N888" s="2" t="s">
        <v>42</v>
      </c>
      <c r="O888" s="2" t="s">
        <v>79</v>
      </c>
      <c r="P888" s="2" t="s">
        <v>36</v>
      </c>
      <c r="Q888" s="2" t="s">
        <v>80</v>
      </c>
      <c r="R888" s="2" t="s">
        <v>81</v>
      </c>
      <c r="S888" s="2" t="s">
        <v>30</v>
      </c>
      <c r="T888">
        <v>1431</v>
      </c>
      <c r="U888">
        <f>VLOOKUP(Auto_Sales_data___Copy[[#This Row],[CUSTOMER_NAME]],$AF$2:$AH$90,2,FALSE)</f>
        <v>27</v>
      </c>
      <c r="V888">
        <f>VLOOKUP(Auto_Sales_data___Copy[[#This Row],[CUSTOMER_NAME]],$AF$2:$AH$90,3,FALSE)</f>
        <v>93170.66</v>
      </c>
      <c r="W888" s="2">
        <f>6-MATCH(Auto_Sales_data___Copy[[#This Row],[DAYS_SINCE_LAST_ORDER]],Table2[R-Cutoff],1)</f>
        <v>4</v>
      </c>
      <c r="X888" s="2">
        <f>MATCH(Auto_Sales_data___Copy[[#This Row],[Total_Orders_Per_Customer]],Table2[F-Cutoff],1)</f>
        <v>4</v>
      </c>
      <c r="Y888" s="2">
        <f>MATCH(Auto_Sales_data___Copy[[#This Row],[Total_Sales_Per_Customer]],Table2[M-Cutoff],1)</f>
        <v>3</v>
      </c>
      <c r="Z888" s="2" t="str">
        <f>Auto_Sales_data___Copy[[#This Row],[R-Score(1-5)]]&amp;Auto_Sales_data___Copy[[#This Row],[F-Score(1-5)]]&amp;Auto_Sales_data___Copy[[#This Row],[M-Score(1-5)]]</f>
        <v>443</v>
      </c>
      <c r="AA888" s="2" t="str" cm="1">
        <f t="array" ref="AA8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88" s="2" t="str">
        <f>VLOOKUP(Auto_Sales_data___Copy[[#This Row],[Segment Name]],Table3[],2,FALSE)</f>
        <v>Brand Awareness &amp; Value Proposition</v>
      </c>
    </row>
    <row r="889" spans="1:28" x14ac:dyDescent="0.25">
      <c r="A889">
        <v>10252</v>
      </c>
      <c r="B889">
        <v>41</v>
      </c>
      <c r="C889">
        <v>164.63</v>
      </c>
      <c r="D889">
        <v>1</v>
      </c>
      <c r="E889">
        <v>6749.83</v>
      </c>
      <c r="F889" s="1">
        <v>43611</v>
      </c>
      <c r="G889" s="2" t="s">
        <v>19</v>
      </c>
      <c r="H889" s="2" t="s">
        <v>183</v>
      </c>
      <c r="I889">
        <v>146</v>
      </c>
      <c r="J889" s="2" t="s">
        <v>654</v>
      </c>
      <c r="K889" s="2" t="s">
        <v>76</v>
      </c>
      <c r="L889" s="2" t="s">
        <v>77</v>
      </c>
      <c r="M889" s="2" t="s">
        <v>78</v>
      </c>
      <c r="N889" s="2" t="s">
        <v>42</v>
      </c>
      <c r="O889" s="2" t="s">
        <v>79</v>
      </c>
      <c r="P889" s="2" t="s">
        <v>36</v>
      </c>
      <c r="Q889" s="2" t="s">
        <v>80</v>
      </c>
      <c r="R889" s="2" t="s">
        <v>81</v>
      </c>
      <c r="S889" s="2" t="s">
        <v>46</v>
      </c>
      <c r="T889">
        <v>1478</v>
      </c>
      <c r="U889">
        <f>VLOOKUP(Auto_Sales_data___Copy[[#This Row],[CUSTOMER_NAME]],$AF$2:$AH$90,2,FALSE)</f>
        <v>27</v>
      </c>
      <c r="V889">
        <f>VLOOKUP(Auto_Sales_data___Copy[[#This Row],[CUSTOMER_NAME]],$AF$2:$AH$90,3,FALSE)</f>
        <v>93170.66</v>
      </c>
      <c r="W889" s="2">
        <f>6-MATCH(Auto_Sales_data___Copy[[#This Row],[DAYS_SINCE_LAST_ORDER]],Table2[R-Cutoff],1)</f>
        <v>4</v>
      </c>
      <c r="X889" s="2">
        <f>MATCH(Auto_Sales_data___Copy[[#This Row],[Total_Orders_Per_Customer]],Table2[F-Cutoff],1)</f>
        <v>4</v>
      </c>
      <c r="Y889" s="2">
        <f>MATCH(Auto_Sales_data___Copy[[#This Row],[Total_Sales_Per_Customer]],Table2[M-Cutoff],1)</f>
        <v>3</v>
      </c>
      <c r="Z889" s="2" t="str">
        <f>Auto_Sales_data___Copy[[#This Row],[R-Score(1-5)]]&amp;Auto_Sales_data___Copy[[#This Row],[F-Score(1-5)]]&amp;Auto_Sales_data___Copy[[#This Row],[M-Score(1-5)]]</f>
        <v>443</v>
      </c>
      <c r="AA889" s="2" t="str" cm="1">
        <f t="array" ref="AA8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89" s="2" t="str">
        <f>VLOOKUP(Auto_Sales_data___Copy[[#This Row],[Segment Name]],Table3[],2,FALSE)</f>
        <v>Brand Awareness &amp; Value Proposition</v>
      </c>
    </row>
    <row r="890" spans="1:28" x14ac:dyDescent="0.25">
      <c r="A890">
        <v>10278</v>
      </c>
      <c r="B890">
        <v>39</v>
      </c>
      <c r="C890">
        <v>110.88</v>
      </c>
      <c r="D890">
        <v>3</v>
      </c>
      <c r="E890">
        <v>4324.32</v>
      </c>
      <c r="F890" s="1">
        <v>43683</v>
      </c>
      <c r="G890" s="2" t="s">
        <v>19</v>
      </c>
      <c r="H890" s="2" t="s">
        <v>183</v>
      </c>
      <c r="I890">
        <v>132</v>
      </c>
      <c r="J890" s="2" t="s">
        <v>639</v>
      </c>
      <c r="K890" s="2" t="s">
        <v>577</v>
      </c>
      <c r="L890" s="2" t="s">
        <v>578</v>
      </c>
      <c r="M890" s="2" t="s">
        <v>579</v>
      </c>
      <c r="N890" s="2" t="s">
        <v>580</v>
      </c>
      <c r="O890" s="2" t="s">
        <v>581</v>
      </c>
      <c r="P890" s="2" t="s">
        <v>27</v>
      </c>
      <c r="Q890" s="2" t="s">
        <v>107</v>
      </c>
      <c r="R890" s="2" t="s">
        <v>422</v>
      </c>
      <c r="S890" s="2" t="s">
        <v>46</v>
      </c>
      <c r="T890">
        <v>1136</v>
      </c>
      <c r="U890">
        <f>VLOOKUP(Auto_Sales_data___Copy[[#This Row],[CUSTOMER_NAME]],$AF$2:$AH$90,2,FALSE)</f>
        <v>29</v>
      </c>
      <c r="V890">
        <f>VLOOKUP(Auto_Sales_data___Copy[[#This Row],[CUSTOMER_NAME]],$AF$2:$AH$90,3,FALSE)</f>
        <v>82751.079999999987</v>
      </c>
      <c r="W890" s="2">
        <f>6-MATCH(Auto_Sales_data___Copy[[#This Row],[DAYS_SINCE_LAST_ORDER]],Table2[R-Cutoff],1)</f>
        <v>4</v>
      </c>
      <c r="X890" s="2">
        <f>MATCH(Auto_Sales_data___Copy[[#This Row],[Total_Orders_Per_Customer]],Table2[F-Cutoff],1)</f>
        <v>4</v>
      </c>
      <c r="Y890" s="2">
        <f>MATCH(Auto_Sales_data___Copy[[#This Row],[Total_Sales_Per_Customer]],Table2[M-Cutoff],1)</f>
        <v>3</v>
      </c>
      <c r="Z890" s="2" t="str">
        <f>Auto_Sales_data___Copy[[#This Row],[R-Score(1-5)]]&amp;Auto_Sales_data___Copy[[#This Row],[F-Score(1-5)]]&amp;Auto_Sales_data___Copy[[#This Row],[M-Score(1-5)]]</f>
        <v>443</v>
      </c>
      <c r="AA890" s="2" t="str" cm="1">
        <f t="array" ref="AA8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0" s="2" t="str">
        <f>VLOOKUP(Auto_Sales_data___Copy[[#This Row],[Segment Name]],Table3[],2,FALSE)</f>
        <v>Brand Awareness &amp; Value Proposition</v>
      </c>
    </row>
    <row r="891" spans="1:28" x14ac:dyDescent="0.25">
      <c r="A891">
        <v>10278</v>
      </c>
      <c r="B891">
        <v>42</v>
      </c>
      <c r="C891">
        <v>152.41</v>
      </c>
      <c r="D891">
        <v>7</v>
      </c>
      <c r="E891">
        <v>6401.22</v>
      </c>
      <c r="F891" s="1">
        <v>43683</v>
      </c>
      <c r="G891" s="2" t="s">
        <v>19</v>
      </c>
      <c r="H891" s="2" t="s">
        <v>183</v>
      </c>
      <c r="I891">
        <v>169</v>
      </c>
      <c r="J891" s="2" t="s">
        <v>649</v>
      </c>
      <c r="K891" s="2" t="s">
        <v>577</v>
      </c>
      <c r="L891" s="2" t="s">
        <v>578</v>
      </c>
      <c r="M891" s="2" t="s">
        <v>579</v>
      </c>
      <c r="N891" s="2" t="s">
        <v>580</v>
      </c>
      <c r="O891" s="2" t="s">
        <v>581</v>
      </c>
      <c r="P891" s="2" t="s">
        <v>27</v>
      </c>
      <c r="Q891" s="2" t="s">
        <v>107</v>
      </c>
      <c r="R891" s="2" t="s">
        <v>422</v>
      </c>
      <c r="S891" s="2" t="s">
        <v>46</v>
      </c>
      <c r="T891">
        <v>1299</v>
      </c>
      <c r="U891">
        <f>VLOOKUP(Auto_Sales_data___Copy[[#This Row],[CUSTOMER_NAME]],$AF$2:$AH$90,2,FALSE)</f>
        <v>29</v>
      </c>
      <c r="V891">
        <f>VLOOKUP(Auto_Sales_data___Copy[[#This Row],[CUSTOMER_NAME]],$AF$2:$AH$90,3,FALSE)</f>
        <v>82751.079999999987</v>
      </c>
      <c r="W891" s="2">
        <f>6-MATCH(Auto_Sales_data___Copy[[#This Row],[DAYS_SINCE_LAST_ORDER]],Table2[R-Cutoff],1)</f>
        <v>4</v>
      </c>
      <c r="X891" s="2">
        <f>MATCH(Auto_Sales_data___Copy[[#This Row],[Total_Orders_Per_Customer]],Table2[F-Cutoff],1)</f>
        <v>4</v>
      </c>
      <c r="Y891" s="2">
        <f>MATCH(Auto_Sales_data___Copy[[#This Row],[Total_Sales_Per_Customer]],Table2[M-Cutoff],1)</f>
        <v>3</v>
      </c>
      <c r="Z891" s="2" t="str">
        <f>Auto_Sales_data___Copy[[#This Row],[R-Score(1-5)]]&amp;Auto_Sales_data___Copy[[#This Row],[F-Score(1-5)]]&amp;Auto_Sales_data___Copy[[#This Row],[M-Score(1-5)]]</f>
        <v>443</v>
      </c>
      <c r="AA891" s="2" t="str" cm="1">
        <f t="array" ref="AA8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1" s="2" t="str">
        <f>VLOOKUP(Auto_Sales_data___Copy[[#This Row],[Segment Name]],Table3[],2,FALSE)</f>
        <v>Brand Awareness &amp; Value Proposition</v>
      </c>
    </row>
    <row r="892" spans="1:28" x14ac:dyDescent="0.25">
      <c r="A892">
        <v>10278</v>
      </c>
      <c r="B892">
        <v>31</v>
      </c>
      <c r="C892">
        <v>132.80000000000001</v>
      </c>
      <c r="D892">
        <v>4</v>
      </c>
      <c r="E892">
        <v>4116.8</v>
      </c>
      <c r="F892" s="1">
        <v>43683</v>
      </c>
      <c r="G892" s="2" t="s">
        <v>19</v>
      </c>
      <c r="H892" s="2" t="s">
        <v>183</v>
      </c>
      <c r="I892">
        <v>141</v>
      </c>
      <c r="J892" s="2" t="s">
        <v>655</v>
      </c>
      <c r="K892" s="2" t="s">
        <v>577</v>
      </c>
      <c r="L892" s="2" t="s">
        <v>578</v>
      </c>
      <c r="M892" s="2" t="s">
        <v>579</v>
      </c>
      <c r="N892" s="2" t="s">
        <v>580</v>
      </c>
      <c r="O892" s="2" t="s">
        <v>581</v>
      </c>
      <c r="P892" s="2" t="s">
        <v>27</v>
      </c>
      <c r="Q892" s="2" t="s">
        <v>107</v>
      </c>
      <c r="R892" s="2" t="s">
        <v>422</v>
      </c>
      <c r="S892" s="2" t="s">
        <v>46</v>
      </c>
      <c r="T892">
        <v>1433</v>
      </c>
      <c r="U892">
        <f>VLOOKUP(Auto_Sales_data___Copy[[#This Row],[CUSTOMER_NAME]],$AF$2:$AH$90,2,FALSE)</f>
        <v>29</v>
      </c>
      <c r="V892">
        <f>VLOOKUP(Auto_Sales_data___Copy[[#This Row],[CUSTOMER_NAME]],$AF$2:$AH$90,3,FALSE)</f>
        <v>82751.079999999987</v>
      </c>
      <c r="W892" s="2">
        <f>6-MATCH(Auto_Sales_data___Copy[[#This Row],[DAYS_SINCE_LAST_ORDER]],Table2[R-Cutoff],1)</f>
        <v>4</v>
      </c>
      <c r="X892" s="2">
        <f>MATCH(Auto_Sales_data___Copy[[#This Row],[Total_Orders_Per_Customer]],Table2[F-Cutoff],1)</f>
        <v>4</v>
      </c>
      <c r="Y892" s="2">
        <f>MATCH(Auto_Sales_data___Copy[[#This Row],[Total_Sales_Per_Customer]],Table2[M-Cutoff],1)</f>
        <v>3</v>
      </c>
      <c r="Z892" s="2" t="str">
        <f>Auto_Sales_data___Copy[[#This Row],[R-Score(1-5)]]&amp;Auto_Sales_data___Copy[[#This Row],[F-Score(1-5)]]&amp;Auto_Sales_data___Copy[[#This Row],[M-Score(1-5)]]</f>
        <v>443</v>
      </c>
      <c r="AA892" s="2" t="str" cm="1">
        <f t="array" ref="AA8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2" s="2" t="str">
        <f>VLOOKUP(Auto_Sales_data___Copy[[#This Row],[Segment Name]],Table3[],2,FALSE)</f>
        <v>Brand Awareness &amp; Value Proposition</v>
      </c>
    </row>
    <row r="893" spans="1:28" x14ac:dyDescent="0.25">
      <c r="A893">
        <v>10172</v>
      </c>
      <c r="B893">
        <v>42</v>
      </c>
      <c r="C893">
        <v>118.22</v>
      </c>
      <c r="D893">
        <v>6</v>
      </c>
      <c r="E893">
        <v>4965.24</v>
      </c>
      <c r="F893" s="1">
        <v>43409</v>
      </c>
      <c r="G893" s="2" t="s">
        <v>19</v>
      </c>
      <c r="H893" s="2" t="s">
        <v>183</v>
      </c>
      <c r="I893">
        <v>124</v>
      </c>
      <c r="J893" s="2" t="s">
        <v>606</v>
      </c>
      <c r="K893" s="2" t="s">
        <v>102</v>
      </c>
      <c r="L893" s="2" t="s">
        <v>103</v>
      </c>
      <c r="M893" s="2" t="s">
        <v>104</v>
      </c>
      <c r="N893" s="2" t="s">
        <v>105</v>
      </c>
      <c r="O893" s="2" t="s">
        <v>106</v>
      </c>
      <c r="P893" s="2" t="s">
        <v>27</v>
      </c>
      <c r="Q893" s="2" t="s">
        <v>107</v>
      </c>
      <c r="R893" s="2" t="s">
        <v>53</v>
      </c>
      <c r="S893" s="2" t="s">
        <v>46</v>
      </c>
      <c r="T893">
        <v>1080</v>
      </c>
      <c r="U893">
        <f>VLOOKUP(Auto_Sales_data___Copy[[#This Row],[CUSTOMER_NAME]],$AF$2:$AH$90,2,FALSE)</f>
        <v>25</v>
      </c>
      <c r="V893">
        <f>VLOOKUP(Auto_Sales_data___Copy[[#This Row],[CUSTOMER_NAME]],$AF$2:$AH$90,3,FALSE)</f>
        <v>101894.79000000001</v>
      </c>
      <c r="W893" s="2">
        <f>6-MATCH(Auto_Sales_data___Copy[[#This Row],[DAYS_SINCE_LAST_ORDER]],Table2[R-Cutoff],1)</f>
        <v>4</v>
      </c>
      <c r="X893" s="2">
        <f>MATCH(Auto_Sales_data___Copy[[#This Row],[Total_Orders_Per_Customer]],Table2[F-Cutoff],1)</f>
        <v>3</v>
      </c>
      <c r="Y893" s="2">
        <f>MATCH(Auto_Sales_data___Copy[[#This Row],[Total_Sales_Per_Customer]],Table2[M-Cutoff],1)</f>
        <v>4</v>
      </c>
      <c r="Z893" s="2" t="str">
        <f>Auto_Sales_data___Copy[[#This Row],[R-Score(1-5)]]&amp;Auto_Sales_data___Copy[[#This Row],[F-Score(1-5)]]&amp;Auto_Sales_data___Copy[[#This Row],[M-Score(1-5)]]</f>
        <v>434</v>
      </c>
      <c r="AA893" s="2" t="str" cm="1">
        <f t="array" ref="AA8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3" s="2" t="str">
        <f>VLOOKUP(Auto_Sales_data___Copy[[#This Row],[Segment Name]],Table3[],2,FALSE)</f>
        <v>Brand Awareness &amp; Value Proposition</v>
      </c>
    </row>
    <row r="894" spans="1:28" x14ac:dyDescent="0.25">
      <c r="A894">
        <v>10172</v>
      </c>
      <c r="B894">
        <v>39</v>
      </c>
      <c r="C894">
        <v>154.44</v>
      </c>
      <c r="D894">
        <v>7</v>
      </c>
      <c r="E894">
        <v>6023.16</v>
      </c>
      <c r="F894" s="1">
        <v>43409</v>
      </c>
      <c r="G894" s="2" t="s">
        <v>19</v>
      </c>
      <c r="H894" s="2" t="s">
        <v>183</v>
      </c>
      <c r="I894">
        <v>132</v>
      </c>
      <c r="J894" s="2" t="s">
        <v>639</v>
      </c>
      <c r="K894" s="2" t="s">
        <v>102</v>
      </c>
      <c r="L894" s="2" t="s">
        <v>103</v>
      </c>
      <c r="M894" s="2" t="s">
        <v>104</v>
      </c>
      <c r="N894" s="2" t="s">
        <v>105</v>
      </c>
      <c r="O894" s="2" t="s">
        <v>106</v>
      </c>
      <c r="P894" s="2" t="s">
        <v>27</v>
      </c>
      <c r="Q894" s="2" t="s">
        <v>107</v>
      </c>
      <c r="R894" s="2" t="s">
        <v>53</v>
      </c>
      <c r="S894" s="2" t="s">
        <v>46</v>
      </c>
      <c r="T894">
        <v>1401</v>
      </c>
      <c r="U894">
        <f>VLOOKUP(Auto_Sales_data___Copy[[#This Row],[CUSTOMER_NAME]],$AF$2:$AH$90,2,FALSE)</f>
        <v>25</v>
      </c>
      <c r="V894">
        <f>VLOOKUP(Auto_Sales_data___Copy[[#This Row],[CUSTOMER_NAME]],$AF$2:$AH$90,3,FALSE)</f>
        <v>101894.79000000001</v>
      </c>
      <c r="W894" s="2">
        <f>6-MATCH(Auto_Sales_data___Copy[[#This Row],[DAYS_SINCE_LAST_ORDER]],Table2[R-Cutoff],1)</f>
        <v>4</v>
      </c>
      <c r="X894" s="2">
        <f>MATCH(Auto_Sales_data___Copy[[#This Row],[Total_Orders_Per_Customer]],Table2[F-Cutoff],1)</f>
        <v>3</v>
      </c>
      <c r="Y894" s="2">
        <f>MATCH(Auto_Sales_data___Copy[[#This Row],[Total_Sales_Per_Customer]],Table2[M-Cutoff],1)</f>
        <v>4</v>
      </c>
      <c r="Z894" s="2" t="str">
        <f>Auto_Sales_data___Copy[[#This Row],[R-Score(1-5)]]&amp;Auto_Sales_data___Copy[[#This Row],[F-Score(1-5)]]&amp;Auto_Sales_data___Copy[[#This Row],[M-Score(1-5)]]</f>
        <v>434</v>
      </c>
      <c r="AA894" s="2" t="str" cm="1">
        <f t="array" ref="AA8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4" s="2" t="str">
        <f>VLOOKUP(Auto_Sales_data___Copy[[#This Row],[Segment Name]],Table3[],2,FALSE)</f>
        <v>Brand Awareness &amp; Value Proposition</v>
      </c>
    </row>
    <row r="895" spans="1:28" x14ac:dyDescent="0.25">
      <c r="A895">
        <v>10263</v>
      </c>
      <c r="B895">
        <v>33</v>
      </c>
      <c r="C895">
        <v>86.17</v>
      </c>
      <c r="D895">
        <v>10</v>
      </c>
      <c r="E895">
        <v>2843.61</v>
      </c>
      <c r="F895" s="1">
        <v>43644</v>
      </c>
      <c r="G895" s="2" t="s">
        <v>19</v>
      </c>
      <c r="H895" s="2" t="s">
        <v>607</v>
      </c>
      <c r="I895">
        <v>84</v>
      </c>
      <c r="J895" s="2" t="s">
        <v>636</v>
      </c>
      <c r="K895" s="2" t="s">
        <v>102</v>
      </c>
      <c r="L895" s="2" t="s">
        <v>103</v>
      </c>
      <c r="M895" s="2" t="s">
        <v>104</v>
      </c>
      <c r="N895" s="2" t="s">
        <v>105</v>
      </c>
      <c r="O895" s="2" t="s">
        <v>106</v>
      </c>
      <c r="P895" s="2" t="s">
        <v>27</v>
      </c>
      <c r="Q895" s="2" t="s">
        <v>107</v>
      </c>
      <c r="R895" s="2" t="s">
        <v>53</v>
      </c>
      <c r="S895" s="2" t="s">
        <v>30</v>
      </c>
      <c r="T895">
        <v>1098</v>
      </c>
      <c r="U895">
        <f>VLOOKUP(Auto_Sales_data___Copy[[#This Row],[CUSTOMER_NAME]],$AF$2:$AH$90,2,FALSE)</f>
        <v>25</v>
      </c>
      <c r="V895">
        <f>VLOOKUP(Auto_Sales_data___Copy[[#This Row],[CUSTOMER_NAME]],$AF$2:$AH$90,3,FALSE)</f>
        <v>101894.79000000001</v>
      </c>
      <c r="W895" s="2">
        <f>6-MATCH(Auto_Sales_data___Copy[[#This Row],[DAYS_SINCE_LAST_ORDER]],Table2[R-Cutoff],1)</f>
        <v>4</v>
      </c>
      <c r="X895" s="2">
        <f>MATCH(Auto_Sales_data___Copy[[#This Row],[Total_Orders_Per_Customer]],Table2[F-Cutoff],1)</f>
        <v>3</v>
      </c>
      <c r="Y895" s="2">
        <f>MATCH(Auto_Sales_data___Copy[[#This Row],[Total_Sales_Per_Customer]],Table2[M-Cutoff],1)</f>
        <v>4</v>
      </c>
      <c r="Z895" s="2" t="str">
        <f>Auto_Sales_data___Copy[[#This Row],[R-Score(1-5)]]&amp;Auto_Sales_data___Copy[[#This Row],[F-Score(1-5)]]&amp;Auto_Sales_data___Copy[[#This Row],[M-Score(1-5)]]</f>
        <v>434</v>
      </c>
      <c r="AA895" s="2" t="str" cm="1">
        <f t="array" ref="AA8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5" s="2" t="str">
        <f>VLOOKUP(Auto_Sales_data___Copy[[#This Row],[Segment Name]],Table3[],2,FALSE)</f>
        <v>Brand Awareness &amp; Value Proposition</v>
      </c>
    </row>
    <row r="896" spans="1:28" x14ac:dyDescent="0.25">
      <c r="A896">
        <v>10263</v>
      </c>
      <c r="B896">
        <v>34</v>
      </c>
      <c r="C896">
        <v>58.75</v>
      </c>
      <c r="D896">
        <v>6</v>
      </c>
      <c r="E896">
        <v>1997.5</v>
      </c>
      <c r="F896" s="1">
        <v>43644</v>
      </c>
      <c r="G896" s="2" t="s">
        <v>19</v>
      </c>
      <c r="H896" s="2" t="s">
        <v>20</v>
      </c>
      <c r="I896">
        <v>60</v>
      </c>
      <c r="J896" s="2" t="s">
        <v>637</v>
      </c>
      <c r="K896" s="2" t="s">
        <v>102</v>
      </c>
      <c r="L896" s="2" t="s">
        <v>103</v>
      </c>
      <c r="M896" s="2" t="s">
        <v>104</v>
      </c>
      <c r="N896" s="2" t="s">
        <v>105</v>
      </c>
      <c r="O896" s="2" t="s">
        <v>106</v>
      </c>
      <c r="P896" s="2" t="s">
        <v>27</v>
      </c>
      <c r="Q896" s="2" t="s">
        <v>107</v>
      </c>
      <c r="R896" s="2" t="s">
        <v>53</v>
      </c>
      <c r="S896" s="2" t="s">
        <v>30</v>
      </c>
      <c r="T896">
        <v>1123</v>
      </c>
      <c r="U896">
        <f>VLOOKUP(Auto_Sales_data___Copy[[#This Row],[CUSTOMER_NAME]],$AF$2:$AH$90,2,FALSE)</f>
        <v>25</v>
      </c>
      <c r="V896">
        <f>VLOOKUP(Auto_Sales_data___Copy[[#This Row],[CUSTOMER_NAME]],$AF$2:$AH$90,3,FALSE)</f>
        <v>101894.79000000001</v>
      </c>
      <c r="W896" s="2">
        <f>6-MATCH(Auto_Sales_data___Copy[[#This Row],[DAYS_SINCE_LAST_ORDER]],Table2[R-Cutoff],1)</f>
        <v>4</v>
      </c>
      <c r="X896" s="2">
        <f>MATCH(Auto_Sales_data___Copy[[#This Row],[Total_Orders_Per_Customer]],Table2[F-Cutoff],1)</f>
        <v>3</v>
      </c>
      <c r="Y896" s="2">
        <f>MATCH(Auto_Sales_data___Copy[[#This Row],[Total_Sales_Per_Customer]],Table2[M-Cutoff],1)</f>
        <v>4</v>
      </c>
      <c r="Z896" s="2" t="str">
        <f>Auto_Sales_data___Copy[[#This Row],[R-Score(1-5)]]&amp;Auto_Sales_data___Copy[[#This Row],[F-Score(1-5)]]&amp;Auto_Sales_data___Copy[[#This Row],[M-Score(1-5)]]</f>
        <v>434</v>
      </c>
      <c r="AA896" s="2" t="str" cm="1">
        <f t="array" ref="AA8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6" s="2" t="str">
        <f>VLOOKUP(Auto_Sales_data___Copy[[#This Row],[Segment Name]],Table3[],2,FALSE)</f>
        <v>Brand Awareness &amp; Value Proposition</v>
      </c>
    </row>
    <row r="897" spans="1:28" x14ac:dyDescent="0.25">
      <c r="A897">
        <v>10413</v>
      </c>
      <c r="B897">
        <v>49</v>
      </c>
      <c r="C897">
        <v>140.75</v>
      </c>
      <c r="D897">
        <v>5</v>
      </c>
      <c r="E897">
        <v>6896.75</v>
      </c>
      <c r="F897" s="1">
        <v>43956</v>
      </c>
      <c r="G897" s="2" t="s">
        <v>19</v>
      </c>
      <c r="H897" s="2" t="s">
        <v>183</v>
      </c>
      <c r="I897">
        <v>143</v>
      </c>
      <c r="J897" s="2" t="s">
        <v>658</v>
      </c>
      <c r="K897" s="2" t="s">
        <v>102</v>
      </c>
      <c r="L897" s="2" t="s">
        <v>103</v>
      </c>
      <c r="M897" s="2" t="s">
        <v>104</v>
      </c>
      <c r="N897" s="2" t="s">
        <v>105</v>
      </c>
      <c r="O897" s="2" t="s">
        <v>106</v>
      </c>
      <c r="P897" s="2" t="s">
        <v>27</v>
      </c>
      <c r="Q897" s="2" t="s">
        <v>107</v>
      </c>
      <c r="R897" s="2" t="s">
        <v>53</v>
      </c>
      <c r="S897" s="2" t="s">
        <v>46</v>
      </c>
      <c r="T897">
        <v>1245</v>
      </c>
      <c r="U897">
        <f>VLOOKUP(Auto_Sales_data___Copy[[#This Row],[CUSTOMER_NAME]],$AF$2:$AH$90,2,FALSE)</f>
        <v>25</v>
      </c>
      <c r="V897">
        <f>VLOOKUP(Auto_Sales_data___Copy[[#This Row],[CUSTOMER_NAME]],$AF$2:$AH$90,3,FALSE)</f>
        <v>101894.79000000001</v>
      </c>
      <c r="W897" s="2">
        <f>6-MATCH(Auto_Sales_data___Copy[[#This Row],[DAYS_SINCE_LAST_ORDER]],Table2[R-Cutoff],1)</f>
        <v>4</v>
      </c>
      <c r="X897" s="2">
        <f>MATCH(Auto_Sales_data___Copy[[#This Row],[Total_Orders_Per_Customer]],Table2[F-Cutoff],1)</f>
        <v>3</v>
      </c>
      <c r="Y897" s="2">
        <f>MATCH(Auto_Sales_data___Copy[[#This Row],[Total_Sales_Per_Customer]],Table2[M-Cutoff],1)</f>
        <v>4</v>
      </c>
      <c r="Z897" s="2" t="str">
        <f>Auto_Sales_data___Copy[[#This Row],[R-Score(1-5)]]&amp;Auto_Sales_data___Copy[[#This Row],[F-Score(1-5)]]&amp;Auto_Sales_data___Copy[[#This Row],[M-Score(1-5)]]</f>
        <v>434</v>
      </c>
      <c r="AA897" s="2" t="str" cm="1">
        <f t="array" ref="AA8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7" s="2" t="str">
        <f>VLOOKUP(Auto_Sales_data___Copy[[#This Row],[Segment Name]],Table3[],2,FALSE)</f>
        <v>Brand Awareness &amp; Value Proposition</v>
      </c>
    </row>
    <row r="898" spans="1:28" x14ac:dyDescent="0.25">
      <c r="A898">
        <v>10102</v>
      </c>
      <c r="B898">
        <v>39</v>
      </c>
      <c r="C898">
        <v>123.29</v>
      </c>
      <c r="D898">
        <v>2</v>
      </c>
      <c r="E898">
        <v>4808.3100000000004</v>
      </c>
      <c r="F898" s="1">
        <v>43110</v>
      </c>
      <c r="G898" s="2" t="s">
        <v>19</v>
      </c>
      <c r="H898" s="2" t="s">
        <v>589</v>
      </c>
      <c r="I898">
        <v>102</v>
      </c>
      <c r="J898" s="2" t="s">
        <v>590</v>
      </c>
      <c r="K898" s="2" t="s">
        <v>90</v>
      </c>
      <c r="L898" s="2" t="s">
        <v>91</v>
      </c>
      <c r="M898" s="2" t="s">
        <v>92</v>
      </c>
      <c r="N898" s="2" t="s">
        <v>25</v>
      </c>
      <c r="O898" s="2" t="s">
        <v>26</v>
      </c>
      <c r="P898" s="2" t="s">
        <v>27</v>
      </c>
      <c r="Q898" s="2" t="s">
        <v>93</v>
      </c>
      <c r="R898" s="2" t="s">
        <v>94</v>
      </c>
      <c r="S898" s="2" t="s">
        <v>46</v>
      </c>
      <c r="T898">
        <v>1327</v>
      </c>
      <c r="U898">
        <f>VLOOKUP(Auto_Sales_data___Copy[[#This Row],[CUSTOMER_NAME]],$AF$2:$AH$90,2,FALSE)</f>
        <v>25</v>
      </c>
      <c r="V898">
        <f>VLOOKUP(Auto_Sales_data___Copy[[#This Row],[CUSTOMER_NAME]],$AF$2:$AH$90,3,FALSE)</f>
        <v>88041.260000000009</v>
      </c>
      <c r="W898" s="2">
        <f>6-MATCH(Auto_Sales_data___Copy[[#This Row],[DAYS_SINCE_LAST_ORDER]],Table2[R-Cutoff],1)</f>
        <v>4</v>
      </c>
      <c r="X898" s="2">
        <f>MATCH(Auto_Sales_data___Copy[[#This Row],[Total_Orders_Per_Customer]],Table2[F-Cutoff],1)</f>
        <v>3</v>
      </c>
      <c r="Y898" s="2">
        <f>MATCH(Auto_Sales_data___Copy[[#This Row],[Total_Sales_Per_Customer]],Table2[M-Cutoff],1)</f>
        <v>3</v>
      </c>
      <c r="Z898" s="2" t="str">
        <f>Auto_Sales_data___Copy[[#This Row],[R-Score(1-5)]]&amp;Auto_Sales_data___Copy[[#This Row],[F-Score(1-5)]]&amp;Auto_Sales_data___Copy[[#This Row],[M-Score(1-5)]]</f>
        <v>433</v>
      </c>
      <c r="AA898" s="2" t="str" cm="1">
        <f t="array" ref="AA8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8" s="2" t="str">
        <f>VLOOKUP(Auto_Sales_data___Copy[[#This Row],[Segment Name]],Table3[],2,FALSE)</f>
        <v>Brand Awareness &amp; Value Proposition</v>
      </c>
    </row>
    <row r="899" spans="1:28" x14ac:dyDescent="0.25">
      <c r="A899">
        <v>10102</v>
      </c>
      <c r="B899">
        <v>41</v>
      </c>
      <c r="C899">
        <v>50.14</v>
      </c>
      <c r="D899">
        <v>1</v>
      </c>
      <c r="E899">
        <v>2055.7399999999998</v>
      </c>
      <c r="F899" s="1">
        <v>43110</v>
      </c>
      <c r="G899" s="2" t="s">
        <v>19</v>
      </c>
      <c r="H899" s="2" t="s">
        <v>589</v>
      </c>
      <c r="I899">
        <v>53</v>
      </c>
      <c r="J899" s="2" t="s">
        <v>605</v>
      </c>
      <c r="K899" s="2" t="s">
        <v>90</v>
      </c>
      <c r="L899" s="2" t="s">
        <v>91</v>
      </c>
      <c r="M899" s="2" t="s">
        <v>92</v>
      </c>
      <c r="N899" s="2" t="s">
        <v>25</v>
      </c>
      <c r="O899" s="2" t="s">
        <v>26</v>
      </c>
      <c r="P899" s="2" t="s">
        <v>27</v>
      </c>
      <c r="Q899" s="2" t="s">
        <v>93</v>
      </c>
      <c r="R899" s="2" t="s">
        <v>94</v>
      </c>
      <c r="S899" s="2" t="s">
        <v>30</v>
      </c>
      <c r="T899">
        <v>1351</v>
      </c>
      <c r="U899">
        <f>VLOOKUP(Auto_Sales_data___Copy[[#This Row],[CUSTOMER_NAME]],$AF$2:$AH$90,2,FALSE)</f>
        <v>25</v>
      </c>
      <c r="V899">
        <f>VLOOKUP(Auto_Sales_data___Copy[[#This Row],[CUSTOMER_NAME]],$AF$2:$AH$90,3,FALSE)</f>
        <v>88041.260000000009</v>
      </c>
      <c r="W899" s="2">
        <f>6-MATCH(Auto_Sales_data___Copy[[#This Row],[DAYS_SINCE_LAST_ORDER]],Table2[R-Cutoff],1)</f>
        <v>4</v>
      </c>
      <c r="X899" s="2">
        <f>MATCH(Auto_Sales_data___Copy[[#This Row],[Total_Orders_Per_Customer]],Table2[F-Cutoff],1)</f>
        <v>3</v>
      </c>
      <c r="Y899" s="2">
        <f>MATCH(Auto_Sales_data___Copy[[#This Row],[Total_Sales_Per_Customer]],Table2[M-Cutoff],1)</f>
        <v>3</v>
      </c>
      <c r="Z899" s="2" t="str">
        <f>Auto_Sales_data___Copy[[#This Row],[R-Score(1-5)]]&amp;Auto_Sales_data___Copy[[#This Row],[F-Score(1-5)]]&amp;Auto_Sales_data___Copy[[#This Row],[M-Score(1-5)]]</f>
        <v>433</v>
      </c>
      <c r="AA899" s="2" t="str" cm="1">
        <f t="array" ref="AA8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9" s="2" t="str">
        <f>VLOOKUP(Auto_Sales_data___Copy[[#This Row],[Segment Name]],Table3[],2,FALSE)</f>
        <v>Brand Awareness &amp; Value Proposition</v>
      </c>
    </row>
    <row r="900" spans="1:28" x14ac:dyDescent="0.25">
      <c r="A900">
        <v>10108</v>
      </c>
      <c r="B900">
        <v>33</v>
      </c>
      <c r="C900">
        <v>159.55000000000001</v>
      </c>
      <c r="D900">
        <v>6</v>
      </c>
      <c r="E900">
        <v>5265.15</v>
      </c>
      <c r="F900" s="1">
        <v>43162</v>
      </c>
      <c r="G900" s="2" t="s">
        <v>19</v>
      </c>
      <c r="H900" s="2" t="s">
        <v>183</v>
      </c>
      <c r="I900">
        <v>194</v>
      </c>
      <c r="J900" s="2" t="s">
        <v>449</v>
      </c>
      <c r="K900" s="2" t="s">
        <v>450</v>
      </c>
      <c r="L900" s="2" t="s">
        <v>451</v>
      </c>
      <c r="M900" s="2" t="s">
        <v>452</v>
      </c>
      <c r="N900" s="2" t="s">
        <v>453</v>
      </c>
      <c r="O900" s="2" t="s">
        <v>454</v>
      </c>
      <c r="P900" s="2" t="s">
        <v>455</v>
      </c>
      <c r="Q900" s="2" t="s">
        <v>456</v>
      </c>
      <c r="R900" s="2" t="s">
        <v>457</v>
      </c>
      <c r="S900" s="2" t="s">
        <v>46</v>
      </c>
      <c r="T900">
        <v>971</v>
      </c>
      <c r="U900">
        <f>VLOOKUP(Auto_Sales_data___Copy[[#This Row],[CUSTOMER_NAME]],$AF$2:$AH$90,2,FALSE)</f>
        <v>26</v>
      </c>
      <c r="V900">
        <f>VLOOKUP(Auto_Sales_data___Copy[[#This Row],[CUSTOMER_NAME]],$AF$2:$AH$90,3,FALSE)</f>
        <v>94015.73</v>
      </c>
      <c r="W900" s="2">
        <f>6-MATCH(Auto_Sales_data___Copy[[#This Row],[DAYS_SINCE_LAST_ORDER]],Table2[R-Cutoff],1)</f>
        <v>4</v>
      </c>
      <c r="X900" s="2">
        <f>MATCH(Auto_Sales_data___Copy[[#This Row],[Total_Orders_Per_Customer]],Table2[F-Cutoff],1)</f>
        <v>3</v>
      </c>
      <c r="Y900" s="2">
        <f>MATCH(Auto_Sales_data___Copy[[#This Row],[Total_Sales_Per_Customer]],Table2[M-Cutoff],1)</f>
        <v>3</v>
      </c>
      <c r="Z900" s="2" t="str">
        <f>Auto_Sales_data___Copy[[#This Row],[R-Score(1-5)]]&amp;Auto_Sales_data___Copy[[#This Row],[F-Score(1-5)]]&amp;Auto_Sales_data___Copy[[#This Row],[M-Score(1-5)]]</f>
        <v>433</v>
      </c>
      <c r="AA900" s="2" t="str" cm="1">
        <f t="array" ref="AA9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0" s="2" t="str">
        <f>VLOOKUP(Auto_Sales_data___Copy[[#This Row],[Segment Name]],Table3[],2,FALSE)</f>
        <v>Brand Awareness &amp; Value Proposition</v>
      </c>
    </row>
    <row r="901" spans="1:28" x14ac:dyDescent="0.25">
      <c r="A901">
        <v>10108</v>
      </c>
      <c r="B901">
        <v>45</v>
      </c>
      <c r="C901">
        <v>136.22999999999999</v>
      </c>
      <c r="D901">
        <v>4</v>
      </c>
      <c r="E901">
        <v>6130.35</v>
      </c>
      <c r="F901" s="1">
        <v>43162</v>
      </c>
      <c r="G901" s="2" t="s">
        <v>19</v>
      </c>
      <c r="H901" s="2" t="s">
        <v>183</v>
      </c>
      <c r="I901">
        <v>117</v>
      </c>
      <c r="J901" s="2" t="s">
        <v>546</v>
      </c>
      <c r="K901" s="2" t="s">
        <v>450</v>
      </c>
      <c r="L901" s="2" t="s">
        <v>451</v>
      </c>
      <c r="M901" s="2" t="s">
        <v>452</v>
      </c>
      <c r="N901" s="2" t="s">
        <v>453</v>
      </c>
      <c r="O901" s="2" t="s">
        <v>454</v>
      </c>
      <c r="P901" s="2" t="s">
        <v>455</v>
      </c>
      <c r="Q901" s="2" t="s">
        <v>456</v>
      </c>
      <c r="R901" s="2" t="s">
        <v>457</v>
      </c>
      <c r="S901" s="2" t="s">
        <v>46</v>
      </c>
      <c r="T901">
        <v>1096</v>
      </c>
      <c r="U901">
        <f>VLOOKUP(Auto_Sales_data___Copy[[#This Row],[CUSTOMER_NAME]],$AF$2:$AH$90,2,FALSE)</f>
        <v>26</v>
      </c>
      <c r="V901">
        <f>VLOOKUP(Auto_Sales_data___Copy[[#This Row],[CUSTOMER_NAME]],$AF$2:$AH$90,3,FALSE)</f>
        <v>94015.73</v>
      </c>
      <c r="W901" s="2">
        <f>6-MATCH(Auto_Sales_data___Copy[[#This Row],[DAYS_SINCE_LAST_ORDER]],Table2[R-Cutoff],1)</f>
        <v>4</v>
      </c>
      <c r="X901" s="2">
        <f>MATCH(Auto_Sales_data___Copy[[#This Row],[Total_Orders_Per_Customer]],Table2[F-Cutoff],1)</f>
        <v>3</v>
      </c>
      <c r="Y901" s="2">
        <f>MATCH(Auto_Sales_data___Copy[[#This Row],[Total_Sales_Per_Customer]],Table2[M-Cutoff],1)</f>
        <v>3</v>
      </c>
      <c r="Z901" s="2" t="str">
        <f>Auto_Sales_data___Copy[[#This Row],[R-Score(1-5)]]&amp;Auto_Sales_data___Copy[[#This Row],[F-Score(1-5)]]&amp;Auto_Sales_data___Copy[[#This Row],[M-Score(1-5)]]</f>
        <v>433</v>
      </c>
      <c r="AA901" s="2" t="str" cm="1">
        <f t="array" ref="AA9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1" s="2" t="str">
        <f>VLOOKUP(Auto_Sales_data___Copy[[#This Row],[Segment Name]],Table3[],2,FALSE)</f>
        <v>Brand Awareness &amp; Value Proposition</v>
      </c>
    </row>
    <row r="902" spans="1:28" x14ac:dyDescent="0.25">
      <c r="A902">
        <v>10108</v>
      </c>
      <c r="B902">
        <v>39</v>
      </c>
      <c r="C902">
        <v>89.38</v>
      </c>
      <c r="D902">
        <v>7</v>
      </c>
      <c r="E902">
        <v>3485.82</v>
      </c>
      <c r="F902" s="1">
        <v>43162</v>
      </c>
      <c r="G902" s="2" t="s">
        <v>19</v>
      </c>
      <c r="H902" s="2" t="s">
        <v>183</v>
      </c>
      <c r="I902">
        <v>79</v>
      </c>
      <c r="J902" s="2" t="s">
        <v>553</v>
      </c>
      <c r="K902" s="2" t="s">
        <v>450</v>
      </c>
      <c r="L902" s="2" t="s">
        <v>451</v>
      </c>
      <c r="M902" s="2" t="s">
        <v>452</v>
      </c>
      <c r="N902" s="2" t="s">
        <v>453</v>
      </c>
      <c r="O902" s="2" t="s">
        <v>454</v>
      </c>
      <c r="P902" s="2" t="s">
        <v>455</v>
      </c>
      <c r="Q902" s="2" t="s">
        <v>456</v>
      </c>
      <c r="R902" s="2" t="s">
        <v>457</v>
      </c>
      <c r="S902" s="2" t="s">
        <v>46</v>
      </c>
      <c r="T902">
        <v>1146</v>
      </c>
      <c r="U902">
        <f>VLOOKUP(Auto_Sales_data___Copy[[#This Row],[CUSTOMER_NAME]],$AF$2:$AH$90,2,FALSE)</f>
        <v>26</v>
      </c>
      <c r="V902">
        <f>VLOOKUP(Auto_Sales_data___Copy[[#This Row],[CUSTOMER_NAME]],$AF$2:$AH$90,3,FALSE)</f>
        <v>94015.73</v>
      </c>
      <c r="W902" s="2">
        <f>6-MATCH(Auto_Sales_data___Copy[[#This Row],[DAYS_SINCE_LAST_ORDER]],Table2[R-Cutoff],1)</f>
        <v>4</v>
      </c>
      <c r="X902" s="2">
        <f>MATCH(Auto_Sales_data___Copy[[#This Row],[Total_Orders_Per_Customer]],Table2[F-Cutoff],1)</f>
        <v>3</v>
      </c>
      <c r="Y902" s="2">
        <f>MATCH(Auto_Sales_data___Copy[[#This Row],[Total_Sales_Per_Customer]],Table2[M-Cutoff],1)</f>
        <v>3</v>
      </c>
      <c r="Z902" s="2" t="str">
        <f>Auto_Sales_data___Copy[[#This Row],[R-Score(1-5)]]&amp;Auto_Sales_data___Copy[[#This Row],[F-Score(1-5)]]&amp;Auto_Sales_data___Copy[[#This Row],[M-Score(1-5)]]</f>
        <v>433</v>
      </c>
      <c r="AA902" s="2" t="str" cm="1">
        <f t="array" ref="AA9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2" s="2" t="str">
        <f>VLOOKUP(Auto_Sales_data___Copy[[#This Row],[Segment Name]],Table3[],2,FALSE)</f>
        <v>Brand Awareness &amp; Value Proposition</v>
      </c>
    </row>
    <row r="903" spans="1:28" x14ac:dyDescent="0.25">
      <c r="A903">
        <v>10108</v>
      </c>
      <c r="B903">
        <v>36</v>
      </c>
      <c r="C903">
        <v>103.64</v>
      </c>
      <c r="D903">
        <v>3</v>
      </c>
      <c r="E903">
        <v>3731.04</v>
      </c>
      <c r="F903" s="1">
        <v>43162</v>
      </c>
      <c r="G903" s="2" t="s">
        <v>19</v>
      </c>
      <c r="H903" s="2" t="s">
        <v>183</v>
      </c>
      <c r="I903">
        <v>115</v>
      </c>
      <c r="J903" s="2" t="s">
        <v>567</v>
      </c>
      <c r="K903" s="2" t="s">
        <v>450</v>
      </c>
      <c r="L903" s="2" t="s">
        <v>451</v>
      </c>
      <c r="M903" s="2" t="s">
        <v>452</v>
      </c>
      <c r="N903" s="2" t="s">
        <v>453</v>
      </c>
      <c r="O903" s="2" t="s">
        <v>454</v>
      </c>
      <c r="P903" s="2" t="s">
        <v>455</v>
      </c>
      <c r="Q903" s="2" t="s">
        <v>456</v>
      </c>
      <c r="R903" s="2" t="s">
        <v>457</v>
      </c>
      <c r="S903" s="2" t="s">
        <v>46</v>
      </c>
      <c r="T903">
        <v>1197</v>
      </c>
      <c r="U903">
        <f>VLOOKUP(Auto_Sales_data___Copy[[#This Row],[CUSTOMER_NAME]],$AF$2:$AH$90,2,FALSE)</f>
        <v>26</v>
      </c>
      <c r="V903">
        <f>VLOOKUP(Auto_Sales_data___Copy[[#This Row],[CUSTOMER_NAME]],$AF$2:$AH$90,3,FALSE)</f>
        <v>94015.73</v>
      </c>
      <c r="W903" s="2">
        <f>6-MATCH(Auto_Sales_data___Copy[[#This Row],[DAYS_SINCE_LAST_ORDER]],Table2[R-Cutoff],1)</f>
        <v>4</v>
      </c>
      <c r="X903" s="2">
        <f>MATCH(Auto_Sales_data___Copy[[#This Row],[Total_Orders_Per_Customer]],Table2[F-Cutoff],1)</f>
        <v>3</v>
      </c>
      <c r="Y903" s="2">
        <f>MATCH(Auto_Sales_data___Copy[[#This Row],[Total_Sales_Per_Customer]],Table2[M-Cutoff],1)</f>
        <v>3</v>
      </c>
      <c r="Z903" s="2" t="str">
        <f>Auto_Sales_data___Copy[[#This Row],[R-Score(1-5)]]&amp;Auto_Sales_data___Copy[[#This Row],[F-Score(1-5)]]&amp;Auto_Sales_data___Copy[[#This Row],[M-Score(1-5)]]</f>
        <v>433</v>
      </c>
      <c r="AA903" s="2" t="str" cm="1">
        <f t="array" ref="AA9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3" s="2" t="str">
        <f>VLOOKUP(Auto_Sales_data___Copy[[#This Row],[Segment Name]],Table3[],2,FALSE)</f>
        <v>Brand Awareness &amp; Value Proposition</v>
      </c>
    </row>
    <row r="904" spans="1:28" x14ac:dyDescent="0.25">
      <c r="A904">
        <v>10108</v>
      </c>
      <c r="B904">
        <v>38</v>
      </c>
      <c r="C904">
        <v>82.39</v>
      </c>
      <c r="D904">
        <v>2</v>
      </c>
      <c r="E904">
        <v>3130.82</v>
      </c>
      <c r="F904" s="1">
        <v>43162</v>
      </c>
      <c r="G904" s="2" t="s">
        <v>19</v>
      </c>
      <c r="H904" s="2" t="s">
        <v>183</v>
      </c>
      <c r="I904">
        <v>77</v>
      </c>
      <c r="J904" s="2" t="s">
        <v>629</v>
      </c>
      <c r="K904" s="2" t="s">
        <v>450</v>
      </c>
      <c r="L904" s="2" t="s">
        <v>451</v>
      </c>
      <c r="M904" s="2" t="s">
        <v>452</v>
      </c>
      <c r="N904" s="2" t="s">
        <v>453</v>
      </c>
      <c r="O904" s="2" t="s">
        <v>454</v>
      </c>
      <c r="P904" s="2" t="s">
        <v>455</v>
      </c>
      <c r="Q904" s="2" t="s">
        <v>456</v>
      </c>
      <c r="R904" s="2" t="s">
        <v>457</v>
      </c>
      <c r="S904" s="2" t="s">
        <v>46</v>
      </c>
      <c r="T904">
        <v>1394</v>
      </c>
      <c r="U904">
        <f>VLOOKUP(Auto_Sales_data___Copy[[#This Row],[CUSTOMER_NAME]],$AF$2:$AH$90,2,FALSE)</f>
        <v>26</v>
      </c>
      <c r="V904">
        <f>VLOOKUP(Auto_Sales_data___Copy[[#This Row],[CUSTOMER_NAME]],$AF$2:$AH$90,3,FALSE)</f>
        <v>94015.73</v>
      </c>
      <c r="W904" s="2">
        <f>6-MATCH(Auto_Sales_data___Copy[[#This Row],[DAYS_SINCE_LAST_ORDER]],Table2[R-Cutoff],1)</f>
        <v>4</v>
      </c>
      <c r="X904" s="2">
        <f>MATCH(Auto_Sales_data___Copy[[#This Row],[Total_Orders_Per_Customer]],Table2[F-Cutoff],1)</f>
        <v>3</v>
      </c>
      <c r="Y904" s="2">
        <f>MATCH(Auto_Sales_data___Copy[[#This Row],[Total_Sales_Per_Customer]],Table2[M-Cutoff],1)</f>
        <v>3</v>
      </c>
      <c r="Z904" s="2" t="str">
        <f>Auto_Sales_data___Copy[[#This Row],[R-Score(1-5)]]&amp;Auto_Sales_data___Copy[[#This Row],[F-Score(1-5)]]&amp;Auto_Sales_data___Copy[[#This Row],[M-Score(1-5)]]</f>
        <v>433</v>
      </c>
      <c r="AA904" s="2" t="str" cm="1">
        <f t="array" ref="AA9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4" s="2" t="str">
        <f>VLOOKUP(Auto_Sales_data___Copy[[#This Row],[Segment Name]],Table3[],2,FALSE)</f>
        <v>Brand Awareness &amp; Value Proposition</v>
      </c>
    </row>
    <row r="905" spans="1:28" x14ac:dyDescent="0.25">
      <c r="A905">
        <v>10147</v>
      </c>
      <c r="B905">
        <v>21</v>
      </c>
      <c r="C905">
        <v>63.84</v>
      </c>
      <c r="D905">
        <v>8</v>
      </c>
      <c r="E905">
        <v>1340.64</v>
      </c>
      <c r="F905" s="1">
        <v>43348</v>
      </c>
      <c r="G905" s="2" t="s">
        <v>19</v>
      </c>
      <c r="H905" s="2" t="s">
        <v>183</v>
      </c>
      <c r="I905">
        <v>79</v>
      </c>
      <c r="J905" s="2" t="s">
        <v>553</v>
      </c>
      <c r="K905" s="2" t="s">
        <v>295</v>
      </c>
      <c r="L905" s="2" t="s">
        <v>116</v>
      </c>
      <c r="M905" s="2" t="s">
        <v>296</v>
      </c>
      <c r="N905" s="2" t="s">
        <v>297</v>
      </c>
      <c r="O905" s="2" t="s">
        <v>298</v>
      </c>
      <c r="P905" s="2" t="s">
        <v>27</v>
      </c>
      <c r="Q905" s="2" t="s">
        <v>288</v>
      </c>
      <c r="R905" s="2" t="s">
        <v>299</v>
      </c>
      <c r="S905" s="2" t="s">
        <v>30</v>
      </c>
      <c r="T905">
        <v>963</v>
      </c>
      <c r="U905">
        <f>VLOOKUP(Auto_Sales_data___Copy[[#This Row],[CUSTOMER_NAME]],$AF$2:$AH$90,2,FALSE)</f>
        <v>24</v>
      </c>
      <c r="V905">
        <f>VLOOKUP(Auto_Sales_data___Copy[[#This Row],[CUSTOMER_NAME]],$AF$2:$AH$90,3,FALSE)</f>
        <v>81577.98</v>
      </c>
      <c r="W905" s="2">
        <f>6-MATCH(Auto_Sales_data___Copy[[#This Row],[DAYS_SINCE_LAST_ORDER]],Table2[R-Cutoff],1)</f>
        <v>4</v>
      </c>
      <c r="X905" s="2">
        <f>MATCH(Auto_Sales_data___Copy[[#This Row],[Total_Orders_Per_Customer]],Table2[F-Cutoff],1)</f>
        <v>3</v>
      </c>
      <c r="Y905" s="2">
        <f>MATCH(Auto_Sales_data___Copy[[#This Row],[Total_Sales_Per_Customer]],Table2[M-Cutoff],1)</f>
        <v>3</v>
      </c>
      <c r="Z905" s="2" t="str">
        <f>Auto_Sales_data___Copy[[#This Row],[R-Score(1-5)]]&amp;Auto_Sales_data___Copy[[#This Row],[F-Score(1-5)]]&amp;Auto_Sales_data___Copy[[#This Row],[M-Score(1-5)]]</f>
        <v>433</v>
      </c>
      <c r="AA905" s="2" t="str" cm="1">
        <f t="array" ref="AA9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5" s="2" t="str">
        <f>VLOOKUP(Auto_Sales_data___Copy[[#This Row],[Segment Name]],Table3[],2,FALSE)</f>
        <v>Brand Awareness &amp; Value Proposition</v>
      </c>
    </row>
    <row r="906" spans="1:28" x14ac:dyDescent="0.25">
      <c r="A906">
        <v>10147</v>
      </c>
      <c r="B906">
        <v>33</v>
      </c>
      <c r="C906">
        <v>97.89</v>
      </c>
      <c r="D906">
        <v>4</v>
      </c>
      <c r="E906">
        <v>3230.37</v>
      </c>
      <c r="F906" s="1">
        <v>43348</v>
      </c>
      <c r="G906" s="2" t="s">
        <v>19</v>
      </c>
      <c r="H906" s="2" t="s">
        <v>183</v>
      </c>
      <c r="I906">
        <v>115</v>
      </c>
      <c r="J906" s="2" t="s">
        <v>567</v>
      </c>
      <c r="K906" s="2" t="s">
        <v>295</v>
      </c>
      <c r="L906" s="2" t="s">
        <v>116</v>
      </c>
      <c r="M906" s="2" t="s">
        <v>296</v>
      </c>
      <c r="N906" s="2" t="s">
        <v>297</v>
      </c>
      <c r="O906" s="2" t="s">
        <v>298</v>
      </c>
      <c r="P906" s="2" t="s">
        <v>27</v>
      </c>
      <c r="Q906" s="2" t="s">
        <v>288</v>
      </c>
      <c r="R906" s="2" t="s">
        <v>299</v>
      </c>
      <c r="S906" s="2" t="s">
        <v>46</v>
      </c>
      <c r="T906">
        <v>1014</v>
      </c>
      <c r="U906">
        <f>VLOOKUP(Auto_Sales_data___Copy[[#This Row],[CUSTOMER_NAME]],$AF$2:$AH$90,2,FALSE)</f>
        <v>24</v>
      </c>
      <c r="V906">
        <f>VLOOKUP(Auto_Sales_data___Copy[[#This Row],[CUSTOMER_NAME]],$AF$2:$AH$90,3,FALSE)</f>
        <v>81577.98</v>
      </c>
      <c r="W906" s="2">
        <f>6-MATCH(Auto_Sales_data___Copy[[#This Row],[DAYS_SINCE_LAST_ORDER]],Table2[R-Cutoff],1)</f>
        <v>4</v>
      </c>
      <c r="X906" s="2">
        <f>MATCH(Auto_Sales_data___Copy[[#This Row],[Total_Orders_Per_Customer]],Table2[F-Cutoff],1)</f>
        <v>3</v>
      </c>
      <c r="Y906" s="2">
        <f>MATCH(Auto_Sales_data___Copy[[#This Row],[Total_Sales_Per_Customer]],Table2[M-Cutoff],1)</f>
        <v>3</v>
      </c>
      <c r="Z906" s="2" t="str">
        <f>Auto_Sales_data___Copy[[#This Row],[R-Score(1-5)]]&amp;Auto_Sales_data___Copy[[#This Row],[F-Score(1-5)]]&amp;Auto_Sales_data___Copy[[#This Row],[M-Score(1-5)]]</f>
        <v>433</v>
      </c>
      <c r="AA906" s="2" t="str" cm="1">
        <f t="array" ref="AA9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6" s="2" t="str">
        <f>VLOOKUP(Auto_Sales_data___Copy[[#This Row],[Segment Name]],Table3[],2,FALSE)</f>
        <v>Brand Awareness &amp; Value Proposition</v>
      </c>
    </row>
    <row r="907" spans="1:28" x14ac:dyDescent="0.25">
      <c r="A907">
        <v>10147</v>
      </c>
      <c r="B907">
        <v>26</v>
      </c>
      <c r="C907">
        <v>82.39</v>
      </c>
      <c r="D907">
        <v>3</v>
      </c>
      <c r="E907">
        <v>2142.14</v>
      </c>
      <c r="F907" s="1">
        <v>43348</v>
      </c>
      <c r="G907" s="2" t="s">
        <v>19</v>
      </c>
      <c r="H907" s="2" t="s">
        <v>183</v>
      </c>
      <c r="I907">
        <v>77</v>
      </c>
      <c r="J907" s="2" t="s">
        <v>629</v>
      </c>
      <c r="K907" s="2" t="s">
        <v>295</v>
      </c>
      <c r="L907" s="2" t="s">
        <v>116</v>
      </c>
      <c r="M907" s="2" t="s">
        <v>296</v>
      </c>
      <c r="N907" s="2" t="s">
        <v>297</v>
      </c>
      <c r="O907" s="2" t="s">
        <v>298</v>
      </c>
      <c r="P907" s="2" t="s">
        <v>27</v>
      </c>
      <c r="Q907" s="2" t="s">
        <v>288</v>
      </c>
      <c r="R907" s="2" t="s">
        <v>299</v>
      </c>
      <c r="S907" s="2" t="s">
        <v>30</v>
      </c>
      <c r="T907">
        <v>1211</v>
      </c>
      <c r="U907">
        <f>VLOOKUP(Auto_Sales_data___Copy[[#This Row],[CUSTOMER_NAME]],$AF$2:$AH$90,2,FALSE)</f>
        <v>24</v>
      </c>
      <c r="V907">
        <f>VLOOKUP(Auto_Sales_data___Copy[[#This Row],[CUSTOMER_NAME]],$AF$2:$AH$90,3,FALSE)</f>
        <v>81577.98</v>
      </c>
      <c r="W907" s="2">
        <f>6-MATCH(Auto_Sales_data___Copy[[#This Row],[DAYS_SINCE_LAST_ORDER]],Table2[R-Cutoff],1)</f>
        <v>4</v>
      </c>
      <c r="X907" s="2">
        <f>MATCH(Auto_Sales_data___Copy[[#This Row],[Total_Orders_Per_Customer]],Table2[F-Cutoff],1)</f>
        <v>3</v>
      </c>
      <c r="Y907" s="2">
        <f>MATCH(Auto_Sales_data___Copy[[#This Row],[Total_Sales_Per_Customer]],Table2[M-Cutoff],1)</f>
        <v>3</v>
      </c>
      <c r="Z907" s="2" t="str">
        <f>Auto_Sales_data___Copy[[#This Row],[R-Score(1-5)]]&amp;Auto_Sales_data___Copy[[#This Row],[F-Score(1-5)]]&amp;Auto_Sales_data___Copy[[#This Row],[M-Score(1-5)]]</f>
        <v>433</v>
      </c>
      <c r="AA907" s="2" t="str" cm="1">
        <f t="array" ref="AA9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7" s="2" t="str">
        <f>VLOOKUP(Auto_Sales_data___Copy[[#This Row],[Segment Name]],Table3[],2,FALSE)</f>
        <v>Brand Awareness &amp; Value Proposition</v>
      </c>
    </row>
    <row r="908" spans="1:28" x14ac:dyDescent="0.25">
      <c r="A908">
        <v>10175</v>
      </c>
      <c r="B908">
        <v>48</v>
      </c>
      <c r="C908">
        <v>122.73</v>
      </c>
      <c r="D908">
        <v>4</v>
      </c>
      <c r="E908">
        <v>5891.04</v>
      </c>
      <c r="F908" s="1">
        <v>43410</v>
      </c>
      <c r="G908" s="2" t="s">
        <v>19</v>
      </c>
      <c r="H908" s="2" t="s">
        <v>537</v>
      </c>
      <c r="I908">
        <v>122</v>
      </c>
      <c r="J908" s="2" t="s">
        <v>633</v>
      </c>
      <c r="K908" s="2" t="s">
        <v>347</v>
      </c>
      <c r="L908" s="2" t="s">
        <v>348</v>
      </c>
      <c r="M908" s="2" t="s">
        <v>349</v>
      </c>
      <c r="N908" s="2" t="s">
        <v>350</v>
      </c>
      <c r="O908" s="2" t="s">
        <v>351</v>
      </c>
      <c r="P908" s="2" t="s">
        <v>171</v>
      </c>
      <c r="Q908" s="2" t="s">
        <v>100</v>
      </c>
      <c r="R908" s="2" t="s">
        <v>352</v>
      </c>
      <c r="S908" s="2" t="s">
        <v>46</v>
      </c>
      <c r="T908">
        <v>1252</v>
      </c>
      <c r="U908">
        <f>VLOOKUP(Auto_Sales_data___Copy[[#This Row],[CUSTOMER_NAME]],$AF$2:$AH$90,2,FALSE)</f>
        <v>26</v>
      </c>
      <c r="V908">
        <f>VLOOKUP(Auto_Sales_data___Copy[[#This Row],[CUSTOMER_NAME]],$AF$2:$AH$90,3,FALSE)</f>
        <v>88804.5</v>
      </c>
      <c r="W908" s="2">
        <f>6-MATCH(Auto_Sales_data___Copy[[#This Row],[DAYS_SINCE_LAST_ORDER]],Table2[R-Cutoff],1)</f>
        <v>4</v>
      </c>
      <c r="X908" s="2">
        <f>MATCH(Auto_Sales_data___Copy[[#This Row],[Total_Orders_Per_Customer]],Table2[F-Cutoff],1)</f>
        <v>3</v>
      </c>
      <c r="Y908" s="2">
        <f>MATCH(Auto_Sales_data___Copy[[#This Row],[Total_Sales_Per_Customer]],Table2[M-Cutoff],1)</f>
        <v>3</v>
      </c>
      <c r="Z908" s="2" t="str">
        <f>Auto_Sales_data___Copy[[#This Row],[R-Score(1-5)]]&amp;Auto_Sales_data___Copy[[#This Row],[F-Score(1-5)]]&amp;Auto_Sales_data___Copy[[#This Row],[M-Score(1-5)]]</f>
        <v>433</v>
      </c>
      <c r="AA908" s="2" t="str" cm="1">
        <f t="array" ref="AA9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8" s="2" t="str">
        <f>VLOOKUP(Auto_Sales_data___Copy[[#This Row],[Segment Name]],Table3[],2,FALSE)</f>
        <v>Brand Awareness &amp; Value Proposition</v>
      </c>
    </row>
    <row r="909" spans="1:28" x14ac:dyDescent="0.25">
      <c r="A909">
        <v>10175</v>
      </c>
      <c r="B909">
        <v>41</v>
      </c>
      <c r="C909">
        <v>69.28</v>
      </c>
      <c r="D909">
        <v>7</v>
      </c>
      <c r="E909">
        <v>2840.48</v>
      </c>
      <c r="F909" s="1">
        <v>43410</v>
      </c>
      <c r="G909" s="2" t="s">
        <v>19</v>
      </c>
      <c r="H909" s="2" t="s">
        <v>537</v>
      </c>
      <c r="I909">
        <v>60</v>
      </c>
      <c r="J909" s="2" t="s">
        <v>635</v>
      </c>
      <c r="K909" s="2" t="s">
        <v>347</v>
      </c>
      <c r="L909" s="2" t="s">
        <v>348</v>
      </c>
      <c r="M909" s="2" t="s">
        <v>349</v>
      </c>
      <c r="N909" s="2" t="s">
        <v>350</v>
      </c>
      <c r="O909" s="2" t="s">
        <v>351</v>
      </c>
      <c r="P909" s="2" t="s">
        <v>171</v>
      </c>
      <c r="Q909" s="2" t="s">
        <v>100</v>
      </c>
      <c r="R909" s="2" t="s">
        <v>352</v>
      </c>
      <c r="S909" s="2" t="s">
        <v>30</v>
      </c>
      <c r="T909">
        <v>1302</v>
      </c>
      <c r="U909">
        <f>VLOOKUP(Auto_Sales_data___Copy[[#This Row],[CUSTOMER_NAME]],$AF$2:$AH$90,2,FALSE)</f>
        <v>26</v>
      </c>
      <c r="V909">
        <f>VLOOKUP(Auto_Sales_data___Copy[[#This Row],[CUSTOMER_NAME]],$AF$2:$AH$90,3,FALSE)</f>
        <v>88804.5</v>
      </c>
      <c r="W909" s="2">
        <f>6-MATCH(Auto_Sales_data___Copy[[#This Row],[DAYS_SINCE_LAST_ORDER]],Table2[R-Cutoff],1)</f>
        <v>4</v>
      </c>
      <c r="X909" s="2">
        <f>MATCH(Auto_Sales_data___Copy[[#This Row],[Total_Orders_Per_Customer]],Table2[F-Cutoff],1)</f>
        <v>3</v>
      </c>
      <c r="Y909" s="2">
        <f>MATCH(Auto_Sales_data___Copy[[#This Row],[Total_Sales_Per_Customer]],Table2[M-Cutoff],1)</f>
        <v>3</v>
      </c>
      <c r="Z909" s="2" t="str">
        <f>Auto_Sales_data___Copy[[#This Row],[R-Score(1-5)]]&amp;Auto_Sales_data___Copy[[#This Row],[F-Score(1-5)]]&amp;Auto_Sales_data___Copy[[#This Row],[M-Score(1-5)]]</f>
        <v>433</v>
      </c>
      <c r="AA909" s="2" t="str" cm="1">
        <f t="array" ref="AA9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9" s="2" t="str">
        <f>VLOOKUP(Auto_Sales_data___Copy[[#This Row],[Segment Name]],Table3[],2,FALSE)</f>
        <v>Brand Awareness &amp; Value Proposition</v>
      </c>
    </row>
    <row r="910" spans="1:28" x14ac:dyDescent="0.25">
      <c r="A910">
        <v>10195</v>
      </c>
      <c r="B910">
        <v>27</v>
      </c>
      <c r="C910">
        <v>189.93</v>
      </c>
      <c r="D910">
        <v>5</v>
      </c>
      <c r="E910">
        <v>5128.1099999999997</v>
      </c>
      <c r="F910" s="1">
        <v>43429</v>
      </c>
      <c r="G910" s="2" t="s">
        <v>19</v>
      </c>
      <c r="H910" s="2" t="s">
        <v>183</v>
      </c>
      <c r="I910">
        <v>163</v>
      </c>
      <c r="J910" s="2" t="s">
        <v>631</v>
      </c>
      <c r="K910" s="2" t="s">
        <v>332</v>
      </c>
      <c r="L910" s="2" t="s">
        <v>333</v>
      </c>
      <c r="M910" s="2" t="s">
        <v>334</v>
      </c>
      <c r="N910" s="2" t="s">
        <v>335</v>
      </c>
      <c r="O910" s="2" t="s">
        <v>336</v>
      </c>
      <c r="P910" s="2" t="s">
        <v>27</v>
      </c>
      <c r="Q910" s="2" t="s">
        <v>93</v>
      </c>
      <c r="R910" s="2" t="s">
        <v>244</v>
      </c>
      <c r="S910" s="2" t="s">
        <v>46</v>
      </c>
      <c r="T910">
        <v>1187</v>
      </c>
      <c r="U910">
        <f>VLOOKUP(Auto_Sales_data___Copy[[#This Row],[CUSTOMER_NAME]],$AF$2:$AH$90,2,FALSE)</f>
        <v>26</v>
      </c>
      <c r="V910">
        <f>VLOOKUP(Auto_Sales_data___Copy[[#This Row],[CUSTOMER_NAME]],$AF$2:$AH$90,3,FALSE)</f>
        <v>85555.989999999976</v>
      </c>
      <c r="W910" s="2">
        <f>6-MATCH(Auto_Sales_data___Copy[[#This Row],[DAYS_SINCE_LAST_ORDER]],Table2[R-Cutoff],1)</f>
        <v>4</v>
      </c>
      <c r="X910" s="2">
        <f>MATCH(Auto_Sales_data___Copy[[#This Row],[Total_Orders_Per_Customer]],Table2[F-Cutoff],1)</f>
        <v>3</v>
      </c>
      <c r="Y910" s="2">
        <f>MATCH(Auto_Sales_data___Copy[[#This Row],[Total_Sales_Per_Customer]],Table2[M-Cutoff],1)</f>
        <v>3</v>
      </c>
      <c r="Z910" s="2" t="str">
        <f>Auto_Sales_data___Copy[[#This Row],[R-Score(1-5)]]&amp;Auto_Sales_data___Copy[[#This Row],[F-Score(1-5)]]&amp;Auto_Sales_data___Copy[[#This Row],[M-Score(1-5)]]</f>
        <v>433</v>
      </c>
      <c r="AA910" s="2" t="str" cm="1">
        <f t="array" ref="AA9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0" s="2" t="str">
        <f>VLOOKUP(Auto_Sales_data___Copy[[#This Row],[Segment Name]],Table3[],2,FALSE)</f>
        <v>Brand Awareness &amp; Value Proposition</v>
      </c>
    </row>
    <row r="911" spans="1:28" x14ac:dyDescent="0.25">
      <c r="A911">
        <v>10195</v>
      </c>
      <c r="B911">
        <v>35</v>
      </c>
      <c r="C911">
        <v>103.09</v>
      </c>
      <c r="D911">
        <v>9</v>
      </c>
      <c r="E911">
        <v>3608.15</v>
      </c>
      <c r="F911" s="1">
        <v>43429</v>
      </c>
      <c r="G911" s="2" t="s">
        <v>19</v>
      </c>
      <c r="H911" s="2" t="s">
        <v>537</v>
      </c>
      <c r="I911">
        <v>122</v>
      </c>
      <c r="J911" s="2" t="s">
        <v>633</v>
      </c>
      <c r="K911" s="2" t="s">
        <v>332</v>
      </c>
      <c r="L911" s="2" t="s">
        <v>333</v>
      </c>
      <c r="M911" s="2" t="s">
        <v>334</v>
      </c>
      <c r="N911" s="2" t="s">
        <v>335</v>
      </c>
      <c r="O911" s="2" t="s">
        <v>336</v>
      </c>
      <c r="P911" s="2" t="s">
        <v>27</v>
      </c>
      <c r="Q911" s="2" t="s">
        <v>93</v>
      </c>
      <c r="R911" s="2" t="s">
        <v>244</v>
      </c>
      <c r="S911" s="2" t="s">
        <v>46</v>
      </c>
      <c r="T911">
        <v>1235</v>
      </c>
      <c r="U911">
        <f>VLOOKUP(Auto_Sales_data___Copy[[#This Row],[CUSTOMER_NAME]],$AF$2:$AH$90,2,FALSE)</f>
        <v>26</v>
      </c>
      <c r="V911">
        <f>VLOOKUP(Auto_Sales_data___Copy[[#This Row],[CUSTOMER_NAME]],$AF$2:$AH$90,3,FALSE)</f>
        <v>85555.989999999976</v>
      </c>
      <c r="W911" s="2">
        <f>6-MATCH(Auto_Sales_data___Copy[[#This Row],[DAYS_SINCE_LAST_ORDER]],Table2[R-Cutoff],1)</f>
        <v>4</v>
      </c>
      <c r="X911" s="2">
        <f>MATCH(Auto_Sales_data___Copy[[#This Row],[Total_Orders_Per_Customer]],Table2[F-Cutoff],1)</f>
        <v>3</v>
      </c>
      <c r="Y911" s="2">
        <f>MATCH(Auto_Sales_data___Copy[[#This Row],[Total_Sales_Per_Customer]],Table2[M-Cutoff],1)</f>
        <v>3</v>
      </c>
      <c r="Z911" s="2" t="str">
        <f>Auto_Sales_data___Copy[[#This Row],[R-Score(1-5)]]&amp;Auto_Sales_data___Copy[[#This Row],[F-Score(1-5)]]&amp;Auto_Sales_data___Copy[[#This Row],[M-Score(1-5)]]</f>
        <v>433</v>
      </c>
      <c r="AA911" s="2" t="str" cm="1">
        <f t="array" ref="AA9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1" s="2" t="str">
        <f>VLOOKUP(Auto_Sales_data___Copy[[#This Row],[Segment Name]],Table3[],2,FALSE)</f>
        <v>Brand Awareness &amp; Value Proposition</v>
      </c>
    </row>
    <row r="912" spans="1:28" x14ac:dyDescent="0.25">
      <c r="A912">
        <v>10198</v>
      </c>
      <c r="B912">
        <v>42</v>
      </c>
      <c r="C912">
        <v>178.19</v>
      </c>
      <c r="D912">
        <v>4</v>
      </c>
      <c r="E912">
        <v>7483.98</v>
      </c>
      <c r="F912" s="1">
        <v>43431</v>
      </c>
      <c r="G912" s="2" t="s">
        <v>19</v>
      </c>
      <c r="H912" s="2" t="s">
        <v>607</v>
      </c>
      <c r="I912">
        <v>157</v>
      </c>
      <c r="J912" s="2" t="s">
        <v>608</v>
      </c>
      <c r="K912" s="2" t="s">
        <v>450</v>
      </c>
      <c r="L912" s="2" t="s">
        <v>451</v>
      </c>
      <c r="M912" s="2" t="s">
        <v>452</v>
      </c>
      <c r="N912" s="2" t="s">
        <v>453</v>
      </c>
      <c r="O912" s="2" t="s">
        <v>454</v>
      </c>
      <c r="P912" s="2" t="s">
        <v>455</v>
      </c>
      <c r="Q912" s="2" t="s">
        <v>456</v>
      </c>
      <c r="R912" s="2" t="s">
        <v>457</v>
      </c>
      <c r="S912" s="2" t="s">
        <v>151</v>
      </c>
      <c r="T912">
        <v>1086</v>
      </c>
      <c r="U912">
        <f>VLOOKUP(Auto_Sales_data___Copy[[#This Row],[CUSTOMER_NAME]],$AF$2:$AH$90,2,FALSE)</f>
        <v>26</v>
      </c>
      <c r="V912">
        <f>VLOOKUP(Auto_Sales_data___Copy[[#This Row],[CUSTOMER_NAME]],$AF$2:$AH$90,3,FALSE)</f>
        <v>94015.73</v>
      </c>
      <c r="W912" s="2">
        <f>6-MATCH(Auto_Sales_data___Copy[[#This Row],[DAYS_SINCE_LAST_ORDER]],Table2[R-Cutoff],1)</f>
        <v>4</v>
      </c>
      <c r="X912" s="2">
        <f>MATCH(Auto_Sales_data___Copy[[#This Row],[Total_Orders_Per_Customer]],Table2[F-Cutoff],1)</f>
        <v>3</v>
      </c>
      <c r="Y912" s="2">
        <f>MATCH(Auto_Sales_data___Copy[[#This Row],[Total_Sales_Per_Customer]],Table2[M-Cutoff],1)</f>
        <v>3</v>
      </c>
      <c r="Z912" s="2" t="str">
        <f>Auto_Sales_data___Copy[[#This Row],[R-Score(1-5)]]&amp;Auto_Sales_data___Copy[[#This Row],[F-Score(1-5)]]&amp;Auto_Sales_data___Copy[[#This Row],[M-Score(1-5)]]</f>
        <v>433</v>
      </c>
      <c r="AA912" s="2" t="str" cm="1">
        <f t="array" ref="AA9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2" s="2" t="str">
        <f>VLOOKUP(Auto_Sales_data___Copy[[#This Row],[Segment Name]],Table3[],2,FALSE)</f>
        <v>Brand Awareness &amp; Value Proposition</v>
      </c>
    </row>
    <row r="913" spans="1:28" x14ac:dyDescent="0.25">
      <c r="A913">
        <v>10222</v>
      </c>
      <c r="B913">
        <v>49</v>
      </c>
      <c r="C913">
        <v>141.91999999999999</v>
      </c>
      <c r="D913">
        <v>4</v>
      </c>
      <c r="E913">
        <v>6954.08</v>
      </c>
      <c r="F913" s="1">
        <v>43515</v>
      </c>
      <c r="G913" s="2" t="s">
        <v>19</v>
      </c>
      <c r="H913" s="2" t="s">
        <v>607</v>
      </c>
      <c r="I913">
        <v>157</v>
      </c>
      <c r="J913" s="2" t="s">
        <v>608</v>
      </c>
      <c r="K913" s="2" t="s">
        <v>379</v>
      </c>
      <c r="L913" s="2" t="s">
        <v>380</v>
      </c>
      <c r="M913" s="2" t="s">
        <v>381</v>
      </c>
      <c r="N913" s="2" t="s">
        <v>382</v>
      </c>
      <c r="O913" s="2" t="s">
        <v>383</v>
      </c>
      <c r="P913" s="2" t="s">
        <v>27</v>
      </c>
      <c r="Q913" s="2" t="s">
        <v>243</v>
      </c>
      <c r="R913" s="2" t="s">
        <v>289</v>
      </c>
      <c r="S913" s="2" t="s">
        <v>46</v>
      </c>
      <c r="T913">
        <v>1004</v>
      </c>
      <c r="U913">
        <f>VLOOKUP(Auto_Sales_data___Copy[[#This Row],[CUSTOMER_NAME]],$AF$2:$AH$90,2,FALSE)</f>
        <v>25</v>
      </c>
      <c r="V913">
        <f>VLOOKUP(Auto_Sales_data___Copy[[#This Row],[CUSTOMER_NAME]],$AF$2:$AH$90,3,FALSE)</f>
        <v>87489.23000000001</v>
      </c>
      <c r="W913" s="2">
        <f>6-MATCH(Auto_Sales_data___Copy[[#This Row],[DAYS_SINCE_LAST_ORDER]],Table2[R-Cutoff],1)</f>
        <v>4</v>
      </c>
      <c r="X913" s="2">
        <f>MATCH(Auto_Sales_data___Copy[[#This Row],[Total_Orders_Per_Customer]],Table2[F-Cutoff],1)</f>
        <v>3</v>
      </c>
      <c r="Y913" s="2">
        <f>MATCH(Auto_Sales_data___Copy[[#This Row],[Total_Sales_Per_Customer]],Table2[M-Cutoff],1)</f>
        <v>3</v>
      </c>
      <c r="Z913" s="2" t="str">
        <f>Auto_Sales_data___Copy[[#This Row],[R-Score(1-5)]]&amp;Auto_Sales_data___Copy[[#This Row],[F-Score(1-5)]]&amp;Auto_Sales_data___Copy[[#This Row],[M-Score(1-5)]]</f>
        <v>433</v>
      </c>
      <c r="AA913" s="2" t="str" cm="1">
        <f t="array" ref="AA9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3" s="2" t="str">
        <f>VLOOKUP(Auto_Sales_data___Copy[[#This Row],[Segment Name]],Table3[],2,FALSE)</f>
        <v>Brand Awareness &amp; Value Proposition</v>
      </c>
    </row>
    <row r="914" spans="1:28" x14ac:dyDescent="0.25">
      <c r="A914">
        <v>10222</v>
      </c>
      <c r="B914">
        <v>49</v>
      </c>
      <c r="C914">
        <v>94.62</v>
      </c>
      <c r="D914">
        <v>10</v>
      </c>
      <c r="E914">
        <v>4636.38</v>
      </c>
      <c r="F914" s="1">
        <v>43515</v>
      </c>
      <c r="G914" s="2" t="s">
        <v>19</v>
      </c>
      <c r="H914" s="2" t="s">
        <v>642</v>
      </c>
      <c r="I914">
        <v>86</v>
      </c>
      <c r="J914" s="2" t="s">
        <v>643</v>
      </c>
      <c r="K914" s="2" t="s">
        <v>379</v>
      </c>
      <c r="L914" s="2" t="s">
        <v>380</v>
      </c>
      <c r="M914" s="2" t="s">
        <v>381</v>
      </c>
      <c r="N914" s="2" t="s">
        <v>382</v>
      </c>
      <c r="O914" s="2" t="s">
        <v>383</v>
      </c>
      <c r="P914" s="2" t="s">
        <v>27</v>
      </c>
      <c r="Q914" s="2" t="s">
        <v>243</v>
      </c>
      <c r="R914" s="2" t="s">
        <v>289</v>
      </c>
      <c r="S914" s="2" t="s">
        <v>46</v>
      </c>
      <c r="T914">
        <v>1374</v>
      </c>
      <c r="U914">
        <f>VLOOKUP(Auto_Sales_data___Copy[[#This Row],[CUSTOMER_NAME]],$AF$2:$AH$90,2,FALSE)</f>
        <v>25</v>
      </c>
      <c r="V914">
        <f>VLOOKUP(Auto_Sales_data___Copy[[#This Row],[CUSTOMER_NAME]],$AF$2:$AH$90,3,FALSE)</f>
        <v>87489.23000000001</v>
      </c>
      <c r="W914" s="2">
        <f>6-MATCH(Auto_Sales_data___Copy[[#This Row],[DAYS_SINCE_LAST_ORDER]],Table2[R-Cutoff],1)</f>
        <v>4</v>
      </c>
      <c r="X914" s="2">
        <f>MATCH(Auto_Sales_data___Copy[[#This Row],[Total_Orders_Per_Customer]],Table2[F-Cutoff],1)</f>
        <v>3</v>
      </c>
      <c r="Y914" s="2">
        <f>MATCH(Auto_Sales_data___Copy[[#This Row],[Total_Sales_Per_Customer]],Table2[M-Cutoff],1)</f>
        <v>3</v>
      </c>
      <c r="Z914" s="2" t="str">
        <f>Auto_Sales_data___Copy[[#This Row],[R-Score(1-5)]]&amp;Auto_Sales_data___Copy[[#This Row],[F-Score(1-5)]]&amp;Auto_Sales_data___Copy[[#This Row],[M-Score(1-5)]]</f>
        <v>433</v>
      </c>
      <c r="AA914" s="2" t="str" cm="1">
        <f t="array" ref="AA9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4" s="2" t="str">
        <f>VLOOKUP(Auto_Sales_data___Copy[[#This Row],[Segment Name]],Table3[],2,FALSE)</f>
        <v>Brand Awareness &amp; Value Proposition</v>
      </c>
    </row>
    <row r="915" spans="1:28" x14ac:dyDescent="0.25">
      <c r="A915">
        <v>10226</v>
      </c>
      <c r="B915">
        <v>38</v>
      </c>
      <c r="C915">
        <v>109.51</v>
      </c>
      <c r="D915">
        <v>4</v>
      </c>
      <c r="E915">
        <v>4161.38</v>
      </c>
      <c r="F915" s="1">
        <v>43522</v>
      </c>
      <c r="G915" s="2" t="s">
        <v>19</v>
      </c>
      <c r="H915" s="2" t="s">
        <v>183</v>
      </c>
      <c r="I915">
        <v>124</v>
      </c>
      <c r="J915" s="2" t="s">
        <v>606</v>
      </c>
      <c r="K915" s="2" t="s">
        <v>379</v>
      </c>
      <c r="L915" s="2" t="s">
        <v>380</v>
      </c>
      <c r="M915" s="2" t="s">
        <v>381</v>
      </c>
      <c r="N915" s="2" t="s">
        <v>382</v>
      </c>
      <c r="O915" s="2" t="s">
        <v>383</v>
      </c>
      <c r="P915" s="2" t="s">
        <v>27</v>
      </c>
      <c r="Q915" s="2" t="s">
        <v>243</v>
      </c>
      <c r="R915" s="2" t="s">
        <v>289</v>
      </c>
      <c r="S915" s="2" t="s">
        <v>46</v>
      </c>
      <c r="T915">
        <v>972</v>
      </c>
      <c r="U915">
        <f>VLOOKUP(Auto_Sales_data___Copy[[#This Row],[CUSTOMER_NAME]],$AF$2:$AH$90,2,FALSE)</f>
        <v>25</v>
      </c>
      <c r="V915">
        <f>VLOOKUP(Auto_Sales_data___Copy[[#This Row],[CUSTOMER_NAME]],$AF$2:$AH$90,3,FALSE)</f>
        <v>87489.23000000001</v>
      </c>
      <c r="W915" s="2">
        <f>6-MATCH(Auto_Sales_data___Copy[[#This Row],[DAYS_SINCE_LAST_ORDER]],Table2[R-Cutoff],1)</f>
        <v>4</v>
      </c>
      <c r="X915" s="2">
        <f>MATCH(Auto_Sales_data___Copy[[#This Row],[Total_Orders_Per_Customer]],Table2[F-Cutoff],1)</f>
        <v>3</v>
      </c>
      <c r="Y915" s="2">
        <f>MATCH(Auto_Sales_data___Copy[[#This Row],[Total_Sales_Per_Customer]],Table2[M-Cutoff],1)</f>
        <v>3</v>
      </c>
      <c r="Z915" s="2" t="str">
        <f>Auto_Sales_data___Copy[[#This Row],[R-Score(1-5)]]&amp;Auto_Sales_data___Copy[[#This Row],[F-Score(1-5)]]&amp;Auto_Sales_data___Copy[[#This Row],[M-Score(1-5)]]</f>
        <v>433</v>
      </c>
      <c r="AA915" s="2" t="str" cm="1">
        <f t="array" ref="AA9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5" s="2" t="str">
        <f>VLOOKUP(Auto_Sales_data___Copy[[#This Row],[Segment Name]],Table3[],2,FALSE)</f>
        <v>Brand Awareness &amp; Value Proposition</v>
      </c>
    </row>
    <row r="916" spans="1:28" x14ac:dyDescent="0.25">
      <c r="A916">
        <v>10226</v>
      </c>
      <c r="B916">
        <v>24</v>
      </c>
      <c r="C916">
        <v>162.16999999999999</v>
      </c>
      <c r="D916">
        <v>7</v>
      </c>
      <c r="E916">
        <v>3892.08</v>
      </c>
      <c r="F916" s="1">
        <v>43522</v>
      </c>
      <c r="G916" s="2" t="s">
        <v>19</v>
      </c>
      <c r="H916" s="2" t="s">
        <v>183</v>
      </c>
      <c r="I916">
        <v>142</v>
      </c>
      <c r="J916" s="2" t="s">
        <v>630</v>
      </c>
      <c r="K916" s="2" t="s">
        <v>379</v>
      </c>
      <c r="L916" s="2" t="s">
        <v>380</v>
      </c>
      <c r="M916" s="2" t="s">
        <v>381</v>
      </c>
      <c r="N916" s="2" t="s">
        <v>382</v>
      </c>
      <c r="O916" s="2" t="s">
        <v>383</v>
      </c>
      <c r="P916" s="2" t="s">
        <v>27</v>
      </c>
      <c r="Q916" s="2" t="s">
        <v>243</v>
      </c>
      <c r="R916" s="2" t="s">
        <v>289</v>
      </c>
      <c r="S916" s="2" t="s">
        <v>46</v>
      </c>
      <c r="T916">
        <v>1069</v>
      </c>
      <c r="U916">
        <f>VLOOKUP(Auto_Sales_data___Copy[[#This Row],[CUSTOMER_NAME]],$AF$2:$AH$90,2,FALSE)</f>
        <v>25</v>
      </c>
      <c r="V916">
        <f>VLOOKUP(Auto_Sales_data___Copy[[#This Row],[CUSTOMER_NAME]],$AF$2:$AH$90,3,FALSE)</f>
        <v>87489.23000000001</v>
      </c>
      <c r="W916" s="2">
        <f>6-MATCH(Auto_Sales_data___Copy[[#This Row],[DAYS_SINCE_LAST_ORDER]],Table2[R-Cutoff],1)</f>
        <v>4</v>
      </c>
      <c r="X916" s="2">
        <f>MATCH(Auto_Sales_data___Copy[[#This Row],[Total_Orders_Per_Customer]],Table2[F-Cutoff],1)</f>
        <v>3</v>
      </c>
      <c r="Y916" s="2">
        <f>MATCH(Auto_Sales_data___Copy[[#This Row],[Total_Sales_Per_Customer]],Table2[M-Cutoff],1)</f>
        <v>3</v>
      </c>
      <c r="Z916" s="2" t="str">
        <f>Auto_Sales_data___Copy[[#This Row],[R-Score(1-5)]]&amp;Auto_Sales_data___Copy[[#This Row],[F-Score(1-5)]]&amp;Auto_Sales_data___Copy[[#This Row],[M-Score(1-5)]]</f>
        <v>433</v>
      </c>
      <c r="AA916" s="2" t="str" cm="1">
        <f t="array" ref="AA9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6" s="2" t="str">
        <f>VLOOKUP(Auto_Sales_data___Copy[[#This Row],[Segment Name]],Table3[],2,FALSE)</f>
        <v>Brand Awareness &amp; Value Proposition</v>
      </c>
    </row>
    <row r="917" spans="1:28" x14ac:dyDescent="0.25">
      <c r="A917">
        <v>10226</v>
      </c>
      <c r="B917">
        <v>24</v>
      </c>
      <c r="C917">
        <v>134.63999999999999</v>
      </c>
      <c r="D917">
        <v>5</v>
      </c>
      <c r="E917">
        <v>3231.36</v>
      </c>
      <c r="F917" s="1">
        <v>43522</v>
      </c>
      <c r="G917" s="2" t="s">
        <v>19</v>
      </c>
      <c r="H917" s="2" t="s">
        <v>183</v>
      </c>
      <c r="I917">
        <v>132</v>
      </c>
      <c r="J917" s="2" t="s">
        <v>639</v>
      </c>
      <c r="K917" s="2" t="s">
        <v>379</v>
      </c>
      <c r="L917" s="2" t="s">
        <v>380</v>
      </c>
      <c r="M917" s="2" t="s">
        <v>381</v>
      </c>
      <c r="N917" s="2" t="s">
        <v>382</v>
      </c>
      <c r="O917" s="2" t="s">
        <v>383</v>
      </c>
      <c r="P917" s="2" t="s">
        <v>27</v>
      </c>
      <c r="Q917" s="2" t="s">
        <v>243</v>
      </c>
      <c r="R917" s="2" t="s">
        <v>289</v>
      </c>
      <c r="S917" s="2" t="s">
        <v>46</v>
      </c>
      <c r="T917">
        <v>1293</v>
      </c>
      <c r="U917">
        <f>VLOOKUP(Auto_Sales_data___Copy[[#This Row],[CUSTOMER_NAME]],$AF$2:$AH$90,2,FALSE)</f>
        <v>25</v>
      </c>
      <c r="V917">
        <f>VLOOKUP(Auto_Sales_data___Copy[[#This Row],[CUSTOMER_NAME]],$AF$2:$AH$90,3,FALSE)</f>
        <v>87489.23000000001</v>
      </c>
      <c r="W917" s="2">
        <f>6-MATCH(Auto_Sales_data___Copy[[#This Row],[DAYS_SINCE_LAST_ORDER]],Table2[R-Cutoff],1)</f>
        <v>4</v>
      </c>
      <c r="X917" s="2">
        <f>MATCH(Auto_Sales_data___Copy[[#This Row],[Total_Orders_Per_Customer]],Table2[F-Cutoff],1)</f>
        <v>3</v>
      </c>
      <c r="Y917" s="2">
        <f>MATCH(Auto_Sales_data___Copy[[#This Row],[Total_Sales_Per_Customer]],Table2[M-Cutoff],1)</f>
        <v>3</v>
      </c>
      <c r="Z917" s="2" t="str">
        <f>Auto_Sales_data___Copy[[#This Row],[R-Score(1-5)]]&amp;Auto_Sales_data___Copy[[#This Row],[F-Score(1-5)]]&amp;Auto_Sales_data___Copy[[#This Row],[M-Score(1-5)]]</f>
        <v>433</v>
      </c>
      <c r="AA917" s="2" t="str" cm="1">
        <f t="array" ref="AA9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7" s="2" t="str">
        <f>VLOOKUP(Auto_Sales_data___Copy[[#This Row],[Segment Name]],Table3[],2,FALSE)</f>
        <v>Brand Awareness &amp; Value Proposition</v>
      </c>
    </row>
    <row r="918" spans="1:28" x14ac:dyDescent="0.25">
      <c r="A918">
        <v>10280</v>
      </c>
      <c r="B918">
        <v>25</v>
      </c>
      <c r="C918">
        <v>62.96</v>
      </c>
      <c r="D918">
        <v>15</v>
      </c>
      <c r="E918">
        <v>1574</v>
      </c>
      <c r="F918" s="1">
        <v>43694</v>
      </c>
      <c r="G918" s="2" t="s">
        <v>19</v>
      </c>
      <c r="H918" s="2" t="s">
        <v>589</v>
      </c>
      <c r="I918">
        <v>60</v>
      </c>
      <c r="J918" s="2" t="s">
        <v>632</v>
      </c>
      <c r="K918" s="2" t="s">
        <v>264</v>
      </c>
      <c r="L918" s="2" t="s">
        <v>265</v>
      </c>
      <c r="M918" s="2" t="s">
        <v>266</v>
      </c>
      <c r="N918" s="2" t="s">
        <v>267</v>
      </c>
      <c r="O918" s="2" t="s">
        <v>268</v>
      </c>
      <c r="P918" s="2" t="s">
        <v>269</v>
      </c>
      <c r="Q918" s="2" t="s">
        <v>270</v>
      </c>
      <c r="R918" s="2" t="s">
        <v>271</v>
      </c>
      <c r="S918" s="2" t="s">
        <v>30</v>
      </c>
      <c r="T918">
        <v>952</v>
      </c>
      <c r="U918">
        <f>VLOOKUP(Auto_Sales_data___Copy[[#This Row],[CUSTOMER_NAME]],$AF$2:$AH$90,2,FALSE)</f>
        <v>26</v>
      </c>
      <c r="V918">
        <f>VLOOKUP(Auto_Sales_data___Copy[[#This Row],[CUSTOMER_NAME]],$AF$2:$AH$90,3,FALSE)</f>
        <v>94117.26</v>
      </c>
      <c r="W918" s="2">
        <f>6-MATCH(Auto_Sales_data___Copy[[#This Row],[DAYS_SINCE_LAST_ORDER]],Table2[R-Cutoff],1)</f>
        <v>4</v>
      </c>
      <c r="X918" s="2">
        <f>MATCH(Auto_Sales_data___Copy[[#This Row],[Total_Orders_Per_Customer]],Table2[F-Cutoff],1)</f>
        <v>3</v>
      </c>
      <c r="Y918" s="2">
        <f>MATCH(Auto_Sales_data___Copy[[#This Row],[Total_Sales_Per_Customer]],Table2[M-Cutoff],1)</f>
        <v>3</v>
      </c>
      <c r="Z918" s="2" t="str">
        <f>Auto_Sales_data___Copy[[#This Row],[R-Score(1-5)]]&amp;Auto_Sales_data___Copy[[#This Row],[F-Score(1-5)]]&amp;Auto_Sales_data___Copy[[#This Row],[M-Score(1-5)]]</f>
        <v>433</v>
      </c>
      <c r="AA918" s="2" t="str" cm="1">
        <f t="array" ref="AA9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8" s="2" t="str">
        <f>VLOOKUP(Auto_Sales_data___Copy[[#This Row],[Segment Name]],Table3[],2,FALSE)</f>
        <v>Brand Awareness &amp; Value Proposition</v>
      </c>
    </row>
    <row r="919" spans="1:28" x14ac:dyDescent="0.25">
      <c r="A919">
        <v>10280</v>
      </c>
      <c r="B919">
        <v>37</v>
      </c>
      <c r="C919">
        <v>128.4</v>
      </c>
      <c r="D919">
        <v>13</v>
      </c>
      <c r="E919">
        <v>4750.8</v>
      </c>
      <c r="F919" s="1">
        <v>43694</v>
      </c>
      <c r="G919" s="2" t="s">
        <v>19</v>
      </c>
      <c r="H919" s="2" t="s">
        <v>589</v>
      </c>
      <c r="I919">
        <v>127</v>
      </c>
      <c r="J919" s="2" t="s">
        <v>634</v>
      </c>
      <c r="K919" s="2" t="s">
        <v>264</v>
      </c>
      <c r="L919" s="2" t="s">
        <v>265</v>
      </c>
      <c r="M919" s="2" t="s">
        <v>266</v>
      </c>
      <c r="N919" s="2" t="s">
        <v>267</v>
      </c>
      <c r="O919" s="2" t="s">
        <v>268</v>
      </c>
      <c r="P919" s="2" t="s">
        <v>269</v>
      </c>
      <c r="Q919" s="2" t="s">
        <v>270</v>
      </c>
      <c r="R919" s="2" t="s">
        <v>271</v>
      </c>
      <c r="S919" s="2" t="s">
        <v>46</v>
      </c>
      <c r="T919">
        <v>999</v>
      </c>
      <c r="U919">
        <f>VLOOKUP(Auto_Sales_data___Copy[[#This Row],[CUSTOMER_NAME]],$AF$2:$AH$90,2,FALSE)</f>
        <v>26</v>
      </c>
      <c r="V919">
        <f>VLOOKUP(Auto_Sales_data___Copy[[#This Row],[CUSTOMER_NAME]],$AF$2:$AH$90,3,FALSE)</f>
        <v>94117.26</v>
      </c>
      <c r="W919" s="2">
        <f>6-MATCH(Auto_Sales_data___Copy[[#This Row],[DAYS_SINCE_LAST_ORDER]],Table2[R-Cutoff],1)</f>
        <v>4</v>
      </c>
      <c r="X919" s="2">
        <f>MATCH(Auto_Sales_data___Copy[[#This Row],[Total_Orders_Per_Customer]],Table2[F-Cutoff],1)</f>
        <v>3</v>
      </c>
      <c r="Y919" s="2">
        <f>MATCH(Auto_Sales_data___Copy[[#This Row],[Total_Sales_Per_Customer]],Table2[M-Cutoff],1)</f>
        <v>3</v>
      </c>
      <c r="Z919" s="2" t="str">
        <f>Auto_Sales_data___Copy[[#This Row],[R-Score(1-5)]]&amp;Auto_Sales_data___Copy[[#This Row],[F-Score(1-5)]]&amp;Auto_Sales_data___Copy[[#This Row],[M-Score(1-5)]]</f>
        <v>433</v>
      </c>
      <c r="AA919" s="2" t="str" cm="1">
        <f t="array" ref="AA9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9" s="2" t="str">
        <f>VLOOKUP(Auto_Sales_data___Copy[[#This Row],[Segment Name]],Table3[],2,FALSE)</f>
        <v>Brand Awareness &amp; Value Proposition</v>
      </c>
    </row>
    <row r="920" spans="1:28" x14ac:dyDescent="0.25">
      <c r="A920">
        <v>10280</v>
      </c>
      <c r="B920">
        <v>22</v>
      </c>
      <c r="C920">
        <v>202.5</v>
      </c>
      <c r="D920">
        <v>10</v>
      </c>
      <c r="E920">
        <v>4455</v>
      </c>
      <c r="F920" s="1">
        <v>43694</v>
      </c>
      <c r="G920" s="2" t="s">
        <v>19</v>
      </c>
      <c r="H920" s="2" t="s">
        <v>589</v>
      </c>
      <c r="I920">
        <v>168</v>
      </c>
      <c r="J920" s="2" t="s">
        <v>638</v>
      </c>
      <c r="K920" s="2" t="s">
        <v>264</v>
      </c>
      <c r="L920" s="2" t="s">
        <v>265</v>
      </c>
      <c r="M920" s="2" t="s">
        <v>266</v>
      </c>
      <c r="N920" s="2" t="s">
        <v>267</v>
      </c>
      <c r="O920" s="2" t="s">
        <v>268</v>
      </c>
      <c r="P920" s="2" t="s">
        <v>269</v>
      </c>
      <c r="Q920" s="2" t="s">
        <v>270</v>
      </c>
      <c r="R920" s="2" t="s">
        <v>271</v>
      </c>
      <c r="S920" s="2" t="s">
        <v>46</v>
      </c>
      <c r="T920">
        <v>1099</v>
      </c>
      <c r="U920">
        <f>VLOOKUP(Auto_Sales_data___Copy[[#This Row],[CUSTOMER_NAME]],$AF$2:$AH$90,2,FALSE)</f>
        <v>26</v>
      </c>
      <c r="V920">
        <f>VLOOKUP(Auto_Sales_data___Copy[[#This Row],[CUSTOMER_NAME]],$AF$2:$AH$90,3,FALSE)</f>
        <v>94117.26</v>
      </c>
      <c r="W920" s="2">
        <f>6-MATCH(Auto_Sales_data___Copy[[#This Row],[DAYS_SINCE_LAST_ORDER]],Table2[R-Cutoff],1)</f>
        <v>4</v>
      </c>
      <c r="X920" s="2">
        <f>MATCH(Auto_Sales_data___Copy[[#This Row],[Total_Orders_Per_Customer]],Table2[F-Cutoff],1)</f>
        <v>3</v>
      </c>
      <c r="Y920" s="2">
        <f>MATCH(Auto_Sales_data___Copy[[#This Row],[Total_Sales_Per_Customer]],Table2[M-Cutoff],1)</f>
        <v>3</v>
      </c>
      <c r="Z920" s="2" t="str">
        <f>Auto_Sales_data___Copy[[#This Row],[R-Score(1-5)]]&amp;Auto_Sales_data___Copy[[#This Row],[F-Score(1-5)]]&amp;Auto_Sales_data___Copy[[#This Row],[M-Score(1-5)]]</f>
        <v>433</v>
      </c>
      <c r="AA920" s="2" t="str" cm="1">
        <f t="array" ref="AA9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0" s="2" t="str">
        <f>VLOOKUP(Auto_Sales_data___Copy[[#This Row],[Segment Name]],Table3[],2,FALSE)</f>
        <v>Brand Awareness &amp; Value Proposition</v>
      </c>
    </row>
    <row r="921" spans="1:28" x14ac:dyDescent="0.25">
      <c r="A921">
        <v>10280</v>
      </c>
      <c r="B921">
        <v>46</v>
      </c>
      <c r="C921">
        <v>111.44</v>
      </c>
      <c r="D921">
        <v>3</v>
      </c>
      <c r="E921">
        <v>5126.24</v>
      </c>
      <c r="F921" s="1">
        <v>43694</v>
      </c>
      <c r="G921" s="2" t="s">
        <v>19</v>
      </c>
      <c r="H921" s="2" t="s">
        <v>589</v>
      </c>
      <c r="I921">
        <v>101</v>
      </c>
      <c r="J921" s="2" t="s">
        <v>640</v>
      </c>
      <c r="K921" s="2" t="s">
        <v>264</v>
      </c>
      <c r="L921" s="2" t="s">
        <v>265</v>
      </c>
      <c r="M921" s="2" t="s">
        <v>266</v>
      </c>
      <c r="N921" s="2" t="s">
        <v>267</v>
      </c>
      <c r="O921" s="2" t="s">
        <v>268</v>
      </c>
      <c r="P921" s="2" t="s">
        <v>269</v>
      </c>
      <c r="Q921" s="2" t="s">
        <v>270</v>
      </c>
      <c r="R921" s="2" t="s">
        <v>271</v>
      </c>
      <c r="S921" s="2" t="s">
        <v>46</v>
      </c>
      <c r="T921">
        <v>1151</v>
      </c>
      <c r="U921">
        <f>VLOOKUP(Auto_Sales_data___Copy[[#This Row],[CUSTOMER_NAME]],$AF$2:$AH$90,2,FALSE)</f>
        <v>26</v>
      </c>
      <c r="V921">
        <f>VLOOKUP(Auto_Sales_data___Copy[[#This Row],[CUSTOMER_NAME]],$AF$2:$AH$90,3,FALSE)</f>
        <v>94117.26</v>
      </c>
      <c r="W921" s="2">
        <f>6-MATCH(Auto_Sales_data___Copy[[#This Row],[DAYS_SINCE_LAST_ORDER]],Table2[R-Cutoff],1)</f>
        <v>4</v>
      </c>
      <c r="X921" s="2">
        <f>MATCH(Auto_Sales_data___Copy[[#This Row],[Total_Orders_Per_Customer]],Table2[F-Cutoff],1)</f>
        <v>3</v>
      </c>
      <c r="Y921" s="2">
        <f>MATCH(Auto_Sales_data___Copy[[#This Row],[Total_Sales_Per_Customer]],Table2[M-Cutoff],1)</f>
        <v>3</v>
      </c>
      <c r="Z921" s="2" t="str">
        <f>Auto_Sales_data___Copy[[#This Row],[R-Score(1-5)]]&amp;Auto_Sales_data___Copy[[#This Row],[F-Score(1-5)]]&amp;Auto_Sales_data___Copy[[#This Row],[M-Score(1-5)]]</f>
        <v>433</v>
      </c>
      <c r="AA921" s="2" t="str" cm="1">
        <f t="array" ref="AA9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1" s="2" t="str">
        <f>VLOOKUP(Auto_Sales_data___Copy[[#This Row],[Segment Name]],Table3[],2,FALSE)</f>
        <v>Brand Awareness &amp; Value Proposition</v>
      </c>
    </row>
    <row r="922" spans="1:28" x14ac:dyDescent="0.25">
      <c r="A922">
        <v>10280</v>
      </c>
      <c r="B922">
        <v>43</v>
      </c>
      <c r="C922">
        <v>68.709999999999994</v>
      </c>
      <c r="D922">
        <v>5</v>
      </c>
      <c r="E922">
        <v>2954.53</v>
      </c>
      <c r="F922" s="1">
        <v>43694</v>
      </c>
      <c r="G922" s="2" t="s">
        <v>19</v>
      </c>
      <c r="H922" s="2" t="s">
        <v>589</v>
      </c>
      <c r="I922">
        <v>62</v>
      </c>
      <c r="J922" s="2" t="s">
        <v>641</v>
      </c>
      <c r="K922" s="2" t="s">
        <v>264</v>
      </c>
      <c r="L922" s="2" t="s">
        <v>265</v>
      </c>
      <c r="M922" s="2" t="s">
        <v>266</v>
      </c>
      <c r="N922" s="2" t="s">
        <v>267</v>
      </c>
      <c r="O922" s="2" t="s">
        <v>268</v>
      </c>
      <c r="P922" s="2" t="s">
        <v>269</v>
      </c>
      <c r="Q922" s="2" t="s">
        <v>270</v>
      </c>
      <c r="R922" s="2" t="s">
        <v>271</v>
      </c>
      <c r="S922" s="2" t="s">
        <v>30</v>
      </c>
      <c r="T922">
        <v>1175</v>
      </c>
      <c r="U922">
        <f>VLOOKUP(Auto_Sales_data___Copy[[#This Row],[CUSTOMER_NAME]],$AF$2:$AH$90,2,FALSE)</f>
        <v>26</v>
      </c>
      <c r="V922">
        <f>VLOOKUP(Auto_Sales_data___Copy[[#This Row],[CUSTOMER_NAME]],$AF$2:$AH$90,3,FALSE)</f>
        <v>94117.26</v>
      </c>
      <c r="W922" s="2">
        <f>6-MATCH(Auto_Sales_data___Copy[[#This Row],[DAYS_SINCE_LAST_ORDER]],Table2[R-Cutoff],1)</f>
        <v>4</v>
      </c>
      <c r="X922" s="2">
        <f>MATCH(Auto_Sales_data___Copy[[#This Row],[Total_Orders_Per_Customer]],Table2[F-Cutoff],1)</f>
        <v>3</v>
      </c>
      <c r="Y922" s="2">
        <f>MATCH(Auto_Sales_data___Copy[[#This Row],[Total_Sales_Per_Customer]],Table2[M-Cutoff],1)</f>
        <v>3</v>
      </c>
      <c r="Z922" s="2" t="str">
        <f>Auto_Sales_data___Copy[[#This Row],[R-Score(1-5)]]&amp;Auto_Sales_data___Copy[[#This Row],[F-Score(1-5)]]&amp;Auto_Sales_data___Copy[[#This Row],[M-Score(1-5)]]</f>
        <v>433</v>
      </c>
      <c r="AA922" s="2" t="str" cm="1">
        <f t="array" ref="AA9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2" s="2" t="str">
        <f>VLOOKUP(Auto_Sales_data___Copy[[#This Row],[Segment Name]],Table3[],2,FALSE)</f>
        <v>Brand Awareness &amp; Value Proposition</v>
      </c>
    </row>
    <row r="923" spans="1:28" x14ac:dyDescent="0.25">
      <c r="A923">
        <v>10280</v>
      </c>
      <c r="B923">
        <v>29</v>
      </c>
      <c r="C923">
        <v>103.67</v>
      </c>
      <c r="D923">
        <v>4</v>
      </c>
      <c r="E923">
        <v>3006.43</v>
      </c>
      <c r="F923" s="1">
        <v>43694</v>
      </c>
      <c r="G923" s="2" t="s">
        <v>19</v>
      </c>
      <c r="H923" s="2" t="s">
        <v>589</v>
      </c>
      <c r="I923">
        <v>104</v>
      </c>
      <c r="J923" s="2" t="s">
        <v>647</v>
      </c>
      <c r="K923" s="2" t="s">
        <v>264</v>
      </c>
      <c r="L923" s="2" t="s">
        <v>265</v>
      </c>
      <c r="M923" s="2" t="s">
        <v>266</v>
      </c>
      <c r="N923" s="2" t="s">
        <v>267</v>
      </c>
      <c r="O923" s="2" t="s">
        <v>268</v>
      </c>
      <c r="P923" s="2" t="s">
        <v>269</v>
      </c>
      <c r="Q923" s="2" t="s">
        <v>270</v>
      </c>
      <c r="R923" s="2" t="s">
        <v>271</v>
      </c>
      <c r="S923" s="2" t="s">
        <v>46</v>
      </c>
      <c r="T923">
        <v>1225</v>
      </c>
      <c r="U923">
        <f>VLOOKUP(Auto_Sales_data___Copy[[#This Row],[CUSTOMER_NAME]],$AF$2:$AH$90,2,FALSE)</f>
        <v>26</v>
      </c>
      <c r="V923">
        <f>VLOOKUP(Auto_Sales_data___Copy[[#This Row],[CUSTOMER_NAME]],$AF$2:$AH$90,3,FALSE)</f>
        <v>94117.26</v>
      </c>
      <c r="W923" s="2">
        <f>6-MATCH(Auto_Sales_data___Copy[[#This Row],[DAYS_SINCE_LAST_ORDER]],Table2[R-Cutoff],1)</f>
        <v>4</v>
      </c>
      <c r="X923" s="2">
        <f>MATCH(Auto_Sales_data___Copy[[#This Row],[Total_Orders_Per_Customer]],Table2[F-Cutoff],1)</f>
        <v>3</v>
      </c>
      <c r="Y923" s="2">
        <f>MATCH(Auto_Sales_data___Copy[[#This Row],[Total_Sales_Per_Customer]],Table2[M-Cutoff],1)</f>
        <v>3</v>
      </c>
      <c r="Z923" s="2" t="str">
        <f>Auto_Sales_data___Copy[[#This Row],[R-Score(1-5)]]&amp;Auto_Sales_data___Copy[[#This Row],[F-Score(1-5)]]&amp;Auto_Sales_data___Copy[[#This Row],[M-Score(1-5)]]</f>
        <v>433</v>
      </c>
      <c r="AA923" s="2" t="str" cm="1">
        <f t="array" ref="AA9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3" s="2" t="str">
        <f>VLOOKUP(Auto_Sales_data___Copy[[#This Row],[Segment Name]],Table3[],2,FALSE)</f>
        <v>Brand Awareness &amp; Value Proposition</v>
      </c>
    </row>
    <row r="924" spans="1:28" x14ac:dyDescent="0.25">
      <c r="A924">
        <v>10280</v>
      </c>
      <c r="B924">
        <v>34</v>
      </c>
      <c r="C924">
        <v>102.19</v>
      </c>
      <c r="D924">
        <v>7</v>
      </c>
      <c r="E924">
        <v>3474.46</v>
      </c>
      <c r="F924" s="1">
        <v>43694</v>
      </c>
      <c r="G924" s="2" t="s">
        <v>19</v>
      </c>
      <c r="H924" s="2" t="s">
        <v>589</v>
      </c>
      <c r="I924">
        <v>99</v>
      </c>
      <c r="J924" s="2" t="s">
        <v>653</v>
      </c>
      <c r="K924" s="2" t="s">
        <v>264</v>
      </c>
      <c r="L924" s="2" t="s">
        <v>265</v>
      </c>
      <c r="M924" s="2" t="s">
        <v>266</v>
      </c>
      <c r="N924" s="2" t="s">
        <v>267</v>
      </c>
      <c r="O924" s="2" t="s">
        <v>268</v>
      </c>
      <c r="P924" s="2" t="s">
        <v>269</v>
      </c>
      <c r="Q924" s="2" t="s">
        <v>270</v>
      </c>
      <c r="R924" s="2" t="s">
        <v>271</v>
      </c>
      <c r="S924" s="2" t="s">
        <v>46</v>
      </c>
      <c r="T924">
        <v>1373</v>
      </c>
      <c r="U924">
        <f>VLOOKUP(Auto_Sales_data___Copy[[#This Row],[CUSTOMER_NAME]],$AF$2:$AH$90,2,FALSE)</f>
        <v>26</v>
      </c>
      <c r="V924">
        <f>VLOOKUP(Auto_Sales_data___Copy[[#This Row],[CUSTOMER_NAME]],$AF$2:$AH$90,3,FALSE)</f>
        <v>94117.26</v>
      </c>
      <c r="W924" s="2">
        <f>6-MATCH(Auto_Sales_data___Copy[[#This Row],[DAYS_SINCE_LAST_ORDER]],Table2[R-Cutoff],1)</f>
        <v>4</v>
      </c>
      <c r="X924" s="2">
        <f>MATCH(Auto_Sales_data___Copy[[#This Row],[Total_Orders_Per_Customer]],Table2[F-Cutoff],1)</f>
        <v>3</v>
      </c>
      <c r="Y924" s="2">
        <f>MATCH(Auto_Sales_data___Copy[[#This Row],[Total_Sales_Per_Customer]],Table2[M-Cutoff],1)</f>
        <v>3</v>
      </c>
      <c r="Z924" s="2" t="str">
        <f>Auto_Sales_data___Copy[[#This Row],[R-Score(1-5)]]&amp;Auto_Sales_data___Copy[[#This Row],[F-Score(1-5)]]&amp;Auto_Sales_data___Copy[[#This Row],[M-Score(1-5)]]</f>
        <v>433</v>
      </c>
      <c r="AA924" s="2" t="str" cm="1">
        <f t="array" ref="AA9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4" s="2" t="str">
        <f>VLOOKUP(Auto_Sales_data___Copy[[#This Row],[Segment Name]],Table3[],2,FALSE)</f>
        <v>Brand Awareness &amp; Value Proposition</v>
      </c>
    </row>
    <row r="925" spans="1:28" x14ac:dyDescent="0.25">
      <c r="A925">
        <v>10293</v>
      </c>
      <c r="B925">
        <v>24</v>
      </c>
      <c r="C925">
        <v>117.47</v>
      </c>
      <c r="D925">
        <v>4</v>
      </c>
      <c r="E925">
        <v>2819.28</v>
      </c>
      <c r="F925" s="1">
        <v>43717</v>
      </c>
      <c r="G925" s="2" t="s">
        <v>19</v>
      </c>
      <c r="H925" s="2" t="s">
        <v>589</v>
      </c>
      <c r="I925">
        <v>136</v>
      </c>
      <c r="J925" s="2" t="s">
        <v>648</v>
      </c>
      <c r="K925" s="2" t="s">
        <v>264</v>
      </c>
      <c r="L925" s="2" t="s">
        <v>265</v>
      </c>
      <c r="M925" s="2" t="s">
        <v>266</v>
      </c>
      <c r="N925" s="2" t="s">
        <v>267</v>
      </c>
      <c r="O925" s="2" t="s">
        <v>268</v>
      </c>
      <c r="P925" s="2" t="s">
        <v>269</v>
      </c>
      <c r="Q925" s="2" t="s">
        <v>270</v>
      </c>
      <c r="R925" s="2" t="s">
        <v>271</v>
      </c>
      <c r="S925" s="2" t="s">
        <v>30</v>
      </c>
      <c r="T925">
        <v>1228</v>
      </c>
      <c r="U925">
        <f>VLOOKUP(Auto_Sales_data___Copy[[#This Row],[CUSTOMER_NAME]],$AF$2:$AH$90,2,FALSE)</f>
        <v>26</v>
      </c>
      <c r="V925">
        <f>VLOOKUP(Auto_Sales_data___Copy[[#This Row],[CUSTOMER_NAME]],$AF$2:$AH$90,3,FALSE)</f>
        <v>94117.26</v>
      </c>
      <c r="W925" s="2">
        <f>6-MATCH(Auto_Sales_data___Copy[[#This Row],[DAYS_SINCE_LAST_ORDER]],Table2[R-Cutoff],1)</f>
        <v>4</v>
      </c>
      <c r="X925" s="2">
        <f>MATCH(Auto_Sales_data___Copy[[#This Row],[Total_Orders_Per_Customer]],Table2[F-Cutoff],1)</f>
        <v>3</v>
      </c>
      <c r="Y925" s="2">
        <f>MATCH(Auto_Sales_data___Copy[[#This Row],[Total_Sales_Per_Customer]],Table2[M-Cutoff],1)</f>
        <v>3</v>
      </c>
      <c r="Z925" s="2" t="str">
        <f>Auto_Sales_data___Copy[[#This Row],[R-Score(1-5)]]&amp;Auto_Sales_data___Copy[[#This Row],[F-Score(1-5)]]&amp;Auto_Sales_data___Copy[[#This Row],[M-Score(1-5)]]</f>
        <v>433</v>
      </c>
      <c r="AA925" s="2" t="str" cm="1">
        <f t="array" ref="AA9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5" s="2" t="str">
        <f>VLOOKUP(Auto_Sales_data___Copy[[#This Row],[Segment Name]],Table3[],2,FALSE)</f>
        <v>Brand Awareness &amp; Value Proposition</v>
      </c>
    </row>
    <row r="926" spans="1:28" x14ac:dyDescent="0.25">
      <c r="A926">
        <v>10293</v>
      </c>
      <c r="B926">
        <v>22</v>
      </c>
      <c r="C926">
        <v>109.92</v>
      </c>
      <c r="D926">
        <v>6</v>
      </c>
      <c r="E926">
        <v>2418.2399999999998</v>
      </c>
      <c r="F926" s="1">
        <v>43717</v>
      </c>
      <c r="G926" s="2" t="s">
        <v>19</v>
      </c>
      <c r="H926" s="2" t="s">
        <v>650</v>
      </c>
      <c r="I926">
        <v>100</v>
      </c>
      <c r="J926" s="2" t="s">
        <v>651</v>
      </c>
      <c r="K926" s="2" t="s">
        <v>264</v>
      </c>
      <c r="L926" s="2" t="s">
        <v>265</v>
      </c>
      <c r="M926" s="2" t="s">
        <v>266</v>
      </c>
      <c r="N926" s="2" t="s">
        <v>267</v>
      </c>
      <c r="O926" s="2" t="s">
        <v>268</v>
      </c>
      <c r="P926" s="2" t="s">
        <v>269</v>
      </c>
      <c r="Q926" s="2" t="s">
        <v>270</v>
      </c>
      <c r="R926" s="2" t="s">
        <v>271</v>
      </c>
      <c r="S926" s="2" t="s">
        <v>30</v>
      </c>
      <c r="T926">
        <v>1304</v>
      </c>
      <c r="U926">
        <f>VLOOKUP(Auto_Sales_data___Copy[[#This Row],[CUSTOMER_NAME]],$AF$2:$AH$90,2,FALSE)</f>
        <v>26</v>
      </c>
      <c r="V926">
        <f>VLOOKUP(Auto_Sales_data___Copy[[#This Row],[CUSTOMER_NAME]],$AF$2:$AH$90,3,FALSE)</f>
        <v>94117.26</v>
      </c>
      <c r="W926" s="2">
        <f>6-MATCH(Auto_Sales_data___Copy[[#This Row],[DAYS_SINCE_LAST_ORDER]],Table2[R-Cutoff],1)</f>
        <v>4</v>
      </c>
      <c r="X926" s="2">
        <f>MATCH(Auto_Sales_data___Copy[[#This Row],[Total_Orders_Per_Customer]],Table2[F-Cutoff],1)</f>
        <v>3</v>
      </c>
      <c r="Y926" s="2">
        <f>MATCH(Auto_Sales_data___Copy[[#This Row],[Total_Sales_Per_Customer]],Table2[M-Cutoff],1)</f>
        <v>3</v>
      </c>
      <c r="Z926" s="2" t="str">
        <f>Auto_Sales_data___Copy[[#This Row],[R-Score(1-5)]]&amp;Auto_Sales_data___Copy[[#This Row],[F-Score(1-5)]]&amp;Auto_Sales_data___Copy[[#This Row],[M-Score(1-5)]]</f>
        <v>433</v>
      </c>
      <c r="AA926" s="2" t="str" cm="1">
        <f t="array" ref="AA9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6" s="2" t="str">
        <f>VLOOKUP(Auto_Sales_data___Copy[[#This Row],[Segment Name]],Table3[],2,FALSE)</f>
        <v>Brand Awareness &amp; Value Proposition</v>
      </c>
    </row>
    <row r="927" spans="1:28" x14ac:dyDescent="0.25">
      <c r="A927">
        <v>10308</v>
      </c>
      <c r="B927">
        <v>27</v>
      </c>
      <c r="C927">
        <v>82.79</v>
      </c>
      <c r="D927">
        <v>7</v>
      </c>
      <c r="E927">
        <v>2235.33</v>
      </c>
      <c r="F927" s="1">
        <v>43753</v>
      </c>
      <c r="G927" s="2" t="s">
        <v>19</v>
      </c>
      <c r="H927" s="2" t="s">
        <v>607</v>
      </c>
      <c r="I927">
        <v>84</v>
      </c>
      <c r="J927" s="2" t="s">
        <v>636</v>
      </c>
      <c r="K927" s="2" t="s">
        <v>332</v>
      </c>
      <c r="L927" s="2" t="s">
        <v>333</v>
      </c>
      <c r="M927" s="2" t="s">
        <v>334</v>
      </c>
      <c r="N927" s="2" t="s">
        <v>335</v>
      </c>
      <c r="O927" s="2" t="s">
        <v>336</v>
      </c>
      <c r="P927" s="2" t="s">
        <v>27</v>
      </c>
      <c r="Q927" s="2" t="s">
        <v>93</v>
      </c>
      <c r="R927" s="2" t="s">
        <v>244</v>
      </c>
      <c r="S927" s="2" t="s">
        <v>30</v>
      </c>
      <c r="T927">
        <v>993</v>
      </c>
      <c r="U927">
        <f>VLOOKUP(Auto_Sales_data___Copy[[#This Row],[CUSTOMER_NAME]],$AF$2:$AH$90,2,FALSE)</f>
        <v>26</v>
      </c>
      <c r="V927">
        <f>VLOOKUP(Auto_Sales_data___Copy[[#This Row],[CUSTOMER_NAME]],$AF$2:$AH$90,3,FALSE)</f>
        <v>85555.989999999976</v>
      </c>
      <c r="W927" s="2">
        <f>6-MATCH(Auto_Sales_data___Copy[[#This Row],[DAYS_SINCE_LAST_ORDER]],Table2[R-Cutoff],1)</f>
        <v>4</v>
      </c>
      <c r="X927" s="2">
        <f>MATCH(Auto_Sales_data___Copy[[#This Row],[Total_Orders_Per_Customer]],Table2[F-Cutoff],1)</f>
        <v>3</v>
      </c>
      <c r="Y927" s="2">
        <f>MATCH(Auto_Sales_data___Copy[[#This Row],[Total_Sales_Per_Customer]],Table2[M-Cutoff],1)</f>
        <v>3</v>
      </c>
      <c r="Z927" s="2" t="str">
        <f>Auto_Sales_data___Copy[[#This Row],[R-Score(1-5)]]&amp;Auto_Sales_data___Copy[[#This Row],[F-Score(1-5)]]&amp;Auto_Sales_data___Copy[[#This Row],[M-Score(1-5)]]</f>
        <v>433</v>
      </c>
      <c r="AA927" s="2" t="str" cm="1">
        <f t="array" ref="AA9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7" s="2" t="str">
        <f>VLOOKUP(Auto_Sales_data___Copy[[#This Row],[Segment Name]],Table3[],2,FALSE)</f>
        <v>Brand Awareness &amp; Value Proposition</v>
      </c>
    </row>
    <row r="928" spans="1:28" x14ac:dyDescent="0.25">
      <c r="A928">
        <v>10308</v>
      </c>
      <c r="B928">
        <v>34</v>
      </c>
      <c r="C928">
        <v>52.09</v>
      </c>
      <c r="D928">
        <v>3</v>
      </c>
      <c r="E928">
        <v>1771.06</v>
      </c>
      <c r="F928" s="1">
        <v>43753</v>
      </c>
      <c r="G928" s="2" t="s">
        <v>19</v>
      </c>
      <c r="H928" s="2" t="s">
        <v>20</v>
      </c>
      <c r="I928">
        <v>60</v>
      </c>
      <c r="J928" s="2" t="s">
        <v>637</v>
      </c>
      <c r="K928" s="2" t="s">
        <v>332</v>
      </c>
      <c r="L928" s="2" t="s">
        <v>333</v>
      </c>
      <c r="M928" s="2" t="s">
        <v>334</v>
      </c>
      <c r="N928" s="2" t="s">
        <v>335</v>
      </c>
      <c r="O928" s="2" t="s">
        <v>336</v>
      </c>
      <c r="P928" s="2" t="s">
        <v>27</v>
      </c>
      <c r="Q928" s="2" t="s">
        <v>93</v>
      </c>
      <c r="R928" s="2" t="s">
        <v>244</v>
      </c>
      <c r="S928" s="2" t="s">
        <v>30</v>
      </c>
      <c r="T928">
        <v>1018</v>
      </c>
      <c r="U928">
        <f>VLOOKUP(Auto_Sales_data___Copy[[#This Row],[CUSTOMER_NAME]],$AF$2:$AH$90,2,FALSE)</f>
        <v>26</v>
      </c>
      <c r="V928">
        <f>VLOOKUP(Auto_Sales_data___Copy[[#This Row],[CUSTOMER_NAME]],$AF$2:$AH$90,3,FALSE)</f>
        <v>85555.989999999976</v>
      </c>
      <c r="W928" s="2">
        <f>6-MATCH(Auto_Sales_data___Copy[[#This Row],[DAYS_SINCE_LAST_ORDER]],Table2[R-Cutoff],1)</f>
        <v>4</v>
      </c>
      <c r="X928" s="2">
        <f>MATCH(Auto_Sales_data___Copy[[#This Row],[Total_Orders_Per_Customer]],Table2[F-Cutoff],1)</f>
        <v>3</v>
      </c>
      <c r="Y928" s="2">
        <f>MATCH(Auto_Sales_data___Copy[[#This Row],[Total_Sales_Per_Customer]],Table2[M-Cutoff],1)</f>
        <v>3</v>
      </c>
      <c r="Z928" s="2" t="str">
        <f>Auto_Sales_data___Copy[[#This Row],[R-Score(1-5)]]&amp;Auto_Sales_data___Copy[[#This Row],[F-Score(1-5)]]&amp;Auto_Sales_data___Copy[[#This Row],[M-Score(1-5)]]</f>
        <v>433</v>
      </c>
      <c r="AA928" s="2" t="str" cm="1">
        <f t="array" ref="AA9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8" s="2" t="str">
        <f>VLOOKUP(Auto_Sales_data___Copy[[#This Row],[Segment Name]],Table3[],2,FALSE)</f>
        <v>Brand Awareness &amp; Value Proposition</v>
      </c>
    </row>
    <row r="929" spans="1:28" x14ac:dyDescent="0.25">
      <c r="A929">
        <v>10310</v>
      </c>
      <c r="B929">
        <v>48</v>
      </c>
      <c r="C929">
        <v>186.27</v>
      </c>
      <c r="D929">
        <v>3</v>
      </c>
      <c r="E929">
        <v>8940.9599999999991</v>
      </c>
      <c r="F929" s="1">
        <v>43754</v>
      </c>
      <c r="G929" s="2" t="s">
        <v>19</v>
      </c>
      <c r="H929" s="2" t="s">
        <v>183</v>
      </c>
      <c r="I929">
        <v>169</v>
      </c>
      <c r="J929" s="2" t="s">
        <v>649</v>
      </c>
      <c r="K929" s="2" t="s">
        <v>465</v>
      </c>
      <c r="L929" s="2" t="s">
        <v>466</v>
      </c>
      <c r="M929" s="2" t="s">
        <v>467</v>
      </c>
      <c r="N929" s="2" t="s">
        <v>468</v>
      </c>
      <c r="O929" s="2" t="s">
        <v>469</v>
      </c>
      <c r="P929" s="2" t="s">
        <v>470</v>
      </c>
      <c r="Q929" s="2" t="s">
        <v>471</v>
      </c>
      <c r="R929" s="2" t="s">
        <v>472</v>
      </c>
      <c r="S929" s="2" t="s">
        <v>151</v>
      </c>
      <c r="T929">
        <v>1234</v>
      </c>
      <c r="U929">
        <f>VLOOKUP(Auto_Sales_data___Copy[[#This Row],[CUSTOMER_NAME]],$AF$2:$AH$90,2,FALSE)</f>
        <v>26</v>
      </c>
      <c r="V929">
        <f>VLOOKUP(Auto_Sales_data___Copy[[#This Row],[CUSTOMER_NAME]],$AF$2:$AH$90,3,FALSE)</f>
        <v>100306.58000000002</v>
      </c>
      <c r="W929" s="2">
        <f>6-MATCH(Auto_Sales_data___Copy[[#This Row],[DAYS_SINCE_LAST_ORDER]],Table2[R-Cutoff],1)</f>
        <v>4</v>
      </c>
      <c r="X929" s="2">
        <f>MATCH(Auto_Sales_data___Copy[[#This Row],[Total_Orders_Per_Customer]],Table2[F-Cutoff],1)</f>
        <v>3</v>
      </c>
      <c r="Y929" s="2">
        <f>MATCH(Auto_Sales_data___Copy[[#This Row],[Total_Sales_Per_Customer]],Table2[M-Cutoff],1)</f>
        <v>3</v>
      </c>
      <c r="Z929" s="2" t="str">
        <f>Auto_Sales_data___Copy[[#This Row],[R-Score(1-5)]]&amp;Auto_Sales_data___Copy[[#This Row],[F-Score(1-5)]]&amp;Auto_Sales_data___Copy[[#This Row],[M-Score(1-5)]]</f>
        <v>433</v>
      </c>
      <c r="AA929" s="2" t="str" cm="1">
        <f t="array" ref="AA9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9" s="2" t="str">
        <f>VLOOKUP(Auto_Sales_data___Copy[[#This Row],[Segment Name]],Table3[],2,FALSE)</f>
        <v>Brand Awareness &amp; Value Proposition</v>
      </c>
    </row>
    <row r="930" spans="1:28" x14ac:dyDescent="0.25">
      <c r="A930">
        <v>10310</v>
      </c>
      <c r="B930">
        <v>27</v>
      </c>
      <c r="C930">
        <v>80.41</v>
      </c>
      <c r="D930">
        <v>13</v>
      </c>
      <c r="E930">
        <v>2171.0700000000002</v>
      </c>
      <c r="F930" s="1">
        <v>43754</v>
      </c>
      <c r="G930" s="2" t="s">
        <v>19</v>
      </c>
      <c r="H930" s="2" t="s">
        <v>183</v>
      </c>
      <c r="I930">
        <v>80</v>
      </c>
      <c r="J930" s="2" t="s">
        <v>652</v>
      </c>
      <c r="K930" s="2" t="s">
        <v>465</v>
      </c>
      <c r="L930" s="2" t="s">
        <v>466</v>
      </c>
      <c r="M930" s="2" t="s">
        <v>467</v>
      </c>
      <c r="N930" s="2" t="s">
        <v>468</v>
      </c>
      <c r="O930" s="2" t="s">
        <v>469</v>
      </c>
      <c r="P930" s="2" t="s">
        <v>470</v>
      </c>
      <c r="Q930" s="2" t="s">
        <v>471</v>
      </c>
      <c r="R930" s="2" t="s">
        <v>472</v>
      </c>
      <c r="S930" s="2" t="s">
        <v>30</v>
      </c>
      <c r="T930">
        <v>1293</v>
      </c>
      <c r="U930">
        <f>VLOOKUP(Auto_Sales_data___Copy[[#This Row],[CUSTOMER_NAME]],$AF$2:$AH$90,2,FALSE)</f>
        <v>26</v>
      </c>
      <c r="V930">
        <f>VLOOKUP(Auto_Sales_data___Copy[[#This Row],[CUSTOMER_NAME]],$AF$2:$AH$90,3,FALSE)</f>
        <v>100306.58000000002</v>
      </c>
      <c r="W930" s="2">
        <f>6-MATCH(Auto_Sales_data___Copy[[#This Row],[DAYS_SINCE_LAST_ORDER]],Table2[R-Cutoff],1)</f>
        <v>4</v>
      </c>
      <c r="X930" s="2">
        <f>MATCH(Auto_Sales_data___Copy[[#This Row],[Total_Orders_Per_Customer]],Table2[F-Cutoff],1)</f>
        <v>3</v>
      </c>
      <c r="Y930" s="2">
        <f>MATCH(Auto_Sales_data___Copy[[#This Row],[Total_Sales_Per_Customer]],Table2[M-Cutoff],1)</f>
        <v>3</v>
      </c>
      <c r="Z930" s="2" t="str">
        <f>Auto_Sales_data___Copy[[#This Row],[R-Score(1-5)]]&amp;Auto_Sales_data___Copy[[#This Row],[F-Score(1-5)]]&amp;Auto_Sales_data___Copy[[#This Row],[M-Score(1-5)]]</f>
        <v>433</v>
      </c>
      <c r="AA930" s="2" t="str" cm="1">
        <f t="array" ref="AA9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0" s="2" t="str">
        <f>VLOOKUP(Auto_Sales_data___Copy[[#This Row],[Segment Name]],Table3[],2,FALSE)</f>
        <v>Brand Awareness &amp; Value Proposition</v>
      </c>
    </row>
    <row r="931" spans="1:28" x14ac:dyDescent="0.25">
      <c r="A931">
        <v>10310</v>
      </c>
      <c r="B931">
        <v>49</v>
      </c>
      <c r="C931">
        <v>127.88</v>
      </c>
      <c r="D931">
        <v>12</v>
      </c>
      <c r="E931">
        <v>6266.12</v>
      </c>
      <c r="F931" s="1">
        <v>43754</v>
      </c>
      <c r="G931" s="2" t="s">
        <v>19</v>
      </c>
      <c r="H931" s="2" t="s">
        <v>183</v>
      </c>
      <c r="I931">
        <v>146</v>
      </c>
      <c r="J931" s="2" t="s">
        <v>654</v>
      </c>
      <c r="K931" s="2" t="s">
        <v>465</v>
      </c>
      <c r="L931" s="2" t="s">
        <v>466</v>
      </c>
      <c r="M931" s="2" t="s">
        <v>467</v>
      </c>
      <c r="N931" s="2" t="s">
        <v>468</v>
      </c>
      <c r="O931" s="2" t="s">
        <v>469</v>
      </c>
      <c r="P931" s="2" t="s">
        <v>470</v>
      </c>
      <c r="Q931" s="2" t="s">
        <v>471</v>
      </c>
      <c r="R931" s="2" t="s">
        <v>472</v>
      </c>
      <c r="S931" s="2" t="s">
        <v>46</v>
      </c>
      <c r="T931">
        <v>1340</v>
      </c>
      <c r="U931">
        <f>VLOOKUP(Auto_Sales_data___Copy[[#This Row],[CUSTOMER_NAME]],$AF$2:$AH$90,2,FALSE)</f>
        <v>26</v>
      </c>
      <c r="V931">
        <f>VLOOKUP(Auto_Sales_data___Copy[[#This Row],[CUSTOMER_NAME]],$AF$2:$AH$90,3,FALSE)</f>
        <v>100306.58000000002</v>
      </c>
      <c r="W931" s="2">
        <f>6-MATCH(Auto_Sales_data___Copy[[#This Row],[DAYS_SINCE_LAST_ORDER]],Table2[R-Cutoff],1)</f>
        <v>4</v>
      </c>
      <c r="X931" s="2">
        <f>MATCH(Auto_Sales_data___Copy[[#This Row],[Total_Orders_Per_Customer]],Table2[F-Cutoff],1)</f>
        <v>3</v>
      </c>
      <c r="Y931" s="2">
        <f>MATCH(Auto_Sales_data___Copy[[#This Row],[Total_Sales_Per_Customer]],Table2[M-Cutoff],1)</f>
        <v>3</v>
      </c>
      <c r="Z931" s="2" t="str">
        <f>Auto_Sales_data___Copy[[#This Row],[R-Score(1-5)]]&amp;Auto_Sales_data___Copy[[#This Row],[F-Score(1-5)]]&amp;Auto_Sales_data___Copy[[#This Row],[M-Score(1-5)]]</f>
        <v>433</v>
      </c>
      <c r="AA931" s="2" t="str" cm="1">
        <f t="array" ref="AA9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1" s="2" t="str">
        <f>VLOOKUP(Auto_Sales_data___Copy[[#This Row],[Segment Name]],Table3[],2,FALSE)</f>
        <v>Brand Awareness &amp; Value Proposition</v>
      </c>
    </row>
    <row r="932" spans="1:28" x14ac:dyDescent="0.25">
      <c r="A932">
        <v>10310</v>
      </c>
      <c r="B932">
        <v>42</v>
      </c>
      <c r="C932">
        <v>67.14</v>
      </c>
      <c r="D932">
        <v>16</v>
      </c>
      <c r="E932">
        <v>2819.88</v>
      </c>
      <c r="F932" s="1">
        <v>43754</v>
      </c>
      <c r="G932" s="2" t="s">
        <v>19</v>
      </c>
      <c r="H932" s="2" t="s">
        <v>20</v>
      </c>
      <c r="I932">
        <v>62</v>
      </c>
      <c r="J932" s="2" t="s">
        <v>656</v>
      </c>
      <c r="K932" s="2" t="s">
        <v>465</v>
      </c>
      <c r="L932" s="2" t="s">
        <v>466</v>
      </c>
      <c r="M932" s="2" t="s">
        <v>467</v>
      </c>
      <c r="N932" s="2" t="s">
        <v>468</v>
      </c>
      <c r="O932" s="2" t="s">
        <v>469</v>
      </c>
      <c r="P932" s="2" t="s">
        <v>470</v>
      </c>
      <c r="Q932" s="2" t="s">
        <v>471</v>
      </c>
      <c r="R932" s="2" t="s">
        <v>472</v>
      </c>
      <c r="S932" s="2" t="s">
        <v>30</v>
      </c>
      <c r="T932">
        <v>1388</v>
      </c>
      <c r="U932">
        <f>VLOOKUP(Auto_Sales_data___Copy[[#This Row],[CUSTOMER_NAME]],$AF$2:$AH$90,2,FALSE)</f>
        <v>26</v>
      </c>
      <c r="V932">
        <f>VLOOKUP(Auto_Sales_data___Copy[[#This Row],[CUSTOMER_NAME]],$AF$2:$AH$90,3,FALSE)</f>
        <v>100306.58000000002</v>
      </c>
      <c r="W932" s="2">
        <f>6-MATCH(Auto_Sales_data___Copy[[#This Row],[DAYS_SINCE_LAST_ORDER]],Table2[R-Cutoff],1)</f>
        <v>4</v>
      </c>
      <c r="X932" s="2">
        <f>MATCH(Auto_Sales_data___Copy[[#This Row],[Total_Orders_Per_Customer]],Table2[F-Cutoff],1)</f>
        <v>3</v>
      </c>
      <c r="Y932" s="2">
        <f>MATCH(Auto_Sales_data___Copy[[#This Row],[Total_Sales_Per_Customer]],Table2[M-Cutoff],1)</f>
        <v>3</v>
      </c>
      <c r="Z932" s="2" t="str">
        <f>Auto_Sales_data___Copy[[#This Row],[R-Score(1-5)]]&amp;Auto_Sales_data___Copy[[#This Row],[F-Score(1-5)]]&amp;Auto_Sales_data___Copy[[#This Row],[M-Score(1-5)]]</f>
        <v>433</v>
      </c>
      <c r="AA932" s="2" t="str" cm="1">
        <f t="array" ref="AA9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2" s="2" t="str">
        <f>VLOOKUP(Auto_Sales_data___Copy[[#This Row],[Segment Name]],Table3[],2,FALSE)</f>
        <v>Brand Awareness &amp; Value Proposition</v>
      </c>
    </row>
    <row r="933" spans="1:28" x14ac:dyDescent="0.25">
      <c r="A933">
        <v>10321</v>
      </c>
      <c r="B933">
        <v>27</v>
      </c>
      <c r="C933">
        <v>105.6</v>
      </c>
      <c r="D933">
        <v>7</v>
      </c>
      <c r="E933">
        <v>2851.2</v>
      </c>
      <c r="F933" s="1">
        <v>43773</v>
      </c>
      <c r="G933" s="2" t="s">
        <v>19</v>
      </c>
      <c r="H933" s="2" t="s">
        <v>183</v>
      </c>
      <c r="I933">
        <v>132</v>
      </c>
      <c r="J933" s="2" t="s">
        <v>639</v>
      </c>
      <c r="K933" s="2" t="s">
        <v>159</v>
      </c>
      <c r="L933" s="2" t="s">
        <v>160</v>
      </c>
      <c r="M933" s="2" t="s">
        <v>161</v>
      </c>
      <c r="N933" s="2" t="s">
        <v>162</v>
      </c>
      <c r="O933" s="2" t="s">
        <v>163</v>
      </c>
      <c r="P933" s="2" t="s">
        <v>27</v>
      </c>
      <c r="Q933" s="2" t="s">
        <v>164</v>
      </c>
      <c r="R933" s="2" t="s">
        <v>165</v>
      </c>
      <c r="S933" s="2" t="s">
        <v>30</v>
      </c>
      <c r="T933">
        <v>1050</v>
      </c>
      <c r="U933">
        <f>VLOOKUP(Auto_Sales_data___Copy[[#This Row],[CUSTOMER_NAME]],$AF$2:$AH$90,2,FALSE)</f>
        <v>26</v>
      </c>
      <c r="V933">
        <f>VLOOKUP(Auto_Sales_data___Copy[[#This Row],[CUSTOMER_NAME]],$AF$2:$AH$90,3,FALSE)</f>
        <v>98923.73000000001</v>
      </c>
      <c r="W933" s="2">
        <f>6-MATCH(Auto_Sales_data___Copy[[#This Row],[DAYS_SINCE_LAST_ORDER]],Table2[R-Cutoff],1)</f>
        <v>4</v>
      </c>
      <c r="X933" s="2">
        <f>MATCH(Auto_Sales_data___Copy[[#This Row],[Total_Orders_Per_Customer]],Table2[F-Cutoff],1)</f>
        <v>3</v>
      </c>
      <c r="Y933" s="2">
        <f>MATCH(Auto_Sales_data___Copy[[#This Row],[Total_Sales_Per_Customer]],Table2[M-Cutoff],1)</f>
        <v>3</v>
      </c>
      <c r="Z933" s="2" t="str">
        <f>Auto_Sales_data___Copy[[#This Row],[R-Score(1-5)]]&amp;Auto_Sales_data___Copy[[#This Row],[F-Score(1-5)]]&amp;Auto_Sales_data___Copy[[#This Row],[M-Score(1-5)]]</f>
        <v>433</v>
      </c>
      <c r="AA933" s="2" t="str" cm="1">
        <f t="array" ref="AA9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3" s="2" t="str">
        <f>VLOOKUP(Auto_Sales_data___Copy[[#This Row],[Segment Name]],Table3[],2,FALSE)</f>
        <v>Brand Awareness &amp; Value Proposition</v>
      </c>
    </row>
    <row r="934" spans="1:28" x14ac:dyDescent="0.25">
      <c r="A934">
        <v>10321</v>
      </c>
      <c r="B934">
        <v>33</v>
      </c>
      <c r="C934">
        <v>172.73</v>
      </c>
      <c r="D934">
        <v>11</v>
      </c>
      <c r="E934">
        <v>5700.09</v>
      </c>
      <c r="F934" s="1">
        <v>43773</v>
      </c>
      <c r="G934" s="2" t="s">
        <v>19</v>
      </c>
      <c r="H934" s="2" t="s">
        <v>183</v>
      </c>
      <c r="I934">
        <v>169</v>
      </c>
      <c r="J934" s="2" t="s">
        <v>649</v>
      </c>
      <c r="K934" s="2" t="s">
        <v>159</v>
      </c>
      <c r="L934" s="2" t="s">
        <v>160</v>
      </c>
      <c r="M934" s="2" t="s">
        <v>161</v>
      </c>
      <c r="N934" s="2" t="s">
        <v>162</v>
      </c>
      <c r="O934" s="2" t="s">
        <v>163</v>
      </c>
      <c r="P934" s="2" t="s">
        <v>27</v>
      </c>
      <c r="Q934" s="2" t="s">
        <v>164</v>
      </c>
      <c r="R934" s="2" t="s">
        <v>165</v>
      </c>
      <c r="S934" s="2" t="s">
        <v>46</v>
      </c>
      <c r="T934">
        <v>1217</v>
      </c>
      <c r="U934">
        <f>VLOOKUP(Auto_Sales_data___Copy[[#This Row],[CUSTOMER_NAME]],$AF$2:$AH$90,2,FALSE)</f>
        <v>26</v>
      </c>
      <c r="V934">
        <f>VLOOKUP(Auto_Sales_data___Copy[[#This Row],[CUSTOMER_NAME]],$AF$2:$AH$90,3,FALSE)</f>
        <v>98923.73000000001</v>
      </c>
      <c r="W934" s="2">
        <f>6-MATCH(Auto_Sales_data___Copy[[#This Row],[DAYS_SINCE_LAST_ORDER]],Table2[R-Cutoff],1)</f>
        <v>4</v>
      </c>
      <c r="X934" s="2">
        <f>MATCH(Auto_Sales_data___Copy[[#This Row],[Total_Orders_Per_Customer]],Table2[F-Cutoff],1)</f>
        <v>3</v>
      </c>
      <c r="Y934" s="2">
        <f>MATCH(Auto_Sales_data___Copy[[#This Row],[Total_Sales_Per_Customer]],Table2[M-Cutoff],1)</f>
        <v>3</v>
      </c>
      <c r="Z934" s="2" t="str">
        <f>Auto_Sales_data___Copy[[#This Row],[R-Score(1-5)]]&amp;Auto_Sales_data___Copy[[#This Row],[F-Score(1-5)]]&amp;Auto_Sales_data___Copy[[#This Row],[M-Score(1-5)]]</f>
        <v>433</v>
      </c>
      <c r="AA934" s="2" t="str" cm="1">
        <f t="array" ref="AA9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4" s="2" t="str">
        <f>VLOOKUP(Auto_Sales_data___Copy[[#This Row],[Segment Name]],Table3[],2,FALSE)</f>
        <v>Brand Awareness &amp; Value Proposition</v>
      </c>
    </row>
    <row r="935" spans="1:28" x14ac:dyDescent="0.25">
      <c r="A935">
        <v>10321</v>
      </c>
      <c r="B935">
        <v>28</v>
      </c>
      <c r="C935">
        <v>151.16999999999999</v>
      </c>
      <c r="D935">
        <v>8</v>
      </c>
      <c r="E935">
        <v>4232.76</v>
      </c>
      <c r="F935" s="1">
        <v>43773</v>
      </c>
      <c r="G935" s="2" t="s">
        <v>19</v>
      </c>
      <c r="H935" s="2" t="s">
        <v>183</v>
      </c>
      <c r="I935">
        <v>141</v>
      </c>
      <c r="J935" s="2" t="s">
        <v>655</v>
      </c>
      <c r="K935" s="2" t="s">
        <v>159</v>
      </c>
      <c r="L935" s="2" t="s">
        <v>160</v>
      </c>
      <c r="M935" s="2" t="s">
        <v>161</v>
      </c>
      <c r="N935" s="2" t="s">
        <v>162</v>
      </c>
      <c r="O935" s="2" t="s">
        <v>163</v>
      </c>
      <c r="P935" s="2" t="s">
        <v>27</v>
      </c>
      <c r="Q935" s="2" t="s">
        <v>164</v>
      </c>
      <c r="R935" s="2" t="s">
        <v>165</v>
      </c>
      <c r="S935" s="2" t="s">
        <v>46</v>
      </c>
      <c r="T935">
        <v>1347</v>
      </c>
      <c r="U935">
        <f>VLOOKUP(Auto_Sales_data___Copy[[#This Row],[CUSTOMER_NAME]],$AF$2:$AH$90,2,FALSE)</f>
        <v>26</v>
      </c>
      <c r="V935">
        <f>VLOOKUP(Auto_Sales_data___Copy[[#This Row],[CUSTOMER_NAME]],$AF$2:$AH$90,3,FALSE)</f>
        <v>98923.73000000001</v>
      </c>
      <c r="W935" s="2">
        <f>6-MATCH(Auto_Sales_data___Copy[[#This Row],[DAYS_SINCE_LAST_ORDER]],Table2[R-Cutoff],1)</f>
        <v>4</v>
      </c>
      <c r="X935" s="2">
        <f>MATCH(Auto_Sales_data___Copy[[#This Row],[Total_Orders_Per_Customer]],Table2[F-Cutoff],1)</f>
        <v>3</v>
      </c>
      <c r="Y935" s="2">
        <f>MATCH(Auto_Sales_data___Copy[[#This Row],[Total_Sales_Per_Customer]],Table2[M-Cutoff],1)</f>
        <v>3</v>
      </c>
      <c r="Z935" s="2" t="str">
        <f>Auto_Sales_data___Copy[[#This Row],[R-Score(1-5)]]&amp;Auto_Sales_data___Copy[[#This Row],[F-Score(1-5)]]&amp;Auto_Sales_data___Copy[[#This Row],[M-Score(1-5)]]</f>
        <v>433</v>
      </c>
      <c r="AA935" s="2" t="str" cm="1">
        <f t="array" ref="AA9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5" s="2" t="str">
        <f>VLOOKUP(Auto_Sales_data___Copy[[#This Row],[Segment Name]],Table3[],2,FALSE)</f>
        <v>Brand Awareness &amp; Value Proposition</v>
      </c>
    </row>
    <row r="936" spans="1:28" x14ac:dyDescent="0.25">
      <c r="A936">
        <v>10324</v>
      </c>
      <c r="B936">
        <v>27</v>
      </c>
      <c r="C936">
        <v>116.87</v>
      </c>
      <c r="D936">
        <v>12</v>
      </c>
      <c r="E936">
        <v>3155.49</v>
      </c>
      <c r="F936" s="1">
        <v>43774</v>
      </c>
      <c r="G936" s="2" t="s">
        <v>19</v>
      </c>
      <c r="H936" s="2" t="s">
        <v>183</v>
      </c>
      <c r="I936">
        <v>169</v>
      </c>
      <c r="J936" s="2" t="s">
        <v>649</v>
      </c>
      <c r="K936" s="2" t="s">
        <v>90</v>
      </c>
      <c r="L936" s="2" t="s">
        <v>91</v>
      </c>
      <c r="M936" s="2" t="s">
        <v>92</v>
      </c>
      <c r="N936" s="2" t="s">
        <v>25</v>
      </c>
      <c r="O936" s="2" t="s">
        <v>26</v>
      </c>
      <c r="P936" s="2" t="s">
        <v>27</v>
      </c>
      <c r="Q936" s="2" t="s">
        <v>93</v>
      </c>
      <c r="R936" s="2" t="s">
        <v>94</v>
      </c>
      <c r="S936" s="2" t="s">
        <v>46</v>
      </c>
      <c r="T936">
        <v>1217</v>
      </c>
      <c r="U936">
        <f>VLOOKUP(Auto_Sales_data___Copy[[#This Row],[CUSTOMER_NAME]],$AF$2:$AH$90,2,FALSE)</f>
        <v>25</v>
      </c>
      <c r="V936">
        <f>VLOOKUP(Auto_Sales_data___Copy[[#This Row],[CUSTOMER_NAME]],$AF$2:$AH$90,3,FALSE)</f>
        <v>88041.260000000009</v>
      </c>
      <c r="W936" s="2">
        <f>6-MATCH(Auto_Sales_data___Copy[[#This Row],[DAYS_SINCE_LAST_ORDER]],Table2[R-Cutoff],1)</f>
        <v>4</v>
      </c>
      <c r="X936" s="2">
        <f>MATCH(Auto_Sales_data___Copy[[#This Row],[Total_Orders_Per_Customer]],Table2[F-Cutoff],1)</f>
        <v>3</v>
      </c>
      <c r="Y936" s="2">
        <f>MATCH(Auto_Sales_data___Copy[[#This Row],[Total_Sales_Per_Customer]],Table2[M-Cutoff],1)</f>
        <v>3</v>
      </c>
      <c r="Z936" s="2" t="str">
        <f>Auto_Sales_data___Copy[[#This Row],[R-Score(1-5)]]&amp;Auto_Sales_data___Copy[[#This Row],[F-Score(1-5)]]&amp;Auto_Sales_data___Copy[[#This Row],[M-Score(1-5)]]</f>
        <v>433</v>
      </c>
      <c r="AA936" s="2" t="str" cm="1">
        <f t="array" ref="AA9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6" s="2" t="str">
        <f>VLOOKUP(Auto_Sales_data___Copy[[#This Row],[Segment Name]],Table3[],2,FALSE)</f>
        <v>Brand Awareness &amp; Value Proposition</v>
      </c>
    </row>
    <row r="937" spans="1:28" x14ac:dyDescent="0.25">
      <c r="A937">
        <v>10324</v>
      </c>
      <c r="B937">
        <v>49</v>
      </c>
      <c r="C937">
        <v>109.79</v>
      </c>
      <c r="D937">
        <v>13</v>
      </c>
      <c r="E937">
        <v>5379.71</v>
      </c>
      <c r="F937" s="1">
        <v>43774</v>
      </c>
      <c r="G937" s="2" t="s">
        <v>19</v>
      </c>
      <c r="H937" s="2" t="s">
        <v>183</v>
      </c>
      <c r="I937">
        <v>143</v>
      </c>
      <c r="J937" s="2" t="s">
        <v>658</v>
      </c>
      <c r="K937" s="2" t="s">
        <v>90</v>
      </c>
      <c r="L937" s="2" t="s">
        <v>91</v>
      </c>
      <c r="M937" s="2" t="s">
        <v>92</v>
      </c>
      <c r="N937" s="2" t="s">
        <v>25</v>
      </c>
      <c r="O937" s="2" t="s">
        <v>26</v>
      </c>
      <c r="P937" s="2" t="s">
        <v>27</v>
      </c>
      <c r="Q937" s="2" t="s">
        <v>93</v>
      </c>
      <c r="R937" s="2" t="s">
        <v>94</v>
      </c>
      <c r="S937" s="2" t="s">
        <v>46</v>
      </c>
      <c r="T937">
        <v>1420</v>
      </c>
      <c r="U937">
        <f>VLOOKUP(Auto_Sales_data___Copy[[#This Row],[CUSTOMER_NAME]],$AF$2:$AH$90,2,FALSE)</f>
        <v>25</v>
      </c>
      <c r="V937">
        <f>VLOOKUP(Auto_Sales_data___Copy[[#This Row],[CUSTOMER_NAME]],$AF$2:$AH$90,3,FALSE)</f>
        <v>88041.260000000009</v>
      </c>
      <c r="W937" s="2">
        <f>6-MATCH(Auto_Sales_data___Copy[[#This Row],[DAYS_SINCE_LAST_ORDER]],Table2[R-Cutoff],1)</f>
        <v>4</v>
      </c>
      <c r="X937" s="2">
        <f>MATCH(Auto_Sales_data___Copy[[#This Row],[Total_Orders_Per_Customer]],Table2[F-Cutoff],1)</f>
        <v>3</v>
      </c>
      <c r="Y937" s="2">
        <f>MATCH(Auto_Sales_data___Copy[[#This Row],[Total_Sales_Per_Customer]],Table2[M-Cutoff],1)</f>
        <v>3</v>
      </c>
      <c r="Z937" s="2" t="str">
        <f>Auto_Sales_data___Copy[[#This Row],[R-Score(1-5)]]&amp;Auto_Sales_data___Copy[[#This Row],[F-Score(1-5)]]&amp;Auto_Sales_data___Copy[[#This Row],[M-Score(1-5)]]</f>
        <v>433</v>
      </c>
      <c r="AA937" s="2" t="str" cm="1">
        <f t="array" ref="AA9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7" s="2" t="str">
        <f>VLOOKUP(Auto_Sales_data___Copy[[#This Row],[Segment Name]],Table3[],2,FALSE)</f>
        <v>Brand Awareness &amp; Value Proposition</v>
      </c>
    </row>
    <row r="938" spans="1:28" x14ac:dyDescent="0.25">
      <c r="A938">
        <v>10330</v>
      </c>
      <c r="B938">
        <v>37</v>
      </c>
      <c r="C938">
        <v>119.06</v>
      </c>
      <c r="D938">
        <v>3</v>
      </c>
      <c r="E938">
        <v>4405.22</v>
      </c>
      <c r="F938" s="1">
        <v>43785</v>
      </c>
      <c r="G938" s="2" t="s">
        <v>19</v>
      </c>
      <c r="H938" s="2" t="s">
        <v>183</v>
      </c>
      <c r="I938">
        <v>146</v>
      </c>
      <c r="J938" s="2" t="s">
        <v>654</v>
      </c>
      <c r="K938" s="2" t="s">
        <v>450</v>
      </c>
      <c r="L938" s="2" t="s">
        <v>451</v>
      </c>
      <c r="M938" s="2" t="s">
        <v>452</v>
      </c>
      <c r="N938" s="2" t="s">
        <v>453</v>
      </c>
      <c r="O938" s="2" t="s">
        <v>454</v>
      </c>
      <c r="P938" s="2" t="s">
        <v>455</v>
      </c>
      <c r="Q938" s="2" t="s">
        <v>456</v>
      </c>
      <c r="R938" s="2" t="s">
        <v>457</v>
      </c>
      <c r="S938" s="2" t="s">
        <v>46</v>
      </c>
      <c r="T938">
        <v>1311</v>
      </c>
      <c r="U938">
        <f>VLOOKUP(Auto_Sales_data___Copy[[#This Row],[CUSTOMER_NAME]],$AF$2:$AH$90,2,FALSE)</f>
        <v>26</v>
      </c>
      <c r="V938">
        <f>VLOOKUP(Auto_Sales_data___Copy[[#This Row],[CUSTOMER_NAME]],$AF$2:$AH$90,3,FALSE)</f>
        <v>94015.73</v>
      </c>
      <c r="W938" s="2">
        <f>6-MATCH(Auto_Sales_data___Copy[[#This Row],[DAYS_SINCE_LAST_ORDER]],Table2[R-Cutoff],1)</f>
        <v>4</v>
      </c>
      <c r="X938" s="2">
        <f>MATCH(Auto_Sales_data___Copy[[#This Row],[Total_Orders_Per_Customer]],Table2[F-Cutoff],1)</f>
        <v>3</v>
      </c>
      <c r="Y938" s="2">
        <f>MATCH(Auto_Sales_data___Copy[[#This Row],[Total_Sales_Per_Customer]],Table2[M-Cutoff],1)</f>
        <v>3</v>
      </c>
      <c r="Z938" s="2" t="str">
        <f>Auto_Sales_data___Copy[[#This Row],[R-Score(1-5)]]&amp;Auto_Sales_data___Copy[[#This Row],[F-Score(1-5)]]&amp;Auto_Sales_data___Copy[[#This Row],[M-Score(1-5)]]</f>
        <v>433</v>
      </c>
      <c r="AA938" s="2" t="str" cm="1">
        <f t="array" ref="AA9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8" s="2" t="str">
        <f>VLOOKUP(Auto_Sales_data___Copy[[#This Row],[Segment Name]],Table3[],2,FALSE)</f>
        <v>Brand Awareness &amp; Value Proposition</v>
      </c>
    </row>
    <row r="939" spans="1:28" x14ac:dyDescent="0.25">
      <c r="A939">
        <v>10330</v>
      </c>
      <c r="B939">
        <v>29</v>
      </c>
      <c r="C939">
        <v>69.63</v>
      </c>
      <c r="D939">
        <v>2</v>
      </c>
      <c r="E939">
        <v>2019.27</v>
      </c>
      <c r="F939" s="1">
        <v>43785</v>
      </c>
      <c r="G939" s="2" t="s">
        <v>19</v>
      </c>
      <c r="H939" s="2" t="s">
        <v>20</v>
      </c>
      <c r="I939">
        <v>62</v>
      </c>
      <c r="J939" s="2" t="s">
        <v>656</v>
      </c>
      <c r="K939" s="2" t="s">
        <v>450</v>
      </c>
      <c r="L939" s="2" t="s">
        <v>451</v>
      </c>
      <c r="M939" s="2" t="s">
        <v>452</v>
      </c>
      <c r="N939" s="2" t="s">
        <v>453</v>
      </c>
      <c r="O939" s="2" t="s">
        <v>454</v>
      </c>
      <c r="P939" s="2" t="s">
        <v>455</v>
      </c>
      <c r="Q939" s="2" t="s">
        <v>456</v>
      </c>
      <c r="R939" s="2" t="s">
        <v>457</v>
      </c>
      <c r="S939" s="2" t="s">
        <v>30</v>
      </c>
      <c r="T939">
        <v>1359</v>
      </c>
      <c r="U939">
        <f>VLOOKUP(Auto_Sales_data___Copy[[#This Row],[CUSTOMER_NAME]],$AF$2:$AH$90,2,FALSE)</f>
        <v>26</v>
      </c>
      <c r="V939">
        <f>VLOOKUP(Auto_Sales_data___Copy[[#This Row],[CUSTOMER_NAME]],$AF$2:$AH$90,3,FALSE)</f>
        <v>94015.73</v>
      </c>
      <c r="W939" s="2">
        <f>6-MATCH(Auto_Sales_data___Copy[[#This Row],[DAYS_SINCE_LAST_ORDER]],Table2[R-Cutoff],1)</f>
        <v>4</v>
      </c>
      <c r="X939" s="2">
        <f>MATCH(Auto_Sales_data___Copy[[#This Row],[Total_Orders_Per_Customer]],Table2[F-Cutoff],1)</f>
        <v>3</v>
      </c>
      <c r="Y939" s="2">
        <f>MATCH(Auto_Sales_data___Copy[[#This Row],[Total_Sales_Per_Customer]],Table2[M-Cutoff],1)</f>
        <v>3</v>
      </c>
      <c r="Z939" s="2" t="str">
        <f>Auto_Sales_data___Copy[[#This Row],[R-Score(1-5)]]&amp;Auto_Sales_data___Copy[[#This Row],[F-Score(1-5)]]&amp;Auto_Sales_data___Copy[[#This Row],[M-Score(1-5)]]</f>
        <v>433</v>
      </c>
      <c r="AA939" s="2" t="str" cm="1">
        <f t="array" ref="AA9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9" s="2" t="str">
        <f>VLOOKUP(Auto_Sales_data___Copy[[#This Row],[Segment Name]],Table3[],2,FALSE)</f>
        <v>Brand Awareness &amp; Value Proposition</v>
      </c>
    </row>
    <row r="940" spans="1:28" x14ac:dyDescent="0.25">
      <c r="A940">
        <v>10351</v>
      </c>
      <c r="B940">
        <v>20</v>
      </c>
      <c r="C940">
        <v>168.73</v>
      </c>
      <c r="D940">
        <v>2</v>
      </c>
      <c r="E940">
        <v>3374.6</v>
      </c>
      <c r="F940" s="1">
        <v>43802</v>
      </c>
      <c r="G940" s="2" t="s">
        <v>19</v>
      </c>
      <c r="H940" s="2" t="s">
        <v>589</v>
      </c>
      <c r="I940">
        <v>105</v>
      </c>
      <c r="J940" s="2" t="s">
        <v>657</v>
      </c>
      <c r="K940" s="2" t="s">
        <v>347</v>
      </c>
      <c r="L940" s="2" t="s">
        <v>348</v>
      </c>
      <c r="M940" s="2" t="s">
        <v>349</v>
      </c>
      <c r="N940" s="2" t="s">
        <v>350</v>
      </c>
      <c r="O940" s="2" t="s">
        <v>351</v>
      </c>
      <c r="P940" s="2" t="s">
        <v>171</v>
      </c>
      <c r="Q940" s="2" t="s">
        <v>100</v>
      </c>
      <c r="R940" s="2" t="s">
        <v>352</v>
      </c>
      <c r="S940" s="2" t="s">
        <v>46</v>
      </c>
      <c r="T940">
        <v>1368</v>
      </c>
      <c r="U940">
        <f>VLOOKUP(Auto_Sales_data___Copy[[#This Row],[CUSTOMER_NAME]],$AF$2:$AH$90,2,FALSE)</f>
        <v>26</v>
      </c>
      <c r="V940">
        <f>VLOOKUP(Auto_Sales_data___Copy[[#This Row],[CUSTOMER_NAME]],$AF$2:$AH$90,3,FALSE)</f>
        <v>88804.5</v>
      </c>
      <c r="W940" s="2">
        <f>6-MATCH(Auto_Sales_data___Copy[[#This Row],[DAYS_SINCE_LAST_ORDER]],Table2[R-Cutoff],1)</f>
        <v>4</v>
      </c>
      <c r="X940" s="2">
        <f>MATCH(Auto_Sales_data___Copy[[#This Row],[Total_Orders_Per_Customer]],Table2[F-Cutoff],1)</f>
        <v>3</v>
      </c>
      <c r="Y940" s="2">
        <f>MATCH(Auto_Sales_data___Copy[[#This Row],[Total_Sales_Per_Customer]],Table2[M-Cutoff],1)</f>
        <v>3</v>
      </c>
      <c r="Z940" s="2" t="str">
        <f>Auto_Sales_data___Copy[[#This Row],[R-Score(1-5)]]&amp;Auto_Sales_data___Copy[[#This Row],[F-Score(1-5)]]&amp;Auto_Sales_data___Copy[[#This Row],[M-Score(1-5)]]</f>
        <v>433</v>
      </c>
      <c r="AA940" s="2" t="str" cm="1">
        <f t="array" ref="AA9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0" s="2" t="str">
        <f>VLOOKUP(Auto_Sales_data___Copy[[#This Row],[Segment Name]],Table3[],2,FALSE)</f>
        <v>Brand Awareness &amp; Value Proposition</v>
      </c>
    </row>
    <row r="941" spans="1:28" x14ac:dyDescent="0.25">
      <c r="A941">
        <v>10369</v>
      </c>
      <c r="B941">
        <v>42</v>
      </c>
      <c r="C941">
        <v>109.08</v>
      </c>
      <c r="D941">
        <v>1</v>
      </c>
      <c r="E941">
        <v>4581.3599999999997</v>
      </c>
      <c r="F941" s="1">
        <v>43850</v>
      </c>
      <c r="G941" s="2" t="s">
        <v>19</v>
      </c>
      <c r="H941" s="2" t="s">
        <v>589</v>
      </c>
      <c r="I941">
        <v>101</v>
      </c>
      <c r="J941" s="2" t="s">
        <v>640</v>
      </c>
      <c r="K941" s="2" t="s">
        <v>295</v>
      </c>
      <c r="L941" s="2" t="s">
        <v>116</v>
      </c>
      <c r="M941" s="2" t="s">
        <v>296</v>
      </c>
      <c r="N941" s="2" t="s">
        <v>297</v>
      </c>
      <c r="O941" s="2" t="s">
        <v>298</v>
      </c>
      <c r="P941" s="2" t="s">
        <v>27</v>
      </c>
      <c r="Q941" s="2" t="s">
        <v>288</v>
      </c>
      <c r="R941" s="2" t="s">
        <v>299</v>
      </c>
      <c r="S941" s="2" t="s">
        <v>46</v>
      </c>
      <c r="T941">
        <v>1002</v>
      </c>
      <c r="U941">
        <f>VLOOKUP(Auto_Sales_data___Copy[[#This Row],[CUSTOMER_NAME]],$AF$2:$AH$90,2,FALSE)</f>
        <v>24</v>
      </c>
      <c r="V941">
        <f>VLOOKUP(Auto_Sales_data___Copy[[#This Row],[CUSTOMER_NAME]],$AF$2:$AH$90,3,FALSE)</f>
        <v>81577.98</v>
      </c>
      <c r="W941" s="2">
        <f>6-MATCH(Auto_Sales_data___Copy[[#This Row],[DAYS_SINCE_LAST_ORDER]],Table2[R-Cutoff],1)</f>
        <v>4</v>
      </c>
      <c r="X941" s="2">
        <f>MATCH(Auto_Sales_data___Copy[[#This Row],[Total_Orders_Per_Customer]],Table2[F-Cutoff],1)</f>
        <v>3</v>
      </c>
      <c r="Y941" s="2">
        <f>MATCH(Auto_Sales_data___Copy[[#This Row],[Total_Sales_Per_Customer]],Table2[M-Cutoff],1)</f>
        <v>3</v>
      </c>
      <c r="Z941" s="2" t="str">
        <f>Auto_Sales_data___Copy[[#This Row],[R-Score(1-5)]]&amp;Auto_Sales_data___Copy[[#This Row],[F-Score(1-5)]]&amp;Auto_Sales_data___Copy[[#This Row],[M-Score(1-5)]]</f>
        <v>433</v>
      </c>
      <c r="AA941" s="2" t="str" cm="1">
        <f t="array" ref="AA9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1" s="2" t="str">
        <f>VLOOKUP(Auto_Sales_data___Copy[[#This Row],[Segment Name]],Table3[],2,FALSE)</f>
        <v>Brand Awareness &amp; Value Proposition</v>
      </c>
    </row>
    <row r="942" spans="1:28" x14ac:dyDescent="0.25">
      <c r="A942">
        <v>10369</v>
      </c>
      <c r="B942">
        <v>28</v>
      </c>
      <c r="C942">
        <v>44.21</v>
      </c>
      <c r="D942">
        <v>6</v>
      </c>
      <c r="E942">
        <v>1237.8800000000001</v>
      </c>
      <c r="F942" s="1">
        <v>43850</v>
      </c>
      <c r="G942" s="2" t="s">
        <v>19</v>
      </c>
      <c r="H942" s="2" t="s">
        <v>589</v>
      </c>
      <c r="I942">
        <v>62</v>
      </c>
      <c r="J942" s="2" t="s">
        <v>641</v>
      </c>
      <c r="K942" s="2" t="s">
        <v>295</v>
      </c>
      <c r="L942" s="2" t="s">
        <v>116</v>
      </c>
      <c r="M942" s="2" t="s">
        <v>296</v>
      </c>
      <c r="N942" s="2" t="s">
        <v>297</v>
      </c>
      <c r="O942" s="2" t="s">
        <v>298</v>
      </c>
      <c r="P942" s="2" t="s">
        <v>27</v>
      </c>
      <c r="Q942" s="2" t="s">
        <v>288</v>
      </c>
      <c r="R942" s="2" t="s">
        <v>299</v>
      </c>
      <c r="S942" s="2" t="s">
        <v>30</v>
      </c>
      <c r="T942">
        <v>1027</v>
      </c>
      <c r="U942">
        <f>VLOOKUP(Auto_Sales_data___Copy[[#This Row],[CUSTOMER_NAME]],$AF$2:$AH$90,2,FALSE)</f>
        <v>24</v>
      </c>
      <c r="V942">
        <f>VLOOKUP(Auto_Sales_data___Copy[[#This Row],[CUSTOMER_NAME]],$AF$2:$AH$90,3,FALSE)</f>
        <v>81577.98</v>
      </c>
      <c r="W942" s="2">
        <f>6-MATCH(Auto_Sales_data___Copy[[#This Row],[DAYS_SINCE_LAST_ORDER]],Table2[R-Cutoff],1)</f>
        <v>4</v>
      </c>
      <c r="X942" s="2">
        <f>MATCH(Auto_Sales_data___Copy[[#This Row],[Total_Orders_Per_Customer]],Table2[F-Cutoff],1)</f>
        <v>3</v>
      </c>
      <c r="Y942" s="2">
        <f>MATCH(Auto_Sales_data___Copy[[#This Row],[Total_Sales_Per_Customer]],Table2[M-Cutoff],1)</f>
        <v>3</v>
      </c>
      <c r="Z942" s="2" t="str">
        <f>Auto_Sales_data___Copy[[#This Row],[R-Score(1-5)]]&amp;Auto_Sales_data___Copy[[#This Row],[F-Score(1-5)]]&amp;Auto_Sales_data___Copy[[#This Row],[M-Score(1-5)]]</f>
        <v>433</v>
      </c>
      <c r="AA942" s="2" t="str" cm="1">
        <f t="array" ref="AA9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2" s="2" t="str">
        <f>VLOOKUP(Auto_Sales_data___Copy[[#This Row],[Segment Name]],Table3[],2,FALSE)</f>
        <v>Brand Awareness &amp; Value Proposition</v>
      </c>
    </row>
    <row r="943" spans="1:28" x14ac:dyDescent="0.25">
      <c r="A943">
        <v>10369</v>
      </c>
      <c r="B943">
        <v>21</v>
      </c>
      <c r="C943">
        <v>94.22</v>
      </c>
      <c r="D943">
        <v>5</v>
      </c>
      <c r="E943">
        <v>1978.62</v>
      </c>
      <c r="F943" s="1">
        <v>43850</v>
      </c>
      <c r="G943" s="2" t="s">
        <v>19</v>
      </c>
      <c r="H943" s="2" t="s">
        <v>589</v>
      </c>
      <c r="I943">
        <v>104</v>
      </c>
      <c r="J943" s="2" t="s">
        <v>647</v>
      </c>
      <c r="K943" s="2" t="s">
        <v>295</v>
      </c>
      <c r="L943" s="2" t="s">
        <v>116</v>
      </c>
      <c r="M943" s="2" t="s">
        <v>296</v>
      </c>
      <c r="N943" s="2" t="s">
        <v>297</v>
      </c>
      <c r="O943" s="2" t="s">
        <v>298</v>
      </c>
      <c r="P943" s="2" t="s">
        <v>27</v>
      </c>
      <c r="Q943" s="2" t="s">
        <v>288</v>
      </c>
      <c r="R943" s="2" t="s">
        <v>299</v>
      </c>
      <c r="S943" s="2" t="s">
        <v>30</v>
      </c>
      <c r="T943">
        <v>1077</v>
      </c>
      <c r="U943">
        <f>VLOOKUP(Auto_Sales_data___Copy[[#This Row],[CUSTOMER_NAME]],$AF$2:$AH$90,2,FALSE)</f>
        <v>24</v>
      </c>
      <c r="V943">
        <f>VLOOKUP(Auto_Sales_data___Copy[[#This Row],[CUSTOMER_NAME]],$AF$2:$AH$90,3,FALSE)</f>
        <v>81577.98</v>
      </c>
      <c r="W943" s="2">
        <f>6-MATCH(Auto_Sales_data___Copy[[#This Row],[DAYS_SINCE_LAST_ORDER]],Table2[R-Cutoff],1)</f>
        <v>4</v>
      </c>
      <c r="X943" s="2">
        <f>MATCH(Auto_Sales_data___Copy[[#This Row],[Total_Orders_Per_Customer]],Table2[F-Cutoff],1)</f>
        <v>3</v>
      </c>
      <c r="Y943" s="2">
        <f>MATCH(Auto_Sales_data___Copy[[#This Row],[Total_Sales_Per_Customer]],Table2[M-Cutoff],1)</f>
        <v>3</v>
      </c>
      <c r="Z943" s="2" t="str">
        <f>Auto_Sales_data___Copy[[#This Row],[R-Score(1-5)]]&amp;Auto_Sales_data___Copy[[#This Row],[F-Score(1-5)]]&amp;Auto_Sales_data___Copy[[#This Row],[M-Score(1-5)]]</f>
        <v>433</v>
      </c>
      <c r="AA943" s="2" t="str" cm="1">
        <f t="array" ref="AA9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3" s="2" t="str">
        <f>VLOOKUP(Auto_Sales_data___Copy[[#This Row],[Segment Name]],Table3[],2,FALSE)</f>
        <v>Brand Awareness &amp; Value Proposition</v>
      </c>
    </row>
    <row r="944" spans="1:28" x14ac:dyDescent="0.25">
      <c r="A944">
        <v>10369</v>
      </c>
      <c r="B944">
        <v>45</v>
      </c>
      <c r="C944">
        <v>73.08</v>
      </c>
      <c r="D944">
        <v>4</v>
      </c>
      <c r="E944">
        <v>3288.6</v>
      </c>
      <c r="F944" s="1">
        <v>43850</v>
      </c>
      <c r="G944" s="2" t="s">
        <v>19</v>
      </c>
      <c r="H944" s="2" t="s">
        <v>589</v>
      </c>
      <c r="I944">
        <v>99</v>
      </c>
      <c r="J944" s="2" t="s">
        <v>653</v>
      </c>
      <c r="K944" s="2" t="s">
        <v>295</v>
      </c>
      <c r="L944" s="2" t="s">
        <v>116</v>
      </c>
      <c r="M944" s="2" t="s">
        <v>296</v>
      </c>
      <c r="N944" s="2" t="s">
        <v>297</v>
      </c>
      <c r="O944" s="2" t="s">
        <v>298</v>
      </c>
      <c r="P944" s="2" t="s">
        <v>27</v>
      </c>
      <c r="Q944" s="2" t="s">
        <v>288</v>
      </c>
      <c r="R944" s="2" t="s">
        <v>299</v>
      </c>
      <c r="S944" s="2" t="s">
        <v>46</v>
      </c>
      <c r="T944">
        <v>1224</v>
      </c>
      <c r="U944">
        <f>VLOOKUP(Auto_Sales_data___Copy[[#This Row],[CUSTOMER_NAME]],$AF$2:$AH$90,2,FALSE)</f>
        <v>24</v>
      </c>
      <c r="V944">
        <f>VLOOKUP(Auto_Sales_data___Copy[[#This Row],[CUSTOMER_NAME]],$AF$2:$AH$90,3,FALSE)</f>
        <v>81577.98</v>
      </c>
      <c r="W944" s="2">
        <f>6-MATCH(Auto_Sales_data___Copy[[#This Row],[DAYS_SINCE_LAST_ORDER]],Table2[R-Cutoff],1)</f>
        <v>4</v>
      </c>
      <c r="X944" s="2">
        <f>MATCH(Auto_Sales_data___Copy[[#This Row],[Total_Orders_Per_Customer]],Table2[F-Cutoff],1)</f>
        <v>3</v>
      </c>
      <c r="Y944" s="2">
        <f>MATCH(Auto_Sales_data___Copy[[#This Row],[Total_Sales_Per_Customer]],Table2[M-Cutoff],1)</f>
        <v>3</v>
      </c>
      <c r="Z944" s="2" t="str">
        <f>Auto_Sales_data___Copy[[#This Row],[R-Score(1-5)]]&amp;Auto_Sales_data___Copy[[#This Row],[F-Score(1-5)]]&amp;Auto_Sales_data___Copy[[#This Row],[M-Score(1-5)]]</f>
        <v>433</v>
      </c>
      <c r="AA944" s="2" t="str" cm="1">
        <f t="array" ref="AA9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4" s="2" t="str">
        <f>VLOOKUP(Auto_Sales_data___Copy[[#This Row],[Segment Name]],Table3[],2,FALSE)</f>
        <v>Brand Awareness &amp; Value Proposition</v>
      </c>
    </row>
    <row r="945" spans="1:28" x14ac:dyDescent="0.25">
      <c r="A945">
        <v>10414</v>
      </c>
      <c r="B945">
        <v>44</v>
      </c>
      <c r="C945">
        <v>73.98</v>
      </c>
      <c r="D945">
        <v>1</v>
      </c>
      <c r="E945">
        <v>3255.12</v>
      </c>
      <c r="F945" s="1">
        <v>43957</v>
      </c>
      <c r="G945" s="2" t="s">
        <v>423</v>
      </c>
      <c r="H945" s="2" t="s">
        <v>642</v>
      </c>
      <c r="I945">
        <v>86</v>
      </c>
      <c r="J945" s="2" t="s">
        <v>643</v>
      </c>
      <c r="K945" s="2" t="s">
        <v>398</v>
      </c>
      <c r="L945" s="2" t="s">
        <v>399</v>
      </c>
      <c r="M945" s="2" t="s">
        <v>400</v>
      </c>
      <c r="N945" s="2" t="s">
        <v>401</v>
      </c>
      <c r="O945" s="2" t="s">
        <v>402</v>
      </c>
      <c r="P945" s="2" t="s">
        <v>27</v>
      </c>
      <c r="Q945" s="2" t="s">
        <v>403</v>
      </c>
      <c r="R945" s="2" t="s">
        <v>60</v>
      </c>
      <c r="S945" s="2" t="s">
        <v>46</v>
      </c>
      <c r="T945">
        <v>947</v>
      </c>
      <c r="U945">
        <f>VLOOKUP(Auto_Sales_data___Copy[[#This Row],[CUSTOMER_NAME]],$AF$2:$AH$90,2,FALSE)</f>
        <v>26</v>
      </c>
      <c r="V945">
        <f>VLOOKUP(Auto_Sales_data___Copy[[#This Row],[CUSTOMER_NAME]],$AF$2:$AH$90,3,FALSE)</f>
        <v>83209.88</v>
      </c>
      <c r="W945" s="2">
        <f>6-MATCH(Auto_Sales_data___Copy[[#This Row],[DAYS_SINCE_LAST_ORDER]],Table2[R-Cutoff],1)</f>
        <v>4</v>
      </c>
      <c r="X945" s="2">
        <f>MATCH(Auto_Sales_data___Copy[[#This Row],[Total_Orders_Per_Customer]],Table2[F-Cutoff],1)</f>
        <v>3</v>
      </c>
      <c r="Y945" s="2">
        <f>MATCH(Auto_Sales_data___Copy[[#This Row],[Total_Sales_Per_Customer]],Table2[M-Cutoff],1)</f>
        <v>3</v>
      </c>
      <c r="Z945" s="2" t="str">
        <f>Auto_Sales_data___Copy[[#This Row],[R-Score(1-5)]]&amp;Auto_Sales_data___Copy[[#This Row],[F-Score(1-5)]]&amp;Auto_Sales_data___Copy[[#This Row],[M-Score(1-5)]]</f>
        <v>433</v>
      </c>
      <c r="AA945" s="2" t="str" cm="1">
        <f t="array" ref="AA9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5" s="2" t="str">
        <f>VLOOKUP(Auto_Sales_data___Copy[[#This Row],[Segment Name]],Table3[],2,FALSE)</f>
        <v>Brand Awareness &amp; Value Proposition</v>
      </c>
    </row>
    <row r="946" spans="1:28" x14ac:dyDescent="0.25">
      <c r="A946">
        <v>10414</v>
      </c>
      <c r="B946">
        <v>41</v>
      </c>
      <c r="C946">
        <v>118.83</v>
      </c>
      <c r="D946">
        <v>12</v>
      </c>
      <c r="E946">
        <v>4872.03</v>
      </c>
      <c r="F946" s="1">
        <v>43957</v>
      </c>
      <c r="G946" s="2" t="s">
        <v>423</v>
      </c>
      <c r="H946" s="2" t="s">
        <v>589</v>
      </c>
      <c r="I946">
        <v>136</v>
      </c>
      <c r="J946" s="2" t="s">
        <v>648</v>
      </c>
      <c r="K946" s="2" t="s">
        <v>398</v>
      </c>
      <c r="L946" s="2" t="s">
        <v>399</v>
      </c>
      <c r="M946" s="2" t="s">
        <v>400</v>
      </c>
      <c r="N946" s="2" t="s">
        <v>401</v>
      </c>
      <c r="O946" s="2" t="s">
        <v>402</v>
      </c>
      <c r="P946" s="2" t="s">
        <v>27</v>
      </c>
      <c r="Q946" s="2" t="s">
        <v>403</v>
      </c>
      <c r="R946" s="2" t="s">
        <v>60</v>
      </c>
      <c r="S946" s="2" t="s">
        <v>46</v>
      </c>
      <c r="T946">
        <v>997</v>
      </c>
      <c r="U946">
        <f>VLOOKUP(Auto_Sales_data___Copy[[#This Row],[CUSTOMER_NAME]],$AF$2:$AH$90,2,FALSE)</f>
        <v>26</v>
      </c>
      <c r="V946">
        <f>VLOOKUP(Auto_Sales_data___Copy[[#This Row],[CUSTOMER_NAME]],$AF$2:$AH$90,3,FALSE)</f>
        <v>83209.88</v>
      </c>
      <c r="W946" s="2">
        <f>6-MATCH(Auto_Sales_data___Copy[[#This Row],[DAYS_SINCE_LAST_ORDER]],Table2[R-Cutoff],1)</f>
        <v>4</v>
      </c>
      <c r="X946" s="2">
        <f>MATCH(Auto_Sales_data___Copy[[#This Row],[Total_Orders_Per_Customer]],Table2[F-Cutoff],1)</f>
        <v>3</v>
      </c>
      <c r="Y946" s="2">
        <f>MATCH(Auto_Sales_data___Copy[[#This Row],[Total_Sales_Per_Customer]],Table2[M-Cutoff],1)</f>
        <v>3</v>
      </c>
      <c r="Z946" s="2" t="str">
        <f>Auto_Sales_data___Copy[[#This Row],[R-Score(1-5)]]&amp;Auto_Sales_data___Copy[[#This Row],[F-Score(1-5)]]&amp;Auto_Sales_data___Copy[[#This Row],[M-Score(1-5)]]</f>
        <v>433</v>
      </c>
      <c r="AA946" s="2" t="str" cm="1">
        <f t="array" ref="AA9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6" s="2" t="str">
        <f>VLOOKUP(Auto_Sales_data___Copy[[#This Row],[Segment Name]],Table3[],2,FALSE)</f>
        <v>Brand Awareness &amp; Value Proposition</v>
      </c>
    </row>
    <row r="947" spans="1:28" x14ac:dyDescent="0.25">
      <c r="A947">
        <v>10414</v>
      </c>
      <c r="B947">
        <v>48</v>
      </c>
      <c r="C947">
        <v>121.01</v>
      </c>
      <c r="D947">
        <v>14</v>
      </c>
      <c r="E947">
        <v>5808.48</v>
      </c>
      <c r="F947" s="1">
        <v>43957</v>
      </c>
      <c r="G947" s="2" t="s">
        <v>423</v>
      </c>
      <c r="H947" s="2" t="s">
        <v>650</v>
      </c>
      <c r="I947">
        <v>100</v>
      </c>
      <c r="J947" s="2" t="s">
        <v>651</v>
      </c>
      <c r="K947" s="2" t="s">
        <v>398</v>
      </c>
      <c r="L947" s="2" t="s">
        <v>399</v>
      </c>
      <c r="M947" s="2" t="s">
        <v>400</v>
      </c>
      <c r="N947" s="2" t="s">
        <v>401</v>
      </c>
      <c r="O947" s="2" t="s">
        <v>402</v>
      </c>
      <c r="P947" s="2" t="s">
        <v>27</v>
      </c>
      <c r="Q947" s="2" t="s">
        <v>403</v>
      </c>
      <c r="R947" s="2" t="s">
        <v>60</v>
      </c>
      <c r="S947" s="2" t="s">
        <v>46</v>
      </c>
      <c r="T947">
        <v>1073</v>
      </c>
      <c r="U947">
        <f>VLOOKUP(Auto_Sales_data___Copy[[#This Row],[CUSTOMER_NAME]],$AF$2:$AH$90,2,FALSE)</f>
        <v>26</v>
      </c>
      <c r="V947">
        <f>VLOOKUP(Auto_Sales_data___Copy[[#This Row],[CUSTOMER_NAME]],$AF$2:$AH$90,3,FALSE)</f>
        <v>83209.88</v>
      </c>
      <c r="W947" s="2">
        <f>6-MATCH(Auto_Sales_data___Copy[[#This Row],[DAYS_SINCE_LAST_ORDER]],Table2[R-Cutoff],1)</f>
        <v>4</v>
      </c>
      <c r="X947" s="2">
        <f>MATCH(Auto_Sales_data___Copy[[#This Row],[Total_Orders_Per_Customer]],Table2[F-Cutoff],1)</f>
        <v>3</v>
      </c>
      <c r="Y947" s="2">
        <f>MATCH(Auto_Sales_data___Copy[[#This Row],[Total_Sales_Per_Customer]],Table2[M-Cutoff],1)</f>
        <v>3</v>
      </c>
      <c r="Z947" s="2" t="str">
        <f>Auto_Sales_data___Copy[[#This Row],[R-Score(1-5)]]&amp;Auto_Sales_data___Copy[[#This Row],[F-Score(1-5)]]&amp;Auto_Sales_data___Copy[[#This Row],[M-Score(1-5)]]</f>
        <v>433</v>
      </c>
      <c r="AA947" s="2" t="str" cm="1">
        <f t="array" ref="AA9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7" s="2" t="str">
        <f>VLOOKUP(Auto_Sales_data___Copy[[#This Row],[Segment Name]],Table3[],2,FALSE)</f>
        <v>Brand Awareness &amp; Value Proposition</v>
      </c>
    </row>
    <row r="948" spans="1:28" x14ac:dyDescent="0.25">
      <c r="A948">
        <v>10414</v>
      </c>
      <c r="B948">
        <v>16</v>
      </c>
      <c r="C948">
        <v>75.48</v>
      </c>
      <c r="D948">
        <v>11</v>
      </c>
      <c r="E948">
        <v>1207.68</v>
      </c>
      <c r="F948" s="1">
        <v>43957</v>
      </c>
      <c r="G948" s="2" t="s">
        <v>423</v>
      </c>
      <c r="H948" s="2" t="s">
        <v>589</v>
      </c>
      <c r="I948">
        <v>87</v>
      </c>
      <c r="J948" s="2" t="s">
        <v>660</v>
      </c>
      <c r="K948" s="2" t="s">
        <v>398</v>
      </c>
      <c r="L948" s="2" t="s">
        <v>399</v>
      </c>
      <c r="M948" s="2" t="s">
        <v>400</v>
      </c>
      <c r="N948" s="2" t="s">
        <v>401</v>
      </c>
      <c r="O948" s="2" t="s">
        <v>402</v>
      </c>
      <c r="P948" s="2" t="s">
        <v>27</v>
      </c>
      <c r="Q948" s="2" t="s">
        <v>403</v>
      </c>
      <c r="R948" s="2" t="s">
        <v>60</v>
      </c>
      <c r="S948" s="2" t="s">
        <v>30</v>
      </c>
      <c r="T948">
        <v>1291</v>
      </c>
      <c r="U948">
        <f>VLOOKUP(Auto_Sales_data___Copy[[#This Row],[CUSTOMER_NAME]],$AF$2:$AH$90,2,FALSE)</f>
        <v>26</v>
      </c>
      <c r="V948">
        <f>VLOOKUP(Auto_Sales_data___Copy[[#This Row],[CUSTOMER_NAME]],$AF$2:$AH$90,3,FALSE)</f>
        <v>83209.88</v>
      </c>
      <c r="W948" s="2">
        <f>6-MATCH(Auto_Sales_data___Copy[[#This Row],[DAYS_SINCE_LAST_ORDER]],Table2[R-Cutoff],1)</f>
        <v>4</v>
      </c>
      <c r="X948" s="2">
        <f>MATCH(Auto_Sales_data___Copy[[#This Row],[Total_Orders_Per_Customer]],Table2[F-Cutoff],1)</f>
        <v>3</v>
      </c>
      <c r="Y948" s="2">
        <f>MATCH(Auto_Sales_data___Copy[[#This Row],[Total_Sales_Per_Customer]],Table2[M-Cutoff],1)</f>
        <v>3</v>
      </c>
      <c r="Z948" s="2" t="str">
        <f>Auto_Sales_data___Copy[[#This Row],[R-Score(1-5)]]&amp;Auto_Sales_data___Copy[[#This Row],[F-Score(1-5)]]&amp;Auto_Sales_data___Copy[[#This Row],[M-Score(1-5)]]</f>
        <v>433</v>
      </c>
      <c r="AA948" s="2" t="str" cm="1">
        <f t="array" ref="AA9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8" s="2" t="str">
        <f>VLOOKUP(Auto_Sales_data___Copy[[#This Row],[Segment Name]],Table3[],2,FALSE)</f>
        <v>Brand Awareness &amp; Value Proposition</v>
      </c>
    </row>
    <row r="949" spans="1:28" x14ac:dyDescent="0.25">
      <c r="A949">
        <v>10122</v>
      </c>
      <c r="B949">
        <v>37</v>
      </c>
      <c r="C949">
        <v>99.82</v>
      </c>
      <c r="D949">
        <v>8</v>
      </c>
      <c r="E949">
        <v>3693.34</v>
      </c>
      <c r="F949" s="1">
        <v>43228</v>
      </c>
      <c r="G949" s="2" t="s">
        <v>19</v>
      </c>
      <c r="H949" s="2" t="s">
        <v>183</v>
      </c>
      <c r="I949">
        <v>117</v>
      </c>
      <c r="J949" s="2" t="s">
        <v>546</v>
      </c>
      <c r="K949" s="2" t="s">
        <v>458</v>
      </c>
      <c r="L949" s="2" t="s">
        <v>459</v>
      </c>
      <c r="M949" s="2" t="s">
        <v>460</v>
      </c>
      <c r="N949" s="2" t="s">
        <v>461</v>
      </c>
      <c r="O949" s="2" t="s">
        <v>462</v>
      </c>
      <c r="P949" s="2" t="s">
        <v>36</v>
      </c>
      <c r="Q949" s="2" t="s">
        <v>463</v>
      </c>
      <c r="R949" s="2" t="s">
        <v>464</v>
      </c>
      <c r="S949" s="2" t="s">
        <v>46</v>
      </c>
      <c r="T949">
        <v>1031</v>
      </c>
      <c r="U949">
        <f>VLOOKUP(Auto_Sales_data___Copy[[#This Row],[CUSTOMER_NAME]],$AF$2:$AH$90,2,FALSE)</f>
        <v>25</v>
      </c>
      <c r="V949">
        <f>VLOOKUP(Auto_Sales_data___Copy[[#This Row],[CUSTOMER_NAME]],$AF$2:$AH$90,3,FALSE)</f>
        <v>74936.14</v>
      </c>
      <c r="W949" s="2">
        <f>6-MATCH(Auto_Sales_data___Copy[[#This Row],[DAYS_SINCE_LAST_ORDER]],Table2[R-Cutoff],1)</f>
        <v>4</v>
      </c>
      <c r="X949" s="2">
        <f>MATCH(Auto_Sales_data___Copy[[#This Row],[Total_Orders_Per_Customer]],Table2[F-Cutoff],1)</f>
        <v>3</v>
      </c>
      <c r="Y949" s="2">
        <f>MATCH(Auto_Sales_data___Copy[[#This Row],[Total_Sales_Per_Customer]],Table2[M-Cutoff],1)</f>
        <v>2</v>
      </c>
      <c r="Z949" s="2" t="str">
        <f>Auto_Sales_data___Copy[[#This Row],[R-Score(1-5)]]&amp;Auto_Sales_data___Copy[[#This Row],[F-Score(1-5)]]&amp;Auto_Sales_data___Copy[[#This Row],[M-Score(1-5)]]</f>
        <v>432</v>
      </c>
      <c r="AA949" s="2" t="str" cm="1">
        <f t="array" ref="AA9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9" s="2" t="str">
        <f>VLOOKUP(Auto_Sales_data___Copy[[#This Row],[Segment Name]],Table3[],2,FALSE)</f>
        <v>Brand Awareness &amp; Value Proposition</v>
      </c>
    </row>
    <row r="950" spans="1:28" x14ac:dyDescent="0.25">
      <c r="A950">
        <v>10122</v>
      </c>
      <c r="B950">
        <v>32</v>
      </c>
      <c r="C950">
        <v>63.84</v>
      </c>
      <c r="D950">
        <v>11</v>
      </c>
      <c r="E950">
        <v>2042.88</v>
      </c>
      <c r="F950" s="1">
        <v>43228</v>
      </c>
      <c r="G950" s="2" t="s">
        <v>19</v>
      </c>
      <c r="H950" s="2" t="s">
        <v>183</v>
      </c>
      <c r="I950">
        <v>79</v>
      </c>
      <c r="J950" s="2" t="s">
        <v>553</v>
      </c>
      <c r="K950" s="2" t="s">
        <v>458</v>
      </c>
      <c r="L950" s="2" t="s">
        <v>459</v>
      </c>
      <c r="M950" s="2" t="s">
        <v>460</v>
      </c>
      <c r="N950" s="2" t="s">
        <v>461</v>
      </c>
      <c r="O950" s="2" t="s">
        <v>462</v>
      </c>
      <c r="P950" s="2" t="s">
        <v>36</v>
      </c>
      <c r="Q950" s="2" t="s">
        <v>463</v>
      </c>
      <c r="R950" s="2" t="s">
        <v>464</v>
      </c>
      <c r="S950" s="2" t="s">
        <v>30</v>
      </c>
      <c r="T950">
        <v>1081</v>
      </c>
      <c r="U950">
        <f>VLOOKUP(Auto_Sales_data___Copy[[#This Row],[CUSTOMER_NAME]],$AF$2:$AH$90,2,FALSE)</f>
        <v>25</v>
      </c>
      <c r="V950">
        <f>VLOOKUP(Auto_Sales_data___Copy[[#This Row],[CUSTOMER_NAME]],$AF$2:$AH$90,3,FALSE)</f>
        <v>74936.14</v>
      </c>
      <c r="W950" s="2">
        <f>6-MATCH(Auto_Sales_data___Copy[[#This Row],[DAYS_SINCE_LAST_ORDER]],Table2[R-Cutoff],1)</f>
        <v>4</v>
      </c>
      <c r="X950" s="2">
        <f>MATCH(Auto_Sales_data___Copy[[#This Row],[Total_Orders_Per_Customer]],Table2[F-Cutoff],1)</f>
        <v>3</v>
      </c>
      <c r="Y950" s="2">
        <f>MATCH(Auto_Sales_data___Copy[[#This Row],[Total_Sales_Per_Customer]],Table2[M-Cutoff],1)</f>
        <v>2</v>
      </c>
      <c r="Z950" s="2" t="str">
        <f>Auto_Sales_data___Copy[[#This Row],[R-Score(1-5)]]&amp;Auto_Sales_data___Copy[[#This Row],[F-Score(1-5)]]&amp;Auto_Sales_data___Copy[[#This Row],[M-Score(1-5)]]</f>
        <v>432</v>
      </c>
      <c r="AA950" s="2" t="str" cm="1">
        <f t="array" ref="AA9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0" s="2" t="str">
        <f>VLOOKUP(Auto_Sales_data___Copy[[#This Row],[Segment Name]],Table3[],2,FALSE)</f>
        <v>Brand Awareness &amp; Value Proposition</v>
      </c>
    </row>
    <row r="951" spans="1:28" x14ac:dyDescent="0.25">
      <c r="A951">
        <v>10122</v>
      </c>
      <c r="B951">
        <v>20</v>
      </c>
      <c r="C951">
        <v>107.1</v>
      </c>
      <c r="D951">
        <v>7</v>
      </c>
      <c r="E951">
        <v>2142</v>
      </c>
      <c r="F951" s="1">
        <v>43228</v>
      </c>
      <c r="G951" s="2" t="s">
        <v>19</v>
      </c>
      <c r="H951" s="2" t="s">
        <v>183</v>
      </c>
      <c r="I951">
        <v>115</v>
      </c>
      <c r="J951" s="2" t="s">
        <v>567</v>
      </c>
      <c r="K951" s="2" t="s">
        <v>458</v>
      </c>
      <c r="L951" s="2" t="s">
        <v>459</v>
      </c>
      <c r="M951" s="2" t="s">
        <v>460</v>
      </c>
      <c r="N951" s="2" t="s">
        <v>461</v>
      </c>
      <c r="O951" s="2" t="s">
        <v>462</v>
      </c>
      <c r="P951" s="2" t="s">
        <v>36</v>
      </c>
      <c r="Q951" s="2" t="s">
        <v>463</v>
      </c>
      <c r="R951" s="2" t="s">
        <v>464</v>
      </c>
      <c r="S951" s="2" t="s">
        <v>30</v>
      </c>
      <c r="T951">
        <v>1132</v>
      </c>
      <c r="U951">
        <f>VLOOKUP(Auto_Sales_data___Copy[[#This Row],[CUSTOMER_NAME]],$AF$2:$AH$90,2,FALSE)</f>
        <v>25</v>
      </c>
      <c r="V951">
        <f>VLOOKUP(Auto_Sales_data___Copy[[#This Row],[CUSTOMER_NAME]],$AF$2:$AH$90,3,FALSE)</f>
        <v>74936.14</v>
      </c>
      <c r="W951" s="2">
        <f>6-MATCH(Auto_Sales_data___Copy[[#This Row],[DAYS_SINCE_LAST_ORDER]],Table2[R-Cutoff],1)</f>
        <v>4</v>
      </c>
      <c r="X951" s="2">
        <f>MATCH(Auto_Sales_data___Copy[[#This Row],[Total_Orders_Per_Customer]],Table2[F-Cutoff],1)</f>
        <v>3</v>
      </c>
      <c r="Y951" s="2">
        <f>MATCH(Auto_Sales_data___Copy[[#This Row],[Total_Sales_Per_Customer]],Table2[M-Cutoff],1)</f>
        <v>2</v>
      </c>
      <c r="Z951" s="2" t="str">
        <f>Auto_Sales_data___Copy[[#This Row],[R-Score(1-5)]]&amp;Auto_Sales_data___Copy[[#This Row],[F-Score(1-5)]]&amp;Auto_Sales_data___Copy[[#This Row],[M-Score(1-5)]]</f>
        <v>432</v>
      </c>
      <c r="AA951" s="2" t="str" cm="1">
        <f t="array" ref="AA9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1" s="2" t="str">
        <f>VLOOKUP(Auto_Sales_data___Copy[[#This Row],[Segment Name]],Table3[],2,FALSE)</f>
        <v>Brand Awareness &amp; Value Proposition</v>
      </c>
    </row>
    <row r="952" spans="1:28" x14ac:dyDescent="0.25">
      <c r="A952">
        <v>10122</v>
      </c>
      <c r="B952">
        <v>34</v>
      </c>
      <c r="C952">
        <v>147.19999999999999</v>
      </c>
      <c r="D952">
        <v>2</v>
      </c>
      <c r="E952">
        <v>5004.8</v>
      </c>
      <c r="F952" s="1">
        <v>43228</v>
      </c>
      <c r="G952" s="2" t="s">
        <v>19</v>
      </c>
      <c r="H952" s="2" t="s">
        <v>183</v>
      </c>
      <c r="I952">
        <v>141</v>
      </c>
      <c r="J952" s="2" t="s">
        <v>576</v>
      </c>
      <c r="K952" s="2" t="s">
        <v>458</v>
      </c>
      <c r="L952" s="2" t="s">
        <v>459</v>
      </c>
      <c r="M952" s="2" t="s">
        <v>460</v>
      </c>
      <c r="N952" s="2" t="s">
        <v>461</v>
      </c>
      <c r="O952" s="2" t="s">
        <v>462</v>
      </c>
      <c r="P952" s="2" t="s">
        <v>36</v>
      </c>
      <c r="Q952" s="2" t="s">
        <v>463</v>
      </c>
      <c r="R952" s="2" t="s">
        <v>464</v>
      </c>
      <c r="S952" s="2" t="s">
        <v>46</v>
      </c>
      <c r="T952">
        <v>1183</v>
      </c>
      <c r="U952">
        <f>VLOOKUP(Auto_Sales_data___Copy[[#This Row],[CUSTOMER_NAME]],$AF$2:$AH$90,2,FALSE)</f>
        <v>25</v>
      </c>
      <c r="V952">
        <f>VLOOKUP(Auto_Sales_data___Copy[[#This Row],[CUSTOMER_NAME]],$AF$2:$AH$90,3,FALSE)</f>
        <v>74936.14</v>
      </c>
      <c r="W952" s="2">
        <f>6-MATCH(Auto_Sales_data___Copy[[#This Row],[DAYS_SINCE_LAST_ORDER]],Table2[R-Cutoff],1)</f>
        <v>4</v>
      </c>
      <c r="X952" s="2">
        <f>MATCH(Auto_Sales_data___Copy[[#This Row],[Total_Orders_Per_Customer]],Table2[F-Cutoff],1)</f>
        <v>3</v>
      </c>
      <c r="Y952" s="2">
        <f>MATCH(Auto_Sales_data___Copy[[#This Row],[Total_Sales_Per_Customer]],Table2[M-Cutoff],1)</f>
        <v>2</v>
      </c>
      <c r="Z952" s="2" t="str">
        <f>Auto_Sales_data___Copy[[#This Row],[R-Score(1-5)]]&amp;Auto_Sales_data___Copy[[#This Row],[F-Score(1-5)]]&amp;Auto_Sales_data___Copy[[#This Row],[M-Score(1-5)]]</f>
        <v>432</v>
      </c>
      <c r="AA952" s="2" t="str" cm="1">
        <f t="array" ref="AA9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2" s="2" t="str">
        <f>VLOOKUP(Auto_Sales_data___Copy[[#This Row],[Segment Name]],Table3[],2,FALSE)</f>
        <v>Brand Awareness &amp; Value Proposition</v>
      </c>
    </row>
    <row r="953" spans="1:28" x14ac:dyDescent="0.25">
      <c r="A953">
        <v>10122</v>
      </c>
      <c r="B953">
        <v>43</v>
      </c>
      <c r="C953">
        <v>72.38</v>
      </c>
      <c r="D953">
        <v>6</v>
      </c>
      <c r="E953">
        <v>3112.34</v>
      </c>
      <c r="F953" s="1">
        <v>43228</v>
      </c>
      <c r="G953" s="2" t="s">
        <v>19</v>
      </c>
      <c r="H953" s="2" t="s">
        <v>183</v>
      </c>
      <c r="I953">
        <v>77</v>
      </c>
      <c r="J953" s="2" t="s">
        <v>629</v>
      </c>
      <c r="K953" s="2" t="s">
        <v>458</v>
      </c>
      <c r="L953" s="2" t="s">
        <v>459</v>
      </c>
      <c r="M953" s="2" t="s">
        <v>460</v>
      </c>
      <c r="N953" s="2" t="s">
        <v>461</v>
      </c>
      <c r="O953" s="2" t="s">
        <v>462</v>
      </c>
      <c r="P953" s="2" t="s">
        <v>36</v>
      </c>
      <c r="Q953" s="2" t="s">
        <v>463</v>
      </c>
      <c r="R953" s="2" t="s">
        <v>464</v>
      </c>
      <c r="S953" s="2" t="s">
        <v>46</v>
      </c>
      <c r="T953">
        <v>1329</v>
      </c>
      <c r="U953">
        <f>VLOOKUP(Auto_Sales_data___Copy[[#This Row],[CUSTOMER_NAME]],$AF$2:$AH$90,2,FALSE)</f>
        <v>25</v>
      </c>
      <c r="V953">
        <f>VLOOKUP(Auto_Sales_data___Copy[[#This Row],[CUSTOMER_NAME]],$AF$2:$AH$90,3,FALSE)</f>
        <v>74936.14</v>
      </c>
      <c r="W953" s="2">
        <f>6-MATCH(Auto_Sales_data___Copy[[#This Row],[DAYS_SINCE_LAST_ORDER]],Table2[R-Cutoff],1)</f>
        <v>4</v>
      </c>
      <c r="X953" s="2">
        <f>MATCH(Auto_Sales_data___Copy[[#This Row],[Total_Orders_Per_Customer]],Table2[F-Cutoff],1)</f>
        <v>3</v>
      </c>
      <c r="Y953" s="2">
        <f>MATCH(Auto_Sales_data___Copy[[#This Row],[Total_Sales_Per_Customer]],Table2[M-Cutoff],1)</f>
        <v>2</v>
      </c>
      <c r="Z953" s="2" t="str">
        <f>Auto_Sales_data___Copy[[#This Row],[R-Score(1-5)]]&amp;Auto_Sales_data___Copy[[#This Row],[F-Score(1-5)]]&amp;Auto_Sales_data___Copy[[#This Row],[M-Score(1-5)]]</f>
        <v>432</v>
      </c>
      <c r="AA953" s="2" t="str" cm="1">
        <f t="array" ref="AA9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3" s="2" t="str">
        <f>VLOOKUP(Auto_Sales_data___Copy[[#This Row],[Segment Name]],Table3[],2,FALSE)</f>
        <v>Brand Awareness &amp; Value Proposition</v>
      </c>
    </row>
    <row r="954" spans="1:28" x14ac:dyDescent="0.25">
      <c r="A954">
        <v>10122</v>
      </c>
      <c r="B954">
        <v>31</v>
      </c>
      <c r="C954">
        <v>132.29</v>
      </c>
      <c r="D954">
        <v>1</v>
      </c>
      <c r="E954">
        <v>4100.99</v>
      </c>
      <c r="F954" s="1">
        <v>43228</v>
      </c>
      <c r="G954" s="2" t="s">
        <v>19</v>
      </c>
      <c r="H954" s="2" t="s">
        <v>183</v>
      </c>
      <c r="I954">
        <v>142</v>
      </c>
      <c r="J954" s="2" t="s">
        <v>630</v>
      </c>
      <c r="K954" s="2" t="s">
        <v>458</v>
      </c>
      <c r="L954" s="2" t="s">
        <v>459</v>
      </c>
      <c r="M954" s="2" t="s">
        <v>460</v>
      </c>
      <c r="N954" s="2" t="s">
        <v>461</v>
      </c>
      <c r="O954" s="2" t="s">
        <v>462</v>
      </c>
      <c r="P954" s="2" t="s">
        <v>36</v>
      </c>
      <c r="Q954" s="2" t="s">
        <v>463</v>
      </c>
      <c r="R954" s="2" t="s">
        <v>464</v>
      </c>
      <c r="S954" s="2" t="s">
        <v>46</v>
      </c>
      <c r="T954">
        <v>1354</v>
      </c>
      <c r="U954">
        <f>VLOOKUP(Auto_Sales_data___Copy[[#This Row],[CUSTOMER_NAME]],$AF$2:$AH$90,2,FALSE)</f>
        <v>25</v>
      </c>
      <c r="V954">
        <f>VLOOKUP(Auto_Sales_data___Copy[[#This Row],[CUSTOMER_NAME]],$AF$2:$AH$90,3,FALSE)</f>
        <v>74936.14</v>
      </c>
      <c r="W954" s="2">
        <f>6-MATCH(Auto_Sales_data___Copy[[#This Row],[DAYS_SINCE_LAST_ORDER]],Table2[R-Cutoff],1)</f>
        <v>4</v>
      </c>
      <c r="X954" s="2">
        <f>MATCH(Auto_Sales_data___Copy[[#This Row],[Total_Orders_Per_Customer]],Table2[F-Cutoff],1)</f>
        <v>3</v>
      </c>
      <c r="Y954" s="2">
        <f>MATCH(Auto_Sales_data___Copy[[#This Row],[Total_Sales_Per_Customer]],Table2[M-Cutoff],1)</f>
        <v>2</v>
      </c>
      <c r="Z954" s="2" t="str">
        <f>Auto_Sales_data___Copy[[#This Row],[R-Score(1-5)]]&amp;Auto_Sales_data___Copy[[#This Row],[F-Score(1-5)]]&amp;Auto_Sales_data___Copy[[#This Row],[M-Score(1-5)]]</f>
        <v>432</v>
      </c>
      <c r="AA954" s="2" t="str" cm="1">
        <f t="array" ref="AA9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4" s="2" t="str">
        <f>VLOOKUP(Auto_Sales_data___Copy[[#This Row],[Segment Name]],Table3[],2,FALSE)</f>
        <v>Brand Awareness &amp; Value Proposition</v>
      </c>
    </row>
    <row r="955" spans="1:28" x14ac:dyDescent="0.25">
      <c r="A955">
        <v>10301</v>
      </c>
      <c r="B955">
        <v>37</v>
      </c>
      <c r="C955">
        <v>159.94</v>
      </c>
      <c r="D955">
        <v>8</v>
      </c>
      <c r="E955">
        <v>5917.78</v>
      </c>
      <c r="F955" s="1">
        <v>43378</v>
      </c>
      <c r="G955" s="2" t="s">
        <v>19</v>
      </c>
      <c r="H955" s="2" t="s">
        <v>183</v>
      </c>
      <c r="I955">
        <v>141</v>
      </c>
      <c r="J955" s="2" t="s">
        <v>576</v>
      </c>
      <c r="K955" s="2" t="s">
        <v>582</v>
      </c>
      <c r="L955" s="2" t="s">
        <v>583</v>
      </c>
      <c r="M955" s="2" t="s">
        <v>584</v>
      </c>
      <c r="N955" s="2" t="s">
        <v>585</v>
      </c>
      <c r="O955" s="2" t="s">
        <v>586</v>
      </c>
      <c r="P955" s="2" t="s">
        <v>73</v>
      </c>
      <c r="Q955" s="2" t="s">
        <v>587</v>
      </c>
      <c r="R955" s="2" t="s">
        <v>588</v>
      </c>
      <c r="S955" s="2" t="s">
        <v>46</v>
      </c>
      <c r="T955">
        <v>1048</v>
      </c>
      <c r="U955">
        <f>VLOOKUP(Auto_Sales_data___Copy[[#This Row],[CUSTOMER_NAME]],$AF$2:$AH$90,2,FALSE)</f>
        <v>24</v>
      </c>
      <c r="V955">
        <f>VLOOKUP(Auto_Sales_data___Copy[[#This Row],[CUSTOMER_NAME]],$AF$2:$AH$90,3,FALSE)</f>
        <v>79224.23</v>
      </c>
      <c r="W955" s="2">
        <f>6-MATCH(Auto_Sales_data___Copy[[#This Row],[DAYS_SINCE_LAST_ORDER]],Table2[R-Cutoff],1)</f>
        <v>4</v>
      </c>
      <c r="X955" s="2">
        <f>MATCH(Auto_Sales_data___Copy[[#This Row],[Total_Orders_Per_Customer]],Table2[F-Cutoff],1)</f>
        <v>3</v>
      </c>
      <c r="Y955" s="2">
        <f>MATCH(Auto_Sales_data___Copy[[#This Row],[Total_Sales_Per_Customer]],Table2[M-Cutoff],1)</f>
        <v>2</v>
      </c>
      <c r="Z955" s="2" t="str">
        <f>Auto_Sales_data___Copy[[#This Row],[R-Score(1-5)]]&amp;Auto_Sales_data___Copy[[#This Row],[F-Score(1-5)]]&amp;Auto_Sales_data___Copy[[#This Row],[M-Score(1-5)]]</f>
        <v>432</v>
      </c>
      <c r="AA955" s="2" t="str" cm="1">
        <f t="array" ref="AA9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5" s="2" t="str">
        <f>VLOOKUP(Auto_Sales_data___Copy[[#This Row],[Segment Name]],Table3[],2,FALSE)</f>
        <v>Brand Awareness &amp; Value Proposition</v>
      </c>
    </row>
    <row r="956" spans="1:28" x14ac:dyDescent="0.25">
      <c r="A956">
        <v>10301</v>
      </c>
      <c r="B956">
        <v>32</v>
      </c>
      <c r="C956">
        <v>107.02</v>
      </c>
      <c r="D956">
        <v>4</v>
      </c>
      <c r="E956">
        <v>3424.64</v>
      </c>
      <c r="F956" s="1">
        <v>43378</v>
      </c>
      <c r="G956" s="2" t="s">
        <v>19</v>
      </c>
      <c r="H956" s="2" t="s">
        <v>183</v>
      </c>
      <c r="I956">
        <v>124</v>
      </c>
      <c r="J956" s="2" t="s">
        <v>606</v>
      </c>
      <c r="K956" s="2" t="s">
        <v>582</v>
      </c>
      <c r="L956" s="2" t="s">
        <v>583</v>
      </c>
      <c r="M956" s="2" t="s">
        <v>584</v>
      </c>
      <c r="N956" s="2" t="s">
        <v>585</v>
      </c>
      <c r="O956" s="2" t="s">
        <v>586</v>
      </c>
      <c r="P956" s="2" t="s">
        <v>73</v>
      </c>
      <c r="Q956" s="2" t="s">
        <v>587</v>
      </c>
      <c r="R956" s="2" t="s">
        <v>588</v>
      </c>
      <c r="S956" s="2" t="s">
        <v>46</v>
      </c>
      <c r="T956">
        <v>1122</v>
      </c>
      <c r="U956">
        <f>VLOOKUP(Auto_Sales_data___Copy[[#This Row],[CUSTOMER_NAME]],$AF$2:$AH$90,2,FALSE)</f>
        <v>24</v>
      </c>
      <c r="V956">
        <f>VLOOKUP(Auto_Sales_data___Copy[[#This Row],[CUSTOMER_NAME]],$AF$2:$AH$90,3,FALSE)</f>
        <v>79224.23</v>
      </c>
      <c r="W956" s="2">
        <f>6-MATCH(Auto_Sales_data___Copy[[#This Row],[DAYS_SINCE_LAST_ORDER]],Table2[R-Cutoff],1)</f>
        <v>4</v>
      </c>
      <c r="X956" s="2">
        <f>MATCH(Auto_Sales_data___Copy[[#This Row],[Total_Orders_Per_Customer]],Table2[F-Cutoff],1)</f>
        <v>3</v>
      </c>
      <c r="Y956" s="2">
        <f>MATCH(Auto_Sales_data___Copy[[#This Row],[Total_Sales_Per_Customer]],Table2[M-Cutoff],1)</f>
        <v>2</v>
      </c>
      <c r="Z956" s="2" t="str">
        <f>Auto_Sales_data___Copy[[#This Row],[R-Score(1-5)]]&amp;Auto_Sales_data___Copy[[#This Row],[F-Score(1-5)]]&amp;Auto_Sales_data___Copy[[#This Row],[M-Score(1-5)]]</f>
        <v>432</v>
      </c>
      <c r="AA956" s="2" t="str" cm="1">
        <f t="array" ref="AA9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6" s="2" t="str">
        <f>VLOOKUP(Auto_Sales_data___Copy[[#This Row],[Segment Name]],Table3[],2,FALSE)</f>
        <v>Brand Awareness &amp; Value Proposition</v>
      </c>
    </row>
    <row r="957" spans="1:28" x14ac:dyDescent="0.25">
      <c r="A957">
        <v>10301</v>
      </c>
      <c r="B957">
        <v>47</v>
      </c>
      <c r="C957">
        <v>159.32</v>
      </c>
      <c r="D957">
        <v>7</v>
      </c>
      <c r="E957">
        <v>7488.04</v>
      </c>
      <c r="F957" s="1">
        <v>43378</v>
      </c>
      <c r="G957" s="2" t="s">
        <v>19</v>
      </c>
      <c r="H957" s="2" t="s">
        <v>183</v>
      </c>
      <c r="I957">
        <v>142</v>
      </c>
      <c r="J957" s="2" t="s">
        <v>630</v>
      </c>
      <c r="K957" s="2" t="s">
        <v>582</v>
      </c>
      <c r="L957" s="2" t="s">
        <v>583</v>
      </c>
      <c r="M957" s="2" t="s">
        <v>584</v>
      </c>
      <c r="N957" s="2" t="s">
        <v>585</v>
      </c>
      <c r="O957" s="2" t="s">
        <v>586</v>
      </c>
      <c r="P957" s="2" t="s">
        <v>73</v>
      </c>
      <c r="Q957" s="2" t="s">
        <v>587</v>
      </c>
      <c r="R957" s="2" t="s">
        <v>588</v>
      </c>
      <c r="S957" s="2" t="s">
        <v>151</v>
      </c>
      <c r="T957">
        <v>1219</v>
      </c>
      <c r="U957">
        <f>VLOOKUP(Auto_Sales_data___Copy[[#This Row],[CUSTOMER_NAME]],$AF$2:$AH$90,2,FALSE)</f>
        <v>24</v>
      </c>
      <c r="V957">
        <f>VLOOKUP(Auto_Sales_data___Copy[[#This Row],[CUSTOMER_NAME]],$AF$2:$AH$90,3,FALSE)</f>
        <v>79224.23</v>
      </c>
      <c r="W957" s="2">
        <f>6-MATCH(Auto_Sales_data___Copy[[#This Row],[DAYS_SINCE_LAST_ORDER]],Table2[R-Cutoff],1)</f>
        <v>4</v>
      </c>
      <c r="X957" s="2">
        <f>MATCH(Auto_Sales_data___Copy[[#This Row],[Total_Orders_Per_Customer]],Table2[F-Cutoff],1)</f>
        <v>3</v>
      </c>
      <c r="Y957" s="2">
        <f>MATCH(Auto_Sales_data___Copy[[#This Row],[Total_Sales_Per_Customer]],Table2[M-Cutoff],1)</f>
        <v>2</v>
      </c>
      <c r="Z957" s="2" t="str">
        <f>Auto_Sales_data___Copy[[#This Row],[R-Score(1-5)]]&amp;Auto_Sales_data___Copy[[#This Row],[F-Score(1-5)]]&amp;Auto_Sales_data___Copy[[#This Row],[M-Score(1-5)]]</f>
        <v>432</v>
      </c>
      <c r="AA957" s="2" t="str" cm="1">
        <f t="array" ref="AA9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7" s="2" t="str">
        <f>VLOOKUP(Auto_Sales_data___Copy[[#This Row],[Segment Name]],Table3[],2,FALSE)</f>
        <v>Brand Awareness &amp; Value Proposition</v>
      </c>
    </row>
    <row r="958" spans="1:28" x14ac:dyDescent="0.25">
      <c r="A958">
        <v>10301</v>
      </c>
      <c r="B958">
        <v>22</v>
      </c>
      <c r="C958">
        <v>146.52000000000001</v>
      </c>
      <c r="D958">
        <v>5</v>
      </c>
      <c r="E958">
        <v>3223.44</v>
      </c>
      <c r="F958" s="1">
        <v>43378</v>
      </c>
      <c r="G958" s="2" t="s">
        <v>19</v>
      </c>
      <c r="H958" s="2" t="s">
        <v>183</v>
      </c>
      <c r="I958">
        <v>132</v>
      </c>
      <c r="J958" s="2" t="s">
        <v>639</v>
      </c>
      <c r="K958" s="2" t="s">
        <v>582</v>
      </c>
      <c r="L958" s="2" t="s">
        <v>583</v>
      </c>
      <c r="M958" s="2" t="s">
        <v>584</v>
      </c>
      <c r="N958" s="2" t="s">
        <v>585</v>
      </c>
      <c r="O958" s="2" t="s">
        <v>586</v>
      </c>
      <c r="P958" s="2" t="s">
        <v>73</v>
      </c>
      <c r="Q958" s="2" t="s">
        <v>587</v>
      </c>
      <c r="R958" s="2" t="s">
        <v>588</v>
      </c>
      <c r="S958" s="2" t="s">
        <v>46</v>
      </c>
      <c r="T958">
        <v>1443</v>
      </c>
      <c r="U958">
        <f>VLOOKUP(Auto_Sales_data___Copy[[#This Row],[CUSTOMER_NAME]],$AF$2:$AH$90,2,FALSE)</f>
        <v>24</v>
      </c>
      <c r="V958">
        <f>VLOOKUP(Auto_Sales_data___Copy[[#This Row],[CUSTOMER_NAME]],$AF$2:$AH$90,3,FALSE)</f>
        <v>79224.23</v>
      </c>
      <c r="W958" s="2">
        <f>6-MATCH(Auto_Sales_data___Copy[[#This Row],[DAYS_SINCE_LAST_ORDER]],Table2[R-Cutoff],1)</f>
        <v>4</v>
      </c>
      <c r="X958" s="2">
        <f>MATCH(Auto_Sales_data___Copy[[#This Row],[Total_Orders_Per_Customer]],Table2[F-Cutoff],1)</f>
        <v>3</v>
      </c>
      <c r="Y958" s="2">
        <f>MATCH(Auto_Sales_data___Copy[[#This Row],[Total_Sales_Per_Customer]],Table2[M-Cutoff],1)</f>
        <v>2</v>
      </c>
      <c r="Z958" s="2" t="str">
        <f>Auto_Sales_data___Copy[[#This Row],[R-Score(1-5)]]&amp;Auto_Sales_data___Copy[[#This Row],[F-Score(1-5)]]&amp;Auto_Sales_data___Copy[[#This Row],[M-Score(1-5)]]</f>
        <v>432</v>
      </c>
      <c r="AA958" s="2" t="str" cm="1">
        <f t="array" ref="AA9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8" s="2" t="str">
        <f>VLOOKUP(Auto_Sales_data___Copy[[#This Row],[Segment Name]],Table3[],2,FALSE)</f>
        <v>Brand Awareness &amp; Value Proposition</v>
      </c>
    </row>
    <row r="959" spans="1:28" x14ac:dyDescent="0.25">
      <c r="A959">
        <v>10221</v>
      </c>
      <c r="B959">
        <v>33</v>
      </c>
      <c r="C959">
        <v>133.86000000000001</v>
      </c>
      <c r="D959">
        <v>3</v>
      </c>
      <c r="E959">
        <v>4417.38</v>
      </c>
      <c r="F959" s="1">
        <v>43514</v>
      </c>
      <c r="G959" s="2" t="s">
        <v>19</v>
      </c>
      <c r="H959" s="2" t="s">
        <v>589</v>
      </c>
      <c r="I959">
        <v>136</v>
      </c>
      <c r="J959" s="2" t="s">
        <v>648</v>
      </c>
      <c r="K959" s="2" t="s">
        <v>384</v>
      </c>
      <c r="L959" s="2" t="s">
        <v>385</v>
      </c>
      <c r="M959" s="2" t="s">
        <v>386</v>
      </c>
      <c r="N959" s="2" t="s">
        <v>387</v>
      </c>
      <c r="O959" s="2" t="s">
        <v>388</v>
      </c>
      <c r="P959" s="2" t="s">
        <v>389</v>
      </c>
      <c r="Q959" s="2" t="s">
        <v>390</v>
      </c>
      <c r="R959" s="2" t="s">
        <v>391</v>
      </c>
      <c r="S959" s="2" t="s">
        <v>46</v>
      </c>
      <c r="T959">
        <v>1426</v>
      </c>
      <c r="U959">
        <f>VLOOKUP(Auto_Sales_data___Copy[[#This Row],[CUSTOMER_NAME]],$AF$2:$AH$90,2,FALSE)</f>
        <v>25</v>
      </c>
      <c r="V959">
        <f>VLOOKUP(Auto_Sales_data___Copy[[#This Row],[CUSTOMER_NAME]],$AF$2:$AH$90,3,FALSE)</f>
        <v>74972.52</v>
      </c>
      <c r="W959" s="2">
        <f>6-MATCH(Auto_Sales_data___Copy[[#This Row],[DAYS_SINCE_LAST_ORDER]],Table2[R-Cutoff],1)</f>
        <v>4</v>
      </c>
      <c r="X959" s="2">
        <f>MATCH(Auto_Sales_data___Copy[[#This Row],[Total_Orders_Per_Customer]],Table2[F-Cutoff],1)</f>
        <v>3</v>
      </c>
      <c r="Y959" s="2">
        <f>MATCH(Auto_Sales_data___Copy[[#This Row],[Total_Sales_Per_Customer]],Table2[M-Cutoff],1)</f>
        <v>2</v>
      </c>
      <c r="Z959" s="2" t="str">
        <f>Auto_Sales_data___Copy[[#This Row],[R-Score(1-5)]]&amp;Auto_Sales_data___Copy[[#This Row],[F-Score(1-5)]]&amp;Auto_Sales_data___Copy[[#This Row],[M-Score(1-5)]]</f>
        <v>432</v>
      </c>
      <c r="AA959" s="2" t="str" cm="1">
        <f t="array" ref="AA9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9" s="2" t="str">
        <f>VLOOKUP(Auto_Sales_data___Copy[[#This Row],[Segment Name]],Table3[],2,FALSE)</f>
        <v>Brand Awareness &amp; Value Proposition</v>
      </c>
    </row>
    <row r="960" spans="1:28" x14ac:dyDescent="0.25">
      <c r="A960">
        <v>10232</v>
      </c>
      <c r="B960">
        <v>22</v>
      </c>
      <c r="C960">
        <v>163.91</v>
      </c>
      <c r="D960">
        <v>6</v>
      </c>
      <c r="E960">
        <v>3606.02</v>
      </c>
      <c r="F960" s="1">
        <v>43544</v>
      </c>
      <c r="G960" s="2" t="s">
        <v>19</v>
      </c>
      <c r="H960" s="2" t="s">
        <v>589</v>
      </c>
      <c r="I960">
        <v>136</v>
      </c>
      <c r="J960" s="2" t="s">
        <v>648</v>
      </c>
      <c r="K960" s="2" t="s">
        <v>404</v>
      </c>
      <c r="L960" s="2" t="s">
        <v>405</v>
      </c>
      <c r="M960" s="2" t="s">
        <v>406</v>
      </c>
      <c r="N960" s="2" t="s">
        <v>407</v>
      </c>
      <c r="O960" s="2" t="s">
        <v>408</v>
      </c>
      <c r="P960" s="2" t="s">
        <v>171</v>
      </c>
      <c r="Q960" s="2" t="s">
        <v>409</v>
      </c>
      <c r="R960" s="2" t="s">
        <v>410</v>
      </c>
      <c r="S960" s="2" t="s">
        <v>46</v>
      </c>
      <c r="T960">
        <v>1397</v>
      </c>
      <c r="U960">
        <f>VLOOKUP(Auto_Sales_data___Copy[[#This Row],[CUSTOMER_NAME]],$AF$2:$AH$90,2,FALSE)</f>
        <v>26</v>
      </c>
      <c r="V960">
        <f>VLOOKUP(Auto_Sales_data___Copy[[#This Row],[CUSTOMER_NAME]],$AF$2:$AH$90,3,FALSE)</f>
        <v>78240.84</v>
      </c>
      <c r="W960" s="2">
        <f>6-MATCH(Auto_Sales_data___Copy[[#This Row],[DAYS_SINCE_LAST_ORDER]],Table2[R-Cutoff],1)</f>
        <v>4</v>
      </c>
      <c r="X960" s="2">
        <f>MATCH(Auto_Sales_data___Copy[[#This Row],[Total_Orders_Per_Customer]],Table2[F-Cutoff],1)</f>
        <v>3</v>
      </c>
      <c r="Y960" s="2">
        <f>MATCH(Auto_Sales_data___Copy[[#This Row],[Total_Sales_Per_Customer]],Table2[M-Cutoff],1)</f>
        <v>2</v>
      </c>
      <c r="Z960" s="2" t="str">
        <f>Auto_Sales_data___Copy[[#This Row],[R-Score(1-5)]]&amp;Auto_Sales_data___Copy[[#This Row],[F-Score(1-5)]]&amp;Auto_Sales_data___Copy[[#This Row],[M-Score(1-5)]]</f>
        <v>432</v>
      </c>
      <c r="AA960" s="2" t="str" cm="1">
        <f t="array" ref="AA9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0" s="2" t="str">
        <f>VLOOKUP(Auto_Sales_data___Copy[[#This Row],[Segment Name]],Table3[],2,FALSE)</f>
        <v>Brand Awareness &amp; Value Proposition</v>
      </c>
    </row>
    <row r="961" spans="1:28" x14ac:dyDescent="0.25">
      <c r="A961">
        <v>10232</v>
      </c>
      <c r="B961">
        <v>48</v>
      </c>
      <c r="C961">
        <v>95.8</v>
      </c>
      <c r="D961">
        <v>8</v>
      </c>
      <c r="E961">
        <v>4598.3999999999996</v>
      </c>
      <c r="F961" s="1">
        <v>43544</v>
      </c>
      <c r="G961" s="2" t="s">
        <v>19</v>
      </c>
      <c r="H961" s="2" t="s">
        <v>650</v>
      </c>
      <c r="I961">
        <v>100</v>
      </c>
      <c r="J961" s="2" t="s">
        <v>651</v>
      </c>
      <c r="K961" s="2" t="s">
        <v>404</v>
      </c>
      <c r="L961" s="2" t="s">
        <v>405</v>
      </c>
      <c r="M961" s="2" t="s">
        <v>406</v>
      </c>
      <c r="N961" s="2" t="s">
        <v>407</v>
      </c>
      <c r="O961" s="2" t="s">
        <v>408</v>
      </c>
      <c r="P961" s="2" t="s">
        <v>171</v>
      </c>
      <c r="Q961" s="2" t="s">
        <v>409</v>
      </c>
      <c r="R961" s="2" t="s">
        <v>410</v>
      </c>
      <c r="S961" s="2" t="s">
        <v>46</v>
      </c>
      <c r="T961">
        <v>1473</v>
      </c>
      <c r="U961">
        <f>VLOOKUP(Auto_Sales_data___Copy[[#This Row],[CUSTOMER_NAME]],$AF$2:$AH$90,2,FALSE)</f>
        <v>26</v>
      </c>
      <c r="V961">
        <f>VLOOKUP(Auto_Sales_data___Copy[[#This Row],[CUSTOMER_NAME]],$AF$2:$AH$90,3,FALSE)</f>
        <v>78240.84</v>
      </c>
      <c r="W961" s="2">
        <f>6-MATCH(Auto_Sales_data___Copy[[#This Row],[DAYS_SINCE_LAST_ORDER]],Table2[R-Cutoff],1)</f>
        <v>4</v>
      </c>
      <c r="X961" s="2">
        <f>MATCH(Auto_Sales_data___Copy[[#This Row],[Total_Orders_Per_Customer]],Table2[F-Cutoff],1)</f>
        <v>3</v>
      </c>
      <c r="Y961" s="2">
        <f>MATCH(Auto_Sales_data___Copy[[#This Row],[Total_Sales_Per_Customer]],Table2[M-Cutoff],1)</f>
        <v>2</v>
      </c>
      <c r="Z961" s="2" t="str">
        <f>Auto_Sales_data___Copy[[#This Row],[R-Score(1-5)]]&amp;Auto_Sales_data___Copy[[#This Row],[F-Score(1-5)]]&amp;Auto_Sales_data___Copy[[#This Row],[M-Score(1-5)]]</f>
        <v>432</v>
      </c>
      <c r="AA961" s="2" t="str" cm="1">
        <f t="array" ref="AA9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1" s="2" t="str">
        <f>VLOOKUP(Auto_Sales_data___Copy[[#This Row],[Segment Name]],Table3[],2,FALSE)</f>
        <v>Brand Awareness &amp; Value Proposition</v>
      </c>
    </row>
    <row r="962" spans="1:28" x14ac:dyDescent="0.25">
      <c r="A962">
        <v>10235</v>
      </c>
      <c r="B962">
        <v>24</v>
      </c>
      <c r="C962">
        <v>76.03</v>
      </c>
      <c r="D962">
        <v>3</v>
      </c>
      <c r="E962">
        <v>1824.72</v>
      </c>
      <c r="F962" s="1">
        <v>43557</v>
      </c>
      <c r="G962" s="2" t="s">
        <v>19</v>
      </c>
      <c r="H962" s="2" t="s">
        <v>607</v>
      </c>
      <c r="I962">
        <v>84</v>
      </c>
      <c r="J962" s="2" t="s">
        <v>636</v>
      </c>
      <c r="K962" s="2" t="s">
        <v>392</v>
      </c>
      <c r="L962" s="2" t="s">
        <v>393</v>
      </c>
      <c r="M962" s="2" t="s">
        <v>394</v>
      </c>
      <c r="N962" s="2" t="s">
        <v>395</v>
      </c>
      <c r="O962" s="2" t="s">
        <v>396</v>
      </c>
      <c r="P962" s="2" t="s">
        <v>236</v>
      </c>
      <c r="Q962" s="2" t="s">
        <v>397</v>
      </c>
      <c r="R962" s="2" t="s">
        <v>173</v>
      </c>
      <c r="S962" s="2" t="s">
        <v>30</v>
      </c>
      <c r="T962">
        <v>1183</v>
      </c>
      <c r="U962">
        <f>VLOOKUP(Auto_Sales_data___Copy[[#This Row],[CUSTOMER_NAME]],$AF$2:$AH$90,2,FALSE)</f>
        <v>26</v>
      </c>
      <c r="V962">
        <f>VLOOKUP(Auto_Sales_data___Copy[[#This Row],[CUSTOMER_NAME]],$AF$2:$AH$90,3,FALSE)</f>
        <v>74634.850000000006</v>
      </c>
      <c r="W962" s="2">
        <f>6-MATCH(Auto_Sales_data___Copy[[#This Row],[DAYS_SINCE_LAST_ORDER]],Table2[R-Cutoff],1)</f>
        <v>4</v>
      </c>
      <c r="X962" s="2">
        <f>MATCH(Auto_Sales_data___Copy[[#This Row],[Total_Orders_Per_Customer]],Table2[F-Cutoff],1)</f>
        <v>3</v>
      </c>
      <c r="Y962" s="2">
        <f>MATCH(Auto_Sales_data___Copy[[#This Row],[Total_Sales_Per_Customer]],Table2[M-Cutoff],1)</f>
        <v>2</v>
      </c>
      <c r="Z962" s="2" t="str">
        <f>Auto_Sales_data___Copy[[#This Row],[R-Score(1-5)]]&amp;Auto_Sales_data___Copy[[#This Row],[F-Score(1-5)]]&amp;Auto_Sales_data___Copy[[#This Row],[M-Score(1-5)]]</f>
        <v>432</v>
      </c>
      <c r="AA962" s="2" t="str" cm="1">
        <f t="array" ref="AA9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2" s="2" t="str">
        <f>VLOOKUP(Auto_Sales_data___Copy[[#This Row],[Segment Name]],Table3[],2,FALSE)</f>
        <v>Brand Awareness &amp; Value Proposition</v>
      </c>
    </row>
    <row r="963" spans="1:28" x14ac:dyDescent="0.25">
      <c r="A963">
        <v>10273</v>
      </c>
      <c r="B963">
        <v>34</v>
      </c>
      <c r="C963">
        <v>98.06</v>
      </c>
      <c r="D963">
        <v>2</v>
      </c>
      <c r="E963">
        <v>3334.04</v>
      </c>
      <c r="F963" s="1">
        <v>43667</v>
      </c>
      <c r="G963" s="2" t="s">
        <v>19</v>
      </c>
      <c r="H963" s="2" t="s">
        <v>642</v>
      </c>
      <c r="I963">
        <v>86</v>
      </c>
      <c r="J963" s="2" t="s">
        <v>643</v>
      </c>
      <c r="K963" s="2" t="s">
        <v>384</v>
      </c>
      <c r="L963" s="2" t="s">
        <v>385</v>
      </c>
      <c r="M963" s="2" t="s">
        <v>386</v>
      </c>
      <c r="N963" s="2" t="s">
        <v>387</v>
      </c>
      <c r="O963" s="2" t="s">
        <v>388</v>
      </c>
      <c r="P963" s="2" t="s">
        <v>389</v>
      </c>
      <c r="Q963" s="2" t="s">
        <v>390</v>
      </c>
      <c r="R963" s="2" t="s">
        <v>391</v>
      </c>
      <c r="S963" s="2" t="s">
        <v>46</v>
      </c>
      <c r="T963">
        <v>1225</v>
      </c>
      <c r="U963">
        <f>VLOOKUP(Auto_Sales_data___Copy[[#This Row],[CUSTOMER_NAME]],$AF$2:$AH$90,2,FALSE)</f>
        <v>25</v>
      </c>
      <c r="V963">
        <f>VLOOKUP(Auto_Sales_data___Copy[[#This Row],[CUSTOMER_NAME]],$AF$2:$AH$90,3,FALSE)</f>
        <v>74972.52</v>
      </c>
      <c r="W963" s="2">
        <f>6-MATCH(Auto_Sales_data___Copy[[#This Row],[DAYS_SINCE_LAST_ORDER]],Table2[R-Cutoff],1)</f>
        <v>4</v>
      </c>
      <c r="X963" s="2">
        <f>MATCH(Auto_Sales_data___Copy[[#This Row],[Total_Orders_Per_Customer]],Table2[F-Cutoff],1)</f>
        <v>3</v>
      </c>
      <c r="Y963" s="2">
        <f>MATCH(Auto_Sales_data___Copy[[#This Row],[Total_Sales_Per_Customer]],Table2[M-Cutoff],1)</f>
        <v>2</v>
      </c>
      <c r="Z963" s="2" t="str">
        <f>Auto_Sales_data___Copy[[#This Row],[R-Score(1-5)]]&amp;Auto_Sales_data___Copy[[#This Row],[F-Score(1-5)]]&amp;Auto_Sales_data___Copy[[#This Row],[M-Score(1-5)]]</f>
        <v>432</v>
      </c>
      <c r="AA963" s="2" t="str" cm="1">
        <f t="array" ref="AA9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3" s="2" t="str">
        <f>VLOOKUP(Auto_Sales_data___Copy[[#This Row],[Segment Name]],Table3[],2,FALSE)</f>
        <v>Brand Awareness &amp; Value Proposition</v>
      </c>
    </row>
    <row r="964" spans="1:28" x14ac:dyDescent="0.25">
      <c r="A964">
        <v>10273</v>
      </c>
      <c r="B964">
        <v>40</v>
      </c>
      <c r="C964">
        <v>125.66</v>
      </c>
      <c r="D964">
        <v>13</v>
      </c>
      <c r="E964">
        <v>5026.3999999999996</v>
      </c>
      <c r="F964" s="1">
        <v>43667</v>
      </c>
      <c r="G964" s="2" t="s">
        <v>19</v>
      </c>
      <c r="H964" s="2" t="s">
        <v>589</v>
      </c>
      <c r="I964">
        <v>136</v>
      </c>
      <c r="J964" s="2" t="s">
        <v>648</v>
      </c>
      <c r="K964" s="2" t="s">
        <v>384</v>
      </c>
      <c r="L964" s="2" t="s">
        <v>385</v>
      </c>
      <c r="M964" s="2" t="s">
        <v>386</v>
      </c>
      <c r="N964" s="2" t="s">
        <v>387</v>
      </c>
      <c r="O964" s="2" t="s">
        <v>388</v>
      </c>
      <c r="P964" s="2" t="s">
        <v>389</v>
      </c>
      <c r="Q964" s="2" t="s">
        <v>390</v>
      </c>
      <c r="R964" s="2" t="s">
        <v>391</v>
      </c>
      <c r="S964" s="2" t="s">
        <v>46</v>
      </c>
      <c r="T964">
        <v>1276</v>
      </c>
      <c r="U964">
        <f>VLOOKUP(Auto_Sales_data___Copy[[#This Row],[CUSTOMER_NAME]],$AF$2:$AH$90,2,FALSE)</f>
        <v>25</v>
      </c>
      <c r="V964">
        <f>VLOOKUP(Auto_Sales_data___Copy[[#This Row],[CUSTOMER_NAME]],$AF$2:$AH$90,3,FALSE)</f>
        <v>74972.52</v>
      </c>
      <c r="W964" s="2">
        <f>6-MATCH(Auto_Sales_data___Copy[[#This Row],[DAYS_SINCE_LAST_ORDER]],Table2[R-Cutoff],1)</f>
        <v>4</v>
      </c>
      <c r="X964" s="2">
        <f>MATCH(Auto_Sales_data___Copy[[#This Row],[Total_Orders_Per_Customer]],Table2[F-Cutoff],1)</f>
        <v>3</v>
      </c>
      <c r="Y964" s="2">
        <f>MATCH(Auto_Sales_data___Copy[[#This Row],[Total_Sales_Per_Customer]],Table2[M-Cutoff],1)</f>
        <v>2</v>
      </c>
      <c r="Z964" s="2" t="str">
        <f>Auto_Sales_data___Copy[[#This Row],[R-Score(1-5)]]&amp;Auto_Sales_data___Copy[[#This Row],[F-Score(1-5)]]&amp;Auto_Sales_data___Copy[[#This Row],[M-Score(1-5)]]</f>
        <v>432</v>
      </c>
      <c r="AA964" s="2" t="str" cm="1">
        <f t="array" ref="AA9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4" s="2" t="str">
        <f>VLOOKUP(Auto_Sales_data___Copy[[#This Row],[Segment Name]],Table3[],2,FALSE)</f>
        <v>Brand Awareness &amp; Value Proposition</v>
      </c>
    </row>
    <row r="965" spans="1:28" x14ac:dyDescent="0.25">
      <c r="A965">
        <v>10273</v>
      </c>
      <c r="B965">
        <v>47</v>
      </c>
      <c r="C965">
        <v>115.97</v>
      </c>
      <c r="D965">
        <v>15</v>
      </c>
      <c r="E965">
        <v>5450.59</v>
      </c>
      <c r="F965" s="1">
        <v>43667</v>
      </c>
      <c r="G965" s="2" t="s">
        <v>19</v>
      </c>
      <c r="H965" s="2" t="s">
        <v>650</v>
      </c>
      <c r="I965">
        <v>100</v>
      </c>
      <c r="J965" s="2" t="s">
        <v>651</v>
      </c>
      <c r="K965" s="2" t="s">
        <v>384</v>
      </c>
      <c r="L965" s="2" t="s">
        <v>385</v>
      </c>
      <c r="M965" s="2" t="s">
        <v>386</v>
      </c>
      <c r="N965" s="2" t="s">
        <v>387</v>
      </c>
      <c r="O965" s="2" t="s">
        <v>388</v>
      </c>
      <c r="P965" s="2" t="s">
        <v>389</v>
      </c>
      <c r="Q965" s="2" t="s">
        <v>390</v>
      </c>
      <c r="R965" s="2" t="s">
        <v>391</v>
      </c>
      <c r="S965" s="2" t="s">
        <v>46</v>
      </c>
      <c r="T965">
        <v>1352</v>
      </c>
      <c r="U965">
        <f>VLOOKUP(Auto_Sales_data___Copy[[#This Row],[CUSTOMER_NAME]],$AF$2:$AH$90,2,FALSE)</f>
        <v>25</v>
      </c>
      <c r="V965">
        <f>VLOOKUP(Auto_Sales_data___Copy[[#This Row],[CUSTOMER_NAME]],$AF$2:$AH$90,3,FALSE)</f>
        <v>74972.52</v>
      </c>
      <c r="W965" s="2">
        <f>6-MATCH(Auto_Sales_data___Copy[[#This Row],[DAYS_SINCE_LAST_ORDER]],Table2[R-Cutoff],1)</f>
        <v>4</v>
      </c>
      <c r="X965" s="2">
        <f>MATCH(Auto_Sales_data___Copy[[#This Row],[Total_Orders_Per_Customer]],Table2[F-Cutoff],1)</f>
        <v>3</v>
      </c>
      <c r="Y965" s="2">
        <f>MATCH(Auto_Sales_data___Copy[[#This Row],[Total_Sales_Per_Customer]],Table2[M-Cutoff],1)</f>
        <v>2</v>
      </c>
      <c r="Z965" s="2" t="str">
        <f>Auto_Sales_data___Copy[[#This Row],[R-Score(1-5)]]&amp;Auto_Sales_data___Copy[[#This Row],[F-Score(1-5)]]&amp;Auto_Sales_data___Copy[[#This Row],[M-Score(1-5)]]</f>
        <v>432</v>
      </c>
      <c r="AA965" s="2" t="str" cm="1">
        <f t="array" ref="AA9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5" s="2" t="str">
        <f>VLOOKUP(Auto_Sales_data___Copy[[#This Row],[Segment Name]],Table3[],2,FALSE)</f>
        <v>Brand Awareness &amp; Value Proposition</v>
      </c>
    </row>
    <row r="966" spans="1:28" x14ac:dyDescent="0.25">
      <c r="A966">
        <v>10283</v>
      </c>
      <c r="B966">
        <v>21</v>
      </c>
      <c r="C966">
        <v>98.06</v>
      </c>
      <c r="D966">
        <v>4</v>
      </c>
      <c r="E966">
        <v>2059.2600000000002</v>
      </c>
      <c r="F966" s="1">
        <v>43697</v>
      </c>
      <c r="G966" s="2" t="s">
        <v>19</v>
      </c>
      <c r="H966" s="2" t="s">
        <v>642</v>
      </c>
      <c r="I966">
        <v>86</v>
      </c>
      <c r="J966" s="2" t="s">
        <v>643</v>
      </c>
      <c r="K966" s="2" t="s">
        <v>392</v>
      </c>
      <c r="L966" s="2" t="s">
        <v>393</v>
      </c>
      <c r="M966" s="2" t="s">
        <v>394</v>
      </c>
      <c r="N966" s="2" t="s">
        <v>395</v>
      </c>
      <c r="O966" s="2" t="s">
        <v>396</v>
      </c>
      <c r="P966" s="2" t="s">
        <v>236</v>
      </c>
      <c r="Q966" s="2" t="s">
        <v>397</v>
      </c>
      <c r="R966" s="2" t="s">
        <v>173</v>
      </c>
      <c r="S966" s="2" t="s">
        <v>30</v>
      </c>
      <c r="T966">
        <v>1196</v>
      </c>
      <c r="U966">
        <f>VLOOKUP(Auto_Sales_data___Copy[[#This Row],[CUSTOMER_NAME]],$AF$2:$AH$90,2,FALSE)</f>
        <v>26</v>
      </c>
      <c r="V966">
        <f>VLOOKUP(Auto_Sales_data___Copy[[#This Row],[CUSTOMER_NAME]],$AF$2:$AH$90,3,FALSE)</f>
        <v>74634.850000000006</v>
      </c>
      <c r="W966" s="2">
        <f>6-MATCH(Auto_Sales_data___Copy[[#This Row],[DAYS_SINCE_LAST_ORDER]],Table2[R-Cutoff],1)</f>
        <v>4</v>
      </c>
      <c r="X966" s="2">
        <f>MATCH(Auto_Sales_data___Copy[[#This Row],[Total_Orders_Per_Customer]],Table2[F-Cutoff],1)</f>
        <v>3</v>
      </c>
      <c r="Y966" s="2">
        <f>MATCH(Auto_Sales_data___Copy[[#This Row],[Total_Sales_Per_Customer]],Table2[M-Cutoff],1)</f>
        <v>2</v>
      </c>
      <c r="Z966" s="2" t="str">
        <f>Auto_Sales_data___Copy[[#This Row],[R-Score(1-5)]]&amp;Auto_Sales_data___Copy[[#This Row],[F-Score(1-5)]]&amp;Auto_Sales_data___Copy[[#This Row],[M-Score(1-5)]]</f>
        <v>432</v>
      </c>
      <c r="AA966" s="2" t="str" cm="1">
        <f t="array" ref="AA9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6" s="2" t="str">
        <f>VLOOKUP(Auto_Sales_data___Copy[[#This Row],[Segment Name]],Table3[],2,FALSE)</f>
        <v>Brand Awareness &amp; Value Proposition</v>
      </c>
    </row>
    <row r="967" spans="1:28" x14ac:dyDescent="0.25">
      <c r="A967">
        <v>10283</v>
      </c>
      <c r="B967">
        <v>46</v>
      </c>
      <c r="C967">
        <v>125.99</v>
      </c>
      <c r="D967">
        <v>3</v>
      </c>
      <c r="E967">
        <v>5795.54</v>
      </c>
      <c r="F967" s="1">
        <v>43697</v>
      </c>
      <c r="G967" s="2" t="s">
        <v>19</v>
      </c>
      <c r="H967" s="2" t="s">
        <v>589</v>
      </c>
      <c r="I967">
        <v>105</v>
      </c>
      <c r="J967" s="2" t="s">
        <v>657</v>
      </c>
      <c r="K967" s="2" t="s">
        <v>392</v>
      </c>
      <c r="L967" s="2" t="s">
        <v>393</v>
      </c>
      <c r="M967" s="2" t="s">
        <v>394</v>
      </c>
      <c r="N967" s="2" t="s">
        <v>395</v>
      </c>
      <c r="O967" s="2" t="s">
        <v>396</v>
      </c>
      <c r="P967" s="2" t="s">
        <v>236</v>
      </c>
      <c r="Q967" s="2" t="s">
        <v>397</v>
      </c>
      <c r="R967" s="2" t="s">
        <v>173</v>
      </c>
      <c r="S967" s="2" t="s">
        <v>46</v>
      </c>
      <c r="T967">
        <v>1467</v>
      </c>
      <c r="U967">
        <f>VLOOKUP(Auto_Sales_data___Copy[[#This Row],[CUSTOMER_NAME]],$AF$2:$AH$90,2,FALSE)</f>
        <v>26</v>
      </c>
      <c r="V967">
        <f>VLOOKUP(Auto_Sales_data___Copy[[#This Row],[CUSTOMER_NAME]],$AF$2:$AH$90,3,FALSE)</f>
        <v>74634.850000000006</v>
      </c>
      <c r="W967" s="2">
        <f>6-MATCH(Auto_Sales_data___Copy[[#This Row],[DAYS_SINCE_LAST_ORDER]],Table2[R-Cutoff],1)</f>
        <v>4</v>
      </c>
      <c r="X967" s="2">
        <f>MATCH(Auto_Sales_data___Copy[[#This Row],[Total_Orders_Per_Customer]],Table2[F-Cutoff],1)</f>
        <v>3</v>
      </c>
      <c r="Y967" s="2">
        <f>MATCH(Auto_Sales_data___Copy[[#This Row],[Total_Sales_Per_Customer]],Table2[M-Cutoff],1)</f>
        <v>2</v>
      </c>
      <c r="Z967" s="2" t="str">
        <f>Auto_Sales_data___Copy[[#This Row],[R-Score(1-5)]]&amp;Auto_Sales_data___Copy[[#This Row],[F-Score(1-5)]]&amp;Auto_Sales_data___Copy[[#This Row],[M-Score(1-5)]]</f>
        <v>432</v>
      </c>
      <c r="AA967" s="2" t="str" cm="1">
        <f t="array" ref="AA9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7" s="2" t="str">
        <f>VLOOKUP(Auto_Sales_data___Copy[[#This Row],[Segment Name]],Table3[],2,FALSE)</f>
        <v>Brand Awareness &amp; Value Proposition</v>
      </c>
    </row>
    <row r="968" spans="1:28" x14ac:dyDescent="0.25">
      <c r="A968">
        <v>10284</v>
      </c>
      <c r="B968">
        <v>31</v>
      </c>
      <c r="C968">
        <v>71.81</v>
      </c>
      <c r="D968">
        <v>1</v>
      </c>
      <c r="E968">
        <v>2226.11</v>
      </c>
      <c r="F968" s="1">
        <v>43698</v>
      </c>
      <c r="G968" s="2" t="s">
        <v>19</v>
      </c>
      <c r="H968" s="2" t="s">
        <v>607</v>
      </c>
      <c r="I968">
        <v>84</v>
      </c>
      <c r="J968" s="2" t="s">
        <v>636</v>
      </c>
      <c r="K968" s="2" t="s">
        <v>582</v>
      </c>
      <c r="L968" s="2" t="s">
        <v>583</v>
      </c>
      <c r="M968" s="2" t="s">
        <v>584</v>
      </c>
      <c r="N968" s="2" t="s">
        <v>585</v>
      </c>
      <c r="O968" s="2" t="s">
        <v>586</v>
      </c>
      <c r="P968" s="2" t="s">
        <v>73</v>
      </c>
      <c r="Q968" s="2" t="s">
        <v>587</v>
      </c>
      <c r="R968" s="2" t="s">
        <v>588</v>
      </c>
      <c r="S968" s="2" t="s">
        <v>30</v>
      </c>
      <c r="T968">
        <v>1046</v>
      </c>
      <c r="U968">
        <f>VLOOKUP(Auto_Sales_data___Copy[[#This Row],[CUSTOMER_NAME]],$AF$2:$AH$90,2,FALSE)</f>
        <v>24</v>
      </c>
      <c r="V968">
        <f>VLOOKUP(Auto_Sales_data___Copy[[#This Row],[CUSTOMER_NAME]],$AF$2:$AH$90,3,FALSE)</f>
        <v>79224.23</v>
      </c>
      <c r="W968" s="2">
        <f>6-MATCH(Auto_Sales_data___Copy[[#This Row],[DAYS_SINCE_LAST_ORDER]],Table2[R-Cutoff],1)</f>
        <v>4</v>
      </c>
      <c r="X968" s="2">
        <f>MATCH(Auto_Sales_data___Copy[[#This Row],[Total_Orders_Per_Customer]],Table2[F-Cutoff],1)</f>
        <v>3</v>
      </c>
      <c r="Y968" s="2">
        <f>MATCH(Auto_Sales_data___Copy[[#This Row],[Total_Sales_Per_Customer]],Table2[M-Cutoff],1)</f>
        <v>2</v>
      </c>
      <c r="Z968" s="2" t="str">
        <f>Auto_Sales_data___Copy[[#This Row],[R-Score(1-5)]]&amp;Auto_Sales_data___Copy[[#This Row],[F-Score(1-5)]]&amp;Auto_Sales_data___Copy[[#This Row],[M-Score(1-5)]]</f>
        <v>432</v>
      </c>
      <c r="AA968" s="2" t="str" cm="1">
        <f t="array" ref="AA9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8" s="2" t="str">
        <f>VLOOKUP(Auto_Sales_data___Copy[[#This Row],[Segment Name]],Table3[],2,FALSE)</f>
        <v>Brand Awareness &amp; Value Proposition</v>
      </c>
    </row>
    <row r="969" spans="1:28" x14ac:dyDescent="0.25">
      <c r="A969">
        <v>10316</v>
      </c>
      <c r="B969">
        <v>21</v>
      </c>
      <c r="C969">
        <v>94.62</v>
      </c>
      <c r="D969">
        <v>15</v>
      </c>
      <c r="E969">
        <v>1987.02</v>
      </c>
      <c r="F969" s="1">
        <v>43770</v>
      </c>
      <c r="G969" s="2" t="s">
        <v>19</v>
      </c>
      <c r="H969" s="2" t="s">
        <v>642</v>
      </c>
      <c r="I969">
        <v>86</v>
      </c>
      <c r="J969" s="2" t="s">
        <v>643</v>
      </c>
      <c r="K969" s="2" t="s">
        <v>404</v>
      </c>
      <c r="L969" s="2" t="s">
        <v>405</v>
      </c>
      <c r="M969" s="2" t="s">
        <v>406</v>
      </c>
      <c r="N969" s="2" t="s">
        <v>407</v>
      </c>
      <c r="O969" s="2" t="s">
        <v>408</v>
      </c>
      <c r="P969" s="2" t="s">
        <v>171</v>
      </c>
      <c r="Q969" s="2" t="s">
        <v>409</v>
      </c>
      <c r="R969" s="2" t="s">
        <v>410</v>
      </c>
      <c r="S969" s="2" t="s">
        <v>30</v>
      </c>
      <c r="T969">
        <v>1126</v>
      </c>
      <c r="U969">
        <f>VLOOKUP(Auto_Sales_data___Copy[[#This Row],[CUSTOMER_NAME]],$AF$2:$AH$90,2,FALSE)</f>
        <v>26</v>
      </c>
      <c r="V969">
        <f>VLOOKUP(Auto_Sales_data___Copy[[#This Row],[CUSTOMER_NAME]],$AF$2:$AH$90,3,FALSE)</f>
        <v>78240.84</v>
      </c>
      <c r="W969" s="2">
        <f>6-MATCH(Auto_Sales_data___Copy[[#This Row],[DAYS_SINCE_LAST_ORDER]],Table2[R-Cutoff],1)</f>
        <v>4</v>
      </c>
      <c r="X969" s="2">
        <f>MATCH(Auto_Sales_data___Copy[[#This Row],[Total_Orders_Per_Customer]],Table2[F-Cutoff],1)</f>
        <v>3</v>
      </c>
      <c r="Y969" s="2">
        <f>MATCH(Auto_Sales_data___Copy[[#This Row],[Total_Sales_Per_Customer]],Table2[M-Cutoff],1)</f>
        <v>2</v>
      </c>
      <c r="Z969" s="2" t="str">
        <f>Auto_Sales_data___Copy[[#This Row],[R-Score(1-5)]]&amp;Auto_Sales_data___Copy[[#This Row],[F-Score(1-5)]]&amp;Auto_Sales_data___Copy[[#This Row],[M-Score(1-5)]]</f>
        <v>432</v>
      </c>
      <c r="AA969" s="2" t="str" cm="1">
        <f t="array" ref="AA9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9" s="2" t="str">
        <f>VLOOKUP(Auto_Sales_data___Copy[[#This Row],[Segment Name]],Table3[],2,FALSE)</f>
        <v>Brand Awareness &amp; Value Proposition</v>
      </c>
    </row>
    <row r="970" spans="1:28" x14ac:dyDescent="0.25">
      <c r="A970">
        <v>10316</v>
      </c>
      <c r="B970">
        <v>47</v>
      </c>
      <c r="C970">
        <v>86.81</v>
      </c>
      <c r="D970">
        <v>14</v>
      </c>
      <c r="E970">
        <v>4080.07</v>
      </c>
      <c r="F970" s="1">
        <v>43770</v>
      </c>
      <c r="G970" s="2" t="s">
        <v>19</v>
      </c>
      <c r="H970" s="2" t="s">
        <v>589</v>
      </c>
      <c r="I970">
        <v>105</v>
      </c>
      <c r="J970" s="2" t="s">
        <v>657</v>
      </c>
      <c r="K970" s="2" t="s">
        <v>404</v>
      </c>
      <c r="L970" s="2" t="s">
        <v>405</v>
      </c>
      <c r="M970" s="2" t="s">
        <v>406</v>
      </c>
      <c r="N970" s="2" t="s">
        <v>407</v>
      </c>
      <c r="O970" s="2" t="s">
        <v>408</v>
      </c>
      <c r="P970" s="2" t="s">
        <v>171</v>
      </c>
      <c r="Q970" s="2" t="s">
        <v>409</v>
      </c>
      <c r="R970" s="2" t="s">
        <v>410</v>
      </c>
      <c r="S970" s="2" t="s">
        <v>46</v>
      </c>
      <c r="T970">
        <v>1397</v>
      </c>
      <c r="U970">
        <f>VLOOKUP(Auto_Sales_data___Copy[[#This Row],[CUSTOMER_NAME]],$AF$2:$AH$90,2,FALSE)</f>
        <v>26</v>
      </c>
      <c r="V970">
        <f>VLOOKUP(Auto_Sales_data___Copy[[#This Row],[CUSTOMER_NAME]],$AF$2:$AH$90,3,FALSE)</f>
        <v>78240.84</v>
      </c>
      <c r="W970" s="2">
        <f>6-MATCH(Auto_Sales_data___Copy[[#This Row],[DAYS_SINCE_LAST_ORDER]],Table2[R-Cutoff],1)</f>
        <v>4</v>
      </c>
      <c r="X970" s="2">
        <f>MATCH(Auto_Sales_data___Copy[[#This Row],[Total_Orders_Per_Customer]],Table2[F-Cutoff],1)</f>
        <v>3</v>
      </c>
      <c r="Y970" s="2">
        <f>MATCH(Auto_Sales_data___Copy[[#This Row],[Total_Sales_Per_Customer]],Table2[M-Cutoff],1)</f>
        <v>2</v>
      </c>
      <c r="Z970" s="2" t="str">
        <f>Auto_Sales_data___Copy[[#This Row],[R-Score(1-5)]]&amp;Auto_Sales_data___Copy[[#This Row],[F-Score(1-5)]]&amp;Auto_Sales_data___Copy[[#This Row],[M-Score(1-5)]]</f>
        <v>432</v>
      </c>
      <c r="AA970" s="2" t="str" cm="1">
        <f t="array" ref="AA9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0" s="2" t="str">
        <f>VLOOKUP(Auto_Sales_data___Copy[[#This Row],[Segment Name]],Table3[],2,FALSE)</f>
        <v>Brand Awareness &amp; Value Proposition</v>
      </c>
    </row>
    <row r="971" spans="1:28" x14ac:dyDescent="0.25">
      <c r="A971">
        <v>10344</v>
      </c>
      <c r="B971">
        <v>21</v>
      </c>
      <c r="C971">
        <v>104.91</v>
      </c>
      <c r="D971">
        <v>4</v>
      </c>
      <c r="E971">
        <v>2203.11</v>
      </c>
      <c r="F971" s="1">
        <v>43794</v>
      </c>
      <c r="G971" s="2" t="s">
        <v>19</v>
      </c>
      <c r="H971" s="2" t="s">
        <v>589</v>
      </c>
      <c r="I971">
        <v>92</v>
      </c>
      <c r="J971" s="2" t="s">
        <v>659</v>
      </c>
      <c r="K971" s="2" t="s">
        <v>458</v>
      </c>
      <c r="L971" s="2" t="s">
        <v>459</v>
      </c>
      <c r="M971" s="2" t="s">
        <v>460</v>
      </c>
      <c r="N971" s="2" t="s">
        <v>461</v>
      </c>
      <c r="O971" s="2" t="s">
        <v>462</v>
      </c>
      <c r="P971" s="2" t="s">
        <v>36</v>
      </c>
      <c r="Q971" s="2" t="s">
        <v>463</v>
      </c>
      <c r="R971" s="2" t="s">
        <v>464</v>
      </c>
      <c r="S971" s="2" t="s">
        <v>30</v>
      </c>
      <c r="T971">
        <v>1424</v>
      </c>
      <c r="U971">
        <f>VLOOKUP(Auto_Sales_data___Copy[[#This Row],[CUSTOMER_NAME]],$AF$2:$AH$90,2,FALSE)</f>
        <v>25</v>
      </c>
      <c r="V971">
        <f>VLOOKUP(Auto_Sales_data___Copy[[#This Row],[CUSTOMER_NAME]],$AF$2:$AH$90,3,FALSE)</f>
        <v>74936.14</v>
      </c>
      <c r="W971" s="2">
        <f>6-MATCH(Auto_Sales_data___Copy[[#This Row],[DAYS_SINCE_LAST_ORDER]],Table2[R-Cutoff],1)</f>
        <v>4</v>
      </c>
      <c r="X971" s="2">
        <f>MATCH(Auto_Sales_data___Copy[[#This Row],[Total_Orders_Per_Customer]],Table2[F-Cutoff],1)</f>
        <v>3</v>
      </c>
      <c r="Y971" s="2">
        <f>MATCH(Auto_Sales_data___Copy[[#This Row],[Total_Sales_Per_Customer]],Table2[M-Cutoff],1)</f>
        <v>2</v>
      </c>
      <c r="Z971" s="2" t="str">
        <f>Auto_Sales_data___Copy[[#This Row],[R-Score(1-5)]]&amp;Auto_Sales_data___Copy[[#This Row],[F-Score(1-5)]]&amp;Auto_Sales_data___Copy[[#This Row],[M-Score(1-5)]]</f>
        <v>432</v>
      </c>
      <c r="AA971" s="2" t="str" cm="1">
        <f t="array" ref="AA9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1" s="2" t="str">
        <f>VLOOKUP(Auto_Sales_data___Copy[[#This Row],[Segment Name]],Table3[],2,FALSE)</f>
        <v>Brand Awareness &amp; Value Proposition</v>
      </c>
    </row>
    <row r="972" spans="1:28" x14ac:dyDescent="0.25">
      <c r="A972">
        <v>10423</v>
      </c>
      <c r="B972">
        <v>21</v>
      </c>
      <c r="C972">
        <v>84.82</v>
      </c>
      <c r="D972">
        <v>2</v>
      </c>
      <c r="E972">
        <v>1781.22</v>
      </c>
      <c r="F972" s="1">
        <v>43981</v>
      </c>
      <c r="G972" s="2" t="s">
        <v>314</v>
      </c>
      <c r="H972" s="2" t="s">
        <v>589</v>
      </c>
      <c r="I972">
        <v>104</v>
      </c>
      <c r="J972" s="2" t="s">
        <v>647</v>
      </c>
      <c r="K972" s="2" t="s">
        <v>384</v>
      </c>
      <c r="L972" s="2" t="s">
        <v>385</v>
      </c>
      <c r="M972" s="2" t="s">
        <v>386</v>
      </c>
      <c r="N972" s="2" t="s">
        <v>387</v>
      </c>
      <c r="O972" s="2" t="s">
        <v>388</v>
      </c>
      <c r="P972" s="2" t="s">
        <v>389</v>
      </c>
      <c r="Q972" s="2" t="s">
        <v>390</v>
      </c>
      <c r="R972" s="2" t="s">
        <v>391</v>
      </c>
      <c r="S972" s="2" t="s">
        <v>30</v>
      </c>
      <c r="T972">
        <v>948</v>
      </c>
      <c r="U972">
        <f>VLOOKUP(Auto_Sales_data___Copy[[#This Row],[CUSTOMER_NAME]],$AF$2:$AH$90,2,FALSE)</f>
        <v>25</v>
      </c>
      <c r="V972">
        <f>VLOOKUP(Auto_Sales_data___Copy[[#This Row],[CUSTOMER_NAME]],$AF$2:$AH$90,3,FALSE)</f>
        <v>74972.52</v>
      </c>
      <c r="W972" s="2">
        <f>6-MATCH(Auto_Sales_data___Copy[[#This Row],[DAYS_SINCE_LAST_ORDER]],Table2[R-Cutoff],1)</f>
        <v>4</v>
      </c>
      <c r="X972" s="2">
        <f>MATCH(Auto_Sales_data___Copy[[#This Row],[Total_Orders_Per_Customer]],Table2[F-Cutoff],1)</f>
        <v>3</v>
      </c>
      <c r="Y972" s="2">
        <f>MATCH(Auto_Sales_data___Copy[[#This Row],[Total_Sales_Per_Customer]],Table2[M-Cutoff],1)</f>
        <v>2</v>
      </c>
      <c r="Z972" s="2" t="str">
        <f>Auto_Sales_data___Copy[[#This Row],[R-Score(1-5)]]&amp;Auto_Sales_data___Copy[[#This Row],[F-Score(1-5)]]&amp;Auto_Sales_data___Copy[[#This Row],[M-Score(1-5)]]</f>
        <v>432</v>
      </c>
      <c r="AA972" s="2" t="str" cm="1">
        <f t="array" ref="AA9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2" s="2" t="str">
        <f>VLOOKUP(Auto_Sales_data___Copy[[#This Row],[Segment Name]],Table3[],2,FALSE)</f>
        <v>Brand Awareness &amp; Value Proposition</v>
      </c>
    </row>
    <row r="973" spans="1:28" x14ac:dyDescent="0.25">
      <c r="A973">
        <v>10423</v>
      </c>
      <c r="B973">
        <v>21</v>
      </c>
      <c r="C973">
        <v>89.29</v>
      </c>
      <c r="D973">
        <v>5</v>
      </c>
      <c r="E973">
        <v>1875.09</v>
      </c>
      <c r="F973" s="1">
        <v>43981</v>
      </c>
      <c r="G973" s="2" t="s">
        <v>314</v>
      </c>
      <c r="H973" s="2" t="s">
        <v>589</v>
      </c>
      <c r="I973">
        <v>99</v>
      </c>
      <c r="J973" s="2" t="s">
        <v>653</v>
      </c>
      <c r="K973" s="2" t="s">
        <v>384</v>
      </c>
      <c r="L973" s="2" t="s">
        <v>385</v>
      </c>
      <c r="M973" s="2" t="s">
        <v>386</v>
      </c>
      <c r="N973" s="2" t="s">
        <v>387</v>
      </c>
      <c r="O973" s="2" t="s">
        <v>388</v>
      </c>
      <c r="P973" s="2" t="s">
        <v>389</v>
      </c>
      <c r="Q973" s="2" t="s">
        <v>390</v>
      </c>
      <c r="R973" s="2" t="s">
        <v>391</v>
      </c>
      <c r="S973" s="2" t="s">
        <v>30</v>
      </c>
      <c r="T973">
        <v>1096</v>
      </c>
      <c r="U973">
        <f>VLOOKUP(Auto_Sales_data___Copy[[#This Row],[CUSTOMER_NAME]],$AF$2:$AH$90,2,FALSE)</f>
        <v>25</v>
      </c>
      <c r="V973">
        <f>VLOOKUP(Auto_Sales_data___Copy[[#This Row],[CUSTOMER_NAME]],$AF$2:$AH$90,3,FALSE)</f>
        <v>74972.52</v>
      </c>
      <c r="W973" s="2">
        <f>6-MATCH(Auto_Sales_data___Copy[[#This Row],[DAYS_SINCE_LAST_ORDER]],Table2[R-Cutoff],1)</f>
        <v>4</v>
      </c>
      <c r="X973" s="2">
        <f>MATCH(Auto_Sales_data___Copy[[#This Row],[Total_Orders_Per_Customer]],Table2[F-Cutoff],1)</f>
        <v>3</v>
      </c>
      <c r="Y973" s="2">
        <f>MATCH(Auto_Sales_data___Copy[[#This Row],[Total_Sales_Per_Customer]],Table2[M-Cutoff],1)</f>
        <v>2</v>
      </c>
      <c r="Z973" s="2" t="str">
        <f>Auto_Sales_data___Copy[[#This Row],[R-Score(1-5)]]&amp;Auto_Sales_data___Copy[[#This Row],[F-Score(1-5)]]&amp;Auto_Sales_data___Copy[[#This Row],[M-Score(1-5)]]</f>
        <v>432</v>
      </c>
      <c r="AA973" s="2" t="str" cm="1">
        <f t="array" ref="AA9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3" s="2" t="str">
        <f>VLOOKUP(Auto_Sales_data___Copy[[#This Row],[Segment Name]],Table3[],2,FALSE)</f>
        <v>Brand Awareness &amp; Value Proposition</v>
      </c>
    </row>
    <row r="974" spans="1:28" x14ac:dyDescent="0.25">
      <c r="A974">
        <v>10109</v>
      </c>
      <c r="B974">
        <v>26</v>
      </c>
      <c r="C974">
        <v>168.43</v>
      </c>
      <c r="D974">
        <v>4</v>
      </c>
      <c r="E974">
        <v>4379.18</v>
      </c>
      <c r="F974" s="1">
        <v>43169</v>
      </c>
      <c r="G974" s="2" t="s">
        <v>19</v>
      </c>
      <c r="H974" s="2" t="s">
        <v>183</v>
      </c>
      <c r="I974">
        <v>141</v>
      </c>
      <c r="J974" s="2" t="s">
        <v>576</v>
      </c>
      <c r="K974" s="2" t="s">
        <v>323</v>
      </c>
      <c r="L974" s="2" t="s">
        <v>324</v>
      </c>
      <c r="M974" s="2" t="s">
        <v>325</v>
      </c>
      <c r="N974" s="2" t="s">
        <v>220</v>
      </c>
      <c r="O974" s="2" t="s">
        <v>221</v>
      </c>
      <c r="P974" s="2" t="s">
        <v>27</v>
      </c>
      <c r="Q974" s="2" t="s">
        <v>120</v>
      </c>
      <c r="R974" s="2" t="s">
        <v>326</v>
      </c>
      <c r="S974" s="2" t="s">
        <v>46</v>
      </c>
      <c r="T974">
        <v>1241</v>
      </c>
      <c r="U974">
        <f>VLOOKUP(Auto_Sales_data___Copy[[#This Row],[CUSTOMER_NAME]],$AF$2:$AH$90,2,FALSE)</f>
        <v>23</v>
      </c>
      <c r="V974">
        <f>VLOOKUP(Auto_Sales_data___Copy[[#This Row],[CUSTOMER_NAME]],$AF$2:$AH$90,3,FALSE)</f>
        <v>83682.16</v>
      </c>
      <c r="W974" s="2">
        <f>6-MATCH(Auto_Sales_data___Copy[[#This Row],[DAYS_SINCE_LAST_ORDER]],Table2[R-Cutoff],1)</f>
        <v>4</v>
      </c>
      <c r="X974" s="2">
        <f>MATCH(Auto_Sales_data___Copy[[#This Row],[Total_Orders_Per_Customer]],Table2[F-Cutoff],1)</f>
        <v>2</v>
      </c>
      <c r="Y974" s="2">
        <f>MATCH(Auto_Sales_data___Copy[[#This Row],[Total_Sales_Per_Customer]],Table2[M-Cutoff],1)</f>
        <v>3</v>
      </c>
      <c r="Z974" s="2" t="str">
        <f>Auto_Sales_data___Copy[[#This Row],[R-Score(1-5)]]&amp;Auto_Sales_data___Copy[[#This Row],[F-Score(1-5)]]&amp;Auto_Sales_data___Copy[[#This Row],[M-Score(1-5)]]</f>
        <v>423</v>
      </c>
      <c r="AA974" s="2" t="str" cm="1">
        <f t="array" ref="AA9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4" s="2" t="str">
        <f>VLOOKUP(Auto_Sales_data___Copy[[#This Row],[Segment Name]],Table3[],2,FALSE)</f>
        <v>Brand Awareness &amp; Value Proposition</v>
      </c>
    </row>
    <row r="975" spans="1:28" x14ac:dyDescent="0.25">
      <c r="A975">
        <v>10109</v>
      </c>
      <c r="B975">
        <v>38</v>
      </c>
      <c r="C975">
        <v>116.65</v>
      </c>
      <c r="D975">
        <v>3</v>
      </c>
      <c r="E975">
        <v>4432.7</v>
      </c>
      <c r="F975" s="1">
        <v>43169</v>
      </c>
      <c r="G975" s="2" t="s">
        <v>19</v>
      </c>
      <c r="H975" s="2" t="s">
        <v>183</v>
      </c>
      <c r="I975">
        <v>142</v>
      </c>
      <c r="J975" s="2" t="s">
        <v>630</v>
      </c>
      <c r="K975" s="2" t="s">
        <v>323</v>
      </c>
      <c r="L975" s="2" t="s">
        <v>324</v>
      </c>
      <c r="M975" s="2" t="s">
        <v>325</v>
      </c>
      <c r="N975" s="2" t="s">
        <v>220</v>
      </c>
      <c r="O975" s="2" t="s">
        <v>221</v>
      </c>
      <c r="P975" s="2" t="s">
        <v>27</v>
      </c>
      <c r="Q975" s="2" t="s">
        <v>120</v>
      </c>
      <c r="R975" s="2" t="s">
        <v>326</v>
      </c>
      <c r="S975" s="2" t="s">
        <v>46</v>
      </c>
      <c r="T975">
        <v>1412</v>
      </c>
      <c r="U975">
        <f>VLOOKUP(Auto_Sales_data___Copy[[#This Row],[CUSTOMER_NAME]],$AF$2:$AH$90,2,FALSE)</f>
        <v>23</v>
      </c>
      <c r="V975">
        <f>VLOOKUP(Auto_Sales_data___Copy[[#This Row],[CUSTOMER_NAME]],$AF$2:$AH$90,3,FALSE)</f>
        <v>83682.16</v>
      </c>
      <c r="W975" s="2">
        <f>6-MATCH(Auto_Sales_data___Copy[[#This Row],[DAYS_SINCE_LAST_ORDER]],Table2[R-Cutoff],1)</f>
        <v>4</v>
      </c>
      <c r="X975" s="2">
        <f>MATCH(Auto_Sales_data___Copy[[#This Row],[Total_Orders_Per_Customer]],Table2[F-Cutoff],1)</f>
        <v>2</v>
      </c>
      <c r="Y975" s="2">
        <f>MATCH(Auto_Sales_data___Copy[[#This Row],[Total_Sales_Per_Customer]],Table2[M-Cutoff],1)</f>
        <v>3</v>
      </c>
      <c r="Z975" s="2" t="str">
        <f>Auto_Sales_data___Copy[[#This Row],[R-Score(1-5)]]&amp;Auto_Sales_data___Copy[[#This Row],[F-Score(1-5)]]&amp;Auto_Sales_data___Copy[[#This Row],[M-Score(1-5)]]</f>
        <v>423</v>
      </c>
      <c r="AA975" s="2" t="str" cm="1">
        <f t="array" ref="AA9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5" s="2" t="str">
        <f>VLOOKUP(Auto_Sales_data___Copy[[#This Row],[Segment Name]],Table3[],2,FALSE)</f>
        <v>Brand Awareness &amp; Value Proposition</v>
      </c>
    </row>
    <row r="976" spans="1:28" x14ac:dyDescent="0.25">
      <c r="A976">
        <v>10114</v>
      </c>
      <c r="B976">
        <v>39</v>
      </c>
      <c r="C976">
        <v>106.78</v>
      </c>
      <c r="D976">
        <v>3</v>
      </c>
      <c r="E976">
        <v>4164.42</v>
      </c>
      <c r="F976" s="1">
        <v>43191</v>
      </c>
      <c r="G976" s="2" t="s">
        <v>19</v>
      </c>
      <c r="H976" s="2" t="s">
        <v>537</v>
      </c>
      <c r="I976">
        <v>122</v>
      </c>
      <c r="J976" s="2" t="s">
        <v>633</v>
      </c>
      <c r="K976" s="2" t="s">
        <v>425</v>
      </c>
      <c r="L976" s="2" t="s">
        <v>426</v>
      </c>
      <c r="M976" s="2" t="s">
        <v>427</v>
      </c>
      <c r="N976" s="2" t="s">
        <v>42</v>
      </c>
      <c r="O976" s="2" t="s">
        <v>428</v>
      </c>
      <c r="P976" s="2" t="s">
        <v>36</v>
      </c>
      <c r="Q976" s="2" t="s">
        <v>429</v>
      </c>
      <c r="R976" s="2" t="s">
        <v>430</v>
      </c>
      <c r="S976" s="2" t="s">
        <v>46</v>
      </c>
      <c r="T976">
        <v>1466</v>
      </c>
      <c r="U976">
        <f>VLOOKUP(Auto_Sales_data___Copy[[#This Row],[CUSTOMER_NAME]],$AF$2:$AH$90,2,FALSE)</f>
        <v>23</v>
      </c>
      <c r="V976">
        <f>VLOOKUP(Auto_Sales_data___Copy[[#This Row],[CUSTOMER_NAME]],$AF$2:$AH$90,3,FALSE)</f>
        <v>97203.680000000008</v>
      </c>
      <c r="W976" s="2">
        <f>6-MATCH(Auto_Sales_data___Copy[[#This Row],[DAYS_SINCE_LAST_ORDER]],Table2[R-Cutoff],1)</f>
        <v>4</v>
      </c>
      <c r="X976" s="2">
        <f>MATCH(Auto_Sales_data___Copy[[#This Row],[Total_Orders_Per_Customer]],Table2[F-Cutoff],1)</f>
        <v>2</v>
      </c>
      <c r="Y976" s="2">
        <f>MATCH(Auto_Sales_data___Copy[[#This Row],[Total_Sales_Per_Customer]],Table2[M-Cutoff],1)</f>
        <v>3</v>
      </c>
      <c r="Z976" s="2" t="str">
        <f>Auto_Sales_data___Copy[[#This Row],[R-Score(1-5)]]&amp;Auto_Sales_data___Copy[[#This Row],[F-Score(1-5)]]&amp;Auto_Sales_data___Copy[[#This Row],[M-Score(1-5)]]</f>
        <v>423</v>
      </c>
      <c r="AA976" s="2" t="str" cm="1">
        <f t="array" ref="AA9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6" s="2" t="str">
        <f>VLOOKUP(Auto_Sales_data___Copy[[#This Row],[Segment Name]],Table3[],2,FALSE)</f>
        <v>Brand Awareness &amp; Value Proposition</v>
      </c>
    </row>
    <row r="977" spans="1:28" x14ac:dyDescent="0.25">
      <c r="A977">
        <v>10300</v>
      </c>
      <c r="B977">
        <v>22</v>
      </c>
      <c r="C977">
        <v>76.61</v>
      </c>
      <c r="D977">
        <v>6</v>
      </c>
      <c r="E977">
        <v>1685.42</v>
      </c>
      <c r="F977" s="1">
        <v>43377</v>
      </c>
      <c r="G977" s="2" t="s">
        <v>19</v>
      </c>
      <c r="H977" s="2" t="s">
        <v>183</v>
      </c>
      <c r="I977">
        <v>79</v>
      </c>
      <c r="J977" s="2" t="s">
        <v>553</v>
      </c>
      <c r="K977" s="2" t="s">
        <v>492</v>
      </c>
      <c r="L977" s="2" t="s">
        <v>493</v>
      </c>
      <c r="M977" s="2" t="s">
        <v>494</v>
      </c>
      <c r="N977" s="2" t="s">
        <v>495</v>
      </c>
      <c r="O977" s="2" t="s">
        <v>496</v>
      </c>
      <c r="P977" s="2" t="s">
        <v>470</v>
      </c>
      <c r="Q977" s="2" t="s">
        <v>497</v>
      </c>
      <c r="R977" s="2" t="s">
        <v>438</v>
      </c>
      <c r="S977" s="2" t="s">
        <v>30</v>
      </c>
      <c r="T977">
        <v>946</v>
      </c>
      <c r="U977">
        <f>VLOOKUP(Auto_Sales_data___Copy[[#This Row],[CUSTOMER_NAME]],$AF$2:$AH$90,2,FALSE)</f>
        <v>22</v>
      </c>
      <c r="V977">
        <f>VLOOKUP(Auto_Sales_data___Copy[[#This Row],[CUSTOMER_NAME]],$AF$2:$AH$90,3,FALSE)</f>
        <v>85171.59</v>
      </c>
      <c r="W977" s="2">
        <f>6-MATCH(Auto_Sales_data___Copy[[#This Row],[DAYS_SINCE_LAST_ORDER]],Table2[R-Cutoff],1)</f>
        <v>4</v>
      </c>
      <c r="X977" s="2">
        <f>MATCH(Auto_Sales_data___Copy[[#This Row],[Total_Orders_Per_Customer]],Table2[F-Cutoff],1)</f>
        <v>2</v>
      </c>
      <c r="Y977" s="2">
        <f>MATCH(Auto_Sales_data___Copy[[#This Row],[Total_Sales_Per_Customer]],Table2[M-Cutoff],1)</f>
        <v>3</v>
      </c>
      <c r="Z977" s="2" t="str">
        <f>Auto_Sales_data___Copy[[#This Row],[R-Score(1-5)]]&amp;Auto_Sales_data___Copy[[#This Row],[F-Score(1-5)]]&amp;Auto_Sales_data___Copy[[#This Row],[M-Score(1-5)]]</f>
        <v>423</v>
      </c>
      <c r="AA977" s="2" t="str" cm="1">
        <f t="array" ref="AA9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7" s="2" t="str">
        <f>VLOOKUP(Auto_Sales_data___Copy[[#This Row],[Segment Name]],Table3[],2,FALSE)</f>
        <v>Brand Awareness &amp; Value Proposition</v>
      </c>
    </row>
    <row r="978" spans="1:28" x14ac:dyDescent="0.25">
      <c r="A978">
        <v>10300</v>
      </c>
      <c r="B978">
        <v>23</v>
      </c>
      <c r="C978">
        <v>122.07</v>
      </c>
      <c r="D978">
        <v>2</v>
      </c>
      <c r="E978">
        <v>2807.61</v>
      </c>
      <c r="F978" s="1">
        <v>43377</v>
      </c>
      <c r="G978" s="2" t="s">
        <v>19</v>
      </c>
      <c r="H978" s="2" t="s">
        <v>183</v>
      </c>
      <c r="I978">
        <v>115</v>
      </c>
      <c r="J978" s="2" t="s">
        <v>567</v>
      </c>
      <c r="K978" s="2" t="s">
        <v>492</v>
      </c>
      <c r="L978" s="2" t="s">
        <v>493</v>
      </c>
      <c r="M978" s="2" t="s">
        <v>494</v>
      </c>
      <c r="N978" s="2" t="s">
        <v>495</v>
      </c>
      <c r="O978" s="2" t="s">
        <v>496</v>
      </c>
      <c r="P978" s="2" t="s">
        <v>470</v>
      </c>
      <c r="Q978" s="2" t="s">
        <v>497</v>
      </c>
      <c r="R978" s="2" t="s">
        <v>438</v>
      </c>
      <c r="S978" s="2" t="s">
        <v>30</v>
      </c>
      <c r="T978">
        <v>997</v>
      </c>
      <c r="U978">
        <f>VLOOKUP(Auto_Sales_data___Copy[[#This Row],[CUSTOMER_NAME]],$AF$2:$AH$90,2,FALSE)</f>
        <v>22</v>
      </c>
      <c r="V978">
        <f>VLOOKUP(Auto_Sales_data___Copy[[#This Row],[CUSTOMER_NAME]],$AF$2:$AH$90,3,FALSE)</f>
        <v>85171.59</v>
      </c>
      <c r="W978" s="2">
        <f>6-MATCH(Auto_Sales_data___Copy[[#This Row],[DAYS_SINCE_LAST_ORDER]],Table2[R-Cutoff],1)</f>
        <v>4</v>
      </c>
      <c r="X978" s="2">
        <f>MATCH(Auto_Sales_data___Copy[[#This Row],[Total_Orders_Per_Customer]],Table2[F-Cutoff],1)</f>
        <v>2</v>
      </c>
      <c r="Y978" s="2">
        <f>MATCH(Auto_Sales_data___Copy[[#This Row],[Total_Sales_Per_Customer]],Table2[M-Cutoff],1)</f>
        <v>3</v>
      </c>
      <c r="Z978" s="2" t="str">
        <f>Auto_Sales_data___Copy[[#This Row],[R-Score(1-5)]]&amp;Auto_Sales_data___Copy[[#This Row],[F-Score(1-5)]]&amp;Auto_Sales_data___Copy[[#This Row],[M-Score(1-5)]]</f>
        <v>423</v>
      </c>
      <c r="AA978" s="2" t="str" cm="1">
        <f t="array" ref="AA9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8" s="2" t="str">
        <f>VLOOKUP(Auto_Sales_data___Copy[[#This Row],[Segment Name]],Table3[],2,FALSE)</f>
        <v>Brand Awareness &amp; Value Proposition</v>
      </c>
    </row>
    <row r="979" spans="1:28" x14ac:dyDescent="0.25">
      <c r="A979">
        <v>10300</v>
      </c>
      <c r="B979">
        <v>41</v>
      </c>
      <c r="C979">
        <v>92.4</v>
      </c>
      <c r="D979">
        <v>1</v>
      </c>
      <c r="E979">
        <v>3788.4</v>
      </c>
      <c r="F979" s="1">
        <v>43377</v>
      </c>
      <c r="G979" s="2" t="s">
        <v>19</v>
      </c>
      <c r="H979" s="2" t="s">
        <v>183</v>
      </c>
      <c r="I979">
        <v>77</v>
      </c>
      <c r="J979" s="2" t="s">
        <v>629</v>
      </c>
      <c r="K979" s="2" t="s">
        <v>492</v>
      </c>
      <c r="L979" s="2" t="s">
        <v>493</v>
      </c>
      <c r="M979" s="2" t="s">
        <v>494</v>
      </c>
      <c r="N979" s="2" t="s">
        <v>495</v>
      </c>
      <c r="O979" s="2" t="s">
        <v>496</v>
      </c>
      <c r="P979" s="2" t="s">
        <v>470</v>
      </c>
      <c r="Q979" s="2" t="s">
        <v>497</v>
      </c>
      <c r="R979" s="2" t="s">
        <v>438</v>
      </c>
      <c r="S979" s="2" t="s">
        <v>46</v>
      </c>
      <c r="T979">
        <v>1194</v>
      </c>
      <c r="U979">
        <f>VLOOKUP(Auto_Sales_data___Copy[[#This Row],[CUSTOMER_NAME]],$AF$2:$AH$90,2,FALSE)</f>
        <v>22</v>
      </c>
      <c r="V979">
        <f>VLOOKUP(Auto_Sales_data___Copy[[#This Row],[CUSTOMER_NAME]],$AF$2:$AH$90,3,FALSE)</f>
        <v>85171.59</v>
      </c>
      <c r="W979" s="2">
        <f>6-MATCH(Auto_Sales_data___Copy[[#This Row],[DAYS_SINCE_LAST_ORDER]],Table2[R-Cutoff],1)</f>
        <v>4</v>
      </c>
      <c r="X979" s="2">
        <f>MATCH(Auto_Sales_data___Copy[[#This Row],[Total_Orders_Per_Customer]],Table2[F-Cutoff],1)</f>
        <v>2</v>
      </c>
      <c r="Y979" s="2">
        <f>MATCH(Auto_Sales_data___Copy[[#This Row],[Total_Sales_Per_Customer]],Table2[M-Cutoff],1)</f>
        <v>3</v>
      </c>
      <c r="Z979" s="2" t="str">
        <f>Auto_Sales_data___Copy[[#This Row],[R-Score(1-5)]]&amp;Auto_Sales_data___Copy[[#This Row],[F-Score(1-5)]]&amp;Auto_Sales_data___Copy[[#This Row],[M-Score(1-5)]]</f>
        <v>423</v>
      </c>
      <c r="AA979" s="2" t="str" cm="1">
        <f t="array" ref="AA9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9" s="2" t="str">
        <f>VLOOKUP(Auto_Sales_data___Copy[[#This Row],[Segment Name]],Table3[],2,FALSE)</f>
        <v>Brand Awareness &amp; Value Proposition</v>
      </c>
    </row>
    <row r="980" spans="1:28" x14ac:dyDescent="0.25">
      <c r="A980">
        <v>10230</v>
      </c>
      <c r="B980">
        <v>49</v>
      </c>
      <c r="C980">
        <v>148.99</v>
      </c>
      <c r="D980">
        <v>8</v>
      </c>
      <c r="E980">
        <v>7300.51</v>
      </c>
      <c r="F980" s="1">
        <v>43539</v>
      </c>
      <c r="G980" s="2" t="s">
        <v>19</v>
      </c>
      <c r="H980" s="2" t="s">
        <v>183</v>
      </c>
      <c r="I980">
        <v>163</v>
      </c>
      <c r="J980" s="2" t="s">
        <v>631</v>
      </c>
      <c r="K980" s="2" t="s">
        <v>492</v>
      </c>
      <c r="L980" s="2" t="s">
        <v>493</v>
      </c>
      <c r="M980" s="2" t="s">
        <v>494</v>
      </c>
      <c r="N980" s="2" t="s">
        <v>495</v>
      </c>
      <c r="O980" s="2" t="s">
        <v>496</v>
      </c>
      <c r="P980" s="2" t="s">
        <v>470</v>
      </c>
      <c r="Q980" s="2" t="s">
        <v>497</v>
      </c>
      <c r="R980" s="2" t="s">
        <v>438</v>
      </c>
      <c r="S980" s="2" t="s">
        <v>151</v>
      </c>
      <c r="T980">
        <v>1080</v>
      </c>
      <c r="U980">
        <f>VLOOKUP(Auto_Sales_data___Copy[[#This Row],[CUSTOMER_NAME]],$AF$2:$AH$90,2,FALSE)</f>
        <v>22</v>
      </c>
      <c r="V980">
        <f>VLOOKUP(Auto_Sales_data___Copy[[#This Row],[CUSTOMER_NAME]],$AF$2:$AH$90,3,FALSE)</f>
        <v>85171.59</v>
      </c>
      <c r="W980" s="2">
        <f>6-MATCH(Auto_Sales_data___Copy[[#This Row],[DAYS_SINCE_LAST_ORDER]],Table2[R-Cutoff],1)</f>
        <v>4</v>
      </c>
      <c r="X980" s="2">
        <f>MATCH(Auto_Sales_data___Copy[[#This Row],[Total_Orders_Per_Customer]],Table2[F-Cutoff],1)</f>
        <v>2</v>
      </c>
      <c r="Y980" s="2">
        <f>MATCH(Auto_Sales_data___Copy[[#This Row],[Total_Sales_Per_Customer]],Table2[M-Cutoff],1)</f>
        <v>3</v>
      </c>
      <c r="Z980" s="2" t="str">
        <f>Auto_Sales_data___Copy[[#This Row],[R-Score(1-5)]]&amp;Auto_Sales_data___Copy[[#This Row],[F-Score(1-5)]]&amp;Auto_Sales_data___Copy[[#This Row],[M-Score(1-5)]]</f>
        <v>423</v>
      </c>
      <c r="AA980" s="2" t="str" cm="1">
        <f t="array" ref="AA9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0" s="2" t="str">
        <f>VLOOKUP(Auto_Sales_data___Copy[[#This Row],[Segment Name]],Table3[],2,FALSE)</f>
        <v>Brand Awareness &amp; Value Proposition</v>
      </c>
    </row>
    <row r="981" spans="1:28" x14ac:dyDescent="0.25">
      <c r="A981">
        <v>10236</v>
      </c>
      <c r="B981">
        <v>23</v>
      </c>
      <c r="C981">
        <v>55.72</v>
      </c>
      <c r="D981">
        <v>2</v>
      </c>
      <c r="E981">
        <v>1281.56</v>
      </c>
      <c r="F981" s="1">
        <v>43558</v>
      </c>
      <c r="G981" s="2" t="s">
        <v>19</v>
      </c>
      <c r="H981" s="2" t="s">
        <v>20</v>
      </c>
      <c r="I981">
        <v>60</v>
      </c>
      <c r="J981" s="2" t="s">
        <v>637</v>
      </c>
      <c r="K981" s="2" t="s">
        <v>323</v>
      </c>
      <c r="L981" s="2" t="s">
        <v>324</v>
      </c>
      <c r="M981" s="2" t="s">
        <v>325</v>
      </c>
      <c r="N981" s="2" t="s">
        <v>220</v>
      </c>
      <c r="O981" s="2" t="s">
        <v>221</v>
      </c>
      <c r="P981" s="2" t="s">
        <v>27</v>
      </c>
      <c r="Q981" s="2" t="s">
        <v>120</v>
      </c>
      <c r="R981" s="2" t="s">
        <v>326</v>
      </c>
      <c r="S981" s="2" t="s">
        <v>30</v>
      </c>
      <c r="T981">
        <v>1207</v>
      </c>
      <c r="U981">
        <f>VLOOKUP(Auto_Sales_data___Copy[[#This Row],[CUSTOMER_NAME]],$AF$2:$AH$90,2,FALSE)</f>
        <v>23</v>
      </c>
      <c r="V981">
        <f>VLOOKUP(Auto_Sales_data___Copy[[#This Row],[CUSTOMER_NAME]],$AF$2:$AH$90,3,FALSE)</f>
        <v>83682.16</v>
      </c>
      <c r="W981" s="2">
        <f>6-MATCH(Auto_Sales_data___Copy[[#This Row],[DAYS_SINCE_LAST_ORDER]],Table2[R-Cutoff],1)</f>
        <v>4</v>
      </c>
      <c r="X981" s="2">
        <f>MATCH(Auto_Sales_data___Copy[[#This Row],[Total_Orders_Per_Customer]],Table2[F-Cutoff],1)</f>
        <v>2</v>
      </c>
      <c r="Y981" s="2">
        <f>MATCH(Auto_Sales_data___Copy[[#This Row],[Total_Sales_Per_Customer]],Table2[M-Cutoff],1)</f>
        <v>3</v>
      </c>
      <c r="Z981" s="2" t="str">
        <f>Auto_Sales_data___Copy[[#This Row],[R-Score(1-5)]]&amp;Auto_Sales_data___Copy[[#This Row],[F-Score(1-5)]]&amp;Auto_Sales_data___Copy[[#This Row],[M-Score(1-5)]]</f>
        <v>423</v>
      </c>
      <c r="AA981" s="2" t="str" cm="1">
        <f t="array" ref="AA9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1" s="2" t="str">
        <f>VLOOKUP(Auto_Sales_data___Copy[[#This Row],[Segment Name]],Table3[],2,FALSE)</f>
        <v>Brand Awareness &amp; Value Proposition</v>
      </c>
    </row>
    <row r="982" spans="1:28" x14ac:dyDescent="0.25">
      <c r="A982">
        <v>10241</v>
      </c>
      <c r="B982">
        <v>41</v>
      </c>
      <c r="C982">
        <v>185.3</v>
      </c>
      <c r="D982">
        <v>2</v>
      </c>
      <c r="E982">
        <v>7597.3</v>
      </c>
      <c r="F982" s="1">
        <v>43568</v>
      </c>
      <c r="G982" s="2" t="s">
        <v>19</v>
      </c>
      <c r="H982" s="2" t="s">
        <v>589</v>
      </c>
      <c r="I982">
        <v>170</v>
      </c>
      <c r="J982" s="2" t="s">
        <v>628</v>
      </c>
      <c r="K982" s="2" t="s">
        <v>568</v>
      </c>
      <c r="L982" s="2" t="s">
        <v>569</v>
      </c>
      <c r="M982" s="2" t="s">
        <v>570</v>
      </c>
      <c r="N982" s="2" t="s">
        <v>571</v>
      </c>
      <c r="O982" s="2" t="s">
        <v>572</v>
      </c>
      <c r="P982" s="2" t="s">
        <v>36</v>
      </c>
      <c r="Q982" s="2" t="s">
        <v>573</v>
      </c>
      <c r="R982" s="2" t="s">
        <v>574</v>
      </c>
      <c r="S982" s="2" t="s">
        <v>151</v>
      </c>
      <c r="T982">
        <v>977</v>
      </c>
      <c r="U982">
        <f>VLOOKUP(Auto_Sales_data___Copy[[#This Row],[CUSTOMER_NAME]],$AF$2:$AH$90,2,FALSE)</f>
        <v>19</v>
      </c>
      <c r="V982">
        <f>VLOOKUP(Auto_Sales_data___Copy[[#This Row],[CUSTOMER_NAME]],$AF$2:$AH$90,3,FALSE)</f>
        <v>80438.48</v>
      </c>
      <c r="W982" s="2">
        <f>6-MATCH(Auto_Sales_data___Copy[[#This Row],[DAYS_SINCE_LAST_ORDER]],Table2[R-Cutoff],1)</f>
        <v>4</v>
      </c>
      <c r="X982" s="2">
        <f>MATCH(Auto_Sales_data___Copy[[#This Row],[Total_Orders_Per_Customer]],Table2[F-Cutoff],1)</f>
        <v>2</v>
      </c>
      <c r="Y982" s="2">
        <f>MATCH(Auto_Sales_data___Copy[[#This Row],[Total_Sales_Per_Customer]],Table2[M-Cutoff],1)</f>
        <v>3</v>
      </c>
      <c r="Z982" s="2" t="str">
        <f>Auto_Sales_data___Copy[[#This Row],[R-Score(1-5)]]&amp;Auto_Sales_data___Copy[[#This Row],[F-Score(1-5)]]&amp;Auto_Sales_data___Copy[[#This Row],[M-Score(1-5)]]</f>
        <v>423</v>
      </c>
      <c r="AA982" s="2" t="str" cm="1">
        <f t="array" ref="AA9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2" s="2" t="str">
        <f>VLOOKUP(Auto_Sales_data___Copy[[#This Row],[Segment Name]],Table3[],2,FALSE)</f>
        <v>Brand Awareness &amp; Value Proposition</v>
      </c>
    </row>
    <row r="983" spans="1:28" x14ac:dyDescent="0.25">
      <c r="A983">
        <v>10241</v>
      </c>
      <c r="B983">
        <v>33</v>
      </c>
      <c r="C983">
        <v>72.650000000000006</v>
      </c>
      <c r="D983">
        <v>1</v>
      </c>
      <c r="E983">
        <v>2397.4499999999998</v>
      </c>
      <c r="F983" s="1">
        <v>43568</v>
      </c>
      <c r="G983" s="2" t="s">
        <v>19</v>
      </c>
      <c r="H983" s="2" t="s">
        <v>589</v>
      </c>
      <c r="I983">
        <v>60</v>
      </c>
      <c r="J983" s="2" t="s">
        <v>632</v>
      </c>
      <c r="K983" s="2" t="s">
        <v>568</v>
      </c>
      <c r="L983" s="2" t="s">
        <v>569</v>
      </c>
      <c r="M983" s="2" t="s">
        <v>570</v>
      </c>
      <c r="N983" s="2" t="s">
        <v>571</v>
      </c>
      <c r="O983" s="2" t="s">
        <v>572</v>
      </c>
      <c r="P983" s="2" t="s">
        <v>36</v>
      </c>
      <c r="Q983" s="2" t="s">
        <v>573</v>
      </c>
      <c r="R983" s="2" t="s">
        <v>574</v>
      </c>
      <c r="S983" s="2" t="s">
        <v>30</v>
      </c>
      <c r="T983">
        <v>1077</v>
      </c>
      <c r="U983">
        <f>VLOOKUP(Auto_Sales_data___Copy[[#This Row],[CUSTOMER_NAME]],$AF$2:$AH$90,2,FALSE)</f>
        <v>19</v>
      </c>
      <c r="V983">
        <f>VLOOKUP(Auto_Sales_data___Copy[[#This Row],[CUSTOMER_NAME]],$AF$2:$AH$90,3,FALSE)</f>
        <v>80438.48</v>
      </c>
      <c r="W983" s="2">
        <f>6-MATCH(Auto_Sales_data___Copy[[#This Row],[DAYS_SINCE_LAST_ORDER]],Table2[R-Cutoff],1)</f>
        <v>4</v>
      </c>
      <c r="X983" s="2">
        <f>MATCH(Auto_Sales_data___Copy[[#This Row],[Total_Orders_Per_Customer]],Table2[F-Cutoff],1)</f>
        <v>2</v>
      </c>
      <c r="Y983" s="2">
        <f>MATCH(Auto_Sales_data___Copy[[#This Row],[Total_Sales_Per_Customer]],Table2[M-Cutoff],1)</f>
        <v>3</v>
      </c>
      <c r="Z983" s="2" t="str">
        <f>Auto_Sales_data___Copy[[#This Row],[R-Score(1-5)]]&amp;Auto_Sales_data___Copy[[#This Row],[F-Score(1-5)]]&amp;Auto_Sales_data___Copy[[#This Row],[M-Score(1-5)]]</f>
        <v>423</v>
      </c>
      <c r="AA983" s="2" t="str" cm="1">
        <f t="array" ref="AA9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3" s="2" t="str">
        <f>VLOOKUP(Auto_Sales_data___Copy[[#This Row],[Segment Name]],Table3[],2,FALSE)</f>
        <v>Brand Awareness &amp; Value Proposition</v>
      </c>
    </row>
    <row r="984" spans="1:28" x14ac:dyDescent="0.25">
      <c r="A984">
        <v>10241</v>
      </c>
      <c r="B984">
        <v>44</v>
      </c>
      <c r="C984">
        <v>155.76</v>
      </c>
      <c r="D984">
        <v>12</v>
      </c>
      <c r="E984">
        <v>6853.44</v>
      </c>
      <c r="F984" s="1">
        <v>43568</v>
      </c>
      <c r="G984" s="2" t="s">
        <v>19</v>
      </c>
      <c r="H984" s="2" t="s">
        <v>183</v>
      </c>
      <c r="I984">
        <v>132</v>
      </c>
      <c r="J984" s="2" t="s">
        <v>639</v>
      </c>
      <c r="K984" s="2" t="s">
        <v>568</v>
      </c>
      <c r="L984" s="2" t="s">
        <v>569</v>
      </c>
      <c r="M984" s="2" t="s">
        <v>570</v>
      </c>
      <c r="N984" s="2" t="s">
        <v>571</v>
      </c>
      <c r="O984" s="2" t="s">
        <v>572</v>
      </c>
      <c r="P984" s="2" t="s">
        <v>36</v>
      </c>
      <c r="Q984" s="2" t="s">
        <v>573</v>
      </c>
      <c r="R984" s="2" t="s">
        <v>574</v>
      </c>
      <c r="S984" s="2" t="s">
        <v>46</v>
      </c>
      <c r="T984">
        <v>1248</v>
      </c>
      <c r="U984">
        <f>VLOOKUP(Auto_Sales_data___Copy[[#This Row],[CUSTOMER_NAME]],$AF$2:$AH$90,2,FALSE)</f>
        <v>19</v>
      </c>
      <c r="V984">
        <f>VLOOKUP(Auto_Sales_data___Copy[[#This Row],[CUSTOMER_NAME]],$AF$2:$AH$90,3,FALSE)</f>
        <v>80438.48</v>
      </c>
      <c r="W984" s="2">
        <f>6-MATCH(Auto_Sales_data___Copy[[#This Row],[DAYS_SINCE_LAST_ORDER]],Table2[R-Cutoff],1)</f>
        <v>4</v>
      </c>
      <c r="X984" s="2">
        <f>MATCH(Auto_Sales_data___Copy[[#This Row],[Total_Orders_Per_Customer]],Table2[F-Cutoff],1)</f>
        <v>2</v>
      </c>
      <c r="Y984" s="2">
        <f>MATCH(Auto_Sales_data___Copy[[#This Row],[Total_Sales_Per_Customer]],Table2[M-Cutoff],1)</f>
        <v>3</v>
      </c>
      <c r="Z984" s="2" t="str">
        <f>Auto_Sales_data___Copy[[#This Row],[R-Score(1-5)]]&amp;Auto_Sales_data___Copy[[#This Row],[F-Score(1-5)]]&amp;Auto_Sales_data___Copy[[#This Row],[M-Score(1-5)]]</f>
        <v>423</v>
      </c>
      <c r="AA984" s="2" t="str" cm="1">
        <f t="array" ref="AA9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4" s="2" t="str">
        <f>VLOOKUP(Auto_Sales_data___Copy[[#This Row],[Segment Name]],Table3[],2,FALSE)</f>
        <v>Brand Awareness &amp; Value Proposition</v>
      </c>
    </row>
    <row r="985" spans="1:28" x14ac:dyDescent="0.25">
      <c r="A985">
        <v>10251</v>
      </c>
      <c r="B985">
        <v>29</v>
      </c>
      <c r="C985">
        <v>61.18</v>
      </c>
      <c r="D985">
        <v>6</v>
      </c>
      <c r="E985">
        <v>1774.22</v>
      </c>
      <c r="F985" s="1">
        <v>43603</v>
      </c>
      <c r="G985" s="2" t="s">
        <v>19</v>
      </c>
      <c r="H985" s="2" t="s">
        <v>20</v>
      </c>
      <c r="I985">
        <v>60</v>
      </c>
      <c r="J985" s="2" t="s">
        <v>637</v>
      </c>
      <c r="K985" s="2" t="s">
        <v>95</v>
      </c>
      <c r="L985" s="2" t="s">
        <v>96</v>
      </c>
      <c r="M985" s="2" t="s">
        <v>97</v>
      </c>
      <c r="N985" s="2" t="s">
        <v>98</v>
      </c>
      <c r="O985" s="2" t="s">
        <v>99</v>
      </c>
      <c r="P985" s="2" t="s">
        <v>27</v>
      </c>
      <c r="Q985" s="2" t="s">
        <v>100</v>
      </c>
      <c r="R985" s="2" t="s">
        <v>101</v>
      </c>
      <c r="S985" s="2" t="s">
        <v>30</v>
      </c>
      <c r="T985">
        <v>1163</v>
      </c>
      <c r="U985">
        <f>VLOOKUP(Auto_Sales_data___Copy[[#This Row],[CUSTOMER_NAME]],$AF$2:$AH$90,2,FALSE)</f>
        <v>21</v>
      </c>
      <c r="V985">
        <f>VLOOKUP(Auto_Sales_data___Copy[[#This Row],[CUSTOMER_NAME]],$AF$2:$AH$90,3,FALSE)</f>
        <v>83228.189999999973</v>
      </c>
      <c r="W985" s="2">
        <f>6-MATCH(Auto_Sales_data___Copy[[#This Row],[DAYS_SINCE_LAST_ORDER]],Table2[R-Cutoff],1)</f>
        <v>4</v>
      </c>
      <c r="X985" s="2">
        <f>MATCH(Auto_Sales_data___Copy[[#This Row],[Total_Orders_Per_Customer]],Table2[F-Cutoff],1)</f>
        <v>2</v>
      </c>
      <c r="Y985" s="2">
        <f>MATCH(Auto_Sales_data___Copy[[#This Row],[Total_Sales_Per_Customer]],Table2[M-Cutoff],1)</f>
        <v>3</v>
      </c>
      <c r="Z985" s="2" t="str">
        <f>Auto_Sales_data___Copy[[#This Row],[R-Score(1-5)]]&amp;Auto_Sales_data___Copy[[#This Row],[F-Score(1-5)]]&amp;Auto_Sales_data___Copy[[#This Row],[M-Score(1-5)]]</f>
        <v>423</v>
      </c>
      <c r="AA985" s="2" t="str" cm="1">
        <f t="array" ref="AA9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5" s="2" t="str">
        <f>VLOOKUP(Auto_Sales_data___Copy[[#This Row],[Segment Name]],Table3[],2,FALSE)</f>
        <v>Brand Awareness &amp; Value Proposition</v>
      </c>
    </row>
    <row r="986" spans="1:28" x14ac:dyDescent="0.25">
      <c r="A986">
        <v>10255</v>
      </c>
      <c r="B986">
        <v>24</v>
      </c>
      <c r="C986">
        <v>155.25</v>
      </c>
      <c r="D986">
        <v>1</v>
      </c>
      <c r="E986">
        <v>3726</v>
      </c>
      <c r="F986" s="1">
        <v>43620</v>
      </c>
      <c r="G986" s="2" t="s">
        <v>19</v>
      </c>
      <c r="H986" s="2" t="s">
        <v>589</v>
      </c>
      <c r="I986">
        <v>168</v>
      </c>
      <c r="J986" s="2" t="s">
        <v>638</v>
      </c>
      <c r="K986" s="2" t="s">
        <v>568</v>
      </c>
      <c r="L986" s="2" t="s">
        <v>569</v>
      </c>
      <c r="M986" s="2" t="s">
        <v>570</v>
      </c>
      <c r="N986" s="2" t="s">
        <v>571</v>
      </c>
      <c r="O986" s="2" t="s">
        <v>572</v>
      </c>
      <c r="P986" s="2" t="s">
        <v>36</v>
      </c>
      <c r="Q986" s="2" t="s">
        <v>573</v>
      </c>
      <c r="R986" s="2" t="s">
        <v>574</v>
      </c>
      <c r="S986" s="2" t="s">
        <v>46</v>
      </c>
      <c r="T986">
        <v>1172</v>
      </c>
      <c r="U986">
        <f>VLOOKUP(Auto_Sales_data___Copy[[#This Row],[CUSTOMER_NAME]],$AF$2:$AH$90,2,FALSE)</f>
        <v>19</v>
      </c>
      <c r="V986">
        <f>VLOOKUP(Auto_Sales_data___Copy[[#This Row],[CUSTOMER_NAME]],$AF$2:$AH$90,3,FALSE)</f>
        <v>80438.48</v>
      </c>
      <c r="W986" s="2">
        <f>6-MATCH(Auto_Sales_data___Copy[[#This Row],[DAYS_SINCE_LAST_ORDER]],Table2[R-Cutoff],1)</f>
        <v>4</v>
      </c>
      <c r="X986" s="2">
        <f>MATCH(Auto_Sales_data___Copy[[#This Row],[Total_Orders_Per_Customer]],Table2[F-Cutoff],1)</f>
        <v>2</v>
      </c>
      <c r="Y986" s="2">
        <f>MATCH(Auto_Sales_data___Copy[[#This Row],[Total_Sales_Per_Customer]],Table2[M-Cutoff],1)</f>
        <v>3</v>
      </c>
      <c r="Z986" s="2" t="str">
        <f>Auto_Sales_data___Copy[[#This Row],[R-Score(1-5)]]&amp;Auto_Sales_data___Copy[[#This Row],[F-Score(1-5)]]&amp;Auto_Sales_data___Copy[[#This Row],[M-Score(1-5)]]</f>
        <v>423</v>
      </c>
      <c r="AA986" s="2" t="str" cm="1">
        <f t="array" ref="AA9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6" s="2" t="str">
        <f>VLOOKUP(Auto_Sales_data___Copy[[#This Row],[Segment Name]],Table3[],2,FALSE)</f>
        <v>Brand Awareness &amp; Value Proposition</v>
      </c>
    </row>
    <row r="987" spans="1:28" x14ac:dyDescent="0.25">
      <c r="A987">
        <v>10286</v>
      </c>
      <c r="B987">
        <v>38</v>
      </c>
      <c r="C987">
        <v>57.2</v>
      </c>
      <c r="D987">
        <v>1</v>
      </c>
      <c r="E987">
        <v>2173.6</v>
      </c>
      <c r="F987" s="1">
        <v>43705</v>
      </c>
      <c r="G987" s="2" t="s">
        <v>19</v>
      </c>
      <c r="H987" s="2" t="s">
        <v>20</v>
      </c>
      <c r="I987">
        <v>62</v>
      </c>
      <c r="J987" s="2" t="s">
        <v>656</v>
      </c>
      <c r="K987" s="2" t="s">
        <v>425</v>
      </c>
      <c r="L987" s="2" t="s">
        <v>426</v>
      </c>
      <c r="M987" s="2" t="s">
        <v>427</v>
      </c>
      <c r="N987" s="2" t="s">
        <v>42</v>
      </c>
      <c r="O987" s="2" t="s">
        <v>428</v>
      </c>
      <c r="P987" s="2" t="s">
        <v>36</v>
      </c>
      <c r="Q987" s="2" t="s">
        <v>429</v>
      </c>
      <c r="R987" s="2" t="s">
        <v>430</v>
      </c>
      <c r="S987" s="2" t="s">
        <v>30</v>
      </c>
      <c r="T987">
        <v>1435</v>
      </c>
      <c r="U987">
        <f>VLOOKUP(Auto_Sales_data___Copy[[#This Row],[CUSTOMER_NAME]],$AF$2:$AH$90,2,FALSE)</f>
        <v>23</v>
      </c>
      <c r="V987">
        <f>VLOOKUP(Auto_Sales_data___Copy[[#This Row],[CUSTOMER_NAME]],$AF$2:$AH$90,3,FALSE)</f>
        <v>97203.680000000008</v>
      </c>
      <c r="W987" s="2">
        <f>6-MATCH(Auto_Sales_data___Copy[[#This Row],[DAYS_SINCE_LAST_ORDER]],Table2[R-Cutoff],1)</f>
        <v>4</v>
      </c>
      <c r="X987" s="2">
        <f>MATCH(Auto_Sales_data___Copy[[#This Row],[Total_Orders_Per_Customer]],Table2[F-Cutoff],1)</f>
        <v>2</v>
      </c>
      <c r="Y987" s="2">
        <f>MATCH(Auto_Sales_data___Copy[[#This Row],[Total_Sales_Per_Customer]],Table2[M-Cutoff],1)</f>
        <v>3</v>
      </c>
      <c r="Z987" s="2" t="str">
        <f>Auto_Sales_data___Copy[[#This Row],[R-Score(1-5)]]&amp;Auto_Sales_data___Copy[[#This Row],[F-Score(1-5)]]&amp;Auto_Sales_data___Copy[[#This Row],[M-Score(1-5)]]</f>
        <v>423</v>
      </c>
      <c r="AA987" s="2" t="str" cm="1">
        <f t="array" ref="AA9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7" s="2" t="str">
        <f>VLOOKUP(Auto_Sales_data___Copy[[#This Row],[Segment Name]],Table3[],2,FALSE)</f>
        <v>Brand Awareness &amp; Value Proposition</v>
      </c>
    </row>
    <row r="988" spans="1:28" x14ac:dyDescent="0.25">
      <c r="A988">
        <v>10323</v>
      </c>
      <c r="B988">
        <v>33</v>
      </c>
      <c r="C988">
        <v>91.27</v>
      </c>
      <c r="D988">
        <v>2</v>
      </c>
      <c r="E988">
        <v>3011.91</v>
      </c>
      <c r="F988" s="1">
        <v>43774</v>
      </c>
      <c r="G988" s="2" t="s">
        <v>19</v>
      </c>
      <c r="H988" s="2" t="s">
        <v>589</v>
      </c>
      <c r="I988">
        <v>99</v>
      </c>
      <c r="J988" s="2" t="s">
        <v>653</v>
      </c>
      <c r="K988" s="2" t="s">
        <v>492</v>
      </c>
      <c r="L988" s="2" t="s">
        <v>493</v>
      </c>
      <c r="M988" s="2" t="s">
        <v>494</v>
      </c>
      <c r="N988" s="2" t="s">
        <v>495</v>
      </c>
      <c r="O988" s="2" t="s">
        <v>496</v>
      </c>
      <c r="P988" s="2" t="s">
        <v>470</v>
      </c>
      <c r="Q988" s="2" t="s">
        <v>497</v>
      </c>
      <c r="R988" s="2" t="s">
        <v>438</v>
      </c>
      <c r="S988" s="2" t="s">
        <v>46</v>
      </c>
      <c r="T988">
        <v>1297</v>
      </c>
      <c r="U988">
        <f>VLOOKUP(Auto_Sales_data___Copy[[#This Row],[CUSTOMER_NAME]],$AF$2:$AH$90,2,FALSE)</f>
        <v>22</v>
      </c>
      <c r="V988">
        <f>VLOOKUP(Auto_Sales_data___Copy[[#This Row],[CUSTOMER_NAME]],$AF$2:$AH$90,3,FALSE)</f>
        <v>85171.59</v>
      </c>
      <c r="W988" s="2">
        <f>6-MATCH(Auto_Sales_data___Copy[[#This Row],[DAYS_SINCE_LAST_ORDER]],Table2[R-Cutoff],1)</f>
        <v>4</v>
      </c>
      <c r="X988" s="2">
        <f>MATCH(Auto_Sales_data___Copy[[#This Row],[Total_Orders_Per_Customer]],Table2[F-Cutoff],1)</f>
        <v>2</v>
      </c>
      <c r="Y988" s="2">
        <f>MATCH(Auto_Sales_data___Copy[[#This Row],[Total_Sales_Per_Customer]],Table2[M-Cutoff],1)</f>
        <v>3</v>
      </c>
      <c r="Z988" s="2" t="str">
        <f>Auto_Sales_data___Copy[[#This Row],[R-Score(1-5)]]&amp;Auto_Sales_data___Copy[[#This Row],[F-Score(1-5)]]&amp;Auto_Sales_data___Copy[[#This Row],[M-Score(1-5)]]</f>
        <v>423</v>
      </c>
      <c r="AA988" s="2" t="str" cm="1">
        <f t="array" ref="AA9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8" s="2" t="str">
        <f>VLOOKUP(Auto_Sales_data___Copy[[#This Row],[Segment Name]],Table3[],2,FALSE)</f>
        <v>Brand Awareness &amp; Value Proposition</v>
      </c>
    </row>
    <row r="989" spans="1:28" x14ac:dyDescent="0.25">
      <c r="A989">
        <v>10331</v>
      </c>
      <c r="B989">
        <v>26</v>
      </c>
      <c r="C989">
        <v>64.900000000000006</v>
      </c>
      <c r="D989">
        <v>10</v>
      </c>
      <c r="E989">
        <v>1687.4</v>
      </c>
      <c r="F989" s="1">
        <v>43786</v>
      </c>
      <c r="G989" s="2" t="s">
        <v>19</v>
      </c>
      <c r="H989" s="2" t="s">
        <v>183</v>
      </c>
      <c r="I989">
        <v>132</v>
      </c>
      <c r="J989" s="2" t="s">
        <v>639</v>
      </c>
      <c r="K989" s="2" t="s">
        <v>323</v>
      </c>
      <c r="L989" s="2" t="s">
        <v>324</v>
      </c>
      <c r="M989" s="2" t="s">
        <v>325</v>
      </c>
      <c r="N989" s="2" t="s">
        <v>220</v>
      </c>
      <c r="O989" s="2" t="s">
        <v>221</v>
      </c>
      <c r="P989" s="2" t="s">
        <v>27</v>
      </c>
      <c r="Q989" s="2" t="s">
        <v>120</v>
      </c>
      <c r="R989" s="2" t="s">
        <v>326</v>
      </c>
      <c r="S989" s="2" t="s">
        <v>30</v>
      </c>
      <c r="T989">
        <v>1038</v>
      </c>
      <c r="U989">
        <f>VLOOKUP(Auto_Sales_data___Copy[[#This Row],[CUSTOMER_NAME]],$AF$2:$AH$90,2,FALSE)</f>
        <v>23</v>
      </c>
      <c r="V989">
        <f>VLOOKUP(Auto_Sales_data___Copy[[#This Row],[CUSTOMER_NAME]],$AF$2:$AH$90,3,FALSE)</f>
        <v>83682.16</v>
      </c>
      <c r="W989" s="2">
        <f>6-MATCH(Auto_Sales_data___Copy[[#This Row],[DAYS_SINCE_LAST_ORDER]],Table2[R-Cutoff],1)</f>
        <v>4</v>
      </c>
      <c r="X989" s="2">
        <f>MATCH(Auto_Sales_data___Copy[[#This Row],[Total_Orders_Per_Customer]],Table2[F-Cutoff],1)</f>
        <v>2</v>
      </c>
      <c r="Y989" s="2">
        <f>MATCH(Auto_Sales_data___Copy[[#This Row],[Total_Sales_Per_Customer]],Table2[M-Cutoff],1)</f>
        <v>3</v>
      </c>
      <c r="Z989" s="2" t="str">
        <f>Auto_Sales_data___Copy[[#This Row],[R-Score(1-5)]]&amp;Auto_Sales_data___Copy[[#This Row],[F-Score(1-5)]]&amp;Auto_Sales_data___Copy[[#This Row],[M-Score(1-5)]]</f>
        <v>423</v>
      </c>
      <c r="AA989" s="2" t="str" cm="1">
        <f t="array" ref="AA9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9" s="2" t="str">
        <f>VLOOKUP(Auto_Sales_data___Copy[[#This Row],[Segment Name]],Table3[],2,FALSE)</f>
        <v>Brand Awareness &amp; Value Proposition</v>
      </c>
    </row>
    <row r="990" spans="1:28" x14ac:dyDescent="0.25">
      <c r="A990">
        <v>10331</v>
      </c>
      <c r="B990">
        <v>27</v>
      </c>
      <c r="C990">
        <v>154.47</v>
      </c>
      <c r="D990">
        <v>11</v>
      </c>
      <c r="E990">
        <v>4170.6899999999996</v>
      </c>
      <c r="F990" s="1">
        <v>43786</v>
      </c>
      <c r="G990" s="2" t="s">
        <v>19</v>
      </c>
      <c r="H990" s="2" t="s">
        <v>183</v>
      </c>
      <c r="I990">
        <v>169</v>
      </c>
      <c r="J990" s="2" t="s">
        <v>649</v>
      </c>
      <c r="K990" s="2" t="s">
        <v>323</v>
      </c>
      <c r="L990" s="2" t="s">
        <v>324</v>
      </c>
      <c r="M990" s="2" t="s">
        <v>325</v>
      </c>
      <c r="N990" s="2" t="s">
        <v>220</v>
      </c>
      <c r="O990" s="2" t="s">
        <v>221</v>
      </c>
      <c r="P990" s="2" t="s">
        <v>27</v>
      </c>
      <c r="Q990" s="2" t="s">
        <v>120</v>
      </c>
      <c r="R990" s="2" t="s">
        <v>326</v>
      </c>
      <c r="S990" s="2" t="s">
        <v>46</v>
      </c>
      <c r="T990">
        <v>1206</v>
      </c>
      <c r="U990">
        <f>VLOOKUP(Auto_Sales_data___Copy[[#This Row],[CUSTOMER_NAME]],$AF$2:$AH$90,2,FALSE)</f>
        <v>23</v>
      </c>
      <c r="V990">
        <f>VLOOKUP(Auto_Sales_data___Copy[[#This Row],[CUSTOMER_NAME]],$AF$2:$AH$90,3,FALSE)</f>
        <v>83682.16</v>
      </c>
      <c r="W990" s="2">
        <f>6-MATCH(Auto_Sales_data___Copy[[#This Row],[DAYS_SINCE_LAST_ORDER]],Table2[R-Cutoff],1)</f>
        <v>4</v>
      </c>
      <c r="X990" s="2">
        <f>MATCH(Auto_Sales_data___Copy[[#This Row],[Total_Orders_Per_Customer]],Table2[F-Cutoff],1)</f>
        <v>2</v>
      </c>
      <c r="Y990" s="2">
        <f>MATCH(Auto_Sales_data___Copy[[#This Row],[Total_Sales_Per_Customer]],Table2[M-Cutoff],1)</f>
        <v>3</v>
      </c>
      <c r="Z990" s="2" t="str">
        <f>Auto_Sales_data___Copy[[#This Row],[R-Score(1-5)]]&amp;Auto_Sales_data___Copy[[#This Row],[F-Score(1-5)]]&amp;Auto_Sales_data___Copy[[#This Row],[M-Score(1-5)]]</f>
        <v>423</v>
      </c>
      <c r="AA990" s="2" t="str" cm="1">
        <f t="array" ref="AA9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0" s="2" t="str">
        <f>VLOOKUP(Auto_Sales_data___Copy[[#This Row],[Segment Name]],Table3[],2,FALSE)</f>
        <v>Brand Awareness &amp; Value Proposition</v>
      </c>
    </row>
    <row r="991" spans="1:28" x14ac:dyDescent="0.25">
      <c r="A991">
        <v>10331</v>
      </c>
      <c r="B991">
        <v>26</v>
      </c>
      <c r="C991">
        <v>67.91</v>
      </c>
      <c r="D991">
        <v>12</v>
      </c>
      <c r="E991">
        <v>1765.66</v>
      </c>
      <c r="F991" s="1">
        <v>43786</v>
      </c>
      <c r="G991" s="2" t="s">
        <v>19</v>
      </c>
      <c r="H991" s="2" t="s">
        <v>183</v>
      </c>
      <c r="I991">
        <v>141</v>
      </c>
      <c r="J991" s="2" t="s">
        <v>655</v>
      </c>
      <c r="K991" s="2" t="s">
        <v>323</v>
      </c>
      <c r="L991" s="2" t="s">
        <v>324</v>
      </c>
      <c r="M991" s="2" t="s">
        <v>325</v>
      </c>
      <c r="N991" s="2" t="s">
        <v>220</v>
      </c>
      <c r="O991" s="2" t="s">
        <v>221</v>
      </c>
      <c r="P991" s="2" t="s">
        <v>27</v>
      </c>
      <c r="Q991" s="2" t="s">
        <v>120</v>
      </c>
      <c r="R991" s="2" t="s">
        <v>326</v>
      </c>
      <c r="S991" s="2" t="s">
        <v>30</v>
      </c>
      <c r="T991">
        <v>1335</v>
      </c>
      <c r="U991">
        <f>VLOOKUP(Auto_Sales_data___Copy[[#This Row],[CUSTOMER_NAME]],$AF$2:$AH$90,2,FALSE)</f>
        <v>23</v>
      </c>
      <c r="V991">
        <f>VLOOKUP(Auto_Sales_data___Copy[[#This Row],[CUSTOMER_NAME]],$AF$2:$AH$90,3,FALSE)</f>
        <v>83682.16</v>
      </c>
      <c r="W991" s="2">
        <f>6-MATCH(Auto_Sales_data___Copy[[#This Row],[DAYS_SINCE_LAST_ORDER]],Table2[R-Cutoff],1)</f>
        <v>4</v>
      </c>
      <c r="X991" s="2">
        <f>MATCH(Auto_Sales_data___Copy[[#This Row],[Total_Orders_Per_Customer]],Table2[F-Cutoff],1)</f>
        <v>2</v>
      </c>
      <c r="Y991" s="2">
        <f>MATCH(Auto_Sales_data___Copy[[#This Row],[Total_Sales_Per_Customer]],Table2[M-Cutoff],1)</f>
        <v>3</v>
      </c>
      <c r="Z991" s="2" t="str">
        <f>Auto_Sales_data___Copy[[#This Row],[R-Score(1-5)]]&amp;Auto_Sales_data___Copy[[#This Row],[F-Score(1-5)]]&amp;Auto_Sales_data___Copy[[#This Row],[M-Score(1-5)]]</f>
        <v>423</v>
      </c>
      <c r="AA991" s="2" t="str" cm="1">
        <f t="array" ref="AA9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1" s="2" t="str">
        <f>VLOOKUP(Auto_Sales_data___Copy[[#This Row],[Segment Name]],Table3[],2,FALSE)</f>
        <v>Brand Awareness &amp; Value Proposition</v>
      </c>
    </row>
    <row r="992" spans="1:28" x14ac:dyDescent="0.25">
      <c r="A992">
        <v>10336</v>
      </c>
      <c r="B992">
        <v>48</v>
      </c>
      <c r="C992">
        <v>120.38</v>
      </c>
      <c r="D992">
        <v>12</v>
      </c>
      <c r="E992">
        <v>5778.24</v>
      </c>
      <c r="F992" s="1">
        <v>43789</v>
      </c>
      <c r="G992" s="2" t="s">
        <v>19</v>
      </c>
      <c r="H992" s="2" t="s">
        <v>589</v>
      </c>
      <c r="I992">
        <v>136</v>
      </c>
      <c r="J992" s="2" t="s">
        <v>648</v>
      </c>
      <c r="K992" s="2" t="s">
        <v>425</v>
      </c>
      <c r="L992" s="2" t="s">
        <v>426</v>
      </c>
      <c r="M992" s="2" t="s">
        <v>427</v>
      </c>
      <c r="N992" s="2" t="s">
        <v>42</v>
      </c>
      <c r="O992" s="2" t="s">
        <v>428</v>
      </c>
      <c r="P992" s="2" t="s">
        <v>36</v>
      </c>
      <c r="Q992" s="2" t="s">
        <v>429</v>
      </c>
      <c r="R992" s="2" t="s">
        <v>430</v>
      </c>
      <c r="S992" s="2" t="s">
        <v>46</v>
      </c>
      <c r="T992">
        <v>1160</v>
      </c>
      <c r="U992">
        <f>VLOOKUP(Auto_Sales_data___Copy[[#This Row],[CUSTOMER_NAME]],$AF$2:$AH$90,2,FALSE)</f>
        <v>23</v>
      </c>
      <c r="V992">
        <f>VLOOKUP(Auto_Sales_data___Copy[[#This Row],[CUSTOMER_NAME]],$AF$2:$AH$90,3,FALSE)</f>
        <v>97203.680000000008</v>
      </c>
      <c r="W992" s="2">
        <f>6-MATCH(Auto_Sales_data___Copy[[#This Row],[DAYS_SINCE_LAST_ORDER]],Table2[R-Cutoff],1)</f>
        <v>4</v>
      </c>
      <c r="X992" s="2">
        <f>MATCH(Auto_Sales_data___Copy[[#This Row],[Total_Orders_Per_Customer]],Table2[F-Cutoff],1)</f>
        <v>2</v>
      </c>
      <c r="Y992" s="2">
        <f>MATCH(Auto_Sales_data___Copy[[#This Row],[Total_Sales_Per_Customer]],Table2[M-Cutoff],1)</f>
        <v>3</v>
      </c>
      <c r="Z992" s="2" t="str">
        <f>Auto_Sales_data___Copy[[#This Row],[R-Score(1-5)]]&amp;Auto_Sales_data___Copy[[#This Row],[F-Score(1-5)]]&amp;Auto_Sales_data___Copy[[#This Row],[M-Score(1-5)]]</f>
        <v>423</v>
      </c>
      <c r="AA992" s="2" t="str" cm="1">
        <f t="array" ref="AA9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2" s="2" t="str">
        <f>VLOOKUP(Auto_Sales_data___Copy[[#This Row],[Segment Name]],Table3[],2,FALSE)</f>
        <v>Brand Awareness &amp; Value Proposition</v>
      </c>
    </row>
    <row r="993" spans="1:28" x14ac:dyDescent="0.25">
      <c r="A993">
        <v>10336</v>
      </c>
      <c r="B993">
        <v>21</v>
      </c>
      <c r="C993">
        <v>106.21</v>
      </c>
      <c r="D993">
        <v>7</v>
      </c>
      <c r="E993">
        <v>2230.41</v>
      </c>
      <c r="F993" s="1">
        <v>43789</v>
      </c>
      <c r="G993" s="2" t="s">
        <v>19</v>
      </c>
      <c r="H993" s="2" t="s">
        <v>650</v>
      </c>
      <c r="I993">
        <v>100</v>
      </c>
      <c r="J993" s="2" t="s">
        <v>651</v>
      </c>
      <c r="K993" s="2" t="s">
        <v>425</v>
      </c>
      <c r="L993" s="2" t="s">
        <v>426</v>
      </c>
      <c r="M993" s="2" t="s">
        <v>427</v>
      </c>
      <c r="N993" s="2" t="s">
        <v>42</v>
      </c>
      <c r="O993" s="2" t="s">
        <v>428</v>
      </c>
      <c r="P993" s="2" t="s">
        <v>36</v>
      </c>
      <c r="Q993" s="2" t="s">
        <v>429</v>
      </c>
      <c r="R993" s="2" t="s">
        <v>430</v>
      </c>
      <c r="S993" s="2" t="s">
        <v>30</v>
      </c>
      <c r="T993">
        <v>1236</v>
      </c>
      <c r="U993">
        <f>VLOOKUP(Auto_Sales_data___Copy[[#This Row],[CUSTOMER_NAME]],$AF$2:$AH$90,2,FALSE)</f>
        <v>23</v>
      </c>
      <c r="V993">
        <f>VLOOKUP(Auto_Sales_data___Copy[[#This Row],[CUSTOMER_NAME]],$AF$2:$AH$90,3,FALSE)</f>
        <v>97203.680000000008</v>
      </c>
      <c r="W993" s="2">
        <f>6-MATCH(Auto_Sales_data___Copy[[#This Row],[DAYS_SINCE_LAST_ORDER]],Table2[R-Cutoff],1)</f>
        <v>4</v>
      </c>
      <c r="X993" s="2">
        <f>MATCH(Auto_Sales_data___Copy[[#This Row],[Total_Orders_Per_Customer]],Table2[F-Cutoff],1)</f>
        <v>2</v>
      </c>
      <c r="Y993" s="2">
        <f>MATCH(Auto_Sales_data___Copy[[#This Row],[Total_Sales_Per_Customer]],Table2[M-Cutoff],1)</f>
        <v>3</v>
      </c>
      <c r="Z993" s="2" t="str">
        <f>Auto_Sales_data___Copy[[#This Row],[R-Score(1-5)]]&amp;Auto_Sales_data___Copy[[#This Row],[F-Score(1-5)]]&amp;Auto_Sales_data___Copy[[#This Row],[M-Score(1-5)]]</f>
        <v>423</v>
      </c>
      <c r="AA993" s="2" t="str" cm="1">
        <f t="array" ref="AA9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3" s="2" t="str">
        <f>VLOOKUP(Auto_Sales_data___Copy[[#This Row],[Segment Name]],Table3[],2,FALSE)</f>
        <v>Brand Awareness &amp; Value Proposition</v>
      </c>
    </row>
    <row r="994" spans="1:28" x14ac:dyDescent="0.25">
      <c r="A994">
        <v>10405</v>
      </c>
      <c r="B994">
        <v>55</v>
      </c>
      <c r="C994">
        <v>150.71</v>
      </c>
      <c r="D994">
        <v>1</v>
      </c>
      <c r="E994">
        <v>8289.0499999999993</v>
      </c>
      <c r="F994" s="1">
        <v>43935</v>
      </c>
      <c r="G994" s="2" t="s">
        <v>19</v>
      </c>
      <c r="H994" s="2" t="s">
        <v>183</v>
      </c>
      <c r="I994">
        <v>169</v>
      </c>
      <c r="J994" s="2" t="s">
        <v>649</v>
      </c>
      <c r="K994" s="2" t="s">
        <v>568</v>
      </c>
      <c r="L994" s="2" t="s">
        <v>569</v>
      </c>
      <c r="M994" s="2" t="s">
        <v>570</v>
      </c>
      <c r="N994" s="2" t="s">
        <v>571</v>
      </c>
      <c r="O994" s="2" t="s">
        <v>572</v>
      </c>
      <c r="P994" s="2" t="s">
        <v>36</v>
      </c>
      <c r="Q994" s="2" t="s">
        <v>573</v>
      </c>
      <c r="R994" s="2" t="s">
        <v>574</v>
      </c>
      <c r="S994" s="2" t="s">
        <v>151</v>
      </c>
      <c r="T994">
        <v>1067</v>
      </c>
      <c r="U994">
        <f>VLOOKUP(Auto_Sales_data___Copy[[#This Row],[CUSTOMER_NAME]],$AF$2:$AH$90,2,FALSE)</f>
        <v>19</v>
      </c>
      <c r="V994">
        <f>VLOOKUP(Auto_Sales_data___Copy[[#This Row],[CUSTOMER_NAME]],$AF$2:$AH$90,3,FALSE)</f>
        <v>80438.48</v>
      </c>
      <c r="W994" s="2">
        <f>6-MATCH(Auto_Sales_data___Copy[[#This Row],[DAYS_SINCE_LAST_ORDER]],Table2[R-Cutoff],1)</f>
        <v>4</v>
      </c>
      <c r="X994" s="2">
        <f>MATCH(Auto_Sales_data___Copy[[#This Row],[Total_Orders_Per_Customer]],Table2[F-Cutoff],1)</f>
        <v>2</v>
      </c>
      <c r="Y994" s="2">
        <f>MATCH(Auto_Sales_data___Copy[[#This Row],[Total_Sales_Per_Customer]],Table2[M-Cutoff],1)</f>
        <v>3</v>
      </c>
      <c r="Z994" s="2" t="str">
        <f>Auto_Sales_data___Copy[[#This Row],[R-Score(1-5)]]&amp;Auto_Sales_data___Copy[[#This Row],[F-Score(1-5)]]&amp;Auto_Sales_data___Copy[[#This Row],[M-Score(1-5)]]</f>
        <v>423</v>
      </c>
      <c r="AA994" s="2" t="str" cm="1">
        <f t="array" ref="AA9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4" s="2" t="str">
        <f>VLOOKUP(Auto_Sales_data___Copy[[#This Row],[Segment Name]],Table3[],2,FALSE)</f>
        <v>Brand Awareness &amp; Value Proposition</v>
      </c>
    </row>
    <row r="995" spans="1:28" x14ac:dyDescent="0.25">
      <c r="A995">
        <v>10115</v>
      </c>
      <c r="B995">
        <v>46</v>
      </c>
      <c r="C995">
        <v>124.43</v>
      </c>
      <c r="D995">
        <v>5</v>
      </c>
      <c r="E995">
        <v>5723.78</v>
      </c>
      <c r="F995" s="1">
        <v>43194</v>
      </c>
      <c r="G995" s="2" t="s">
        <v>19</v>
      </c>
      <c r="H995" s="2" t="s">
        <v>537</v>
      </c>
      <c r="I995">
        <v>118</v>
      </c>
      <c r="J995" s="2" t="s">
        <v>554</v>
      </c>
      <c r="K995" s="2" t="s">
        <v>206</v>
      </c>
      <c r="L995" s="2" t="s">
        <v>207</v>
      </c>
      <c r="M995" s="2" t="s">
        <v>208</v>
      </c>
      <c r="N995" s="2" t="s">
        <v>25</v>
      </c>
      <c r="O995" s="2" t="s">
        <v>26</v>
      </c>
      <c r="P995" s="2" t="s">
        <v>27</v>
      </c>
      <c r="Q995" s="2" t="s">
        <v>120</v>
      </c>
      <c r="R995" s="2" t="s">
        <v>209</v>
      </c>
      <c r="S995" s="2" t="s">
        <v>46</v>
      </c>
      <c r="T995">
        <v>1139</v>
      </c>
      <c r="U995">
        <f>VLOOKUP(Auto_Sales_data___Copy[[#This Row],[CUSTOMER_NAME]],$AF$2:$AH$90,2,FALSE)</f>
        <v>20</v>
      </c>
      <c r="V995">
        <f>VLOOKUP(Auto_Sales_data___Copy[[#This Row],[CUSTOMER_NAME]],$AF$2:$AH$90,3,FALSE)</f>
        <v>77795.200000000012</v>
      </c>
      <c r="W995" s="2">
        <f>6-MATCH(Auto_Sales_data___Copy[[#This Row],[DAYS_SINCE_LAST_ORDER]],Table2[R-Cutoff],1)</f>
        <v>4</v>
      </c>
      <c r="X995" s="2">
        <f>MATCH(Auto_Sales_data___Copy[[#This Row],[Total_Orders_Per_Customer]],Table2[F-Cutoff],1)</f>
        <v>2</v>
      </c>
      <c r="Y995" s="2">
        <f>MATCH(Auto_Sales_data___Copy[[#This Row],[Total_Sales_Per_Customer]],Table2[M-Cutoff],1)</f>
        <v>2</v>
      </c>
      <c r="Z995" s="2" t="str">
        <f>Auto_Sales_data___Copy[[#This Row],[R-Score(1-5)]]&amp;Auto_Sales_data___Copy[[#This Row],[F-Score(1-5)]]&amp;Auto_Sales_data___Copy[[#This Row],[M-Score(1-5)]]</f>
        <v>422</v>
      </c>
      <c r="AA995" s="2" t="str" cm="1">
        <f t="array" ref="AA9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5" s="2" t="str">
        <f>VLOOKUP(Auto_Sales_data___Copy[[#This Row],[Segment Name]],Table3[],2,FALSE)</f>
        <v>Brand Awareness &amp; Value Proposition</v>
      </c>
    </row>
    <row r="996" spans="1:28" x14ac:dyDescent="0.25">
      <c r="A996">
        <v>10115</v>
      </c>
      <c r="B996">
        <v>46</v>
      </c>
      <c r="C996">
        <v>160.46</v>
      </c>
      <c r="D996">
        <v>4</v>
      </c>
      <c r="E996">
        <v>7381.16</v>
      </c>
      <c r="F996" s="1">
        <v>43194</v>
      </c>
      <c r="G996" s="2" t="s">
        <v>19</v>
      </c>
      <c r="H996" s="2" t="s">
        <v>183</v>
      </c>
      <c r="I996">
        <v>163</v>
      </c>
      <c r="J996" s="2" t="s">
        <v>631</v>
      </c>
      <c r="K996" s="2" t="s">
        <v>206</v>
      </c>
      <c r="L996" s="2" t="s">
        <v>207</v>
      </c>
      <c r="M996" s="2" t="s">
        <v>208</v>
      </c>
      <c r="N996" s="2" t="s">
        <v>25</v>
      </c>
      <c r="O996" s="2" t="s">
        <v>26</v>
      </c>
      <c r="P996" s="2" t="s">
        <v>27</v>
      </c>
      <c r="Q996" s="2" t="s">
        <v>120</v>
      </c>
      <c r="R996" s="2" t="s">
        <v>209</v>
      </c>
      <c r="S996" s="2" t="s">
        <v>151</v>
      </c>
      <c r="T996">
        <v>1415</v>
      </c>
      <c r="U996">
        <f>VLOOKUP(Auto_Sales_data___Copy[[#This Row],[CUSTOMER_NAME]],$AF$2:$AH$90,2,FALSE)</f>
        <v>20</v>
      </c>
      <c r="V996">
        <f>VLOOKUP(Auto_Sales_data___Copy[[#This Row],[CUSTOMER_NAME]],$AF$2:$AH$90,3,FALSE)</f>
        <v>77795.200000000012</v>
      </c>
      <c r="W996" s="2">
        <f>6-MATCH(Auto_Sales_data___Copy[[#This Row],[DAYS_SINCE_LAST_ORDER]],Table2[R-Cutoff],1)</f>
        <v>4</v>
      </c>
      <c r="X996" s="2">
        <f>MATCH(Auto_Sales_data___Copy[[#This Row],[Total_Orders_Per_Customer]],Table2[F-Cutoff],1)</f>
        <v>2</v>
      </c>
      <c r="Y996" s="2">
        <f>MATCH(Auto_Sales_data___Copy[[#This Row],[Total_Sales_Per_Customer]],Table2[M-Cutoff],1)</f>
        <v>2</v>
      </c>
      <c r="Z996" s="2" t="str">
        <f>Auto_Sales_data___Copy[[#This Row],[R-Score(1-5)]]&amp;Auto_Sales_data___Copy[[#This Row],[F-Score(1-5)]]&amp;Auto_Sales_data___Copy[[#This Row],[M-Score(1-5)]]</f>
        <v>422</v>
      </c>
      <c r="AA996" s="2" t="str" cm="1">
        <f t="array" ref="AA9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6" s="2" t="str">
        <f>VLOOKUP(Auto_Sales_data___Copy[[#This Row],[Segment Name]],Table3[],2,FALSE)</f>
        <v>Brand Awareness &amp; Value Proposition</v>
      </c>
    </row>
    <row r="997" spans="1:28" x14ac:dyDescent="0.25">
      <c r="A997">
        <v>10134</v>
      </c>
      <c r="B997">
        <v>30</v>
      </c>
      <c r="C997">
        <v>61.78</v>
      </c>
      <c r="D997">
        <v>6</v>
      </c>
      <c r="E997">
        <v>1853.4</v>
      </c>
      <c r="F997" s="1">
        <v>43282</v>
      </c>
      <c r="G997" s="2" t="s">
        <v>19</v>
      </c>
      <c r="H997" s="2" t="s">
        <v>20</v>
      </c>
      <c r="I997">
        <v>60</v>
      </c>
      <c r="J997" s="2" t="s">
        <v>637</v>
      </c>
      <c r="K997" s="2" t="s">
        <v>39</v>
      </c>
      <c r="L997" s="2" t="s">
        <v>40</v>
      </c>
      <c r="M997" s="2" t="s">
        <v>41</v>
      </c>
      <c r="N997" s="2" t="s">
        <v>42</v>
      </c>
      <c r="O997" s="2" t="s">
        <v>43</v>
      </c>
      <c r="P997" s="2" t="s">
        <v>36</v>
      </c>
      <c r="Q997" s="2" t="s">
        <v>44</v>
      </c>
      <c r="R997" s="2" t="s">
        <v>45</v>
      </c>
      <c r="S997" s="2" t="s">
        <v>30</v>
      </c>
      <c r="T997">
        <v>1476</v>
      </c>
      <c r="U997">
        <f>VLOOKUP(Auto_Sales_data___Copy[[#This Row],[CUSTOMER_NAME]],$AF$2:$AH$90,2,FALSE)</f>
        <v>20</v>
      </c>
      <c r="V997">
        <f>VLOOKUP(Auto_Sales_data___Copy[[#This Row],[CUSTOMER_NAME]],$AF$2:$AH$90,3,FALSE)</f>
        <v>78570.34</v>
      </c>
      <c r="W997" s="2">
        <f>6-MATCH(Auto_Sales_data___Copy[[#This Row],[DAYS_SINCE_LAST_ORDER]],Table2[R-Cutoff],1)</f>
        <v>4</v>
      </c>
      <c r="X997" s="2">
        <f>MATCH(Auto_Sales_data___Copy[[#This Row],[Total_Orders_Per_Customer]],Table2[F-Cutoff],1)</f>
        <v>2</v>
      </c>
      <c r="Y997" s="2">
        <f>MATCH(Auto_Sales_data___Copy[[#This Row],[Total_Sales_Per_Customer]],Table2[M-Cutoff],1)</f>
        <v>2</v>
      </c>
      <c r="Z997" s="2" t="str">
        <f>Auto_Sales_data___Copy[[#This Row],[R-Score(1-5)]]&amp;Auto_Sales_data___Copy[[#This Row],[F-Score(1-5)]]&amp;Auto_Sales_data___Copy[[#This Row],[M-Score(1-5)]]</f>
        <v>422</v>
      </c>
      <c r="AA997" s="2" t="str" cm="1">
        <f t="array" ref="AA9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7" s="2" t="str">
        <f>VLOOKUP(Auto_Sales_data___Copy[[#This Row],[Segment Name]],Table3[],2,FALSE)</f>
        <v>Brand Awareness &amp; Value Proposition</v>
      </c>
    </row>
    <row r="998" spans="1:28" x14ac:dyDescent="0.25">
      <c r="A998">
        <v>10136</v>
      </c>
      <c r="B998">
        <v>25</v>
      </c>
      <c r="C998">
        <v>145.79</v>
      </c>
      <c r="D998">
        <v>2</v>
      </c>
      <c r="E998">
        <v>3644.75</v>
      </c>
      <c r="F998" s="1">
        <v>43285</v>
      </c>
      <c r="G998" s="2" t="s">
        <v>19</v>
      </c>
      <c r="H998" s="2" t="s">
        <v>183</v>
      </c>
      <c r="I998">
        <v>141</v>
      </c>
      <c r="J998" s="2" t="s">
        <v>576</v>
      </c>
      <c r="K998" s="2" t="s">
        <v>359</v>
      </c>
      <c r="L998" s="2" t="s">
        <v>360</v>
      </c>
      <c r="M998" s="2" t="s">
        <v>361</v>
      </c>
      <c r="N998" s="2" t="s">
        <v>362</v>
      </c>
      <c r="O998" s="2" t="s">
        <v>363</v>
      </c>
      <c r="P998" s="2" t="s">
        <v>36</v>
      </c>
      <c r="Q998" s="2" t="s">
        <v>364</v>
      </c>
      <c r="R998" s="2" t="s">
        <v>365</v>
      </c>
      <c r="S998" s="2" t="s">
        <v>46</v>
      </c>
      <c r="T998">
        <v>1127</v>
      </c>
      <c r="U998">
        <f>VLOOKUP(Auto_Sales_data___Copy[[#This Row],[CUSTOMER_NAME]],$AF$2:$AH$90,2,FALSE)</f>
        <v>20</v>
      </c>
      <c r="V998">
        <f>VLOOKUP(Auto_Sales_data___Copy[[#This Row],[CUSTOMER_NAME]],$AF$2:$AH$90,3,FALSE)</f>
        <v>70488.439999999988</v>
      </c>
      <c r="W998" s="2">
        <f>6-MATCH(Auto_Sales_data___Copy[[#This Row],[DAYS_SINCE_LAST_ORDER]],Table2[R-Cutoff],1)</f>
        <v>4</v>
      </c>
      <c r="X998" s="2">
        <f>MATCH(Auto_Sales_data___Copy[[#This Row],[Total_Orders_Per_Customer]],Table2[F-Cutoff],1)</f>
        <v>2</v>
      </c>
      <c r="Y998" s="2">
        <f>MATCH(Auto_Sales_data___Copy[[#This Row],[Total_Sales_Per_Customer]],Table2[M-Cutoff],1)</f>
        <v>2</v>
      </c>
      <c r="Z998" s="2" t="str">
        <f>Auto_Sales_data___Copy[[#This Row],[R-Score(1-5)]]&amp;Auto_Sales_data___Copy[[#This Row],[F-Score(1-5)]]&amp;Auto_Sales_data___Copy[[#This Row],[M-Score(1-5)]]</f>
        <v>422</v>
      </c>
      <c r="AA998" s="2" t="str" cm="1">
        <f t="array" ref="AA9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8" s="2" t="str">
        <f>VLOOKUP(Auto_Sales_data___Copy[[#This Row],[Segment Name]],Table3[],2,FALSE)</f>
        <v>Brand Awareness &amp; Value Proposition</v>
      </c>
    </row>
    <row r="999" spans="1:28" x14ac:dyDescent="0.25">
      <c r="A999">
        <v>10136</v>
      </c>
      <c r="B999">
        <v>36</v>
      </c>
      <c r="C999">
        <v>146.52000000000001</v>
      </c>
      <c r="D999">
        <v>1</v>
      </c>
      <c r="E999">
        <v>5274.72</v>
      </c>
      <c r="F999" s="1">
        <v>43285</v>
      </c>
      <c r="G999" s="2" t="s">
        <v>19</v>
      </c>
      <c r="H999" s="2" t="s">
        <v>183</v>
      </c>
      <c r="I999">
        <v>142</v>
      </c>
      <c r="J999" s="2" t="s">
        <v>630</v>
      </c>
      <c r="K999" s="2" t="s">
        <v>359</v>
      </c>
      <c r="L999" s="2" t="s">
        <v>360</v>
      </c>
      <c r="M999" s="2" t="s">
        <v>361</v>
      </c>
      <c r="N999" s="2" t="s">
        <v>362</v>
      </c>
      <c r="O999" s="2" t="s">
        <v>363</v>
      </c>
      <c r="P999" s="2" t="s">
        <v>36</v>
      </c>
      <c r="Q999" s="2" t="s">
        <v>364</v>
      </c>
      <c r="R999" s="2" t="s">
        <v>365</v>
      </c>
      <c r="S999" s="2" t="s">
        <v>46</v>
      </c>
      <c r="T999">
        <v>1298</v>
      </c>
      <c r="U999">
        <f>VLOOKUP(Auto_Sales_data___Copy[[#This Row],[CUSTOMER_NAME]],$AF$2:$AH$90,2,FALSE)</f>
        <v>20</v>
      </c>
      <c r="V999">
        <f>VLOOKUP(Auto_Sales_data___Copy[[#This Row],[CUSTOMER_NAME]],$AF$2:$AH$90,3,FALSE)</f>
        <v>70488.439999999988</v>
      </c>
      <c r="W999" s="2">
        <f>6-MATCH(Auto_Sales_data___Copy[[#This Row],[DAYS_SINCE_LAST_ORDER]],Table2[R-Cutoff],1)</f>
        <v>4</v>
      </c>
      <c r="X999" s="2">
        <f>MATCH(Auto_Sales_data___Copy[[#This Row],[Total_Orders_Per_Customer]],Table2[F-Cutoff],1)</f>
        <v>2</v>
      </c>
      <c r="Y999" s="2">
        <f>MATCH(Auto_Sales_data___Copy[[#This Row],[Total_Sales_Per_Customer]],Table2[M-Cutoff],1)</f>
        <v>2</v>
      </c>
      <c r="Z999" s="2" t="str">
        <f>Auto_Sales_data___Copy[[#This Row],[R-Score(1-5)]]&amp;Auto_Sales_data___Copy[[#This Row],[F-Score(1-5)]]&amp;Auto_Sales_data___Copy[[#This Row],[M-Score(1-5)]]</f>
        <v>422</v>
      </c>
      <c r="AA999" s="2" t="str" cm="1">
        <f t="array" ref="AA9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9" s="2" t="str">
        <f>VLOOKUP(Auto_Sales_data___Copy[[#This Row],[Segment Name]],Table3[],2,FALSE)</f>
        <v>Brand Awareness &amp; Value Proposition</v>
      </c>
    </row>
    <row r="1000" spans="1:28" x14ac:dyDescent="0.25">
      <c r="A1000">
        <v>10163</v>
      </c>
      <c r="B1000">
        <v>31</v>
      </c>
      <c r="C1000">
        <v>107.39</v>
      </c>
      <c r="D1000">
        <v>2</v>
      </c>
      <c r="E1000">
        <v>3329.09</v>
      </c>
      <c r="F1000" s="1">
        <v>43393</v>
      </c>
      <c r="G1000" s="2" t="s">
        <v>19</v>
      </c>
      <c r="H1000" s="2" t="s">
        <v>589</v>
      </c>
      <c r="I1000">
        <v>101</v>
      </c>
      <c r="J1000" s="2" t="s">
        <v>640</v>
      </c>
      <c r="K1000" s="2" t="s">
        <v>206</v>
      </c>
      <c r="L1000" s="2" t="s">
        <v>207</v>
      </c>
      <c r="M1000" s="2" t="s">
        <v>208</v>
      </c>
      <c r="N1000" s="2" t="s">
        <v>25</v>
      </c>
      <c r="O1000" s="2" t="s">
        <v>26</v>
      </c>
      <c r="P1000" s="2" t="s">
        <v>27</v>
      </c>
      <c r="Q1000" s="2" t="s">
        <v>120</v>
      </c>
      <c r="R1000" s="2" t="s">
        <v>209</v>
      </c>
      <c r="S1000" s="2" t="s">
        <v>46</v>
      </c>
      <c r="T1000">
        <v>1442</v>
      </c>
      <c r="U1000">
        <f>VLOOKUP(Auto_Sales_data___Copy[[#This Row],[CUSTOMER_NAME]],$AF$2:$AH$90,2,FALSE)</f>
        <v>20</v>
      </c>
      <c r="V1000">
        <f>VLOOKUP(Auto_Sales_data___Copy[[#This Row],[CUSTOMER_NAME]],$AF$2:$AH$90,3,FALSE)</f>
        <v>77795.200000000012</v>
      </c>
      <c r="W1000" s="2">
        <f>6-MATCH(Auto_Sales_data___Copy[[#This Row],[DAYS_SINCE_LAST_ORDER]],Table2[R-Cutoff],1)</f>
        <v>4</v>
      </c>
      <c r="X1000" s="2">
        <f>MATCH(Auto_Sales_data___Copy[[#This Row],[Total_Orders_Per_Customer]],Table2[F-Cutoff],1)</f>
        <v>2</v>
      </c>
      <c r="Y1000" s="2">
        <f>MATCH(Auto_Sales_data___Copy[[#This Row],[Total_Sales_Per_Customer]],Table2[M-Cutoff],1)</f>
        <v>2</v>
      </c>
      <c r="Z1000" s="2" t="str">
        <f>Auto_Sales_data___Copy[[#This Row],[R-Score(1-5)]]&amp;Auto_Sales_data___Copy[[#This Row],[F-Score(1-5)]]&amp;Auto_Sales_data___Copy[[#This Row],[M-Score(1-5)]]</f>
        <v>422</v>
      </c>
      <c r="AA1000" s="2" t="str" cm="1">
        <f t="array" ref="AA10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0" s="2" t="str">
        <f>VLOOKUP(Auto_Sales_data___Copy[[#This Row],[Segment Name]],Table3[],2,FALSE)</f>
        <v>Brand Awareness &amp; Value Proposition</v>
      </c>
    </row>
    <row r="1001" spans="1:28" x14ac:dyDescent="0.25">
      <c r="A1001">
        <v>10163</v>
      </c>
      <c r="B1001">
        <v>48</v>
      </c>
      <c r="C1001">
        <v>69.959999999999994</v>
      </c>
      <c r="D1001">
        <v>4</v>
      </c>
      <c r="E1001">
        <v>3358.08</v>
      </c>
      <c r="F1001" s="1">
        <v>43393</v>
      </c>
      <c r="G1001" s="2" t="s">
        <v>19</v>
      </c>
      <c r="H1001" s="2" t="s">
        <v>589</v>
      </c>
      <c r="I1001">
        <v>62</v>
      </c>
      <c r="J1001" s="2" t="s">
        <v>641</v>
      </c>
      <c r="K1001" s="2" t="s">
        <v>206</v>
      </c>
      <c r="L1001" s="2" t="s">
        <v>207</v>
      </c>
      <c r="M1001" s="2" t="s">
        <v>208</v>
      </c>
      <c r="N1001" s="2" t="s">
        <v>25</v>
      </c>
      <c r="O1001" s="2" t="s">
        <v>26</v>
      </c>
      <c r="P1001" s="2" t="s">
        <v>27</v>
      </c>
      <c r="Q1001" s="2" t="s">
        <v>120</v>
      </c>
      <c r="R1001" s="2" t="s">
        <v>209</v>
      </c>
      <c r="S1001" s="2" t="s">
        <v>46</v>
      </c>
      <c r="T1001">
        <v>1466</v>
      </c>
      <c r="U1001">
        <f>VLOOKUP(Auto_Sales_data___Copy[[#This Row],[CUSTOMER_NAME]],$AF$2:$AH$90,2,FALSE)</f>
        <v>20</v>
      </c>
      <c r="V1001">
        <f>VLOOKUP(Auto_Sales_data___Copy[[#This Row],[CUSTOMER_NAME]],$AF$2:$AH$90,3,FALSE)</f>
        <v>77795.200000000012</v>
      </c>
      <c r="W1001" s="2">
        <f>6-MATCH(Auto_Sales_data___Copy[[#This Row],[DAYS_SINCE_LAST_ORDER]],Table2[R-Cutoff],1)</f>
        <v>4</v>
      </c>
      <c r="X1001" s="2">
        <f>MATCH(Auto_Sales_data___Copy[[#This Row],[Total_Orders_Per_Customer]],Table2[F-Cutoff],1)</f>
        <v>2</v>
      </c>
      <c r="Y1001" s="2">
        <f>MATCH(Auto_Sales_data___Copy[[#This Row],[Total_Sales_Per_Customer]],Table2[M-Cutoff],1)</f>
        <v>2</v>
      </c>
      <c r="Z1001" s="2" t="str">
        <f>Auto_Sales_data___Copy[[#This Row],[R-Score(1-5)]]&amp;Auto_Sales_data___Copy[[#This Row],[F-Score(1-5)]]&amp;Auto_Sales_data___Copy[[#This Row],[M-Score(1-5)]]</f>
        <v>422</v>
      </c>
      <c r="AA1001" s="2" t="str" cm="1">
        <f t="array" ref="AA10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1" s="2" t="str">
        <f>VLOOKUP(Auto_Sales_data___Copy[[#This Row],[Segment Name]],Table3[],2,FALSE)</f>
        <v>Brand Awareness &amp; Value Proposition</v>
      </c>
    </row>
    <row r="1002" spans="1:28" x14ac:dyDescent="0.25">
      <c r="A1002">
        <v>10171</v>
      </c>
      <c r="B1002">
        <v>35</v>
      </c>
      <c r="C1002">
        <v>128.80000000000001</v>
      </c>
      <c r="D1002">
        <v>2</v>
      </c>
      <c r="E1002">
        <v>4508</v>
      </c>
      <c r="F1002" s="1">
        <v>43409</v>
      </c>
      <c r="G1002" s="2" t="s">
        <v>19</v>
      </c>
      <c r="H1002" s="2" t="s">
        <v>183</v>
      </c>
      <c r="I1002">
        <v>141</v>
      </c>
      <c r="J1002" s="2" t="s">
        <v>576</v>
      </c>
      <c r="K1002" s="2" t="s">
        <v>307</v>
      </c>
      <c r="L1002" s="2" t="s">
        <v>308</v>
      </c>
      <c r="M1002" s="2" t="s">
        <v>309</v>
      </c>
      <c r="N1002" s="2" t="s">
        <v>310</v>
      </c>
      <c r="O1002" s="2" t="s">
        <v>311</v>
      </c>
      <c r="P1002" s="2" t="s">
        <v>236</v>
      </c>
      <c r="Q1002" s="2" t="s">
        <v>312</v>
      </c>
      <c r="R1002" s="2" t="s">
        <v>313</v>
      </c>
      <c r="S1002" s="2" t="s">
        <v>46</v>
      </c>
      <c r="T1002">
        <v>1006</v>
      </c>
      <c r="U1002">
        <f>VLOOKUP(Auto_Sales_data___Copy[[#This Row],[CUSTOMER_NAME]],$AF$2:$AH$90,2,FALSE)</f>
        <v>22</v>
      </c>
      <c r="V1002">
        <f>VLOOKUP(Auto_Sales_data___Copy[[#This Row],[CUSTOMER_NAME]],$AF$2:$AH$90,3,FALSE)</f>
        <v>74204.790000000008</v>
      </c>
      <c r="W1002" s="2">
        <f>6-MATCH(Auto_Sales_data___Copy[[#This Row],[DAYS_SINCE_LAST_ORDER]],Table2[R-Cutoff],1)</f>
        <v>4</v>
      </c>
      <c r="X1002" s="2">
        <f>MATCH(Auto_Sales_data___Copy[[#This Row],[Total_Orders_Per_Customer]],Table2[F-Cutoff],1)</f>
        <v>2</v>
      </c>
      <c r="Y1002" s="2">
        <f>MATCH(Auto_Sales_data___Copy[[#This Row],[Total_Sales_Per_Customer]],Table2[M-Cutoff],1)</f>
        <v>2</v>
      </c>
      <c r="Z1002" s="2" t="str">
        <f>Auto_Sales_data___Copy[[#This Row],[R-Score(1-5)]]&amp;Auto_Sales_data___Copy[[#This Row],[F-Score(1-5)]]&amp;Auto_Sales_data___Copy[[#This Row],[M-Score(1-5)]]</f>
        <v>422</v>
      </c>
      <c r="AA1002" s="2" t="str" cm="1">
        <f t="array" ref="AA10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2" s="2" t="str">
        <f>VLOOKUP(Auto_Sales_data___Copy[[#This Row],[Segment Name]],Table3[],2,FALSE)</f>
        <v>Brand Awareness &amp; Value Proposition</v>
      </c>
    </row>
    <row r="1003" spans="1:28" x14ac:dyDescent="0.25">
      <c r="A1003">
        <v>10171</v>
      </c>
      <c r="B1003">
        <v>35</v>
      </c>
      <c r="C1003">
        <v>133.72</v>
      </c>
      <c r="D1003">
        <v>1</v>
      </c>
      <c r="E1003">
        <v>4680.2</v>
      </c>
      <c r="F1003" s="1">
        <v>43409</v>
      </c>
      <c r="G1003" s="2" t="s">
        <v>19</v>
      </c>
      <c r="H1003" s="2" t="s">
        <v>183</v>
      </c>
      <c r="I1003">
        <v>142</v>
      </c>
      <c r="J1003" s="2" t="s">
        <v>630</v>
      </c>
      <c r="K1003" s="2" t="s">
        <v>307</v>
      </c>
      <c r="L1003" s="2" t="s">
        <v>308</v>
      </c>
      <c r="M1003" s="2" t="s">
        <v>309</v>
      </c>
      <c r="N1003" s="2" t="s">
        <v>310</v>
      </c>
      <c r="O1003" s="2" t="s">
        <v>311</v>
      </c>
      <c r="P1003" s="2" t="s">
        <v>236</v>
      </c>
      <c r="Q1003" s="2" t="s">
        <v>312</v>
      </c>
      <c r="R1003" s="2" t="s">
        <v>313</v>
      </c>
      <c r="S1003" s="2" t="s">
        <v>46</v>
      </c>
      <c r="T1003">
        <v>1177</v>
      </c>
      <c r="U1003">
        <f>VLOOKUP(Auto_Sales_data___Copy[[#This Row],[CUSTOMER_NAME]],$AF$2:$AH$90,2,FALSE)</f>
        <v>22</v>
      </c>
      <c r="V1003">
        <f>VLOOKUP(Auto_Sales_data___Copy[[#This Row],[CUSTOMER_NAME]],$AF$2:$AH$90,3,FALSE)</f>
        <v>74204.790000000008</v>
      </c>
      <c r="W1003" s="2">
        <f>6-MATCH(Auto_Sales_data___Copy[[#This Row],[DAYS_SINCE_LAST_ORDER]],Table2[R-Cutoff],1)</f>
        <v>4</v>
      </c>
      <c r="X1003" s="2">
        <f>MATCH(Auto_Sales_data___Copy[[#This Row],[Total_Orders_Per_Customer]],Table2[F-Cutoff],1)</f>
        <v>2</v>
      </c>
      <c r="Y1003" s="2">
        <f>MATCH(Auto_Sales_data___Copy[[#This Row],[Total_Sales_Per_Customer]],Table2[M-Cutoff],1)</f>
        <v>2</v>
      </c>
      <c r="Z1003" s="2" t="str">
        <f>Auto_Sales_data___Copy[[#This Row],[R-Score(1-5)]]&amp;Auto_Sales_data___Copy[[#This Row],[F-Score(1-5)]]&amp;Auto_Sales_data___Copy[[#This Row],[M-Score(1-5)]]</f>
        <v>422</v>
      </c>
      <c r="AA1003" s="2" t="str" cm="1">
        <f t="array" ref="AA10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3" s="2" t="str">
        <f>VLOOKUP(Auto_Sales_data___Copy[[#This Row],[Segment Name]],Table3[],2,FALSE)</f>
        <v>Brand Awareness &amp; Value Proposition</v>
      </c>
    </row>
    <row r="1004" spans="1:28" x14ac:dyDescent="0.25">
      <c r="A1004">
        <v>10178</v>
      </c>
      <c r="B1004">
        <v>42</v>
      </c>
      <c r="C1004">
        <v>154.54</v>
      </c>
      <c r="D1004">
        <v>4</v>
      </c>
      <c r="E1004">
        <v>6490.68</v>
      </c>
      <c r="F1004" s="1">
        <v>43412</v>
      </c>
      <c r="G1004" s="2" t="s">
        <v>19</v>
      </c>
      <c r="H1004" s="2" t="s">
        <v>607</v>
      </c>
      <c r="I1004">
        <v>157</v>
      </c>
      <c r="J1004" s="2" t="s">
        <v>608</v>
      </c>
      <c r="K1004" s="2" t="s">
        <v>359</v>
      </c>
      <c r="L1004" s="2" t="s">
        <v>360</v>
      </c>
      <c r="M1004" s="2" t="s">
        <v>361</v>
      </c>
      <c r="N1004" s="2" t="s">
        <v>362</v>
      </c>
      <c r="O1004" s="2" t="s">
        <v>363</v>
      </c>
      <c r="P1004" s="2" t="s">
        <v>36</v>
      </c>
      <c r="Q1004" s="2" t="s">
        <v>364</v>
      </c>
      <c r="R1004" s="2" t="s">
        <v>365</v>
      </c>
      <c r="S1004" s="2" t="s">
        <v>46</v>
      </c>
      <c r="T1004">
        <v>1103</v>
      </c>
      <c r="U1004">
        <f>VLOOKUP(Auto_Sales_data___Copy[[#This Row],[CUSTOMER_NAME]],$AF$2:$AH$90,2,FALSE)</f>
        <v>20</v>
      </c>
      <c r="V1004">
        <f>VLOOKUP(Auto_Sales_data___Copy[[#This Row],[CUSTOMER_NAME]],$AF$2:$AH$90,3,FALSE)</f>
        <v>70488.439999999988</v>
      </c>
      <c r="W1004" s="2">
        <f>6-MATCH(Auto_Sales_data___Copy[[#This Row],[DAYS_SINCE_LAST_ORDER]],Table2[R-Cutoff],1)</f>
        <v>4</v>
      </c>
      <c r="X1004" s="2">
        <f>MATCH(Auto_Sales_data___Copy[[#This Row],[Total_Orders_Per_Customer]],Table2[F-Cutoff],1)</f>
        <v>2</v>
      </c>
      <c r="Y1004" s="2">
        <f>MATCH(Auto_Sales_data___Copy[[#This Row],[Total_Sales_Per_Customer]],Table2[M-Cutoff],1)</f>
        <v>2</v>
      </c>
      <c r="Z1004" s="2" t="str">
        <f>Auto_Sales_data___Copy[[#This Row],[R-Score(1-5)]]&amp;Auto_Sales_data___Copy[[#This Row],[F-Score(1-5)]]&amp;Auto_Sales_data___Copy[[#This Row],[M-Score(1-5)]]</f>
        <v>422</v>
      </c>
      <c r="AA1004" s="2" t="str" cm="1">
        <f t="array" ref="AA10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4" s="2" t="str">
        <f>VLOOKUP(Auto_Sales_data___Copy[[#This Row],[Segment Name]],Table3[],2,FALSE)</f>
        <v>Brand Awareness &amp; Value Proposition</v>
      </c>
    </row>
    <row r="1005" spans="1:28" x14ac:dyDescent="0.25">
      <c r="A1005">
        <v>10178</v>
      </c>
      <c r="B1005">
        <v>41</v>
      </c>
      <c r="C1005">
        <v>81.72</v>
      </c>
      <c r="D1005">
        <v>10</v>
      </c>
      <c r="E1005">
        <v>3350.52</v>
      </c>
      <c r="F1005" s="1">
        <v>43412</v>
      </c>
      <c r="G1005" s="2" t="s">
        <v>19</v>
      </c>
      <c r="H1005" s="2" t="s">
        <v>642</v>
      </c>
      <c r="I1005">
        <v>86</v>
      </c>
      <c r="J1005" s="2" t="s">
        <v>643</v>
      </c>
      <c r="K1005" s="2" t="s">
        <v>359</v>
      </c>
      <c r="L1005" s="2" t="s">
        <v>360</v>
      </c>
      <c r="M1005" s="2" t="s">
        <v>361</v>
      </c>
      <c r="N1005" s="2" t="s">
        <v>362</v>
      </c>
      <c r="O1005" s="2" t="s">
        <v>363</v>
      </c>
      <c r="P1005" s="2" t="s">
        <v>36</v>
      </c>
      <c r="Q1005" s="2" t="s">
        <v>364</v>
      </c>
      <c r="R1005" s="2" t="s">
        <v>365</v>
      </c>
      <c r="S1005" s="2" t="s">
        <v>46</v>
      </c>
      <c r="T1005">
        <v>1474</v>
      </c>
      <c r="U1005">
        <f>VLOOKUP(Auto_Sales_data___Copy[[#This Row],[CUSTOMER_NAME]],$AF$2:$AH$90,2,FALSE)</f>
        <v>20</v>
      </c>
      <c r="V1005">
        <f>VLOOKUP(Auto_Sales_data___Copy[[#This Row],[CUSTOMER_NAME]],$AF$2:$AH$90,3,FALSE)</f>
        <v>70488.439999999988</v>
      </c>
      <c r="W1005" s="2">
        <f>6-MATCH(Auto_Sales_data___Copy[[#This Row],[DAYS_SINCE_LAST_ORDER]],Table2[R-Cutoff],1)</f>
        <v>4</v>
      </c>
      <c r="X1005" s="2">
        <f>MATCH(Auto_Sales_data___Copy[[#This Row],[Total_Orders_Per_Customer]],Table2[F-Cutoff],1)</f>
        <v>2</v>
      </c>
      <c r="Y1005" s="2">
        <f>MATCH(Auto_Sales_data___Copy[[#This Row],[Total_Sales_Per_Customer]],Table2[M-Cutoff],1)</f>
        <v>2</v>
      </c>
      <c r="Z1005" s="2" t="str">
        <f>Auto_Sales_data___Copy[[#This Row],[R-Score(1-5)]]&amp;Auto_Sales_data___Copy[[#This Row],[F-Score(1-5)]]&amp;Auto_Sales_data___Copy[[#This Row],[M-Score(1-5)]]</f>
        <v>422</v>
      </c>
      <c r="AA1005" s="2" t="str" cm="1">
        <f t="array" ref="AA10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5" s="2" t="str">
        <f>VLOOKUP(Auto_Sales_data___Copy[[#This Row],[Segment Name]],Table3[],2,FALSE)</f>
        <v>Brand Awareness &amp; Value Proposition</v>
      </c>
    </row>
    <row r="1006" spans="1:28" x14ac:dyDescent="0.25">
      <c r="A1006">
        <v>10180</v>
      </c>
      <c r="B1006">
        <v>25</v>
      </c>
      <c r="C1006">
        <v>64.2</v>
      </c>
      <c r="D1006">
        <v>13</v>
      </c>
      <c r="E1006">
        <v>1605</v>
      </c>
      <c r="F1006" s="1">
        <v>43415</v>
      </c>
      <c r="G1006" s="2" t="s">
        <v>19</v>
      </c>
      <c r="H1006" s="2" t="s">
        <v>20</v>
      </c>
      <c r="I1006">
        <v>60</v>
      </c>
      <c r="J1006" s="2" t="s">
        <v>637</v>
      </c>
      <c r="K1006" s="2" t="s">
        <v>61</v>
      </c>
      <c r="L1006" s="2" t="s">
        <v>62</v>
      </c>
      <c r="M1006" s="2" t="s">
        <v>63</v>
      </c>
      <c r="N1006" s="2" t="s">
        <v>64</v>
      </c>
      <c r="O1006" s="2" t="s">
        <v>65</v>
      </c>
      <c r="P1006" s="2" t="s">
        <v>36</v>
      </c>
      <c r="Q1006" s="2" t="s">
        <v>66</v>
      </c>
      <c r="R1006" s="2" t="s">
        <v>67</v>
      </c>
      <c r="S1006" s="2" t="s">
        <v>30</v>
      </c>
      <c r="T1006">
        <v>1346</v>
      </c>
      <c r="U1006">
        <f>VLOOKUP(Auto_Sales_data___Copy[[#This Row],[CUSTOMER_NAME]],$AF$2:$AH$90,2,FALSE)</f>
        <v>20</v>
      </c>
      <c r="V1006">
        <f>VLOOKUP(Auto_Sales_data___Copy[[#This Row],[CUSTOMER_NAME]],$AF$2:$AH$90,3,FALSE)</f>
        <v>69052.41</v>
      </c>
      <c r="W1006" s="2">
        <f>6-MATCH(Auto_Sales_data___Copy[[#This Row],[DAYS_SINCE_LAST_ORDER]],Table2[R-Cutoff],1)</f>
        <v>4</v>
      </c>
      <c r="X1006" s="2">
        <f>MATCH(Auto_Sales_data___Copy[[#This Row],[Total_Orders_Per_Customer]],Table2[F-Cutoff],1)</f>
        <v>2</v>
      </c>
      <c r="Y1006" s="2">
        <f>MATCH(Auto_Sales_data___Copy[[#This Row],[Total_Sales_Per_Customer]],Table2[M-Cutoff],1)</f>
        <v>2</v>
      </c>
      <c r="Z1006" s="2" t="str">
        <f>Auto_Sales_data___Copy[[#This Row],[R-Score(1-5)]]&amp;Auto_Sales_data___Copy[[#This Row],[F-Score(1-5)]]&amp;Auto_Sales_data___Copy[[#This Row],[M-Score(1-5)]]</f>
        <v>422</v>
      </c>
      <c r="AA1006" s="2" t="str" cm="1">
        <f t="array" ref="AA10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6" s="2" t="str">
        <f>VLOOKUP(Auto_Sales_data___Copy[[#This Row],[Segment Name]],Table3[],2,FALSE)</f>
        <v>Brand Awareness &amp; Value Proposition</v>
      </c>
    </row>
    <row r="1007" spans="1:28" x14ac:dyDescent="0.25">
      <c r="A1007">
        <v>10183</v>
      </c>
      <c r="B1007">
        <v>21</v>
      </c>
      <c r="C1007">
        <v>96.84</v>
      </c>
      <c r="D1007">
        <v>7</v>
      </c>
      <c r="E1007">
        <v>2033.64</v>
      </c>
      <c r="F1007" s="1">
        <v>43417</v>
      </c>
      <c r="G1007" s="2" t="s">
        <v>19</v>
      </c>
      <c r="H1007" s="2" t="s">
        <v>537</v>
      </c>
      <c r="I1007">
        <v>116</v>
      </c>
      <c r="J1007" s="2" t="s">
        <v>575</v>
      </c>
      <c r="K1007" s="2" t="s">
        <v>217</v>
      </c>
      <c r="L1007" s="2" t="s">
        <v>218</v>
      </c>
      <c r="M1007" s="2" t="s">
        <v>219</v>
      </c>
      <c r="N1007" s="2" t="s">
        <v>220</v>
      </c>
      <c r="O1007" s="2" t="s">
        <v>221</v>
      </c>
      <c r="P1007" s="2" t="s">
        <v>27</v>
      </c>
      <c r="Q1007" s="2" t="s">
        <v>222</v>
      </c>
      <c r="R1007" s="2" t="s">
        <v>223</v>
      </c>
      <c r="S1007" s="2" t="s">
        <v>30</v>
      </c>
      <c r="T1007">
        <v>974</v>
      </c>
      <c r="U1007">
        <f>VLOOKUP(Auto_Sales_data___Copy[[#This Row],[CUSTOMER_NAME]],$AF$2:$AH$90,2,FALSE)</f>
        <v>21</v>
      </c>
      <c r="V1007">
        <f>VLOOKUP(Auto_Sales_data___Copy[[#This Row],[CUSTOMER_NAME]],$AF$2:$AH$90,3,FALSE)</f>
        <v>67506.969999999987</v>
      </c>
      <c r="W1007" s="2">
        <f>6-MATCH(Auto_Sales_data___Copy[[#This Row],[DAYS_SINCE_LAST_ORDER]],Table2[R-Cutoff],1)</f>
        <v>4</v>
      </c>
      <c r="X1007" s="2">
        <f>MATCH(Auto_Sales_data___Copy[[#This Row],[Total_Orders_Per_Customer]],Table2[F-Cutoff],1)</f>
        <v>2</v>
      </c>
      <c r="Y1007" s="2">
        <f>MATCH(Auto_Sales_data___Copy[[#This Row],[Total_Sales_Per_Customer]],Table2[M-Cutoff],1)</f>
        <v>2</v>
      </c>
      <c r="Z1007" s="2" t="str">
        <f>Auto_Sales_data___Copy[[#This Row],[R-Score(1-5)]]&amp;Auto_Sales_data___Copy[[#This Row],[F-Score(1-5)]]&amp;Auto_Sales_data___Copy[[#This Row],[M-Score(1-5)]]</f>
        <v>422</v>
      </c>
      <c r="AA1007" s="2" t="str" cm="1">
        <f t="array" ref="AA10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7" s="2" t="str">
        <f>VLOOKUP(Auto_Sales_data___Copy[[#This Row],[Segment Name]],Table3[],2,FALSE)</f>
        <v>Brand Awareness &amp; Value Proposition</v>
      </c>
    </row>
    <row r="1008" spans="1:28" x14ac:dyDescent="0.25">
      <c r="A1008">
        <v>10183</v>
      </c>
      <c r="B1008">
        <v>37</v>
      </c>
      <c r="C1008">
        <v>89.15</v>
      </c>
      <c r="D1008">
        <v>9</v>
      </c>
      <c r="E1008">
        <v>3298.55</v>
      </c>
      <c r="F1008" s="1">
        <v>43417</v>
      </c>
      <c r="G1008" s="2" t="s">
        <v>19</v>
      </c>
      <c r="H1008" s="2" t="s">
        <v>589</v>
      </c>
      <c r="I1008">
        <v>101</v>
      </c>
      <c r="J1008" s="2" t="s">
        <v>640</v>
      </c>
      <c r="K1008" s="2" t="s">
        <v>217</v>
      </c>
      <c r="L1008" s="2" t="s">
        <v>218</v>
      </c>
      <c r="M1008" s="2" t="s">
        <v>219</v>
      </c>
      <c r="N1008" s="2" t="s">
        <v>220</v>
      </c>
      <c r="O1008" s="2" t="s">
        <v>221</v>
      </c>
      <c r="P1008" s="2" t="s">
        <v>27</v>
      </c>
      <c r="Q1008" s="2" t="s">
        <v>222</v>
      </c>
      <c r="R1008" s="2" t="s">
        <v>223</v>
      </c>
      <c r="S1008" s="2" t="s">
        <v>46</v>
      </c>
      <c r="T1008">
        <v>1420</v>
      </c>
      <c r="U1008">
        <f>VLOOKUP(Auto_Sales_data___Copy[[#This Row],[CUSTOMER_NAME]],$AF$2:$AH$90,2,FALSE)</f>
        <v>21</v>
      </c>
      <c r="V1008">
        <f>VLOOKUP(Auto_Sales_data___Copy[[#This Row],[CUSTOMER_NAME]],$AF$2:$AH$90,3,FALSE)</f>
        <v>67506.969999999987</v>
      </c>
      <c r="W1008" s="2">
        <f>6-MATCH(Auto_Sales_data___Copy[[#This Row],[DAYS_SINCE_LAST_ORDER]],Table2[R-Cutoff],1)</f>
        <v>4</v>
      </c>
      <c r="X1008" s="2">
        <f>MATCH(Auto_Sales_data___Copy[[#This Row],[Total_Orders_Per_Customer]],Table2[F-Cutoff],1)</f>
        <v>2</v>
      </c>
      <c r="Y1008" s="2">
        <f>MATCH(Auto_Sales_data___Copy[[#This Row],[Total_Sales_Per_Customer]],Table2[M-Cutoff],1)</f>
        <v>2</v>
      </c>
      <c r="Z1008" s="2" t="str">
        <f>Auto_Sales_data___Copy[[#This Row],[R-Score(1-5)]]&amp;Auto_Sales_data___Copy[[#This Row],[F-Score(1-5)]]&amp;Auto_Sales_data___Copy[[#This Row],[M-Score(1-5)]]</f>
        <v>422</v>
      </c>
      <c r="AA1008" s="2" t="str" cm="1">
        <f t="array" ref="AA10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8" s="2" t="str">
        <f>VLOOKUP(Auto_Sales_data___Copy[[#This Row],[Segment Name]],Table3[],2,FALSE)</f>
        <v>Brand Awareness &amp; Value Proposition</v>
      </c>
    </row>
    <row r="1009" spans="1:28" x14ac:dyDescent="0.25">
      <c r="A1009">
        <v>10183</v>
      </c>
      <c r="B1009">
        <v>39</v>
      </c>
      <c r="C1009">
        <v>68.08</v>
      </c>
      <c r="D1009">
        <v>11</v>
      </c>
      <c r="E1009">
        <v>2655.12</v>
      </c>
      <c r="F1009" s="1">
        <v>43417</v>
      </c>
      <c r="G1009" s="2" t="s">
        <v>19</v>
      </c>
      <c r="H1009" s="2" t="s">
        <v>589</v>
      </c>
      <c r="I1009">
        <v>62</v>
      </c>
      <c r="J1009" s="2" t="s">
        <v>641</v>
      </c>
      <c r="K1009" s="2" t="s">
        <v>217</v>
      </c>
      <c r="L1009" s="2" t="s">
        <v>218</v>
      </c>
      <c r="M1009" s="2" t="s">
        <v>219</v>
      </c>
      <c r="N1009" s="2" t="s">
        <v>220</v>
      </c>
      <c r="O1009" s="2" t="s">
        <v>221</v>
      </c>
      <c r="P1009" s="2" t="s">
        <v>27</v>
      </c>
      <c r="Q1009" s="2" t="s">
        <v>222</v>
      </c>
      <c r="R1009" s="2" t="s">
        <v>223</v>
      </c>
      <c r="S1009" s="2" t="s">
        <v>30</v>
      </c>
      <c r="T1009">
        <v>1444</v>
      </c>
      <c r="U1009">
        <f>VLOOKUP(Auto_Sales_data___Copy[[#This Row],[CUSTOMER_NAME]],$AF$2:$AH$90,2,FALSE)</f>
        <v>21</v>
      </c>
      <c r="V1009">
        <f>VLOOKUP(Auto_Sales_data___Copy[[#This Row],[CUSTOMER_NAME]],$AF$2:$AH$90,3,FALSE)</f>
        <v>67506.969999999987</v>
      </c>
      <c r="W1009" s="2">
        <f>6-MATCH(Auto_Sales_data___Copy[[#This Row],[DAYS_SINCE_LAST_ORDER]],Table2[R-Cutoff],1)</f>
        <v>4</v>
      </c>
      <c r="X1009" s="2">
        <f>MATCH(Auto_Sales_data___Copy[[#This Row],[Total_Orders_Per_Customer]],Table2[F-Cutoff],1)</f>
        <v>2</v>
      </c>
      <c r="Y1009" s="2">
        <f>MATCH(Auto_Sales_data___Copy[[#This Row],[Total_Sales_Per_Customer]],Table2[M-Cutoff],1)</f>
        <v>2</v>
      </c>
      <c r="Z1009" s="2" t="str">
        <f>Auto_Sales_data___Copy[[#This Row],[R-Score(1-5)]]&amp;Auto_Sales_data___Copy[[#This Row],[F-Score(1-5)]]&amp;Auto_Sales_data___Copy[[#This Row],[M-Score(1-5)]]</f>
        <v>422</v>
      </c>
      <c r="AA1009" s="2" t="str" cm="1">
        <f t="array" ref="AA10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9" s="2" t="str">
        <f>VLOOKUP(Auto_Sales_data___Copy[[#This Row],[Segment Name]],Table3[],2,FALSE)</f>
        <v>Brand Awareness &amp; Value Proposition</v>
      </c>
    </row>
    <row r="1010" spans="1:28" x14ac:dyDescent="0.25">
      <c r="A1010">
        <v>10197</v>
      </c>
      <c r="B1010">
        <v>46</v>
      </c>
      <c r="C1010">
        <v>87.74</v>
      </c>
      <c r="D1010">
        <v>4</v>
      </c>
      <c r="E1010">
        <v>4036.04</v>
      </c>
      <c r="F1010" s="1">
        <v>43430</v>
      </c>
      <c r="G1010" s="2" t="s">
        <v>19</v>
      </c>
      <c r="H1010" s="2" t="s">
        <v>642</v>
      </c>
      <c r="I1010">
        <v>86</v>
      </c>
      <c r="J1010" s="2" t="s">
        <v>643</v>
      </c>
      <c r="K1010" s="2" t="s">
        <v>372</v>
      </c>
      <c r="L1010" s="2" t="s">
        <v>373</v>
      </c>
      <c r="M1010" s="2" t="s">
        <v>374</v>
      </c>
      <c r="N1010" s="2" t="s">
        <v>375</v>
      </c>
      <c r="O1010" s="2" t="s">
        <v>376</v>
      </c>
      <c r="P1010" s="2" t="s">
        <v>180</v>
      </c>
      <c r="Q1010" s="2" t="s">
        <v>377</v>
      </c>
      <c r="R1010" s="2" t="s">
        <v>378</v>
      </c>
      <c r="S1010" s="2" t="s">
        <v>46</v>
      </c>
      <c r="T1010">
        <v>1458</v>
      </c>
      <c r="U1010">
        <f>VLOOKUP(Auto_Sales_data___Copy[[#This Row],[CUSTOMER_NAME]],$AF$2:$AH$90,2,FALSE)</f>
        <v>23</v>
      </c>
      <c r="V1010">
        <f>VLOOKUP(Auto_Sales_data___Copy[[#This Row],[CUSTOMER_NAME]],$AF$2:$AH$90,3,FALSE)</f>
        <v>78411.86</v>
      </c>
      <c r="W1010" s="2">
        <f>6-MATCH(Auto_Sales_data___Copy[[#This Row],[DAYS_SINCE_LAST_ORDER]],Table2[R-Cutoff],1)</f>
        <v>4</v>
      </c>
      <c r="X1010" s="2">
        <f>MATCH(Auto_Sales_data___Copy[[#This Row],[Total_Orders_Per_Customer]],Table2[F-Cutoff],1)</f>
        <v>2</v>
      </c>
      <c r="Y1010" s="2">
        <f>MATCH(Auto_Sales_data___Copy[[#This Row],[Total_Sales_Per_Customer]],Table2[M-Cutoff],1)</f>
        <v>2</v>
      </c>
      <c r="Z1010" s="2" t="str">
        <f>Auto_Sales_data___Copy[[#This Row],[R-Score(1-5)]]&amp;Auto_Sales_data___Copy[[#This Row],[F-Score(1-5)]]&amp;Auto_Sales_data___Copy[[#This Row],[M-Score(1-5)]]</f>
        <v>422</v>
      </c>
      <c r="AA1010" s="2" t="str" cm="1">
        <f t="array" ref="AA10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0" s="2" t="str">
        <f>VLOOKUP(Auto_Sales_data___Copy[[#This Row],[Segment Name]],Table3[],2,FALSE)</f>
        <v>Brand Awareness &amp; Value Proposition</v>
      </c>
    </row>
    <row r="1011" spans="1:28" x14ac:dyDescent="0.25">
      <c r="A1011">
        <v>10206</v>
      </c>
      <c r="B1011">
        <v>34</v>
      </c>
      <c r="C1011">
        <v>116.67</v>
      </c>
      <c r="D1011">
        <v>5</v>
      </c>
      <c r="E1011">
        <v>3966.78</v>
      </c>
      <c r="F1011" s="1">
        <v>43439</v>
      </c>
      <c r="G1011" s="2" t="s">
        <v>19</v>
      </c>
      <c r="H1011" s="2" t="s">
        <v>537</v>
      </c>
      <c r="I1011">
        <v>116</v>
      </c>
      <c r="J1011" s="2" t="s">
        <v>575</v>
      </c>
      <c r="K1011" s="2" t="s">
        <v>231</v>
      </c>
      <c r="L1011" s="2" t="s">
        <v>232</v>
      </c>
      <c r="M1011" s="2" t="s">
        <v>233</v>
      </c>
      <c r="N1011" s="2" t="s">
        <v>234</v>
      </c>
      <c r="O1011" s="2" t="s">
        <v>235</v>
      </c>
      <c r="P1011" s="2" t="s">
        <v>236</v>
      </c>
      <c r="Q1011" s="2" t="s">
        <v>237</v>
      </c>
      <c r="R1011" s="2" t="s">
        <v>238</v>
      </c>
      <c r="S1011" s="2" t="s">
        <v>46</v>
      </c>
      <c r="T1011">
        <v>954</v>
      </c>
      <c r="U1011">
        <f>VLOOKUP(Auto_Sales_data___Copy[[#This Row],[CUSTOMER_NAME]],$AF$2:$AH$90,2,FALSE)</f>
        <v>22</v>
      </c>
      <c r="V1011">
        <f>VLOOKUP(Auto_Sales_data___Copy[[#This Row],[CUSTOMER_NAME]],$AF$2:$AH$90,3,FALSE)</f>
        <v>75238.92</v>
      </c>
      <c r="W1011" s="2">
        <f>6-MATCH(Auto_Sales_data___Copy[[#This Row],[DAYS_SINCE_LAST_ORDER]],Table2[R-Cutoff],1)</f>
        <v>4</v>
      </c>
      <c r="X1011" s="2">
        <f>MATCH(Auto_Sales_data___Copy[[#This Row],[Total_Orders_Per_Customer]],Table2[F-Cutoff],1)</f>
        <v>2</v>
      </c>
      <c r="Y1011" s="2">
        <f>MATCH(Auto_Sales_data___Copy[[#This Row],[Total_Sales_Per_Customer]],Table2[M-Cutoff],1)</f>
        <v>2</v>
      </c>
      <c r="Z1011" s="2" t="str">
        <f>Auto_Sales_data___Copy[[#This Row],[R-Score(1-5)]]&amp;Auto_Sales_data___Copy[[#This Row],[F-Score(1-5)]]&amp;Auto_Sales_data___Copy[[#This Row],[M-Score(1-5)]]</f>
        <v>422</v>
      </c>
      <c r="AA1011" s="2" t="str" cm="1">
        <f t="array" ref="AA10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1" s="2" t="str">
        <f>VLOOKUP(Auto_Sales_data___Copy[[#This Row],[Segment Name]],Table3[],2,FALSE)</f>
        <v>Brand Awareness &amp; Value Proposition</v>
      </c>
    </row>
    <row r="1012" spans="1:28" x14ac:dyDescent="0.25">
      <c r="A1012">
        <v>10206</v>
      </c>
      <c r="B1012">
        <v>37</v>
      </c>
      <c r="C1012">
        <v>90.17</v>
      </c>
      <c r="D1012">
        <v>7</v>
      </c>
      <c r="E1012">
        <v>3336.29</v>
      </c>
      <c r="F1012" s="1">
        <v>43439</v>
      </c>
      <c r="G1012" s="2" t="s">
        <v>19</v>
      </c>
      <c r="H1012" s="2" t="s">
        <v>589</v>
      </c>
      <c r="I1012">
        <v>101</v>
      </c>
      <c r="J1012" s="2" t="s">
        <v>640</v>
      </c>
      <c r="K1012" s="2" t="s">
        <v>231</v>
      </c>
      <c r="L1012" s="2" t="s">
        <v>232</v>
      </c>
      <c r="M1012" s="2" t="s">
        <v>233</v>
      </c>
      <c r="N1012" s="2" t="s">
        <v>234</v>
      </c>
      <c r="O1012" s="2" t="s">
        <v>235</v>
      </c>
      <c r="P1012" s="2" t="s">
        <v>236</v>
      </c>
      <c r="Q1012" s="2" t="s">
        <v>237</v>
      </c>
      <c r="R1012" s="2" t="s">
        <v>238</v>
      </c>
      <c r="S1012" s="2" t="s">
        <v>46</v>
      </c>
      <c r="T1012">
        <v>1400</v>
      </c>
      <c r="U1012">
        <f>VLOOKUP(Auto_Sales_data___Copy[[#This Row],[CUSTOMER_NAME]],$AF$2:$AH$90,2,FALSE)</f>
        <v>22</v>
      </c>
      <c r="V1012">
        <f>VLOOKUP(Auto_Sales_data___Copy[[#This Row],[CUSTOMER_NAME]],$AF$2:$AH$90,3,FALSE)</f>
        <v>75238.92</v>
      </c>
      <c r="W1012" s="2">
        <f>6-MATCH(Auto_Sales_data___Copy[[#This Row],[DAYS_SINCE_LAST_ORDER]],Table2[R-Cutoff],1)</f>
        <v>4</v>
      </c>
      <c r="X1012" s="2">
        <f>MATCH(Auto_Sales_data___Copy[[#This Row],[Total_Orders_Per_Customer]],Table2[F-Cutoff],1)</f>
        <v>2</v>
      </c>
      <c r="Y1012" s="2">
        <f>MATCH(Auto_Sales_data___Copy[[#This Row],[Total_Sales_Per_Customer]],Table2[M-Cutoff],1)</f>
        <v>2</v>
      </c>
      <c r="Z1012" s="2" t="str">
        <f>Auto_Sales_data___Copy[[#This Row],[R-Score(1-5)]]&amp;Auto_Sales_data___Copy[[#This Row],[F-Score(1-5)]]&amp;Auto_Sales_data___Copy[[#This Row],[M-Score(1-5)]]</f>
        <v>422</v>
      </c>
      <c r="AA1012" s="2" t="str" cm="1">
        <f t="array" ref="AA10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2" s="2" t="str">
        <f>VLOOKUP(Auto_Sales_data___Copy[[#This Row],[Segment Name]],Table3[],2,FALSE)</f>
        <v>Brand Awareness &amp; Value Proposition</v>
      </c>
    </row>
    <row r="1013" spans="1:28" x14ac:dyDescent="0.25">
      <c r="A1013">
        <v>10206</v>
      </c>
      <c r="B1013">
        <v>28</v>
      </c>
      <c r="C1013">
        <v>67.459999999999994</v>
      </c>
      <c r="D1013">
        <v>9</v>
      </c>
      <c r="E1013">
        <v>1888.88</v>
      </c>
      <c r="F1013" s="1">
        <v>43439</v>
      </c>
      <c r="G1013" s="2" t="s">
        <v>19</v>
      </c>
      <c r="H1013" s="2" t="s">
        <v>589</v>
      </c>
      <c r="I1013">
        <v>62</v>
      </c>
      <c r="J1013" s="2" t="s">
        <v>641</v>
      </c>
      <c r="K1013" s="2" t="s">
        <v>231</v>
      </c>
      <c r="L1013" s="2" t="s">
        <v>232</v>
      </c>
      <c r="M1013" s="2" t="s">
        <v>233</v>
      </c>
      <c r="N1013" s="2" t="s">
        <v>234</v>
      </c>
      <c r="O1013" s="2" t="s">
        <v>235</v>
      </c>
      <c r="P1013" s="2" t="s">
        <v>236</v>
      </c>
      <c r="Q1013" s="2" t="s">
        <v>237</v>
      </c>
      <c r="R1013" s="2" t="s">
        <v>238</v>
      </c>
      <c r="S1013" s="2" t="s">
        <v>30</v>
      </c>
      <c r="T1013">
        <v>1424</v>
      </c>
      <c r="U1013">
        <f>VLOOKUP(Auto_Sales_data___Copy[[#This Row],[CUSTOMER_NAME]],$AF$2:$AH$90,2,FALSE)</f>
        <v>22</v>
      </c>
      <c r="V1013">
        <f>VLOOKUP(Auto_Sales_data___Copy[[#This Row],[CUSTOMER_NAME]],$AF$2:$AH$90,3,FALSE)</f>
        <v>75238.92</v>
      </c>
      <c r="W1013" s="2">
        <f>6-MATCH(Auto_Sales_data___Copy[[#This Row],[DAYS_SINCE_LAST_ORDER]],Table2[R-Cutoff],1)</f>
        <v>4</v>
      </c>
      <c r="X1013" s="2">
        <f>MATCH(Auto_Sales_data___Copy[[#This Row],[Total_Orders_Per_Customer]],Table2[F-Cutoff],1)</f>
        <v>2</v>
      </c>
      <c r="Y1013" s="2">
        <f>MATCH(Auto_Sales_data___Copy[[#This Row],[Total_Sales_Per_Customer]],Table2[M-Cutoff],1)</f>
        <v>2</v>
      </c>
      <c r="Z1013" s="2" t="str">
        <f>Auto_Sales_data___Copy[[#This Row],[R-Score(1-5)]]&amp;Auto_Sales_data___Copy[[#This Row],[F-Score(1-5)]]&amp;Auto_Sales_data___Copy[[#This Row],[M-Score(1-5)]]</f>
        <v>422</v>
      </c>
      <c r="AA1013" s="2" t="str" cm="1">
        <f t="array" ref="AA10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3" s="2" t="str">
        <f>VLOOKUP(Auto_Sales_data___Copy[[#This Row],[Segment Name]],Table3[],2,FALSE)</f>
        <v>Brand Awareness &amp; Value Proposition</v>
      </c>
    </row>
    <row r="1014" spans="1:28" x14ac:dyDescent="0.25">
      <c r="A1014">
        <v>10206</v>
      </c>
      <c r="B1014">
        <v>30</v>
      </c>
      <c r="C1014">
        <v>119.38</v>
      </c>
      <c r="D1014">
        <v>8</v>
      </c>
      <c r="E1014">
        <v>3581.4</v>
      </c>
      <c r="F1014" s="1">
        <v>43439</v>
      </c>
      <c r="G1014" s="2" t="s">
        <v>19</v>
      </c>
      <c r="H1014" s="2" t="s">
        <v>589</v>
      </c>
      <c r="I1014">
        <v>104</v>
      </c>
      <c r="J1014" s="2" t="s">
        <v>647</v>
      </c>
      <c r="K1014" s="2" t="s">
        <v>231</v>
      </c>
      <c r="L1014" s="2" t="s">
        <v>232</v>
      </c>
      <c r="M1014" s="2" t="s">
        <v>233</v>
      </c>
      <c r="N1014" s="2" t="s">
        <v>234</v>
      </c>
      <c r="O1014" s="2" t="s">
        <v>235</v>
      </c>
      <c r="P1014" s="2" t="s">
        <v>236</v>
      </c>
      <c r="Q1014" s="2" t="s">
        <v>237</v>
      </c>
      <c r="R1014" s="2" t="s">
        <v>238</v>
      </c>
      <c r="S1014" s="2" t="s">
        <v>46</v>
      </c>
      <c r="T1014">
        <v>1474</v>
      </c>
      <c r="U1014">
        <f>VLOOKUP(Auto_Sales_data___Copy[[#This Row],[CUSTOMER_NAME]],$AF$2:$AH$90,2,FALSE)</f>
        <v>22</v>
      </c>
      <c r="V1014">
        <f>VLOOKUP(Auto_Sales_data___Copy[[#This Row],[CUSTOMER_NAME]],$AF$2:$AH$90,3,FALSE)</f>
        <v>75238.92</v>
      </c>
      <c r="W1014" s="2">
        <f>6-MATCH(Auto_Sales_data___Copy[[#This Row],[DAYS_SINCE_LAST_ORDER]],Table2[R-Cutoff],1)</f>
        <v>4</v>
      </c>
      <c r="X1014" s="2">
        <f>MATCH(Auto_Sales_data___Copy[[#This Row],[Total_Orders_Per_Customer]],Table2[F-Cutoff],1)</f>
        <v>2</v>
      </c>
      <c r="Y1014" s="2">
        <f>MATCH(Auto_Sales_data___Copy[[#This Row],[Total_Sales_Per_Customer]],Table2[M-Cutoff],1)</f>
        <v>2</v>
      </c>
      <c r="Z1014" s="2" t="str">
        <f>Auto_Sales_data___Copy[[#This Row],[R-Score(1-5)]]&amp;Auto_Sales_data___Copy[[#This Row],[F-Score(1-5)]]&amp;Auto_Sales_data___Copy[[#This Row],[M-Score(1-5)]]</f>
        <v>422</v>
      </c>
      <c r="AA1014" s="2" t="str" cm="1">
        <f t="array" ref="AA10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4" s="2" t="str">
        <f>VLOOKUP(Auto_Sales_data___Copy[[#This Row],[Segment Name]],Table3[],2,FALSE)</f>
        <v>Brand Awareness &amp; Value Proposition</v>
      </c>
    </row>
    <row r="1015" spans="1:28" x14ac:dyDescent="0.25">
      <c r="A1015">
        <v>10207</v>
      </c>
      <c r="B1015">
        <v>44</v>
      </c>
      <c r="C1015">
        <v>160.46</v>
      </c>
      <c r="D1015">
        <v>6</v>
      </c>
      <c r="E1015">
        <v>7060.24</v>
      </c>
      <c r="F1015" s="1">
        <v>43443</v>
      </c>
      <c r="G1015" s="2" t="s">
        <v>19</v>
      </c>
      <c r="H1015" s="2" t="s">
        <v>183</v>
      </c>
      <c r="I1015">
        <v>163</v>
      </c>
      <c r="J1015" s="2" t="s">
        <v>631</v>
      </c>
      <c r="K1015" s="2" t="s">
        <v>439</v>
      </c>
      <c r="L1015" s="2" t="s">
        <v>440</v>
      </c>
      <c r="M1015" s="2" t="s">
        <v>441</v>
      </c>
      <c r="N1015" s="2" t="s">
        <v>401</v>
      </c>
      <c r="O1015" s="2" t="s">
        <v>402</v>
      </c>
      <c r="P1015" s="2" t="s">
        <v>27</v>
      </c>
      <c r="Q1015" s="2" t="s">
        <v>442</v>
      </c>
      <c r="R1015" s="2" t="s">
        <v>289</v>
      </c>
      <c r="S1015" s="2" t="s">
        <v>151</v>
      </c>
      <c r="T1015">
        <v>1174</v>
      </c>
      <c r="U1015">
        <f>VLOOKUP(Auto_Sales_data___Copy[[#This Row],[CUSTOMER_NAME]],$AF$2:$AH$90,2,FALSE)</f>
        <v>18</v>
      </c>
      <c r="V1015">
        <f>VLOOKUP(Auto_Sales_data___Copy[[#This Row],[CUSTOMER_NAME]],$AF$2:$AH$90,3,FALSE)</f>
        <v>70859.780000000013</v>
      </c>
      <c r="W1015" s="2">
        <f>6-MATCH(Auto_Sales_data___Copy[[#This Row],[DAYS_SINCE_LAST_ORDER]],Table2[R-Cutoff],1)</f>
        <v>4</v>
      </c>
      <c r="X1015" s="2">
        <f>MATCH(Auto_Sales_data___Copy[[#This Row],[Total_Orders_Per_Customer]],Table2[F-Cutoff],1)</f>
        <v>2</v>
      </c>
      <c r="Y1015" s="2">
        <f>MATCH(Auto_Sales_data___Copy[[#This Row],[Total_Sales_Per_Customer]],Table2[M-Cutoff],1)</f>
        <v>2</v>
      </c>
      <c r="Z1015" s="2" t="str">
        <f>Auto_Sales_data___Copy[[#This Row],[R-Score(1-5)]]&amp;Auto_Sales_data___Copy[[#This Row],[F-Score(1-5)]]&amp;Auto_Sales_data___Copy[[#This Row],[M-Score(1-5)]]</f>
        <v>422</v>
      </c>
      <c r="AA1015" s="2" t="str" cm="1">
        <f t="array" ref="AA10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5" s="2" t="str">
        <f>VLOOKUP(Auto_Sales_data___Copy[[#This Row],[Segment Name]],Table3[],2,FALSE)</f>
        <v>Brand Awareness &amp; Value Proposition</v>
      </c>
    </row>
    <row r="1016" spans="1:28" x14ac:dyDescent="0.25">
      <c r="A1016">
        <v>10207</v>
      </c>
      <c r="B1016">
        <v>43</v>
      </c>
      <c r="C1016">
        <v>133.78</v>
      </c>
      <c r="D1016">
        <v>10</v>
      </c>
      <c r="E1016">
        <v>5752.54</v>
      </c>
      <c r="F1016" s="1">
        <v>43443</v>
      </c>
      <c r="G1016" s="2" t="s">
        <v>19</v>
      </c>
      <c r="H1016" s="2" t="s">
        <v>537</v>
      </c>
      <c r="I1016">
        <v>122</v>
      </c>
      <c r="J1016" s="2" t="s">
        <v>633</v>
      </c>
      <c r="K1016" s="2" t="s">
        <v>439</v>
      </c>
      <c r="L1016" s="2" t="s">
        <v>440</v>
      </c>
      <c r="M1016" s="2" t="s">
        <v>441</v>
      </c>
      <c r="N1016" s="2" t="s">
        <v>401</v>
      </c>
      <c r="O1016" s="2" t="s">
        <v>402</v>
      </c>
      <c r="P1016" s="2" t="s">
        <v>27</v>
      </c>
      <c r="Q1016" s="2" t="s">
        <v>442</v>
      </c>
      <c r="R1016" s="2" t="s">
        <v>289</v>
      </c>
      <c r="S1016" s="2" t="s">
        <v>46</v>
      </c>
      <c r="T1016">
        <v>1222</v>
      </c>
      <c r="U1016">
        <f>VLOOKUP(Auto_Sales_data___Copy[[#This Row],[CUSTOMER_NAME]],$AF$2:$AH$90,2,FALSE)</f>
        <v>18</v>
      </c>
      <c r="V1016">
        <f>VLOOKUP(Auto_Sales_data___Copy[[#This Row],[CUSTOMER_NAME]],$AF$2:$AH$90,3,FALSE)</f>
        <v>70859.780000000013</v>
      </c>
      <c r="W1016" s="2">
        <f>6-MATCH(Auto_Sales_data___Copy[[#This Row],[DAYS_SINCE_LAST_ORDER]],Table2[R-Cutoff],1)</f>
        <v>4</v>
      </c>
      <c r="X1016" s="2">
        <f>MATCH(Auto_Sales_data___Copy[[#This Row],[Total_Orders_Per_Customer]],Table2[F-Cutoff],1)</f>
        <v>2</v>
      </c>
      <c r="Y1016" s="2">
        <f>MATCH(Auto_Sales_data___Copy[[#This Row],[Total_Sales_Per_Customer]],Table2[M-Cutoff],1)</f>
        <v>2</v>
      </c>
      <c r="Z1016" s="2" t="str">
        <f>Auto_Sales_data___Copy[[#This Row],[R-Score(1-5)]]&amp;Auto_Sales_data___Copy[[#This Row],[F-Score(1-5)]]&amp;Auto_Sales_data___Copy[[#This Row],[M-Score(1-5)]]</f>
        <v>422</v>
      </c>
      <c r="AA1016" s="2" t="str" cm="1">
        <f t="array" ref="AA10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6" s="2" t="str">
        <f>VLOOKUP(Auto_Sales_data___Copy[[#This Row],[Segment Name]],Table3[],2,FALSE)</f>
        <v>Brand Awareness &amp; Value Proposition</v>
      </c>
    </row>
    <row r="1017" spans="1:28" x14ac:dyDescent="0.25">
      <c r="A1017">
        <v>10207</v>
      </c>
      <c r="B1017">
        <v>37</v>
      </c>
      <c r="C1017">
        <v>69.89</v>
      </c>
      <c r="D1017">
        <v>13</v>
      </c>
      <c r="E1017">
        <v>2585.9299999999998</v>
      </c>
      <c r="F1017" s="1">
        <v>43443</v>
      </c>
      <c r="G1017" s="2" t="s">
        <v>19</v>
      </c>
      <c r="H1017" s="2" t="s">
        <v>537</v>
      </c>
      <c r="I1017">
        <v>60</v>
      </c>
      <c r="J1017" s="2" t="s">
        <v>635</v>
      </c>
      <c r="K1017" s="2" t="s">
        <v>439</v>
      </c>
      <c r="L1017" s="2" t="s">
        <v>440</v>
      </c>
      <c r="M1017" s="2" t="s">
        <v>441</v>
      </c>
      <c r="N1017" s="2" t="s">
        <v>401</v>
      </c>
      <c r="O1017" s="2" t="s">
        <v>402</v>
      </c>
      <c r="P1017" s="2" t="s">
        <v>27</v>
      </c>
      <c r="Q1017" s="2" t="s">
        <v>442</v>
      </c>
      <c r="R1017" s="2" t="s">
        <v>289</v>
      </c>
      <c r="S1017" s="2" t="s">
        <v>30</v>
      </c>
      <c r="T1017">
        <v>1272</v>
      </c>
      <c r="U1017">
        <f>VLOOKUP(Auto_Sales_data___Copy[[#This Row],[CUSTOMER_NAME]],$AF$2:$AH$90,2,FALSE)</f>
        <v>18</v>
      </c>
      <c r="V1017">
        <f>VLOOKUP(Auto_Sales_data___Copy[[#This Row],[CUSTOMER_NAME]],$AF$2:$AH$90,3,FALSE)</f>
        <v>70859.780000000013</v>
      </c>
      <c r="W1017" s="2">
        <f>6-MATCH(Auto_Sales_data___Copy[[#This Row],[DAYS_SINCE_LAST_ORDER]],Table2[R-Cutoff],1)</f>
        <v>4</v>
      </c>
      <c r="X1017" s="2">
        <f>MATCH(Auto_Sales_data___Copy[[#This Row],[Total_Orders_Per_Customer]],Table2[F-Cutoff],1)</f>
        <v>2</v>
      </c>
      <c r="Y1017" s="2">
        <f>MATCH(Auto_Sales_data___Copy[[#This Row],[Total_Sales_Per_Customer]],Table2[M-Cutoff],1)</f>
        <v>2</v>
      </c>
      <c r="Z1017" s="2" t="str">
        <f>Auto_Sales_data___Copy[[#This Row],[R-Score(1-5)]]&amp;Auto_Sales_data___Copy[[#This Row],[F-Score(1-5)]]&amp;Auto_Sales_data___Copy[[#This Row],[M-Score(1-5)]]</f>
        <v>422</v>
      </c>
      <c r="AA1017" s="2" t="str" cm="1">
        <f t="array" ref="AA10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7" s="2" t="str">
        <f>VLOOKUP(Auto_Sales_data___Copy[[#This Row],[Segment Name]],Table3[],2,FALSE)</f>
        <v>Brand Awareness &amp; Value Proposition</v>
      </c>
    </row>
    <row r="1018" spans="1:28" x14ac:dyDescent="0.25">
      <c r="A1018">
        <v>10210</v>
      </c>
      <c r="B1018">
        <v>31</v>
      </c>
      <c r="C1018">
        <v>184.5</v>
      </c>
      <c r="D1018">
        <v>17</v>
      </c>
      <c r="E1018">
        <v>5719.5</v>
      </c>
      <c r="F1018" s="1">
        <v>43477</v>
      </c>
      <c r="G1018" s="2" t="s">
        <v>19</v>
      </c>
      <c r="H1018" s="2" t="s">
        <v>607</v>
      </c>
      <c r="I1018">
        <v>157</v>
      </c>
      <c r="J1018" s="2" t="s">
        <v>608</v>
      </c>
      <c r="K1018" s="2" t="s">
        <v>316</v>
      </c>
      <c r="L1018" s="2" t="s">
        <v>317</v>
      </c>
      <c r="M1018" s="2" t="s">
        <v>318</v>
      </c>
      <c r="N1018" s="2" t="s">
        <v>319</v>
      </c>
      <c r="O1018" s="2" t="s">
        <v>320</v>
      </c>
      <c r="P1018" s="2" t="s">
        <v>261</v>
      </c>
      <c r="Q1018" s="2" t="s">
        <v>321</v>
      </c>
      <c r="R1018" s="2" t="s">
        <v>322</v>
      </c>
      <c r="S1018" s="2" t="s">
        <v>46</v>
      </c>
      <c r="T1018">
        <v>1041</v>
      </c>
      <c r="U1018">
        <f>VLOOKUP(Auto_Sales_data___Copy[[#This Row],[CUSTOMER_NAME]],$AF$2:$AH$90,2,FALSE)</f>
        <v>20</v>
      </c>
      <c r="V1018">
        <f>VLOOKUP(Auto_Sales_data___Copy[[#This Row],[CUSTOMER_NAME]],$AF$2:$AH$90,3,FALSE)</f>
        <v>67605.069999999992</v>
      </c>
      <c r="W1018" s="2">
        <f>6-MATCH(Auto_Sales_data___Copy[[#This Row],[DAYS_SINCE_LAST_ORDER]],Table2[R-Cutoff],1)</f>
        <v>4</v>
      </c>
      <c r="X1018" s="2">
        <f>MATCH(Auto_Sales_data___Copy[[#This Row],[Total_Orders_Per_Customer]],Table2[F-Cutoff],1)</f>
        <v>2</v>
      </c>
      <c r="Y1018" s="2">
        <f>MATCH(Auto_Sales_data___Copy[[#This Row],[Total_Sales_Per_Customer]],Table2[M-Cutoff],1)</f>
        <v>2</v>
      </c>
      <c r="Z1018" s="2" t="str">
        <f>Auto_Sales_data___Copy[[#This Row],[R-Score(1-5)]]&amp;Auto_Sales_data___Copy[[#This Row],[F-Score(1-5)]]&amp;Auto_Sales_data___Copy[[#This Row],[M-Score(1-5)]]</f>
        <v>422</v>
      </c>
      <c r="AA1018" s="2" t="str" cm="1">
        <f t="array" ref="AA10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8" s="2" t="str">
        <f>VLOOKUP(Auto_Sales_data___Copy[[#This Row],[Segment Name]],Table3[],2,FALSE)</f>
        <v>Brand Awareness &amp; Value Proposition</v>
      </c>
    </row>
    <row r="1019" spans="1:28" x14ac:dyDescent="0.25">
      <c r="A1019">
        <v>10210</v>
      </c>
      <c r="B1019">
        <v>50</v>
      </c>
      <c r="C1019">
        <v>76.88</v>
      </c>
      <c r="D1019">
        <v>7</v>
      </c>
      <c r="E1019">
        <v>3844</v>
      </c>
      <c r="F1019" s="1">
        <v>43477</v>
      </c>
      <c r="G1019" s="2" t="s">
        <v>19</v>
      </c>
      <c r="H1019" s="2" t="s">
        <v>607</v>
      </c>
      <c r="I1019">
        <v>84</v>
      </c>
      <c r="J1019" s="2" t="s">
        <v>636</v>
      </c>
      <c r="K1019" s="2" t="s">
        <v>316</v>
      </c>
      <c r="L1019" s="2" t="s">
        <v>317</v>
      </c>
      <c r="M1019" s="2" t="s">
        <v>318</v>
      </c>
      <c r="N1019" s="2" t="s">
        <v>319</v>
      </c>
      <c r="O1019" s="2" t="s">
        <v>320</v>
      </c>
      <c r="P1019" s="2" t="s">
        <v>261</v>
      </c>
      <c r="Q1019" s="2" t="s">
        <v>321</v>
      </c>
      <c r="R1019" s="2" t="s">
        <v>322</v>
      </c>
      <c r="S1019" s="2" t="s">
        <v>46</v>
      </c>
      <c r="T1019">
        <v>1261</v>
      </c>
      <c r="U1019">
        <f>VLOOKUP(Auto_Sales_data___Copy[[#This Row],[CUSTOMER_NAME]],$AF$2:$AH$90,2,FALSE)</f>
        <v>20</v>
      </c>
      <c r="V1019">
        <f>VLOOKUP(Auto_Sales_data___Copy[[#This Row],[CUSTOMER_NAME]],$AF$2:$AH$90,3,FALSE)</f>
        <v>67605.069999999992</v>
      </c>
      <c r="W1019" s="2">
        <f>6-MATCH(Auto_Sales_data___Copy[[#This Row],[DAYS_SINCE_LAST_ORDER]],Table2[R-Cutoff],1)</f>
        <v>4</v>
      </c>
      <c r="X1019" s="2">
        <f>MATCH(Auto_Sales_data___Copy[[#This Row],[Total_Orders_Per_Customer]],Table2[F-Cutoff],1)</f>
        <v>2</v>
      </c>
      <c r="Y1019" s="2">
        <f>MATCH(Auto_Sales_data___Copy[[#This Row],[Total_Sales_Per_Customer]],Table2[M-Cutoff],1)</f>
        <v>2</v>
      </c>
      <c r="Z1019" s="2" t="str">
        <f>Auto_Sales_data___Copy[[#This Row],[R-Score(1-5)]]&amp;Auto_Sales_data___Copy[[#This Row],[F-Score(1-5)]]&amp;Auto_Sales_data___Copy[[#This Row],[M-Score(1-5)]]</f>
        <v>422</v>
      </c>
      <c r="AA1019" s="2" t="str" cm="1">
        <f t="array" ref="AA10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9" s="2" t="str">
        <f>VLOOKUP(Auto_Sales_data___Copy[[#This Row],[Segment Name]],Table3[],2,FALSE)</f>
        <v>Brand Awareness &amp; Value Proposition</v>
      </c>
    </row>
    <row r="1020" spans="1:28" x14ac:dyDescent="0.25">
      <c r="A1020">
        <v>10210</v>
      </c>
      <c r="B1020">
        <v>40</v>
      </c>
      <c r="C1020">
        <v>49.67</v>
      </c>
      <c r="D1020">
        <v>3</v>
      </c>
      <c r="E1020">
        <v>1986.8</v>
      </c>
      <c r="F1020" s="1">
        <v>43477</v>
      </c>
      <c r="G1020" s="2" t="s">
        <v>19</v>
      </c>
      <c r="H1020" s="2" t="s">
        <v>20</v>
      </c>
      <c r="I1020">
        <v>60</v>
      </c>
      <c r="J1020" s="2" t="s">
        <v>637</v>
      </c>
      <c r="K1020" s="2" t="s">
        <v>316</v>
      </c>
      <c r="L1020" s="2" t="s">
        <v>317</v>
      </c>
      <c r="M1020" s="2" t="s">
        <v>318</v>
      </c>
      <c r="N1020" s="2" t="s">
        <v>319</v>
      </c>
      <c r="O1020" s="2" t="s">
        <v>320</v>
      </c>
      <c r="P1020" s="2" t="s">
        <v>261</v>
      </c>
      <c r="Q1020" s="2" t="s">
        <v>321</v>
      </c>
      <c r="R1020" s="2" t="s">
        <v>322</v>
      </c>
      <c r="S1020" s="2" t="s">
        <v>30</v>
      </c>
      <c r="T1020">
        <v>1286</v>
      </c>
      <c r="U1020">
        <f>VLOOKUP(Auto_Sales_data___Copy[[#This Row],[CUSTOMER_NAME]],$AF$2:$AH$90,2,FALSE)</f>
        <v>20</v>
      </c>
      <c r="V1020">
        <f>VLOOKUP(Auto_Sales_data___Copy[[#This Row],[CUSTOMER_NAME]],$AF$2:$AH$90,3,FALSE)</f>
        <v>67605.069999999992</v>
      </c>
      <c r="W1020" s="2">
        <f>6-MATCH(Auto_Sales_data___Copy[[#This Row],[DAYS_SINCE_LAST_ORDER]],Table2[R-Cutoff],1)</f>
        <v>4</v>
      </c>
      <c r="X1020" s="2">
        <f>MATCH(Auto_Sales_data___Copy[[#This Row],[Total_Orders_Per_Customer]],Table2[F-Cutoff],1)</f>
        <v>2</v>
      </c>
      <c r="Y1020" s="2">
        <f>MATCH(Auto_Sales_data___Copy[[#This Row],[Total_Sales_Per_Customer]],Table2[M-Cutoff],1)</f>
        <v>2</v>
      </c>
      <c r="Z1020" s="2" t="str">
        <f>Auto_Sales_data___Copy[[#This Row],[R-Score(1-5)]]&amp;Auto_Sales_data___Copy[[#This Row],[F-Score(1-5)]]&amp;Auto_Sales_data___Copy[[#This Row],[M-Score(1-5)]]</f>
        <v>422</v>
      </c>
      <c r="AA1020" s="2" t="str" cm="1">
        <f t="array" ref="AA10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0" s="2" t="str">
        <f>VLOOKUP(Auto_Sales_data___Copy[[#This Row],[Segment Name]],Table3[],2,FALSE)</f>
        <v>Brand Awareness &amp; Value Proposition</v>
      </c>
    </row>
    <row r="1021" spans="1:28" x14ac:dyDescent="0.25">
      <c r="A1021">
        <v>10240</v>
      </c>
      <c r="B1021">
        <v>37</v>
      </c>
      <c r="C1021">
        <v>149.36000000000001</v>
      </c>
      <c r="D1021">
        <v>2</v>
      </c>
      <c r="E1021">
        <v>5526.32</v>
      </c>
      <c r="F1021" s="1">
        <v>43568</v>
      </c>
      <c r="G1021" s="2" t="s">
        <v>19</v>
      </c>
      <c r="H1021" s="2" t="s">
        <v>183</v>
      </c>
      <c r="I1021">
        <v>142</v>
      </c>
      <c r="J1021" s="2" t="s">
        <v>630</v>
      </c>
      <c r="K1021" s="2" t="s">
        <v>316</v>
      </c>
      <c r="L1021" s="2" t="s">
        <v>317</v>
      </c>
      <c r="M1021" s="2" t="s">
        <v>318</v>
      </c>
      <c r="N1021" s="2" t="s">
        <v>319</v>
      </c>
      <c r="O1021" s="2" t="s">
        <v>320</v>
      </c>
      <c r="P1021" s="2" t="s">
        <v>261</v>
      </c>
      <c r="Q1021" s="2" t="s">
        <v>321</v>
      </c>
      <c r="R1021" s="2" t="s">
        <v>322</v>
      </c>
      <c r="S1021" s="2" t="s">
        <v>46</v>
      </c>
      <c r="T1021">
        <v>1024</v>
      </c>
      <c r="U1021">
        <f>VLOOKUP(Auto_Sales_data___Copy[[#This Row],[CUSTOMER_NAME]],$AF$2:$AH$90,2,FALSE)</f>
        <v>20</v>
      </c>
      <c r="V1021">
        <f>VLOOKUP(Auto_Sales_data___Copy[[#This Row],[CUSTOMER_NAME]],$AF$2:$AH$90,3,FALSE)</f>
        <v>67605.069999999992</v>
      </c>
      <c r="W1021" s="2">
        <f>6-MATCH(Auto_Sales_data___Copy[[#This Row],[DAYS_SINCE_LAST_ORDER]],Table2[R-Cutoff],1)</f>
        <v>4</v>
      </c>
      <c r="X1021" s="2">
        <f>MATCH(Auto_Sales_data___Copy[[#This Row],[Total_Orders_Per_Customer]],Table2[F-Cutoff],1)</f>
        <v>2</v>
      </c>
      <c r="Y1021" s="2">
        <f>MATCH(Auto_Sales_data___Copy[[#This Row],[Total_Sales_Per_Customer]],Table2[M-Cutoff],1)</f>
        <v>2</v>
      </c>
      <c r="Z1021" s="2" t="str">
        <f>Auto_Sales_data___Copy[[#This Row],[R-Score(1-5)]]&amp;Auto_Sales_data___Copy[[#This Row],[F-Score(1-5)]]&amp;Auto_Sales_data___Copy[[#This Row],[M-Score(1-5)]]</f>
        <v>422</v>
      </c>
      <c r="AA1021" s="2" t="str" cm="1">
        <f t="array" ref="AA10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1" s="2" t="str">
        <f>VLOOKUP(Auto_Sales_data___Copy[[#This Row],[Segment Name]],Table3[],2,FALSE)</f>
        <v>Brand Awareness &amp; Value Proposition</v>
      </c>
    </row>
    <row r="1022" spans="1:28" x14ac:dyDescent="0.25">
      <c r="A1022">
        <v>10243</v>
      </c>
      <c r="B1022">
        <v>47</v>
      </c>
      <c r="C1022">
        <v>130.94</v>
      </c>
      <c r="D1022">
        <v>2</v>
      </c>
      <c r="E1022">
        <v>6154.18</v>
      </c>
      <c r="F1022" s="1">
        <v>43581</v>
      </c>
      <c r="G1022" s="2" t="s">
        <v>19</v>
      </c>
      <c r="H1022" s="2" t="s">
        <v>589</v>
      </c>
      <c r="I1022">
        <v>127</v>
      </c>
      <c r="J1022" s="2" t="s">
        <v>634</v>
      </c>
      <c r="K1022" s="2" t="s">
        <v>439</v>
      </c>
      <c r="L1022" s="2" t="s">
        <v>440</v>
      </c>
      <c r="M1022" s="2" t="s">
        <v>441</v>
      </c>
      <c r="N1022" s="2" t="s">
        <v>401</v>
      </c>
      <c r="O1022" s="2" t="s">
        <v>402</v>
      </c>
      <c r="P1022" s="2" t="s">
        <v>27</v>
      </c>
      <c r="Q1022" s="2" t="s">
        <v>442</v>
      </c>
      <c r="R1022" s="2" t="s">
        <v>289</v>
      </c>
      <c r="S1022" s="2" t="s">
        <v>46</v>
      </c>
      <c r="T1022">
        <v>1111</v>
      </c>
      <c r="U1022">
        <f>VLOOKUP(Auto_Sales_data___Copy[[#This Row],[CUSTOMER_NAME]],$AF$2:$AH$90,2,FALSE)</f>
        <v>18</v>
      </c>
      <c r="V1022">
        <f>VLOOKUP(Auto_Sales_data___Copy[[#This Row],[CUSTOMER_NAME]],$AF$2:$AH$90,3,FALSE)</f>
        <v>70859.780000000013</v>
      </c>
      <c r="W1022" s="2">
        <f>6-MATCH(Auto_Sales_data___Copy[[#This Row],[DAYS_SINCE_LAST_ORDER]],Table2[R-Cutoff],1)</f>
        <v>4</v>
      </c>
      <c r="X1022" s="2">
        <f>MATCH(Auto_Sales_data___Copy[[#This Row],[Total_Orders_Per_Customer]],Table2[F-Cutoff],1)</f>
        <v>2</v>
      </c>
      <c r="Y1022" s="2">
        <f>MATCH(Auto_Sales_data___Copy[[#This Row],[Total_Sales_Per_Customer]],Table2[M-Cutoff],1)</f>
        <v>2</v>
      </c>
      <c r="Z1022" s="2" t="str">
        <f>Auto_Sales_data___Copy[[#This Row],[R-Score(1-5)]]&amp;Auto_Sales_data___Copy[[#This Row],[F-Score(1-5)]]&amp;Auto_Sales_data___Copy[[#This Row],[M-Score(1-5)]]</f>
        <v>422</v>
      </c>
      <c r="AA1022" s="2" t="str" cm="1">
        <f t="array" ref="AA10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2" s="2" t="str">
        <f>VLOOKUP(Auto_Sales_data___Copy[[#This Row],[Segment Name]],Table3[],2,FALSE)</f>
        <v>Brand Awareness &amp; Value Proposition</v>
      </c>
    </row>
    <row r="1023" spans="1:28" x14ac:dyDescent="0.25">
      <c r="A1023">
        <v>10304</v>
      </c>
      <c r="B1023">
        <v>24</v>
      </c>
      <c r="C1023">
        <v>101.7</v>
      </c>
      <c r="D1023">
        <v>17</v>
      </c>
      <c r="E1023">
        <v>2440.8000000000002</v>
      </c>
      <c r="F1023" s="1">
        <v>43749</v>
      </c>
      <c r="G1023" s="2" t="s">
        <v>19</v>
      </c>
      <c r="H1023" s="2" t="s">
        <v>589</v>
      </c>
      <c r="I1023">
        <v>127</v>
      </c>
      <c r="J1023" s="2" t="s">
        <v>634</v>
      </c>
      <c r="K1023" s="2" t="s">
        <v>278</v>
      </c>
      <c r="L1023" s="2" t="s">
        <v>279</v>
      </c>
      <c r="M1023" s="2" t="s">
        <v>280</v>
      </c>
      <c r="N1023" s="2" t="s">
        <v>281</v>
      </c>
      <c r="O1023" s="2" t="s">
        <v>282</v>
      </c>
      <c r="P1023" s="2" t="s">
        <v>36</v>
      </c>
      <c r="Q1023" s="2" t="s">
        <v>283</v>
      </c>
      <c r="R1023" s="2" t="s">
        <v>45</v>
      </c>
      <c r="S1023" s="2" t="s">
        <v>30</v>
      </c>
      <c r="T1023">
        <v>946</v>
      </c>
      <c r="U1023">
        <f>VLOOKUP(Auto_Sales_data___Copy[[#This Row],[CUSTOMER_NAME]],$AF$2:$AH$90,2,FALSE)</f>
        <v>18</v>
      </c>
      <c r="V1023">
        <f>VLOOKUP(Auto_Sales_data___Copy[[#This Row],[CUSTOMER_NAME]],$AF$2:$AH$90,3,FALSE)</f>
        <v>64834.320000000007</v>
      </c>
      <c r="W1023" s="2">
        <f>6-MATCH(Auto_Sales_data___Copy[[#This Row],[DAYS_SINCE_LAST_ORDER]],Table2[R-Cutoff],1)</f>
        <v>4</v>
      </c>
      <c r="X1023" s="2">
        <f>MATCH(Auto_Sales_data___Copy[[#This Row],[Total_Orders_Per_Customer]],Table2[F-Cutoff],1)</f>
        <v>2</v>
      </c>
      <c r="Y1023" s="2">
        <f>MATCH(Auto_Sales_data___Copy[[#This Row],[Total_Sales_Per_Customer]],Table2[M-Cutoff],1)</f>
        <v>2</v>
      </c>
      <c r="Z1023" s="2" t="str">
        <f>Auto_Sales_data___Copy[[#This Row],[R-Score(1-5)]]&amp;Auto_Sales_data___Copy[[#This Row],[F-Score(1-5)]]&amp;Auto_Sales_data___Copy[[#This Row],[M-Score(1-5)]]</f>
        <v>422</v>
      </c>
      <c r="AA1023" s="2" t="str" cm="1">
        <f t="array" ref="AA10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3" s="2" t="str">
        <f>VLOOKUP(Auto_Sales_data___Copy[[#This Row],[Segment Name]],Table3[],2,FALSE)</f>
        <v>Brand Awareness &amp; Value Proposition</v>
      </c>
    </row>
    <row r="1024" spans="1:28" x14ac:dyDescent="0.25">
      <c r="A1024">
        <v>10304</v>
      </c>
      <c r="B1024">
        <v>20</v>
      </c>
      <c r="C1024">
        <v>178.88</v>
      </c>
      <c r="D1024">
        <v>14</v>
      </c>
      <c r="E1024">
        <v>3577.6</v>
      </c>
      <c r="F1024" s="1">
        <v>43749</v>
      </c>
      <c r="G1024" s="2" t="s">
        <v>19</v>
      </c>
      <c r="H1024" s="2" t="s">
        <v>589</v>
      </c>
      <c r="I1024">
        <v>168</v>
      </c>
      <c r="J1024" s="2" t="s">
        <v>638</v>
      </c>
      <c r="K1024" s="2" t="s">
        <v>278</v>
      </c>
      <c r="L1024" s="2" t="s">
        <v>279</v>
      </c>
      <c r="M1024" s="2" t="s">
        <v>280</v>
      </c>
      <c r="N1024" s="2" t="s">
        <v>281</v>
      </c>
      <c r="O1024" s="2" t="s">
        <v>282</v>
      </c>
      <c r="P1024" s="2" t="s">
        <v>36</v>
      </c>
      <c r="Q1024" s="2" t="s">
        <v>283</v>
      </c>
      <c r="R1024" s="2" t="s">
        <v>45</v>
      </c>
      <c r="S1024" s="2" t="s">
        <v>46</v>
      </c>
      <c r="T1024">
        <v>1046</v>
      </c>
      <c r="U1024">
        <f>VLOOKUP(Auto_Sales_data___Copy[[#This Row],[CUSTOMER_NAME]],$AF$2:$AH$90,2,FALSE)</f>
        <v>18</v>
      </c>
      <c r="V1024">
        <f>VLOOKUP(Auto_Sales_data___Copy[[#This Row],[CUSTOMER_NAME]],$AF$2:$AH$90,3,FALSE)</f>
        <v>64834.320000000007</v>
      </c>
      <c r="W1024" s="2">
        <f>6-MATCH(Auto_Sales_data___Copy[[#This Row],[DAYS_SINCE_LAST_ORDER]],Table2[R-Cutoff],1)</f>
        <v>4</v>
      </c>
      <c r="X1024" s="2">
        <f>MATCH(Auto_Sales_data___Copy[[#This Row],[Total_Orders_Per_Customer]],Table2[F-Cutoff],1)</f>
        <v>2</v>
      </c>
      <c r="Y1024" s="2">
        <f>MATCH(Auto_Sales_data___Copy[[#This Row],[Total_Sales_Per_Customer]],Table2[M-Cutoff],1)</f>
        <v>2</v>
      </c>
      <c r="Z1024" s="2" t="str">
        <f>Auto_Sales_data___Copy[[#This Row],[R-Score(1-5)]]&amp;Auto_Sales_data___Copy[[#This Row],[F-Score(1-5)]]&amp;Auto_Sales_data___Copy[[#This Row],[M-Score(1-5)]]</f>
        <v>422</v>
      </c>
      <c r="AA1024" s="2" t="str" cm="1">
        <f t="array" ref="AA10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4" s="2" t="str">
        <f>VLOOKUP(Auto_Sales_data___Copy[[#This Row],[Segment Name]],Table3[],2,FALSE)</f>
        <v>Brand Awareness &amp; Value Proposition</v>
      </c>
    </row>
    <row r="1025" spans="1:28" x14ac:dyDescent="0.25">
      <c r="A1025">
        <v>10304</v>
      </c>
      <c r="B1025">
        <v>46</v>
      </c>
      <c r="C1025">
        <v>100.3</v>
      </c>
      <c r="D1025">
        <v>7</v>
      </c>
      <c r="E1025">
        <v>4613.8</v>
      </c>
      <c r="F1025" s="1">
        <v>43749</v>
      </c>
      <c r="G1025" s="2" t="s">
        <v>19</v>
      </c>
      <c r="H1025" s="2" t="s">
        <v>589</v>
      </c>
      <c r="I1025">
        <v>101</v>
      </c>
      <c r="J1025" s="2" t="s">
        <v>640</v>
      </c>
      <c r="K1025" s="2" t="s">
        <v>278</v>
      </c>
      <c r="L1025" s="2" t="s">
        <v>279</v>
      </c>
      <c r="M1025" s="2" t="s">
        <v>280</v>
      </c>
      <c r="N1025" s="2" t="s">
        <v>281</v>
      </c>
      <c r="O1025" s="2" t="s">
        <v>282</v>
      </c>
      <c r="P1025" s="2" t="s">
        <v>36</v>
      </c>
      <c r="Q1025" s="2" t="s">
        <v>283</v>
      </c>
      <c r="R1025" s="2" t="s">
        <v>45</v>
      </c>
      <c r="S1025" s="2" t="s">
        <v>46</v>
      </c>
      <c r="T1025">
        <v>1098</v>
      </c>
      <c r="U1025">
        <f>VLOOKUP(Auto_Sales_data___Copy[[#This Row],[CUSTOMER_NAME]],$AF$2:$AH$90,2,FALSE)</f>
        <v>18</v>
      </c>
      <c r="V1025">
        <f>VLOOKUP(Auto_Sales_data___Copy[[#This Row],[CUSTOMER_NAME]],$AF$2:$AH$90,3,FALSE)</f>
        <v>64834.320000000007</v>
      </c>
      <c r="W1025" s="2">
        <f>6-MATCH(Auto_Sales_data___Copy[[#This Row],[DAYS_SINCE_LAST_ORDER]],Table2[R-Cutoff],1)</f>
        <v>4</v>
      </c>
      <c r="X1025" s="2">
        <f>MATCH(Auto_Sales_data___Copy[[#This Row],[Total_Orders_Per_Customer]],Table2[F-Cutoff],1)</f>
        <v>2</v>
      </c>
      <c r="Y1025" s="2">
        <f>MATCH(Auto_Sales_data___Copy[[#This Row],[Total_Sales_Per_Customer]],Table2[M-Cutoff],1)</f>
        <v>2</v>
      </c>
      <c r="Z1025" s="2" t="str">
        <f>Auto_Sales_data___Copy[[#This Row],[R-Score(1-5)]]&amp;Auto_Sales_data___Copy[[#This Row],[F-Score(1-5)]]&amp;Auto_Sales_data___Copy[[#This Row],[M-Score(1-5)]]</f>
        <v>422</v>
      </c>
      <c r="AA1025" s="2" t="str" cm="1">
        <f t="array" ref="AA10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5" s="2" t="str">
        <f>VLOOKUP(Auto_Sales_data___Copy[[#This Row],[Segment Name]],Table3[],2,FALSE)</f>
        <v>Brand Awareness &amp; Value Proposition</v>
      </c>
    </row>
    <row r="1026" spans="1:28" x14ac:dyDescent="0.25">
      <c r="A1026">
        <v>10304</v>
      </c>
      <c r="B1026">
        <v>24</v>
      </c>
      <c r="C1026">
        <v>64.959999999999994</v>
      </c>
      <c r="D1026">
        <v>9</v>
      </c>
      <c r="E1026">
        <v>1559.04</v>
      </c>
      <c r="F1026" s="1">
        <v>43749</v>
      </c>
      <c r="G1026" s="2" t="s">
        <v>19</v>
      </c>
      <c r="H1026" s="2" t="s">
        <v>589</v>
      </c>
      <c r="I1026">
        <v>62</v>
      </c>
      <c r="J1026" s="2" t="s">
        <v>641</v>
      </c>
      <c r="K1026" s="2" t="s">
        <v>278</v>
      </c>
      <c r="L1026" s="2" t="s">
        <v>279</v>
      </c>
      <c r="M1026" s="2" t="s">
        <v>280</v>
      </c>
      <c r="N1026" s="2" t="s">
        <v>281</v>
      </c>
      <c r="O1026" s="2" t="s">
        <v>282</v>
      </c>
      <c r="P1026" s="2" t="s">
        <v>36</v>
      </c>
      <c r="Q1026" s="2" t="s">
        <v>283</v>
      </c>
      <c r="R1026" s="2" t="s">
        <v>45</v>
      </c>
      <c r="S1026" s="2" t="s">
        <v>30</v>
      </c>
      <c r="T1026">
        <v>1122</v>
      </c>
      <c r="U1026">
        <f>VLOOKUP(Auto_Sales_data___Copy[[#This Row],[CUSTOMER_NAME]],$AF$2:$AH$90,2,FALSE)</f>
        <v>18</v>
      </c>
      <c r="V1026">
        <f>VLOOKUP(Auto_Sales_data___Copy[[#This Row],[CUSTOMER_NAME]],$AF$2:$AH$90,3,FALSE)</f>
        <v>64834.320000000007</v>
      </c>
      <c r="W1026" s="2">
        <f>6-MATCH(Auto_Sales_data___Copy[[#This Row],[DAYS_SINCE_LAST_ORDER]],Table2[R-Cutoff],1)</f>
        <v>4</v>
      </c>
      <c r="X1026" s="2">
        <f>MATCH(Auto_Sales_data___Copy[[#This Row],[Total_Orders_Per_Customer]],Table2[F-Cutoff],1)</f>
        <v>2</v>
      </c>
      <c r="Y1026" s="2">
        <f>MATCH(Auto_Sales_data___Copy[[#This Row],[Total_Sales_Per_Customer]],Table2[M-Cutoff],1)</f>
        <v>2</v>
      </c>
      <c r="Z1026" s="2" t="str">
        <f>Auto_Sales_data___Copy[[#This Row],[R-Score(1-5)]]&amp;Auto_Sales_data___Copy[[#This Row],[F-Score(1-5)]]&amp;Auto_Sales_data___Copy[[#This Row],[M-Score(1-5)]]</f>
        <v>422</v>
      </c>
      <c r="AA1026" s="2" t="str" cm="1">
        <f t="array" ref="AA10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6" s="2" t="str">
        <f>VLOOKUP(Auto_Sales_data___Copy[[#This Row],[Segment Name]],Table3[],2,FALSE)</f>
        <v>Brand Awareness &amp; Value Proposition</v>
      </c>
    </row>
    <row r="1027" spans="1:28" x14ac:dyDescent="0.25">
      <c r="A1027">
        <v>10304</v>
      </c>
      <c r="B1027">
        <v>26</v>
      </c>
      <c r="C1027">
        <v>85.87</v>
      </c>
      <c r="D1027">
        <v>8</v>
      </c>
      <c r="E1027">
        <v>2232.62</v>
      </c>
      <c r="F1027" s="1">
        <v>43749</v>
      </c>
      <c r="G1027" s="2" t="s">
        <v>19</v>
      </c>
      <c r="H1027" s="2" t="s">
        <v>589</v>
      </c>
      <c r="I1027">
        <v>104</v>
      </c>
      <c r="J1027" s="2" t="s">
        <v>647</v>
      </c>
      <c r="K1027" s="2" t="s">
        <v>278</v>
      </c>
      <c r="L1027" s="2" t="s">
        <v>279</v>
      </c>
      <c r="M1027" s="2" t="s">
        <v>280</v>
      </c>
      <c r="N1027" s="2" t="s">
        <v>281</v>
      </c>
      <c r="O1027" s="2" t="s">
        <v>282</v>
      </c>
      <c r="P1027" s="2" t="s">
        <v>36</v>
      </c>
      <c r="Q1027" s="2" t="s">
        <v>283</v>
      </c>
      <c r="R1027" s="2" t="s">
        <v>45</v>
      </c>
      <c r="S1027" s="2" t="s">
        <v>30</v>
      </c>
      <c r="T1027">
        <v>1172</v>
      </c>
      <c r="U1027">
        <f>VLOOKUP(Auto_Sales_data___Copy[[#This Row],[CUSTOMER_NAME]],$AF$2:$AH$90,2,FALSE)</f>
        <v>18</v>
      </c>
      <c r="V1027">
        <f>VLOOKUP(Auto_Sales_data___Copy[[#This Row],[CUSTOMER_NAME]],$AF$2:$AH$90,3,FALSE)</f>
        <v>64834.320000000007</v>
      </c>
      <c r="W1027" s="2">
        <f>6-MATCH(Auto_Sales_data___Copy[[#This Row],[DAYS_SINCE_LAST_ORDER]],Table2[R-Cutoff],1)</f>
        <v>4</v>
      </c>
      <c r="X1027" s="2">
        <f>MATCH(Auto_Sales_data___Copy[[#This Row],[Total_Orders_Per_Customer]],Table2[F-Cutoff],1)</f>
        <v>2</v>
      </c>
      <c r="Y1027" s="2">
        <f>MATCH(Auto_Sales_data___Copy[[#This Row],[Total_Sales_Per_Customer]],Table2[M-Cutoff],1)</f>
        <v>2</v>
      </c>
      <c r="Z1027" s="2" t="str">
        <f>Auto_Sales_data___Copy[[#This Row],[R-Score(1-5)]]&amp;Auto_Sales_data___Copy[[#This Row],[F-Score(1-5)]]&amp;Auto_Sales_data___Copy[[#This Row],[M-Score(1-5)]]</f>
        <v>422</v>
      </c>
      <c r="AA1027" s="2" t="str" cm="1">
        <f t="array" ref="AA10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7" s="2" t="str">
        <f>VLOOKUP(Auto_Sales_data___Copy[[#This Row],[Segment Name]],Table3[],2,FALSE)</f>
        <v>Brand Awareness &amp; Value Proposition</v>
      </c>
    </row>
    <row r="1028" spans="1:28" x14ac:dyDescent="0.25">
      <c r="A1028">
        <v>10304</v>
      </c>
      <c r="B1028">
        <v>38</v>
      </c>
      <c r="C1028">
        <v>104.17</v>
      </c>
      <c r="D1028">
        <v>11</v>
      </c>
      <c r="E1028">
        <v>3958.46</v>
      </c>
      <c r="F1028" s="1">
        <v>43749</v>
      </c>
      <c r="G1028" s="2" t="s">
        <v>19</v>
      </c>
      <c r="H1028" s="2" t="s">
        <v>589</v>
      </c>
      <c r="I1028">
        <v>99</v>
      </c>
      <c r="J1028" s="2" t="s">
        <v>653</v>
      </c>
      <c r="K1028" s="2" t="s">
        <v>278</v>
      </c>
      <c r="L1028" s="2" t="s">
        <v>279</v>
      </c>
      <c r="M1028" s="2" t="s">
        <v>280</v>
      </c>
      <c r="N1028" s="2" t="s">
        <v>281</v>
      </c>
      <c r="O1028" s="2" t="s">
        <v>282</v>
      </c>
      <c r="P1028" s="2" t="s">
        <v>36</v>
      </c>
      <c r="Q1028" s="2" t="s">
        <v>283</v>
      </c>
      <c r="R1028" s="2" t="s">
        <v>45</v>
      </c>
      <c r="S1028" s="2" t="s">
        <v>46</v>
      </c>
      <c r="T1028">
        <v>1320</v>
      </c>
      <c r="U1028">
        <f>VLOOKUP(Auto_Sales_data___Copy[[#This Row],[CUSTOMER_NAME]],$AF$2:$AH$90,2,FALSE)</f>
        <v>18</v>
      </c>
      <c r="V1028">
        <f>VLOOKUP(Auto_Sales_data___Copy[[#This Row],[CUSTOMER_NAME]],$AF$2:$AH$90,3,FALSE)</f>
        <v>64834.320000000007</v>
      </c>
      <c r="W1028" s="2">
        <f>6-MATCH(Auto_Sales_data___Copy[[#This Row],[DAYS_SINCE_LAST_ORDER]],Table2[R-Cutoff],1)</f>
        <v>4</v>
      </c>
      <c r="X1028" s="2">
        <f>MATCH(Auto_Sales_data___Copy[[#This Row],[Total_Orders_Per_Customer]],Table2[F-Cutoff],1)</f>
        <v>2</v>
      </c>
      <c r="Y1028" s="2">
        <f>MATCH(Auto_Sales_data___Copy[[#This Row],[Total_Sales_Per_Customer]],Table2[M-Cutoff],1)</f>
        <v>2</v>
      </c>
      <c r="Z1028" s="2" t="str">
        <f>Auto_Sales_data___Copy[[#This Row],[R-Score(1-5)]]&amp;Auto_Sales_data___Copy[[#This Row],[F-Score(1-5)]]&amp;Auto_Sales_data___Copy[[#This Row],[M-Score(1-5)]]</f>
        <v>422</v>
      </c>
      <c r="AA1028" s="2" t="str" cm="1">
        <f t="array" ref="AA10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8" s="2" t="str">
        <f>VLOOKUP(Auto_Sales_data___Copy[[#This Row],[Segment Name]],Table3[],2,FALSE)</f>
        <v>Brand Awareness &amp; Value Proposition</v>
      </c>
    </row>
    <row r="1029" spans="1:28" x14ac:dyDescent="0.25">
      <c r="A1029">
        <v>10307</v>
      </c>
      <c r="B1029">
        <v>31</v>
      </c>
      <c r="C1029">
        <v>83.44</v>
      </c>
      <c r="D1029">
        <v>7</v>
      </c>
      <c r="E1029">
        <v>2586.64</v>
      </c>
      <c r="F1029" s="1">
        <v>43752</v>
      </c>
      <c r="G1029" s="2" t="s">
        <v>19</v>
      </c>
      <c r="H1029" s="2" t="s">
        <v>642</v>
      </c>
      <c r="I1029">
        <v>86</v>
      </c>
      <c r="J1029" s="2" t="s">
        <v>643</v>
      </c>
      <c r="K1029" s="2" t="s">
        <v>217</v>
      </c>
      <c r="L1029" s="2" t="s">
        <v>218</v>
      </c>
      <c r="M1029" s="2" t="s">
        <v>219</v>
      </c>
      <c r="N1029" s="2" t="s">
        <v>220</v>
      </c>
      <c r="O1029" s="2" t="s">
        <v>221</v>
      </c>
      <c r="P1029" s="2" t="s">
        <v>27</v>
      </c>
      <c r="Q1029" s="2" t="s">
        <v>222</v>
      </c>
      <c r="R1029" s="2" t="s">
        <v>223</v>
      </c>
      <c r="S1029" s="2" t="s">
        <v>30</v>
      </c>
      <c r="T1029">
        <v>1143</v>
      </c>
      <c r="U1029">
        <f>VLOOKUP(Auto_Sales_data___Copy[[#This Row],[CUSTOMER_NAME]],$AF$2:$AH$90,2,FALSE)</f>
        <v>21</v>
      </c>
      <c r="V1029">
        <f>VLOOKUP(Auto_Sales_data___Copy[[#This Row],[CUSTOMER_NAME]],$AF$2:$AH$90,3,FALSE)</f>
        <v>67506.969999999987</v>
      </c>
      <c r="W1029" s="2">
        <f>6-MATCH(Auto_Sales_data___Copy[[#This Row],[DAYS_SINCE_LAST_ORDER]],Table2[R-Cutoff],1)</f>
        <v>4</v>
      </c>
      <c r="X1029" s="2">
        <f>MATCH(Auto_Sales_data___Copy[[#This Row],[Total_Orders_Per_Customer]],Table2[F-Cutoff],1)</f>
        <v>2</v>
      </c>
      <c r="Y1029" s="2">
        <f>MATCH(Auto_Sales_data___Copy[[#This Row],[Total_Sales_Per_Customer]],Table2[M-Cutoff],1)</f>
        <v>2</v>
      </c>
      <c r="Z1029" s="2" t="str">
        <f>Auto_Sales_data___Copy[[#This Row],[R-Score(1-5)]]&amp;Auto_Sales_data___Copy[[#This Row],[F-Score(1-5)]]&amp;Auto_Sales_data___Copy[[#This Row],[M-Score(1-5)]]</f>
        <v>422</v>
      </c>
      <c r="AA1029" s="2" t="str" cm="1">
        <f t="array" ref="AA10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9" s="2" t="str">
        <f>VLOOKUP(Auto_Sales_data___Copy[[#This Row],[Segment Name]],Table3[],2,FALSE)</f>
        <v>Brand Awareness &amp; Value Proposition</v>
      </c>
    </row>
    <row r="1030" spans="1:28" x14ac:dyDescent="0.25">
      <c r="A1030">
        <v>10307</v>
      </c>
      <c r="B1030">
        <v>48</v>
      </c>
      <c r="C1030">
        <v>86.81</v>
      </c>
      <c r="D1030">
        <v>6</v>
      </c>
      <c r="E1030">
        <v>4166.88</v>
      </c>
      <c r="F1030" s="1">
        <v>43752</v>
      </c>
      <c r="G1030" s="2" t="s">
        <v>19</v>
      </c>
      <c r="H1030" s="2" t="s">
        <v>589</v>
      </c>
      <c r="I1030">
        <v>105</v>
      </c>
      <c r="J1030" s="2" t="s">
        <v>657</v>
      </c>
      <c r="K1030" s="2" t="s">
        <v>217</v>
      </c>
      <c r="L1030" s="2" t="s">
        <v>218</v>
      </c>
      <c r="M1030" s="2" t="s">
        <v>219</v>
      </c>
      <c r="N1030" s="2" t="s">
        <v>220</v>
      </c>
      <c r="O1030" s="2" t="s">
        <v>221</v>
      </c>
      <c r="P1030" s="2" t="s">
        <v>27</v>
      </c>
      <c r="Q1030" s="2" t="s">
        <v>222</v>
      </c>
      <c r="R1030" s="2" t="s">
        <v>223</v>
      </c>
      <c r="S1030" s="2" t="s">
        <v>46</v>
      </c>
      <c r="T1030">
        <v>1414</v>
      </c>
      <c r="U1030">
        <f>VLOOKUP(Auto_Sales_data___Copy[[#This Row],[CUSTOMER_NAME]],$AF$2:$AH$90,2,FALSE)</f>
        <v>21</v>
      </c>
      <c r="V1030">
        <f>VLOOKUP(Auto_Sales_data___Copy[[#This Row],[CUSTOMER_NAME]],$AF$2:$AH$90,3,FALSE)</f>
        <v>67506.969999999987</v>
      </c>
      <c r="W1030" s="2">
        <f>6-MATCH(Auto_Sales_data___Copy[[#This Row],[DAYS_SINCE_LAST_ORDER]],Table2[R-Cutoff],1)</f>
        <v>4</v>
      </c>
      <c r="X1030" s="2">
        <f>MATCH(Auto_Sales_data___Copy[[#This Row],[Total_Orders_Per_Customer]],Table2[F-Cutoff],1)</f>
        <v>2</v>
      </c>
      <c r="Y1030" s="2">
        <f>MATCH(Auto_Sales_data___Copy[[#This Row],[Total_Sales_Per_Customer]],Table2[M-Cutoff],1)</f>
        <v>2</v>
      </c>
      <c r="Z1030" s="2" t="str">
        <f>Auto_Sales_data___Copy[[#This Row],[R-Score(1-5)]]&amp;Auto_Sales_data___Copy[[#This Row],[F-Score(1-5)]]&amp;Auto_Sales_data___Copy[[#This Row],[M-Score(1-5)]]</f>
        <v>422</v>
      </c>
      <c r="AA1030" s="2" t="str" cm="1">
        <f t="array" ref="AA10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0" s="2" t="str">
        <f>VLOOKUP(Auto_Sales_data___Copy[[#This Row],[Segment Name]],Table3[],2,FALSE)</f>
        <v>Brand Awareness &amp; Value Proposition</v>
      </c>
    </row>
    <row r="1031" spans="1:28" x14ac:dyDescent="0.25">
      <c r="A1031">
        <v>10313</v>
      </c>
      <c r="B1031">
        <v>34</v>
      </c>
      <c r="C1031">
        <v>52.87</v>
      </c>
      <c r="D1031">
        <v>5</v>
      </c>
      <c r="E1031">
        <v>1797.58</v>
      </c>
      <c r="F1031" s="1">
        <v>43760</v>
      </c>
      <c r="G1031" s="2" t="s">
        <v>19</v>
      </c>
      <c r="H1031" s="2" t="s">
        <v>537</v>
      </c>
      <c r="I1031">
        <v>60</v>
      </c>
      <c r="J1031" s="2" t="s">
        <v>635</v>
      </c>
      <c r="K1031" s="2" t="s">
        <v>231</v>
      </c>
      <c r="L1031" s="2" t="s">
        <v>232</v>
      </c>
      <c r="M1031" s="2" t="s">
        <v>233</v>
      </c>
      <c r="N1031" s="2" t="s">
        <v>234</v>
      </c>
      <c r="O1031" s="2" t="s">
        <v>235</v>
      </c>
      <c r="P1031" s="2" t="s">
        <v>236</v>
      </c>
      <c r="Q1031" s="2" t="s">
        <v>237</v>
      </c>
      <c r="R1031" s="2" t="s">
        <v>238</v>
      </c>
      <c r="S1031" s="2" t="s">
        <v>30</v>
      </c>
      <c r="T1031">
        <v>964</v>
      </c>
      <c r="U1031">
        <f>VLOOKUP(Auto_Sales_data___Copy[[#This Row],[CUSTOMER_NAME]],$AF$2:$AH$90,2,FALSE)</f>
        <v>22</v>
      </c>
      <c r="V1031">
        <f>VLOOKUP(Auto_Sales_data___Copy[[#This Row],[CUSTOMER_NAME]],$AF$2:$AH$90,3,FALSE)</f>
        <v>75238.92</v>
      </c>
      <c r="W1031" s="2">
        <f>6-MATCH(Auto_Sales_data___Copy[[#This Row],[DAYS_SINCE_LAST_ORDER]],Table2[R-Cutoff],1)</f>
        <v>4</v>
      </c>
      <c r="X1031" s="2">
        <f>MATCH(Auto_Sales_data___Copy[[#This Row],[Total_Orders_Per_Customer]],Table2[F-Cutoff],1)</f>
        <v>2</v>
      </c>
      <c r="Y1031" s="2">
        <f>MATCH(Auto_Sales_data___Copy[[#This Row],[Total_Sales_Per_Customer]],Table2[M-Cutoff],1)</f>
        <v>2</v>
      </c>
      <c r="Z1031" s="2" t="str">
        <f>Auto_Sales_data___Copy[[#This Row],[R-Score(1-5)]]&amp;Auto_Sales_data___Copy[[#This Row],[F-Score(1-5)]]&amp;Auto_Sales_data___Copy[[#This Row],[M-Score(1-5)]]</f>
        <v>422</v>
      </c>
      <c r="AA1031" s="2" t="str" cm="1">
        <f t="array" ref="AA10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1" s="2" t="str">
        <f>VLOOKUP(Auto_Sales_data___Copy[[#This Row],[Segment Name]],Table3[],2,FALSE)</f>
        <v>Brand Awareness &amp; Value Proposition</v>
      </c>
    </row>
    <row r="1032" spans="1:28" x14ac:dyDescent="0.25">
      <c r="A1032">
        <v>10313</v>
      </c>
      <c r="B1032">
        <v>25</v>
      </c>
      <c r="C1032">
        <v>182.89</v>
      </c>
      <c r="D1032">
        <v>3</v>
      </c>
      <c r="E1032">
        <v>4572.25</v>
      </c>
      <c r="F1032" s="1">
        <v>43760</v>
      </c>
      <c r="G1032" s="2" t="s">
        <v>19</v>
      </c>
      <c r="H1032" s="2" t="s">
        <v>183</v>
      </c>
      <c r="I1032">
        <v>169</v>
      </c>
      <c r="J1032" s="2" t="s">
        <v>649</v>
      </c>
      <c r="K1032" s="2" t="s">
        <v>231</v>
      </c>
      <c r="L1032" s="2" t="s">
        <v>232</v>
      </c>
      <c r="M1032" s="2" t="s">
        <v>233</v>
      </c>
      <c r="N1032" s="2" t="s">
        <v>234</v>
      </c>
      <c r="O1032" s="2" t="s">
        <v>235</v>
      </c>
      <c r="P1032" s="2" t="s">
        <v>236</v>
      </c>
      <c r="Q1032" s="2" t="s">
        <v>237</v>
      </c>
      <c r="R1032" s="2" t="s">
        <v>238</v>
      </c>
      <c r="S1032" s="2" t="s">
        <v>46</v>
      </c>
      <c r="T1032">
        <v>1229</v>
      </c>
      <c r="U1032">
        <f>VLOOKUP(Auto_Sales_data___Copy[[#This Row],[CUSTOMER_NAME]],$AF$2:$AH$90,2,FALSE)</f>
        <v>22</v>
      </c>
      <c r="V1032">
        <f>VLOOKUP(Auto_Sales_data___Copy[[#This Row],[CUSTOMER_NAME]],$AF$2:$AH$90,3,FALSE)</f>
        <v>75238.92</v>
      </c>
      <c r="W1032" s="2">
        <f>6-MATCH(Auto_Sales_data___Copy[[#This Row],[DAYS_SINCE_LAST_ORDER]],Table2[R-Cutoff],1)</f>
        <v>4</v>
      </c>
      <c r="X1032" s="2">
        <f>MATCH(Auto_Sales_data___Copy[[#This Row],[Total_Orders_Per_Customer]],Table2[F-Cutoff],1)</f>
        <v>2</v>
      </c>
      <c r="Y1032" s="2">
        <f>MATCH(Auto_Sales_data___Copy[[#This Row],[Total_Sales_Per_Customer]],Table2[M-Cutoff],1)</f>
        <v>2</v>
      </c>
      <c r="Z1032" s="2" t="str">
        <f>Auto_Sales_data___Copy[[#This Row],[R-Score(1-5)]]&amp;Auto_Sales_data___Copy[[#This Row],[F-Score(1-5)]]&amp;Auto_Sales_data___Copy[[#This Row],[M-Score(1-5)]]</f>
        <v>422</v>
      </c>
      <c r="AA1032" s="2" t="str" cm="1">
        <f t="array" ref="AA10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2" s="2" t="str">
        <f>VLOOKUP(Auto_Sales_data___Copy[[#This Row],[Segment Name]],Table3[],2,FALSE)</f>
        <v>Brand Awareness &amp; Value Proposition</v>
      </c>
    </row>
    <row r="1033" spans="1:28" x14ac:dyDescent="0.25">
      <c r="A1033">
        <v>10320</v>
      </c>
      <c r="B1033">
        <v>25</v>
      </c>
      <c r="C1033">
        <v>139.63999999999999</v>
      </c>
      <c r="D1033">
        <v>5</v>
      </c>
      <c r="E1033">
        <v>3491</v>
      </c>
      <c r="F1033" s="1">
        <v>43772</v>
      </c>
      <c r="G1033" s="2" t="s">
        <v>19</v>
      </c>
      <c r="H1033" s="2" t="s">
        <v>183</v>
      </c>
      <c r="I1033">
        <v>146</v>
      </c>
      <c r="J1033" s="2" t="s">
        <v>654</v>
      </c>
      <c r="K1033" s="2" t="s">
        <v>185</v>
      </c>
      <c r="L1033" s="2" t="s">
        <v>186</v>
      </c>
      <c r="M1033" s="2" t="s">
        <v>187</v>
      </c>
      <c r="N1033" s="2" t="s">
        <v>188</v>
      </c>
      <c r="O1033" s="2" t="s">
        <v>189</v>
      </c>
      <c r="P1033" s="2" t="s">
        <v>190</v>
      </c>
      <c r="Q1033" s="2" t="s">
        <v>191</v>
      </c>
      <c r="R1033" s="2" t="s">
        <v>192</v>
      </c>
      <c r="S1033" s="2" t="s">
        <v>46</v>
      </c>
      <c r="T1033">
        <v>1323</v>
      </c>
      <c r="U1033">
        <f>VLOOKUP(Auto_Sales_data___Copy[[#This Row],[CUSTOMER_NAME]],$AF$2:$AH$90,2,FALSE)</f>
        <v>19</v>
      </c>
      <c r="V1033">
        <f>VLOOKUP(Auto_Sales_data___Copy[[#This Row],[CUSTOMER_NAME]],$AF$2:$AH$90,3,FALSE)</f>
        <v>75754.87999999999</v>
      </c>
      <c r="W1033" s="2">
        <f>6-MATCH(Auto_Sales_data___Copy[[#This Row],[DAYS_SINCE_LAST_ORDER]],Table2[R-Cutoff],1)</f>
        <v>4</v>
      </c>
      <c r="X1033" s="2">
        <f>MATCH(Auto_Sales_data___Copy[[#This Row],[Total_Orders_Per_Customer]],Table2[F-Cutoff],1)</f>
        <v>2</v>
      </c>
      <c r="Y1033" s="2">
        <f>MATCH(Auto_Sales_data___Copy[[#This Row],[Total_Sales_Per_Customer]],Table2[M-Cutoff],1)</f>
        <v>2</v>
      </c>
      <c r="Z1033" s="2" t="str">
        <f>Auto_Sales_data___Copy[[#This Row],[R-Score(1-5)]]&amp;Auto_Sales_data___Copy[[#This Row],[F-Score(1-5)]]&amp;Auto_Sales_data___Copy[[#This Row],[M-Score(1-5)]]</f>
        <v>422</v>
      </c>
      <c r="AA1033" s="2" t="str" cm="1">
        <f t="array" ref="AA10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3" s="2" t="str">
        <f>VLOOKUP(Auto_Sales_data___Copy[[#This Row],[Segment Name]],Table3[],2,FALSE)</f>
        <v>Brand Awareness &amp; Value Proposition</v>
      </c>
    </row>
    <row r="1034" spans="1:28" x14ac:dyDescent="0.25">
      <c r="A1034">
        <v>10326</v>
      </c>
      <c r="B1034">
        <v>32</v>
      </c>
      <c r="C1034">
        <v>118.99</v>
      </c>
      <c r="D1034">
        <v>6</v>
      </c>
      <c r="E1034">
        <v>3807.68</v>
      </c>
      <c r="F1034" s="1">
        <v>43778</v>
      </c>
      <c r="G1034" s="2" t="s">
        <v>19</v>
      </c>
      <c r="H1034" s="2" t="s">
        <v>650</v>
      </c>
      <c r="I1034">
        <v>100</v>
      </c>
      <c r="J1034" s="2" t="s">
        <v>651</v>
      </c>
      <c r="K1034" s="2" t="s">
        <v>185</v>
      </c>
      <c r="L1034" s="2" t="s">
        <v>186</v>
      </c>
      <c r="M1034" s="2" t="s">
        <v>187</v>
      </c>
      <c r="N1034" s="2" t="s">
        <v>188</v>
      </c>
      <c r="O1034" s="2" t="s">
        <v>189</v>
      </c>
      <c r="P1034" s="2" t="s">
        <v>190</v>
      </c>
      <c r="Q1034" s="2" t="s">
        <v>191</v>
      </c>
      <c r="R1034" s="2" t="s">
        <v>192</v>
      </c>
      <c r="S1034" s="2" t="s">
        <v>46</v>
      </c>
      <c r="T1034">
        <v>1246</v>
      </c>
      <c r="U1034">
        <f>VLOOKUP(Auto_Sales_data___Copy[[#This Row],[CUSTOMER_NAME]],$AF$2:$AH$90,2,FALSE)</f>
        <v>19</v>
      </c>
      <c r="V1034">
        <f>VLOOKUP(Auto_Sales_data___Copy[[#This Row],[CUSTOMER_NAME]],$AF$2:$AH$90,3,FALSE)</f>
        <v>75754.87999999999</v>
      </c>
      <c r="W1034" s="2">
        <f>6-MATCH(Auto_Sales_data___Copy[[#This Row],[DAYS_SINCE_LAST_ORDER]],Table2[R-Cutoff],1)</f>
        <v>4</v>
      </c>
      <c r="X1034" s="2">
        <f>MATCH(Auto_Sales_data___Copy[[#This Row],[Total_Orders_Per_Customer]],Table2[F-Cutoff],1)</f>
        <v>2</v>
      </c>
      <c r="Y1034" s="2">
        <f>MATCH(Auto_Sales_data___Copy[[#This Row],[Total_Sales_Per_Customer]],Table2[M-Cutoff],1)</f>
        <v>2</v>
      </c>
      <c r="Z1034" s="2" t="str">
        <f>Auto_Sales_data___Copy[[#This Row],[R-Score(1-5)]]&amp;Auto_Sales_data___Copy[[#This Row],[F-Score(1-5)]]&amp;Auto_Sales_data___Copy[[#This Row],[M-Score(1-5)]]</f>
        <v>422</v>
      </c>
      <c r="AA1034" s="2" t="str" cm="1">
        <f t="array" ref="AA10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4" s="2" t="str">
        <f>VLOOKUP(Auto_Sales_data___Copy[[#This Row],[Segment Name]],Table3[],2,FALSE)</f>
        <v>Brand Awareness &amp; Value Proposition</v>
      </c>
    </row>
    <row r="1035" spans="1:28" x14ac:dyDescent="0.25">
      <c r="A1035">
        <v>10326</v>
      </c>
      <c r="B1035">
        <v>50</v>
      </c>
      <c r="C1035">
        <v>86.01</v>
      </c>
      <c r="D1035">
        <v>5</v>
      </c>
      <c r="E1035">
        <v>4300.5</v>
      </c>
      <c r="F1035" s="1">
        <v>43778</v>
      </c>
      <c r="G1035" s="2" t="s">
        <v>19</v>
      </c>
      <c r="H1035" s="2" t="s">
        <v>589</v>
      </c>
      <c r="I1035">
        <v>87</v>
      </c>
      <c r="J1035" s="2" t="s">
        <v>660</v>
      </c>
      <c r="K1035" s="2" t="s">
        <v>185</v>
      </c>
      <c r="L1035" s="2" t="s">
        <v>186</v>
      </c>
      <c r="M1035" s="2" t="s">
        <v>187</v>
      </c>
      <c r="N1035" s="2" t="s">
        <v>188</v>
      </c>
      <c r="O1035" s="2" t="s">
        <v>189</v>
      </c>
      <c r="P1035" s="2" t="s">
        <v>190</v>
      </c>
      <c r="Q1035" s="2" t="s">
        <v>191</v>
      </c>
      <c r="R1035" s="2" t="s">
        <v>192</v>
      </c>
      <c r="S1035" s="2" t="s">
        <v>46</v>
      </c>
      <c r="T1035">
        <v>1464</v>
      </c>
      <c r="U1035">
        <f>VLOOKUP(Auto_Sales_data___Copy[[#This Row],[CUSTOMER_NAME]],$AF$2:$AH$90,2,FALSE)</f>
        <v>19</v>
      </c>
      <c r="V1035">
        <f>VLOOKUP(Auto_Sales_data___Copy[[#This Row],[CUSTOMER_NAME]],$AF$2:$AH$90,3,FALSE)</f>
        <v>75754.87999999999</v>
      </c>
      <c r="W1035" s="2">
        <f>6-MATCH(Auto_Sales_data___Copy[[#This Row],[DAYS_SINCE_LAST_ORDER]],Table2[R-Cutoff],1)</f>
        <v>4</v>
      </c>
      <c r="X1035" s="2">
        <f>MATCH(Auto_Sales_data___Copy[[#This Row],[Total_Orders_Per_Customer]],Table2[F-Cutoff],1)</f>
        <v>2</v>
      </c>
      <c r="Y1035" s="2">
        <f>MATCH(Auto_Sales_data___Copy[[#This Row],[Total_Sales_Per_Customer]],Table2[M-Cutoff],1)</f>
        <v>2</v>
      </c>
      <c r="Z1035" s="2" t="str">
        <f>Auto_Sales_data___Copy[[#This Row],[R-Score(1-5)]]&amp;Auto_Sales_data___Copy[[#This Row],[F-Score(1-5)]]&amp;Auto_Sales_data___Copy[[#This Row],[M-Score(1-5)]]</f>
        <v>422</v>
      </c>
      <c r="AA1035" s="2" t="str" cm="1">
        <f t="array" ref="AA10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5" s="2" t="str">
        <f>VLOOKUP(Auto_Sales_data___Copy[[#This Row],[Segment Name]],Table3[],2,FALSE)</f>
        <v>Brand Awareness &amp; Value Proposition</v>
      </c>
    </row>
    <row r="1036" spans="1:28" x14ac:dyDescent="0.25">
      <c r="A1036">
        <v>10334</v>
      </c>
      <c r="B1036">
        <v>20</v>
      </c>
      <c r="C1036">
        <v>143.94</v>
      </c>
      <c r="D1036">
        <v>3</v>
      </c>
      <c r="E1036">
        <v>2878.8</v>
      </c>
      <c r="F1036" s="1">
        <v>43788</v>
      </c>
      <c r="G1036" s="2" t="s">
        <v>423</v>
      </c>
      <c r="H1036" s="2" t="s">
        <v>183</v>
      </c>
      <c r="I1036">
        <v>169</v>
      </c>
      <c r="J1036" s="2" t="s">
        <v>649</v>
      </c>
      <c r="K1036" s="2" t="s">
        <v>185</v>
      </c>
      <c r="L1036" s="2" t="s">
        <v>186</v>
      </c>
      <c r="M1036" s="2" t="s">
        <v>187</v>
      </c>
      <c r="N1036" s="2" t="s">
        <v>188</v>
      </c>
      <c r="O1036" s="2" t="s">
        <v>189</v>
      </c>
      <c r="P1036" s="2" t="s">
        <v>190</v>
      </c>
      <c r="Q1036" s="2" t="s">
        <v>191</v>
      </c>
      <c r="R1036" s="2" t="s">
        <v>192</v>
      </c>
      <c r="S1036" s="2" t="s">
        <v>30</v>
      </c>
      <c r="T1036">
        <v>1205</v>
      </c>
      <c r="U1036">
        <f>VLOOKUP(Auto_Sales_data___Copy[[#This Row],[CUSTOMER_NAME]],$AF$2:$AH$90,2,FALSE)</f>
        <v>19</v>
      </c>
      <c r="V1036">
        <f>VLOOKUP(Auto_Sales_data___Copy[[#This Row],[CUSTOMER_NAME]],$AF$2:$AH$90,3,FALSE)</f>
        <v>75754.87999999999</v>
      </c>
      <c r="W1036" s="2">
        <f>6-MATCH(Auto_Sales_data___Copy[[#This Row],[DAYS_SINCE_LAST_ORDER]],Table2[R-Cutoff],1)</f>
        <v>4</v>
      </c>
      <c r="X1036" s="2">
        <f>MATCH(Auto_Sales_data___Copy[[#This Row],[Total_Orders_Per_Customer]],Table2[F-Cutoff],1)</f>
        <v>2</v>
      </c>
      <c r="Y1036" s="2">
        <f>MATCH(Auto_Sales_data___Copy[[#This Row],[Total_Sales_Per_Customer]],Table2[M-Cutoff],1)</f>
        <v>2</v>
      </c>
      <c r="Z1036" s="2" t="str">
        <f>Auto_Sales_data___Copy[[#This Row],[R-Score(1-5)]]&amp;Auto_Sales_data___Copy[[#This Row],[F-Score(1-5)]]&amp;Auto_Sales_data___Copy[[#This Row],[M-Score(1-5)]]</f>
        <v>422</v>
      </c>
      <c r="AA1036" s="2" t="str" cm="1">
        <f t="array" ref="AA10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6" s="2" t="str">
        <f>VLOOKUP(Auto_Sales_data___Copy[[#This Row],[Segment Name]],Table3[],2,FALSE)</f>
        <v>Brand Awareness &amp; Value Proposition</v>
      </c>
    </row>
    <row r="1037" spans="1:28" x14ac:dyDescent="0.25">
      <c r="A1037">
        <v>10334</v>
      </c>
      <c r="B1037">
        <v>49</v>
      </c>
      <c r="C1037">
        <v>138.03</v>
      </c>
      <c r="D1037">
        <v>4</v>
      </c>
      <c r="E1037">
        <v>6763.47</v>
      </c>
      <c r="F1037" s="1">
        <v>43788</v>
      </c>
      <c r="G1037" s="2" t="s">
        <v>423</v>
      </c>
      <c r="H1037" s="2" t="s">
        <v>537</v>
      </c>
      <c r="I1037">
        <v>121</v>
      </c>
      <c r="J1037" s="2" t="s">
        <v>661</v>
      </c>
      <c r="K1037" s="2" t="s">
        <v>185</v>
      </c>
      <c r="L1037" s="2" t="s">
        <v>186</v>
      </c>
      <c r="M1037" s="2" t="s">
        <v>187</v>
      </c>
      <c r="N1037" s="2" t="s">
        <v>188</v>
      </c>
      <c r="O1037" s="2" t="s">
        <v>189</v>
      </c>
      <c r="P1037" s="2" t="s">
        <v>190</v>
      </c>
      <c r="Q1037" s="2" t="s">
        <v>191</v>
      </c>
      <c r="R1037" s="2" t="s">
        <v>192</v>
      </c>
      <c r="S1037" s="2" t="s">
        <v>46</v>
      </c>
      <c r="T1037">
        <v>1481</v>
      </c>
      <c r="U1037">
        <f>VLOOKUP(Auto_Sales_data___Copy[[#This Row],[CUSTOMER_NAME]],$AF$2:$AH$90,2,FALSE)</f>
        <v>19</v>
      </c>
      <c r="V1037">
        <f>VLOOKUP(Auto_Sales_data___Copy[[#This Row],[CUSTOMER_NAME]],$AF$2:$AH$90,3,FALSE)</f>
        <v>75754.87999999999</v>
      </c>
      <c r="W1037" s="2">
        <f>6-MATCH(Auto_Sales_data___Copy[[#This Row],[DAYS_SINCE_LAST_ORDER]],Table2[R-Cutoff],1)</f>
        <v>4</v>
      </c>
      <c r="X1037" s="2">
        <f>MATCH(Auto_Sales_data___Copy[[#This Row],[Total_Orders_Per_Customer]],Table2[F-Cutoff],1)</f>
        <v>2</v>
      </c>
      <c r="Y1037" s="2">
        <f>MATCH(Auto_Sales_data___Copy[[#This Row],[Total_Sales_Per_Customer]],Table2[M-Cutoff],1)</f>
        <v>2</v>
      </c>
      <c r="Z1037" s="2" t="str">
        <f>Auto_Sales_data___Copy[[#This Row],[R-Score(1-5)]]&amp;Auto_Sales_data___Copy[[#This Row],[F-Score(1-5)]]&amp;Auto_Sales_data___Copy[[#This Row],[M-Score(1-5)]]</f>
        <v>422</v>
      </c>
      <c r="AA1037" s="2" t="str" cm="1">
        <f t="array" ref="AA10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7" s="2" t="str">
        <f>VLOOKUP(Auto_Sales_data___Copy[[#This Row],[Segment Name]],Table3[],2,FALSE)</f>
        <v>Brand Awareness &amp; Value Proposition</v>
      </c>
    </row>
    <row r="1038" spans="1:28" x14ac:dyDescent="0.25">
      <c r="A1038">
        <v>10337</v>
      </c>
      <c r="B1038">
        <v>36</v>
      </c>
      <c r="C1038">
        <v>157.76</v>
      </c>
      <c r="D1038">
        <v>3</v>
      </c>
      <c r="E1038">
        <v>5679.36</v>
      </c>
      <c r="F1038" s="1">
        <v>43790</v>
      </c>
      <c r="G1038" s="2" t="s">
        <v>19</v>
      </c>
      <c r="H1038" s="2" t="s">
        <v>183</v>
      </c>
      <c r="I1038">
        <v>143</v>
      </c>
      <c r="J1038" s="2" t="s">
        <v>658</v>
      </c>
      <c r="K1038" s="2" t="s">
        <v>206</v>
      </c>
      <c r="L1038" s="2" t="s">
        <v>207</v>
      </c>
      <c r="M1038" s="2" t="s">
        <v>208</v>
      </c>
      <c r="N1038" s="2" t="s">
        <v>25</v>
      </c>
      <c r="O1038" s="2" t="s">
        <v>26</v>
      </c>
      <c r="P1038" s="2" t="s">
        <v>27</v>
      </c>
      <c r="Q1038" s="2" t="s">
        <v>120</v>
      </c>
      <c r="R1038" s="2" t="s">
        <v>209</v>
      </c>
      <c r="S1038" s="2" t="s">
        <v>46</v>
      </c>
      <c r="T1038">
        <v>1405</v>
      </c>
      <c r="U1038">
        <f>VLOOKUP(Auto_Sales_data___Copy[[#This Row],[CUSTOMER_NAME]],$AF$2:$AH$90,2,FALSE)</f>
        <v>20</v>
      </c>
      <c r="V1038">
        <f>VLOOKUP(Auto_Sales_data___Copy[[#This Row],[CUSTOMER_NAME]],$AF$2:$AH$90,3,FALSE)</f>
        <v>77795.200000000012</v>
      </c>
      <c r="W1038" s="2">
        <f>6-MATCH(Auto_Sales_data___Copy[[#This Row],[DAYS_SINCE_LAST_ORDER]],Table2[R-Cutoff],1)</f>
        <v>4</v>
      </c>
      <c r="X1038" s="2">
        <f>MATCH(Auto_Sales_data___Copy[[#This Row],[Total_Orders_Per_Customer]],Table2[F-Cutoff],1)</f>
        <v>2</v>
      </c>
      <c r="Y1038" s="2">
        <f>MATCH(Auto_Sales_data___Copy[[#This Row],[Total_Sales_Per_Customer]],Table2[M-Cutoff],1)</f>
        <v>2</v>
      </c>
      <c r="Z1038" s="2" t="str">
        <f>Auto_Sales_data___Copy[[#This Row],[R-Score(1-5)]]&amp;Auto_Sales_data___Copy[[#This Row],[F-Score(1-5)]]&amp;Auto_Sales_data___Copy[[#This Row],[M-Score(1-5)]]</f>
        <v>422</v>
      </c>
      <c r="AA1038" s="2" t="str" cm="1">
        <f t="array" ref="AA10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8" s="2" t="str">
        <f>VLOOKUP(Auto_Sales_data___Copy[[#This Row],[Segment Name]],Table3[],2,FALSE)</f>
        <v>Brand Awareness &amp; Value Proposition</v>
      </c>
    </row>
    <row r="1039" spans="1:28" x14ac:dyDescent="0.25">
      <c r="A1039">
        <v>10337</v>
      </c>
      <c r="B1039">
        <v>29</v>
      </c>
      <c r="C1039">
        <v>155.11000000000001</v>
      </c>
      <c r="D1039">
        <v>2</v>
      </c>
      <c r="E1039">
        <v>4498.1899999999996</v>
      </c>
      <c r="F1039" s="1">
        <v>43790</v>
      </c>
      <c r="G1039" s="2" t="s">
        <v>19</v>
      </c>
      <c r="H1039" s="2" t="s">
        <v>589</v>
      </c>
      <c r="I1039">
        <v>87</v>
      </c>
      <c r="J1039" s="2" t="s">
        <v>660</v>
      </c>
      <c r="K1039" s="2" t="s">
        <v>206</v>
      </c>
      <c r="L1039" s="2" t="s">
        <v>207</v>
      </c>
      <c r="M1039" s="2" t="s">
        <v>208</v>
      </c>
      <c r="N1039" s="2" t="s">
        <v>25</v>
      </c>
      <c r="O1039" s="2" t="s">
        <v>26</v>
      </c>
      <c r="P1039" s="2" t="s">
        <v>27</v>
      </c>
      <c r="Q1039" s="2" t="s">
        <v>120</v>
      </c>
      <c r="R1039" s="2" t="s">
        <v>209</v>
      </c>
      <c r="S1039" s="2" t="s">
        <v>46</v>
      </c>
      <c r="T1039">
        <v>1453</v>
      </c>
      <c r="U1039">
        <f>VLOOKUP(Auto_Sales_data___Copy[[#This Row],[CUSTOMER_NAME]],$AF$2:$AH$90,2,FALSE)</f>
        <v>20</v>
      </c>
      <c r="V1039">
        <f>VLOOKUP(Auto_Sales_data___Copy[[#This Row],[CUSTOMER_NAME]],$AF$2:$AH$90,3,FALSE)</f>
        <v>77795.200000000012</v>
      </c>
      <c r="W1039" s="2">
        <f>6-MATCH(Auto_Sales_data___Copy[[#This Row],[DAYS_SINCE_LAST_ORDER]],Table2[R-Cutoff],1)</f>
        <v>4</v>
      </c>
      <c r="X1039" s="2">
        <f>MATCH(Auto_Sales_data___Copy[[#This Row],[Total_Orders_Per_Customer]],Table2[F-Cutoff],1)</f>
        <v>2</v>
      </c>
      <c r="Y1039" s="2">
        <f>MATCH(Auto_Sales_data___Copy[[#This Row],[Total_Sales_Per_Customer]],Table2[M-Cutoff],1)</f>
        <v>2</v>
      </c>
      <c r="Z1039" s="2" t="str">
        <f>Auto_Sales_data___Copy[[#This Row],[R-Score(1-5)]]&amp;Auto_Sales_data___Copy[[#This Row],[F-Score(1-5)]]&amp;Auto_Sales_data___Copy[[#This Row],[M-Score(1-5)]]</f>
        <v>422</v>
      </c>
      <c r="AA1039" s="2" t="str" cm="1">
        <f t="array" ref="AA10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9" s="2" t="str">
        <f>VLOOKUP(Auto_Sales_data___Copy[[#This Row],[Segment Name]],Table3[],2,FALSE)</f>
        <v>Brand Awareness &amp; Value Proposition</v>
      </c>
    </row>
    <row r="1040" spans="1:28" x14ac:dyDescent="0.25">
      <c r="A1040">
        <v>10356</v>
      </c>
      <c r="B1040">
        <v>30</v>
      </c>
      <c r="C1040">
        <v>148.74</v>
      </c>
      <c r="D1040">
        <v>1</v>
      </c>
      <c r="E1040">
        <v>4462.2</v>
      </c>
      <c r="F1040" s="1">
        <v>43808</v>
      </c>
      <c r="G1040" s="2" t="s">
        <v>19</v>
      </c>
      <c r="H1040" s="2" t="s">
        <v>589</v>
      </c>
      <c r="I1040">
        <v>168</v>
      </c>
      <c r="J1040" s="2" t="s">
        <v>638</v>
      </c>
      <c r="K1040" s="2" t="s">
        <v>39</v>
      </c>
      <c r="L1040" s="2" t="s">
        <v>40</v>
      </c>
      <c r="M1040" s="2" t="s">
        <v>41</v>
      </c>
      <c r="N1040" s="2" t="s">
        <v>42</v>
      </c>
      <c r="O1040" s="2" t="s">
        <v>43</v>
      </c>
      <c r="P1040" s="2" t="s">
        <v>36</v>
      </c>
      <c r="Q1040" s="2" t="s">
        <v>44</v>
      </c>
      <c r="R1040" s="2" t="s">
        <v>45</v>
      </c>
      <c r="S1040" s="2" t="s">
        <v>46</v>
      </c>
      <c r="T1040">
        <v>992</v>
      </c>
      <c r="U1040">
        <f>VLOOKUP(Auto_Sales_data___Copy[[#This Row],[CUSTOMER_NAME]],$AF$2:$AH$90,2,FALSE)</f>
        <v>20</v>
      </c>
      <c r="V1040">
        <f>VLOOKUP(Auto_Sales_data___Copy[[#This Row],[CUSTOMER_NAME]],$AF$2:$AH$90,3,FALSE)</f>
        <v>78570.34</v>
      </c>
      <c r="W1040" s="2">
        <f>6-MATCH(Auto_Sales_data___Copy[[#This Row],[DAYS_SINCE_LAST_ORDER]],Table2[R-Cutoff],1)</f>
        <v>4</v>
      </c>
      <c r="X1040" s="2">
        <f>MATCH(Auto_Sales_data___Copy[[#This Row],[Total_Orders_Per_Customer]],Table2[F-Cutoff],1)</f>
        <v>2</v>
      </c>
      <c r="Y1040" s="2">
        <f>MATCH(Auto_Sales_data___Copy[[#This Row],[Total_Sales_Per_Customer]],Table2[M-Cutoff],1)</f>
        <v>2</v>
      </c>
      <c r="Z1040" s="2" t="str">
        <f>Auto_Sales_data___Copy[[#This Row],[R-Score(1-5)]]&amp;Auto_Sales_data___Copy[[#This Row],[F-Score(1-5)]]&amp;Auto_Sales_data___Copy[[#This Row],[M-Score(1-5)]]</f>
        <v>422</v>
      </c>
      <c r="AA1040" s="2" t="str" cm="1">
        <f t="array" ref="AA10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0" s="2" t="str">
        <f>VLOOKUP(Auto_Sales_data___Copy[[#This Row],[Segment Name]],Table3[],2,FALSE)</f>
        <v>Brand Awareness &amp; Value Proposition</v>
      </c>
    </row>
    <row r="1041" spans="1:28" x14ac:dyDescent="0.25">
      <c r="A1041">
        <v>10411</v>
      </c>
      <c r="B1041">
        <v>46</v>
      </c>
      <c r="C1041">
        <v>113.82</v>
      </c>
      <c r="D1041">
        <v>3</v>
      </c>
      <c r="E1041">
        <v>5235.72</v>
      </c>
      <c r="F1041" s="1">
        <v>43952</v>
      </c>
      <c r="G1041" s="2" t="s">
        <v>19</v>
      </c>
      <c r="H1041" s="2" t="s">
        <v>537</v>
      </c>
      <c r="I1041">
        <v>121</v>
      </c>
      <c r="J1041" s="2" t="s">
        <v>661</v>
      </c>
      <c r="K1041" s="2" t="s">
        <v>307</v>
      </c>
      <c r="L1041" s="2" t="s">
        <v>308</v>
      </c>
      <c r="M1041" s="2" t="s">
        <v>309</v>
      </c>
      <c r="N1041" s="2" t="s">
        <v>310</v>
      </c>
      <c r="O1041" s="2" t="s">
        <v>311</v>
      </c>
      <c r="P1041" s="2" t="s">
        <v>236</v>
      </c>
      <c r="Q1041" s="2" t="s">
        <v>312</v>
      </c>
      <c r="R1041" s="2" t="s">
        <v>313</v>
      </c>
      <c r="S1041" s="2" t="s">
        <v>46</v>
      </c>
      <c r="T1041">
        <v>1322</v>
      </c>
      <c r="U1041">
        <f>VLOOKUP(Auto_Sales_data___Copy[[#This Row],[CUSTOMER_NAME]],$AF$2:$AH$90,2,FALSE)</f>
        <v>22</v>
      </c>
      <c r="V1041">
        <f>VLOOKUP(Auto_Sales_data___Copy[[#This Row],[CUSTOMER_NAME]],$AF$2:$AH$90,3,FALSE)</f>
        <v>74204.790000000008</v>
      </c>
      <c r="W1041" s="2">
        <f>6-MATCH(Auto_Sales_data___Copy[[#This Row],[DAYS_SINCE_LAST_ORDER]],Table2[R-Cutoff],1)</f>
        <v>4</v>
      </c>
      <c r="X1041" s="2">
        <f>MATCH(Auto_Sales_data___Copy[[#This Row],[Total_Orders_Per_Customer]],Table2[F-Cutoff],1)</f>
        <v>2</v>
      </c>
      <c r="Y1041" s="2">
        <f>MATCH(Auto_Sales_data___Copy[[#This Row],[Total_Sales_Per_Customer]],Table2[M-Cutoff],1)</f>
        <v>2</v>
      </c>
      <c r="Z1041" s="2" t="str">
        <f>Auto_Sales_data___Copy[[#This Row],[R-Score(1-5)]]&amp;Auto_Sales_data___Copy[[#This Row],[F-Score(1-5)]]&amp;Auto_Sales_data___Copy[[#This Row],[M-Score(1-5)]]</f>
        <v>422</v>
      </c>
      <c r="AA1041" s="2" t="str" cm="1">
        <f t="array" ref="AA10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1" s="2" t="str">
        <f>VLOOKUP(Auto_Sales_data___Copy[[#This Row],[Segment Name]],Table3[],2,FALSE)</f>
        <v>Brand Awareness &amp; Value Proposition</v>
      </c>
    </row>
    <row r="1042" spans="1:28" x14ac:dyDescent="0.25">
      <c r="A1042">
        <v>10411</v>
      </c>
      <c r="B1042">
        <v>35</v>
      </c>
      <c r="C1042">
        <v>59.87</v>
      </c>
      <c r="D1042">
        <v>7</v>
      </c>
      <c r="E1042">
        <v>2095.4499999999998</v>
      </c>
      <c r="F1042" s="1">
        <v>43952</v>
      </c>
      <c r="G1042" s="2" t="s">
        <v>19</v>
      </c>
      <c r="H1042" s="2" t="s">
        <v>589</v>
      </c>
      <c r="I1042">
        <v>50</v>
      </c>
      <c r="J1042" s="2" t="s">
        <v>662</v>
      </c>
      <c r="K1042" s="2" t="s">
        <v>307</v>
      </c>
      <c r="L1042" s="2" t="s">
        <v>308</v>
      </c>
      <c r="M1042" s="2" t="s">
        <v>309</v>
      </c>
      <c r="N1042" s="2" t="s">
        <v>310</v>
      </c>
      <c r="O1042" s="2" t="s">
        <v>311</v>
      </c>
      <c r="P1042" s="2" t="s">
        <v>236</v>
      </c>
      <c r="Q1042" s="2" t="s">
        <v>312</v>
      </c>
      <c r="R1042" s="2" t="s">
        <v>313</v>
      </c>
      <c r="S1042" s="2" t="s">
        <v>30</v>
      </c>
      <c r="T1042">
        <v>1348</v>
      </c>
      <c r="U1042">
        <f>VLOOKUP(Auto_Sales_data___Copy[[#This Row],[CUSTOMER_NAME]],$AF$2:$AH$90,2,FALSE)</f>
        <v>22</v>
      </c>
      <c r="V1042">
        <f>VLOOKUP(Auto_Sales_data___Copy[[#This Row],[CUSTOMER_NAME]],$AF$2:$AH$90,3,FALSE)</f>
        <v>74204.790000000008</v>
      </c>
      <c r="W1042" s="2">
        <f>6-MATCH(Auto_Sales_data___Copy[[#This Row],[DAYS_SINCE_LAST_ORDER]],Table2[R-Cutoff],1)</f>
        <v>4</v>
      </c>
      <c r="X1042" s="2">
        <f>MATCH(Auto_Sales_data___Copy[[#This Row],[Total_Orders_Per_Customer]],Table2[F-Cutoff],1)</f>
        <v>2</v>
      </c>
      <c r="Y1042" s="2">
        <f>MATCH(Auto_Sales_data___Copy[[#This Row],[Total_Sales_Per_Customer]],Table2[M-Cutoff],1)</f>
        <v>2</v>
      </c>
      <c r="Z1042" s="2" t="str">
        <f>Auto_Sales_data___Copy[[#This Row],[R-Score(1-5)]]&amp;Auto_Sales_data___Copy[[#This Row],[F-Score(1-5)]]&amp;Auto_Sales_data___Copy[[#This Row],[M-Score(1-5)]]</f>
        <v>422</v>
      </c>
      <c r="AA1042" s="2" t="str" cm="1">
        <f t="array" ref="AA10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2" s="2" t="str">
        <f>VLOOKUP(Auto_Sales_data___Copy[[#This Row],[Segment Name]],Table3[],2,FALSE)</f>
        <v>Brand Awareness &amp; Value Proposition</v>
      </c>
    </row>
    <row r="1043" spans="1:28" x14ac:dyDescent="0.25">
      <c r="A1043">
        <v>10131</v>
      </c>
      <c r="B1043">
        <v>21</v>
      </c>
      <c r="C1043">
        <v>132.46</v>
      </c>
      <c r="D1043">
        <v>4</v>
      </c>
      <c r="E1043">
        <v>2781.66</v>
      </c>
      <c r="F1043" s="1">
        <v>43267</v>
      </c>
      <c r="G1043" s="2" t="s">
        <v>19</v>
      </c>
      <c r="H1043" s="2" t="s">
        <v>607</v>
      </c>
      <c r="I1043">
        <v>157</v>
      </c>
      <c r="J1043" s="2" t="s">
        <v>608</v>
      </c>
      <c r="K1043" s="2" t="s">
        <v>609</v>
      </c>
      <c r="L1043" s="2" t="s">
        <v>610</v>
      </c>
      <c r="M1043" s="2" t="s">
        <v>611</v>
      </c>
      <c r="N1043" s="2" t="s">
        <v>550</v>
      </c>
      <c r="O1043" s="2" t="s">
        <v>612</v>
      </c>
      <c r="P1043" s="2" t="s">
        <v>27</v>
      </c>
      <c r="Q1043" s="2" t="s">
        <v>613</v>
      </c>
      <c r="R1043" s="2" t="s">
        <v>614</v>
      </c>
      <c r="S1043" s="2" t="s">
        <v>30</v>
      </c>
      <c r="T1043">
        <v>1244</v>
      </c>
      <c r="U1043">
        <f>VLOOKUP(Auto_Sales_data___Copy[[#This Row],[CUSTOMER_NAME]],$AF$2:$AH$90,2,FALSE)</f>
        <v>19</v>
      </c>
      <c r="V1043">
        <f>VLOOKUP(Auto_Sales_data___Copy[[#This Row],[CUSTOMER_NAME]],$AF$2:$AH$90,3,FALSE)</f>
        <v>57294.420000000006</v>
      </c>
      <c r="W1043" s="2">
        <f>6-MATCH(Auto_Sales_data___Copy[[#This Row],[DAYS_SINCE_LAST_ORDER]],Table2[R-Cutoff],1)</f>
        <v>4</v>
      </c>
      <c r="X1043" s="2">
        <f>MATCH(Auto_Sales_data___Copy[[#This Row],[Total_Orders_Per_Customer]],Table2[F-Cutoff],1)</f>
        <v>2</v>
      </c>
      <c r="Y1043" s="2">
        <f>MATCH(Auto_Sales_data___Copy[[#This Row],[Total_Sales_Per_Customer]],Table2[M-Cutoff],1)</f>
        <v>1</v>
      </c>
      <c r="Z1043" s="2" t="str">
        <f>Auto_Sales_data___Copy[[#This Row],[R-Score(1-5)]]&amp;Auto_Sales_data___Copy[[#This Row],[F-Score(1-5)]]&amp;Auto_Sales_data___Copy[[#This Row],[M-Score(1-5)]]</f>
        <v>421</v>
      </c>
      <c r="AA1043" s="2" t="str" cm="1">
        <f t="array" ref="AA10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3" s="2" t="str">
        <f>VLOOKUP(Auto_Sales_data___Copy[[#This Row],[Segment Name]],Table3[],2,FALSE)</f>
        <v>Brand Awareness &amp; Value Proposition</v>
      </c>
    </row>
    <row r="1044" spans="1:28" x14ac:dyDescent="0.25">
      <c r="A1044">
        <v>10193</v>
      </c>
      <c r="B1044">
        <v>28</v>
      </c>
      <c r="C1044">
        <v>110.96</v>
      </c>
      <c r="D1044">
        <v>7</v>
      </c>
      <c r="E1044">
        <v>3106.88</v>
      </c>
      <c r="F1044" s="1">
        <v>43425</v>
      </c>
      <c r="G1044" s="2" t="s">
        <v>19</v>
      </c>
      <c r="H1044" s="2" t="s">
        <v>589</v>
      </c>
      <c r="I1044">
        <v>102</v>
      </c>
      <c r="J1044" s="2" t="s">
        <v>590</v>
      </c>
      <c r="K1044" s="2" t="s">
        <v>598</v>
      </c>
      <c r="L1044" s="2" t="s">
        <v>599</v>
      </c>
      <c r="M1044" s="2" t="s">
        <v>600</v>
      </c>
      <c r="N1044" s="2" t="s">
        <v>601</v>
      </c>
      <c r="O1044" s="2" t="s">
        <v>602</v>
      </c>
      <c r="P1044" s="2" t="s">
        <v>87</v>
      </c>
      <c r="Q1044" s="2" t="s">
        <v>603</v>
      </c>
      <c r="R1044" s="2" t="s">
        <v>604</v>
      </c>
      <c r="S1044" s="2" t="s">
        <v>46</v>
      </c>
      <c r="T1044">
        <v>1018</v>
      </c>
      <c r="U1044">
        <f>VLOOKUP(Auto_Sales_data___Copy[[#This Row],[CUSTOMER_NAME]],$AF$2:$AH$90,2,FALSE)</f>
        <v>23</v>
      </c>
      <c r="V1044">
        <f>VLOOKUP(Auto_Sales_data___Copy[[#This Row],[CUSTOMER_NAME]],$AF$2:$AH$90,3,FALSE)</f>
        <v>64591.460000000014</v>
      </c>
      <c r="W1044" s="2">
        <f>6-MATCH(Auto_Sales_data___Copy[[#This Row],[DAYS_SINCE_LAST_ORDER]],Table2[R-Cutoff],1)</f>
        <v>4</v>
      </c>
      <c r="X1044" s="2">
        <f>MATCH(Auto_Sales_data___Copy[[#This Row],[Total_Orders_Per_Customer]],Table2[F-Cutoff],1)</f>
        <v>2</v>
      </c>
      <c r="Y1044" s="2">
        <f>MATCH(Auto_Sales_data___Copy[[#This Row],[Total_Sales_Per_Customer]],Table2[M-Cutoff],1)</f>
        <v>1</v>
      </c>
      <c r="Z1044" s="2" t="str">
        <f>Auto_Sales_data___Copy[[#This Row],[R-Score(1-5)]]&amp;Auto_Sales_data___Copy[[#This Row],[F-Score(1-5)]]&amp;Auto_Sales_data___Copy[[#This Row],[M-Score(1-5)]]</f>
        <v>421</v>
      </c>
      <c r="AA1044" s="2" t="str" cm="1">
        <f t="array" ref="AA10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4" s="2" t="str">
        <f>VLOOKUP(Auto_Sales_data___Copy[[#This Row],[Segment Name]],Table3[],2,FALSE)</f>
        <v>Brand Awareness &amp; Value Proposition</v>
      </c>
    </row>
    <row r="1045" spans="1:28" x14ac:dyDescent="0.25">
      <c r="A1045">
        <v>10193</v>
      </c>
      <c r="B1045">
        <v>46</v>
      </c>
      <c r="C1045">
        <v>53.37</v>
      </c>
      <c r="D1045">
        <v>6</v>
      </c>
      <c r="E1045">
        <v>2455.02</v>
      </c>
      <c r="F1045" s="1">
        <v>43425</v>
      </c>
      <c r="G1045" s="2" t="s">
        <v>19</v>
      </c>
      <c r="H1045" s="2" t="s">
        <v>589</v>
      </c>
      <c r="I1045">
        <v>53</v>
      </c>
      <c r="J1045" s="2" t="s">
        <v>605</v>
      </c>
      <c r="K1045" s="2" t="s">
        <v>598</v>
      </c>
      <c r="L1045" s="2" t="s">
        <v>599</v>
      </c>
      <c r="M1045" s="2" t="s">
        <v>600</v>
      </c>
      <c r="N1045" s="2" t="s">
        <v>601</v>
      </c>
      <c r="O1045" s="2" t="s">
        <v>602</v>
      </c>
      <c r="P1045" s="2" t="s">
        <v>87</v>
      </c>
      <c r="Q1045" s="2" t="s">
        <v>603</v>
      </c>
      <c r="R1045" s="2" t="s">
        <v>604</v>
      </c>
      <c r="S1045" s="2" t="s">
        <v>30</v>
      </c>
      <c r="T1045">
        <v>1042</v>
      </c>
      <c r="U1045">
        <f>VLOOKUP(Auto_Sales_data___Copy[[#This Row],[CUSTOMER_NAME]],$AF$2:$AH$90,2,FALSE)</f>
        <v>23</v>
      </c>
      <c r="V1045">
        <f>VLOOKUP(Auto_Sales_data___Copy[[#This Row],[CUSTOMER_NAME]],$AF$2:$AH$90,3,FALSE)</f>
        <v>64591.460000000014</v>
      </c>
      <c r="W1045" s="2">
        <f>6-MATCH(Auto_Sales_data___Copy[[#This Row],[DAYS_SINCE_LAST_ORDER]],Table2[R-Cutoff],1)</f>
        <v>4</v>
      </c>
      <c r="X1045" s="2">
        <f>MATCH(Auto_Sales_data___Copy[[#This Row],[Total_Orders_Per_Customer]],Table2[F-Cutoff],1)</f>
        <v>2</v>
      </c>
      <c r="Y1045" s="2">
        <f>MATCH(Auto_Sales_data___Copy[[#This Row],[Total_Sales_Per_Customer]],Table2[M-Cutoff],1)</f>
        <v>1</v>
      </c>
      <c r="Z1045" s="2" t="str">
        <f>Auto_Sales_data___Copy[[#This Row],[R-Score(1-5)]]&amp;Auto_Sales_data___Copy[[#This Row],[F-Score(1-5)]]&amp;Auto_Sales_data___Copy[[#This Row],[M-Score(1-5)]]</f>
        <v>421</v>
      </c>
      <c r="AA1045" s="2" t="str" cm="1">
        <f t="array" ref="AA10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5" s="2" t="str">
        <f>VLOOKUP(Auto_Sales_data___Copy[[#This Row],[Segment Name]],Table3[],2,FALSE)</f>
        <v>Brand Awareness &amp; Value Proposition</v>
      </c>
    </row>
    <row r="1046" spans="1:28" x14ac:dyDescent="0.25">
      <c r="A1046">
        <v>10193</v>
      </c>
      <c r="B1046">
        <v>21</v>
      </c>
      <c r="C1046">
        <v>149.6</v>
      </c>
      <c r="D1046">
        <v>14</v>
      </c>
      <c r="E1046">
        <v>3141.6</v>
      </c>
      <c r="F1046" s="1">
        <v>43425</v>
      </c>
      <c r="G1046" s="2" t="s">
        <v>19</v>
      </c>
      <c r="H1046" s="2" t="s">
        <v>589</v>
      </c>
      <c r="I1046">
        <v>170</v>
      </c>
      <c r="J1046" s="2" t="s">
        <v>628</v>
      </c>
      <c r="K1046" s="2" t="s">
        <v>598</v>
      </c>
      <c r="L1046" s="2" t="s">
        <v>599</v>
      </c>
      <c r="M1046" s="2" t="s">
        <v>600</v>
      </c>
      <c r="N1046" s="2" t="s">
        <v>601</v>
      </c>
      <c r="O1046" s="2" t="s">
        <v>602</v>
      </c>
      <c r="P1046" s="2" t="s">
        <v>87</v>
      </c>
      <c r="Q1046" s="2" t="s">
        <v>603</v>
      </c>
      <c r="R1046" s="2" t="s">
        <v>604</v>
      </c>
      <c r="S1046" s="2" t="s">
        <v>46</v>
      </c>
      <c r="T1046">
        <v>1116</v>
      </c>
      <c r="U1046">
        <f>VLOOKUP(Auto_Sales_data___Copy[[#This Row],[CUSTOMER_NAME]],$AF$2:$AH$90,2,FALSE)</f>
        <v>23</v>
      </c>
      <c r="V1046">
        <f>VLOOKUP(Auto_Sales_data___Copy[[#This Row],[CUSTOMER_NAME]],$AF$2:$AH$90,3,FALSE)</f>
        <v>64591.460000000014</v>
      </c>
      <c r="W1046" s="2">
        <f>6-MATCH(Auto_Sales_data___Copy[[#This Row],[DAYS_SINCE_LAST_ORDER]],Table2[R-Cutoff],1)</f>
        <v>4</v>
      </c>
      <c r="X1046" s="2">
        <f>MATCH(Auto_Sales_data___Copy[[#This Row],[Total_Orders_Per_Customer]],Table2[F-Cutoff],1)</f>
        <v>2</v>
      </c>
      <c r="Y1046" s="2">
        <f>MATCH(Auto_Sales_data___Copy[[#This Row],[Total_Sales_Per_Customer]],Table2[M-Cutoff],1)</f>
        <v>1</v>
      </c>
      <c r="Z1046" s="2" t="str">
        <f>Auto_Sales_data___Copy[[#This Row],[R-Score(1-5)]]&amp;Auto_Sales_data___Copy[[#This Row],[F-Score(1-5)]]&amp;Auto_Sales_data___Copy[[#This Row],[M-Score(1-5)]]</f>
        <v>421</v>
      </c>
      <c r="AA1046" s="2" t="str" cm="1">
        <f t="array" ref="AA10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6" s="2" t="str">
        <f>VLOOKUP(Auto_Sales_data___Copy[[#This Row],[Segment Name]],Table3[],2,FALSE)</f>
        <v>Brand Awareness &amp; Value Proposition</v>
      </c>
    </row>
    <row r="1047" spans="1:28" x14ac:dyDescent="0.25">
      <c r="A1047">
        <v>10193</v>
      </c>
      <c r="B1047">
        <v>42</v>
      </c>
      <c r="C1047">
        <v>59.33</v>
      </c>
      <c r="D1047">
        <v>13</v>
      </c>
      <c r="E1047">
        <v>2491.86</v>
      </c>
      <c r="F1047" s="1">
        <v>43425</v>
      </c>
      <c r="G1047" s="2" t="s">
        <v>19</v>
      </c>
      <c r="H1047" s="2" t="s">
        <v>589</v>
      </c>
      <c r="I1047">
        <v>60</v>
      </c>
      <c r="J1047" s="2" t="s">
        <v>632</v>
      </c>
      <c r="K1047" s="2" t="s">
        <v>598</v>
      </c>
      <c r="L1047" s="2" t="s">
        <v>599</v>
      </c>
      <c r="M1047" s="2" t="s">
        <v>600</v>
      </c>
      <c r="N1047" s="2" t="s">
        <v>601</v>
      </c>
      <c r="O1047" s="2" t="s">
        <v>602</v>
      </c>
      <c r="P1047" s="2" t="s">
        <v>87</v>
      </c>
      <c r="Q1047" s="2" t="s">
        <v>603</v>
      </c>
      <c r="R1047" s="2" t="s">
        <v>604</v>
      </c>
      <c r="S1047" s="2" t="s">
        <v>30</v>
      </c>
      <c r="T1047">
        <v>1216</v>
      </c>
      <c r="U1047">
        <f>VLOOKUP(Auto_Sales_data___Copy[[#This Row],[CUSTOMER_NAME]],$AF$2:$AH$90,2,FALSE)</f>
        <v>23</v>
      </c>
      <c r="V1047">
        <f>VLOOKUP(Auto_Sales_data___Copy[[#This Row],[CUSTOMER_NAME]],$AF$2:$AH$90,3,FALSE)</f>
        <v>64591.460000000014</v>
      </c>
      <c r="W1047" s="2">
        <f>6-MATCH(Auto_Sales_data___Copy[[#This Row],[DAYS_SINCE_LAST_ORDER]],Table2[R-Cutoff],1)</f>
        <v>4</v>
      </c>
      <c r="X1047" s="2">
        <f>MATCH(Auto_Sales_data___Copy[[#This Row],[Total_Orders_Per_Customer]],Table2[F-Cutoff],1)</f>
        <v>2</v>
      </c>
      <c r="Y1047" s="2">
        <f>MATCH(Auto_Sales_data___Copy[[#This Row],[Total_Sales_Per_Customer]],Table2[M-Cutoff],1)</f>
        <v>1</v>
      </c>
      <c r="Z1047" s="2" t="str">
        <f>Auto_Sales_data___Copy[[#This Row],[R-Score(1-5)]]&amp;Auto_Sales_data___Copy[[#This Row],[F-Score(1-5)]]&amp;Auto_Sales_data___Copy[[#This Row],[M-Score(1-5)]]</f>
        <v>421</v>
      </c>
      <c r="AA1047" s="2" t="str" cm="1">
        <f t="array" ref="AA10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7" s="2" t="str">
        <f>VLOOKUP(Auto_Sales_data___Copy[[#This Row],[Segment Name]],Table3[],2,FALSE)</f>
        <v>Brand Awareness &amp; Value Proposition</v>
      </c>
    </row>
    <row r="1048" spans="1:28" x14ac:dyDescent="0.25">
      <c r="A1048">
        <v>10193</v>
      </c>
      <c r="B1048">
        <v>44</v>
      </c>
      <c r="C1048">
        <v>105.52</v>
      </c>
      <c r="D1048">
        <v>11</v>
      </c>
      <c r="E1048">
        <v>4642.88</v>
      </c>
      <c r="F1048" s="1">
        <v>43425</v>
      </c>
      <c r="G1048" s="2" t="s">
        <v>19</v>
      </c>
      <c r="H1048" s="2" t="s">
        <v>589</v>
      </c>
      <c r="I1048">
        <v>127</v>
      </c>
      <c r="J1048" s="2" t="s">
        <v>634</v>
      </c>
      <c r="K1048" s="2" t="s">
        <v>598</v>
      </c>
      <c r="L1048" s="2" t="s">
        <v>599</v>
      </c>
      <c r="M1048" s="2" t="s">
        <v>600</v>
      </c>
      <c r="N1048" s="2" t="s">
        <v>601</v>
      </c>
      <c r="O1048" s="2" t="s">
        <v>602</v>
      </c>
      <c r="P1048" s="2" t="s">
        <v>87</v>
      </c>
      <c r="Q1048" s="2" t="s">
        <v>603</v>
      </c>
      <c r="R1048" s="2" t="s">
        <v>604</v>
      </c>
      <c r="S1048" s="2" t="s">
        <v>46</v>
      </c>
      <c r="T1048">
        <v>1263</v>
      </c>
      <c r="U1048">
        <f>VLOOKUP(Auto_Sales_data___Copy[[#This Row],[CUSTOMER_NAME]],$AF$2:$AH$90,2,FALSE)</f>
        <v>23</v>
      </c>
      <c r="V1048">
        <f>VLOOKUP(Auto_Sales_data___Copy[[#This Row],[CUSTOMER_NAME]],$AF$2:$AH$90,3,FALSE)</f>
        <v>64591.460000000014</v>
      </c>
      <c r="W1048" s="2">
        <f>6-MATCH(Auto_Sales_data___Copy[[#This Row],[DAYS_SINCE_LAST_ORDER]],Table2[R-Cutoff],1)</f>
        <v>4</v>
      </c>
      <c r="X1048" s="2">
        <f>MATCH(Auto_Sales_data___Copy[[#This Row],[Total_Orders_Per_Customer]],Table2[F-Cutoff],1)</f>
        <v>2</v>
      </c>
      <c r="Y1048" s="2">
        <f>MATCH(Auto_Sales_data___Copy[[#This Row],[Total_Sales_Per_Customer]],Table2[M-Cutoff],1)</f>
        <v>1</v>
      </c>
      <c r="Z1048" s="2" t="str">
        <f>Auto_Sales_data___Copy[[#This Row],[R-Score(1-5)]]&amp;Auto_Sales_data___Copy[[#This Row],[F-Score(1-5)]]&amp;Auto_Sales_data___Copy[[#This Row],[M-Score(1-5)]]</f>
        <v>421</v>
      </c>
      <c r="AA1048" s="2" t="str" cm="1">
        <f t="array" ref="AA10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8" s="2" t="str">
        <f>VLOOKUP(Auto_Sales_data___Copy[[#This Row],[Segment Name]],Table3[],2,FALSE)</f>
        <v>Brand Awareness &amp; Value Proposition</v>
      </c>
    </row>
    <row r="1049" spans="1:28" x14ac:dyDescent="0.25">
      <c r="A1049">
        <v>10193</v>
      </c>
      <c r="B1049">
        <v>22</v>
      </c>
      <c r="C1049">
        <v>167.06</v>
      </c>
      <c r="D1049">
        <v>8</v>
      </c>
      <c r="E1049">
        <v>3675.32</v>
      </c>
      <c r="F1049" s="1">
        <v>43425</v>
      </c>
      <c r="G1049" s="2" t="s">
        <v>19</v>
      </c>
      <c r="H1049" s="2" t="s">
        <v>589</v>
      </c>
      <c r="I1049">
        <v>168</v>
      </c>
      <c r="J1049" s="2" t="s">
        <v>638</v>
      </c>
      <c r="K1049" s="2" t="s">
        <v>598</v>
      </c>
      <c r="L1049" s="2" t="s">
        <v>599</v>
      </c>
      <c r="M1049" s="2" t="s">
        <v>600</v>
      </c>
      <c r="N1049" s="2" t="s">
        <v>601</v>
      </c>
      <c r="O1049" s="2" t="s">
        <v>602</v>
      </c>
      <c r="P1049" s="2" t="s">
        <v>87</v>
      </c>
      <c r="Q1049" s="2" t="s">
        <v>603</v>
      </c>
      <c r="R1049" s="2" t="s">
        <v>604</v>
      </c>
      <c r="S1049" s="2" t="s">
        <v>46</v>
      </c>
      <c r="T1049">
        <v>1362</v>
      </c>
      <c r="U1049">
        <f>VLOOKUP(Auto_Sales_data___Copy[[#This Row],[CUSTOMER_NAME]],$AF$2:$AH$90,2,FALSE)</f>
        <v>23</v>
      </c>
      <c r="V1049">
        <f>VLOOKUP(Auto_Sales_data___Copy[[#This Row],[CUSTOMER_NAME]],$AF$2:$AH$90,3,FALSE)</f>
        <v>64591.460000000014</v>
      </c>
      <c r="W1049" s="2">
        <f>6-MATCH(Auto_Sales_data___Copy[[#This Row],[DAYS_SINCE_LAST_ORDER]],Table2[R-Cutoff],1)</f>
        <v>4</v>
      </c>
      <c r="X1049" s="2">
        <f>MATCH(Auto_Sales_data___Copy[[#This Row],[Total_Orders_Per_Customer]],Table2[F-Cutoff],1)</f>
        <v>2</v>
      </c>
      <c r="Y1049" s="2">
        <f>MATCH(Auto_Sales_data___Copy[[#This Row],[Total_Sales_Per_Customer]],Table2[M-Cutoff],1)</f>
        <v>1</v>
      </c>
      <c r="Z1049" s="2" t="str">
        <f>Auto_Sales_data___Copy[[#This Row],[R-Score(1-5)]]&amp;Auto_Sales_data___Copy[[#This Row],[F-Score(1-5)]]&amp;Auto_Sales_data___Copy[[#This Row],[M-Score(1-5)]]</f>
        <v>421</v>
      </c>
      <c r="AA1049" s="2" t="str" cm="1">
        <f t="array" ref="AA10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9" s="2" t="str">
        <f>VLOOKUP(Auto_Sales_data___Copy[[#This Row],[Segment Name]],Table3[],2,FALSE)</f>
        <v>Brand Awareness &amp; Value Proposition</v>
      </c>
    </row>
    <row r="1050" spans="1:28" x14ac:dyDescent="0.25">
      <c r="A1050">
        <v>10193</v>
      </c>
      <c r="B1050">
        <v>28</v>
      </c>
      <c r="C1050">
        <v>93.21</v>
      </c>
      <c r="D1050">
        <v>1</v>
      </c>
      <c r="E1050">
        <v>2609.88</v>
      </c>
      <c r="F1050" s="1">
        <v>43425</v>
      </c>
      <c r="G1050" s="2" t="s">
        <v>19</v>
      </c>
      <c r="H1050" s="2" t="s">
        <v>589</v>
      </c>
      <c r="I1050">
        <v>101</v>
      </c>
      <c r="J1050" s="2" t="s">
        <v>640</v>
      </c>
      <c r="K1050" s="2" t="s">
        <v>598</v>
      </c>
      <c r="L1050" s="2" t="s">
        <v>599</v>
      </c>
      <c r="M1050" s="2" t="s">
        <v>600</v>
      </c>
      <c r="N1050" s="2" t="s">
        <v>601</v>
      </c>
      <c r="O1050" s="2" t="s">
        <v>602</v>
      </c>
      <c r="P1050" s="2" t="s">
        <v>87</v>
      </c>
      <c r="Q1050" s="2" t="s">
        <v>603</v>
      </c>
      <c r="R1050" s="2" t="s">
        <v>604</v>
      </c>
      <c r="S1050" s="2" t="s">
        <v>30</v>
      </c>
      <c r="T1050">
        <v>1413</v>
      </c>
      <c r="U1050">
        <f>VLOOKUP(Auto_Sales_data___Copy[[#This Row],[CUSTOMER_NAME]],$AF$2:$AH$90,2,FALSE)</f>
        <v>23</v>
      </c>
      <c r="V1050">
        <f>VLOOKUP(Auto_Sales_data___Copy[[#This Row],[CUSTOMER_NAME]],$AF$2:$AH$90,3,FALSE)</f>
        <v>64591.460000000014</v>
      </c>
      <c r="W1050" s="2">
        <f>6-MATCH(Auto_Sales_data___Copy[[#This Row],[DAYS_SINCE_LAST_ORDER]],Table2[R-Cutoff],1)</f>
        <v>4</v>
      </c>
      <c r="X1050" s="2">
        <f>MATCH(Auto_Sales_data___Copy[[#This Row],[Total_Orders_Per_Customer]],Table2[F-Cutoff],1)</f>
        <v>2</v>
      </c>
      <c r="Y1050" s="2">
        <f>MATCH(Auto_Sales_data___Copy[[#This Row],[Total_Sales_Per_Customer]],Table2[M-Cutoff],1)</f>
        <v>1</v>
      </c>
      <c r="Z1050" s="2" t="str">
        <f>Auto_Sales_data___Copy[[#This Row],[R-Score(1-5)]]&amp;Auto_Sales_data___Copy[[#This Row],[F-Score(1-5)]]&amp;Auto_Sales_data___Copy[[#This Row],[M-Score(1-5)]]</f>
        <v>421</v>
      </c>
      <c r="AA1050" s="2" t="str" cm="1">
        <f t="array" ref="AA10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0" s="2" t="str">
        <f>VLOOKUP(Auto_Sales_data___Copy[[#This Row],[Segment Name]],Table3[],2,FALSE)</f>
        <v>Brand Awareness &amp; Value Proposition</v>
      </c>
    </row>
    <row r="1051" spans="1:28" x14ac:dyDescent="0.25">
      <c r="A1051">
        <v>10193</v>
      </c>
      <c r="B1051">
        <v>24</v>
      </c>
      <c r="C1051">
        <v>51.84</v>
      </c>
      <c r="D1051">
        <v>3</v>
      </c>
      <c r="E1051">
        <v>1244.1600000000001</v>
      </c>
      <c r="F1051" s="1">
        <v>43425</v>
      </c>
      <c r="G1051" s="2" t="s">
        <v>19</v>
      </c>
      <c r="H1051" s="2" t="s">
        <v>589</v>
      </c>
      <c r="I1051">
        <v>62</v>
      </c>
      <c r="J1051" s="2" t="s">
        <v>641</v>
      </c>
      <c r="K1051" s="2" t="s">
        <v>598</v>
      </c>
      <c r="L1051" s="2" t="s">
        <v>599</v>
      </c>
      <c r="M1051" s="2" t="s">
        <v>600</v>
      </c>
      <c r="N1051" s="2" t="s">
        <v>601</v>
      </c>
      <c r="O1051" s="2" t="s">
        <v>602</v>
      </c>
      <c r="P1051" s="2" t="s">
        <v>87</v>
      </c>
      <c r="Q1051" s="2" t="s">
        <v>603</v>
      </c>
      <c r="R1051" s="2" t="s">
        <v>604</v>
      </c>
      <c r="S1051" s="2" t="s">
        <v>30</v>
      </c>
      <c r="T1051">
        <v>1437</v>
      </c>
      <c r="U1051">
        <f>VLOOKUP(Auto_Sales_data___Copy[[#This Row],[CUSTOMER_NAME]],$AF$2:$AH$90,2,FALSE)</f>
        <v>23</v>
      </c>
      <c r="V1051">
        <f>VLOOKUP(Auto_Sales_data___Copy[[#This Row],[CUSTOMER_NAME]],$AF$2:$AH$90,3,FALSE)</f>
        <v>64591.460000000014</v>
      </c>
      <c r="W1051" s="2">
        <f>6-MATCH(Auto_Sales_data___Copy[[#This Row],[DAYS_SINCE_LAST_ORDER]],Table2[R-Cutoff],1)</f>
        <v>4</v>
      </c>
      <c r="X1051" s="2">
        <f>MATCH(Auto_Sales_data___Copy[[#This Row],[Total_Orders_Per_Customer]],Table2[F-Cutoff],1)</f>
        <v>2</v>
      </c>
      <c r="Y1051" s="2">
        <f>MATCH(Auto_Sales_data___Copy[[#This Row],[Total_Sales_Per_Customer]],Table2[M-Cutoff],1)</f>
        <v>1</v>
      </c>
      <c r="Z1051" s="2" t="str">
        <f>Auto_Sales_data___Copy[[#This Row],[R-Score(1-5)]]&amp;Auto_Sales_data___Copy[[#This Row],[F-Score(1-5)]]&amp;Auto_Sales_data___Copy[[#This Row],[M-Score(1-5)]]</f>
        <v>421</v>
      </c>
      <c r="AA1051" s="2" t="str" cm="1">
        <f t="array" ref="AA10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1" s="2" t="str">
        <f>VLOOKUP(Auto_Sales_data___Copy[[#This Row],[Segment Name]],Table3[],2,FALSE)</f>
        <v>Brand Awareness &amp; Value Proposition</v>
      </c>
    </row>
    <row r="1052" spans="1:28" x14ac:dyDescent="0.25">
      <c r="A1052">
        <v>10193</v>
      </c>
      <c r="B1052">
        <v>23</v>
      </c>
      <c r="C1052">
        <v>120.43</v>
      </c>
      <c r="D1052">
        <v>2</v>
      </c>
      <c r="E1052">
        <v>2769.89</v>
      </c>
      <c r="F1052" s="1">
        <v>43425</v>
      </c>
      <c r="G1052" s="2" t="s">
        <v>19</v>
      </c>
      <c r="H1052" s="2" t="s">
        <v>589</v>
      </c>
      <c r="I1052">
        <v>104</v>
      </c>
      <c r="J1052" s="2" t="s">
        <v>647</v>
      </c>
      <c r="K1052" s="2" t="s">
        <v>598</v>
      </c>
      <c r="L1052" s="2" t="s">
        <v>599</v>
      </c>
      <c r="M1052" s="2" t="s">
        <v>600</v>
      </c>
      <c r="N1052" s="2" t="s">
        <v>601</v>
      </c>
      <c r="O1052" s="2" t="s">
        <v>602</v>
      </c>
      <c r="P1052" s="2" t="s">
        <v>87</v>
      </c>
      <c r="Q1052" s="2" t="s">
        <v>603</v>
      </c>
      <c r="R1052" s="2" t="s">
        <v>604</v>
      </c>
      <c r="S1052" s="2" t="s">
        <v>30</v>
      </c>
      <c r="T1052">
        <v>1487</v>
      </c>
      <c r="U1052">
        <f>VLOOKUP(Auto_Sales_data___Copy[[#This Row],[CUSTOMER_NAME]],$AF$2:$AH$90,2,FALSE)</f>
        <v>23</v>
      </c>
      <c r="V1052">
        <f>VLOOKUP(Auto_Sales_data___Copy[[#This Row],[CUSTOMER_NAME]],$AF$2:$AH$90,3,FALSE)</f>
        <v>64591.460000000014</v>
      </c>
      <c r="W1052" s="2">
        <f>6-MATCH(Auto_Sales_data___Copy[[#This Row],[DAYS_SINCE_LAST_ORDER]],Table2[R-Cutoff],1)</f>
        <v>4</v>
      </c>
      <c r="X1052" s="2">
        <f>MATCH(Auto_Sales_data___Copy[[#This Row],[Total_Orders_Per_Customer]],Table2[F-Cutoff],1)</f>
        <v>2</v>
      </c>
      <c r="Y1052" s="2">
        <f>MATCH(Auto_Sales_data___Copy[[#This Row],[Total_Sales_Per_Customer]],Table2[M-Cutoff],1)</f>
        <v>1</v>
      </c>
      <c r="Z1052" s="2" t="str">
        <f>Auto_Sales_data___Copy[[#This Row],[R-Score(1-5)]]&amp;Auto_Sales_data___Copy[[#This Row],[F-Score(1-5)]]&amp;Auto_Sales_data___Copy[[#This Row],[M-Score(1-5)]]</f>
        <v>421</v>
      </c>
      <c r="AA1052" s="2" t="str" cm="1">
        <f t="array" ref="AA10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2" s="2" t="str">
        <f>VLOOKUP(Auto_Sales_data___Copy[[#This Row],[Segment Name]],Table3[],2,FALSE)</f>
        <v>Brand Awareness &amp; Value Proposition</v>
      </c>
    </row>
    <row r="1053" spans="1:28" x14ac:dyDescent="0.25">
      <c r="A1053">
        <v>10265</v>
      </c>
      <c r="B1053">
        <v>45</v>
      </c>
      <c r="C1053">
        <v>86.84</v>
      </c>
      <c r="D1053">
        <v>2</v>
      </c>
      <c r="E1053">
        <v>3907.8</v>
      </c>
      <c r="F1053" s="1">
        <v>43648</v>
      </c>
      <c r="G1053" s="2" t="s">
        <v>19</v>
      </c>
      <c r="H1053" s="2" t="s">
        <v>183</v>
      </c>
      <c r="I1053">
        <v>80</v>
      </c>
      <c r="J1053" s="2" t="s">
        <v>652</v>
      </c>
      <c r="K1053" s="2" t="s">
        <v>598</v>
      </c>
      <c r="L1053" s="2" t="s">
        <v>599</v>
      </c>
      <c r="M1053" s="2" t="s">
        <v>600</v>
      </c>
      <c r="N1053" s="2" t="s">
        <v>601</v>
      </c>
      <c r="O1053" s="2" t="s">
        <v>602</v>
      </c>
      <c r="P1053" s="2" t="s">
        <v>87</v>
      </c>
      <c r="Q1053" s="2" t="s">
        <v>603</v>
      </c>
      <c r="R1053" s="2" t="s">
        <v>604</v>
      </c>
      <c r="S1053" s="2" t="s">
        <v>46</v>
      </c>
      <c r="T1053">
        <v>1395</v>
      </c>
      <c r="U1053">
        <f>VLOOKUP(Auto_Sales_data___Copy[[#This Row],[CUSTOMER_NAME]],$AF$2:$AH$90,2,FALSE)</f>
        <v>23</v>
      </c>
      <c r="V1053">
        <f>VLOOKUP(Auto_Sales_data___Copy[[#This Row],[CUSTOMER_NAME]],$AF$2:$AH$90,3,FALSE)</f>
        <v>64591.460000000014</v>
      </c>
      <c r="W1053" s="2">
        <f>6-MATCH(Auto_Sales_data___Copy[[#This Row],[DAYS_SINCE_LAST_ORDER]],Table2[R-Cutoff],1)</f>
        <v>4</v>
      </c>
      <c r="X1053" s="2">
        <f>MATCH(Auto_Sales_data___Copy[[#This Row],[Total_Orders_Per_Customer]],Table2[F-Cutoff],1)</f>
        <v>2</v>
      </c>
      <c r="Y1053" s="2">
        <f>MATCH(Auto_Sales_data___Copy[[#This Row],[Total_Sales_Per_Customer]],Table2[M-Cutoff],1)</f>
        <v>1</v>
      </c>
      <c r="Z1053" s="2" t="str">
        <f>Auto_Sales_data___Copy[[#This Row],[R-Score(1-5)]]&amp;Auto_Sales_data___Copy[[#This Row],[F-Score(1-5)]]&amp;Auto_Sales_data___Copy[[#This Row],[M-Score(1-5)]]</f>
        <v>421</v>
      </c>
      <c r="AA1053" s="2" t="str" cm="1">
        <f t="array" ref="AA10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3" s="2" t="str">
        <f>VLOOKUP(Auto_Sales_data___Copy[[#This Row],[Segment Name]],Table3[],2,FALSE)</f>
        <v>Brand Awareness &amp; Value Proposition</v>
      </c>
    </row>
    <row r="1054" spans="1:28" x14ac:dyDescent="0.25">
      <c r="A1054">
        <v>10265</v>
      </c>
      <c r="B1054">
        <v>49</v>
      </c>
      <c r="C1054">
        <v>171.98</v>
      </c>
      <c r="D1054">
        <v>1</v>
      </c>
      <c r="E1054">
        <v>8427.02</v>
      </c>
      <c r="F1054" s="1">
        <v>43648</v>
      </c>
      <c r="G1054" s="2" t="s">
        <v>19</v>
      </c>
      <c r="H1054" s="2" t="s">
        <v>183</v>
      </c>
      <c r="I1054">
        <v>146</v>
      </c>
      <c r="J1054" s="2" t="s">
        <v>654</v>
      </c>
      <c r="K1054" s="2" t="s">
        <v>598</v>
      </c>
      <c r="L1054" s="2" t="s">
        <v>599</v>
      </c>
      <c r="M1054" s="2" t="s">
        <v>600</v>
      </c>
      <c r="N1054" s="2" t="s">
        <v>601</v>
      </c>
      <c r="O1054" s="2" t="s">
        <v>602</v>
      </c>
      <c r="P1054" s="2" t="s">
        <v>87</v>
      </c>
      <c r="Q1054" s="2" t="s">
        <v>603</v>
      </c>
      <c r="R1054" s="2" t="s">
        <v>604</v>
      </c>
      <c r="S1054" s="2" t="s">
        <v>151</v>
      </c>
      <c r="T1054">
        <v>1442</v>
      </c>
      <c r="U1054">
        <f>VLOOKUP(Auto_Sales_data___Copy[[#This Row],[CUSTOMER_NAME]],$AF$2:$AH$90,2,FALSE)</f>
        <v>23</v>
      </c>
      <c r="V1054">
        <f>VLOOKUP(Auto_Sales_data___Copy[[#This Row],[CUSTOMER_NAME]],$AF$2:$AH$90,3,FALSE)</f>
        <v>64591.460000000014</v>
      </c>
      <c r="W1054" s="2">
        <f>6-MATCH(Auto_Sales_data___Copy[[#This Row],[DAYS_SINCE_LAST_ORDER]],Table2[R-Cutoff],1)</f>
        <v>4</v>
      </c>
      <c r="X1054" s="2">
        <f>MATCH(Auto_Sales_data___Copy[[#This Row],[Total_Orders_Per_Customer]],Table2[F-Cutoff],1)</f>
        <v>2</v>
      </c>
      <c r="Y1054" s="2">
        <f>MATCH(Auto_Sales_data___Copy[[#This Row],[Total_Sales_Per_Customer]],Table2[M-Cutoff],1)</f>
        <v>1</v>
      </c>
      <c r="Z1054" s="2" t="str">
        <f>Auto_Sales_data___Copy[[#This Row],[R-Score(1-5)]]&amp;Auto_Sales_data___Copy[[#This Row],[F-Score(1-5)]]&amp;Auto_Sales_data___Copy[[#This Row],[M-Score(1-5)]]</f>
        <v>421</v>
      </c>
      <c r="AA1054" s="2" t="str" cm="1">
        <f t="array" ref="AA10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4" s="2" t="str">
        <f>VLOOKUP(Auto_Sales_data___Copy[[#This Row],[Segment Name]],Table3[],2,FALSE)</f>
        <v>Brand Awareness &amp; Value Proposition</v>
      </c>
    </row>
    <row r="1055" spans="1:28" x14ac:dyDescent="0.25">
      <c r="A1055">
        <v>10353</v>
      </c>
      <c r="B1055">
        <v>27</v>
      </c>
      <c r="C1055">
        <v>130.21</v>
      </c>
      <c r="D1055">
        <v>1</v>
      </c>
      <c r="E1055">
        <v>3515.67</v>
      </c>
      <c r="F1055" s="1">
        <v>43803</v>
      </c>
      <c r="G1055" s="2" t="s">
        <v>19</v>
      </c>
      <c r="H1055" s="2" t="s">
        <v>607</v>
      </c>
      <c r="I1055">
        <v>84</v>
      </c>
      <c r="J1055" s="2" t="s">
        <v>636</v>
      </c>
      <c r="K1055" s="2" t="s">
        <v>609</v>
      </c>
      <c r="L1055" s="2" t="s">
        <v>610</v>
      </c>
      <c r="M1055" s="2" t="s">
        <v>611</v>
      </c>
      <c r="N1055" s="2" t="s">
        <v>550</v>
      </c>
      <c r="O1055" s="2" t="s">
        <v>612</v>
      </c>
      <c r="P1055" s="2" t="s">
        <v>27</v>
      </c>
      <c r="Q1055" s="2" t="s">
        <v>613</v>
      </c>
      <c r="R1055" s="2" t="s">
        <v>614</v>
      </c>
      <c r="S1055" s="2" t="s">
        <v>46</v>
      </c>
      <c r="T1055">
        <v>947</v>
      </c>
      <c r="U1055">
        <f>VLOOKUP(Auto_Sales_data___Copy[[#This Row],[CUSTOMER_NAME]],$AF$2:$AH$90,2,FALSE)</f>
        <v>19</v>
      </c>
      <c r="V1055">
        <f>VLOOKUP(Auto_Sales_data___Copy[[#This Row],[CUSTOMER_NAME]],$AF$2:$AH$90,3,FALSE)</f>
        <v>57294.420000000006</v>
      </c>
      <c r="W1055" s="2">
        <f>6-MATCH(Auto_Sales_data___Copy[[#This Row],[DAYS_SINCE_LAST_ORDER]],Table2[R-Cutoff],1)</f>
        <v>4</v>
      </c>
      <c r="X1055" s="2">
        <f>MATCH(Auto_Sales_data___Copy[[#This Row],[Total_Orders_Per_Customer]],Table2[F-Cutoff],1)</f>
        <v>2</v>
      </c>
      <c r="Y1055" s="2">
        <f>MATCH(Auto_Sales_data___Copy[[#This Row],[Total_Sales_Per_Customer]],Table2[M-Cutoff],1)</f>
        <v>1</v>
      </c>
      <c r="Z1055" s="2" t="str">
        <f>Auto_Sales_data___Copy[[#This Row],[R-Score(1-5)]]&amp;Auto_Sales_data___Copy[[#This Row],[F-Score(1-5)]]&amp;Auto_Sales_data___Copy[[#This Row],[M-Score(1-5)]]</f>
        <v>421</v>
      </c>
      <c r="AA1055" s="2" t="str" cm="1">
        <f t="array" ref="AA10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5" s="2" t="str">
        <f>VLOOKUP(Auto_Sales_data___Copy[[#This Row],[Segment Name]],Table3[],2,FALSE)</f>
        <v>Brand Awareness &amp; Value Proposition</v>
      </c>
    </row>
    <row r="1056" spans="1:28" x14ac:dyDescent="0.25">
      <c r="A1056">
        <v>10415</v>
      </c>
      <c r="B1056">
        <v>51</v>
      </c>
      <c r="C1056">
        <v>121.75</v>
      </c>
      <c r="D1056">
        <v>5</v>
      </c>
      <c r="E1056">
        <v>6209.25</v>
      </c>
      <c r="F1056" s="1">
        <v>43960</v>
      </c>
      <c r="G1056" s="2" t="s">
        <v>174</v>
      </c>
      <c r="H1056" s="2" t="s">
        <v>589</v>
      </c>
      <c r="I1056">
        <v>105</v>
      </c>
      <c r="J1056" s="2" t="s">
        <v>657</v>
      </c>
      <c r="K1056" s="2" t="s">
        <v>598</v>
      </c>
      <c r="L1056" s="2" t="s">
        <v>599</v>
      </c>
      <c r="M1056" s="2" t="s">
        <v>600</v>
      </c>
      <c r="N1056" s="2" t="s">
        <v>601</v>
      </c>
      <c r="O1056" s="2" t="s">
        <v>602</v>
      </c>
      <c r="P1056" s="2" t="s">
        <v>87</v>
      </c>
      <c r="Q1056" s="2" t="s">
        <v>603</v>
      </c>
      <c r="R1056" s="2" t="s">
        <v>604</v>
      </c>
      <c r="S1056" s="2" t="s">
        <v>46</v>
      </c>
      <c r="T1056">
        <v>1215</v>
      </c>
      <c r="U1056">
        <f>VLOOKUP(Auto_Sales_data___Copy[[#This Row],[CUSTOMER_NAME]],$AF$2:$AH$90,2,FALSE)</f>
        <v>23</v>
      </c>
      <c r="V1056">
        <f>VLOOKUP(Auto_Sales_data___Copy[[#This Row],[CUSTOMER_NAME]],$AF$2:$AH$90,3,FALSE)</f>
        <v>64591.460000000014</v>
      </c>
      <c r="W1056" s="2">
        <f>6-MATCH(Auto_Sales_data___Copy[[#This Row],[DAYS_SINCE_LAST_ORDER]],Table2[R-Cutoff],1)</f>
        <v>4</v>
      </c>
      <c r="X1056" s="2">
        <f>MATCH(Auto_Sales_data___Copy[[#This Row],[Total_Orders_Per_Customer]],Table2[F-Cutoff],1)</f>
        <v>2</v>
      </c>
      <c r="Y1056" s="2">
        <f>MATCH(Auto_Sales_data___Copy[[#This Row],[Total_Sales_Per_Customer]],Table2[M-Cutoff],1)</f>
        <v>1</v>
      </c>
      <c r="Z1056" s="2" t="str">
        <f>Auto_Sales_data___Copy[[#This Row],[R-Score(1-5)]]&amp;Auto_Sales_data___Copy[[#This Row],[F-Score(1-5)]]&amp;Auto_Sales_data___Copy[[#This Row],[M-Score(1-5)]]</f>
        <v>421</v>
      </c>
      <c r="AA1056" s="2" t="str" cm="1">
        <f t="array" ref="AA10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6" s="2" t="str">
        <f>VLOOKUP(Auto_Sales_data___Copy[[#This Row],[Segment Name]],Table3[],2,FALSE)</f>
        <v>Brand Awareness &amp; Value Proposition</v>
      </c>
    </row>
    <row r="1057" spans="1:28" x14ac:dyDescent="0.25">
      <c r="A1057">
        <v>10123</v>
      </c>
      <c r="B1057">
        <v>26</v>
      </c>
      <c r="C1057">
        <v>118.22</v>
      </c>
      <c r="D1057">
        <v>2</v>
      </c>
      <c r="E1057">
        <v>3073.72</v>
      </c>
      <c r="F1057" s="1">
        <v>43240</v>
      </c>
      <c r="G1057" s="2" t="s">
        <v>19</v>
      </c>
      <c r="H1057" s="2" t="s">
        <v>183</v>
      </c>
      <c r="I1057">
        <v>124</v>
      </c>
      <c r="J1057" s="2" t="s">
        <v>606</v>
      </c>
      <c r="K1057" s="2" t="s">
        <v>327</v>
      </c>
      <c r="L1057" s="2" t="s">
        <v>328</v>
      </c>
      <c r="M1057" s="2" t="s">
        <v>329</v>
      </c>
      <c r="N1057" s="2" t="s">
        <v>111</v>
      </c>
      <c r="O1057" s="2" t="s">
        <v>112</v>
      </c>
      <c r="P1057" s="2" t="s">
        <v>36</v>
      </c>
      <c r="Q1057" s="2" t="s">
        <v>330</v>
      </c>
      <c r="R1057" s="2" t="s">
        <v>331</v>
      </c>
      <c r="S1057" s="2" t="s">
        <v>46</v>
      </c>
      <c r="T1057">
        <v>1245</v>
      </c>
      <c r="U1057">
        <f>VLOOKUP(Auto_Sales_data___Copy[[#This Row],[CUSTOMER_NAME]],$AF$2:$AH$90,2,FALSE)</f>
        <v>7</v>
      </c>
      <c r="V1057">
        <f>VLOOKUP(Auto_Sales_data___Copy[[#This Row],[CUSTOMER_NAME]],$AF$2:$AH$90,3,FALSE)</f>
        <v>24179.96</v>
      </c>
      <c r="W1057" s="2">
        <f>6-MATCH(Auto_Sales_data___Copy[[#This Row],[DAYS_SINCE_LAST_ORDER]],Table2[R-Cutoff],1)</f>
        <v>4</v>
      </c>
      <c r="X1057" s="2">
        <f>MATCH(Auto_Sales_data___Copy[[#This Row],[Total_Orders_Per_Customer]],Table2[F-Cutoff],1)</f>
        <v>1</v>
      </c>
      <c r="Y1057" s="2">
        <f>MATCH(Auto_Sales_data___Copy[[#This Row],[Total_Sales_Per_Customer]],Table2[M-Cutoff],1)</f>
        <v>1</v>
      </c>
      <c r="Z1057" s="2" t="str">
        <f>Auto_Sales_data___Copy[[#This Row],[R-Score(1-5)]]&amp;Auto_Sales_data___Copy[[#This Row],[F-Score(1-5)]]&amp;Auto_Sales_data___Copy[[#This Row],[M-Score(1-5)]]</f>
        <v>411</v>
      </c>
      <c r="AA1057" s="2" t="str" cm="1">
        <f t="array" ref="AA10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7" s="2" t="str">
        <f>VLOOKUP(Auto_Sales_data___Copy[[#This Row],[Segment Name]],Table3[],2,FALSE)</f>
        <v>Brand Awareness &amp; Value Proposition</v>
      </c>
    </row>
    <row r="1058" spans="1:28" x14ac:dyDescent="0.25">
      <c r="A1058">
        <v>10149</v>
      </c>
      <c r="B1058">
        <v>50</v>
      </c>
      <c r="C1058">
        <v>118.15</v>
      </c>
      <c r="D1058">
        <v>4</v>
      </c>
      <c r="E1058">
        <v>5907.5</v>
      </c>
      <c r="F1058" s="1">
        <v>43355</v>
      </c>
      <c r="G1058" s="2" t="s">
        <v>19</v>
      </c>
      <c r="H1058" s="2" t="s">
        <v>589</v>
      </c>
      <c r="I1058">
        <v>102</v>
      </c>
      <c r="J1058" s="2" t="s">
        <v>590</v>
      </c>
      <c r="K1058" s="2" t="s">
        <v>562</v>
      </c>
      <c r="L1058" s="2" t="s">
        <v>563</v>
      </c>
      <c r="M1058" s="2" t="s">
        <v>564</v>
      </c>
      <c r="N1058" s="2" t="s">
        <v>565</v>
      </c>
      <c r="O1058" s="2" t="s">
        <v>58</v>
      </c>
      <c r="P1058" s="2" t="s">
        <v>27</v>
      </c>
      <c r="Q1058" s="2" t="s">
        <v>566</v>
      </c>
      <c r="R1058" s="2" t="s">
        <v>422</v>
      </c>
      <c r="S1058" s="2" t="s">
        <v>46</v>
      </c>
      <c r="T1058">
        <v>1085</v>
      </c>
      <c r="U1058">
        <f>VLOOKUP(Auto_Sales_data___Copy[[#This Row],[CUSTOMER_NAME]],$AF$2:$AH$90,2,FALSE)</f>
        <v>15</v>
      </c>
      <c r="V1058">
        <f>VLOOKUP(Auto_Sales_data___Copy[[#This Row],[CUSTOMER_NAME]],$AF$2:$AH$90,3,FALSE)</f>
        <v>50218.51</v>
      </c>
      <c r="W1058" s="2">
        <f>6-MATCH(Auto_Sales_data___Copy[[#This Row],[DAYS_SINCE_LAST_ORDER]],Table2[R-Cutoff],1)</f>
        <v>4</v>
      </c>
      <c r="X1058" s="2">
        <f>MATCH(Auto_Sales_data___Copy[[#This Row],[Total_Orders_Per_Customer]],Table2[F-Cutoff],1)</f>
        <v>1</v>
      </c>
      <c r="Y1058" s="2">
        <f>MATCH(Auto_Sales_data___Copy[[#This Row],[Total_Sales_Per_Customer]],Table2[M-Cutoff],1)</f>
        <v>1</v>
      </c>
      <c r="Z1058" s="2" t="str">
        <f>Auto_Sales_data___Copy[[#This Row],[R-Score(1-5)]]&amp;Auto_Sales_data___Copy[[#This Row],[F-Score(1-5)]]&amp;Auto_Sales_data___Copy[[#This Row],[M-Score(1-5)]]</f>
        <v>411</v>
      </c>
      <c r="AA1058" s="2" t="str" cm="1">
        <f t="array" ref="AA10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8" s="2" t="str">
        <f>VLOOKUP(Auto_Sales_data___Copy[[#This Row],[Segment Name]],Table3[],2,FALSE)</f>
        <v>Brand Awareness &amp; Value Proposition</v>
      </c>
    </row>
    <row r="1059" spans="1:28" x14ac:dyDescent="0.25">
      <c r="A1059">
        <v>10149</v>
      </c>
      <c r="B1059">
        <v>30</v>
      </c>
      <c r="C1059">
        <v>58.22</v>
      </c>
      <c r="D1059">
        <v>3</v>
      </c>
      <c r="E1059">
        <v>1746.6</v>
      </c>
      <c r="F1059" s="1">
        <v>43355</v>
      </c>
      <c r="G1059" s="2" t="s">
        <v>19</v>
      </c>
      <c r="H1059" s="2" t="s">
        <v>589</v>
      </c>
      <c r="I1059">
        <v>53</v>
      </c>
      <c r="J1059" s="2" t="s">
        <v>605</v>
      </c>
      <c r="K1059" s="2" t="s">
        <v>562</v>
      </c>
      <c r="L1059" s="2" t="s">
        <v>563</v>
      </c>
      <c r="M1059" s="2" t="s">
        <v>564</v>
      </c>
      <c r="N1059" s="2" t="s">
        <v>565</v>
      </c>
      <c r="O1059" s="2" t="s">
        <v>58</v>
      </c>
      <c r="P1059" s="2" t="s">
        <v>27</v>
      </c>
      <c r="Q1059" s="2" t="s">
        <v>566</v>
      </c>
      <c r="R1059" s="2" t="s">
        <v>422</v>
      </c>
      <c r="S1059" s="2" t="s">
        <v>30</v>
      </c>
      <c r="T1059">
        <v>1109</v>
      </c>
      <c r="U1059">
        <f>VLOOKUP(Auto_Sales_data___Copy[[#This Row],[CUSTOMER_NAME]],$AF$2:$AH$90,2,FALSE)</f>
        <v>15</v>
      </c>
      <c r="V1059">
        <f>VLOOKUP(Auto_Sales_data___Copy[[#This Row],[CUSTOMER_NAME]],$AF$2:$AH$90,3,FALSE)</f>
        <v>50218.51</v>
      </c>
      <c r="W1059" s="2">
        <f>6-MATCH(Auto_Sales_data___Copy[[#This Row],[DAYS_SINCE_LAST_ORDER]],Table2[R-Cutoff],1)</f>
        <v>4</v>
      </c>
      <c r="X1059" s="2">
        <f>MATCH(Auto_Sales_data___Copy[[#This Row],[Total_Orders_Per_Customer]],Table2[F-Cutoff],1)</f>
        <v>1</v>
      </c>
      <c r="Y1059" s="2">
        <f>MATCH(Auto_Sales_data___Copy[[#This Row],[Total_Sales_Per_Customer]],Table2[M-Cutoff],1)</f>
        <v>1</v>
      </c>
      <c r="Z1059" s="2" t="str">
        <f>Auto_Sales_data___Copy[[#This Row],[R-Score(1-5)]]&amp;Auto_Sales_data___Copy[[#This Row],[F-Score(1-5)]]&amp;Auto_Sales_data___Copy[[#This Row],[M-Score(1-5)]]</f>
        <v>411</v>
      </c>
      <c r="AA1059" s="2" t="str" cm="1">
        <f t="array" ref="AA10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9" s="2" t="str">
        <f>VLOOKUP(Auto_Sales_data___Copy[[#This Row],[Segment Name]],Table3[],2,FALSE)</f>
        <v>Brand Awareness &amp; Value Proposition</v>
      </c>
    </row>
    <row r="1060" spans="1:28" x14ac:dyDescent="0.25">
      <c r="A1060">
        <v>10149</v>
      </c>
      <c r="B1060">
        <v>34</v>
      </c>
      <c r="C1060">
        <v>158.1</v>
      </c>
      <c r="D1060">
        <v>11</v>
      </c>
      <c r="E1060">
        <v>5375.4</v>
      </c>
      <c r="F1060" s="1">
        <v>43355</v>
      </c>
      <c r="G1060" s="2" t="s">
        <v>19</v>
      </c>
      <c r="H1060" s="2" t="s">
        <v>589</v>
      </c>
      <c r="I1060">
        <v>170</v>
      </c>
      <c r="J1060" s="2" t="s">
        <v>628</v>
      </c>
      <c r="K1060" s="2" t="s">
        <v>562</v>
      </c>
      <c r="L1060" s="2" t="s">
        <v>563</v>
      </c>
      <c r="M1060" s="2" t="s">
        <v>564</v>
      </c>
      <c r="N1060" s="2" t="s">
        <v>565</v>
      </c>
      <c r="O1060" s="2" t="s">
        <v>58</v>
      </c>
      <c r="P1060" s="2" t="s">
        <v>27</v>
      </c>
      <c r="Q1060" s="2" t="s">
        <v>566</v>
      </c>
      <c r="R1060" s="2" t="s">
        <v>422</v>
      </c>
      <c r="S1060" s="2" t="s">
        <v>46</v>
      </c>
      <c r="T1060">
        <v>1183</v>
      </c>
      <c r="U1060">
        <f>VLOOKUP(Auto_Sales_data___Copy[[#This Row],[CUSTOMER_NAME]],$AF$2:$AH$90,2,FALSE)</f>
        <v>15</v>
      </c>
      <c r="V1060">
        <f>VLOOKUP(Auto_Sales_data___Copy[[#This Row],[CUSTOMER_NAME]],$AF$2:$AH$90,3,FALSE)</f>
        <v>50218.51</v>
      </c>
      <c r="W1060" s="2">
        <f>6-MATCH(Auto_Sales_data___Copy[[#This Row],[DAYS_SINCE_LAST_ORDER]],Table2[R-Cutoff],1)</f>
        <v>4</v>
      </c>
      <c r="X1060" s="2">
        <f>MATCH(Auto_Sales_data___Copy[[#This Row],[Total_Orders_Per_Customer]],Table2[F-Cutoff],1)</f>
        <v>1</v>
      </c>
      <c r="Y1060" s="2">
        <f>MATCH(Auto_Sales_data___Copy[[#This Row],[Total_Sales_Per_Customer]],Table2[M-Cutoff],1)</f>
        <v>1</v>
      </c>
      <c r="Z1060" s="2" t="str">
        <f>Auto_Sales_data___Copy[[#This Row],[R-Score(1-5)]]&amp;Auto_Sales_data___Copy[[#This Row],[F-Score(1-5)]]&amp;Auto_Sales_data___Copy[[#This Row],[M-Score(1-5)]]</f>
        <v>411</v>
      </c>
      <c r="AA1060" s="2" t="str" cm="1">
        <f t="array" ref="AA10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0" s="2" t="str">
        <f>VLOOKUP(Auto_Sales_data___Copy[[#This Row],[Segment Name]],Table3[],2,FALSE)</f>
        <v>Brand Awareness &amp; Value Proposition</v>
      </c>
    </row>
    <row r="1061" spans="1:28" x14ac:dyDescent="0.25">
      <c r="A1061">
        <v>10149</v>
      </c>
      <c r="B1061">
        <v>24</v>
      </c>
      <c r="C1061">
        <v>62.36</v>
      </c>
      <c r="D1061">
        <v>10</v>
      </c>
      <c r="E1061">
        <v>1496.64</v>
      </c>
      <c r="F1061" s="1">
        <v>43355</v>
      </c>
      <c r="G1061" s="2" t="s">
        <v>19</v>
      </c>
      <c r="H1061" s="2" t="s">
        <v>589</v>
      </c>
      <c r="I1061">
        <v>60</v>
      </c>
      <c r="J1061" s="2" t="s">
        <v>632</v>
      </c>
      <c r="K1061" s="2" t="s">
        <v>562</v>
      </c>
      <c r="L1061" s="2" t="s">
        <v>563</v>
      </c>
      <c r="M1061" s="2" t="s">
        <v>564</v>
      </c>
      <c r="N1061" s="2" t="s">
        <v>565</v>
      </c>
      <c r="O1061" s="2" t="s">
        <v>58</v>
      </c>
      <c r="P1061" s="2" t="s">
        <v>27</v>
      </c>
      <c r="Q1061" s="2" t="s">
        <v>566</v>
      </c>
      <c r="R1061" s="2" t="s">
        <v>422</v>
      </c>
      <c r="S1061" s="2" t="s">
        <v>30</v>
      </c>
      <c r="T1061">
        <v>1283</v>
      </c>
      <c r="U1061">
        <f>VLOOKUP(Auto_Sales_data___Copy[[#This Row],[CUSTOMER_NAME]],$AF$2:$AH$90,2,FALSE)</f>
        <v>15</v>
      </c>
      <c r="V1061">
        <f>VLOOKUP(Auto_Sales_data___Copy[[#This Row],[CUSTOMER_NAME]],$AF$2:$AH$90,3,FALSE)</f>
        <v>50218.51</v>
      </c>
      <c r="W1061" s="2">
        <f>6-MATCH(Auto_Sales_data___Copy[[#This Row],[DAYS_SINCE_LAST_ORDER]],Table2[R-Cutoff],1)</f>
        <v>4</v>
      </c>
      <c r="X1061" s="2">
        <f>MATCH(Auto_Sales_data___Copy[[#This Row],[Total_Orders_Per_Customer]],Table2[F-Cutoff],1)</f>
        <v>1</v>
      </c>
      <c r="Y1061" s="2">
        <f>MATCH(Auto_Sales_data___Copy[[#This Row],[Total_Sales_Per_Customer]],Table2[M-Cutoff],1)</f>
        <v>1</v>
      </c>
      <c r="Z1061" s="2" t="str">
        <f>Auto_Sales_data___Copy[[#This Row],[R-Score(1-5)]]&amp;Auto_Sales_data___Copy[[#This Row],[F-Score(1-5)]]&amp;Auto_Sales_data___Copy[[#This Row],[M-Score(1-5)]]</f>
        <v>411</v>
      </c>
      <c r="AA1061" s="2" t="str" cm="1">
        <f t="array" ref="AA10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1" s="2" t="str">
        <f>VLOOKUP(Auto_Sales_data___Copy[[#This Row],[Segment Name]],Table3[],2,FALSE)</f>
        <v>Brand Awareness &amp; Value Proposition</v>
      </c>
    </row>
    <row r="1062" spans="1:28" x14ac:dyDescent="0.25">
      <c r="A1062">
        <v>10149</v>
      </c>
      <c r="B1062">
        <v>33</v>
      </c>
      <c r="C1062">
        <v>150.01</v>
      </c>
      <c r="D1062">
        <v>8</v>
      </c>
      <c r="E1062">
        <v>4950.33</v>
      </c>
      <c r="F1062" s="1">
        <v>43355</v>
      </c>
      <c r="G1062" s="2" t="s">
        <v>19</v>
      </c>
      <c r="H1062" s="2" t="s">
        <v>589</v>
      </c>
      <c r="I1062">
        <v>127</v>
      </c>
      <c r="J1062" s="2" t="s">
        <v>634</v>
      </c>
      <c r="K1062" s="2" t="s">
        <v>562</v>
      </c>
      <c r="L1062" s="2" t="s">
        <v>563</v>
      </c>
      <c r="M1062" s="2" t="s">
        <v>564</v>
      </c>
      <c r="N1062" s="2" t="s">
        <v>565</v>
      </c>
      <c r="O1062" s="2" t="s">
        <v>58</v>
      </c>
      <c r="P1062" s="2" t="s">
        <v>27</v>
      </c>
      <c r="Q1062" s="2" t="s">
        <v>566</v>
      </c>
      <c r="R1062" s="2" t="s">
        <v>422</v>
      </c>
      <c r="S1062" s="2" t="s">
        <v>46</v>
      </c>
      <c r="T1062">
        <v>1330</v>
      </c>
      <c r="U1062">
        <f>VLOOKUP(Auto_Sales_data___Copy[[#This Row],[CUSTOMER_NAME]],$AF$2:$AH$90,2,FALSE)</f>
        <v>15</v>
      </c>
      <c r="V1062">
        <f>VLOOKUP(Auto_Sales_data___Copy[[#This Row],[CUSTOMER_NAME]],$AF$2:$AH$90,3,FALSE)</f>
        <v>50218.51</v>
      </c>
      <c r="W1062" s="2">
        <f>6-MATCH(Auto_Sales_data___Copy[[#This Row],[DAYS_SINCE_LAST_ORDER]],Table2[R-Cutoff],1)</f>
        <v>4</v>
      </c>
      <c r="X1062" s="2">
        <f>MATCH(Auto_Sales_data___Copy[[#This Row],[Total_Orders_Per_Customer]],Table2[F-Cutoff],1)</f>
        <v>1</v>
      </c>
      <c r="Y1062" s="2">
        <f>MATCH(Auto_Sales_data___Copy[[#This Row],[Total_Sales_Per_Customer]],Table2[M-Cutoff],1)</f>
        <v>1</v>
      </c>
      <c r="Z1062" s="2" t="str">
        <f>Auto_Sales_data___Copy[[#This Row],[R-Score(1-5)]]&amp;Auto_Sales_data___Copy[[#This Row],[F-Score(1-5)]]&amp;Auto_Sales_data___Copy[[#This Row],[M-Score(1-5)]]</f>
        <v>411</v>
      </c>
      <c r="AA1062" s="2" t="str" cm="1">
        <f t="array" ref="AA10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2" s="2" t="str">
        <f>VLOOKUP(Auto_Sales_data___Copy[[#This Row],[Segment Name]],Table3[],2,FALSE)</f>
        <v>Brand Awareness &amp; Value Proposition</v>
      </c>
    </row>
    <row r="1063" spans="1:28" x14ac:dyDescent="0.25">
      <c r="A1063">
        <v>10149</v>
      </c>
      <c r="B1063">
        <v>23</v>
      </c>
      <c r="C1063">
        <v>183.94</v>
      </c>
      <c r="D1063">
        <v>5</v>
      </c>
      <c r="E1063">
        <v>4230.62</v>
      </c>
      <c r="F1063" s="1">
        <v>43355</v>
      </c>
      <c r="G1063" s="2" t="s">
        <v>19</v>
      </c>
      <c r="H1063" s="2" t="s">
        <v>589</v>
      </c>
      <c r="I1063">
        <v>168</v>
      </c>
      <c r="J1063" s="2" t="s">
        <v>638</v>
      </c>
      <c r="K1063" s="2" t="s">
        <v>562</v>
      </c>
      <c r="L1063" s="2" t="s">
        <v>563</v>
      </c>
      <c r="M1063" s="2" t="s">
        <v>564</v>
      </c>
      <c r="N1063" s="2" t="s">
        <v>565</v>
      </c>
      <c r="O1063" s="2" t="s">
        <v>58</v>
      </c>
      <c r="P1063" s="2" t="s">
        <v>27</v>
      </c>
      <c r="Q1063" s="2" t="s">
        <v>566</v>
      </c>
      <c r="R1063" s="2" t="s">
        <v>422</v>
      </c>
      <c r="S1063" s="2" t="s">
        <v>46</v>
      </c>
      <c r="T1063">
        <v>1429</v>
      </c>
      <c r="U1063">
        <f>VLOOKUP(Auto_Sales_data___Copy[[#This Row],[CUSTOMER_NAME]],$AF$2:$AH$90,2,FALSE)</f>
        <v>15</v>
      </c>
      <c r="V1063">
        <f>VLOOKUP(Auto_Sales_data___Copy[[#This Row],[CUSTOMER_NAME]],$AF$2:$AH$90,3,FALSE)</f>
        <v>50218.51</v>
      </c>
      <c r="W1063" s="2">
        <f>6-MATCH(Auto_Sales_data___Copy[[#This Row],[DAYS_SINCE_LAST_ORDER]],Table2[R-Cutoff],1)</f>
        <v>4</v>
      </c>
      <c r="X1063" s="2">
        <f>MATCH(Auto_Sales_data___Copy[[#This Row],[Total_Orders_Per_Customer]],Table2[F-Cutoff],1)</f>
        <v>1</v>
      </c>
      <c r="Y1063" s="2">
        <f>MATCH(Auto_Sales_data___Copy[[#This Row],[Total_Sales_Per_Customer]],Table2[M-Cutoff],1)</f>
        <v>1</v>
      </c>
      <c r="Z1063" s="2" t="str">
        <f>Auto_Sales_data___Copy[[#This Row],[R-Score(1-5)]]&amp;Auto_Sales_data___Copy[[#This Row],[F-Score(1-5)]]&amp;Auto_Sales_data___Copy[[#This Row],[M-Score(1-5)]]</f>
        <v>411</v>
      </c>
      <c r="AA1063" s="2" t="str" cm="1">
        <f t="array" ref="AA10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3" s="2" t="str">
        <f>VLOOKUP(Auto_Sales_data___Copy[[#This Row],[Segment Name]],Table3[],2,FALSE)</f>
        <v>Brand Awareness &amp; Value Proposition</v>
      </c>
    </row>
    <row r="1064" spans="1:28" x14ac:dyDescent="0.25">
      <c r="A1064">
        <v>10164</v>
      </c>
      <c r="B1064">
        <v>36</v>
      </c>
      <c r="C1064">
        <v>99.17</v>
      </c>
      <c r="D1064">
        <v>8</v>
      </c>
      <c r="E1064">
        <v>3570.12</v>
      </c>
      <c r="F1064" s="1">
        <v>43394</v>
      </c>
      <c r="G1064" s="2" t="s">
        <v>431</v>
      </c>
      <c r="H1064" s="2" t="s">
        <v>537</v>
      </c>
      <c r="I1064">
        <v>116</v>
      </c>
      <c r="J1064" s="2" t="s">
        <v>575</v>
      </c>
      <c r="K1064" s="2" t="s">
        <v>432</v>
      </c>
      <c r="L1064" s="2" t="s">
        <v>433</v>
      </c>
      <c r="M1064" s="2" t="s">
        <v>434</v>
      </c>
      <c r="N1064" s="2" t="s">
        <v>435</v>
      </c>
      <c r="O1064" s="2" t="s">
        <v>436</v>
      </c>
      <c r="P1064" s="2" t="s">
        <v>148</v>
      </c>
      <c r="Q1064" s="2" t="s">
        <v>437</v>
      </c>
      <c r="R1064" s="2" t="s">
        <v>438</v>
      </c>
      <c r="S1064" s="2" t="s">
        <v>46</v>
      </c>
      <c r="T1064">
        <v>995</v>
      </c>
      <c r="U1064">
        <f>VLOOKUP(Auto_Sales_data___Copy[[#This Row],[CUSTOMER_NAME]],$AF$2:$AH$90,2,FALSE)</f>
        <v>15</v>
      </c>
      <c r="V1064">
        <f>VLOOKUP(Auto_Sales_data___Copy[[#This Row],[CUSTOMER_NAME]],$AF$2:$AH$90,3,FALSE)</f>
        <v>52263.899999999994</v>
      </c>
      <c r="W1064" s="2">
        <f>6-MATCH(Auto_Sales_data___Copy[[#This Row],[DAYS_SINCE_LAST_ORDER]],Table2[R-Cutoff],1)</f>
        <v>4</v>
      </c>
      <c r="X1064" s="2">
        <f>MATCH(Auto_Sales_data___Copy[[#This Row],[Total_Orders_Per_Customer]],Table2[F-Cutoff],1)</f>
        <v>1</v>
      </c>
      <c r="Y1064" s="2">
        <f>MATCH(Auto_Sales_data___Copy[[#This Row],[Total_Sales_Per_Customer]],Table2[M-Cutoff],1)</f>
        <v>1</v>
      </c>
      <c r="Z1064" s="2" t="str">
        <f>Auto_Sales_data___Copy[[#This Row],[R-Score(1-5)]]&amp;Auto_Sales_data___Copy[[#This Row],[F-Score(1-5)]]&amp;Auto_Sales_data___Copy[[#This Row],[M-Score(1-5)]]</f>
        <v>411</v>
      </c>
      <c r="AA1064" s="2" t="str" cm="1">
        <f t="array" ref="AA10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4" s="2" t="str">
        <f>VLOOKUP(Auto_Sales_data___Copy[[#This Row],[Segment Name]],Table3[],2,FALSE)</f>
        <v>Brand Awareness &amp; Value Proposition</v>
      </c>
    </row>
    <row r="1065" spans="1:28" x14ac:dyDescent="0.25">
      <c r="A1065">
        <v>10170</v>
      </c>
      <c r="B1065">
        <v>41</v>
      </c>
      <c r="C1065">
        <v>107.1</v>
      </c>
      <c r="D1065">
        <v>3</v>
      </c>
      <c r="E1065">
        <v>4391.1000000000004</v>
      </c>
      <c r="F1065" s="1">
        <v>43408</v>
      </c>
      <c r="G1065" s="2" t="s">
        <v>19</v>
      </c>
      <c r="H1065" s="2" t="s">
        <v>183</v>
      </c>
      <c r="I1065">
        <v>115</v>
      </c>
      <c r="J1065" s="2" t="s">
        <v>567</v>
      </c>
      <c r="K1065" s="2" t="s">
        <v>432</v>
      </c>
      <c r="L1065" s="2" t="s">
        <v>433</v>
      </c>
      <c r="M1065" s="2" t="s">
        <v>434</v>
      </c>
      <c r="N1065" s="2" t="s">
        <v>435</v>
      </c>
      <c r="O1065" s="2" t="s">
        <v>436</v>
      </c>
      <c r="P1065" s="2" t="s">
        <v>148</v>
      </c>
      <c r="Q1065" s="2" t="s">
        <v>437</v>
      </c>
      <c r="R1065" s="2" t="s">
        <v>438</v>
      </c>
      <c r="S1065" s="2" t="s">
        <v>46</v>
      </c>
      <c r="T1065">
        <v>955</v>
      </c>
      <c r="U1065">
        <f>VLOOKUP(Auto_Sales_data___Copy[[#This Row],[CUSTOMER_NAME]],$AF$2:$AH$90,2,FALSE)</f>
        <v>15</v>
      </c>
      <c r="V1065">
        <f>VLOOKUP(Auto_Sales_data___Copy[[#This Row],[CUSTOMER_NAME]],$AF$2:$AH$90,3,FALSE)</f>
        <v>52263.899999999994</v>
      </c>
      <c r="W1065" s="2">
        <f>6-MATCH(Auto_Sales_data___Copy[[#This Row],[DAYS_SINCE_LAST_ORDER]],Table2[R-Cutoff],1)</f>
        <v>4</v>
      </c>
      <c r="X1065" s="2">
        <f>MATCH(Auto_Sales_data___Copy[[#This Row],[Total_Orders_Per_Customer]],Table2[F-Cutoff],1)</f>
        <v>1</v>
      </c>
      <c r="Y1065" s="2">
        <f>MATCH(Auto_Sales_data___Copy[[#This Row],[Total_Sales_Per_Customer]],Table2[M-Cutoff],1)</f>
        <v>1</v>
      </c>
      <c r="Z1065" s="2" t="str">
        <f>Auto_Sales_data___Copy[[#This Row],[R-Score(1-5)]]&amp;Auto_Sales_data___Copy[[#This Row],[F-Score(1-5)]]&amp;Auto_Sales_data___Copy[[#This Row],[M-Score(1-5)]]</f>
        <v>411</v>
      </c>
      <c r="AA1065" s="2" t="str" cm="1">
        <f t="array" ref="AA10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5" s="2" t="str">
        <f>VLOOKUP(Auto_Sales_data___Copy[[#This Row],[Segment Name]],Table3[],2,FALSE)</f>
        <v>Brand Awareness &amp; Value Proposition</v>
      </c>
    </row>
    <row r="1066" spans="1:28" x14ac:dyDescent="0.25">
      <c r="A1066">
        <v>10170</v>
      </c>
      <c r="B1066">
        <v>20</v>
      </c>
      <c r="C1066">
        <v>63.14</v>
      </c>
      <c r="D1066">
        <v>2</v>
      </c>
      <c r="E1066">
        <v>1262.8</v>
      </c>
      <c r="F1066" s="1">
        <v>43408</v>
      </c>
      <c r="G1066" s="2" t="s">
        <v>19</v>
      </c>
      <c r="H1066" s="2" t="s">
        <v>183</v>
      </c>
      <c r="I1066">
        <v>77</v>
      </c>
      <c r="J1066" s="2" t="s">
        <v>629</v>
      </c>
      <c r="K1066" s="2" t="s">
        <v>432</v>
      </c>
      <c r="L1066" s="2" t="s">
        <v>433</v>
      </c>
      <c r="M1066" s="2" t="s">
        <v>434</v>
      </c>
      <c r="N1066" s="2" t="s">
        <v>435</v>
      </c>
      <c r="O1066" s="2" t="s">
        <v>436</v>
      </c>
      <c r="P1066" s="2" t="s">
        <v>148</v>
      </c>
      <c r="Q1066" s="2" t="s">
        <v>437</v>
      </c>
      <c r="R1066" s="2" t="s">
        <v>438</v>
      </c>
      <c r="S1066" s="2" t="s">
        <v>30</v>
      </c>
      <c r="T1066">
        <v>1152</v>
      </c>
      <c r="U1066">
        <f>VLOOKUP(Auto_Sales_data___Copy[[#This Row],[CUSTOMER_NAME]],$AF$2:$AH$90,2,FALSE)</f>
        <v>15</v>
      </c>
      <c r="V1066">
        <f>VLOOKUP(Auto_Sales_data___Copy[[#This Row],[CUSTOMER_NAME]],$AF$2:$AH$90,3,FALSE)</f>
        <v>52263.899999999994</v>
      </c>
      <c r="W1066" s="2">
        <f>6-MATCH(Auto_Sales_data___Copy[[#This Row],[DAYS_SINCE_LAST_ORDER]],Table2[R-Cutoff],1)</f>
        <v>4</v>
      </c>
      <c r="X1066" s="2">
        <f>MATCH(Auto_Sales_data___Copy[[#This Row],[Total_Orders_Per_Customer]],Table2[F-Cutoff],1)</f>
        <v>1</v>
      </c>
      <c r="Y1066" s="2">
        <f>MATCH(Auto_Sales_data___Copy[[#This Row],[Total_Sales_Per_Customer]],Table2[M-Cutoff],1)</f>
        <v>1</v>
      </c>
      <c r="Z1066" s="2" t="str">
        <f>Auto_Sales_data___Copy[[#This Row],[R-Score(1-5)]]&amp;Auto_Sales_data___Copy[[#This Row],[F-Score(1-5)]]&amp;Auto_Sales_data___Copy[[#This Row],[M-Score(1-5)]]</f>
        <v>411</v>
      </c>
      <c r="AA1066" s="2" t="str" cm="1">
        <f t="array" ref="AA10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6" s="2" t="str">
        <f>VLOOKUP(Auto_Sales_data___Copy[[#This Row],[Segment Name]],Table3[],2,FALSE)</f>
        <v>Brand Awareness &amp; Value Proposition</v>
      </c>
    </row>
    <row r="1067" spans="1:28" x14ac:dyDescent="0.25">
      <c r="A1067">
        <v>10174</v>
      </c>
      <c r="B1067">
        <v>48</v>
      </c>
      <c r="C1067">
        <v>93.34</v>
      </c>
      <c r="D1067">
        <v>3</v>
      </c>
      <c r="E1067">
        <v>4480.32</v>
      </c>
      <c r="F1067" s="1">
        <v>43410</v>
      </c>
      <c r="G1067" s="2" t="s">
        <v>19</v>
      </c>
      <c r="H1067" s="2" t="s">
        <v>537</v>
      </c>
      <c r="I1067">
        <v>116</v>
      </c>
      <c r="J1067" s="2" t="s">
        <v>575</v>
      </c>
      <c r="K1067" s="2" t="s">
        <v>210</v>
      </c>
      <c r="L1067" s="2" t="s">
        <v>211</v>
      </c>
      <c r="M1067" s="2" t="s">
        <v>212</v>
      </c>
      <c r="N1067" s="2" t="s">
        <v>213</v>
      </c>
      <c r="O1067" s="2" t="s">
        <v>214</v>
      </c>
      <c r="P1067" s="2" t="s">
        <v>87</v>
      </c>
      <c r="Q1067" s="2" t="s">
        <v>215</v>
      </c>
      <c r="R1067" s="2" t="s">
        <v>216</v>
      </c>
      <c r="S1067" s="2" t="s">
        <v>46</v>
      </c>
      <c r="T1067">
        <v>980</v>
      </c>
      <c r="U1067">
        <f>VLOOKUP(Auto_Sales_data___Copy[[#This Row],[CUSTOMER_NAME]],$AF$2:$AH$90,2,FALSE)</f>
        <v>15</v>
      </c>
      <c r="V1067">
        <f>VLOOKUP(Auto_Sales_data___Copy[[#This Row],[CUSTOMER_NAME]],$AF$2:$AH$90,3,FALSE)</f>
        <v>59469.120000000003</v>
      </c>
      <c r="W1067" s="2">
        <f>6-MATCH(Auto_Sales_data___Copy[[#This Row],[DAYS_SINCE_LAST_ORDER]],Table2[R-Cutoff],1)</f>
        <v>4</v>
      </c>
      <c r="X1067" s="2">
        <f>MATCH(Auto_Sales_data___Copy[[#This Row],[Total_Orders_Per_Customer]],Table2[F-Cutoff],1)</f>
        <v>1</v>
      </c>
      <c r="Y1067" s="2">
        <f>MATCH(Auto_Sales_data___Copy[[#This Row],[Total_Sales_Per_Customer]],Table2[M-Cutoff],1)</f>
        <v>1</v>
      </c>
      <c r="Z1067" s="2" t="str">
        <f>Auto_Sales_data___Copy[[#This Row],[R-Score(1-5)]]&amp;Auto_Sales_data___Copy[[#This Row],[F-Score(1-5)]]&amp;Auto_Sales_data___Copy[[#This Row],[M-Score(1-5)]]</f>
        <v>411</v>
      </c>
      <c r="AA1067" s="2" t="str" cm="1">
        <f t="array" ref="AA10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7" s="2" t="str">
        <f>VLOOKUP(Auto_Sales_data___Copy[[#This Row],[Segment Name]],Table3[],2,FALSE)</f>
        <v>Brand Awareness &amp; Value Proposition</v>
      </c>
    </row>
    <row r="1068" spans="1:28" x14ac:dyDescent="0.25">
      <c r="A1068">
        <v>10174</v>
      </c>
      <c r="B1068">
        <v>46</v>
      </c>
      <c r="C1068">
        <v>121.57</v>
      </c>
      <c r="D1068">
        <v>5</v>
      </c>
      <c r="E1068">
        <v>5592.22</v>
      </c>
      <c r="F1068" s="1">
        <v>43410</v>
      </c>
      <c r="G1068" s="2" t="s">
        <v>19</v>
      </c>
      <c r="H1068" s="2" t="s">
        <v>589</v>
      </c>
      <c r="I1068">
        <v>101</v>
      </c>
      <c r="J1068" s="2" t="s">
        <v>640</v>
      </c>
      <c r="K1068" s="2" t="s">
        <v>210</v>
      </c>
      <c r="L1068" s="2" t="s">
        <v>211</v>
      </c>
      <c r="M1068" s="2" t="s">
        <v>212</v>
      </c>
      <c r="N1068" s="2" t="s">
        <v>213</v>
      </c>
      <c r="O1068" s="2" t="s">
        <v>214</v>
      </c>
      <c r="P1068" s="2" t="s">
        <v>87</v>
      </c>
      <c r="Q1068" s="2" t="s">
        <v>215</v>
      </c>
      <c r="R1068" s="2" t="s">
        <v>216</v>
      </c>
      <c r="S1068" s="2" t="s">
        <v>46</v>
      </c>
      <c r="T1068">
        <v>1426</v>
      </c>
      <c r="U1068">
        <f>VLOOKUP(Auto_Sales_data___Copy[[#This Row],[CUSTOMER_NAME]],$AF$2:$AH$90,2,FALSE)</f>
        <v>15</v>
      </c>
      <c r="V1068">
        <f>VLOOKUP(Auto_Sales_data___Copy[[#This Row],[CUSTOMER_NAME]],$AF$2:$AH$90,3,FALSE)</f>
        <v>59469.120000000003</v>
      </c>
      <c r="W1068" s="2">
        <f>6-MATCH(Auto_Sales_data___Copy[[#This Row],[DAYS_SINCE_LAST_ORDER]],Table2[R-Cutoff],1)</f>
        <v>4</v>
      </c>
      <c r="X1068" s="2">
        <f>MATCH(Auto_Sales_data___Copy[[#This Row],[Total_Orders_Per_Customer]],Table2[F-Cutoff],1)</f>
        <v>1</v>
      </c>
      <c r="Y1068" s="2">
        <f>MATCH(Auto_Sales_data___Copy[[#This Row],[Total_Sales_Per_Customer]],Table2[M-Cutoff],1)</f>
        <v>1</v>
      </c>
      <c r="Z1068" s="2" t="str">
        <f>Auto_Sales_data___Copy[[#This Row],[R-Score(1-5)]]&amp;Auto_Sales_data___Copy[[#This Row],[F-Score(1-5)]]&amp;Auto_Sales_data___Copy[[#This Row],[M-Score(1-5)]]</f>
        <v>411</v>
      </c>
      <c r="AA1068" s="2" t="str" cm="1">
        <f t="array" ref="AA10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8" s="2" t="str">
        <f>VLOOKUP(Auto_Sales_data___Copy[[#This Row],[Segment Name]],Table3[],2,FALSE)</f>
        <v>Brand Awareness &amp; Value Proposition</v>
      </c>
    </row>
    <row r="1069" spans="1:28" x14ac:dyDescent="0.25">
      <c r="A1069">
        <v>10186</v>
      </c>
      <c r="B1069">
        <v>32</v>
      </c>
      <c r="C1069">
        <v>187.65</v>
      </c>
      <c r="D1069">
        <v>1</v>
      </c>
      <c r="E1069">
        <v>6004.8</v>
      </c>
      <c r="F1069" s="1">
        <v>43418</v>
      </c>
      <c r="G1069" s="2" t="s">
        <v>19</v>
      </c>
      <c r="H1069" s="2" t="s">
        <v>607</v>
      </c>
      <c r="I1069">
        <v>157</v>
      </c>
      <c r="J1069" s="2" t="s">
        <v>608</v>
      </c>
      <c r="K1069" s="2" t="s">
        <v>366</v>
      </c>
      <c r="L1069" s="2" t="s">
        <v>367</v>
      </c>
      <c r="M1069" s="2" t="s">
        <v>368</v>
      </c>
      <c r="N1069" s="2" t="s">
        <v>350</v>
      </c>
      <c r="O1069" s="2" t="s">
        <v>369</v>
      </c>
      <c r="P1069" s="2" t="s">
        <v>171</v>
      </c>
      <c r="Q1069" s="2" t="s">
        <v>370</v>
      </c>
      <c r="R1069" s="2" t="s">
        <v>371</v>
      </c>
      <c r="S1069" s="2" t="s">
        <v>46</v>
      </c>
      <c r="T1069">
        <v>1098</v>
      </c>
      <c r="U1069">
        <f>VLOOKUP(Auto_Sales_data___Copy[[#This Row],[CUSTOMER_NAME]],$AF$2:$AH$90,2,FALSE)</f>
        <v>12</v>
      </c>
      <c r="V1069">
        <f>VLOOKUP(Auto_Sales_data___Copy[[#This Row],[CUSTOMER_NAME]],$AF$2:$AH$90,3,FALSE)</f>
        <v>36019.039999999994</v>
      </c>
      <c r="W1069" s="2">
        <f>6-MATCH(Auto_Sales_data___Copy[[#This Row],[DAYS_SINCE_LAST_ORDER]],Table2[R-Cutoff],1)</f>
        <v>4</v>
      </c>
      <c r="X1069" s="2">
        <f>MATCH(Auto_Sales_data___Copy[[#This Row],[Total_Orders_Per_Customer]],Table2[F-Cutoff],1)</f>
        <v>1</v>
      </c>
      <c r="Y1069" s="2">
        <f>MATCH(Auto_Sales_data___Copy[[#This Row],[Total_Sales_Per_Customer]],Table2[M-Cutoff],1)</f>
        <v>1</v>
      </c>
      <c r="Z1069" s="2" t="str">
        <f>Auto_Sales_data___Copy[[#This Row],[R-Score(1-5)]]&amp;Auto_Sales_data___Copy[[#This Row],[F-Score(1-5)]]&amp;Auto_Sales_data___Copy[[#This Row],[M-Score(1-5)]]</f>
        <v>411</v>
      </c>
      <c r="AA1069" s="2" t="str" cm="1">
        <f t="array" ref="AA10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9" s="2" t="str">
        <f>VLOOKUP(Auto_Sales_data___Copy[[#This Row],[Segment Name]],Table3[],2,FALSE)</f>
        <v>Brand Awareness &amp; Value Proposition</v>
      </c>
    </row>
    <row r="1070" spans="1:28" x14ac:dyDescent="0.25">
      <c r="A1070">
        <v>10184</v>
      </c>
      <c r="B1070">
        <v>46</v>
      </c>
      <c r="C1070">
        <v>160.46</v>
      </c>
      <c r="D1070">
        <v>5</v>
      </c>
      <c r="E1070">
        <v>7381.16</v>
      </c>
      <c r="F1070" s="1">
        <v>43418</v>
      </c>
      <c r="G1070" s="2" t="s">
        <v>19</v>
      </c>
      <c r="H1070" s="2" t="s">
        <v>183</v>
      </c>
      <c r="I1070">
        <v>163</v>
      </c>
      <c r="J1070" s="2" t="s">
        <v>631</v>
      </c>
      <c r="K1070" s="2" t="s">
        <v>555</v>
      </c>
      <c r="L1070" s="2" t="s">
        <v>556</v>
      </c>
      <c r="M1070" s="2" t="s">
        <v>557</v>
      </c>
      <c r="N1070" s="2" t="s">
        <v>558</v>
      </c>
      <c r="O1070" s="2" t="s">
        <v>559</v>
      </c>
      <c r="P1070" s="2" t="s">
        <v>180</v>
      </c>
      <c r="Q1070" s="2" t="s">
        <v>560</v>
      </c>
      <c r="R1070" s="2" t="s">
        <v>561</v>
      </c>
      <c r="S1070" s="2" t="s">
        <v>151</v>
      </c>
      <c r="T1070">
        <v>1197</v>
      </c>
      <c r="U1070">
        <f>VLOOKUP(Auto_Sales_data___Copy[[#This Row],[CUSTOMER_NAME]],$AF$2:$AH$90,2,FALSE)</f>
        <v>15</v>
      </c>
      <c r="V1070">
        <f>VLOOKUP(Auto_Sales_data___Copy[[#This Row],[CUSTOMER_NAME]],$AF$2:$AH$90,3,FALSE)</f>
        <v>54723.62</v>
      </c>
      <c r="W1070" s="2">
        <f>6-MATCH(Auto_Sales_data___Copy[[#This Row],[DAYS_SINCE_LAST_ORDER]],Table2[R-Cutoff],1)</f>
        <v>4</v>
      </c>
      <c r="X1070" s="2">
        <f>MATCH(Auto_Sales_data___Copy[[#This Row],[Total_Orders_Per_Customer]],Table2[F-Cutoff],1)</f>
        <v>1</v>
      </c>
      <c r="Y1070" s="2">
        <f>MATCH(Auto_Sales_data___Copy[[#This Row],[Total_Sales_Per_Customer]],Table2[M-Cutoff],1)</f>
        <v>1</v>
      </c>
      <c r="Z1070" s="2" t="str">
        <f>Auto_Sales_data___Copy[[#This Row],[R-Score(1-5)]]&amp;Auto_Sales_data___Copy[[#This Row],[F-Score(1-5)]]&amp;Auto_Sales_data___Copy[[#This Row],[M-Score(1-5)]]</f>
        <v>411</v>
      </c>
      <c r="AA1070" s="2" t="str" cm="1">
        <f t="array" ref="AA10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0" s="2" t="str">
        <f>VLOOKUP(Auto_Sales_data___Copy[[#This Row],[Segment Name]],Table3[],2,FALSE)</f>
        <v>Brand Awareness &amp; Value Proposition</v>
      </c>
    </row>
    <row r="1071" spans="1:28" x14ac:dyDescent="0.25">
      <c r="A1071">
        <v>10184</v>
      </c>
      <c r="B1071">
        <v>46</v>
      </c>
      <c r="C1071">
        <v>130.09</v>
      </c>
      <c r="D1071">
        <v>9</v>
      </c>
      <c r="E1071">
        <v>5984.14</v>
      </c>
      <c r="F1071" s="1">
        <v>43418</v>
      </c>
      <c r="G1071" s="2" t="s">
        <v>19</v>
      </c>
      <c r="H1071" s="2" t="s">
        <v>537</v>
      </c>
      <c r="I1071">
        <v>122</v>
      </c>
      <c r="J1071" s="2" t="s">
        <v>633</v>
      </c>
      <c r="K1071" s="2" t="s">
        <v>555</v>
      </c>
      <c r="L1071" s="2" t="s">
        <v>556</v>
      </c>
      <c r="M1071" s="2" t="s">
        <v>557</v>
      </c>
      <c r="N1071" s="2" t="s">
        <v>558</v>
      </c>
      <c r="O1071" s="2" t="s">
        <v>559</v>
      </c>
      <c r="P1071" s="2" t="s">
        <v>180</v>
      </c>
      <c r="Q1071" s="2" t="s">
        <v>560</v>
      </c>
      <c r="R1071" s="2" t="s">
        <v>561</v>
      </c>
      <c r="S1071" s="2" t="s">
        <v>46</v>
      </c>
      <c r="T1071">
        <v>1245</v>
      </c>
      <c r="U1071">
        <f>VLOOKUP(Auto_Sales_data___Copy[[#This Row],[CUSTOMER_NAME]],$AF$2:$AH$90,2,FALSE)</f>
        <v>15</v>
      </c>
      <c r="V1071">
        <f>VLOOKUP(Auto_Sales_data___Copy[[#This Row],[CUSTOMER_NAME]],$AF$2:$AH$90,3,FALSE)</f>
        <v>54723.62</v>
      </c>
      <c r="W1071" s="2">
        <f>6-MATCH(Auto_Sales_data___Copy[[#This Row],[DAYS_SINCE_LAST_ORDER]],Table2[R-Cutoff],1)</f>
        <v>4</v>
      </c>
      <c r="X1071" s="2">
        <f>MATCH(Auto_Sales_data___Copy[[#This Row],[Total_Orders_Per_Customer]],Table2[F-Cutoff],1)</f>
        <v>1</v>
      </c>
      <c r="Y1071" s="2">
        <f>MATCH(Auto_Sales_data___Copy[[#This Row],[Total_Sales_Per_Customer]],Table2[M-Cutoff],1)</f>
        <v>1</v>
      </c>
      <c r="Z1071" s="2" t="str">
        <f>Auto_Sales_data___Copy[[#This Row],[R-Score(1-5)]]&amp;Auto_Sales_data___Copy[[#This Row],[F-Score(1-5)]]&amp;Auto_Sales_data___Copy[[#This Row],[M-Score(1-5)]]</f>
        <v>411</v>
      </c>
      <c r="AA1071" s="2" t="str" cm="1">
        <f t="array" ref="AA10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1" s="2" t="str">
        <f>VLOOKUP(Auto_Sales_data___Copy[[#This Row],[Segment Name]],Table3[],2,FALSE)</f>
        <v>Brand Awareness &amp; Value Proposition</v>
      </c>
    </row>
    <row r="1072" spans="1:28" x14ac:dyDescent="0.25">
      <c r="A1072">
        <v>10184</v>
      </c>
      <c r="B1072">
        <v>44</v>
      </c>
      <c r="C1072">
        <v>60.16</v>
      </c>
      <c r="D1072">
        <v>12</v>
      </c>
      <c r="E1072">
        <v>2647.04</v>
      </c>
      <c r="F1072" s="1">
        <v>43418</v>
      </c>
      <c r="G1072" s="2" t="s">
        <v>19</v>
      </c>
      <c r="H1072" s="2" t="s">
        <v>537</v>
      </c>
      <c r="I1072">
        <v>60</v>
      </c>
      <c r="J1072" s="2" t="s">
        <v>635</v>
      </c>
      <c r="K1072" s="2" t="s">
        <v>555</v>
      </c>
      <c r="L1072" s="2" t="s">
        <v>556</v>
      </c>
      <c r="M1072" s="2" t="s">
        <v>557</v>
      </c>
      <c r="N1072" s="2" t="s">
        <v>558</v>
      </c>
      <c r="O1072" s="2" t="s">
        <v>559</v>
      </c>
      <c r="P1072" s="2" t="s">
        <v>180</v>
      </c>
      <c r="Q1072" s="2" t="s">
        <v>560</v>
      </c>
      <c r="R1072" s="2" t="s">
        <v>561</v>
      </c>
      <c r="S1072" s="2" t="s">
        <v>30</v>
      </c>
      <c r="T1072">
        <v>1295</v>
      </c>
      <c r="U1072">
        <f>VLOOKUP(Auto_Sales_data___Copy[[#This Row],[CUSTOMER_NAME]],$AF$2:$AH$90,2,FALSE)</f>
        <v>15</v>
      </c>
      <c r="V1072">
        <f>VLOOKUP(Auto_Sales_data___Copy[[#This Row],[CUSTOMER_NAME]],$AF$2:$AH$90,3,FALSE)</f>
        <v>54723.62</v>
      </c>
      <c r="W1072" s="2">
        <f>6-MATCH(Auto_Sales_data___Copy[[#This Row],[DAYS_SINCE_LAST_ORDER]],Table2[R-Cutoff],1)</f>
        <v>4</v>
      </c>
      <c r="X1072" s="2">
        <f>MATCH(Auto_Sales_data___Copy[[#This Row],[Total_Orders_Per_Customer]],Table2[F-Cutoff],1)</f>
        <v>1</v>
      </c>
      <c r="Y1072" s="2">
        <f>MATCH(Auto_Sales_data___Copy[[#This Row],[Total_Sales_Per_Customer]],Table2[M-Cutoff],1)</f>
        <v>1</v>
      </c>
      <c r="Z1072" s="2" t="str">
        <f>Auto_Sales_data___Copy[[#This Row],[R-Score(1-5)]]&amp;Auto_Sales_data___Copy[[#This Row],[F-Score(1-5)]]&amp;Auto_Sales_data___Copy[[#This Row],[M-Score(1-5)]]</f>
        <v>411</v>
      </c>
      <c r="AA1072" s="2" t="str" cm="1">
        <f t="array" ref="AA10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2" s="2" t="str">
        <f>VLOOKUP(Auto_Sales_data___Copy[[#This Row],[Segment Name]],Table3[],2,FALSE)</f>
        <v>Brand Awareness &amp; Value Proposition</v>
      </c>
    </row>
    <row r="1073" spans="1:28" x14ac:dyDescent="0.25">
      <c r="A1073">
        <v>10186</v>
      </c>
      <c r="B1073">
        <v>32</v>
      </c>
      <c r="C1073">
        <v>89.46</v>
      </c>
      <c r="D1073">
        <v>7</v>
      </c>
      <c r="E1073">
        <v>2862.72</v>
      </c>
      <c r="F1073" s="1">
        <v>43418</v>
      </c>
      <c r="G1073" s="2" t="s">
        <v>19</v>
      </c>
      <c r="H1073" s="2" t="s">
        <v>642</v>
      </c>
      <c r="I1073">
        <v>86</v>
      </c>
      <c r="J1073" s="2" t="s">
        <v>643</v>
      </c>
      <c r="K1073" s="2" t="s">
        <v>366</v>
      </c>
      <c r="L1073" s="2" t="s">
        <v>367</v>
      </c>
      <c r="M1073" s="2" t="s">
        <v>368</v>
      </c>
      <c r="N1073" s="2" t="s">
        <v>350</v>
      </c>
      <c r="O1073" s="2" t="s">
        <v>369</v>
      </c>
      <c r="P1073" s="2" t="s">
        <v>171</v>
      </c>
      <c r="Q1073" s="2" t="s">
        <v>370</v>
      </c>
      <c r="R1073" s="2" t="s">
        <v>371</v>
      </c>
      <c r="S1073" s="2" t="s">
        <v>30</v>
      </c>
      <c r="T1073">
        <v>1469</v>
      </c>
      <c r="U1073">
        <f>VLOOKUP(Auto_Sales_data___Copy[[#This Row],[CUSTOMER_NAME]],$AF$2:$AH$90,2,FALSE)</f>
        <v>12</v>
      </c>
      <c r="V1073">
        <f>VLOOKUP(Auto_Sales_data___Copy[[#This Row],[CUSTOMER_NAME]],$AF$2:$AH$90,3,FALSE)</f>
        <v>36019.039999999994</v>
      </c>
      <c r="W1073" s="2">
        <f>6-MATCH(Auto_Sales_data___Copy[[#This Row],[DAYS_SINCE_LAST_ORDER]],Table2[R-Cutoff],1)</f>
        <v>4</v>
      </c>
      <c r="X1073" s="2">
        <f>MATCH(Auto_Sales_data___Copy[[#This Row],[Total_Orders_Per_Customer]],Table2[F-Cutoff],1)</f>
        <v>1</v>
      </c>
      <c r="Y1073" s="2">
        <f>MATCH(Auto_Sales_data___Copy[[#This Row],[Total_Sales_Per_Customer]],Table2[M-Cutoff],1)</f>
        <v>1</v>
      </c>
      <c r="Z1073" s="2" t="str">
        <f>Auto_Sales_data___Copy[[#This Row],[R-Score(1-5)]]&amp;Auto_Sales_data___Copy[[#This Row],[F-Score(1-5)]]&amp;Auto_Sales_data___Copy[[#This Row],[M-Score(1-5)]]</f>
        <v>411</v>
      </c>
      <c r="AA1073" s="2" t="str" cm="1">
        <f t="array" ref="AA10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3" s="2" t="str">
        <f>VLOOKUP(Auto_Sales_data___Copy[[#This Row],[Segment Name]],Table3[],2,FALSE)</f>
        <v>Brand Awareness &amp; Value Proposition</v>
      </c>
    </row>
    <row r="1074" spans="1:28" x14ac:dyDescent="0.25">
      <c r="A1074">
        <v>10215</v>
      </c>
      <c r="B1074">
        <v>27</v>
      </c>
      <c r="C1074">
        <v>89.38</v>
      </c>
      <c r="D1074">
        <v>10</v>
      </c>
      <c r="E1074">
        <v>2413.2600000000002</v>
      </c>
      <c r="F1074" s="1">
        <v>43494</v>
      </c>
      <c r="G1074" s="2" t="s">
        <v>19</v>
      </c>
      <c r="H1074" s="2" t="s">
        <v>589</v>
      </c>
      <c r="I1074">
        <v>102</v>
      </c>
      <c r="J1074" s="2" t="s">
        <v>590</v>
      </c>
      <c r="K1074" s="2" t="s">
        <v>239</v>
      </c>
      <c r="L1074" s="2" t="s">
        <v>240</v>
      </c>
      <c r="M1074" s="2" t="s">
        <v>241</v>
      </c>
      <c r="N1074" s="2" t="s">
        <v>242</v>
      </c>
      <c r="O1074" s="2" t="s">
        <v>99</v>
      </c>
      <c r="P1074" s="2" t="s">
        <v>27</v>
      </c>
      <c r="Q1074" s="2" t="s">
        <v>243</v>
      </c>
      <c r="R1074" s="2" t="s">
        <v>244</v>
      </c>
      <c r="S1074" s="2" t="s">
        <v>30</v>
      </c>
      <c r="T1074">
        <v>951</v>
      </c>
      <c r="U1074">
        <f>VLOOKUP(Auto_Sales_data___Copy[[#This Row],[CUSTOMER_NAME]],$AF$2:$AH$90,2,FALSE)</f>
        <v>13</v>
      </c>
      <c r="V1074">
        <f>VLOOKUP(Auto_Sales_data___Copy[[#This Row],[CUSTOMER_NAME]],$AF$2:$AH$90,3,FALSE)</f>
        <v>46084.639999999999</v>
      </c>
      <c r="W1074" s="2">
        <f>6-MATCH(Auto_Sales_data___Copy[[#This Row],[DAYS_SINCE_LAST_ORDER]],Table2[R-Cutoff],1)</f>
        <v>4</v>
      </c>
      <c r="X1074" s="2">
        <f>MATCH(Auto_Sales_data___Copy[[#This Row],[Total_Orders_Per_Customer]],Table2[F-Cutoff],1)</f>
        <v>1</v>
      </c>
      <c r="Y1074" s="2">
        <f>MATCH(Auto_Sales_data___Copy[[#This Row],[Total_Sales_Per_Customer]],Table2[M-Cutoff],1)</f>
        <v>1</v>
      </c>
      <c r="Z1074" s="2" t="str">
        <f>Auto_Sales_data___Copy[[#This Row],[R-Score(1-5)]]&amp;Auto_Sales_data___Copy[[#This Row],[F-Score(1-5)]]&amp;Auto_Sales_data___Copy[[#This Row],[M-Score(1-5)]]</f>
        <v>411</v>
      </c>
      <c r="AA1074" s="2" t="str" cm="1">
        <f t="array" ref="AA10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4" s="2" t="str">
        <f>VLOOKUP(Auto_Sales_data___Copy[[#This Row],[Segment Name]],Table3[],2,FALSE)</f>
        <v>Brand Awareness &amp; Value Proposition</v>
      </c>
    </row>
    <row r="1075" spans="1:28" x14ac:dyDescent="0.25">
      <c r="A1075">
        <v>10215</v>
      </c>
      <c r="B1075">
        <v>33</v>
      </c>
      <c r="C1075">
        <v>43.13</v>
      </c>
      <c r="D1075">
        <v>9</v>
      </c>
      <c r="E1075">
        <v>1423.29</v>
      </c>
      <c r="F1075" s="1">
        <v>43494</v>
      </c>
      <c r="G1075" s="2" t="s">
        <v>19</v>
      </c>
      <c r="H1075" s="2" t="s">
        <v>589</v>
      </c>
      <c r="I1075">
        <v>53</v>
      </c>
      <c r="J1075" s="2" t="s">
        <v>605</v>
      </c>
      <c r="K1075" s="2" t="s">
        <v>239</v>
      </c>
      <c r="L1075" s="2" t="s">
        <v>240</v>
      </c>
      <c r="M1075" s="2" t="s">
        <v>241</v>
      </c>
      <c r="N1075" s="2" t="s">
        <v>242</v>
      </c>
      <c r="O1075" s="2" t="s">
        <v>99</v>
      </c>
      <c r="P1075" s="2" t="s">
        <v>27</v>
      </c>
      <c r="Q1075" s="2" t="s">
        <v>243</v>
      </c>
      <c r="R1075" s="2" t="s">
        <v>244</v>
      </c>
      <c r="S1075" s="2" t="s">
        <v>30</v>
      </c>
      <c r="T1075">
        <v>975</v>
      </c>
      <c r="U1075">
        <f>VLOOKUP(Auto_Sales_data___Copy[[#This Row],[CUSTOMER_NAME]],$AF$2:$AH$90,2,FALSE)</f>
        <v>13</v>
      </c>
      <c r="V1075">
        <f>VLOOKUP(Auto_Sales_data___Copy[[#This Row],[CUSTOMER_NAME]],$AF$2:$AH$90,3,FALSE)</f>
        <v>46084.639999999999</v>
      </c>
      <c r="W1075" s="2">
        <f>6-MATCH(Auto_Sales_data___Copy[[#This Row],[DAYS_SINCE_LAST_ORDER]],Table2[R-Cutoff],1)</f>
        <v>4</v>
      </c>
      <c r="X1075" s="2">
        <f>MATCH(Auto_Sales_data___Copy[[#This Row],[Total_Orders_Per_Customer]],Table2[F-Cutoff],1)</f>
        <v>1</v>
      </c>
      <c r="Y1075" s="2">
        <f>MATCH(Auto_Sales_data___Copy[[#This Row],[Total_Sales_Per_Customer]],Table2[M-Cutoff],1)</f>
        <v>1</v>
      </c>
      <c r="Z1075" s="2" t="str">
        <f>Auto_Sales_data___Copy[[#This Row],[R-Score(1-5)]]&amp;Auto_Sales_data___Copy[[#This Row],[F-Score(1-5)]]&amp;Auto_Sales_data___Copy[[#This Row],[M-Score(1-5)]]</f>
        <v>411</v>
      </c>
      <c r="AA1075" s="2" t="str" cm="1">
        <f t="array" ref="AA10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5" s="2" t="str">
        <f>VLOOKUP(Auto_Sales_data___Copy[[#This Row],[Segment Name]],Table3[],2,FALSE)</f>
        <v>Brand Awareness &amp; Value Proposition</v>
      </c>
    </row>
    <row r="1076" spans="1:28" x14ac:dyDescent="0.25">
      <c r="A1076">
        <v>10215</v>
      </c>
      <c r="B1076">
        <v>49</v>
      </c>
      <c r="C1076">
        <v>112.45</v>
      </c>
      <c r="D1076">
        <v>4</v>
      </c>
      <c r="E1076">
        <v>5510.05</v>
      </c>
      <c r="F1076" s="1">
        <v>43494</v>
      </c>
      <c r="G1076" s="2" t="s">
        <v>19</v>
      </c>
      <c r="H1076" s="2" t="s">
        <v>589</v>
      </c>
      <c r="I1076">
        <v>101</v>
      </c>
      <c r="J1076" s="2" t="s">
        <v>640</v>
      </c>
      <c r="K1076" s="2" t="s">
        <v>239</v>
      </c>
      <c r="L1076" s="2" t="s">
        <v>240</v>
      </c>
      <c r="M1076" s="2" t="s">
        <v>241</v>
      </c>
      <c r="N1076" s="2" t="s">
        <v>242</v>
      </c>
      <c r="O1076" s="2" t="s">
        <v>99</v>
      </c>
      <c r="P1076" s="2" t="s">
        <v>27</v>
      </c>
      <c r="Q1076" s="2" t="s">
        <v>243</v>
      </c>
      <c r="R1076" s="2" t="s">
        <v>244</v>
      </c>
      <c r="S1076" s="2" t="s">
        <v>46</v>
      </c>
      <c r="T1076">
        <v>1346</v>
      </c>
      <c r="U1076">
        <f>VLOOKUP(Auto_Sales_data___Copy[[#This Row],[CUSTOMER_NAME]],$AF$2:$AH$90,2,FALSE)</f>
        <v>13</v>
      </c>
      <c r="V1076">
        <f>VLOOKUP(Auto_Sales_data___Copy[[#This Row],[CUSTOMER_NAME]],$AF$2:$AH$90,3,FALSE)</f>
        <v>46084.639999999999</v>
      </c>
      <c r="W1076" s="2">
        <f>6-MATCH(Auto_Sales_data___Copy[[#This Row],[DAYS_SINCE_LAST_ORDER]],Table2[R-Cutoff],1)</f>
        <v>4</v>
      </c>
      <c r="X1076" s="2">
        <f>MATCH(Auto_Sales_data___Copy[[#This Row],[Total_Orders_Per_Customer]],Table2[F-Cutoff],1)</f>
        <v>1</v>
      </c>
      <c r="Y1076" s="2">
        <f>MATCH(Auto_Sales_data___Copy[[#This Row],[Total_Sales_Per_Customer]],Table2[M-Cutoff],1)</f>
        <v>1</v>
      </c>
      <c r="Z1076" s="2" t="str">
        <f>Auto_Sales_data___Copy[[#This Row],[R-Score(1-5)]]&amp;Auto_Sales_data___Copy[[#This Row],[F-Score(1-5)]]&amp;Auto_Sales_data___Copy[[#This Row],[M-Score(1-5)]]</f>
        <v>411</v>
      </c>
      <c r="AA1076" s="2" t="str" cm="1">
        <f t="array" ref="AA10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6" s="2" t="str">
        <f>VLOOKUP(Auto_Sales_data___Copy[[#This Row],[Segment Name]],Table3[],2,FALSE)</f>
        <v>Brand Awareness &amp; Value Proposition</v>
      </c>
    </row>
    <row r="1077" spans="1:28" x14ac:dyDescent="0.25">
      <c r="A1077">
        <v>10215</v>
      </c>
      <c r="B1077">
        <v>31</v>
      </c>
      <c r="C1077">
        <v>58.71</v>
      </c>
      <c r="D1077">
        <v>6</v>
      </c>
      <c r="E1077">
        <v>1820.01</v>
      </c>
      <c r="F1077" s="1">
        <v>43494</v>
      </c>
      <c r="G1077" s="2" t="s">
        <v>19</v>
      </c>
      <c r="H1077" s="2" t="s">
        <v>589</v>
      </c>
      <c r="I1077">
        <v>62</v>
      </c>
      <c r="J1077" s="2" t="s">
        <v>641</v>
      </c>
      <c r="K1077" s="2" t="s">
        <v>239</v>
      </c>
      <c r="L1077" s="2" t="s">
        <v>240</v>
      </c>
      <c r="M1077" s="2" t="s">
        <v>241</v>
      </c>
      <c r="N1077" s="2" t="s">
        <v>242</v>
      </c>
      <c r="O1077" s="2" t="s">
        <v>99</v>
      </c>
      <c r="P1077" s="2" t="s">
        <v>27</v>
      </c>
      <c r="Q1077" s="2" t="s">
        <v>243</v>
      </c>
      <c r="R1077" s="2" t="s">
        <v>244</v>
      </c>
      <c r="S1077" s="2" t="s">
        <v>30</v>
      </c>
      <c r="T1077">
        <v>1370</v>
      </c>
      <c r="U1077">
        <f>VLOOKUP(Auto_Sales_data___Copy[[#This Row],[CUSTOMER_NAME]],$AF$2:$AH$90,2,FALSE)</f>
        <v>13</v>
      </c>
      <c r="V1077">
        <f>VLOOKUP(Auto_Sales_data___Copy[[#This Row],[CUSTOMER_NAME]],$AF$2:$AH$90,3,FALSE)</f>
        <v>46084.639999999999</v>
      </c>
      <c r="W1077" s="2">
        <f>6-MATCH(Auto_Sales_data___Copy[[#This Row],[DAYS_SINCE_LAST_ORDER]],Table2[R-Cutoff],1)</f>
        <v>4</v>
      </c>
      <c r="X1077" s="2">
        <f>MATCH(Auto_Sales_data___Copy[[#This Row],[Total_Orders_Per_Customer]],Table2[F-Cutoff],1)</f>
        <v>1</v>
      </c>
      <c r="Y1077" s="2">
        <f>MATCH(Auto_Sales_data___Copy[[#This Row],[Total_Sales_Per_Customer]],Table2[M-Cutoff],1)</f>
        <v>1</v>
      </c>
      <c r="Z1077" s="2" t="str">
        <f>Auto_Sales_data___Copy[[#This Row],[R-Score(1-5)]]&amp;Auto_Sales_data___Copy[[#This Row],[F-Score(1-5)]]&amp;Auto_Sales_data___Copy[[#This Row],[M-Score(1-5)]]</f>
        <v>411</v>
      </c>
      <c r="AA1077" s="2" t="str" cm="1">
        <f t="array" ref="AA10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7" s="2" t="str">
        <f>VLOOKUP(Auto_Sales_data___Copy[[#This Row],[Segment Name]],Table3[],2,FALSE)</f>
        <v>Brand Awareness &amp; Value Proposition</v>
      </c>
    </row>
    <row r="1078" spans="1:28" x14ac:dyDescent="0.25">
      <c r="A1078">
        <v>10215</v>
      </c>
      <c r="B1078">
        <v>49</v>
      </c>
      <c r="C1078">
        <v>107.86</v>
      </c>
      <c r="D1078">
        <v>5</v>
      </c>
      <c r="E1078">
        <v>5285.14</v>
      </c>
      <c r="F1078" s="1">
        <v>43494</v>
      </c>
      <c r="G1078" s="2" t="s">
        <v>19</v>
      </c>
      <c r="H1078" s="2" t="s">
        <v>589</v>
      </c>
      <c r="I1078">
        <v>104</v>
      </c>
      <c r="J1078" s="2" t="s">
        <v>647</v>
      </c>
      <c r="K1078" s="2" t="s">
        <v>239</v>
      </c>
      <c r="L1078" s="2" t="s">
        <v>240</v>
      </c>
      <c r="M1078" s="2" t="s">
        <v>241</v>
      </c>
      <c r="N1078" s="2" t="s">
        <v>242</v>
      </c>
      <c r="O1078" s="2" t="s">
        <v>99</v>
      </c>
      <c r="P1078" s="2" t="s">
        <v>27</v>
      </c>
      <c r="Q1078" s="2" t="s">
        <v>243</v>
      </c>
      <c r="R1078" s="2" t="s">
        <v>244</v>
      </c>
      <c r="S1078" s="2" t="s">
        <v>46</v>
      </c>
      <c r="T1078">
        <v>1420</v>
      </c>
      <c r="U1078">
        <f>VLOOKUP(Auto_Sales_data___Copy[[#This Row],[CUSTOMER_NAME]],$AF$2:$AH$90,2,FALSE)</f>
        <v>13</v>
      </c>
      <c r="V1078">
        <f>VLOOKUP(Auto_Sales_data___Copy[[#This Row],[CUSTOMER_NAME]],$AF$2:$AH$90,3,FALSE)</f>
        <v>46084.639999999999</v>
      </c>
      <c r="W1078" s="2">
        <f>6-MATCH(Auto_Sales_data___Copy[[#This Row],[DAYS_SINCE_LAST_ORDER]],Table2[R-Cutoff],1)</f>
        <v>4</v>
      </c>
      <c r="X1078" s="2">
        <f>MATCH(Auto_Sales_data___Copy[[#This Row],[Total_Orders_Per_Customer]],Table2[F-Cutoff],1)</f>
        <v>1</v>
      </c>
      <c r="Y1078" s="2">
        <f>MATCH(Auto_Sales_data___Copy[[#This Row],[Total_Sales_Per_Customer]],Table2[M-Cutoff],1)</f>
        <v>1</v>
      </c>
      <c r="Z1078" s="2" t="str">
        <f>Auto_Sales_data___Copy[[#This Row],[R-Score(1-5)]]&amp;Auto_Sales_data___Copy[[#This Row],[F-Score(1-5)]]&amp;Auto_Sales_data___Copy[[#This Row],[M-Score(1-5)]]</f>
        <v>411</v>
      </c>
      <c r="AA1078" s="2" t="str" cm="1">
        <f t="array" ref="AA10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8" s="2" t="str">
        <f>VLOOKUP(Auto_Sales_data___Copy[[#This Row],[Segment Name]],Table3[],2,FALSE)</f>
        <v>Brand Awareness &amp; Value Proposition</v>
      </c>
    </row>
    <row r="1079" spans="1:28" x14ac:dyDescent="0.25">
      <c r="A1079">
        <v>10219</v>
      </c>
      <c r="B1079">
        <v>43</v>
      </c>
      <c r="C1079">
        <v>196.48</v>
      </c>
      <c r="D1079">
        <v>1</v>
      </c>
      <c r="E1079">
        <v>8448.64</v>
      </c>
      <c r="F1079" s="1">
        <v>43506</v>
      </c>
      <c r="G1079" s="2" t="s">
        <v>19</v>
      </c>
      <c r="H1079" s="2" t="s">
        <v>183</v>
      </c>
      <c r="I1079">
        <v>163</v>
      </c>
      <c r="J1079" s="2" t="s">
        <v>631</v>
      </c>
      <c r="K1079" s="2" t="s">
        <v>562</v>
      </c>
      <c r="L1079" s="2" t="s">
        <v>563</v>
      </c>
      <c r="M1079" s="2" t="s">
        <v>564</v>
      </c>
      <c r="N1079" s="2" t="s">
        <v>565</v>
      </c>
      <c r="O1079" s="2" t="s">
        <v>58</v>
      </c>
      <c r="P1079" s="2" t="s">
        <v>27</v>
      </c>
      <c r="Q1079" s="2" t="s">
        <v>566</v>
      </c>
      <c r="R1079" s="2" t="s">
        <v>422</v>
      </c>
      <c r="S1079" s="2" t="s">
        <v>151</v>
      </c>
      <c r="T1079">
        <v>1112</v>
      </c>
      <c r="U1079">
        <f>VLOOKUP(Auto_Sales_data___Copy[[#This Row],[CUSTOMER_NAME]],$AF$2:$AH$90,2,FALSE)</f>
        <v>15</v>
      </c>
      <c r="V1079">
        <f>VLOOKUP(Auto_Sales_data___Copy[[#This Row],[CUSTOMER_NAME]],$AF$2:$AH$90,3,FALSE)</f>
        <v>50218.51</v>
      </c>
      <c r="W1079" s="2">
        <f>6-MATCH(Auto_Sales_data___Copy[[#This Row],[DAYS_SINCE_LAST_ORDER]],Table2[R-Cutoff],1)</f>
        <v>4</v>
      </c>
      <c r="X1079" s="2">
        <f>MATCH(Auto_Sales_data___Copy[[#This Row],[Total_Orders_Per_Customer]],Table2[F-Cutoff],1)</f>
        <v>1</v>
      </c>
      <c r="Y1079" s="2">
        <f>MATCH(Auto_Sales_data___Copy[[#This Row],[Total_Sales_Per_Customer]],Table2[M-Cutoff],1)</f>
        <v>1</v>
      </c>
      <c r="Z1079" s="2" t="str">
        <f>Auto_Sales_data___Copy[[#This Row],[R-Score(1-5)]]&amp;Auto_Sales_data___Copy[[#This Row],[F-Score(1-5)]]&amp;Auto_Sales_data___Copy[[#This Row],[M-Score(1-5)]]</f>
        <v>411</v>
      </c>
      <c r="AA1079" s="2" t="str" cm="1">
        <f t="array" ref="AA10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9" s="2" t="str">
        <f>VLOOKUP(Auto_Sales_data___Copy[[#This Row],[Segment Name]],Table3[],2,FALSE)</f>
        <v>Brand Awareness &amp; Value Proposition</v>
      </c>
    </row>
    <row r="1080" spans="1:28" x14ac:dyDescent="0.25">
      <c r="A1080">
        <v>10228</v>
      </c>
      <c r="B1080">
        <v>24</v>
      </c>
      <c r="C1080">
        <v>104.35</v>
      </c>
      <c r="D1080">
        <v>3</v>
      </c>
      <c r="E1080">
        <v>2504.4</v>
      </c>
      <c r="F1080" s="1">
        <v>43534</v>
      </c>
      <c r="G1080" s="2" t="s">
        <v>19</v>
      </c>
      <c r="H1080" s="2" t="s">
        <v>589</v>
      </c>
      <c r="I1080">
        <v>101</v>
      </c>
      <c r="J1080" s="2" t="s">
        <v>640</v>
      </c>
      <c r="K1080" s="2" t="s">
        <v>245</v>
      </c>
      <c r="L1080" s="2" t="s">
        <v>246</v>
      </c>
      <c r="M1080" s="2" t="s">
        <v>247</v>
      </c>
      <c r="N1080" s="2" t="s">
        <v>118</v>
      </c>
      <c r="O1080" s="2" t="s">
        <v>119</v>
      </c>
      <c r="P1080" s="2" t="s">
        <v>27</v>
      </c>
      <c r="Q1080" s="2" t="s">
        <v>248</v>
      </c>
      <c r="R1080" s="2" t="s">
        <v>142</v>
      </c>
      <c r="S1080" s="2" t="s">
        <v>30</v>
      </c>
      <c r="T1080">
        <v>1307</v>
      </c>
      <c r="U1080">
        <f>VLOOKUP(Auto_Sales_data___Copy[[#This Row],[CUSTOMER_NAME]],$AF$2:$AH$90,2,FALSE)</f>
        <v>11</v>
      </c>
      <c r="V1080">
        <f>VLOOKUP(Auto_Sales_data___Copy[[#This Row],[CUSTOMER_NAME]],$AF$2:$AH$90,3,FALSE)</f>
        <v>36163.619999999995</v>
      </c>
      <c r="W1080" s="2">
        <f>6-MATCH(Auto_Sales_data___Copy[[#This Row],[DAYS_SINCE_LAST_ORDER]],Table2[R-Cutoff],1)</f>
        <v>4</v>
      </c>
      <c r="X1080" s="2">
        <f>MATCH(Auto_Sales_data___Copy[[#This Row],[Total_Orders_Per_Customer]],Table2[F-Cutoff],1)</f>
        <v>1</v>
      </c>
      <c r="Y1080" s="2">
        <f>MATCH(Auto_Sales_data___Copy[[#This Row],[Total_Sales_Per_Customer]],Table2[M-Cutoff],1)</f>
        <v>1</v>
      </c>
      <c r="Z1080" s="2" t="str">
        <f>Auto_Sales_data___Copy[[#This Row],[R-Score(1-5)]]&amp;Auto_Sales_data___Copy[[#This Row],[F-Score(1-5)]]&amp;Auto_Sales_data___Copy[[#This Row],[M-Score(1-5)]]</f>
        <v>411</v>
      </c>
      <c r="AA1080" s="2" t="str" cm="1">
        <f t="array" ref="AA10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0" s="2" t="str">
        <f>VLOOKUP(Auto_Sales_data___Copy[[#This Row],[Segment Name]],Table3[],2,FALSE)</f>
        <v>Brand Awareness &amp; Value Proposition</v>
      </c>
    </row>
    <row r="1081" spans="1:28" x14ac:dyDescent="0.25">
      <c r="A1081">
        <v>10228</v>
      </c>
      <c r="B1081">
        <v>45</v>
      </c>
      <c r="C1081">
        <v>63.71</v>
      </c>
      <c r="D1081">
        <v>5</v>
      </c>
      <c r="E1081">
        <v>2866.95</v>
      </c>
      <c r="F1081" s="1">
        <v>43534</v>
      </c>
      <c r="G1081" s="2" t="s">
        <v>19</v>
      </c>
      <c r="H1081" s="2" t="s">
        <v>589</v>
      </c>
      <c r="I1081">
        <v>62</v>
      </c>
      <c r="J1081" s="2" t="s">
        <v>641</v>
      </c>
      <c r="K1081" s="2" t="s">
        <v>245</v>
      </c>
      <c r="L1081" s="2" t="s">
        <v>246</v>
      </c>
      <c r="M1081" s="2" t="s">
        <v>247</v>
      </c>
      <c r="N1081" s="2" t="s">
        <v>118</v>
      </c>
      <c r="O1081" s="2" t="s">
        <v>119</v>
      </c>
      <c r="P1081" s="2" t="s">
        <v>27</v>
      </c>
      <c r="Q1081" s="2" t="s">
        <v>248</v>
      </c>
      <c r="R1081" s="2" t="s">
        <v>142</v>
      </c>
      <c r="S1081" s="2" t="s">
        <v>30</v>
      </c>
      <c r="T1081">
        <v>1331</v>
      </c>
      <c r="U1081">
        <f>VLOOKUP(Auto_Sales_data___Copy[[#This Row],[CUSTOMER_NAME]],$AF$2:$AH$90,2,FALSE)</f>
        <v>11</v>
      </c>
      <c r="V1081">
        <f>VLOOKUP(Auto_Sales_data___Copy[[#This Row],[CUSTOMER_NAME]],$AF$2:$AH$90,3,FALSE)</f>
        <v>36163.619999999995</v>
      </c>
      <c r="W1081" s="2">
        <f>6-MATCH(Auto_Sales_data___Copy[[#This Row],[DAYS_SINCE_LAST_ORDER]],Table2[R-Cutoff],1)</f>
        <v>4</v>
      </c>
      <c r="X1081" s="2">
        <f>MATCH(Auto_Sales_data___Copy[[#This Row],[Total_Orders_Per_Customer]],Table2[F-Cutoff],1)</f>
        <v>1</v>
      </c>
      <c r="Y1081" s="2">
        <f>MATCH(Auto_Sales_data___Copy[[#This Row],[Total_Sales_Per_Customer]],Table2[M-Cutoff],1)</f>
        <v>1</v>
      </c>
      <c r="Z1081" s="2" t="str">
        <f>Auto_Sales_data___Copy[[#This Row],[R-Score(1-5)]]&amp;Auto_Sales_data___Copy[[#This Row],[F-Score(1-5)]]&amp;Auto_Sales_data___Copy[[#This Row],[M-Score(1-5)]]</f>
        <v>411</v>
      </c>
      <c r="AA1081" s="2" t="str" cm="1">
        <f t="array" ref="AA10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1" s="2" t="str">
        <f>VLOOKUP(Auto_Sales_data___Copy[[#This Row],[Segment Name]],Table3[],2,FALSE)</f>
        <v>Brand Awareness &amp; Value Proposition</v>
      </c>
    </row>
    <row r="1082" spans="1:28" x14ac:dyDescent="0.25">
      <c r="A1082">
        <v>10228</v>
      </c>
      <c r="B1082">
        <v>31</v>
      </c>
      <c r="C1082">
        <v>102.63</v>
      </c>
      <c r="D1082">
        <v>4</v>
      </c>
      <c r="E1082">
        <v>3181.53</v>
      </c>
      <c r="F1082" s="1">
        <v>43534</v>
      </c>
      <c r="G1082" s="2" t="s">
        <v>19</v>
      </c>
      <c r="H1082" s="2" t="s">
        <v>589</v>
      </c>
      <c r="I1082">
        <v>104</v>
      </c>
      <c r="J1082" s="2" t="s">
        <v>647</v>
      </c>
      <c r="K1082" s="2" t="s">
        <v>245</v>
      </c>
      <c r="L1082" s="2" t="s">
        <v>246</v>
      </c>
      <c r="M1082" s="2" t="s">
        <v>247</v>
      </c>
      <c r="N1082" s="2" t="s">
        <v>118</v>
      </c>
      <c r="O1082" s="2" t="s">
        <v>119</v>
      </c>
      <c r="P1082" s="2" t="s">
        <v>27</v>
      </c>
      <c r="Q1082" s="2" t="s">
        <v>248</v>
      </c>
      <c r="R1082" s="2" t="s">
        <v>142</v>
      </c>
      <c r="S1082" s="2" t="s">
        <v>46</v>
      </c>
      <c r="T1082">
        <v>1381</v>
      </c>
      <c r="U1082">
        <f>VLOOKUP(Auto_Sales_data___Copy[[#This Row],[CUSTOMER_NAME]],$AF$2:$AH$90,2,FALSE)</f>
        <v>11</v>
      </c>
      <c r="V1082">
        <f>VLOOKUP(Auto_Sales_data___Copy[[#This Row],[CUSTOMER_NAME]],$AF$2:$AH$90,3,FALSE)</f>
        <v>36163.619999999995</v>
      </c>
      <c r="W1082" s="2">
        <f>6-MATCH(Auto_Sales_data___Copy[[#This Row],[DAYS_SINCE_LAST_ORDER]],Table2[R-Cutoff],1)</f>
        <v>4</v>
      </c>
      <c r="X1082" s="2">
        <f>MATCH(Auto_Sales_data___Copy[[#This Row],[Total_Orders_Per_Customer]],Table2[F-Cutoff],1)</f>
        <v>1</v>
      </c>
      <c r="Y1082" s="2">
        <f>MATCH(Auto_Sales_data___Copy[[#This Row],[Total_Sales_Per_Customer]],Table2[M-Cutoff],1)</f>
        <v>1</v>
      </c>
      <c r="Z1082" s="2" t="str">
        <f>Auto_Sales_data___Copy[[#This Row],[R-Score(1-5)]]&amp;Auto_Sales_data___Copy[[#This Row],[F-Score(1-5)]]&amp;Auto_Sales_data___Copy[[#This Row],[M-Score(1-5)]]</f>
        <v>411</v>
      </c>
      <c r="AA1082" s="2" t="str" cm="1">
        <f t="array" ref="AA10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2" s="2" t="str">
        <f>VLOOKUP(Auto_Sales_data___Copy[[#This Row],[Segment Name]],Table3[],2,FALSE)</f>
        <v>Brand Awareness &amp; Value Proposition</v>
      </c>
    </row>
    <row r="1083" spans="1:28" x14ac:dyDescent="0.25">
      <c r="A1083">
        <v>10276</v>
      </c>
      <c r="B1083">
        <v>38</v>
      </c>
      <c r="C1083">
        <v>69.959999999999994</v>
      </c>
      <c r="D1083">
        <v>6</v>
      </c>
      <c r="E1083">
        <v>2658.48</v>
      </c>
      <c r="F1083" s="1">
        <v>43679</v>
      </c>
      <c r="G1083" s="2" t="s">
        <v>19</v>
      </c>
      <c r="H1083" s="2" t="s">
        <v>183</v>
      </c>
      <c r="I1083">
        <v>80</v>
      </c>
      <c r="J1083" s="2" t="s">
        <v>652</v>
      </c>
      <c r="K1083" s="2" t="s">
        <v>487</v>
      </c>
      <c r="L1083" s="2" t="s">
        <v>488</v>
      </c>
      <c r="M1083" s="2" t="s">
        <v>489</v>
      </c>
      <c r="N1083" s="2" t="s">
        <v>297</v>
      </c>
      <c r="O1083" s="2" t="s">
        <v>298</v>
      </c>
      <c r="P1083" s="2" t="s">
        <v>27</v>
      </c>
      <c r="Q1083" s="2" t="s">
        <v>490</v>
      </c>
      <c r="R1083" s="2" t="s">
        <v>491</v>
      </c>
      <c r="S1083" s="2" t="s">
        <v>30</v>
      </c>
      <c r="T1083">
        <v>1365</v>
      </c>
      <c r="U1083">
        <f>VLOOKUP(Auto_Sales_data___Copy[[#This Row],[CUSTOMER_NAME]],$AF$2:$AH$90,2,FALSE)</f>
        <v>15</v>
      </c>
      <c r="V1083">
        <f>VLOOKUP(Auto_Sales_data___Copy[[#This Row],[CUSTOMER_NAME]],$AF$2:$AH$90,3,FALSE)</f>
        <v>57197.959999999992</v>
      </c>
      <c r="W1083" s="2">
        <f>6-MATCH(Auto_Sales_data___Copy[[#This Row],[DAYS_SINCE_LAST_ORDER]],Table2[R-Cutoff],1)</f>
        <v>4</v>
      </c>
      <c r="X1083" s="2">
        <f>MATCH(Auto_Sales_data___Copy[[#This Row],[Total_Orders_Per_Customer]],Table2[F-Cutoff],1)</f>
        <v>1</v>
      </c>
      <c r="Y1083" s="2">
        <f>MATCH(Auto_Sales_data___Copy[[#This Row],[Total_Sales_Per_Customer]],Table2[M-Cutoff],1)</f>
        <v>1</v>
      </c>
      <c r="Z1083" s="2" t="str">
        <f>Auto_Sales_data___Copy[[#This Row],[R-Score(1-5)]]&amp;Auto_Sales_data___Copy[[#This Row],[F-Score(1-5)]]&amp;Auto_Sales_data___Copy[[#This Row],[M-Score(1-5)]]</f>
        <v>411</v>
      </c>
      <c r="AA1083" s="2" t="str" cm="1">
        <f t="array" ref="AA10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3" s="2" t="str">
        <f>VLOOKUP(Auto_Sales_data___Copy[[#This Row],[Segment Name]],Table3[],2,FALSE)</f>
        <v>Brand Awareness &amp; Value Proposition</v>
      </c>
    </row>
    <row r="1084" spans="1:28" x14ac:dyDescent="0.25">
      <c r="A1084">
        <v>10276</v>
      </c>
      <c r="B1084">
        <v>30</v>
      </c>
      <c r="C1084">
        <v>130.82</v>
      </c>
      <c r="D1084">
        <v>5</v>
      </c>
      <c r="E1084">
        <v>3924.6</v>
      </c>
      <c r="F1084" s="1">
        <v>43679</v>
      </c>
      <c r="G1084" s="2" t="s">
        <v>19</v>
      </c>
      <c r="H1084" s="2" t="s">
        <v>183</v>
      </c>
      <c r="I1084">
        <v>146</v>
      </c>
      <c r="J1084" s="2" t="s">
        <v>654</v>
      </c>
      <c r="K1084" s="2" t="s">
        <v>487</v>
      </c>
      <c r="L1084" s="2" t="s">
        <v>488</v>
      </c>
      <c r="M1084" s="2" t="s">
        <v>489</v>
      </c>
      <c r="N1084" s="2" t="s">
        <v>297</v>
      </c>
      <c r="O1084" s="2" t="s">
        <v>298</v>
      </c>
      <c r="P1084" s="2" t="s">
        <v>27</v>
      </c>
      <c r="Q1084" s="2" t="s">
        <v>490</v>
      </c>
      <c r="R1084" s="2" t="s">
        <v>491</v>
      </c>
      <c r="S1084" s="2" t="s">
        <v>46</v>
      </c>
      <c r="T1084">
        <v>1412</v>
      </c>
      <c r="U1084">
        <f>VLOOKUP(Auto_Sales_data___Copy[[#This Row],[CUSTOMER_NAME]],$AF$2:$AH$90,2,FALSE)</f>
        <v>15</v>
      </c>
      <c r="V1084">
        <f>VLOOKUP(Auto_Sales_data___Copy[[#This Row],[CUSTOMER_NAME]],$AF$2:$AH$90,3,FALSE)</f>
        <v>57197.959999999992</v>
      </c>
      <c r="W1084" s="2">
        <f>6-MATCH(Auto_Sales_data___Copy[[#This Row],[DAYS_SINCE_LAST_ORDER]],Table2[R-Cutoff],1)</f>
        <v>4</v>
      </c>
      <c r="X1084" s="2">
        <f>MATCH(Auto_Sales_data___Copy[[#This Row],[Total_Orders_Per_Customer]],Table2[F-Cutoff],1)</f>
        <v>1</v>
      </c>
      <c r="Y1084" s="2">
        <f>MATCH(Auto_Sales_data___Copy[[#This Row],[Total_Sales_Per_Customer]],Table2[M-Cutoff],1)</f>
        <v>1</v>
      </c>
      <c r="Z1084" s="2" t="str">
        <f>Auto_Sales_data___Copy[[#This Row],[R-Score(1-5)]]&amp;Auto_Sales_data___Copy[[#This Row],[F-Score(1-5)]]&amp;Auto_Sales_data___Copy[[#This Row],[M-Score(1-5)]]</f>
        <v>411</v>
      </c>
      <c r="AA1084" s="2" t="str" cm="1">
        <f t="array" ref="AA10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4" s="2" t="str">
        <f>VLOOKUP(Auto_Sales_data___Copy[[#This Row],[Segment Name]],Table3[],2,FALSE)</f>
        <v>Brand Awareness &amp; Value Proposition</v>
      </c>
    </row>
    <row r="1085" spans="1:28" x14ac:dyDescent="0.25">
      <c r="A1085">
        <v>10276</v>
      </c>
      <c r="B1085">
        <v>33</v>
      </c>
      <c r="C1085">
        <v>50.36</v>
      </c>
      <c r="D1085">
        <v>9</v>
      </c>
      <c r="E1085">
        <v>1661.88</v>
      </c>
      <c r="F1085" s="1">
        <v>43679</v>
      </c>
      <c r="G1085" s="2" t="s">
        <v>19</v>
      </c>
      <c r="H1085" s="2" t="s">
        <v>20</v>
      </c>
      <c r="I1085">
        <v>62</v>
      </c>
      <c r="J1085" s="2" t="s">
        <v>656</v>
      </c>
      <c r="K1085" s="2" t="s">
        <v>487</v>
      </c>
      <c r="L1085" s="2" t="s">
        <v>488</v>
      </c>
      <c r="M1085" s="2" t="s">
        <v>489</v>
      </c>
      <c r="N1085" s="2" t="s">
        <v>297</v>
      </c>
      <c r="O1085" s="2" t="s">
        <v>298</v>
      </c>
      <c r="P1085" s="2" t="s">
        <v>27</v>
      </c>
      <c r="Q1085" s="2" t="s">
        <v>490</v>
      </c>
      <c r="R1085" s="2" t="s">
        <v>491</v>
      </c>
      <c r="S1085" s="2" t="s">
        <v>30</v>
      </c>
      <c r="T1085">
        <v>1460</v>
      </c>
      <c r="U1085">
        <f>VLOOKUP(Auto_Sales_data___Copy[[#This Row],[CUSTOMER_NAME]],$AF$2:$AH$90,2,FALSE)</f>
        <v>15</v>
      </c>
      <c r="V1085">
        <f>VLOOKUP(Auto_Sales_data___Copy[[#This Row],[CUSTOMER_NAME]],$AF$2:$AH$90,3,FALSE)</f>
        <v>57197.959999999992</v>
      </c>
      <c r="W1085" s="2">
        <f>6-MATCH(Auto_Sales_data___Copy[[#This Row],[DAYS_SINCE_LAST_ORDER]],Table2[R-Cutoff],1)</f>
        <v>4</v>
      </c>
      <c r="X1085" s="2">
        <f>MATCH(Auto_Sales_data___Copy[[#This Row],[Total_Orders_Per_Customer]],Table2[F-Cutoff],1)</f>
        <v>1</v>
      </c>
      <c r="Y1085" s="2">
        <f>MATCH(Auto_Sales_data___Copy[[#This Row],[Total_Sales_Per_Customer]],Table2[M-Cutoff],1)</f>
        <v>1</v>
      </c>
      <c r="Z1085" s="2" t="str">
        <f>Auto_Sales_data___Copy[[#This Row],[R-Score(1-5)]]&amp;Auto_Sales_data___Copy[[#This Row],[F-Score(1-5)]]&amp;Auto_Sales_data___Copy[[#This Row],[M-Score(1-5)]]</f>
        <v>411</v>
      </c>
      <c r="AA1085" s="2" t="str" cm="1">
        <f t="array" ref="AA10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5" s="2" t="str">
        <f>VLOOKUP(Auto_Sales_data___Copy[[#This Row],[Segment Name]],Table3[],2,FALSE)</f>
        <v>Brand Awareness &amp; Value Proposition</v>
      </c>
    </row>
    <row r="1086" spans="1:28" x14ac:dyDescent="0.25">
      <c r="A1086">
        <v>10290</v>
      </c>
      <c r="B1086">
        <v>26</v>
      </c>
      <c r="C1086">
        <v>96.23</v>
      </c>
      <c r="D1086">
        <v>2</v>
      </c>
      <c r="E1086">
        <v>2501.98</v>
      </c>
      <c r="F1086" s="1">
        <v>43715</v>
      </c>
      <c r="G1086" s="2" t="s">
        <v>19</v>
      </c>
      <c r="H1086" s="2" t="s">
        <v>589</v>
      </c>
      <c r="I1086">
        <v>99</v>
      </c>
      <c r="J1086" s="2" t="s">
        <v>653</v>
      </c>
      <c r="K1086" s="2" t="s">
        <v>644</v>
      </c>
      <c r="L1086" s="2" t="s">
        <v>645</v>
      </c>
      <c r="M1086" s="2" t="s">
        <v>646</v>
      </c>
      <c r="N1086" s="2" t="s">
        <v>297</v>
      </c>
      <c r="O1086" s="2" t="s">
        <v>298</v>
      </c>
      <c r="P1086" s="2" t="s">
        <v>27</v>
      </c>
      <c r="Q1086" s="2" t="s">
        <v>566</v>
      </c>
      <c r="R1086" s="2" t="s">
        <v>255</v>
      </c>
      <c r="S1086" s="2" t="s">
        <v>30</v>
      </c>
      <c r="T1086">
        <v>1353</v>
      </c>
      <c r="U1086">
        <f>VLOOKUP(Auto_Sales_data___Copy[[#This Row],[CUSTOMER_NAME]],$AF$2:$AH$90,2,FALSE)</f>
        <v>8</v>
      </c>
      <c r="V1086">
        <f>VLOOKUP(Auto_Sales_data___Copy[[#This Row],[CUSTOMER_NAME]],$AF$2:$AH$90,3,FALSE)</f>
        <v>26479.260000000002</v>
      </c>
      <c r="W1086" s="2">
        <f>6-MATCH(Auto_Sales_data___Copy[[#This Row],[DAYS_SINCE_LAST_ORDER]],Table2[R-Cutoff],1)</f>
        <v>4</v>
      </c>
      <c r="X1086" s="2">
        <f>MATCH(Auto_Sales_data___Copy[[#This Row],[Total_Orders_Per_Customer]],Table2[F-Cutoff],1)</f>
        <v>1</v>
      </c>
      <c r="Y1086" s="2">
        <f>MATCH(Auto_Sales_data___Copy[[#This Row],[Total_Sales_Per_Customer]],Table2[M-Cutoff],1)</f>
        <v>1</v>
      </c>
      <c r="Z1086" s="2" t="str">
        <f>Auto_Sales_data___Copy[[#This Row],[R-Score(1-5)]]&amp;Auto_Sales_data___Copy[[#This Row],[F-Score(1-5)]]&amp;Auto_Sales_data___Copy[[#This Row],[M-Score(1-5)]]</f>
        <v>411</v>
      </c>
      <c r="AA1086" s="2" t="str" cm="1">
        <f t="array" ref="AA10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6" s="2" t="str">
        <f>VLOOKUP(Auto_Sales_data___Copy[[#This Row],[Segment Name]],Table3[],2,FALSE)</f>
        <v>Brand Awareness &amp; Value Proposition</v>
      </c>
    </row>
    <row r="1087" spans="1:28" x14ac:dyDescent="0.25">
      <c r="A1087">
        <v>10296</v>
      </c>
      <c r="B1087">
        <v>21</v>
      </c>
      <c r="C1087">
        <v>96.34</v>
      </c>
      <c r="D1087">
        <v>13</v>
      </c>
      <c r="E1087">
        <v>2023.14</v>
      </c>
      <c r="F1087" s="1">
        <v>43723</v>
      </c>
      <c r="G1087" s="2" t="s">
        <v>19</v>
      </c>
      <c r="H1087" s="2" t="s">
        <v>642</v>
      </c>
      <c r="I1087">
        <v>86</v>
      </c>
      <c r="J1087" s="2" t="s">
        <v>643</v>
      </c>
      <c r="K1087" s="2" t="s">
        <v>615</v>
      </c>
      <c r="L1087" s="2" t="s">
        <v>616</v>
      </c>
      <c r="M1087" s="2" t="s">
        <v>617</v>
      </c>
      <c r="N1087" s="2" t="s">
        <v>618</v>
      </c>
      <c r="O1087" s="2" t="s">
        <v>619</v>
      </c>
      <c r="P1087" s="2" t="s">
        <v>470</v>
      </c>
      <c r="Q1087" s="2" t="s">
        <v>620</v>
      </c>
      <c r="R1087" s="2" t="s">
        <v>94</v>
      </c>
      <c r="S1087" s="2" t="s">
        <v>30</v>
      </c>
      <c r="T1087">
        <v>1171</v>
      </c>
      <c r="U1087">
        <f>VLOOKUP(Auto_Sales_data___Copy[[#This Row],[CUSTOMER_NAME]],$AF$2:$AH$90,2,FALSE)</f>
        <v>14</v>
      </c>
      <c r="V1087">
        <f>VLOOKUP(Auto_Sales_data___Copy[[#This Row],[CUSTOMER_NAME]],$AF$2:$AH$90,3,FALSE)</f>
        <v>34993.919999999998</v>
      </c>
      <c r="W1087" s="2">
        <f>6-MATCH(Auto_Sales_data___Copy[[#This Row],[DAYS_SINCE_LAST_ORDER]],Table2[R-Cutoff],1)</f>
        <v>4</v>
      </c>
      <c r="X1087" s="2">
        <f>MATCH(Auto_Sales_data___Copy[[#This Row],[Total_Orders_Per_Customer]],Table2[F-Cutoff],1)</f>
        <v>1</v>
      </c>
      <c r="Y1087" s="2">
        <f>MATCH(Auto_Sales_data___Copy[[#This Row],[Total_Sales_Per_Customer]],Table2[M-Cutoff],1)</f>
        <v>1</v>
      </c>
      <c r="Z1087" s="2" t="str">
        <f>Auto_Sales_data___Copy[[#This Row],[R-Score(1-5)]]&amp;Auto_Sales_data___Copy[[#This Row],[F-Score(1-5)]]&amp;Auto_Sales_data___Copy[[#This Row],[M-Score(1-5)]]</f>
        <v>411</v>
      </c>
      <c r="AA1087" s="2" t="str" cm="1">
        <f t="array" ref="AA10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7" s="2" t="str">
        <f>VLOOKUP(Auto_Sales_data___Copy[[#This Row],[Segment Name]],Table3[],2,FALSE)</f>
        <v>Brand Awareness &amp; Value Proposition</v>
      </c>
    </row>
    <row r="1088" spans="1:28" x14ac:dyDescent="0.25">
      <c r="A1088">
        <v>10296</v>
      </c>
      <c r="B1088">
        <v>22</v>
      </c>
      <c r="C1088">
        <v>84.7</v>
      </c>
      <c r="D1088">
        <v>12</v>
      </c>
      <c r="E1088">
        <v>1863.4</v>
      </c>
      <c r="F1088" s="1">
        <v>43723</v>
      </c>
      <c r="G1088" s="2" t="s">
        <v>19</v>
      </c>
      <c r="H1088" s="2" t="s">
        <v>589</v>
      </c>
      <c r="I1088">
        <v>105</v>
      </c>
      <c r="J1088" s="2" t="s">
        <v>657</v>
      </c>
      <c r="K1088" s="2" t="s">
        <v>615</v>
      </c>
      <c r="L1088" s="2" t="s">
        <v>616</v>
      </c>
      <c r="M1088" s="2" t="s">
        <v>617</v>
      </c>
      <c r="N1088" s="2" t="s">
        <v>618</v>
      </c>
      <c r="O1088" s="2" t="s">
        <v>619</v>
      </c>
      <c r="P1088" s="2" t="s">
        <v>470</v>
      </c>
      <c r="Q1088" s="2" t="s">
        <v>620</v>
      </c>
      <c r="R1088" s="2" t="s">
        <v>94</v>
      </c>
      <c r="S1088" s="2" t="s">
        <v>30</v>
      </c>
      <c r="T1088">
        <v>1442</v>
      </c>
      <c r="U1088">
        <f>VLOOKUP(Auto_Sales_data___Copy[[#This Row],[CUSTOMER_NAME]],$AF$2:$AH$90,2,FALSE)</f>
        <v>14</v>
      </c>
      <c r="V1088">
        <f>VLOOKUP(Auto_Sales_data___Copy[[#This Row],[CUSTOMER_NAME]],$AF$2:$AH$90,3,FALSE)</f>
        <v>34993.919999999998</v>
      </c>
      <c r="W1088" s="2">
        <f>6-MATCH(Auto_Sales_data___Copy[[#This Row],[DAYS_SINCE_LAST_ORDER]],Table2[R-Cutoff],1)</f>
        <v>4</v>
      </c>
      <c r="X1088" s="2">
        <f>MATCH(Auto_Sales_data___Copy[[#This Row],[Total_Orders_Per_Customer]],Table2[F-Cutoff],1)</f>
        <v>1</v>
      </c>
      <c r="Y1088" s="2">
        <f>MATCH(Auto_Sales_data___Copy[[#This Row],[Total_Sales_Per_Customer]],Table2[M-Cutoff],1)</f>
        <v>1</v>
      </c>
      <c r="Z1088" s="2" t="str">
        <f>Auto_Sales_data___Copy[[#This Row],[R-Score(1-5)]]&amp;Auto_Sales_data___Copy[[#This Row],[F-Score(1-5)]]&amp;Auto_Sales_data___Copy[[#This Row],[M-Score(1-5)]]</f>
        <v>411</v>
      </c>
      <c r="AA1088" s="2" t="str" cm="1">
        <f t="array" ref="AA10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8" s="2" t="str">
        <f>VLOOKUP(Auto_Sales_data___Copy[[#This Row],[Segment Name]],Table3[],2,FALSE)</f>
        <v>Brand Awareness &amp; Value Proposition</v>
      </c>
    </row>
    <row r="1089" spans="1:28" x14ac:dyDescent="0.25">
      <c r="A1089">
        <v>10297</v>
      </c>
      <c r="B1089">
        <v>25</v>
      </c>
      <c r="C1089">
        <v>82.79</v>
      </c>
      <c r="D1089">
        <v>4</v>
      </c>
      <c r="E1089">
        <v>2069.75</v>
      </c>
      <c r="F1089" s="1">
        <v>43724</v>
      </c>
      <c r="G1089" s="2" t="s">
        <v>19</v>
      </c>
      <c r="H1089" s="2" t="s">
        <v>607</v>
      </c>
      <c r="I1089">
        <v>84</v>
      </c>
      <c r="J1089" s="2" t="s">
        <v>636</v>
      </c>
      <c r="K1089" s="2" t="s">
        <v>510</v>
      </c>
      <c r="L1089" s="2" t="s">
        <v>511</v>
      </c>
      <c r="M1089" s="2" t="s">
        <v>512</v>
      </c>
      <c r="N1089" s="2" t="s">
        <v>513</v>
      </c>
      <c r="O1089" s="2" t="s">
        <v>514</v>
      </c>
      <c r="P1089" s="2" t="s">
        <v>515</v>
      </c>
      <c r="Q1089" s="2" t="s">
        <v>516</v>
      </c>
      <c r="R1089" s="2" t="s">
        <v>517</v>
      </c>
      <c r="S1089" s="2" t="s">
        <v>30</v>
      </c>
      <c r="T1089">
        <v>1021</v>
      </c>
      <c r="U1089">
        <f>VLOOKUP(Auto_Sales_data___Copy[[#This Row],[CUSTOMER_NAME]],$AF$2:$AH$90,2,FALSE)</f>
        <v>16</v>
      </c>
      <c r="V1089">
        <f>VLOOKUP(Auto_Sales_data___Copy[[#This Row],[CUSTOMER_NAME]],$AF$2:$AH$90,3,FALSE)</f>
        <v>57756.43</v>
      </c>
      <c r="W1089" s="2">
        <f>6-MATCH(Auto_Sales_data___Copy[[#This Row],[DAYS_SINCE_LAST_ORDER]],Table2[R-Cutoff],1)</f>
        <v>4</v>
      </c>
      <c r="X1089" s="2">
        <f>MATCH(Auto_Sales_data___Copy[[#This Row],[Total_Orders_Per_Customer]],Table2[F-Cutoff],1)</f>
        <v>1</v>
      </c>
      <c r="Y1089" s="2">
        <f>MATCH(Auto_Sales_data___Copy[[#This Row],[Total_Sales_Per_Customer]],Table2[M-Cutoff],1)</f>
        <v>1</v>
      </c>
      <c r="Z1089" s="2" t="str">
        <f>Auto_Sales_data___Copy[[#This Row],[R-Score(1-5)]]&amp;Auto_Sales_data___Copy[[#This Row],[F-Score(1-5)]]&amp;Auto_Sales_data___Copy[[#This Row],[M-Score(1-5)]]</f>
        <v>411</v>
      </c>
      <c r="AA1089" s="2" t="str" cm="1">
        <f t="array" ref="AA10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9" s="2" t="str">
        <f>VLOOKUP(Auto_Sales_data___Copy[[#This Row],[Segment Name]],Table3[],2,FALSE)</f>
        <v>Brand Awareness &amp; Value Proposition</v>
      </c>
    </row>
    <row r="1090" spans="1:28" x14ac:dyDescent="0.25">
      <c r="A1090">
        <v>10298</v>
      </c>
      <c r="B1090">
        <v>32</v>
      </c>
      <c r="C1090">
        <v>48.46</v>
      </c>
      <c r="D1090">
        <v>2</v>
      </c>
      <c r="E1090">
        <v>1550.72</v>
      </c>
      <c r="F1090" s="1">
        <v>43735</v>
      </c>
      <c r="G1090" s="2" t="s">
        <v>19</v>
      </c>
      <c r="H1090" s="2" t="s">
        <v>20</v>
      </c>
      <c r="I1090">
        <v>60</v>
      </c>
      <c r="J1090" s="2" t="s">
        <v>637</v>
      </c>
      <c r="K1090" s="2" t="s">
        <v>327</v>
      </c>
      <c r="L1090" s="2" t="s">
        <v>328</v>
      </c>
      <c r="M1090" s="2" t="s">
        <v>329</v>
      </c>
      <c r="N1090" s="2" t="s">
        <v>111</v>
      </c>
      <c r="O1090" s="2" t="s">
        <v>112</v>
      </c>
      <c r="P1090" s="2" t="s">
        <v>36</v>
      </c>
      <c r="Q1090" s="2" t="s">
        <v>330</v>
      </c>
      <c r="R1090" s="2" t="s">
        <v>331</v>
      </c>
      <c r="S1090" s="2" t="s">
        <v>30</v>
      </c>
      <c r="T1090">
        <v>1035</v>
      </c>
      <c r="U1090">
        <f>VLOOKUP(Auto_Sales_data___Copy[[#This Row],[CUSTOMER_NAME]],$AF$2:$AH$90,2,FALSE)</f>
        <v>7</v>
      </c>
      <c r="V1090">
        <f>VLOOKUP(Auto_Sales_data___Copy[[#This Row],[CUSTOMER_NAME]],$AF$2:$AH$90,3,FALSE)</f>
        <v>24179.96</v>
      </c>
      <c r="W1090" s="2">
        <f>6-MATCH(Auto_Sales_data___Copy[[#This Row],[DAYS_SINCE_LAST_ORDER]],Table2[R-Cutoff],1)</f>
        <v>4</v>
      </c>
      <c r="X1090" s="2">
        <f>MATCH(Auto_Sales_data___Copy[[#This Row],[Total_Orders_Per_Customer]],Table2[F-Cutoff],1)</f>
        <v>1</v>
      </c>
      <c r="Y1090" s="2">
        <f>MATCH(Auto_Sales_data___Copy[[#This Row],[Total_Sales_Per_Customer]],Table2[M-Cutoff],1)</f>
        <v>1</v>
      </c>
      <c r="Z1090" s="2" t="str">
        <f>Auto_Sales_data___Copy[[#This Row],[R-Score(1-5)]]&amp;Auto_Sales_data___Copy[[#This Row],[F-Score(1-5)]]&amp;Auto_Sales_data___Copy[[#This Row],[M-Score(1-5)]]</f>
        <v>411</v>
      </c>
      <c r="AA1090" s="2" t="str" cm="1">
        <f t="array" ref="AA10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0" s="2" t="str">
        <f>VLOOKUP(Auto_Sales_data___Copy[[#This Row],[Segment Name]],Table3[],2,FALSE)</f>
        <v>Brand Awareness &amp; Value Proposition</v>
      </c>
    </row>
    <row r="1091" spans="1:28" x14ac:dyDescent="0.25">
      <c r="A1091">
        <v>10319</v>
      </c>
      <c r="B1091">
        <v>46</v>
      </c>
      <c r="C1091">
        <v>73.98</v>
      </c>
      <c r="D1091">
        <v>1</v>
      </c>
      <c r="E1091">
        <v>3403.08</v>
      </c>
      <c r="F1091" s="1">
        <v>43772</v>
      </c>
      <c r="G1091" s="2" t="s">
        <v>19</v>
      </c>
      <c r="H1091" s="2" t="s">
        <v>183</v>
      </c>
      <c r="I1091">
        <v>80</v>
      </c>
      <c r="J1091" s="2" t="s">
        <v>652</v>
      </c>
      <c r="K1091" s="2" t="s">
        <v>540</v>
      </c>
      <c r="L1091" s="2" t="s">
        <v>541</v>
      </c>
      <c r="M1091" s="2" t="s">
        <v>542</v>
      </c>
      <c r="N1091" s="2" t="s">
        <v>25</v>
      </c>
      <c r="O1091" s="2" t="s">
        <v>26</v>
      </c>
      <c r="P1091" s="2" t="s">
        <v>27</v>
      </c>
      <c r="Q1091" s="2" t="s">
        <v>543</v>
      </c>
      <c r="R1091" s="2" t="s">
        <v>544</v>
      </c>
      <c r="S1091" s="2" t="s">
        <v>46</v>
      </c>
      <c r="T1091">
        <v>1276</v>
      </c>
      <c r="U1091">
        <f>VLOOKUP(Auto_Sales_data___Copy[[#This Row],[CUSTOMER_NAME]],$AF$2:$AH$90,2,FALSE)</f>
        <v>10</v>
      </c>
      <c r="V1091">
        <f>VLOOKUP(Auto_Sales_data___Copy[[#This Row],[CUSTOMER_NAME]],$AF$2:$AH$90,3,FALSE)</f>
        <v>33144.930000000008</v>
      </c>
      <c r="W1091" s="2">
        <f>6-MATCH(Auto_Sales_data___Copy[[#This Row],[DAYS_SINCE_LAST_ORDER]],Table2[R-Cutoff],1)</f>
        <v>4</v>
      </c>
      <c r="X1091" s="2">
        <f>MATCH(Auto_Sales_data___Copy[[#This Row],[Total_Orders_Per_Customer]],Table2[F-Cutoff],1)</f>
        <v>1</v>
      </c>
      <c r="Y1091" s="2">
        <f>MATCH(Auto_Sales_data___Copy[[#This Row],[Total_Sales_Per_Customer]],Table2[M-Cutoff],1)</f>
        <v>1</v>
      </c>
      <c r="Z1091" s="2" t="str">
        <f>Auto_Sales_data___Copy[[#This Row],[R-Score(1-5)]]&amp;Auto_Sales_data___Copy[[#This Row],[F-Score(1-5)]]&amp;Auto_Sales_data___Copy[[#This Row],[M-Score(1-5)]]</f>
        <v>411</v>
      </c>
      <c r="AA1091" s="2" t="str" cm="1">
        <f t="array" ref="AA10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1" s="2" t="str">
        <f>VLOOKUP(Auto_Sales_data___Copy[[#This Row],[Segment Name]],Table3[],2,FALSE)</f>
        <v>Brand Awareness &amp; Value Proposition</v>
      </c>
    </row>
    <row r="1092" spans="1:28" x14ac:dyDescent="0.25">
      <c r="A1092">
        <v>10319</v>
      </c>
      <c r="B1092">
        <v>44</v>
      </c>
      <c r="C1092">
        <v>59.06</v>
      </c>
      <c r="D1092">
        <v>4</v>
      </c>
      <c r="E1092">
        <v>2598.64</v>
      </c>
      <c r="F1092" s="1">
        <v>43772</v>
      </c>
      <c r="G1092" s="2" t="s">
        <v>19</v>
      </c>
      <c r="H1092" s="2" t="s">
        <v>20</v>
      </c>
      <c r="I1092">
        <v>62</v>
      </c>
      <c r="J1092" s="2" t="s">
        <v>656</v>
      </c>
      <c r="K1092" s="2" t="s">
        <v>540</v>
      </c>
      <c r="L1092" s="2" t="s">
        <v>541</v>
      </c>
      <c r="M1092" s="2" t="s">
        <v>542</v>
      </c>
      <c r="N1092" s="2" t="s">
        <v>25</v>
      </c>
      <c r="O1092" s="2" t="s">
        <v>26</v>
      </c>
      <c r="P1092" s="2" t="s">
        <v>27</v>
      </c>
      <c r="Q1092" s="2" t="s">
        <v>543</v>
      </c>
      <c r="R1092" s="2" t="s">
        <v>544</v>
      </c>
      <c r="S1092" s="2" t="s">
        <v>30</v>
      </c>
      <c r="T1092">
        <v>1371</v>
      </c>
      <c r="U1092">
        <f>VLOOKUP(Auto_Sales_data___Copy[[#This Row],[CUSTOMER_NAME]],$AF$2:$AH$90,2,FALSE)</f>
        <v>10</v>
      </c>
      <c r="V1092">
        <f>VLOOKUP(Auto_Sales_data___Copy[[#This Row],[CUSTOMER_NAME]],$AF$2:$AH$90,3,FALSE)</f>
        <v>33144.930000000008</v>
      </c>
      <c r="W1092" s="2">
        <f>6-MATCH(Auto_Sales_data___Copy[[#This Row],[DAYS_SINCE_LAST_ORDER]],Table2[R-Cutoff],1)</f>
        <v>4</v>
      </c>
      <c r="X1092" s="2">
        <f>MATCH(Auto_Sales_data___Copy[[#This Row],[Total_Orders_Per_Customer]],Table2[F-Cutoff],1)</f>
        <v>1</v>
      </c>
      <c r="Y1092" s="2">
        <f>MATCH(Auto_Sales_data___Copy[[#This Row],[Total_Sales_Per_Customer]],Table2[M-Cutoff],1)</f>
        <v>1</v>
      </c>
      <c r="Z1092" s="2" t="str">
        <f>Auto_Sales_data___Copy[[#This Row],[R-Score(1-5)]]&amp;Auto_Sales_data___Copy[[#This Row],[F-Score(1-5)]]&amp;Auto_Sales_data___Copy[[#This Row],[M-Score(1-5)]]</f>
        <v>411</v>
      </c>
      <c r="AA1092" s="2" t="str" cm="1">
        <f t="array" ref="AA10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2" s="2" t="str">
        <f>VLOOKUP(Auto_Sales_data___Copy[[#This Row],[Segment Name]],Table3[],2,FALSE)</f>
        <v>Brand Awareness &amp; Value Proposition</v>
      </c>
    </row>
    <row r="1093" spans="1:28" x14ac:dyDescent="0.25">
      <c r="A1093">
        <v>10338</v>
      </c>
      <c r="B1093">
        <v>28</v>
      </c>
      <c r="C1093">
        <v>82.58</v>
      </c>
      <c r="D1093">
        <v>3</v>
      </c>
      <c r="E1093">
        <v>2312.2399999999998</v>
      </c>
      <c r="F1093" s="1">
        <v>43791</v>
      </c>
      <c r="G1093" s="2" t="s">
        <v>19</v>
      </c>
      <c r="H1093" s="2" t="s">
        <v>642</v>
      </c>
      <c r="I1093">
        <v>86</v>
      </c>
      <c r="J1093" s="2" t="s">
        <v>643</v>
      </c>
      <c r="K1093" s="2" t="s">
        <v>621</v>
      </c>
      <c r="L1093" s="2" t="s">
        <v>622</v>
      </c>
      <c r="M1093" s="2" t="s">
        <v>623</v>
      </c>
      <c r="N1093" s="2" t="s">
        <v>624</v>
      </c>
      <c r="O1093" s="2" t="s">
        <v>625</v>
      </c>
      <c r="P1093" s="2" t="s">
        <v>389</v>
      </c>
      <c r="Q1093" s="2" t="s">
        <v>626</v>
      </c>
      <c r="R1093" s="2" t="s">
        <v>627</v>
      </c>
      <c r="S1093" s="2" t="s">
        <v>30</v>
      </c>
      <c r="T1093">
        <v>1107</v>
      </c>
      <c r="U1093">
        <f>VLOOKUP(Auto_Sales_data___Copy[[#This Row],[CUSTOMER_NAME]],$AF$2:$AH$90,2,FALSE)</f>
        <v>8</v>
      </c>
      <c r="V1093">
        <f>VLOOKUP(Auto_Sales_data___Copy[[#This Row],[CUSTOMER_NAME]],$AF$2:$AH$90,3,FALSE)</f>
        <v>33440.1</v>
      </c>
      <c r="W1093" s="2">
        <f>6-MATCH(Auto_Sales_data___Copy[[#This Row],[DAYS_SINCE_LAST_ORDER]],Table2[R-Cutoff],1)</f>
        <v>4</v>
      </c>
      <c r="X1093" s="2">
        <f>MATCH(Auto_Sales_data___Copy[[#This Row],[Total_Orders_Per_Customer]],Table2[F-Cutoff],1)</f>
        <v>1</v>
      </c>
      <c r="Y1093" s="2">
        <f>MATCH(Auto_Sales_data___Copy[[#This Row],[Total_Sales_Per_Customer]],Table2[M-Cutoff],1)</f>
        <v>1</v>
      </c>
      <c r="Z1093" s="2" t="str">
        <f>Auto_Sales_data___Copy[[#This Row],[R-Score(1-5)]]&amp;Auto_Sales_data___Copy[[#This Row],[F-Score(1-5)]]&amp;Auto_Sales_data___Copy[[#This Row],[M-Score(1-5)]]</f>
        <v>411</v>
      </c>
      <c r="AA1093" s="2" t="str" cm="1">
        <f t="array" ref="AA10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3" s="2" t="str">
        <f>VLOOKUP(Auto_Sales_data___Copy[[#This Row],[Segment Name]],Table3[],2,FALSE)</f>
        <v>Brand Awareness &amp; Value Proposition</v>
      </c>
    </row>
    <row r="1094" spans="1:28" x14ac:dyDescent="0.25">
      <c r="A1094">
        <v>10338</v>
      </c>
      <c r="B1094">
        <v>45</v>
      </c>
      <c r="C1094">
        <v>122.81</v>
      </c>
      <c r="D1094">
        <v>2</v>
      </c>
      <c r="E1094">
        <v>5526.45</v>
      </c>
      <c r="F1094" s="1">
        <v>43791</v>
      </c>
      <c r="G1094" s="2" t="s">
        <v>19</v>
      </c>
      <c r="H1094" s="2" t="s">
        <v>589</v>
      </c>
      <c r="I1094">
        <v>105</v>
      </c>
      <c r="J1094" s="2" t="s">
        <v>657</v>
      </c>
      <c r="K1094" s="2" t="s">
        <v>621</v>
      </c>
      <c r="L1094" s="2" t="s">
        <v>622</v>
      </c>
      <c r="M1094" s="2" t="s">
        <v>623</v>
      </c>
      <c r="N1094" s="2" t="s">
        <v>624</v>
      </c>
      <c r="O1094" s="2" t="s">
        <v>625</v>
      </c>
      <c r="P1094" s="2" t="s">
        <v>389</v>
      </c>
      <c r="Q1094" s="2" t="s">
        <v>626</v>
      </c>
      <c r="R1094" s="2" t="s">
        <v>627</v>
      </c>
      <c r="S1094" s="2" t="s">
        <v>46</v>
      </c>
      <c r="T1094">
        <v>1378</v>
      </c>
      <c r="U1094">
        <f>VLOOKUP(Auto_Sales_data___Copy[[#This Row],[CUSTOMER_NAME]],$AF$2:$AH$90,2,FALSE)</f>
        <v>8</v>
      </c>
      <c r="V1094">
        <f>VLOOKUP(Auto_Sales_data___Copy[[#This Row],[CUSTOMER_NAME]],$AF$2:$AH$90,3,FALSE)</f>
        <v>33440.1</v>
      </c>
      <c r="W1094" s="2">
        <f>6-MATCH(Auto_Sales_data___Copy[[#This Row],[DAYS_SINCE_LAST_ORDER]],Table2[R-Cutoff],1)</f>
        <v>4</v>
      </c>
      <c r="X1094" s="2">
        <f>MATCH(Auto_Sales_data___Copy[[#This Row],[Total_Orders_Per_Customer]],Table2[F-Cutoff],1)</f>
        <v>1</v>
      </c>
      <c r="Y1094" s="2">
        <f>MATCH(Auto_Sales_data___Copy[[#This Row],[Total_Sales_Per_Customer]],Table2[M-Cutoff],1)</f>
        <v>1</v>
      </c>
      <c r="Z1094" s="2" t="str">
        <f>Auto_Sales_data___Copy[[#This Row],[R-Score(1-5)]]&amp;Auto_Sales_data___Copy[[#This Row],[F-Score(1-5)]]&amp;Auto_Sales_data___Copy[[#This Row],[M-Score(1-5)]]</f>
        <v>411</v>
      </c>
      <c r="AA1094" s="2" t="str" cm="1">
        <f t="array" ref="AA10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4" s="2" t="str">
        <f>VLOOKUP(Auto_Sales_data___Copy[[#This Row],[Segment Name]],Table3[],2,FALSE)</f>
        <v>Brand Awareness &amp; Value Proposition</v>
      </c>
    </row>
    <row r="1095" spans="1:28" x14ac:dyDescent="0.25">
      <c r="A1095">
        <v>10366</v>
      </c>
      <c r="B1095">
        <v>49</v>
      </c>
      <c r="C1095">
        <v>125.4</v>
      </c>
      <c r="D1095">
        <v>2</v>
      </c>
      <c r="E1095">
        <v>6144.6</v>
      </c>
      <c r="F1095" s="1">
        <v>43840</v>
      </c>
      <c r="G1095" s="2" t="s">
        <v>19</v>
      </c>
      <c r="H1095" s="2" t="s">
        <v>183</v>
      </c>
      <c r="I1095">
        <v>132</v>
      </c>
      <c r="J1095" s="2" t="s">
        <v>639</v>
      </c>
      <c r="K1095" s="2" t="s">
        <v>621</v>
      </c>
      <c r="L1095" s="2" t="s">
        <v>622</v>
      </c>
      <c r="M1095" s="2" t="s">
        <v>623</v>
      </c>
      <c r="N1095" s="2" t="s">
        <v>624</v>
      </c>
      <c r="O1095" s="2" t="s">
        <v>625</v>
      </c>
      <c r="P1095" s="2" t="s">
        <v>389</v>
      </c>
      <c r="Q1095" s="2" t="s">
        <v>626</v>
      </c>
      <c r="R1095" s="2" t="s">
        <v>627</v>
      </c>
      <c r="S1095" s="2" t="s">
        <v>46</v>
      </c>
      <c r="T1095">
        <v>986</v>
      </c>
      <c r="U1095">
        <f>VLOOKUP(Auto_Sales_data___Copy[[#This Row],[CUSTOMER_NAME]],$AF$2:$AH$90,2,FALSE)</f>
        <v>8</v>
      </c>
      <c r="V1095">
        <f>VLOOKUP(Auto_Sales_data___Copy[[#This Row],[CUSTOMER_NAME]],$AF$2:$AH$90,3,FALSE)</f>
        <v>33440.1</v>
      </c>
      <c r="W1095" s="2">
        <f>6-MATCH(Auto_Sales_data___Copy[[#This Row],[DAYS_SINCE_LAST_ORDER]],Table2[R-Cutoff],1)</f>
        <v>4</v>
      </c>
      <c r="X1095" s="2">
        <f>MATCH(Auto_Sales_data___Copy[[#This Row],[Total_Orders_Per_Customer]],Table2[F-Cutoff],1)</f>
        <v>1</v>
      </c>
      <c r="Y1095" s="2">
        <f>MATCH(Auto_Sales_data___Copy[[#This Row],[Total_Sales_Per_Customer]],Table2[M-Cutoff],1)</f>
        <v>1</v>
      </c>
      <c r="Z1095" s="2" t="str">
        <f>Auto_Sales_data___Copy[[#This Row],[R-Score(1-5)]]&amp;Auto_Sales_data___Copy[[#This Row],[F-Score(1-5)]]&amp;Auto_Sales_data___Copy[[#This Row],[M-Score(1-5)]]</f>
        <v>411</v>
      </c>
      <c r="AA1095" s="2" t="str" cm="1">
        <f t="array" ref="AA10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5" s="2" t="str">
        <f>VLOOKUP(Auto_Sales_data___Copy[[#This Row],[Segment Name]],Table3[],2,FALSE)</f>
        <v>Brand Awareness &amp; Value Proposition</v>
      </c>
    </row>
    <row r="1096" spans="1:28" x14ac:dyDescent="0.25">
      <c r="A1096">
        <v>10366</v>
      </c>
      <c r="B1096">
        <v>34</v>
      </c>
      <c r="C1096">
        <v>184.58</v>
      </c>
      <c r="D1096">
        <v>1</v>
      </c>
      <c r="E1096">
        <v>6275.72</v>
      </c>
      <c r="F1096" s="1">
        <v>43840</v>
      </c>
      <c r="G1096" s="2" t="s">
        <v>19</v>
      </c>
      <c r="H1096" s="2" t="s">
        <v>183</v>
      </c>
      <c r="I1096">
        <v>169</v>
      </c>
      <c r="J1096" s="2" t="s">
        <v>649</v>
      </c>
      <c r="K1096" s="2" t="s">
        <v>621</v>
      </c>
      <c r="L1096" s="2" t="s">
        <v>622</v>
      </c>
      <c r="M1096" s="2" t="s">
        <v>623</v>
      </c>
      <c r="N1096" s="2" t="s">
        <v>624</v>
      </c>
      <c r="O1096" s="2" t="s">
        <v>625</v>
      </c>
      <c r="P1096" s="2" t="s">
        <v>389</v>
      </c>
      <c r="Q1096" s="2" t="s">
        <v>626</v>
      </c>
      <c r="R1096" s="2" t="s">
        <v>627</v>
      </c>
      <c r="S1096" s="2" t="s">
        <v>46</v>
      </c>
      <c r="T1096">
        <v>1157</v>
      </c>
      <c r="U1096">
        <f>VLOOKUP(Auto_Sales_data___Copy[[#This Row],[CUSTOMER_NAME]],$AF$2:$AH$90,2,FALSE)</f>
        <v>8</v>
      </c>
      <c r="V1096">
        <f>VLOOKUP(Auto_Sales_data___Copy[[#This Row],[CUSTOMER_NAME]],$AF$2:$AH$90,3,FALSE)</f>
        <v>33440.1</v>
      </c>
      <c r="W1096" s="2">
        <f>6-MATCH(Auto_Sales_data___Copy[[#This Row],[DAYS_SINCE_LAST_ORDER]],Table2[R-Cutoff],1)</f>
        <v>4</v>
      </c>
      <c r="X1096" s="2">
        <f>MATCH(Auto_Sales_data___Copy[[#This Row],[Total_Orders_Per_Customer]],Table2[F-Cutoff],1)</f>
        <v>1</v>
      </c>
      <c r="Y1096" s="2">
        <f>MATCH(Auto_Sales_data___Copy[[#This Row],[Total_Sales_Per_Customer]],Table2[M-Cutoff],1)</f>
        <v>1</v>
      </c>
      <c r="Z1096" s="2" t="str">
        <f>Auto_Sales_data___Copy[[#This Row],[R-Score(1-5)]]&amp;Auto_Sales_data___Copy[[#This Row],[F-Score(1-5)]]&amp;Auto_Sales_data___Copy[[#This Row],[M-Score(1-5)]]</f>
        <v>411</v>
      </c>
      <c r="AA1096" s="2" t="str" cm="1">
        <f t="array" ref="AA10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6" s="2" t="str">
        <f>VLOOKUP(Auto_Sales_data___Copy[[#This Row],[Segment Name]],Table3[],2,FALSE)</f>
        <v>Brand Awareness &amp; Value Proposition</v>
      </c>
    </row>
    <row r="1097" spans="1:28" x14ac:dyDescent="0.25">
      <c r="A1097">
        <v>10392</v>
      </c>
      <c r="B1097">
        <v>37</v>
      </c>
      <c r="C1097">
        <v>59.96</v>
      </c>
      <c r="D1097">
        <v>3</v>
      </c>
      <c r="E1097">
        <v>2218.52</v>
      </c>
      <c r="F1097" s="1">
        <v>43900</v>
      </c>
      <c r="G1097" s="2" t="s">
        <v>19</v>
      </c>
      <c r="H1097" s="2" t="s">
        <v>589</v>
      </c>
      <c r="I1097">
        <v>62</v>
      </c>
      <c r="J1097" s="2" t="s">
        <v>641</v>
      </c>
      <c r="K1097" s="2" t="s">
        <v>432</v>
      </c>
      <c r="L1097" s="2" t="s">
        <v>433</v>
      </c>
      <c r="M1097" s="2" t="s">
        <v>434</v>
      </c>
      <c r="N1097" s="2" t="s">
        <v>435</v>
      </c>
      <c r="O1097" s="2" t="s">
        <v>436</v>
      </c>
      <c r="P1097" s="2" t="s">
        <v>148</v>
      </c>
      <c r="Q1097" s="2" t="s">
        <v>437</v>
      </c>
      <c r="R1097" s="2" t="s">
        <v>438</v>
      </c>
      <c r="S1097" s="2" t="s">
        <v>30</v>
      </c>
      <c r="T1097">
        <v>978</v>
      </c>
      <c r="U1097">
        <f>VLOOKUP(Auto_Sales_data___Copy[[#This Row],[CUSTOMER_NAME]],$AF$2:$AH$90,2,FALSE)</f>
        <v>15</v>
      </c>
      <c r="V1097">
        <f>VLOOKUP(Auto_Sales_data___Copy[[#This Row],[CUSTOMER_NAME]],$AF$2:$AH$90,3,FALSE)</f>
        <v>52263.899999999994</v>
      </c>
      <c r="W1097" s="2">
        <f>6-MATCH(Auto_Sales_data___Copy[[#This Row],[DAYS_SINCE_LAST_ORDER]],Table2[R-Cutoff],1)</f>
        <v>4</v>
      </c>
      <c r="X1097" s="2">
        <f>MATCH(Auto_Sales_data___Copy[[#This Row],[Total_Orders_Per_Customer]],Table2[F-Cutoff],1)</f>
        <v>1</v>
      </c>
      <c r="Y1097" s="2">
        <f>MATCH(Auto_Sales_data___Copy[[#This Row],[Total_Sales_Per_Customer]],Table2[M-Cutoff],1)</f>
        <v>1</v>
      </c>
      <c r="Z1097" s="2" t="str">
        <f>Auto_Sales_data___Copy[[#This Row],[R-Score(1-5)]]&amp;Auto_Sales_data___Copy[[#This Row],[F-Score(1-5)]]&amp;Auto_Sales_data___Copy[[#This Row],[M-Score(1-5)]]</f>
        <v>411</v>
      </c>
      <c r="AA1097" s="2" t="str" cm="1">
        <f t="array" ref="AA10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7" s="2" t="str">
        <f>VLOOKUP(Auto_Sales_data___Copy[[#This Row],[Segment Name]],Table3[],2,FALSE)</f>
        <v>Brand Awareness &amp; Value Proposition</v>
      </c>
    </row>
    <row r="1098" spans="1:28" x14ac:dyDescent="0.25">
      <c r="A1098">
        <v>10392</v>
      </c>
      <c r="B1098">
        <v>29</v>
      </c>
      <c r="C1098">
        <v>86.92</v>
      </c>
      <c r="D1098">
        <v>2</v>
      </c>
      <c r="E1098">
        <v>2520.6799999999998</v>
      </c>
      <c r="F1098" s="1">
        <v>43900</v>
      </c>
      <c r="G1098" s="2" t="s">
        <v>19</v>
      </c>
      <c r="H1098" s="2" t="s">
        <v>589</v>
      </c>
      <c r="I1098">
        <v>104</v>
      </c>
      <c r="J1098" s="2" t="s">
        <v>647</v>
      </c>
      <c r="K1098" s="2" t="s">
        <v>432</v>
      </c>
      <c r="L1098" s="2" t="s">
        <v>433</v>
      </c>
      <c r="M1098" s="2" t="s">
        <v>434</v>
      </c>
      <c r="N1098" s="2" t="s">
        <v>435</v>
      </c>
      <c r="O1098" s="2" t="s">
        <v>436</v>
      </c>
      <c r="P1098" s="2" t="s">
        <v>148</v>
      </c>
      <c r="Q1098" s="2" t="s">
        <v>437</v>
      </c>
      <c r="R1098" s="2" t="s">
        <v>438</v>
      </c>
      <c r="S1098" s="2" t="s">
        <v>30</v>
      </c>
      <c r="T1098">
        <v>1028</v>
      </c>
      <c r="U1098">
        <f>VLOOKUP(Auto_Sales_data___Copy[[#This Row],[CUSTOMER_NAME]],$AF$2:$AH$90,2,FALSE)</f>
        <v>15</v>
      </c>
      <c r="V1098">
        <f>VLOOKUP(Auto_Sales_data___Copy[[#This Row],[CUSTOMER_NAME]],$AF$2:$AH$90,3,FALSE)</f>
        <v>52263.899999999994</v>
      </c>
      <c r="W1098" s="2">
        <f>6-MATCH(Auto_Sales_data___Copy[[#This Row],[DAYS_SINCE_LAST_ORDER]],Table2[R-Cutoff],1)</f>
        <v>4</v>
      </c>
      <c r="X1098" s="2">
        <f>MATCH(Auto_Sales_data___Copy[[#This Row],[Total_Orders_Per_Customer]],Table2[F-Cutoff],1)</f>
        <v>1</v>
      </c>
      <c r="Y1098" s="2">
        <f>MATCH(Auto_Sales_data___Copy[[#This Row],[Total_Sales_Per_Customer]],Table2[M-Cutoff],1)</f>
        <v>1</v>
      </c>
      <c r="Z1098" s="2" t="str">
        <f>Auto_Sales_data___Copy[[#This Row],[R-Score(1-5)]]&amp;Auto_Sales_data___Copy[[#This Row],[F-Score(1-5)]]&amp;Auto_Sales_data___Copy[[#This Row],[M-Score(1-5)]]</f>
        <v>411</v>
      </c>
      <c r="AA1098" s="2" t="str" cm="1">
        <f t="array" ref="AA10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8" s="2" t="str">
        <f>VLOOKUP(Auto_Sales_data___Copy[[#This Row],[Segment Name]],Table3[],2,FALSE)</f>
        <v>Brand Awareness &amp; Value Proposition</v>
      </c>
    </row>
    <row r="1099" spans="1:28" x14ac:dyDescent="0.25">
      <c r="A1099">
        <v>10392</v>
      </c>
      <c r="B1099">
        <v>36</v>
      </c>
      <c r="C1099">
        <v>112.11</v>
      </c>
      <c r="D1099">
        <v>1</v>
      </c>
      <c r="E1099">
        <v>4035.96</v>
      </c>
      <c r="F1099" s="1">
        <v>43900</v>
      </c>
      <c r="G1099" s="2" t="s">
        <v>19</v>
      </c>
      <c r="H1099" s="2" t="s">
        <v>589</v>
      </c>
      <c r="I1099">
        <v>99</v>
      </c>
      <c r="J1099" s="2" t="s">
        <v>653</v>
      </c>
      <c r="K1099" s="2" t="s">
        <v>432</v>
      </c>
      <c r="L1099" s="2" t="s">
        <v>433</v>
      </c>
      <c r="M1099" s="2" t="s">
        <v>434</v>
      </c>
      <c r="N1099" s="2" t="s">
        <v>435</v>
      </c>
      <c r="O1099" s="2" t="s">
        <v>436</v>
      </c>
      <c r="P1099" s="2" t="s">
        <v>148</v>
      </c>
      <c r="Q1099" s="2" t="s">
        <v>437</v>
      </c>
      <c r="R1099" s="2" t="s">
        <v>438</v>
      </c>
      <c r="S1099" s="2" t="s">
        <v>46</v>
      </c>
      <c r="T1099">
        <v>1176</v>
      </c>
      <c r="U1099">
        <f>VLOOKUP(Auto_Sales_data___Copy[[#This Row],[CUSTOMER_NAME]],$AF$2:$AH$90,2,FALSE)</f>
        <v>15</v>
      </c>
      <c r="V1099">
        <f>VLOOKUP(Auto_Sales_data___Copy[[#This Row],[CUSTOMER_NAME]],$AF$2:$AH$90,3,FALSE)</f>
        <v>52263.899999999994</v>
      </c>
      <c r="W1099" s="2">
        <f>6-MATCH(Auto_Sales_data___Copy[[#This Row],[DAYS_SINCE_LAST_ORDER]],Table2[R-Cutoff],1)</f>
        <v>4</v>
      </c>
      <c r="X1099" s="2">
        <f>MATCH(Auto_Sales_data___Copy[[#This Row],[Total_Orders_Per_Customer]],Table2[F-Cutoff],1)</f>
        <v>1</v>
      </c>
      <c r="Y1099" s="2">
        <f>MATCH(Auto_Sales_data___Copy[[#This Row],[Total_Sales_Per_Customer]],Table2[M-Cutoff],1)</f>
        <v>1</v>
      </c>
      <c r="Z1099" s="2" t="str">
        <f>Auto_Sales_data___Copy[[#This Row],[R-Score(1-5)]]&amp;Auto_Sales_data___Copy[[#This Row],[F-Score(1-5)]]&amp;Auto_Sales_data___Copy[[#This Row],[M-Score(1-5)]]</f>
        <v>411</v>
      </c>
      <c r="AA1099" s="2" t="str" cm="1">
        <f t="array" ref="AA10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9" s="2" t="str">
        <f>VLOOKUP(Auto_Sales_data___Copy[[#This Row],[Segment Name]],Table3[],2,FALSE)</f>
        <v>Brand Awareness &amp; Value Proposition</v>
      </c>
    </row>
    <row r="1100" spans="1:28" x14ac:dyDescent="0.25">
      <c r="A1100">
        <v>10104</v>
      </c>
      <c r="B1100">
        <v>29</v>
      </c>
      <c r="C1100">
        <v>130.09</v>
      </c>
      <c r="D1100">
        <v>12</v>
      </c>
      <c r="E1100">
        <v>3772.61</v>
      </c>
      <c r="F1100" s="1">
        <v>43131</v>
      </c>
      <c r="G1100" s="2" t="s">
        <v>19</v>
      </c>
      <c r="H1100" s="2" t="s">
        <v>537</v>
      </c>
      <c r="I1100">
        <v>122</v>
      </c>
      <c r="J1100" s="2" t="s">
        <v>633</v>
      </c>
      <c r="K1100" s="2" t="s">
        <v>175</v>
      </c>
      <c r="L1100" s="2" t="s">
        <v>176</v>
      </c>
      <c r="M1100" s="2" t="s">
        <v>177</v>
      </c>
      <c r="N1100" s="2" t="s">
        <v>178</v>
      </c>
      <c r="O1100" s="2" t="s">
        <v>179</v>
      </c>
      <c r="P1100" s="2" t="s">
        <v>180</v>
      </c>
      <c r="Q1100" s="2" t="s">
        <v>181</v>
      </c>
      <c r="R1100" s="2" t="s">
        <v>182</v>
      </c>
      <c r="S1100" s="2" t="s">
        <v>46</v>
      </c>
      <c r="T1100">
        <v>1525</v>
      </c>
      <c r="U1100">
        <f>VLOOKUP(Auto_Sales_data___Copy[[#This Row],[CUSTOMER_NAME]],$AF$2:$AH$90,2,FALSE)</f>
        <v>259</v>
      </c>
      <c r="V1100">
        <f>VLOOKUP(Auto_Sales_data___Copy[[#This Row],[CUSTOMER_NAME]],$AF$2:$AH$90,3,FALSE)</f>
        <v>912294.1100000001</v>
      </c>
      <c r="W1100" s="2">
        <f>6-MATCH(Auto_Sales_data___Copy[[#This Row],[DAYS_SINCE_LAST_ORDER]],Table2[R-Cutoff],1)</f>
        <v>3</v>
      </c>
      <c r="X1100" s="2">
        <f>MATCH(Auto_Sales_data___Copy[[#This Row],[Total_Orders_Per_Customer]],Table2[F-Cutoff],1)</f>
        <v>5</v>
      </c>
      <c r="Y1100" s="2">
        <f>MATCH(Auto_Sales_data___Copy[[#This Row],[Total_Sales_Per_Customer]],Table2[M-Cutoff],1)</f>
        <v>5</v>
      </c>
      <c r="Z1100" s="2" t="str">
        <f>Auto_Sales_data___Copy[[#This Row],[R-Score(1-5)]]&amp;Auto_Sales_data___Copy[[#This Row],[F-Score(1-5)]]&amp;Auto_Sales_data___Copy[[#This Row],[M-Score(1-5)]]</f>
        <v>355</v>
      </c>
      <c r="AA1100" s="2" t="str" cm="1">
        <f t="array" ref="AA11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0" s="2" t="str">
        <f>VLOOKUP(Auto_Sales_data___Copy[[#This Row],[Segment Name]],Table3[],2,FALSE)</f>
        <v>Reward &amp; Upsell</v>
      </c>
    </row>
    <row r="1101" spans="1:28" x14ac:dyDescent="0.25">
      <c r="A1101">
        <v>10104</v>
      </c>
      <c r="B1101">
        <v>23</v>
      </c>
      <c r="C1101">
        <v>198.13</v>
      </c>
      <c r="D1101">
        <v>13</v>
      </c>
      <c r="E1101">
        <v>4556.99</v>
      </c>
      <c r="F1101" s="1">
        <v>43131</v>
      </c>
      <c r="G1101" s="2" t="s">
        <v>19</v>
      </c>
      <c r="H1101" s="2" t="s">
        <v>183</v>
      </c>
      <c r="I1101">
        <v>169</v>
      </c>
      <c r="J1101" s="2" t="s">
        <v>649</v>
      </c>
      <c r="K1101" s="2" t="s">
        <v>175</v>
      </c>
      <c r="L1101" s="2" t="s">
        <v>176</v>
      </c>
      <c r="M1101" s="2" t="s">
        <v>177</v>
      </c>
      <c r="N1101" s="2" t="s">
        <v>178</v>
      </c>
      <c r="O1101" s="2" t="s">
        <v>179</v>
      </c>
      <c r="P1101" s="2" t="s">
        <v>180</v>
      </c>
      <c r="Q1101" s="2" t="s">
        <v>181</v>
      </c>
      <c r="R1101" s="2" t="s">
        <v>182</v>
      </c>
      <c r="S1101" s="2" t="s">
        <v>46</v>
      </c>
      <c r="T1101">
        <v>1824</v>
      </c>
      <c r="U1101">
        <f>VLOOKUP(Auto_Sales_data___Copy[[#This Row],[CUSTOMER_NAME]],$AF$2:$AH$90,2,FALSE)</f>
        <v>259</v>
      </c>
      <c r="V1101">
        <f>VLOOKUP(Auto_Sales_data___Copy[[#This Row],[CUSTOMER_NAME]],$AF$2:$AH$90,3,FALSE)</f>
        <v>912294.1100000001</v>
      </c>
      <c r="W1101" s="2">
        <f>6-MATCH(Auto_Sales_data___Copy[[#This Row],[DAYS_SINCE_LAST_ORDER]],Table2[R-Cutoff],1)</f>
        <v>3</v>
      </c>
      <c r="X1101" s="2">
        <f>MATCH(Auto_Sales_data___Copy[[#This Row],[Total_Orders_Per_Customer]],Table2[F-Cutoff],1)</f>
        <v>5</v>
      </c>
      <c r="Y1101" s="2">
        <f>MATCH(Auto_Sales_data___Copy[[#This Row],[Total_Sales_Per_Customer]],Table2[M-Cutoff],1)</f>
        <v>5</v>
      </c>
      <c r="Z1101" s="2" t="str">
        <f>Auto_Sales_data___Copy[[#This Row],[R-Score(1-5)]]&amp;Auto_Sales_data___Copy[[#This Row],[F-Score(1-5)]]&amp;Auto_Sales_data___Copy[[#This Row],[M-Score(1-5)]]</f>
        <v>355</v>
      </c>
      <c r="AA1101" s="2" t="str" cm="1">
        <f t="array" ref="AA11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1" s="2" t="str">
        <f>VLOOKUP(Auto_Sales_data___Copy[[#This Row],[Segment Name]],Table3[],2,FALSE)</f>
        <v>Reward &amp; Upsell</v>
      </c>
    </row>
    <row r="1102" spans="1:28" x14ac:dyDescent="0.25">
      <c r="A1102">
        <v>10128</v>
      </c>
      <c r="B1102">
        <v>41</v>
      </c>
      <c r="C1102">
        <v>135.22</v>
      </c>
      <c r="D1102">
        <v>2</v>
      </c>
      <c r="E1102">
        <v>5544.02</v>
      </c>
      <c r="F1102" s="1">
        <v>43257</v>
      </c>
      <c r="G1102" s="2" t="s">
        <v>19</v>
      </c>
      <c r="H1102" s="2" t="s">
        <v>589</v>
      </c>
      <c r="I1102">
        <v>136</v>
      </c>
      <c r="J1102" s="2" t="s">
        <v>648</v>
      </c>
      <c r="K1102" s="2" t="s">
        <v>175</v>
      </c>
      <c r="L1102" s="2" t="s">
        <v>176</v>
      </c>
      <c r="M1102" s="2" t="s">
        <v>177</v>
      </c>
      <c r="N1102" s="2" t="s">
        <v>178</v>
      </c>
      <c r="O1102" s="2" t="s">
        <v>179</v>
      </c>
      <c r="P1102" s="2" t="s">
        <v>180</v>
      </c>
      <c r="Q1102" s="2" t="s">
        <v>181</v>
      </c>
      <c r="R1102" s="2" t="s">
        <v>182</v>
      </c>
      <c r="S1102" s="2" t="s">
        <v>46</v>
      </c>
      <c r="T1102">
        <v>1675</v>
      </c>
      <c r="U1102">
        <f>VLOOKUP(Auto_Sales_data___Copy[[#This Row],[CUSTOMER_NAME]],$AF$2:$AH$90,2,FALSE)</f>
        <v>259</v>
      </c>
      <c r="V1102">
        <f>VLOOKUP(Auto_Sales_data___Copy[[#This Row],[CUSTOMER_NAME]],$AF$2:$AH$90,3,FALSE)</f>
        <v>912294.1100000001</v>
      </c>
      <c r="W1102" s="2">
        <f>6-MATCH(Auto_Sales_data___Copy[[#This Row],[DAYS_SINCE_LAST_ORDER]],Table2[R-Cutoff],1)</f>
        <v>3</v>
      </c>
      <c r="X1102" s="2">
        <f>MATCH(Auto_Sales_data___Copy[[#This Row],[Total_Orders_Per_Customer]],Table2[F-Cutoff],1)</f>
        <v>5</v>
      </c>
      <c r="Y1102" s="2">
        <f>MATCH(Auto_Sales_data___Copy[[#This Row],[Total_Sales_Per_Customer]],Table2[M-Cutoff],1)</f>
        <v>5</v>
      </c>
      <c r="Z1102" s="2" t="str">
        <f>Auto_Sales_data___Copy[[#This Row],[R-Score(1-5)]]&amp;Auto_Sales_data___Copy[[#This Row],[F-Score(1-5)]]&amp;Auto_Sales_data___Copy[[#This Row],[M-Score(1-5)]]</f>
        <v>355</v>
      </c>
      <c r="AA1102" s="2" t="str" cm="1">
        <f t="array" ref="AA11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2" s="2" t="str">
        <f>VLOOKUP(Auto_Sales_data___Copy[[#This Row],[Segment Name]],Table3[],2,FALSE)</f>
        <v>Reward &amp; Upsell</v>
      </c>
    </row>
    <row r="1103" spans="1:28" x14ac:dyDescent="0.25">
      <c r="A1103">
        <v>10128</v>
      </c>
      <c r="B1103">
        <v>41</v>
      </c>
      <c r="C1103">
        <v>117.98</v>
      </c>
      <c r="D1103">
        <v>4</v>
      </c>
      <c r="E1103">
        <v>4837.18</v>
      </c>
      <c r="F1103" s="1">
        <v>43257</v>
      </c>
      <c r="G1103" s="2" t="s">
        <v>19</v>
      </c>
      <c r="H1103" s="2" t="s">
        <v>650</v>
      </c>
      <c r="I1103">
        <v>100</v>
      </c>
      <c r="J1103" s="2" t="s">
        <v>651</v>
      </c>
      <c r="K1103" s="2" t="s">
        <v>175</v>
      </c>
      <c r="L1103" s="2" t="s">
        <v>176</v>
      </c>
      <c r="M1103" s="2" t="s">
        <v>177</v>
      </c>
      <c r="N1103" s="2" t="s">
        <v>178</v>
      </c>
      <c r="O1103" s="2" t="s">
        <v>179</v>
      </c>
      <c r="P1103" s="2" t="s">
        <v>180</v>
      </c>
      <c r="Q1103" s="2" t="s">
        <v>181</v>
      </c>
      <c r="R1103" s="2" t="s">
        <v>182</v>
      </c>
      <c r="S1103" s="2" t="s">
        <v>46</v>
      </c>
      <c r="T1103">
        <v>1751</v>
      </c>
      <c r="U1103">
        <f>VLOOKUP(Auto_Sales_data___Copy[[#This Row],[CUSTOMER_NAME]],$AF$2:$AH$90,2,FALSE)</f>
        <v>259</v>
      </c>
      <c r="V1103">
        <f>VLOOKUP(Auto_Sales_data___Copy[[#This Row],[CUSTOMER_NAME]],$AF$2:$AH$90,3,FALSE)</f>
        <v>912294.1100000001</v>
      </c>
      <c r="W1103" s="2">
        <f>6-MATCH(Auto_Sales_data___Copy[[#This Row],[DAYS_SINCE_LAST_ORDER]],Table2[R-Cutoff],1)</f>
        <v>3</v>
      </c>
      <c r="X1103" s="2">
        <f>MATCH(Auto_Sales_data___Copy[[#This Row],[Total_Orders_Per_Customer]],Table2[F-Cutoff],1)</f>
        <v>5</v>
      </c>
      <c r="Y1103" s="2">
        <f>MATCH(Auto_Sales_data___Copy[[#This Row],[Total_Sales_Per_Customer]],Table2[M-Cutoff],1)</f>
        <v>5</v>
      </c>
      <c r="Z1103" s="2" t="str">
        <f>Auto_Sales_data___Copy[[#This Row],[R-Score(1-5)]]&amp;Auto_Sales_data___Copy[[#This Row],[F-Score(1-5)]]&amp;Auto_Sales_data___Copy[[#This Row],[M-Score(1-5)]]</f>
        <v>355</v>
      </c>
      <c r="AA1103" s="2" t="str" cm="1">
        <f t="array" ref="AA11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3" s="2" t="str">
        <f>VLOOKUP(Auto_Sales_data___Copy[[#This Row],[Segment Name]],Table3[],2,FALSE)</f>
        <v>Reward &amp; Upsell</v>
      </c>
    </row>
    <row r="1104" spans="1:28" x14ac:dyDescent="0.25">
      <c r="A1104">
        <v>10128</v>
      </c>
      <c r="B1104">
        <v>43</v>
      </c>
      <c r="C1104">
        <v>92.16</v>
      </c>
      <c r="D1104">
        <v>1</v>
      </c>
      <c r="E1104">
        <v>3962.88</v>
      </c>
      <c r="F1104" s="1">
        <v>43257</v>
      </c>
      <c r="G1104" s="2" t="s">
        <v>19</v>
      </c>
      <c r="H1104" s="2" t="s">
        <v>589</v>
      </c>
      <c r="I1104">
        <v>87</v>
      </c>
      <c r="J1104" s="2" t="s">
        <v>660</v>
      </c>
      <c r="K1104" s="2" t="s">
        <v>175</v>
      </c>
      <c r="L1104" s="2" t="s">
        <v>176</v>
      </c>
      <c r="M1104" s="2" t="s">
        <v>177</v>
      </c>
      <c r="N1104" s="2" t="s">
        <v>178</v>
      </c>
      <c r="O1104" s="2" t="s">
        <v>179</v>
      </c>
      <c r="P1104" s="2" t="s">
        <v>180</v>
      </c>
      <c r="Q1104" s="2" t="s">
        <v>181</v>
      </c>
      <c r="R1104" s="2" t="s">
        <v>182</v>
      </c>
      <c r="S1104" s="2" t="s">
        <v>46</v>
      </c>
      <c r="T1104">
        <v>1968</v>
      </c>
      <c r="U1104">
        <f>VLOOKUP(Auto_Sales_data___Copy[[#This Row],[CUSTOMER_NAME]],$AF$2:$AH$90,2,FALSE)</f>
        <v>259</v>
      </c>
      <c r="V1104">
        <f>VLOOKUP(Auto_Sales_data___Copy[[#This Row],[CUSTOMER_NAME]],$AF$2:$AH$90,3,FALSE)</f>
        <v>912294.1100000001</v>
      </c>
      <c r="W1104" s="2">
        <f>6-MATCH(Auto_Sales_data___Copy[[#This Row],[DAYS_SINCE_LAST_ORDER]],Table2[R-Cutoff],1)</f>
        <v>3</v>
      </c>
      <c r="X1104" s="2">
        <f>MATCH(Auto_Sales_data___Copy[[#This Row],[Total_Orders_Per_Customer]],Table2[F-Cutoff],1)</f>
        <v>5</v>
      </c>
      <c r="Y1104" s="2">
        <f>MATCH(Auto_Sales_data___Copy[[#This Row],[Total_Sales_Per_Customer]],Table2[M-Cutoff],1)</f>
        <v>5</v>
      </c>
      <c r="Z1104" s="2" t="str">
        <f>Auto_Sales_data___Copy[[#This Row],[R-Score(1-5)]]&amp;Auto_Sales_data___Copy[[#This Row],[F-Score(1-5)]]&amp;Auto_Sales_data___Copy[[#This Row],[M-Score(1-5)]]</f>
        <v>355</v>
      </c>
      <c r="AA1104" s="2" t="str" cm="1">
        <f t="array" ref="AA11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4" s="2" t="str">
        <f>VLOOKUP(Auto_Sales_data___Copy[[#This Row],[Segment Name]],Table3[],2,FALSE)</f>
        <v>Reward &amp; Upsell</v>
      </c>
    </row>
    <row r="1105" spans="1:28" x14ac:dyDescent="0.25">
      <c r="A1105">
        <v>10153</v>
      </c>
      <c r="B1105">
        <v>31</v>
      </c>
      <c r="C1105">
        <v>117.47</v>
      </c>
      <c r="D1105">
        <v>7</v>
      </c>
      <c r="E1105">
        <v>3641.57</v>
      </c>
      <c r="F1105" s="1">
        <v>43371</v>
      </c>
      <c r="G1105" s="2" t="s">
        <v>19</v>
      </c>
      <c r="H1105" s="2" t="s">
        <v>589</v>
      </c>
      <c r="I1105">
        <v>136</v>
      </c>
      <c r="J1105" s="2" t="s">
        <v>648</v>
      </c>
      <c r="K1105" s="2" t="s">
        <v>175</v>
      </c>
      <c r="L1105" s="2" t="s">
        <v>176</v>
      </c>
      <c r="M1105" s="2" t="s">
        <v>177</v>
      </c>
      <c r="N1105" s="2" t="s">
        <v>178</v>
      </c>
      <c r="O1105" s="2" t="s">
        <v>179</v>
      </c>
      <c r="P1105" s="2" t="s">
        <v>180</v>
      </c>
      <c r="Q1105" s="2" t="s">
        <v>181</v>
      </c>
      <c r="R1105" s="2" t="s">
        <v>182</v>
      </c>
      <c r="S1105" s="2" t="s">
        <v>46</v>
      </c>
      <c r="T1105">
        <v>1563</v>
      </c>
      <c r="U1105">
        <f>VLOOKUP(Auto_Sales_data___Copy[[#This Row],[CUSTOMER_NAME]],$AF$2:$AH$90,2,FALSE)</f>
        <v>259</v>
      </c>
      <c r="V1105">
        <f>VLOOKUP(Auto_Sales_data___Copy[[#This Row],[CUSTOMER_NAME]],$AF$2:$AH$90,3,FALSE)</f>
        <v>912294.1100000001</v>
      </c>
      <c r="W1105" s="2">
        <f>6-MATCH(Auto_Sales_data___Copy[[#This Row],[DAYS_SINCE_LAST_ORDER]],Table2[R-Cutoff],1)</f>
        <v>3</v>
      </c>
      <c r="X1105" s="2">
        <f>MATCH(Auto_Sales_data___Copy[[#This Row],[Total_Orders_Per_Customer]],Table2[F-Cutoff],1)</f>
        <v>5</v>
      </c>
      <c r="Y1105" s="2">
        <f>MATCH(Auto_Sales_data___Copy[[#This Row],[Total_Sales_Per_Customer]],Table2[M-Cutoff],1)</f>
        <v>5</v>
      </c>
      <c r="Z1105" s="2" t="str">
        <f>Auto_Sales_data___Copy[[#This Row],[R-Score(1-5)]]&amp;Auto_Sales_data___Copy[[#This Row],[F-Score(1-5)]]&amp;Auto_Sales_data___Copy[[#This Row],[M-Score(1-5)]]</f>
        <v>355</v>
      </c>
      <c r="AA1105" s="2" t="str" cm="1">
        <f t="array" ref="AA11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5" s="2" t="str">
        <f>VLOOKUP(Auto_Sales_data___Copy[[#This Row],[Segment Name]],Table3[],2,FALSE)</f>
        <v>Reward &amp; Upsell</v>
      </c>
    </row>
    <row r="1106" spans="1:28" x14ac:dyDescent="0.25">
      <c r="A1106">
        <v>10153</v>
      </c>
      <c r="B1106">
        <v>29</v>
      </c>
      <c r="C1106">
        <v>88.74</v>
      </c>
      <c r="D1106">
        <v>9</v>
      </c>
      <c r="E1106">
        <v>2573.46</v>
      </c>
      <c r="F1106" s="1">
        <v>43371</v>
      </c>
      <c r="G1106" s="2" t="s">
        <v>19</v>
      </c>
      <c r="H1106" s="2" t="s">
        <v>650</v>
      </c>
      <c r="I1106">
        <v>100</v>
      </c>
      <c r="J1106" s="2" t="s">
        <v>651</v>
      </c>
      <c r="K1106" s="2" t="s">
        <v>175</v>
      </c>
      <c r="L1106" s="2" t="s">
        <v>176</v>
      </c>
      <c r="M1106" s="2" t="s">
        <v>177</v>
      </c>
      <c r="N1106" s="2" t="s">
        <v>178</v>
      </c>
      <c r="O1106" s="2" t="s">
        <v>179</v>
      </c>
      <c r="P1106" s="2" t="s">
        <v>180</v>
      </c>
      <c r="Q1106" s="2" t="s">
        <v>181</v>
      </c>
      <c r="R1106" s="2" t="s">
        <v>182</v>
      </c>
      <c r="S1106" s="2" t="s">
        <v>30</v>
      </c>
      <c r="T1106">
        <v>1639</v>
      </c>
      <c r="U1106">
        <f>VLOOKUP(Auto_Sales_data___Copy[[#This Row],[CUSTOMER_NAME]],$AF$2:$AH$90,2,FALSE)</f>
        <v>259</v>
      </c>
      <c r="V1106">
        <f>VLOOKUP(Auto_Sales_data___Copy[[#This Row],[CUSTOMER_NAME]],$AF$2:$AH$90,3,FALSE)</f>
        <v>912294.1100000001</v>
      </c>
      <c r="W1106" s="2">
        <f>6-MATCH(Auto_Sales_data___Copy[[#This Row],[DAYS_SINCE_LAST_ORDER]],Table2[R-Cutoff],1)</f>
        <v>3</v>
      </c>
      <c r="X1106" s="2">
        <f>MATCH(Auto_Sales_data___Copy[[#This Row],[Total_Orders_Per_Customer]],Table2[F-Cutoff],1)</f>
        <v>5</v>
      </c>
      <c r="Y1106" s="2">
        <f>MATCH(Auto_Sales_data___Copy[[#This Row],[Total_Sales_Per_Customer]],Table2[M-Cutoff],1)</f>
        <v>5</v>
      </c>
      <c r="Z1106" s="2" t="str">
        <f>Auto_Sales_data___Copy[[#This Row],[R-Score(1-5)]]&amp;Auto_Sales_data___Copy[[#This Row],[F-Score(1-5)]]&amp;Auto_Sales_data___Copy[[#This Row],[M-Score(1-5)]]</f>
        <v>355</v>
      </c>
      <c r="AA1106" s="2" t="str" cm="1">
        <f t="array" ref="AA11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6" s="2" t="str">
        <f>VLOOKUP(Auto_Sales_data___Copy[[#This Row],[Segment Name]],Table3[],2,FALSE)</f>
        <v>Reward &amp; Upsell</v>
      </c>
    </row>
    <row r="1107" spans="1:28" x14ac:dyDescent="0.25">
      <c r="A1107">
        <v>10153</v>
      </c>
      <c r="B1107">
        <v>22</v>
      </c>
      <c r="C1107">
        <v>83.38</v>
      </c>
      <c r="D1107">
        <v>6</v>
      </c>
      <c r="E1107">
        <v>1834.36</v>
      </c>
      <c r="F1107" s="1">
        <v>43371</v>
      </c>
      <c r="G1107" s="2" t="s">
        <v>19</v>
      </c>
      <c r="H1107" s="2" t="s">
        <v>589</v>
      </c>
      <c r="I1107">
        <v>87</v>
      </c>
      <c r="J1107" s="2" t="s">
        <v>660</v>
      </c>
      <c r="K1107" s="2" t="s">
        <v>175</v>
      </c>
      <c r="L1107" s="2" t="s">
        <v>176</v>
      </c>
      <c r="M1107" s="2" t="s">
        <v>177</v>
      </c>
      <c r="N1107" s="2" t="s">
        <v>178</v>
      </c>
      <c r="O1107" s="2" t="s">
        <v>179</v>
      </c>
      <c r="P1107" s="2" t="s">
        <v>180</v>
      </c>
      <c r="Q1107" s="2" t="s">
        <v>181</v>
      </c>
      <c r="R1107" s="2" t="s">
        <v>182</v>
      </c>
      <c r="S1107" s="2" t="s">
        <v>30</v>
      </c>
      <c r="T1107">
        <v>1856</v>
      </c>
      <c r="U1107">
        <f>VLOOKUP(Auto_Sales_data___Copy[[#This Row],[CUSTOMER_NAME]],$AF$2:$AH$90,2,FALSE)</f>
        <v>259</v>
      </c>
      <c r="V1107">
        <f>VLOOKUP(Auto_Sales_data___Copy[[#This Row],[CUSTOMER_NAME]],$AF$2:$AH$90,3,FALSE)</f>
        <v>912294.1100000001</v>
      </c>
      <c r="W1107" s="2">
        <f>6-MATCH(Auto_Sales_data___Copy[[#This Row],[DAYS_SINCE_LAST_ORDER]],Table2[R-Cutoff],1)</f>
        <v>3</v>
      </c>
      <c r="X1107" s="2">
        <f>MATCH(Auto_Sales_data___Copy[[#This Row],[Total_Orders_Per_Customer]],Table2[F-Cutoff],1)</f>
        <v>5</v>
      </c>
      <c r="Y1107" s="2">
        <f>MATCH(Auto_Sales_data___Copy[[#This Row],[Total_Sales_Per_Customer]],Table2[M-Cutoff],1)</f>
        <v>5</v>
      </c>
      <c r="Z1107" s="2" t="str">
        <f>Auto_Sales_data___Copy[[#This Row],[R-Score(1-5)]]&amp;Auto_Sales_data___Copy[[#This Row],[F-Score(1-5)]]&amp;Auto_Sales_data___Copy[[#This Row],[M-Score(1-5)]]</f>
        <v>355</v>
      </c>
      <c r="AA1107" s="2" t="str" cm="1">
        <f t="array" ref="AA11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7" s="2" t="str">
        <f>VLOOKUP(Auto_Sales_data___Copy[[#This Row],[Segment Name]],Table3[],2,FALSE)</f>
        <v>Reward &amp; Upsell</v>
      </c>
    </row>
    <row r="1108" spans="1:28" x14ac:dyDescent="0.25">
      <c r="A1108">
        <v>10203</v>
      </c>
      <c r="B1108">
        <v>48</v>
      </c>
      <c r="C1108">
        <v>172.73</v>
      </c>
      <c r="D1108">
        <v>1</v>
      </c>
      <c r="E1108">
        <v>8291.0400000000009</v>
      </c>
      <c r="F1108" s="1">
        <v>43436</v>
      </c>
      <c r="G1108" s="2" t="s">
        <v>19</v>
      </c>
      <c r="H1108" s="2" t="s">
        <v>183</v>
      </c>
      <c r="I1108">
        <v>169</v>
      </c>
      <c r="J1108" s="2" t="s">
        <v>649</v>
      </c>
      <c r="K1108" s="2" t="s">
        <v>175</v>
      </c>
      <c r="L1108" s="2" t="s">
        <v>176</v>
      </c>
      <c r="M1108" s="2" t="s">
        <v>177</v>
      </c>
      <c r="N1108" s="2" t="s">
        <v>178</v>
      </c>
      <c r="O1108" s="2" t="s">
        <v>179</v>
      </c>
      <c r="P1108" s="2" t="s">
        <v>180</v>
      </c>
      <c r="Q1108" s="2" t="s">
        <v>181</v>
      </c>
      <c r="R1108" s="2" t="s">
        <v>182</v>
      </c>
      <c r="S1108" s="2" t="s">
        <v>151</v>
      </c>
      <c r="T1108">
        <v>1535</v>
      </c>
      <c r="U1108">
        <f>VLOOKUP(Auto_Sales_data___Copy[[#This Row],[CUSTOMER_NAME]],$AF$2:$AH$90,2,FALSE)</f>
        <v>259</v>
      </c>
      <c r="V1108">
        <f>VLOOKUP(Auto_Sales_data___Copy[[#This Row],[CUSTOMER_NAME]],$AF$2:$AH$90,3,FALSE)</f>
        <v>912294.1100000001</v>
      </c>
      <c r="W1108" s="2">
        <f>6-MATCH(Auto_Sales_data___Copy[[#This Row],[DAYS_SINCE_LAST_ORDER]],Table2[R-Cutoff],1)</f>
        <v>3</v>
      </c>
      <c r="X1108" s="2">
        <f>MATCH(Auto_Sales_data___Copy[[#This Row],[Total_Orders_Per_Customer]],Table2[F-Cutoff],1)</f>
        <v>5</v>
      </c>
      <c r="Y1108" s="2">
        <f>MATCH(Auto_Sales_data___Copy[[#This Row],[Total_Sales_Per_Customer]],Table2[M-Cutoff],1)</f>
        <v>5</v>
      </c>
      <c r="Z1108" s="2" t="str">
        <f>Auto_Sales_data___Copy[[#This Row],[R-Score(1-5)]]&amp;Auto_Sales_data___Copy[[#This Row],[F-Score(1-5)]]&amp;Auto_Sales_data___Copy[[#This Row],[M-Score(1-5)]]</f>
        <v>355</v>
      </c>
      <c r="AA1108" s="2" t="str" cm="1">
        <f t="array" ref="AA11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8" s="2" t="str">
        <f>VLOOKUP(Auto_Sales_data___Copy[[#This Row],[Segment Name]],Table3[],2,FALSE)</f>
        <v>Reward &amp; Upsell</v>
      </c>
    </row>
    <row r="1109" spans="1:28" x14ac:dyDescent="0.25">
      <c r="A1109">
        <v>10203</v>
      </c>
      <c r="B1109">
        <v>33</v>
      </c>
      <c r="C1109">
        <v>86.04</v>
      </c>
      <c r="D1109">
        <v>11</v>
      </c>
      <c r="E1109">
        <v>2839.32</v>
      </c>
      <c r="F1109" s="1">
        <v>43436</v>
      </c>
      <c r="G1109" s="2" t="s">
        <v>19</v>
      </c>
      <c r="H1109" s="2" t="s">
        <v>183</v>
      </c>
      <c r="I1109">
        <v>80</v>
      </c>
      <c r="J1109" s="2" t="s">
        <v>652</v>
      </c>
      <c r="K1109" s="2" t="s">
        <v>175</v>
      </c>
      <c r="L1109" s="2" t="s">
        <v>176</v>
      </c>
      <c r="M1109" s="2" t="s">
        <v>177</v>
      </c>
      <c r="N1109" s="2" t="s">
        <v>178</v>
      </c>
      <c r="O1109" s="2" t="s">
        <v>179</v>
      </c>
      <c r="P1109" s="2" t="s">
        <v>180</v>
      </c>
      <c r="Q1109" s="2" t="s">
        <v>181</v>
      </c>
      <c r="R1109" s="2" t="s">
        <v>182</v>
      </c>
      <c r="S1109" s="2" t="s">
        <v>30</v>
      </c>
      <c r="T1109">
        <v>1602</v>
      </c>
      <c r="U1109">
        <f>VLOOKUP(Auto_Sales_data___Copy[[#This Row],[CUSTOMER_NAME]],$AF$2:$AH$90,2,FALSE)</f>
        <v>259</v>
      </c>
      <c r="V1109">
        <f>VLOOKUP(Auto_Sales_data___Copy[[#This Row],[CUSTOMER_NAME]],$AF$2:$AH$90,3,FALSE)</f>
        <v>912294.1100000001</v>
      </c>
      <c r="W1109" s="2">
        <f>6-MATCH(Auto_Sales_data___Copy[[#This Row],[DAYS_SINCE_LAST_ORDER]],Table2[R-Cutoff],1)</f>
        <v>3</v>
      </c>
      <c r="X1109" s="2">
        <f>MATCH(Auto_Sales_data___Copy[[#This Row],[Total_Orders_Per_Customer]],Table2[F-Cutoff],1)</f>
        <v>5</v>
      </c>
      <c r="Y1109" s="2">
        <f>MATCH(Auto_Sales_data___Copy[[#This Row],[Total_Sales_Per_Customer]],Table2[M-Cutoff],1)</f>
        <v>5</v>
      </c>
      <c r="Z1109" s="2" t="str">
        <f>Auto_Sales_data___Copy[[#This Row],[R-Score(1-5)]]&amp;Auto_Sales_data___Copy[[#This Row],[F-Score(1-5)]]&amp;Auto_Sales_data___Copy[[#This Row],[M-Score(1-5)]]</f>
        <v>355</v>
      </c>
      <c r="AA1109" s="2" t="str" cm="1">
        <f t="array" ref="AA11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9" s="2" t="str">
        <f>VLOOKUP(Auto_Sales_data___Copy[[#This Row],[Segment Name]],Table3[],2,FALSE)</f>
        <v>Reward &amp; Upsell</v>
      </c>
    </row>
    <row r="1110" spans="1:28" x14ac:dyDescent="0.25">
      <c r="A1110">
        <v>10203</v>
      </c>
      <c r="B1110">
        <v>32</v>
      </c>
      <c r="C1110">
        <v>160.22</v>
      </c>
      <c r="D1110">
        <v>10</v>
      </c>
      <c r="E1110">
        <v>5127.04</v>
      </c>
      <c r="F1110" s="1">
        <v>43436</v>
      </c>
      <c r="G1110" s="2" t="s">
        <v>19</v>
      </c>
      <c r="H1110" s="2" t="s">
        <v>183</v>
      </c>
      <c r="I1110">
        <v>146</v>
      </c>
      <c r="J1110" s="2" t="s">
        <v>654</v>
      </c>
      <c r="K1110" s="2" t="s">
        <v>175</v>
      </c>
      <c r="L1110" s="2" t="s">
        <v>176</v>
      </c>
      <c r="M1110" s="2" t="s">
        <v>177</v>
      </c>
      <c r="N1110" s="2" t="s">
        <v>178</v>
      </c>
      <c r="O1110" s="2" t="s">
        <v>179</v>
      </c>
      <c r="P1110" s="2" t="s">
        <v>180</v>
      </c>
      <c r="Q1110" s="2" t="s">
        <v>181</v>
      </c>
      <c r="R1110" s="2" t="s">
        <v>182</v>
      </c>
      <c r="S1110" s="2" t="s">
        <v>46</v>
      </c>
      <c r="T1110">
        <v>1649</v>
      </c>
      <c r="U1110">
        <f>VLOOKUP(Auto_Sales_data___Copy[[#This Row],[CUSTOMER_NAME]],$AF$2:$AH$90,2,FALSE)</f>
        <v>259</v>
      </c>
      <c r="V1110">
        <f>VLOOKUP(Auto_Sales_data___Copy[[#This Row],[CUSTOMER_NAME]],$AF$2:$AH$90,3,FALSE)</f>
        <v>912294.1100000001</v>
      </c>
      <c r="W1110" s="2">
        <f>6-MATCH(Auto_Sales_data___Copy[[#This Row],[DAYS_SINCE_LAST_ORDER]],Table2[R-Cutoff],1)</f>
        <v>3</v>
      </c>
      <c r="X1110" s="2">
        <f>MATCH(Auto_Sales_data___Copy[[#This Row],[Total_Orders_Per_Customer]],Table2[F-Cutoff],1)</f>
        <v>5</v>
      </c>
      <c r="Y1110" s="2">
        <f>MATCH(Auto_Sales_data___Copy[[#This Row],[Total_Sales_Per_Customer]],Table2[M-Cutoff],1)</f>
        <v>5</v>
      </c>
      <c r="Z1110" s="2" t="str">
        <f>Auto_Sales_data___Copy[[#This Row],[R-Score(1-5)]]&amp;Auto_Sales_data___Copy[[#This Row],[F-Score(1-5)]]&amp;Auto_Sales_data___Copy[[#This Row],[M-Score(1-5)]]</f>
        <v>355</v>
      </c>
      <c r="AA1110" s="2" t="str" cm="1">
        <f t="array" ref="AA11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0" s="2" t="str">
        <f>VLOOKUP(Auto_Sales_data___Copy[[#This Row],[Segment Name]],Table3[],2,FALSE)</f>
        <v>Reward &amp; Upsell</v>
      </c>
    </row>
    <row r="1111" spans="1:28" x14ac:dyDescent="0.25">
      <c r="A1111">
        <v>10212</v>
      </c>
      <c r="B1111">
        <v>40</v>
      </c>
      <c r="C1111">
        <v>138.86000000000001</v>
      </c>
      <c r="D1111">
        <v>11</v>
      </c>
      <c r="E1111">
        <v>5554.4</v>
      </c>
      <c r="F1111" s="1">
        <v>43481</v>
      </c>
      <c r="G1111" s="2" t="s">
        <v>19</v>
      </c>
      <c r="H1111" s="2" t="s">
        <v>183</v>
      </c>
      <c r="I1111">
        <v>169</v>
      </c>
      <c r="J1111" s="2" t="s">
        <v>649</v>
      </c>
      <c r="K1111" s="2" t="s">
        <v>175</v>
      </c>
      <c r="L1111" s="2" t="s">
        <v>176</v>
      </c>
      <c r="M1111" s="2" t="s">
        <v>177</v>
      </c>
      <c r="N1111" s="2" t="s">
        <v>178</v>
      </c>
      <c r="O1111" s="2" t="s">
        <v>179</v>
      </c>
      <c r="P1111" s="2" t="s">
        <v>180</v>
      </c>
      <c r="Q1111" s="2" t="s">
        <v>181</v>
      </c>
      <c r="R1111" s="2" t="s">
        <v>182</v>
      </c>
      <c r="S1111" s="2" t="s">
        <v>46</v>
      </c>
      <c r="T1111">
        <v>1492</v>
      </c>
      <c r="U1111">
        <f>VLOOKUP(Auto_Sales_data___Copy[[#This Row],[CUSTOMER_NAME]],$AF$2:$AH$90,2,FALSE)</f>
        <v>259</v>
      </c>
      <c r="V1111">
        <f>VLOOKUP(Auto_Sales_data___Copy[[#This Row],[CUSTOMER_NAME]],$AF$2:$AH$90,3,FALSE)</f>
        <v>912294.1100000001</v>
      </c>
      <c r="W1111" s="2">
        <f>6-MATCH(Auto_Sales_data___Copy[[#This Row],[DAYS_SINCE_LAST_ORDER]],Table2[R-Cutoff],1)</f>
        <v>3</v>
      </c>
      <c r="X1111" s="2">
        <f>MATCH(Auto_Sales_data___Copy[[#This Row],[Total_Orders_Per_Customer]],Table2[F-Cutoff],1)</f>
        <v>5</v>
      </c>
      <c r="Y1111" s="2">
        <f>MATCH(Auto_Sales_data___Copy[[#This Row],[Total_Sales_Per_Customer]],Table2[M-Cutoff],1)</f>
        <v>5</v>
      </c>
      <c r="Z1111" s="2" t="str">
        <f>Auto_Sales_data___Copy[[#This Row],[R-Score(1-5)]]&amp;Auto_Sales_data___Copy[[#This Row],[F-Score(1-5)]]&amp;Auto_Sales_data___Copy[[#This Row],[M-Score(1-5)]]</f>
        <v>355</v>
      </c>
      <c r="AA1111" s="2" t="str" cm="1">
        <f t="array" ref="AA11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1" s="2" t="str">
        <f>VLOOKUP(Auto_Sales_data___Copy[[#This Row],[Segment Name]],Table3[],2,FALSE)</f>
        <v>Reward &amp; Upsell</v>
      </c>
    </row>
    <row r="1112" spans="1:28" x14ac:dyDescent="0.25">
      <c r="A1112">
        <v>10212</v>
      </c>
      <c r="B1112">
        <v>45</v>
      </c>
      <c r="C1112">
        <v>141.28</v>
      </c>
      <c r="D1112">
        <v>8</v>
      </c>
      <c r="E1112">
        <v>6357.6</v>
      </c>
      <c r="F1112" s="1">
        <v>43481</v>
      </c>
      <c r="G1112" s="2" t="s">
        <v>19</v>
      </c>
      <c r="H1112" s="2" t="s">
        <v>183</v>
      </c>
      <c r="I1112">
        <v>141</v>
      </c>
      <c r="J1112" s="2" t="s">
        <v>655</v>
      </c>
      <c r="K1112" s="2" t="s">
        <v>175</v>
      </c>
      <c r="L1112" s="2" t="s">
        <v>176</v>
      </c>
      <c r="M1112" s="2" t="s">
        <v>177</v>
      </c>
      <c r="N1112" s="2" t="s">
        <v>178</v>
      </c>
      <c r="O1112" s="2" t="s">
        <v>179</v>
      </c>
      <c r="P1112" s="2" t="s">
        <v>180</v>
      </c>
      <c r="Q1112" s="2" t="s">
        <v>181</v>
      </c>
      <c r="R1112" s="2" t="s">
        <v>182</v>
      </c>
      <c r="S1112" s="2" t="s">
        <v>46</v>
      </c>
      <c r="T1112">
        <v>1630</v>
      </c>
      <c r="U1112">
        <f>VLOOKUP(Auto_Sales_data___Copy[[#This Row],[CUSTOMER_NAME]],$AF$2:$AH$90,2,FALSE)</f>
        <v>259</v>
      </c>
      <c r="V1112">
        <f>VLOOKUP(Auto_Sales_data___Copy[[#This Row],[CUSTOMER_NAME]],$AF$2:$AH$90,3,FALSE)</f>
        <v>912294.1100000001</v>
      </c>
      <c r="W1112" s="2">
        <f>6-MATCH(Auto_Sales_data___Copy[[#This Row],[DAYS_SINCE_LAST_ORDER]],Table2[R-Cutoff],1)</f>
        <v>3</v>
      </c>
      <c r="X1112" s="2">
        <f>MATCH(Auto_Sales_data___Copy[[#This Row],[Total_Orders_Per_Customer]],Table2[F-Cutoff],1)</f>
        <v>5</v>
      </c>
      <c r="Y1112" s="2">
        <f>MATCH(Auto_Sales_data___Copy[[#This Row],[Total_Sales_Per_Customer]],Table2[M-Cutoff],1)</f>
        <v>5</v>
      </c>
      <c r="Z1112" s="2" t="str">
        <f>Auto_Sales_data___Copy[[#This Row],[R-Score(1-5)]]&amp;Auto_Sales_data___Copy[[#This Row],[F-Score(1-5)]]&amp;Auto_Sales_data___Copy[[#This Row],[M-Score(1-5)]]</f>
        <v>355</v>
      </c>
      <c r="AA1112" s="2" t="str" cm="1">
        <f t="array" ref="AA11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2" s="2" t="str">
        <f>VLOOKUP(Auto_Sales_data___Copy[[#This Row],[Segment Name]],Table3[],2,FALSE)</f>
        <v>Reward &amp; Upsell</v>
      </c>
    </row>
    <row r="1113" spans="1:28" x14ac:dyDescent="0.25">
      <c r="A1113">
        <v>10212</v>
      </c>
      <c r="B1113">
        <v>41</v>
      </c>
      <c r="C1113">
        <v>82.31</v>
      </c>
      <c r="D1113">
        <v>3</v>
      </c>
      <c r="E1113">
        <v>3374.71</v>
      </c>
      <c r="F1113" s="1">
        <v>43481</v>
      </c>
      <c r="G1113" s="2" t="s">
        <v>19</v>
      </c>
      <c r="H1113" s="2" t="s">
        <v>183</v>
      </c>
      <c r="I1113">
        <v>73</v>
      </c>
      <c r="J1113" s="2" t="s">
        <v>665</v>
      </c>
      <c r="K1113" s="2" t="s">
        <v>175</v>
      </c>
      <c r="L1113" s="2" t="s">
        <v>176</v>
      </c>
      <c r="M1113" s="2" t="s">
        <v>177</v>
      </c>
      <c r="N1113" s="2" t="s">
        <v>178</v>
      </c>
      <c r="O1113" s="2" t="s">
        <v>179</v>
      </c>
      <c r="P1113" s="2" t="s">
        <v>180</v>
      </c>
      <c r="Q1113" s="2" t="s">
        <v>181</v>
      </c>
      <c r="R1113" s="2" t="s">
        <v>182</v>
      </c>
      <c r="S1113" s="2" t="s">
        <v>46</v>
      </c>
      <c r="T1113">
        <v>1874</v>
      </c>
      <c r="U1113">
        <f>VLOOKUP(Auto_Sales_data___Copy[[#This Row],[CUSTOMER_NAME]],$AF$2:$AH$90,2,FALSE)</f>
        <v>259</v>
      </c>
      <c r="V1113">
        <f>VLOOKUP(Auto_Sales_data___Copy[[#This Row],[CUSTOMER_NAME]],$AF$2:$AH$90,3,FALSE)</f>
        <v>912294.1100000001</v>
      </c>
      <c r="W1113" s="2">
        <f>6-MATCH(Auto_Sales_data___Copy[[#This Row],[DAYS_SINCE_LAST_ORDER]],Table2[R-Cutoff],1)</f>
        <v>3</v>
      </c>
      <c r="X1113" s="2">
        <f>MATCH(Auto_Sales_data___Copy[[#This Row],[Total_Orders_Per_Customer]],Table2[F-Cutoff],1)</f>
        <v>5</v>
      </c>
      <c r="Y1113" s="2">
        <f>MATCH(Auto_Sales_data___Copy[[#This Row],[Total_Sales_Per_Customer]],Table2[M-Cutoff],1)</f>
        <v>5</v>
      </c>
      <c r="Z1113" s="2" t="str">
        <f>Auto_Sales_data___Copy[[#This Row],[R-Score(1-5)]]&amp;Auto_Sales_data___Copy[[#This Row],[F-Score(1-5)]]&amp;Auto_Sales_data___Copy[[#This Row],[M-Score(1-5)]]</f>
        <v>355</v>
      </c>
      <c r="AA1113" s="2" t="str" cm="1">
        <f t="array" ref="AA11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3" s="2" t="str">
        <f>VLOOKUP(Auto_Sales_data___Copy[[#This Row],[Segment Name]],Table3[],2,FALSE)</f>
        <v>Reward &amp; Upsell</v>
      </c>
    </row>
    <row r="1114" spans="1:28" x14ac:dyDescent="0.25">
      <c r="A1114">
        <v>10212</v>
      </c>
      <c r="B1114">
        <v>45</v>
      </c>
      <c r="C1114">
        <v>53.33</v>
      </c>
      <c r="D1114">
        <v>5</v>
      </c>
      <c r="E1114">
        <v>2399.85</v>
      </c>
      <c r="F1114" s="1">
        <v>43481</v>
      </c>
      <c r="G1114" s="2" t="s">
        <v>19</v>
      </c>
      <c r="H1114" s="2" t="s">
        <v>183</v>
      </c>
      <c r="I1114">
        <v>50</v>
      </c>
      <c r="J1114" s="2" t="s">
        <v>668</v>
      </c>
      <c r="K1114" s="2" t="s">
        <v>175</v>
      </c>
      <c r="L1114" s="2" t="s">
        <v>176</v>
      </c>
      <c r="M1114" s="2" t="s">
        <v>177</v>
      </c>
      <c r="N1114" s="2" t="s">
        <v>178</v>
      </c>
      <c r="O1114" s="2" t="s">
        <v>179</v>
      </c>
      <c r="P1114" s="2" t="s">
        <v>180</v>
      </c>
      <c r="Q1114" s="2" t="s">
        <v>181</v>
      </c>
      <c r="R1114" s="2" t="s">
        <v>182</v>
      </c>
      <c r="S1114" s="2" t="s">
        <v>30</v>
      </c>
      <c r="T1114">
        <v>1950</v>
      </c>
      <c r="U1114">
        <f>VLOOKUP(Auto_Sales_data___Copy[[#This Row],[CUSTOMER_NAME]],$AF$2:$AH$90,2,FALSE)</f>
        <v>259</v>
      </c>
      <c r="V1114">
        <f>VLOOKUP(Auto_Sales_data___Copy[[#This Row],[CUSTOMER_NAME]],$AF$2:$AH$90,3,FALSE)</f>
        <v>912294.1100000001</v>
      </c>
      <c r="W1114" s="2">
        <f>6-MATCH(Auto_Sales_data___Copy[[#This Row],[DAYS_SINCE_LAST_ORDER]],Table2[R-Cutoff],1)</f>
        <v>3</v>
      </c>
      <c r="X1114" s="2">
        <f>MATCH(Auto_Sales_data___Copy[[#This Row],[Total_Orders_Per_Customer]],Table2[F-Cutoff],1)</f>
        <v>5</v>
      </c>
      <c r="Y1114" s="2">
        <f>MATCH(Auto_Sales_data___Copy[[#This Row],[Total_Sales_Per_Customer]],Table2[M-Cutoff],1)</f>
        <v>5</v>
      </c>
      <c r="Z1114" s="2" t="str">
        <f>Auto_Sales_data___Copy[[#This Row],[R-Score(1-5)]]&amp;Auto_Sales_data___Copy[[#This Row],[F-Score(1-5)]]&amp;Auto_Sales_data___Copy[[#This Row],[M-Score(1-5)]]</f>
        <v>355</v>
      </c>
      <c r="AA1114" s="2" t="str" cm="1">
        <f t="array" ref="AA11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4" s="2" t="str">
        <f>VLOOKUP(Auto_Sales_data___Copy[[#This Row],[Segment Name]],Table3[],2,FALSE)</f>
        <v>Reward &amp; Upsell</v>
      </c>
    </row>
    <row r="1115" spans="1:28" x14ac:dyDescent="0.25">
      <c r="A1115">
        <v>10244</v>
      </c>
      <c r="B1115">
        <v>39</v>
      </c>
      <c r="C1115">
        <v>45.25</v>
      </c>
      <c r="D1115">
        <v>9</v>
      </c>
      <c r="E1115">
        <v>1764.75</v>
      </c>
      <c r="F1115" s="1">
        <v>43584</v>
      </c>
      <c r="G1115" s="2" t="s">
        <v>19</v>
      </c>
      <c r="H1115" s="2" t="s">
        <v>589</v>
      </c>
      <c r="I1115">
        <v>44</v>
      </c>
      <c r="J1115" s="2" t="s">
        <v>673</v>
      </c>
      <c r="K1115" s="2" t="s">
        <v>175</v>
      </c>
      <c r="L1115" s="2" t="s">
        <v>176</v>
      </c>
      <c r="M1115" s="2" t="s">
        <v>177</v>
      </c>
      <c r="N1115" s="2" t="s">
        <v>178</v>
      </c>
      <c r="O1115" s="2" t="s">
        <v>179</v>
      </c>
      <c r="P1115" s="2" t="s">
        <v>180</v>
      </c>
      <c r="Q1115" s="2" t="s">
        <v>181</v>
      </c>
      <c r="R1115" s="2" t="s">
        <v>182</v>
      </c>
      <c r="S1115" s="2" t="s">
        <v>30</v>
      </c>
      <c r="T1115">
        <v>1969</v>
      </c>
      <c r="U1115">
        <f>VLOOKUP(Auto_Sales_data___Copy[[#This Row],[CUSTOMER_NAME]],$AF$2:$AH$90,2,FALSE)</f>
        <v>259</v>
      </c>
      <c r="V1115">
        <f>VLOOKUP(Auto_Sales_data___Copy[[#This Row],[CUSTOMER_NAME]],$AF$2:$AH$90,3,FALSE)</f>
        <v>912294.1100000001</v>
      </c>
      <c r="W1115" s="2">
        <f>6-MATCH(Auto_Sales_data___Copy[[#This Row],[DAYS_SINCE_LAST_ORDER]],Table2[R-Cutoff],1)</f>
        <v>3</v>
      </c>
      <c r="X1115" s="2">
        <f>MATCH(Auto_Sales_data___Copy[[#This Row],[Total_Orders_Per_Customer]],Table2[F-Cutoff],1)</f>
        <v>5</v>
      </c>
      <c r="Y1115" s="2">
        <f>MATCH(Auto_Sales_data___Copy[[#This Row],[Total_Sales_Per_Customer]],Table2[M-Cutoff],1)</f>
        <v>5</v>
      </c>
      <c r="Z1115" s="2" t="str">
        <f>Auto_Sales_data___Copy[[#This Row],[R-Score(1-5)]]&amp;Auto_Sales_data___Copy[[#This Row],[F-Score(1-5)]]&amp;Auto_Sales_data___Copy[[#This Row],[M-Score(1-5)]]</f>
        <v>355</v>
      </c>
      <c r="AA1115" s="2" t="str" cm="1">
        <f t="array" ref="AA11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5" s="2" t="str">
        <f>VLOOKUP(Auto_Sales_data___Copy[[#This Row],[Segment Name]],Table3[],2,FALSE)</f>
        <v>Reward &amp; Upsell</v>
      </c>
    </row>
    <row r="1116" spans="1:28" x14ac:dyDescent="0.25">
      <c r="A1116">
        <v>10246</v>
      </c>
      <c r="B1116">
        <v>44</v>
      </c>
      <c r="C1116">
        <v>52.6</v>
      </c>
      <c r="D1116">
        <v>2</v>
      </c>
      <c r="E1116">
        <v>2314.4</v>
      </c>
      <c r="F1116" s="1">
        <v>43590</v>
      </c>
      <c r="G1116" s="2" t="s">
        <v>19</v>
      </c>
      <c r="H1116" s="2" t="s">
        <v>183</v>
      </c>
      <c r="I1116">
        <v>57</v>
      </c>
      <c r="J1116" s="2" t="s">
        <v>666</v>
      </c>
      <c r="K1116" s="2" t="s">
        <v>175</v>
      </c>
      <c r="L1116" s="2" t="s">
        <v>176</v>
      </c>
      <c r="M1116" s="2" t="s">
        <v>177</v>
      </c>
      <c r="N1116" s="2" t="s">
        <v>178</v>
      </c>
      <c r="O1116" s="2" t="s">
        <v>179</v>
      </c>
      <c r="P1116" s="2" t="s">
        <v>180</v>
      </c>
      <c r="Q1116" s="2" t="s">
        <v>181</v>
      </c>
      <c r="R1116" s="2" t="s">
        <v>182</v>
      </c>
      <c r="S1116" s="2" t="s">
        <v>30</v>
      </c>
      <c r="T1116">
        <v>1792</v>
      </c>
      <c r="U1116">
        <f>VLOOKUP(Auto_Sales_data___Copy[[#This Row],[CUSTOMER_NAME]],$AF$2:$AH$90,2,FALSE)</f>
        <v>259</v>
      </c>
      <c r="V1116">
        <f>VLOOKUP(Auto_Sales_data___Copy[[#This Row],[CUSTOMER_NAME]],$AF$2:$AH$90,3,FALSE)</f>
        <v>912294.1100000001</v>
      </c>
      <c r="W1116" s="2">
        <f>6-MATCH(Auto_Sales_data___Copy[[#This Row],[DAYS_SINCE_LAST_ORDER]],Table2[R-Cutoff],1)</f>
        <v>3</v>
      </c>
      <c r="X1116" s="2">
        <f>MATCH(Auto_Sales_data___Copy[[#This Row],[Total_Orders_Per_Customer]],Table2[F-Cutoff],1)</f>
        <v>5</v>
      </c>
      <c r="Y1116" s="2">
        <f>MATCH(Auto_Sales_data___Copy[[#This Row],[Total_Sales_Per_Customer]],Table2[M-Cutoff],1)</f>
        <v>5</v>
      </c>
      <c r="Z1116" s="2" t="str">
        <f>Auto_Sales_data___Copy[[#This Row],[R-Score(1-5)]]&amp;Auto_Sales_data___Copy[[#This Row],[F-Score(1-5)]]&amp;Auto_Sales_data___Copy[[#This Row],[M-Score(1-5)]]</f>
        <v>355</v>
      </c>
      <c r="AA1116" s="2" t="str" cm="1">
        <f t="array" ref="AA11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6" s="2" t="str">
        <f>VLOOKUP(Auto_Sales_data___Copy[[#This Row],[Segment Name]],Table3[],2,FALSE)</f>
        <v>Reward &amp; Upsell</v>
      </c>
    </row>
    <row r="1117" spans="1:28" x14ac:dyDescent="0.25">
      <c r="A1117">
        <v>10246</v>
      </c>
      <c r="B1117">
        <v>29</v>
      </c>
      <c r="C1117">
        <v>121.4</v>
      </c>
      <c r="D1117">
        <v>10</v>
      </c>
      <c r="E1117">
        <v>3520.6</v>
      </c>
      <c r="F1117" s="1">
        <v>43590</v>
      </c>
      <c r="G1117" s="2" t="s">
        <v>19</v>
      </c>
      <c r="H1117" s="2" t="s">
        <v>537</v>
      </c>
      <c r="I1117">
        <v>127</v>
      </c>
      <c r="J1117" s="2" t="s">
        <v>674</v>
      </c>
      <c r="K1117" s="2" t="s">
        <v>175</v>
      </c>
      <c r="L1117" s="2" t="s">
        <v>176</v>
      </c>
      <c r="M1117" s="2" t="s">
        <v>177</v>
      </c>
      <c r="N1117" s="2" t="s">
        <v>178</v>
      </c>
      <c r="O1117" s="2" t="s">
        <v>179</v>
      </c>
      <c r="P1117" s="2" t="s">
        <v>180</v>
      </c>
      <c r="Q1117" s="2" t="s">
        <v>181</v>
      </c>
      <c r="R1117" s="2" t="s">
        <v>182</v>
      </c>
      <c r="S1117" s="2" t="s">
        <v>46</v>
      </c>
      <c r="T1117">
        <v>1989</v>
      </c>
      <c r="U1117">
        <f>VLOOKUP(Auto_Sales_data___Copy[[#This Row],[CUSTOMER_NAME]],$AF$2:$AH$90,2,FALSE)</f>
        <v>259</v>
      </c>
      <c r="V1117">
        <f>VLOOKUP(Auto_Sales_data___Copy[[#This Row],[CUSTOMER_NAME]],$AF$2:$AH$90,3,FALSE)</f>
        <v>912294.1100000001</v>
      </c>
      <c r="W1117" s="2">
        <f>6-MATCH(Auto_Sales_data___Copy[[#This Row],[DAYS_SINCE_LAST_ORDER]],Table2[R-Cutoff],1)</f>
        <v>3</v>
      </c>
      <c r="X1117" s="2">
        <f>MATCH(Auto_Sales_data___Copy[[#This Row],[Total_Orders_Per_Customer]],Table2[F-Cutoff],1)</f>
        <v>5</v>
      </c>
      <c r="Y1117" s="2">
        <f>MATCH(Auto_Sales_data___Copy[[#This Row],[Total_Sales_Per_Customer]],Table2[M-Cutoff],1)</f>
        <v>5</v>
      </c>
      <c r="Z1117" s="2" t="str">
        <f>Auto_Sales_data___Copy[[#This Row],[R-Score(1-5)]]&amp;Auto_Sales_data___Copy[[#This Row],[F-Score(1-5)]]&amp;Auto_Sales_data___Copy[[#This Row],[M-Score(1-5)]]</f>
        <v>355</v>
      </c>
      <c r="AA1117" s="2" t="str" cm="1">
        <f t="array" ref="AA11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7" s="2" t="str">
        <f>VLOOKUP(Auto_Sales_data___Copy[[#This Row],[Segment Name]],Table3[],2,FALSE)</f>
        <v>Reward &amp; Upsell</v>
      </c>
    </row>
    <row r="1118" spans="1:28" x14ac:dyDescent="0.25">
      <c r="A1118">
        <v>10262</v>
      </c>
      <c r="B1118">
        <v>34</v>
      </c>
      <c r="C1118">
        <v>120.69</v>
      </c>
      <c r="D1118">
        <v>14</v>
      </c>
      <c r="E1118">
        <v>4103.46</v>
      </c>
      <c r="F1118" s="1">
        <v>43640</v>
      </c>
      <c r="G1118" s="2" t="s">
        <v>358</v>
      </c>
      <c r="H1118" s="2" t="s">
        <v>589</v>
      </c>
      <c r="I1118">
        <v>105</v>
      </c>
      <c r="J1118" s="2" t="s">
        <v>657</v>
      </c>
      <c r="K1118" s="2" t="s">
        <v>175</v>
      </c>
      <c r="L1118" s="2" t="s">
        <v>176</v>
      </c>
      <c r="M1118" s="2" t="s">
        <v>177</v>
      </c>
      <c r="N1118" s="2" t="s">
        <v>178</v>
      </c>
      <c r="O1118" s="2" t="s">
        <v>179</v>
      </c>
      <c r="P1118" s="2" t="s">
        <v>180</v>
      </c>
      <c r="Q1118" s="2" t="s">
        <v>181</v>
      </c>
      <c r="R1118" s="2" t="s">
        <v>182</v>
      </c>
      <c r="S1118" s="2" t="s">
        <v>46</v>
      </c>
      <c r="T1118">
        <v>1522</v>
      </c>
      <c r="U1118">
        <f>VLOOKUP(Auto_Sales_data___Copy[[#This Row],[CUSTOMER_NAME]],$AF$2:$AH$90,2,FALSE)</f>
        <v>259</v>
      </c>
      <c r="V1118">
        <f>VLOOKUP(Auto_Sales_data___Copy[[#This Row],[CUSTOMER_NAME]],$AF$2:$AH$90,3,FALSE)</f>
        <v>912294.1100000001</v>
      </c>
      <c r="W1118" s="2">
        <f>6-MATCH(Auto_Sales_data___Copy[[#This Row],[DAYS_SINCE_LAST_ORDER]],Table2[R-Cutoff],1)</f>
        <v>3</v>
      </c>
      <c r="X1118" s="2">
        <f>MATCH(Auto_Sales_data___Copy[[#This Row],[Total_Orders_Per_Customer]],Table2[F-Cutoff],1)</f>
        <v>5</v>
      </c>
      <c r="Y1118" s="2">
        <f>MATCH(Auto_Sales_data___Copy[[#This Row],[Total_Sales_Per_Customer]],Table2[M-Cutoff],1)</f>
        <v>5</v>
      </c>
      <c r="Z1118" s="2" t="str">
        <f>Auto_Sales_data___Copy[[#This Row],[R-Score(1-5)]]&amp;Auto_Sales_data___Copy[[#This Row],[F-Score(1-5)]]&amp;Auto_Sales_data___Copy[[#This Row],[M-Score(1-5)]]</f>
        <v>355</v>
      </c>
      <c r="AA1118" s="2" t="str" cm="1">
        <f t="array" ref="AA11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8" s="2" t="str">
        <f>VLOOKUP(Auto_Sales_data___Copy[[#This Row],[Segment Name]],Table3[],2,FALSE)</f>
        <v>Reward &amp; Upsell</v>
      </c>
    </row>
    <row r="1119" spans="1:28" x14ac:dyDescent="0.25">
      <c r="A1119">
        <v>10262</v>
      </c>
      <c r="B1119">
        <v>34</v>
      </c>
      <c r="C1119">
        <v>97.38</v>
      </c>
      <c r="D1119">
        <v>1</v>
      </c>
      <c r="E1119">
        <v>3310.92</v>
      </c>
      <c r="F1119" s="1">
        <v>43640</v>
      </c>
      <c r="G1119" s="2" t="s">
        <v>358</v>
      </c>
      <c r="H1119" s="2" t="s">
        <v>607</v>
      </c>
      <c r="I1119">
        <v>109</v>
      </c>
      <c r="J1119" s="2" t="s">
        <v>669</v>
      </c>
      <c r="K1119" s="2" t="s">
        <v>175</v>
      </c>
      <c r="L1119" s="2" t="s">
        <v>176</v>
      </c>
      <c r="M1119" s="2" t="s">
        <v>177</v>
      </c>
      <c r="N1119" s="2" t="s">
        <v>178</v>
      </c>
      <c r="O1119" s="2" t="s">
        <v>179</v>
      </c>
      <c r="P1119" s="2" t="s">
        <v>180</v>
      </c>
      <c r="Q1119" s="2" t="s">
        <v>181</v>
      </c>
      <c r="R1119" s="2" t="s">
        <v>182</v>
      </c>
      <c r="S1119" s="2" t="s">
        <v>46</v>
      </c>
      <c r="T1119">
        <v>1815</v>
      </c>
      <c r="U1119">
        <f>VLOOKUP(Auto_Sales_data___Copy[[#This Row],[CUSTOMER_NAME]],$AF$2:$AH$90,2,FALSE)</f>
        <v>259</v>
      </c>
      <c r="V1119">
        <f>VLOOKUP(Auto_Sales_data___Copy[[#This Row],[CUSTOMER_NAME]],$AF$2:$AH$90,3,FALSE)</f>
        <v>912294.1100000001</v>
      </c>
      <c r="W1119" s="2">
        <f>6-MATCH(Auto_Sales_data___Copy[[#This Row],[DAYS_SINCE_LAST_ORDER]],Table2[R-Cutoff],1)</f>
        <v>3</v>
      </c>
      <c r="X1119" s="2">
        <f>MATCH(Auto_Sales_data___Copy[[#This Row],[Total_Orders_Per_Customer]],Table2[F-Cutoff],1)</f>
        <v>5</v>
      </c>
      <c r="Y1119" s="2">
        <f>MATCH(Auto_Sales_data___Copy[[#This Row],[Total_Sales_Per_Customer]],Table2[M-Cutoff],1)</f>
        <v>5</v>
      </c>
      <c r="Z1119" s="2" t="str">
        <f>Auto_Sales_data___Copy[[#This Row],[R-Score(1-5)]]&amp;Auto_Sales_data___Copy[[#This Row],[F-Score(1-5)]]&amp;Auto_Sales_data___Copy[[#This Row],[M-Score(1-5)]]</f>
        <v>355</v>
      </c>
      <c r="AA1119" s="2" t="str" cm="1">
        <f t="array" ref="AA11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9" s="2" t="str">
        <f>VLOOKUP(Auto_Sales_data___Copy[[#This Row],[Segment Name]],Table3[],2,FALSE)</f>
        <v>Reward &amp; Upsell</v>
      </c>
    </row>
    <row r="1120" spans="1:28" x14ac:dyDescent="0.25">
      <c r="A1120">
        <v>10279</v>
      </c>
      <c r="B1120">
        <v>26</v>
      </c>
      <c r="C1120">
        <v>60.58</v>
      </c>
      <c r="D1120">
        <v>1</v>
      </c>
      <c r="E1120">
        <v>1575.08</v>
      </c>
      <c r="F1120" s="1">
        <v>43686</v>
      </c>
      <c r="G1120" s="2" t="s">
        <v>19</v>
      </c>
      <c r="H1120" s="2" t="s">
        <v>183</v>
      </c>
      <c r="I1120">
        <v>71</v>
      </c>
      <c r="J1120" s="2" t="s">
        <v>664</v>
      </c>
      <c r="K1120" s="2" t="s">
        <v>175</v>
      </c>
      <c r="L1120" s="2" t="s">
        <v>176</v>
      </c>
      <c r="M1120" s="2" t="s">
        <v>177</v>
      </c>
      <c r="N1120" s="2" t="s">
        <v>178</v>
      </c>
      <c r="O1120" s="2" t="s">
        <v>179</v>
      </c>
      <c r="P1120" s="2" t="s">
        <v>180</v>
      </c>
      <c r="Q1120" s="2" t="s">
        <v>181</v>
      </c>
      <c r="R1120" s="2" t="s">
        <v>182</v>
      </c>
      <c r="S1120" s="2" t="s">
        <v>30</v>
      </c>
      <c r="T1120">
        <v>1651</v>
      </c>
      <c r="U1120">
        <f>VLOOKUP(Auto_Sales_data___Copy[[#This Row],[CUSTOMER_NAME]],$AF$2:$AH$90,2,FALSE)</f>
        <v>259</v>
      </c>
      <c r="V1120">
        <f>VLOOKUP(Auto_Sales_data___Copy[[#This Row],[CUSTOMER_NAME]],$AF$2:$AH$90,3,FALSE)</f>
        <v>912294.1100000001</v>
      </c>
      <c r="W1120" s="2">
        <f>6-MATCH(Auto_Sales_data___Copy[[#This Row],[DAYS_SINCE_LAST_ORDER]],Table2[R-Cutoff],1)</f>
        <v>3</v>
      </c>
      <c r="X1120" s="2">
        <f>MATCH(Auto_Sales_data___Copy[[#This Row],[Total_Orders_Per_Customer]],Table2[F-Cutoff],1)</f>
        <v>5</v>
      </c>
      <c r="Y1120" s="2">
        <f>MATCH(Auto_Sales_data___Copy[[#This Row],[Total_Sales_Per_Customer]],Table2[M-Cutoff],1)</f>
        <v>5</v>
      </c>
      <c r="Z1120" s="2" t="str">
        <f>Auto_Sales_data___Copy[[#This Row],[R-Score(1-5)]]&amp;Auto_Sales_data___Copy[[#This Row],[F-Score(1-5)]]&amp;Auto_Sales_data___Copy[[#This Row],[M-Score(1-5)]]</f>
        <v>355</v>
      </c>
      <c r="AA1120" s="2" t="str" cm="1">
        <f t="array" ref="AA11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0" s="2" t="str">
        <f>VLOOKUP(Auto_Sales_data___Copy[[#This Row],[Segment Name]],Table3[],2,FALSE)</f>
        <v>Reward &amp; Upsell</v>
      </c>
    </row>
    <row r="1121" spans="1:28" x14ac:dyDescent="0.25">
      <c r="A1121">
        <v>10279</v>
      </c>
      <c r="B1121">
        <v>32</v>
      </c>
      <c r="C1121">
        <v>74.959999999999994</v>
      </c>
      <c r="D1121">
        <v>5</v>
      </c>
      <c r="E1121">
        <v>2398.7199999999998</v>
      </c>
      <c r="F1121" s="1">
        <v>43686</v>
      </c>
      <c r="G1121" s="2" t="s">
        <v>19</v>
      </c>
      <c r="H1121" s="2" t="s">
        <v>183</v>
      </c>
      <c r="I1121">
        <v>73</v>
      </c>
      <c r="J1121" s="2" t="s">
        <v>665</v>
      </c>
      <c r="K1121" s="2" t="s">
        <v>175</v>
      </c>
      <c r="L1121" s="2" t="s">
        <v>176</v>
      </c>
      <c r="M1121" s="2" t="s">
        <v>177</v>
      </c>
      <c r="N1121" s="2" t="s">
        <v>178</v>
      </c>
      <c r="O1121" s="2" t="s">
        <v>179</v>
      </c>
      <c r="P1121" s="2" t="s">
        <v>180</v>
      </c>
      <c r="Q1121" s="2" t="s">
        <v>181</v>
      </c>
      <c r="R1121" s="2" t="s">
        <v>182</v>
      </c>
      <c r="S1121" s="2" t="s">
        <v>30</v>
      </c>
      <c r="T1121">
        <v>1673</v>
      </c>
      <c r="U1121">
        <f>VLOOKUP(Auto_Sales_data___Copy[[#This Row],[CUSTOMER_NAME]],$AF$2:$AH$90,2,FALSE)</f>
        <v>259</v>
      </c>
      <c r="V1121">
        <f>VLOOKUP(Auto_Sales_data___Copy[[#This Row],[CUSTOMER_NAME]],$AF$2:$AH$90,3,FALSE)</f>
        <v>912294.1100000001</v>
      </c>
      <c r="W1121" s="2">
        <f>6-MATCH(Auto_Sales_data___Copy[[#This Row],[DAYS_SINCE_LAST_ORDER]],Table2[R-Cutoff],1)</f>
        <v>3</v>
      </c>
      <c r="X1121" s="2">
        <f>MATCH(Auto_Sales_data___Copy[[#This Row],[Total_Orders_Per_Customer]],Table2[F-Cutoff],1)</f>
        <v>5</v>
      </c>
      <c r="Y1121" s="2">
        <f>MATCH(Auto_Sales_data___Copy[[#This Row],[Total_Sales_Per_Customer]],Table2[M-Cutoff],1)</f>
        <v>5</v>
      </c>
      <c r="Z1121" s="2" t="str">
        <f>Auto_Sales_data___Copy[[#This Row],[R-Score(1-5)]]&amp;Auto_Sales_data___Copy[[#This Row],[F-Score(1-5)]]&amp;Auto_Sales_data___Copy[[#This Row],[M-Score(1-5)]]</f>
        <v>355</v>
      </c>
      <c r="AA1121" s="2" t="str" cm="1">
        <f t="array" ref="AA11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1" s="2" t="str">
        <f>VLOOKUP(Auto_Sales_data___Copy[[#This Row],[Segment Name]],Table3[],2,FALSE)</f>
        <v>Reward &amp; Upsell</v>
      </c>
    </row>
    <row r="1122" spans="1:28" x14ac:dyDescent="0.25">
      <c r="A1122">
        <v>10279</v>
      </c>
      <c r="B1122">
        <v>49</v>
      </c>
      <c r="C1122">
        <v>79.97</v>
      </c>
      <c r="D1122">
        <v>3</v>
      </c>
      <c r="E1122">
        <v>3918.53</v>
      </c>
      <c r="F1122" s="1">
        <v>43686</v>
      </c>
      <c r="G1122" s="2" t="s">
        <v>19</v>
      </c>
      <c r="H1122" s="2" t="s">
        <v>183</v>
      </c>
      <c r="I1122">
        <v>90</v>
      </c>
      <c r="J1122" s="2" t="s">
        <v>676</v>
      </c>
      <c r="K1122" s="2" t="s">
        <v>175</v>
      </c>
      <c r="L1122" s="2" t="s">
        <v>176</v>
      </c>
      <c r="M1122" s="2" t="s">
        <v>177</v>
      </c>
      <c r="N1122" s="2" t="s">
        <v>178</v>
      </c>
      <c r="O1122" s="2" t="s">
        <v>179</v>
      </c>
      <c r="P1122" s="2" t="s">
        <v>180</v>
      </c>
      <c r="Q1122" s="2" t="s">
        <v>181</v>
      </c>
      <c r="R1122" s="2" t="s">
        <v>182</v>
      </c>
      <c r="S1122" s="2" t="s">
        <v>46</v>
      </c>
      <c r="T1122">
        <v>1944</v>
      </c>
      <c r="U1122">
        <f>VLOOKUP(Auto_Sales_data___Copy[[#This Row],[CUSTOMER_NAME]],$AF$2:$AH$90,2,FALSE)</f>
        <v>259</v>
      </c>
      <c r="V1122">
        <f>VLOOKUP(Auto_Sales_data___Copy[[#This Row],[CUSTOMER_NAME]],$AF$2:$AH$90,3,FALSE)</f>
        <v>912294.1100000001</v>
      </c>
      <c r="W1122" s="2">
        <f>6-MATCH(Auto_Sales_data___Copy[[#This Row],[DAYS_SINCE_LAST_ORDER]],Table2[R-Cutoff],1)</f>
        <v>3</v>
      </c>
      <c r="X1122" s="2">
        <f>MATCH(Auto_Sales_data___Copy[[#This Row],[Total_Orders_Per_Customer]],Table2[F-Cutoff],1)</f>
        <v>5</v>
      </c>
      <c r="Y1122" s="2">
        <f>MATCH(Auto_Sales_data___Copy[[#This Row],[Total_Sales_Per_Customer]],Table2[M-Cutoff],1)</f>
        <v>5</v>
      </c>
      <c r="Z1122" s="2" t="str">
        <f>Auto_Sales_data___Copy[[#This Row],[R-Score(1-5)]]&amp;Auto_Sales_data___Copy[[#This Row],[F-Score(1-5)]]&amp;Auto_Sales_data___Copy[[#This Row],[M-Score(1-5)]]</f>
        <v>355</v>
      </c>
      <c r="AA1122" s="2" t="str" cm="1">
        <f t="array" ref="AA11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2" s="2" t="str">
        <f>VLOOKUP(Auto_Sales_data___Copy[[#This Row],[Segment Name]],Table3[],2,FALSE)</f>
        <v>Reward &amp; Upsell</v>
      </c>
    </row>
    <row r="1123" spans="1:28" x14ac:dyDescent="0.25">
      <c r="A1123">
        <v>10279</v>
      </c>
      <c r="B1123">
        <v>48</v>
      </c>
      <c r="C1123">
        <v>116.27</v>
      </c>
      <c r="D1123">
        <v>2</v>
      </c>
      <c r="E1123">
        <v>5580.96</v>
      </c>
      <c r="F1123" s="1">
        <v>43686</v>
      </c>
      <c r="G1123" s="2" t="s">
        <v>19</v>
      </c>
      <c r="H1123" s="2" t="s">
        <v>183</v>
      </c>
      <c r="I1123">
        <v>117</v>
      </c>
      <c r="J1123" s="2" t="s">
        <v>679</v>
      </c>
      <c r="K1123" s="2" t="s">
        <v>175</v>
      </c>
      <c r="L1123" s="2" t="s">
        <v>176</v>
      </c>
      <c r="M1123" s="2" t="s">
        <v>177</v>
      </c>
      <c r="N1123" s="2" t="s">
        <v>178</v>
      </c>
      <c r="O1123" s="2" t="s">
        <v>179</v>
      </c>
      <c r="P1123" s="2" t="s">
        <v>180</v>
      </c>
      <c r="Q1123" s="2" t="s">
        <v>181</v>
      </c>
      <c r="R1123" s="2" t="s">
        <v>182</v>
      </c>
      <c r="S1123" s="2" t="s">
        <v>46</v>
      </c>
      <c r="T1123">
        <v>2020</v>
      </c>
      <c r="U1123">
        <f>VLOOKUP(Auto_Sales_data___Copy[[#This Row],[CUSTOMER_NAME]],$AF$2:$AH$90,2,FALSE)</f>
        <v>259</v>
      </c>
      <c r="V1123">
        <f>VLOOKUP(Auto_Sales_data___Copy[[#This Row],[CUSTOMER_NAME]],$AF$2:$AH$90,3,FALSE)</f>
        <v>912294.1100000001</v>
      </c>
      <c r="W1123" s="2">
        <f>6-MATCH(Auto_Sales_data___Copy[[#This Row],[DAYS_SINCE_LAST_ORDER]],Table2[R-Cutoff],1)</f>
        <v>3</v>
      </c>
      <c r="X1123" s="2">
        <f>MATCH(Auto_Sales_data___Copy[[#This Row],[Total_Orders_Per_Customer]],Table2[F-Cutoff],1)</f>
        <v>5</v>
      </c>
      <c r="Y1123" s="2">
        <f>MATCH(Auto_Sales_data___Copy[[#This Row],[Total_Sales_Per_Customer]],Table2[M-Cutoff],1)</f>
        <v>5</v>
      </c>
      <c r="Z1123" s="2" t="str">
        <f>Auto_Sales_data___Copy[[#This Row],[R-Score(1-5)]]&amp;Auto_Sales_data___Copy[[#This Row],[F-Score(1-5)]]&amp;Auto_Sales_data___Copy[[#This Row],[M-Score(1-5)]]</f>
        <v>355</v>
      </c>
      <c r="AA1123" s="2" t="str" cm="1">
        <f t="array" ref="AA11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3" s="2" t="str">
        <f>VLOOKUP(Auto_Sales_data___Copy[[#This Row],[Segment Name]],Table3[],2,FALSE)</f>
        <v>Reward &amp; Upsell</v>
      </c>
    </row>
    <row r="1124" spans="1:28" x14ac:dyDescent="0.25">
      <c r="A1124">
        <v>10311</v>
      </c>
      <c r="B1124">
        <v>25</v>
      </c>
      <c r="C1124">
        <v>66.989999999999995</v>
      </c>
      <c r="D1124">
        <v>2</v>
      </c>
      <c r="E1124">
        <v>1674.75</v>
      </c>
      <c r="F1124" s="1">
        <v>43754</v>
      </c>
      <c r="G1124" s="2" t="s">
        <v>19</v>
      </c>
      <c r="H1124" s="2" t="s">
        <v>183</v>
      </c>
      <c r="I1124">
        <v>71</v>
      </c>
      <c r="J1124" s="2" t="s">
        <v>664</v>
      </c>
      <c r="K1124" s="2" t="s">
        <v>175</v>
      </c>
      <c r="L1124" s="2" t="s">
        <v>176</v>
      </c>
      <c r="M1124" s="2" t="s">
        <v>177</v>
      </c>
      <c r="N1124" s="2" t="s">
        <v>178</v>
      </c>
      <c r="O1124" s="2" t="s">
        <v>179</v>
      </c>
      <c r="P1124" s="2" t="s">
        <v>180</v>
      </c>
      <c r="Q1124" s="2" t="s">
        <v>181</v>
      </c>
      <c r="R1124" s="2" t="s">
        <v>182</v>
      </c>
      <c r="S1124" s="2" t="s">
        <v>30</v>
      </c>
      <c r="T1124">
        <v>1586</v>
      </c>
      <c r="U1124">
        <f>VLOOKUP(Auto_Sales_data___Copy[[#This Row],[CUSTOMER_NAME]],$AF$2:$AH$90,2,FALSE)</f>
        <v>259</v>
      </c>
      <c r="V1124">
        <f>VLOOKUP(Auto_Sales_data___Copy[[#This Row],[CUSTOMER_NAME]],$AF$2:$AH$90,3,FALSE)</f>
        <v>912294.1100000001</v>
      </c>
      <c r="W1124" s="2">
        <f>6-MATCH(Auto_Sales_data___Copy[[#This Row],[DAYS_SINCE_LAST_ORDER]],Table2[R-Cutoff],1)</f>
        <v>3</v>
      </c>
      <c r="X1124" s="2">
        <f>MATCH(Auto_Sales_data___Copy[[#This Row],[Total_Orders_Per_Customer]],Table2[F-Cutoff],1)</f>
        <v>5</v>
      </c>
      <c r="Y1124" s="2">
        <f>MATCH(Auto_Sales_data___Copy[[#This Row],[Total_Sales_Per_Customer]],Table2[M-Cutoff],1)</f>
        <v>5</v>
      </c>
      <c r="Z1124" s="2" t="str">
        <f>Auto_Sales_data___Copy[[#This Row],[R-Score(1-5)]]&amp;Auto_Sales_data___Copy[[#This Row],[F-Score(1-5)]]&amp;Auto_Sales_data___Copy[[#This Row],[M-Score(1-5)]]</f>
        <v>355</v>
      </c>
      <c r="AA1124" s="2" t="str" cm="1">
        <f t="array" ref="AA11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4" s="2" t="str">
        <f>VLOOKUP(Auto_Sales_data___Copy[[#This Row],[Segment Name]],Table3[],2,FALSE)</f>
        <v>Reward &amp; Upsell</v>
      </c>
    </row>
    <row r="1125" spans="1:28" x14ac:dyDescent="0.25">
      <c r="A1125">
        <v>10311</v>
      </c>
      <c r="B1125">
        <v>26</v>
      </c>
      <c r="C1125">
        <v>87.45</v>
      </c>
      <c r="D1125">
        <v>6</v>
      </c>
      <c r="E1125">
        <v>2273.6999999999998</v>
      </c>
      <c r="F1125" s="1">
        <v>43754</v>
      </c>
      <c r="G1125" s="2" t="s">
        <v>19</v>
      </c>
      <c r="H1125" s="2" t="s">
        <v>183</v>
      </c>
      <c r="I1125">
        <v>73</v>
      </c>
      <c r="J1125" s="2" t="s">
        <v>665</v>
      </c>
      <c r="K1125" s="2" t="s">
        <v>175</v>
      </c>
      <c r="L1125" s="2" t="s">
        <v>176</v>
      </c>
      <c r="M1125" s="2" t="s">
        <v>177</v>
      </c>
      <c r="N1125" s="2" t="s">
        <v>178</v>
      </c>
      <c r="O1125" s="2" t="s">
        <v>179</v>
      </c>
      <c r="P1125" s="2" t="s">
        <v>180</v>
      </c>
      <c r="Q1125" s="2" t="s">
        <v>181</v>
      </c>
      <c r="R1125" s="2" t="s">
        <v>182</v>
      </c>
      <c r="S1125" s="2" t="s">
        <v>30</v>
      </c>
      <c r="T1125">
        <v>1608</v>
      </c>
      <c r="U1125">
        <f>VLOOKUP(Auto_Sales_data___Copy[[#This Row],[CUSTOMER_NAME]],$AF$2:$AH$90,2,FALSE)</f>
        <v>259</v>
      </c>
      <c r="V1125">
        <f>VLOOKUP(Auto_Sales_data___Copy[[#This Row],[CUSTOMER_NAME]],$AF$2:$AH$90,3,FALSE)</f>
        <v>912294.1100000001</v>
      </c>
      <c r="W1125" s="2">
        <f>6-MATCH(Auto_Sales_data___Copy[[#This Row],[DAYS_SINCE_LAST_ORDER]],Table2[R-Cutoff],1)</f>
        <v>3</v>
      </c>
      <c r="X1125" s="2">
        <f>MATCH(Auto_Sales_data___Copy[[#This Row],[Total_Orders_Per_Customer]],Table2[F-Cutoff],1)</f>
        <v>5</v>
      </c>
      <c r="Y1125" s="2">
        <f>MATCH(Auto_Sales_data___Copy[[#This Row],[Total_Sales_Per_Customer]],Table2[M-Cutoff],1)</f>
        <v>5</v>
      </c>
      <c r="Z1125" s="2" t="str">
        <f>Auto_Sales_data___Copy[[#This Row],[R-Score(1-5)]]&amp;Auto_Sales_data___Copy[[#This Row],[F-Score(1-5)]]&amp;Auto_Sales_data___Copy[[#This Row],[M-Score(1-5)]]</f>
        <v>355</v>
      </c>
      <c r="AA1125" s="2" t="str" cm="1">
        <f t="array" ref="AA11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5" s="2" t="str">
        <f>VLOOKUP(Auto_Sales_data___Copy[[#This Row],[Segment Name]],Table3[],2,FALSE)</f>
        <v>Reward &amp; Upsell</v>
      </c>
    </row>
    <row r="1126" spans="1:28" x14ac:dyDescent="0.25">
      <c r="A1126">
        <v>10311</v>
      </c>
      <c r="B1126">
        <v>45</v>
      </c>
      <c r="C1126">
        <v>49.3</v>
      </c>
      <c r="D1126">
        <v>8</v>
      </c>
      <c r="E1126">
        <v>2218.5</v>
      </c>
      <c r="F1126" s="1">
        <v>43754</v>
      </c>
      <c r="G1126" s="2" t="s">
        <v>19</v>
      </c>
      <c r="H1126" s="2" t="s">
        <v>183</v>
      </c>
      <c r="I1126">
        <v>50</v>
      </c>
      <c r="J1126" s="2" t="s">
        <v>668</v>
      </c>
      <c r="K1126" s="2" t="s">
        <v>175</v>
      </c>
      <c r="L1126" s="2" t="s">
        <v>176</v>
      </c>
      <c r="M1126" s="2" t="s">
        <v>177</v>
      </c>
      <c r="N1126" s="2" t="s">
        <v>178</v>
      </c>
      <c r="O1126" s="2" t="s">
        <v>179</v>
      </c>
      <c r="P1126" s="2" t="s">
        <v>180</v>
      </c>
      <c r="Q1126" s="2" t="s">
        <v>181</v>
      </c>
      <c r="R1126" s="2" t="s">
        <v>182</v>
      </c>
      <c r="S1126" s="2" t="s">
        <v>30</v>
      </c>
      <c r="T1126">
        <v>1684</v>
      </c>
      <c r="U1126">
        <f>VLOOKUP(Auto_Sales_data___Copy[[#This Row],[CUSTOMER_NAME]],$AF$2:$AH$90,2,FALSE)</f>
        <v>259</v>
      </c>
      <c r="V1126">
        <f>VLOOKUP(Auto_Sales_data___Copy[[#This Row],[CUSTOMER_NAME]],$AF$2:$AH$90,3,FALSE)</f>
        <v>912294.1100000001</v>
      </c>
      <c r="W1126" s="2">
        <f>6-MATCH(Auto_Sales_data___Copy[[#This Row],[DAYS_SINCE_LAST_ORDER]],Table2[R-Cutoff],1)</f>
        <v>3</v>
      </c>
      <c r="X1126" s="2">
        <f>MATCH(Auto_Sales_data___Copy[[#This Row],[Total_Orders_Per_Customer]],Table2[F-Cutoff],1)</f>
        <v>5</v>
      </c>
      <c r="Y1126" s="2">
        <f>MATCH(Auto_Sales_data___Copy[[#This Row],[Total_Sales_Per_Customer]],Table2[M-Cutoff],1)</f>
        <v>5</v>
      </c>
      <c r="Z1126" s="2" t="str">
        <f>Auto_Sales_data___Copy[[#This Row],[R-Score(1-5)]]&amp;Auto_Sales_data___Copy[[#This Row],[F-Score(1-5)]]&amp;Auto_Sales_data___Copy[[#This Row],[M-Score(1-5)]]</f>
        <v>355</v>
      </c>
      <c r="AA1126" s="2" t="str" cm="1">
        <f t="array" ref="AA11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6" s="2" t="str">
        <f>VLOOKUP(Auto_Sales_data___Copy[[#This Row],[Segment Name]],Table3[],2,FALSE)</f>
        <v>Reward &amp; Upsell</v>
      </c>
    </row>
    <row r="1127" spans="1:28" x14ac:dyDescent="0.25">
      <c r="A1127">
        <v>10311</v>
      </c>
      <c r="B1127">
        <v>28</v>
      </c>
      <c r="C1127">
        <v>93.6</v>
      </c>
      <c r="D1127">
        <v>4</v>
      </c>
      <c r="E1127">
        <v>2620.8000000000002</v>
      </c>
      <c r="F1127" s="1">
        <v>43754</v>
      </c>
      <c r="G1127" s="2" t="s">
        <v>19</v>
      </c>
      <c r="H1127" s="2" t="s">
        <v>183</v>
      </c>
      <c r="I1127">
        <v>90</v>
      </c>
      <c r="J1127" s="2" t="s">
        <v>676</v>
      </c>
      <c r="K1127" s="2" t="s">
        <v>175</v>
      </c>
      <c r="L1127" s="2" t="s">
        <v>176</v>
      </c>
      <c r="M1127" s="2" t="s">
        <v>177</v>
      </c>
      <c r="N1127" s="2" t="s">
        <v>178</v>
      </c>
      <c r="O1127" s="2" t="s">
        <v>179</v>
      </c>
      <c r="P1127" s="2" t="s">
        <v>180</v>
      </c>
      <c r="Q1127" s="2" t="s">
        <v>181</v>
      </c>
      <c r="R1127" s="2" t="s">
        <v>182</v>
      </c>
      <c r="S1127" s="2" t="s">
        <v>30</v>
      </c>
      <c r="T1127">
        <v>1879</v>
      </c>
      <c r="U1127">
        <f>VLOOKUP(Auto_Sales_data___Copy[[#This Row],[CUSTOMER_NAME]],$AF$2:$AH$90,2,FALSE)</f>
        <v>259</v>
      </c>
      <c r="V1127">
        <f>VLOOKUP(Auto_Sales_data___Copy[[#This Row],[CUSTOMER_NAME]],$AF$2:$AH$90,3,FALSE)</f>
        <v>912294.1100000001</v>
      </c>
      <c r="W1127" s="2">
        <f>6-MATCH(Auto_Sales_data___Copy[[#This Row],[DAYS_SINCE_LAST_ORDER]],Table2[R-Cutoff],1)</f>
        <v>3</v>
      </c>
      <c r="X1127" s="2">
        <f>MATCH(Auto_Sales_data___Copy[[#This Row],[Total_Orders_Per_Customer]],Table2[F-Cutoff],1)</f>
        <v>5</v>
      </c>
      <c r="Y1127" s="2">
        <f>MATCH(Auto_Sales_data___Copy[[#This Row],[Total_Sales_Per_Customer]],Table2[M-Cutoff],1)</f>
        <v>5</v>
      </c>
      <c r="Z1127" s="2" t="str">
        <f>Auto_Sales_data___Copy[[#This Row],[R-Score(1-5)]]&amp;Auto_Sales_data___Copy[[#This Row],[F-Score(1-5)]]&amp;Auto_Sales_data___Copy[[#This Row],[M-Score(1-5)]]</f>
        <v>355</v>
      </c>
      <c r="AA1127" s="2" t="str" cm="1">
        <f t="array" ref="AA11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7" s="2" t="str">
        <f>VLOOKUP(Auto_Sales_data___Copy[[#This Row],[Segment Name]],Table3[],2,FALSE)</f>
        <v>Reward &amp; Upsell</v>
      </c>
    </row>
    <row r="1128" spans="1:28" x14ac:dyDescent="0.25">
      <c r="A1128">
        <v>10311</v>
      </c>
      <c r="B1128">
        <v>43</v>
      </c>
      <c r="C1128">
        <v>106.87</v>
      </c>
      <c r="D1128">
        <v>3</v>
      </c>
      <c r="E1128">
        <v>4595.41</v>
      </c>
      <c r="F1128" s="1">
        <v>43754</v>
      </c>
      <c r="G1128" s="2" t="s">
        <v>19</v>
      </c>
      <c r="H1128" s="2" t="s">
        <v>183</v>
      </c>
      <c r="I1128">
        <v>117</v>
      </c>
      <c r="J1128" s="2" t="s">
        <v>679</v>
      </c>
      <c r="K1128" s="2" t="s">
        <v>175</v>
      </c>
      <c r="L1128" s="2" t="s">
        <v>176</v>
      </c>
      <c r="M1128" s="2" t="s">
        <v>177</v>
      </c>
      <c r="N1128" s="2" t="s">
        <v>178</v>
      </c>
      <c r="O1128" s="2" t="s">
        <v>179</v>
      </c>
      <c r="P1128" s="2" t="s">
        <v>180</v>
      </c>
      <c r="Q1128" s="2" t="s">
        <v>181</v>
      </c>
      <c r="R1128" s="2" t="s">
        <v>182</v>
      </c>
      <c r="S1128" s="2" t="s">
        <v>46</v>
      </c>
      <c r="T1128">
        <v>1955</v>
      </c>
      <c r="U1128">
        <f>VLOOKUP(Auto_Sales_data___Copy[[#This Row],[CUSTOMER_NAME]],$AF$2:$AH$90,2,FALSE)</f>
        <v>259</v>
      </c>
      <c r="V1128">
        <f>VLOOKUP(Auto_Sales_data___Copy[[#This Row],[CUSTOMER_NAME]],$AF$2:$AH$90,3,FALSE)</f>
        <v>912294.1100000001</v>
      </c>
      <c r="W1128" s="2">
        <f>6-MATCH(Auto_Sales_data___Copy[[#This Row],[DAYS_SINCE_LAST_ORDER]],Table2[R-Cutoff],1)</f>
        <v>3</v>
      </c>
      <c r="X1128" s="2">
        <f>MATCH(Auto_Sales_data___Copy[[#This Row],[Total_Orders_Per_Customer]],Table2[F-Cutoff],1)</f>
        <v>5</v>
      </c>
      <c r="Y1128" s="2">
        <f>MATCH(Auto_Sales_data___Copy[[#This Row],[Total_Sales_Per_Customer]],Table2[M-Cutoff],1)</f>
        <v>5</v>
      </c>
      <c r="Z1128" s="2" t="str">
        <f>Auto_Sales_data___Copy[[#This Row],[R-Score(1-5)]]&amp;Auto_Sales_data___Copy[[#This Row],[F-Score(1-5)]]&amp;Auto_Sales_data___Copy[[#This Row],[M-Score(1-5)]]</f>
        <v>355</v>
      </c>
      <c r="AA1128" s="2" t="str" cm="1">
        <f t="array" ref="AA11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8" s="2" t="str">
        <f>VLOOKUP(Auto_Sales_data___Copy[[#This Row],[Segment Name]],Table3[],2,FALSE)</f>
        <v>Reward &amp; Upsell</v>
      </c>
    </row>
    <row r="1129" spans="1:28" x14ac:dyDescent="0.25">
      <c r="A1129">
        <v>10350</v>
      </c>
      <c r="B1129">
        <v>34</v>
      </c>
      <c r="C1129">
        <v>50.33</v>
      </c>
      <c r="D1129">
        <v>7</v>
      </c>
      <c r="E1129">
        <v>1711.22</v>
      </c>
      <c r="F1129" s="1">
        <v>43801</v>
      </c>
      <c r="G1129" s="2" t="s">
        <v>19</v>
      </c>
      <c r="H1129" s="2" t="s">
        <v>642</v>
      </c>
      <c r="I1129">
        <v>122</v>
      </c>
      <c r="J1129" s="2" t="s">
        <v>672</v>
      </c>
      <c r="K1129" s="2" t="s">
        <v>175</v>
      </c>
      <c r="L1129" s="2" t="s">
        <v>176</v>
      </c>
      <c r="M1129" s="2" t="s">
        <v>177</v>
      </c>
      <c r="N1129" s="2" t="s">
        <v>178</v>
      </c>
      <c r="O1129" s="2" t="s">
        <v>179</v>
      </c>
      <c r="P1129" s="2" t="s">
        <v>180</v>
      </c>
      <c r="Q1129" s="2" t="s">
        <v>181</v>
      </c>
      <c r="R1129" s="2" t="s">
        <v>182</v>
      </c>
      <c r="S1129" s="2" t="s">
        <v>30</v>
      </c>
      <c r="T1129">
        <v>1738</v>
      </c>
      <c r="U1129">
        <f>VLOOKUP(Auto_Sales_data___Copy[[#This Row],[CUSTOMER_NAME]],$AF$2:$AH$90,2,FALSE)</f>
        <v>259</v>
      </c>
      <c r="V1129">
        <f>VLOOKUP(Auto_Sales_data___Copy[[#This Row],[CUSTOMER_NAME]],$AF$2:$AH$90,3,FALSE)</f>
        <v>912294.1100000001</v>
      </c>
      <c r="W1129" s="2">
        <f>6-MATCH(Auto_Sales_data___Copy[[#This Row],[DAYS_SINCE_LAST_ORDER]],Table2[R-Cutoff],1)</f>
        <v>3</v>
      </c>
      <c r="X1129" s="2">
        <f>MATCH(Auto_Sales_data___Copy[[#This Row],[Total_Orders_Per_Customer]],Table2[F-Cutoff],1)</f>
        <v>5</v>
      </c>
      <c r="Y1129" s="2">
        <f>MATCH(Auto_Sales_data___Copy[[#This Row],[Total_Sales_Per_Customer]],Table2[M-Cutoff],1)</f>
        <v>5</v>
      </c>
      <c r="Z1129" s="2" t="str">
        <f>Auto_Sales_data___Copy[[#This Row],[R-Score(1-5)]]&amp;Auto_Sales_data___Copy[[#This Row],[F-Score(1-5)]]&amp;Auto_Sales_data___Copy[[#This Row],[M-Score(1-5)]]</f>
        <v>355</v>
      </c>
      <c r="AA1129" s="2" t="str" cm="1">
        <f t="array" ref="AA11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9" s="2" t="str">
        <f>VLOOKUP(Auto_Sales_data___Copy[[#This Row],[Segment Name]],Table3[],2,FALSE)</f>
        <v>Reward &amp; Upsell</v>
      </c>
    </row>
    <row r="1130" spans="1:28" x14ac:dyDescent="0.25">
      <c r="A1130">
        <v>10350</v>
      </c>
      <c r="B1130">
        <v>30</v>
      </c>
      <c r="C1130">
        <v>100.7</v>
      </c>
      <c r="D1130">
        <v>9</v>
      </c>
      <c r="E1130">
        <v>3021</v>
      </c>
      <c r="F1130" s="1">
        <v>43801</v>
      </c>
      <c r="G1130" s="2" t="s">
        <v>19</v>
      </c>
      <c r="H1130" s="2" t="s">
        <v>589</v>
      </c>
      <c r="I1130">
        <v>88</v>
      </c>
      <c r="J1130" s="2" t="s">
        <v>681</v>
      </c>
      <c r="K1130" s="2" t="s">
        <v>175</v>
      </c>
      <c r="L1130" s="2" t="s">
        <v>176</v>
      </c>
      <c r="M1130" s="2" t="s">
        <v>177</v>
      </c>
      <c r="N1130" s="2" t="s">
        <v>178</v>
      </c>
      <c r="O1130" s="2" t="s">
        <v>179</v>
      </c>
      <c r="P1130" s="2" t="s">
        <v>180</v>
      </c>
      <c r="Q1130" s="2" t="s">
        <v>181</v>
      </c>
      <c r="R1130" s="2" t="s">
        <v>182</v>
      </c>
      <c r="S1130" s="2" t="s">
        <v>46</v>
      </c>
      <c r="T1130">
        <v>1962</v>
      </c>
      <c r="U1130">
        <f>VLOOKUP(Auto_Sales_data___Copy[[#This Row],[CUSTOMER_NAME]],$AF$2:$AH$90,2,FALSE)</f>
        <v>259</v>
      </c>
      <c r="V1130">
        <f>VLOOKUP(Auto_Sales_data___Copy[[#This Row],[CUSTOMER_NAME]],$AF$2:$AH$90,3,FALSE)</f>
        <v>912294.1100000001</v>
      </c>
      <c r="W1130" s="2">
        <f>6-MATCH(Auto_Sales_data___Copy[[#This Row],[DAYS_SINCE_LAST_ORDER]],Table2[R-Cutoff],1)</f>
        <v>3</v>
      </c>
      <c r="X1130" s="2">
        <f>MATCH(Auto_Sales_data___Copy[[#This Row],[Total_Orders_Per_Customer]],Table2[F-Cutoff],1)</f>
        <v>5</v>
      </c>
      <c r="Y1130" s="2">
        <f>MATCH(Auto_Sales_data___Copy[[#This Row],[Total_Sales_Per_Customer]],Table2[M-Cutoff],1)</f>
        <v>5</v>
      </c>
      <c r="Z1130" s="2" t="str">
        <f>Auto_Sales_data___Copy[[#This Row],[R-Score(1-5)]]&amp;Auto_Sales_data___Copy[[#This Row],[F-Score(1-5)]]&amp;Auto_Sales_data___Copy[[#This Row],[M-Score(1-5)]]</f>
        <v>355</v>
      </c>
      <c r="AA1130" s="2" t="str" cm="1">
        <f t="array" ref="AA11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0" s="2" t="str">
        <f>VLOOKUP(Auto_Sales_data___Copy[[#This Row],[Segment Name]],Table3[],2,FALSE)</f>
        <v>Reward &amp; Upsell</v>
      </c>
    </row>
    <row r="1131" spans="1:28" x14ac:dyDescent="0.25">
      <c r="A1131">
        <v>10355</v>
      </c>
      <c r="B1131">
        <v>25</v>
      </c>
      <c r="C1131">
        <v>168.14</v>
      </c>
      <c r="D1131">
        <v>2</v>
      </c>
      <c r="E1131">
        <v>4203.5</v>
      </c>
      <c r="F1131" s="1">
        <v>43806</v>
      </c>
      <c r="G1131" s="2" t="s">
        <v>19</v>
      </c>
      <c r="H1131" s="2" t="s">
        <v>183</v>
      </c>
      <c r="I1131">
        <v>148</v>
      </c>
      <c r="J1131" s="2" t="s">
        <v>663</v>
      </c>
      <c r="K1131" s="2" t="s">
        <v>175</v>
      </c>
      <c r="L1131" s="2" t="s">
        <v>176</v>
      </c>
      <c r="M1131" s="2" t="s">
        <v>177</v>
      </c>
      <c r="N1131" s="2" t="s">
        <v>178</v>
      </c>
      <c r="O1131" s="2" t="s">
        <v>179</v>
      </c>
      <c r="P1131" s="2" t="s">
        <v>180</v>
      </c>
      <c r="Q1131" s="2" t="s">
        <v>181</v>
      </c>
      <c r="R1131" s="2" t="s">
        <v>182</v>
      </c>
      <c r="S1131" s="2" t="s">
        <v>46</v>
      </c>
      <c r="T1131">
        <v>1515</v>
      </c>
      <c r="U1131">
        <f>VLOOKUP(Auto_Sales_data___Copy[[#This Row],[CUSTOMER_NAME]],$AF$2:$AH$90,2,FALSE)</f>
        <v>259</v>
      </c>
      <c r="V1131">
        <f>VLOOKUP(Auto_Sales_data___Copy[[#This Row],[CUSTOMER_NAME]],$AF$2:$AH$90,3,FALSE)</f>
        <v>912294.1100000001</v>
      </c>
      <c r="W1131" s="2">
        <f>6-MATCH(Auto_Sales_data___Copy[[#This Row],[DAYS_SINCE_LAST_ORDER]],Table2[R-Cutoff],1)</f>
        <v>3</v>
      </c>
      <c r="X1131" s="2">
        <f>MATCH(Auto_Sales_data___Copy[[#This Row],[Total_Orders_Per_Customer]],Table2[F-Cutoff],1)</f>
        <v>5</v>
      </c>
      <c r="Y1131" s="2">
        <f>MATCH(Auto_Sales_data___Copy[[#This Row],[Total_Sales_Per_Customer]],Table2[M-Cutoff],1)</f>
        <v>5</v>
      </c>
      <c r="Z1131" s="2" t="str">
        <f>Auto_Sales_data___Copy[[#This Row],[R-Score(1-5)]]&amp;Auto_Sales_data___Copy[[#This Row],[F-Score(1-5)]]&amp;Auto_Sales_data___Copy[[#This Row],[M-Score(1-5)]]</f>
        <v>355</v>
      </c>
      <c r="AA1131" s="2" t="str" cm="1">
        <f t="array" ref="AA11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1" s="2" t="str">
        <f>VLOOKUP(Auto_Sales_data___Copy[[#This Row],[Segment Name]],Table3[],2,FALSE)</f>
        <v>Reward &amp; Upsell</v>
      </c>
    </row>
    <row r="1132" spans="1:28" x14ac:dyDescent="0.25">
      <c r="A1132">
        <v>10355</v>
      </c>
      <c r="B1132">
        <v>41</v>
      </c>
      <c r="C1132">
        <v>70.650000000000006</v>
      </c>
      <c r="D1132">
        <v>3</v>
      </c>
      <c r="E1132">
        <v>2896.65</v>
      </c>
      <c r="F1132" s="1">
        <v>43806</v>
      </c>
      <c r="G1132" s="2" t="s">
        <v>19</v>
      </c>
      <c r="H1132" s="2" t="s">
        <v>20</v>
      </c>
      <c r="I1132">
        <v>69</v>
      </c>
      <c r="J1132" s="2" t="s">
        <v>675</v>
      </c>
      <c r="K1132" s="2" t="s">
        <v>175</v>
      </c>
      <c r="L1132" s="2" t="s">
        <v>176</v>
      </c>
      <c r="M1132" s="2" t="s">
        <v>177</v>
      </c>
      <c r="N1132" s="2" t="s">
        <v>178</v>
      </c>
      <c r="O1132" s="2" t="s">
        <v>179</v>
      </c>
      <c r="P1132" s="2" t="s">
        <v>180</v>
      </c>
      <c r="Q1132" s="2" t="s">
        <v>181</v>
      </c>
      <c r="R1132" s="2" t="s">
        <v>182</v>
      </c>
      <c r="S1132" s="2" t="s">
        <v>30</v>
      </c>
      <c r="T1132">
        <v>1807</v>
      </c>
      <c r="U1132">
        <f>VLOOKUP(Auto_Sales_data___Copy[[#This Row],[CUSTOMER_NAME]],$AF$2:$AH$90,2,FALSE)</f>
        <v>259</v>
      </c>
      <c r="V1132">
        <f>VLOOKUP(Auto_Sales_data___Copy[[#This Row],[CUSTOMER_NAME]],$AF$2:$AH$90,3,FALSE)</f>
        <v>912294.1100000001</v>
      </c>
      <c r="W1132" s="2">
        <f>6-MATCH(Auto_Sales_data___Copy[[#This Row],[DAYS_SINCE_LAST_ORDER]],Table2[R-Cutoff],1)</f>
        <v>3</v>
      </c>
      <c r="X1132" s="2">
        <f>MATCH(Auto_Sales_data___Copy[[#This Row],[Total_Orders_Per_Customer]],Table2[F-Cutoff],1)</f>
        <v>5</v>
      </c>
      <c r="Y1132" s="2">
        <f>MATCH(Auto_Sales_data___Copy[[#This Row],[Total_Sales_Per_Customer]],Table2[M-Cutoff],1)</f>
        <v>5</v>
      </c>
      <c r="Z1132" s="2" t="str">
        <f>Auto_Sales_data___Copy[[#This Row],[R-Score(1-5)]]&amp;Auto_Sales_data___Copy[[#This Row],[F-Score(1-5)]]&amp;Auto_Sales_data___Copy[[#This Row],[M-Score(1-5)]]</f>
        <v>355</v>
      </c>
      <c r="AA1132" s="2" t="str" cm="1">
        <f t="array" ref="AA11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2" s="2" t="str">
        <f>VLOOKUP(Auto_Sales_data___Copy[[#This Row],[Segment Name]],Table3[],2,FALSE)</f>
        <v>Reward &amp; Upsell</v>
      </c>
    </row>
    <row r="1133" spans="1:28" x14ac:dyDescent="0.25">
      <c r="A1133">
        <v>10355</v>
      </c>
      <c r="B1133">
        <v>36</v>
      </c>
      <c r="C1133">
        <v>38.520000000000003</v>
      </c>
      <c r="D1133">
        <v>4</v>
      </c>
      <c r="E1133">
        <v>1386.72</v>
      </c>
      <c r="F1133" s="1">
        <v>43806</v>
      </c>
      <c r="G1133" s="2" t="s">
        <v>19</v>
      </c>
      <c r="H1133" s="2" t="s">
        <v>183</v>
      </c>
      <c r="I1133">
        <v>37</v>
      </c>
      <c r="J1133" s="2" t="s">
        <v>680</v>
      </c>
      <c r="K1133" s="2" t="s">
        <v>175</v>
      </c>
      <c r="L1133" s="2" t="s">
        <v>176</v>
      </c>
      <c r="M1133" s="2" t="s">
        <v>177</v>
      </c>
      <c r="N1133" s="2" t="s">
        <v>178</v>
      </c>
      <c r="O1133" s="2" t="s">
        <v>179</v>
      </c>
      <c r="P1133" s="2" t="s">
        <v>180</v>
      </c>
      <c r="Q1133" s="2" t="s">
        <v>181</v>
      </c>
      <c r="R1133" s="2" t="s">
        <v>182</v>
      </c>
      <c r="S1133" s="2" t="s">
        <v>30</v>
      </c>
      <c r="T1133">
        <v>1930</v>
      </c>
      <c r="U1133">
        <f>VLOOKUP(Auto_Sales_data___Copy[[#This Row],[CUSTOMER_NAME]],$AF$2:$AH$90,2,FALSE)</f>
        <v>259</v>
      </c>
      <c r="V1133">
        <f>VLOOKUP(Auto_Sales_data___Copy[[#This Row],[CUSTOMER_NAME]],$AF$2:$AH$90,3,FALSE)</f>
        <v>912294.1100000001</v>
      </c>
      <c r="W1133" s="2">
        <f>6-MATCH(Auto_Sales_data___Copy[[#This Row],[DAYS_SINCE_LAST_ORDER]],Table2[R-Cutoff],1)</f>
        <v>3</v>
      </c>
      <c r="X1133" s="2">
        <f>MATCH(Auto_Sales_data___Copy[[#This Row],[Total_Orders_Per_Customer]],Table2[F-Cutoff],1)</f>
        <v>5</v>
      </c>
      <c r="Y1133" s="2">
        <f>MATCH(Auto_Sales_data___Copy[[#This Row],[Total_Sales_Per_Customer]],Table2[M-Cutoff],1)</f>
        <v>5</v>
      </c>
      <c r="Z1133" s="2" t="str">
        <f>Auto_Sales_data___Copy[[#This Row],[R-Score(1-5)]]&amp;Auto_Sales_data___Copy[[#This Row],[F-Score(1-5)]]&amp;Auto_Sales_data___Copy[[#This Row],[M-Score(1-5)]]</f>
        <v>355</v>
      </c>
      <c r="AA1133" s="2" t="str" cm="1">
        <f t="array" ref="AA11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3" s="2" t="str">
        <f>VLOOKUP(Auto_Sales_data___Copy[[#This Row],[Segment Name]],Table3[],2,FALSE)</f>
        <v>Reward &amp; Upsell</v>
      </c>
    </row>
    <row r="1134" spans="1:28" x14ac:dyDescent="0.25">
      <c r="A1134">
        <v>10355</v>
      </c>
      <c r="B1134">
        <v>44</v>
      </c>
      <c r="C1134">
        <v>62.45</v>
      </c>
      <c r="D1134">
        <v>6</v>
      </c>
      <c r="E1134">
        <v>2747.8</v>
      </c>
      <c r="F1134" s="1">
        <v>43806</v>
      </c>
      <c r="G1134" s="2" t="s">
        <v>19</v>
      </c>
      <c r="H1134" s="2" t="s">
        <v>183</v>
      </c>
      <c r="I1134">
        <v>61</v>
      </c>
      <c r="J1134" s="2" t="s">
        <v>683</v>
      </c>
      <c r="K1134" s="2" t="s">
        <v>175</v>
      </c>
      <c r="L1134" s="2" t="s">
        <v>176</v>
      </c>
      <c r="M1134" s="2" t="s">
        <v>177</v>
      </c>
      <c r="N1134" s="2" t="s">
        <v>178</v>
      </c>
      <c r="O1134" s="2" t="s">
        <v>179</v>
      </c>
      <c r="P1134" s="2" t="s">
        <v>180</v>
      </c>
      <c r="Q1134" s="2" t="s">
        <v>181</v>
      </c>
      <c r="R1134" s="2" t="s">
        <v>182</v>
      </c>
      <c r="S1134" s="2" t="s">
        <v>30</v>
      </c>
      <c r="T1134">
        <v>2004</v>
      </c>
      <c r="U1134">
        <f>VLOOKUP(Auto_Sales_data___Copy[[#This Row],[CUSTOMER_NAME]],$AF$2:$AH$90,2,FALSE)</f>
        <v>259</v>
      </c>
      <c r="V1134">
        <f>VLOOKUP(Auto_Sales_data___Copy[[#This Row],[CUSTOMER_NAME]],$AF$2:$AH$90,3,FALSE)</f>
        <v>912294.1100000001</v>
      </c>
      <c r="W1134" s="2">
        <f>6-MATCH(Auto_Sales_data___Copy[[#This Row],[DAYS_SINCE_LAST_ORDER]],Table2[R-Cutoff],1)</f>
        <v>3</v>
      </c>
      <c r="X1134" s="2">
        <f>MATCH(Auto_Sales_data___Copy[[#This Row],[Total_Orders_Per_Customer]],Table2[F-Cutoff],1)</f>
        <v>5</v>
      </c>
      <c r="Y1134" s="2">
        <f>MATCH(Auto_Sales_data___Copy[[#This Row],[Total_Sales_Per_Customer]],Table2[M-Cutoff],1)</f>
        <v>5</v>
      </c>
      <c r="Z1134" s="2" t="str">
        <f>Auto_Sales_data___Copy[[#This Row],[R-Score(1-5)]]&amp;Auto_Sales_data___Copy[[#This Row],[F-Score(1-5)]]&amp;Auto_Sales_data___Copy[[#This Row],[M-Score(1-5)]]</f>
        <v>355</v>
      </c>
      <c r="AA1134" s="2" t="str" cm="1">
        <f t="array" ref="AA11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4" s="2" t="str">
        <f>VLOOKUP(Auto_Sales_data___Copy[[#This Row],[Segment Name]],Table3[],2,FALSE)</f>
        <v>Reward &amp; Upsell</v>
      </c>
    </row>
    <row r="1135" spans="1:28" x14ac:dyDescent="0.25">
      <c r="A1135">
        <v>10358</v>
      </c>
      <c r="B1135">
        <v>44</v>
      </c>
      <c r="C1135">
        <v>60.76</v>
      </c>
      <c r="D1135">
        <v>14</v>
      </c>
      <c r="E1135">
        <v>2673.44</v>
      </c>
      <c r="F1135" s="1">
        <v>43809</v>
      </c>
      <c r="G1135" s="2" t="s">
        <v>19</v>
      </c>
      <c r="H1135" s="2" t="s">
        <v>183</v>
      </c>
      <c r="I1135">
        <v>57</v>
      </c>
      <c r="J1135" s="2" t="s">
        <v>666</v>
      </c>
      <c r="K1135" s="2" t="s">
        <v>175</v>
      </c>
      <c r="L1135" s="2" t="s">
        <v>176</v>
      </c>
      <c r="M1135" s="2" t="s">
        <v>177</v>
      </c>
      <c r="N1135" s="2" t="s">
        <v>178</v>
      </c>
      <c r="O1135" s="2" t="s">
        <v>179</v>
      </c>
      <c r="P1135" s="2" t="s">
        <v>180</v>
      </c>
      <c r="Q1135" s="2" t="s">
        <v>181</v>
      </c>
      <c r="R1135" s="2" t="s">
        <v>182</v>
      </c>
      <c r="S1135" s="2" t="s">
        <v>30</v>
      </c>
      <c r="T1135">
        <v>1583</v>
      </c>
      <c r="U1135">
        <f>VLOOKUP(Auto_Sales_data___Copy[[#This Row],[CUSTOMER_NAME]],$AF$2:$AH$90,2,FALSE)</f>
        <v>259</v>
      </c>
      <c r="V1135">
        <f>VLOOKUP(Auto_Sales_data___Copy[[#This Row],[CUSTOMER_NAME]],$AF$2:$AH$90,3,FALSE)</f>
        <v>912294.1100000001</v>
      </c>
      <c r="W1135" s="2">
        <f>6-MATCH(Auto_Sales_data___Copy[[#This Row],[DAYS_SINCE_LAST_ORDER]],Table2[R-Cutoff],1)</f>
        <v>3</v>
      </c>
      <c r="X1135" s="2">
        <f>MATCH(Auto_Sales_data___Copy[[#This Row],[Total_Orders_Per_Customer]],Table2[F-Cutoff],1)</f>
        <v>5</v>
      </c>
      <c r="Y1135" s="2">
        <f>MATCH(Auto_Sales_data___Copy[[#This Row],[Total_Sales_Per_Customer]],Table2[M-Cutoff],1)</f>
        <v>5</v>
      </c>
      <c r="Z1135" s="2" t="str">
        <f>Auto_Sales_data___Copy[[#This Row],[R-Score(1-5)]]&amp;Auto_Sales_data___Copy[[#This Row],[F-Score(1-5)]]&amp;Auto_Sales_data___Copy[[#This Row],[M-Score(1-5)]]</f>
        <v>355</v>
      </c>
      <c r="AA1135" s="2" t="str" cm="1">
        <f t="array" ref="AA11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5" s="2" t="str">
        <f>VLOOKUP(Auto_Sales_data___Copy[[#This Row],[Segment Name]],Table3[],2,FALSE)</f>
        <v>Reward &amp; Upsell</v>
      </c>
    </row>
    <row r="1136" spans="1:28" x14ac:dyDescent="0.25">
      <c r="A1136">
        <v>10358</v>
      </c>
      <c r="B1136">
        <v>41</v>
      </c>
      <c r="C1136">
        <v>138.65</v>
      </c>
      <c r="D1136">
        <v>7</v>
      </c>
      <c r="E1136">
        <v>5684.65</v>
      </c>
      <c r="F1136" s="1">
        <v>43809</v>
      </c>
      <c r="G1136" s="2" t="s">
        <v>19</v>
      </c>
      <c r="H1136" s="2" t="s">
        <v>537</v>
      </c>
      <c r="I1136">
        <v>127</v>
      </c>
      <c r="J1136" s="2" t="s">
        <v>674</v>
      </c>
      <c r="K1136" s="2" t="s">
        <v>175</v>
      </c>
      <c r="L1136" s="2" t="s">
        <v>176</v>
      </c>
      <c r="M1136" s="2" t="s">
        <v>177</v>
      </c>
      <c r="N1136" s="2" t="s">
        <v>178</v>
      </c>
      <c r="O1136" s="2" t="s">
        <v>179</v>
      </c>
      <c r="P1136" s="2" t="s">
        <v>180</v>
      </c>
      <c r="Q1136" s="2" t="s">
        <v>181</v>
      </c>
      <c r="R1136" s="2" t="s">
        <v>182</v>
      </c>
      <c r="S1136" s="2" t="s">
        <v>46</v>
      </c>
      <c r="T1136">
        <v>1780</v>
      </c>
      <c r="U1136">
        <f>VLOOKUP(Auto_Sales_data___Copy[[#This Row],[CUSTOMER_NAME]],$AF$2:$AH$90,2,FALSE)</f>
        <v>259</v>
      </c>
      <c r="V1136">
        <f>VLOOKUP(Auto_Sales_data___Copy[[#This Row],[CUSTOMER_NAME]],$AF$2:$AH$90,3,FALSE)</f>
        <v>912294.1100000001</v>
      </c>
      <c r="W1136" s="2">
        <f>6-MATCH(Auto_Sales_data___Copy[[#This Row],[DAYS_SINCE_LAST_ORDER]],Table2[R-Cutoff],1)</f>
        <v>3</v>
      </c>
      <c r="X1136" s="2">
        <f>MATCH(Auto_Sales_data___Copy[[#This Row],[Total_Orders_Per_Customer]],Table2[F-Cutoff],1)</f>
        <v>5</v>
      </c>
      <c r="Y1136" s="2">
        <f>MATCH(Auto_Sales_data___Copy[[#This Row],[Total_Sales_Per_Customer]],Table2[M-Cutoff],1)</f>
        <v>5</v>
      </c>
      <c r="Z1136" s="2" t="str">
        <f>Auto_Sales_data___Copy[[#This Row],[R-Score(1-5)]]&amp;Auto_Sales_data___Copy[[#This Row],[F-Score(1-5)]]&amp;Auto_Sales_data___Copy[[#This Row],[M-Score(1-5)]]</f>
        <v>355</v>
      </c>
      <c r="AA1136" s="2" t="str" cm="1">
        <f t="array" ref="AA11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6" s="2" t="str">
        <f>VLOOKUP(Auto_Sales_data___Copy[[#This Row],[Segment Name]],Table3[],2,FALSE)</f>
        <v>Reward &amp; Upsell</v>
      </c>
    </row>
    <row r="1137" spans="1:28" x14ac:dyDescent="0.25">
      <c r="A1137">
        <v>10358</v>
      </c>
      <c r="B1137">
        <v>36</v>
      </c>
      <c r="C1137">
        <v>82.94</v>
      </c>
      <c r="D1137">
        <v>4</v>
      </c>
      <c r="E1137">
        <v>2985.84</v>
      </c>
      <c r="F1137" s="1">
        <v>43809</v>
      </c>
      <c r="G1137" s="2" t="s">
        <v>19</v>
      </c>
      <c r="H1137" s="2" t="s">
        <v>183</v>
      </c>
      <c r="I1137">
        <v>35</v>
      </c>
      <c r="J1137" s="2" t="s">
        <v>677</v>
      </c>
      <c r="K1137" s="2" t="s">
        <v>175</v>
      </c>
      <c r="L1137" s="2" t="s">
        <v>176</v>
      </c>
      <c r="M1137" s="2" t="s">
        <v>177</v>
      </c>
      <c r="N1137" s="2" t="s">
        <v>178</v>
      </c>
      <c r="O1137" s="2" t="s">
        <v>179</v>
      </c>
      <c r="P1137" s="2" t="s">
        <v>180</v>
      </c>
      <c r="Q1137" s="2" t="s">
        <v>181</v>
      </c>
      <c r="R1137" s="2" t="s">
        <v>182</v>
      </c>
      <c r="S1137" s="2" t="s">
        <v>30</v>
      </c>
      <c r="T1137">
        <v>1854</v>
      </c>
      <c r="U1137">
        <f>VLOOKUP(Auto_Sales_data___Copy[[#This Row],[CUSTOMER_NAME]],$AF$2:$AH$90,2,FALSE)</f>
        <v>259</v>
      </c>
      <c r="V1137">
        <f>VLOOKUP(Auto_Sales_data___Copy[[#This Row],[CUSTOMER_NAME]],$AF$2:$AH$90,3,FALSE)</f>
        <v>912294.1100000001</v>
      </c>
      <c r="W1137" s="2">
        <f>6-MATCH(Auto_Sales_data___Copy[[#This Row],[DAYS_SINCE_LAST_ORDER]],Table2[R-Cutoff],1)</f>
        <v>3</v>
      </c>
      <c r="X1137" s="2">
        <f>MATCH(Auto_Sales_data___Copy[[#This Row],[Total_Orders_Per_Customer]],Table2[F-Cutoff],1)</f>
        <v>5</v>
      </c>
      <c r="Y1137" s="2">
        <f>MATCH(Auto_Sales_data___Copy[[#This Row],[Total_Sales_Per_Customer]],Table2[M-Cutoff],1)</f>
        <v>5</v>
      </c>
      <c r="Z1137" s="2" t="str">
        <f>Auto_Sales_data___Copy[[#This Row],[R-Score(1-5)]]&amp;Auto_Sales_data___Copy[[#This Row],[F-Score(1-5)]]&amp;Auto_Sales_data___Copy[[#This Row],[M-Score(1-5)]]</f>
        <v>355</v>
      </c>
      <c r="AA1137" s="2" t="str" cm="1">
        <f t="array" ref="AA11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7" s="2" t="str">
        <f>VLOOKUP(Auto_Sales_data___Copy[[#This Row],[Segment Name]],Table3[],2,FALSE)</f>
        <v>Reward &amp; Upsell</v>
      </c>
    </row>
    <row r="1138" spans="1:28" x14ac:dyDescent="0.25">
      <c r="A1138">
        <v>10379</v>
      </c>
      <c r="B1138">
        <v>32</v>
      </c>
      <c r="C1138">
        <v>124.08</v>
      </c>
      <c r="D1138">
        <v>3</v>
      </c>
      <c r="E1138">
        <v>3970.56</v>
      </c>
      <c r="F1138" s="1">
        <v>43871</v>
      </c>
      <c r="G1138" s="2" t="s">
        <v>19</v>
      </c>
      <c r="H1138" s="2" t="s">
        <v>183</v>
      </c>
      <c r="I1138">
        <v>50</v>
      </c>
      <c r="J1138" s="2" t="s">
        <v>668</v>
      </c>
      <c r="K1138" s="2" t="s">
        <v>175</v>
      </c>
      <c r="L1138" s="2" t="s">
        <v>176</v>
      </c>
      <c r="M1138" s="2" t="s">
        <v>177</v>
      </c>
      <c r="N1138" s="2" t="s">
        <v>178</v>
      </c>
      <c r="O1138" s="2" t="s">
        <v>179</v>
      </c>
      <c r="P1138" s="2" t="s">
        <v>180</v>
      </c>
      <c r="Q1138" s="2" t="s">
        <v>181</v>
      </c>
      <c r="R1138" s="2" t="s">
        <v>182</v>
      </c>
      <c r="S1138" s="2" t="s">
        <v>46</v>
      </c>
      <c r="T1138">
        <v>1572</v>
      </c>
      <c r="U1138">
        <f>VLOOKUP(Auto_Sales_data___Copy[[#This Row],[CUSTOMER_NAME]],$AF$2:$AH$90,2,FALSE)</f>
        <v>259</v>
      </c>
      <c r="V1138">
        <f>VLOOKUP(Auto_Sales_data___Copy[[#This Row],[CUSTOMER_NAME]],$AF$2:$AH$90,3,FALSE)</f>
        <v>912294.1100000001</v>
      </c>
      <c r="W1138" s="2">
        <f>6-MATCH(Auto_Sales_data___Copy[[#This Row],[DAYS_SINCE_LAST_ORDER]],Table2[R-Cutoff],1)</f>
        <v>3</v>
      </c>
      <c r="X1138" s="2">
        <f>MATCH(Auto_Sales_data___Copy[[#This Row],[Total_Orders_Per_Customer]],Table2[F-Cutoff],1)</f>
        <v>5</v>
      </c>
      <c r="Y1138" s="2">
        <f>MATCH(Auto_Sales_data___Copy[[#This Row],[Total_Sales_Per_Customer]],Table2[M-Cutoff],1)</f>
        <v>5</v>
      </c>
      <c r="Z1138" s="2" t="str">
        <f>Auto_Sales_data___Copy[[#This Row],[R-Score(1-5)]]&amp;Auto_Sales_data___Copy[[#This Row],[F-Score(1-5)]]&amp;Auto_Sales_data___Copy[[#This Row],[M-Score(1-5)]]</f>
        <v>355</v>
      </c>
      <c r="AA1138" s="2" t="str" cm="1">
        <f t="array" ref="AA11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8" s="2" t="str">
        <f>VLOOKUP(Auto_Sales_data___Copy[[#This Row],[Segment Name]],Table3[],2,FALSE)</f>
        <v>Reward &amp; Upsell</v>
      </c>
    </row>
    <row r="1139" spans="1:28" x14ac:dyDescent="0.25">
      <c r="A1139">
        <v>10378</v>
      </c>
      <c r="B1139">
        <v>41</v>
      </c>
      <c r="C1139">
        <v>142.85</v>
      </c>
      <c r="D1139">
        <v>7</v>
      </c>
      <c r="E1139">
        <v>5856.85</v>
      </c>
      <c r="F1139" s="1">
        <v>43871</v>
      </c>
      <c r="G1139" s="2" t="s">
        <v>19</v>
      </c>
      <c r="H1139" s="2" t="s">
        <v>183</v>
      </c>
      <c r="I1139">
        <v>37</v>
      </c>
      <c r="J1139" s="2" t="s">
        <v>680</v>
      </c>
      <c r="K1139" s="2" t="s">
        <v>175</v>
      </c>
      <c r="L1139" s="2" t="s">
        <v>176</v>
      </c>
      <c r="M1139" s="2" t="s">
        <v>177</v>
      </c>
      <c r="N1139" s="2" t="s">
        <v>178</v>
      </c>
      <c r="O1139" s="2" t="s">
        <v>179</v>
      </c>
      <c r="P1139" s="2" t="s">
        <v>180</v>
      </c>
      <c r="Q1139" s="2" t="s">
        <v>181</v>
      </c>
      <c r="R1139" s="2" t="s">
        <v>182</v>
      </c>
      <c r="S1139" s="2" t="s">
        <v>46</v>
      </c>
      <c r="T1139">
        <v>1867</v>
      </c>
      <c r="U1139">
        <f>VLOOKUP(Auto_Sales_data___Copy[[#This Row],[CUSTOMER_NAME]],$AF$2:$AH$90,2,FALSE)</f>
        <v>259</v>
      </c>
      <c r="V1139">
        <f>VLOOKUP(Auto_Sales_data___Copy[[#This Row],[CUSTOMER_NAME]],$AF$2:$AH$90,3,FALSE)</f>
        <v>912294.1100000001</v>
      </c>
      <c r="W1139" s="2">
        <f>6-MATCH(Auto_Sales_data___Copy[[#This Row],[DAYS_SINCE_LAST_ORDER]],Table2[R-Cutoff],1)</f>
        <v>3</v>
      </c>
      <c r="X1139" s="2">
        <f>MATCH(Auto_Sales_data___Copy[[#This Row],[Total_Orders_Per_Customer]],Table2[F-Cutoff],1)</f>
        <v>5</v>
      </c>
      <c r="Y1139" s="2">
        <f>MATCH(Auto_Sales_data___Copy[[#This Row],[Total_Sales_Per_Customer]],Table2[M-Cutoff],1)</f>
        <v>5</v>
      </c>
      <c r="Z1139" s="2" t="str">
        <f>Auto_Sales_data___Copy[[#This Row],[R-Score(1-5)]]&amp;Auto_Sales_data___Copy[[#This Row],[F-Score(1-5)]]&amp;Auto_Sales_data___Copy[[#This Row],[M-Score(1-5)]]</f>
        <v>355</v>
      </c>
      <c r="AA1139" s="2" t="str" cm="1">
        <f t="array" ref="AA11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9" s="2" t="str">
        <f>VLOOKUP(Auto_Sales_data___Copy[[#This Row],[Segment Name]],Table3[],2,FALSE)</f>
        <v>Reward &amp; Upsell</v>
      </c>
    </row>
    <row r="1140" spans="1:28" x14ac:dyDescent="0.25">
      <c r="A1140">
        <v>10378</v>
      </c>
      <c r="B1140">
        <v>46</v>
      </c>
      <c r="C1140">
        <v>41.54</v>
      </c>
      <c r="D1140">
        <v>6</v>
      </c>
      <c r="E1140">
        <v>1910.84</v>
      </c>
      <c r="F1140" s="1">
        <v>43871</v>
      </c>
      <c r="G1140" s="2" t="s">
        <v>19</v>
      </c>
      <c r="H1140" s="2" t="s">
        <v>183</v>
      </c>
      <c r="I1140">
        <v>61</v>
      </c>
      <c r="J1140" s="2" t="s">
        <v>683</v>
      </c>
      <c r="K1140" s="2" t="s">
        <v>175</v>
      </c>
      <c r="L1140" s="2" t="s">
        <v>176</v>
      </c>
      <c r="M1140" s="2" t="s">
        <v>177</v>
      </c>
      <c r="N1140" s="2" t="s">
        <v>178</v>
      </c>
      <c r="O1140" s="2" t="s">
        <v>179</v>
      </c>
      <c r="P1140" s="2" t="s">
        <v>180</v>
      </c>
      <c r="Q1140" s="2" t="s">
        <v>181</v>
      </c>
      <c r="R1140" s="2" t="s">
        <v>182</v>
      </c>
      <c r="S1140" s="2" t="s">
        <v>30</v>
      </c>
      <c r="T1140">
        <v>1941</v>
      </c>
      <c r="U1140">
        <f>VLOOKUP(Auto_Sales_data___Copy[[#This Row],[CUSTOMER_NAME]],$AF$2:$AH$90,2,FALSE)</f>
        <v>259</v>
      </c>
      <c r="V1140">
        <f>VLOOKUP(Auto_Sales_data___Copy[[#This Row],[CUSTOMER_NAME]],$AF$2:$AH$90,3,FALSE)</f>
        <v>912294.1100000001</v>
      </c>
      <c r="W1140" s="2">
        <f>6-MATCH(Auto_Sales_data___Copy[[#This Row],[DAYS_SINCE_LAST_ORDER]],Table2[R-Cutoff],1)</f>
        <v>3</v>
      </c>
      <c r="X1140" s="2">
        <f>MATCH(Auto_Sales_data___Copy[[#This Row],[Total_Orders_Per_Customer]],Table2[F-Cutoff],1)</f>
        <v>5</v>
      </c>
      <c r="Y1140" s="2">
        <f>MATCH(Auto_Sales_data___Copy[[#This Row],[Total_Sales_Per_Customer]],Table2[M-Cutoff],1)</f>
        <v>5</v>
      </c>
      <c r="Z1140" s="2" t="str">
        <f>Auto_Sales_data___Copy[[#This Row],[R-Score(1-5)]]&amp;Auto_Sales_data___Copy[[#This Row],[F-Score(1-5)]]&amp;Auto_Sales_data___Copy[[#This Row],[M-Score(1-5)]]</f>
        <v>355</v>
      </c>
      <c r="AA1140" s="2" t="str" cm="1">
        <f t="array" ref="AA11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0" s="2" t="str">
        <f>VLOOKUP(Auto_Sales_data___Copy[[#This Row],[Segment Name]],Table3[],2,FALSE)</f>
        <v>Reward &amp; Upsell</v>
      </c>
    </row>
    <row r="1141" spans="1:28" x14ac:dyDescent="0.25">
      <c r="A1141">
        <v>10380</v>
      </c>
      <c r="B1141">
        <v>32</v>
      </c>
      <c r="C1141">
        <v>70.56</v>
      </c>
      <c r="D1141">
        <v>4</v>
      </c>
      <c r="E1141">
        <v>2257.92</v>
      </c>
      <c r="F1141" s="1">
        <v>43877</v>
      </c>
      <c r="G1141" s="2" t="s">
        <v>19</v>
      </c>
      <c r="H1141" s="2" t="s">
        <v>589</v>
      </c>
      <c r="I1141">
        <v>33</v>
      </c>
      <c r="J1141" s="2" t="s">
        <v>670</v>
      </c>
      <c r="K1141" s="2" t="s">
        <v>175</v>
      </c>
      <c r="L1141" s="2" t="s">
        <v>176</v>
      </c>
      <c r="M1141" s="2" t="s">
        <v>177</v>
      </c>
      <c r="N1141" s="2" t="s">
        <v>178</v>
      </c>
      <c r="O1141" s="2" t="s">
        <v>179</v>
      </c>
      <c r="P1141" s="2" t="s">
        <v>180</v>
      </c>
      <c r="Q1141" s="2" t="s">
        <v>181</v>
      </c>
      <c r="R1141" s="2" t="s">
        <v>182</v>
      </c>
      <c r="S1141" s="2" t="s">
        <v>30</v>
      </c>
      <c r="T1141">
        <v>1612</v>
      </c>
      <c r="U1141">
        <f>VLOOKUP(Auto_Sales_data___Copy[[#This Row],[CUSTOMER_NAME]],$AF$2:$AH$90,2,FALSE)</f>
        <v>259</v>
      </c>
      <c r="V1141">
        <f>VLOOKUP(Auto_Sales_data___Copy[[#This Row],[CUSTOMER_NAME]],$AF$2:$AH$90,3,FALSE)</f>
        <v>912294.1100000001</v>
      </c>
      <c r="W1141" s="2">
        <f>6-MATCH(Auto_Sales_data___Copy[[#This Row],[DAYS_SINCE_LAST_ORDER]],Table2[R-Cutoff],1)</f>
        <v>3</v>
      </c>
      <c r="X1141" s="2">
        <f>MATCH(Auto_Sales_data___Copy[[#This Row],[Total_Orders_Per_Customer]],Table2[F-Cutoff],1)</f>
        <v>5</v>
      </c>
      <c r="Y1141" s="2">
        <f>MATCH(Auto_Sales_data___Copy[[#This Row],[Total_Sales_Per_Customer]],Table2[M-Cutoff],1)</f>
        <v>5</v>
      </c>
      <c r="Z1141" s="2" t="str">
        <f>Auto_Sales_data___Copy[[#This Row],[R-Score(1-5)]]&amp;Auto_Sales_data___Copy[[#This Row],[F-Score(1-5)]]&amp;Auto_Sales_data___Copy[[#This Row],[M-Score(1-5)]]</f>
        <v>355</v>
      </c>
      <c r="AA1141" s="2" t="str" cm="1">
        <f t="array" ref="AA11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1" s="2" t="str">
        <f>VLOOKUP(Auto_Sales_data___Copy[[#This Row],[Segment Name]],Table3[],2,FALSE)</f>
        <v>Reward &amp; Upsell</v>
      </c>
    </row>
    <row r="1142" spans="1:28" x14ac:dyDescent="0.25">
      <c r="A1142">
        <v>10380</v>
      </c>
      <c r="B1142">
        <v>27</v>
      </c>
      <c r="C1142">
        <v>68.349999999999994</v>
      </c>
      <c r="D1142">
        <v>5</v>
      </c>
      <c r="E1142">
        <v>1845.45</v>
      </c>
      <c r="F1142" s="1">
        <v>43877</v>
      </c>
      <c r="G1142" s="2" t="s">
        <v>19</v>
      </c>
      <c r="H1142" s="2" t="s">
        <v>589</v>
      </c>
      <c r="I1142">
        <v>44</v>
      </c>
      <c r="J1142" s="2" t="s">
        <v>673</v>
      </c>
      <c r="K1142" s="2" t="s">
        <v>175</v>
      </c>
      <c r="L1142" s="2" t="s">
        <v>176</v>
      </c>
      <c r="M1142" s="2" t="s">
        <v>177</v>
      </c>
      <c r="N1142" s="2" t="s">
        <v>178</v>
      </c>
      <c r="O1142" s="2" t="s">
        <v>179</v>
      </c>
      <c r="P1142" s="2" t="s">
        <v>180</v>
      </c>
      <c r="Q1142" s="2" t="s">
        <v>181</v>
      </c>
      <c r="R1142" s="2" t="s">
        <v>182</v>
      </c>
      <c r="S1142" s="2" t="s">
        <v>30</v>
      </c>
      <c r="T1142">
        <v>1687</v>
      </c>
      <c r="U1142">
        <f>VLOOKUP(Auto_Sales_data___Copy[[#This Row],[CUSTOMER_NAME]],$AF$2:$AH$90,2,FALSE)</f>
        <v>259</v>
      </c>
      <c r="V1142">
        <f>VLOOKUP(Auto_Sales_data___Copy[[#This Row],[CUSTOMER_NAME]],$AF$2:$AH$90,3,FALSE)</f>
        <v>912294.1100000001</v>
      </c>
      <c r="W1142" s="2">
        <f>6-MATCH(Auto_Sales_data___Copy[[#This Row],[DAYS_SINCE_LAST_ORDER]],Table2[R-Cutoff],1)</f>
        <v>3</v>
      </c>
      <c r="X1142" s="2">
        <f>MATCH(Auto_Sales_data___Copy[[#This Row],[Total_Orders_Per_Customer]],Table2[F-Cutoff],1)</f>
        <v>5</v>
      </c>
      <c r="Y1142" s="2">
        <f>MATCH(Auto_Sales_data___Copy[[#This Row],[Total_Sales_Per_Customer]],Table2[M-Cutoff],1)</f>
        <v>5</v>
      </c>
      <c r="Z1142" s="2" t="str">
        <f>Auto_Sales_data___Copy[[#This Row],[R-Score(1-5)]]&amp;Auto_Sales_data___Copy[[#This Row],[F-Score(1-5)]]&amp;Auto_Sales_data___Copy[[#This Row],[M-Score(1-5)]]</f>
        <v>355</v>
      </c>
      <c r="AA1142" s="2" t="str" cm="1">
        <f t="array" ref="AA11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2" s="2" t="str">
        <f>VLOOKUP(Auto_Sales_data___Copy[[#This Row],[Segment Name]],Table3[],2,FALSE)</f>
        <v>Reward &amp; Upsell</v>
      </c>
    </row>
    <row r="1143" spans="1:28" x14ac:dyDescent="0.25">
      <c r="A1143">
        <v>10380</v>
      </c>
      <c r="B1143">
        <v>36</v>
      </c>
      <c r="C1143">
        <v>37.5</v>
      </c>
      <c r="D1143">
        <v>6</v>
      </c>
      <c r="E1143">
        <v>1350</v>
      </c>
      <c r="F1143" s="1">
        <v>43877</v>
      </c>
      <c r="G1143" s="2" t="s">
        <v>19</v>
      </c>
      <c r="H1143" s="2" t="s">
        <v>183</v>
      </c>
      <c r="I1143">
        <v>90</v>
      </c>
      <c r="J1143" s="2" t="s">
        <v>676</v>
      </c>
      <c r="K1143" s="2" t="s">
        <v>175</v>
      </c>
      <c r="L1143" s="2" t="s">
        <v>176</v>
      </c>
      <c r="M1143" s="2" t="s">
        <v>177</v>
      </c>
      <c r="N1143" s="2" t="s">
        <v>178</v>
      </c>
      <c r="O1143" s="2" t="s">
        <v>179</v>
      </c>
      <c r="P1143" s="2" t="s">
        <v>180</v>
      </c>
      <c r="Q1143" s="2" t="s">
        <v>181</v>
      </c>
      <c r="R1143" s="2" t="s">
        <v>182</v>
      </c>
      <c r="S1143" s="2" t="s">
        <v>30</v>
      </c>
      <c r="T1143">
        <v>1761</v>
      </c>
      <c r="U1143">
        <f>VLOOKUP(Auto_Sales_data___Copy[[#This Row],[CUSTOMER_NAME]],$AF$2:$AH$90,2,FALSE)</f>
        <v>259</v>
      </c>
      <c r="V1143">
        <f>VLOOKUP(Auto_Sales_data___Copy[[#This Row],[CUSTOMER_NAME]],$AF$2:$AH$90,3,FALSE)</f>
        <v>912294.1100000001</v>
      </c>
      <c r="W1143" s="2">
        <f>6-MATCH(Auto_Sales_data___Copy[[#This Row],[DAYS_SINCE_LAST_ORDER]],Table2[R-Cutoff],1)</f>
        <v>3</v>
      </c>
      <c r="X1143" s="2">
        <f>MATCH(Auto_Sales_data___Copy[[#This Row],[Total_Orders_Per_Customer]],Table2[F-Cutoff],1)</f>
        <v>5</v>
      </c>
      <c r="Y1143" s="2">
        <f>MATCH(Auto_Sales_data___Copy[[#This Row],[Total_Sales_Per_Customer]],Table2[M-Cutoff],1)</f>
        <v>5</v>
      </c>
      <c r="Z1143" s="2" t="str">
        <f>Auto_Sales_data___Copy[[#This Row],[R-Score(1-5)]]&amp;Auto_Sales_data___Copy[[#This Row],[F-Score(1-5)]]&amp;Auto_Sales_data___Copy[[#This Row],[M-Score(1-5)]]</f>
        <v>355</v>
      </c>
      <c r="AA1143" s="2" t="str" cm="1">
        <f t="array" ref="AA11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3" s="2" t="str">
        <f>VLOOKUP(Auto_Sales_data___Copy[[#This Row],[Segment Name]],Table3[],2,FALSE)</f>
        <v>Reward &amp; Upsell</v>
      </c>
    </row>
    <row r="1144" spans="1:28" x14ac:dyDescent="0.25">
      <c r="A1144">
        <v>10380</v>
      </c>
      <c r="B1144">
        <v>44</v>
      </c>
      <c r="C1144">
        <v>36.29</v>
      </c>
      <c r="D1144">
        <v>7</v>
      </c>
      <c r="E1144">
        <v>1596.76</v>
      </c>
      <c r="F1144" s="1">
        <v>43877</v>
      </c>
      <c r="G1144" s="2" t="s">
        <v>19</v>
      </c>
      <c r="H1144" s="2" t="s">
        <v>183</v>
      </c>
      <c r="I1144">
        <v>117</v>
      </c>
      <c r="J1144" s="2" t="s">
        <v>679</v>
      </c>
      <c r="K1144" s="2" t="s">
        <v>175</v>
      </c>
      <c r="L1144" s="2" t="s">
        <v>176</v>
      </c>
      <c r="M1144" s="2" t="s">
        <v>177</v>
      </c>
      <c r="N1144" s="2" t="s">
        <v>178</v>
      </c>
      <c r="O1144" s="2" t="s">
        <v>179</v>
      </c>
      <c r="P1144" s="2" t="s">
        <v>180</v>
      </c>
      <c r="Q1144" s="2" t="s">
        <v>181</v>
      </c>
      <c r="R1144" s="2" t="s">
        <v>182</v>
      </c>
      <c r="S1144" s="2" t="s">
        <v>30</v>
      </c>
      <c r="T1144">
        <v>1836</v>
      </c>
      <c r="U1144">
        <f>VLOOKUP(Auto_Sales_data___Copy[[#This Row],[CUSTOMER_NAME]],$AF$2:$AH$90,2,FALSE)</f>
        <v>259</v>
      </c>
      <c r="V1144">
        <f>VLOOKUP(Auto_Sales_data___Copy[[#This Row],[CUSTOMER_NAME]],$AF$2:$AH$90,3,FALSE)</f>
        <v>912294.1100000001</v>
      </c>
      <c r="W1144" s="2">
        <f>6-MATCH(Auto_Sales_data___Copy[[#This Row],[DAYS_SINCE_LAST_ORDER]],Table2[R-Cutoff],1)</f>
        <v>3</v>
      </c>
      <c r="X1144" s="2">
        <f>MATCH(Auto_Sales_data___Copy[[#This Row],[Total_Orders_Per_Customer]],Table2[F-Cutoff],1)</f>
        <v>5</v>
      </c>
      <c r="Y1144" s="2">
        <f>MATCH(Auto_Sales_data___Copy[[#This Row],[Total_Sales_Per_Customer]],Table2[M-Cutoff],1)</f>
        <v>5</v>
      </c>
      <c r="Z1144" s="2" t="str">
        <f>Auto_Sales_data___Copy[[#This Row],[R-Score(1-5)]]&amp;Auto_Sales_data___Copy[[#This Row],[F-Score(1-5)]]&amp;Auto_Sales_data___Copy[[#This Row],[M-Score(1-5)]]</f>
        <v>355</v>
      </c>
      <c r="AA1144" s="2" t="str" cm="1">
        <f t="array" ref="AA11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4" s="2" t="str">
        <f>VLOOKUP(Auto_Sales_data___Copy[[#This Row],[Segment Name]],Table3[],2,FALSE)</f>
        <v>Reward &amp; Upsell</v>
      </c>
    </row>
    <row r="1145" spans="1:28" x14ac:dyDescent="0.25">
      <c r="A1145">
        <v>10380</v>
      </c>
      <c r="B1145">
        <v>44</v>
      </c>
      <c r="C1145">
        <v>79.06</v>
      </c>
      <c r="D1145">
        <v>9</v>
      </c>
      <c r="E1145">
        <v>3478.64</v>
      </c>
      <c r="F1145" s="1">
        <v>43877</v>
      </c>
      <c r="G1145" s="2" t="s">
        <v>19</v>
      </c>
      <c r="H1145" s="2" t="s">
        <v>183</v>
      </c>
      <c r="I1145">
        <v>85</v>
      </c>
      <c r="J1145" s="2" t="s">
        <v>682</v>
      </c>
      <c r="K1145" s="2" t="s">
        <v>175</v>
      </c>
      <c r="L1145" s="2" t="s">
        <v>176</v>
      </c>
      <c r="M1145" s="2" t="s">
        <v>177</v>
      </c>
      <c r="N1145" s="2" t="s">
        <v>178</v>
      </c>
      <c r="O1145" s="2" t="s">
        <v>179</v>
      </c>
      <c r="P1145" s="2" t="s">
        <v>180</v>
      </c>
      <c r="Q1145" s="2" t="s">
        <v>181</v>
      </c>
      <c r="R1145" s="2" t="s">
        <v>182</v>
      </c>
      <c r="S1145" s="2" t="s">
        <v>46</v>
      </c>
      <c r="T1145">
        <v>1910</v>
      </c>
      <c r="U1145">
        <f>VLOOKUP(Auto_Sales_data___Copy[[#This Row],[CUSTOMER_NAME]],$AF$2:$AH$90,2,FALSE)</f>
        <v>259</v>
      </c>
      <c r="V1145">
        <f>VLOOKUP(Auto_Sales_data___Copy[[#This Row],[CUSTOMER_NAME]],$AF$2:$AH$90,3,FALSE)</f>
        <v>912294.1100000001</v>
      </c>
      <c r="W1145" s="2">
        <f>6-MATCH(Auto_Sales_data___Copy[[#This Row],[DAYS_SINCE_LAST_ORDER]],Table2[R-Cutoff],1)</f>
        <v>3</v>
      </c>
      <c r="X1145" s="2">
        <f>MATCH(Auto_Sales_data___Copy[[#This Row],[Total_Orders_Per_Customer]],Table2[F-Cutoff],1)</f>
        <v>5</v>
      </c>
      <c r="Y1145" s="2">
        <f>MATCH(Auto_Sales_data___Copy[[#This Row],[Total_Sales_Per_Customer]],Table2[M-Cutoff],1)</f>
        <v>5</v>
      </c>
      <c r="Z1145" s="2" t="str">
        <f>Auto_Sales_data___Copy[[#This Row],[R-Score(1-5)]]&amp;Auto_Sales_data___Copy[[#This Row],[F-Score(1-5)]]&amp;Auto_Sales_data___Copy[[#This Row],[M-Score(1-5)]]</f>
        <v>355</v>
      </c>
      <c r="AA1145" s="2" t="str" cm="1">
        <f t="array" ref="AA11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5" s="2" t="str">
        <f>VLOOKUP(Auto_Sales_data___Copy[[#This Row],[Segment Name]],Table3[],2,FALSE)</f>
        <v>Reward &amp; Upsell</v>
      </c>
    </row>
    <row r="1146" spans="1:28" x14ac:dyDescent="0.25">
      <c r="A1146">
        <v>10380</v>
      </c>
      <c r="B1146">
        <v>34</v>
      </c>
      <c r="C1146">
        <v>116.27</v>
      </c>
      <c r="D1146">
        <v>11</v>
      </c>
      <c r="E1146">
        <v>3953.18</v>
      </c>
      <c r="F1146" s="1">
        <v>43877</v>
      </c>
      <c r="G1146" s="2" t="s">
        <v>19</v>
      </c>
      <c r="H1146" s="2" t="s">
        <v>183</v>
      </c>
      <c r="I1146">
        <v>107</v>
      </c>
      <c r="J1146" s="2" t="s">
        <v>685</v>
      </c>
      <c r="K1146" s="2" t="s">
        <v>175</v>
      </c>
      <c r="L1146" s="2" t="s">
        <v>176</v>
      </c>
      <c r="M1146" s="2" t="s">
        <v>177</v>
      </c>
      <c r="N1146" s="2" t="s">
        <v>178</v>
      </c>
      <c r="O1146" s="2" t="s">
        <v>179</v>
      </c>
      <c r="P1146" s="2" t="s">
        <v>180</v>
      </c>
      <c r="Q1146" s="2" t="s">
        <v>181</v>
      </c>
      <c r="R1146" s="2" t="s">
        <v>182</v>
      </c>
      <c r="S1146" s="2" t="s">
        <v>46</v>
      </c>
      <c r="T1146">
        <v>1984</v>
      </c>
      <c r="U1146">
        <f>VLOOKUP(Auto_Sales_data___Copy[[#This Row],[CUSTOMER_NAME]],$AF$2:$AH$90,2,FALSE)</f>
        <v>259</v>
      </c>
      <c r="V1146">
        <f>VLOOKUP(Auto_Sales_data___Copy[[#This Row],[CUSTOMER_NAME]],$AF$2:$AH$90,3,FALSE)</f>
        <v>912294.1100000001</v>
      </c>
      <c r="W1146" s="2">
        <f>6-MATCH(Auto_Sales_data___Copy[[#This Row],[DAYS_SINCE_LAST_ORDER]],Table2[R-Cutoff],1)</f>
        <v>3</v>
      </c>
      <c r="X1146" s="2">
        <f>MATCH(Auto_Sales_data___Copy[[#This Row],[Total_Orders_Per_Customer]],Table2[F-Cutoff],1)</f>
        <v>5</v>
      </c>
      <c r="Y1146" s="2">
        <f>MATCH(Auto_Sales_data___Copy[[#This Row],[Total_Sales_Per_Customer]],Table2[M-Cutoff],1)</f>
        <v>5</v>
      </c>
      <c r="Z1146" s="2" t="str">
        <f>Auto_Sales_data___Copy[[#This Row],[R-Score(1-5)]]&amp;Auto_Sales_data___Copy[[#This Row],[F-Score(1-5)]]&amp;Auto_Sales_data___Copy[[#This Row],[M-Score(1-5)]]</f>
        <v>355</v>
      </c>
      <c r="AA1146" s="2" t="str" cm="1">
        <f t="array" ref="AA11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6" s="2" t="str">
        <f>VLOOKUP(Auto_Sales_data___Copy[[#This Row],[Segment Name]],Table3[],2,FALSE)</f>
        <v>Reward &amp; Upsell</v>
      </c>
    </row>
    <row r="1147" spans="1:28" x14ac:dyDescent="0.25">
      <c r="A1147">
        <v>10383</v>
      </c>
      <c r="B1147">
        <v>22</v>
      </c>
      <c r="C1147">
        <v>91.76</v>
      </c>
      <c r="D1147">
        <v>2</v>
      </c>
      <c r="E1147">
        <v>2018.72</v>
      </c>
      <c r="F1147" s="1">
        <v>43883</v>
      </c>
      <c r="G1147" s="2" t="s">
        <v>19</v>
      </c>
      <c r="H1147" s="2" t="s">
        <v>183</v>
      </c>
      <c r="I1147">
        <v>57</v>
      </c>
      <c r="J1147" s="2" t="s">
        <v>666</v>
      </c>
      <c r="K1147" s="2" t="s">
        <v>175</v>
      </c>
      <c r="L1147" s="2" t="s">
        <v>176</v>
      </c>
      <c r="M1147" s="2" t="s">
        <v>177</v>
      </c>
      <c r="N1147" s="2" t="s">
        <v>178</v>
      </c>
      <c r="O1147" s="2" t="s">
        <v>179</v>
      </c>
      <c r="P1147" s="2" t="s">
        <v>180</v>
      </c>
      <c r="Q1147" s="2" t="s">
        <v>181</v>
      </c>
      <c r="R1147" s="2" t="s">
        <v>182</v>
      </c>
      <c r="S1147" s="2" t="s">
        <v>30</v>
      </c>
      <c r="T1147">
        <v>1511</v>
      </c>
      <c r="U1147">
        <f>VLOOKUP(Auto_Sales_data___Copy[[#This Row],[CUSTOMER_NAME]],$AF$2:$AH$90,2,FALSE)</f>
        <v>259</v>
      </c>
      <c r="V1147">
        <f>VLOOKUP(Auto_Sales_data___Copy[[#This Row],[CUSTOMER_NAME]],$AF$2:$AH$90,3,FALSE)</f>
        <v>912294.1100000001</v>
      </c>
      <c r="W1147" s="2">
        <f>6-MATCH(Auto_Sales_data___Copy[[#This Row],[DAYS_SINCE_LAST_ORDER]],Table2[R-Cutoff],1)</f>
        <v>3</v>
      </c>
      <c r="X1147" s="2">
        <f>MATCH(Auto_Sales_data___Copy[[#This Row],[Total_Orders_Per_Customer]],Table2[F-Cutoff],1)</f>
        <v>5</v>
      </c>
      <c r="Y1147" s="2">
        <f>MATCH(Auto_Sales_data___Copy[[#This Row],[Total_Sales_Per_Customer]],Table2[M-Cutoff],1)</f>
        <v>5</v>
      </c>
      <c r="Z1147" s="2" t="str">
        <f>Auto_Sales_data___Copy[[#This Row],[R-Score(1-5)]]&amp;Auto_Sales_data___Copy[[#This Row],[F-Score(1-5)]]&amp;Auto_Sales_data___Copy[[#This Row],[M-Score(1-5)]]</f>
        <v>355</v>
      </c>
      <c r="AA1147" s="2" t="str" cm="1">
        <f t="array" ref="AA11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7" s="2" t="str">
        <f>VLOOKUP(Auto_Sales_data___Copy[[#This Row],[Segment Name]],Table3[],2,FALSE)</f>
        <v>Reward &amp; Upsell</v>
      </c>
    </row>
    <row r="1148" spans="1:28" x14ac:dyDescent="0.25">
      <c r="A1148">
        <v>10383</v>
      </c>
      <c r="B1148">
        <v>40</v>
      </c>
      <c r="C1148">
        <v>152.24</v>
      </c>
      <c r="D1148">
        <v>3</v>
      </c>
      <c r="E1148">
        <v>6089.6</v>
      </c>
      <c r="F1148" s="1">
        <v>43883</v>
      </c>
      <c r="G1148" s="2" t="s">
        <v>19</v>
      </c>
      <c r="H1148" s="2" t="s">
        <v>183</v>
      </c>
      <c r="I1148">
        <v>35</v>
      </c>
      <c r="J1148" s="2" t="s">
        <v>677</v>
      </c>
      <c r="K1148" s="2" t="s">
        <v>175</v>
      </c>
      <c r="L1148" s="2" t="s">
        <v>176</v>
      </c>
      <c r="M1148" s="2" t="s">
        <v>177</v>
      </c>
      <c r="N1148" s="2" t="s">
        <v>178</v>
      </c>
      <c r="O1148" s="2" t="s">
        <v>179</v>
      </c>
      <c r="P1148" s="2" t="s">
        <v>180</v>
      </c>
      <c r="Q1148" s="2" t="s">
        <v>181</v>
      </c>
      <c r="R1148" s="2" t="s">
        <v>182</v>
      </c>
      <c r="S1148" s="2" t="s">
        <v>46</v>
      </c>
      <c r="T1148">
        <v>1782</v>
      </c>
      <c r="U1148">
        <f>VLOOKUP(Auto_Sales_data___Copy[[#This Row],[CUSTOMER_NAME]],$AF$2:$AH$90,2,FALSE)</f>
        <v>259</v>
      </c>
      <c r="V1148">
        <f>VLOOKUP(Auto_Sales_data___Copy[[#This Row],[CUSTOMER_NAME]],$AF$2:$AH$90,3,FALSE)</f>
        <v>912294.1100000001</v>
      </c>
      <c r="W1148" s="2">
        <f>6-MATCH(Auto_Sales_data___Copy[[#This Row],[DAYS_SINCE_LAST_ORDER]],Table2[R-Cutoff],1)</f>
        <v>3</v>
      </c>
      <c r="X1148" s="2">
        <f>MATCH(Auto_Sales_data___Copy[[#This Row],[Total_Orders_Per_Customer]],Table2[F-Cutoff],1)</f>
        <v>5</v>
      </c>
      <c r="Y1148" s="2">
        <f>MATCH(Auto_Sales_data___Copy[[#This Row],[Total_Sales_Per_Customer]],Table2[M-Cutoff],1)</f>
        <v>5</v>
      </c>
      <c r="Z1148" s="2" t="str">
        <f>Auto_Sales_data___Copy[[#This Row],[R-Score(1-5)]]&amp;Auto_Sales_data___Copy[[#This Row],[F-Score(1-5)]]&amp;Auto_Sales_data___Copy[[#This Row],[M-Score(1-5)]]</f>
        <v>355</v>
      </c>
      <c r="AA1148" s="2" t="str" cm="1">
        <f t="array" ref="AA11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8" s="2" t="str">
        <f>VLOOKUP(Auto_Sales_data___Copy[[#This Row],[Segment Name]],Table3[],2,FALSE)</f>
        <v>Reward &amp; Upsell</v>
      </c>
    </row>
    <row r="1149" spans="1:28" x14ac:dyDescent="0.25">
      <c r="A1149">
        <v>10386</v>
      </c>
      <c r="B1149">
        <v>33</v>
      </c>
      <c r="C1149">
        <v>41.71</v>
      </c>
      <c r="D1149">
        <v>11</v>
      </c>
      <c r="E1149">
        <v>1376.43</v>
      </c>
      <c r="F1149" s="1">
        <v>43891</v>
      </c>
      <c r="G1149" s="2" t="s">
        <v>431</v>
      </c>
      <c r="H1149" s="2" t="s">
        <v>607</v>
      </c>
      <c r="I1149">
        <v>109</v>
      </c>
      <c r="J1149" s="2" t="s">
        <v>669</v>
      </c>
      <c r="K1149" s="2" t="s">
        <v>175</v>
      </c>
      <c r="L1149" s="2" t="s">
        <v>176</v>
      </c>
      <c r="M1149" s="2" t="s">
        <v>177</v>
      </c>
      <c r="N1149" s="2" t="s">
        <v>178</v>
      </c>
      <c r="O1149" s="2" t="s">
        <v>179</v>
      </c>
      <c r="P1149" s="2" t="s">
        <v>180</v>
      </c>
      <c r="Q1149" s="2" t="s">
        <v>181</v>
      </c>
      <c r="R1149" s="2" t="s">
        <v>182</v>
      </c>
      <c r="S1149" s="2" t="s">
        <v>30</v>
      </c>
      <c r="T1149">
        <v>1574</v>
      </c>
      <c r="U1149">
        <f>VLOOKUP(Auto_Sales_data___Copy[[#This Row],[CUSTOMER_NAME]],$AF$2:$AH$90,2,FALSE)</f>
        <v>259</v>
      </c>
      <c r="V1149">
        <f>VLOOKUP(Auto_Sales_data___Copy[[#This Row],[CUSTOMER_NAME]],$AF$2:$AH$90,3,FALSE)</f>
        <v>912294.1100000001</v>
      </c>
      <c r="W1149" s="2">
        <f>6-MATCH(Auto_Sales_data___Copy[[#This Row],[DAYS_SINCE_LAST_ORDER]],Table2[R-Cutoff],1)</f>
        <v>3</v>
      </c>
      <c r="X1149" s="2">
        <f>MATCH(Auto_Sales_data___Copy[[#This Row],[Total_Orders_Per_Customer]],Table2[F-Cutoff],1)</f>
        <v>5</v>
      </c>
      <c r="Y1149" s="2">
        <f>MATCH(Auto_Sales_data___Copy[[#This Row],[Total_Sales_Per_Customer]],Table2[M-Cutoff],1)</f>
        <v>5</v>
      </c>
      <c r="Z1149" s="2" t="str">
        <f>Auto_Sales_data___Copy[[#This Row],[R-Score(1-5)]]&amp;Auto_Sales_data___Copy[[#This Row],[F-Score(1-5)]]&amp;Auto_Sales_data___Copy[[#This Row],[M-Score(1-5)]]</f>
        <v>355</v>
      </c>
      <c r="AA1149" s="2" t="str" cm="1">
        <f t="array" ref="AA11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9" s="2" t="str">
        <f>VLOOKUP(Auto_Sales_data___Copy[[#This Row],[Segment Name]],Table3[],2,FALSE)</f>
        <v>Reward &amp; Upsell</v>
      </c>
    </row>
    <row r="1150" spans="1:28" x14ac:dyDescent="0.25">
      <c r="A1150">
        <v>10386</v>
      </c>
      <c r="B1150">
        <v>39</v>
      </c>
      <c r="C1150">
        <v>55.96</v>
      </c>
      <c r="D1150">
        <v>1</v>
      </c>
      <c r="E1150">
        <v>2182.44</v>
      </c>
      <c r="F1150" s="1">
        <v>43891</v>
      </c>
      <c r="G1150" s="2" t="s">
        <v>431</v>
      </c>
      <c r="H1150" s="2" t="s">
        <v>607</v>
      </c>
      <c r="I1150">
        <v>68</v>
      </c>
      <c r="J1150" s="2" t="s">
        <v>678</v>
      </c>
      <c r="K1150" s="2" t="s">
        <v>175</v>
      </c>
      <c r="L1150" s="2" t="s">
        <v>176</v>
      </c>
      <c r="M1150" s="2" t="s">
        <v>177</v>
      </c>
      <c r="N1150" s="2" t="s">
        <v>178</v>
      </c>
      <c r="O1150" s="2" t="s">
        <v>179</v>
      </c>
      <c r="P1150" s="2" t="s">
        <v>180</v>
      </c>
      <c r="Q1150" s="2" t="s">
        <v>181</v>
      </c>
      <c r="R1150" s="2" t="s">
        <v>182</v>
      </c>
      <c r="S1150" s="2" t="s">
        <v>30</v>
      </c>
      <c r="T1150">
        <v>1799</v>
      </c>
      <c r="U1150">
        <f>VLOOKUP(Auto_Sales_data___Copy[[#This Row],[CUSTOMER_NAME]],$AF$2:$AH$90,2,FALSE)</f>
        <v>259</v>
      </c>
      <c r="V1150">
        <f>VLOOKUP(Auto_Sales_data___Copy[[#This Row],[CUSTOMER_NAME]],$AF$2:$AH$90,3,FALSE)</f>
        <v>912294.1100000001</v>
      </c>
      <c r="W1150" s="2">
        <f>6-MATCH(Auto_Sales_data___Copy[[#This Row],[DAYS_SINCE_LAST_ORDER]],Table2[R-Cutoff],1)</f>
        <v>3</v>
      </c>
      <c r="X1150" s="2">
        <f>MATCH(Auto_Sales_data___Copy[[#This Row],[Total_Orders_Per_Customer]],Table2[F-Cutoff],1)</f>
        <v>5</v>
      </c>
      <c r="Y1150" s="2">
        <f>MATCH(Auto_Sales_data___Copy[[#This Row],[Total_Sales_Per_Customer]],Table2[M-Cutoff],1)</f>
        <v>5</v>
      </c>
      <c r="Z1150" s="2" t="str">
        <f>Auto_Sales_data___Copy[[#This Row],[R-Score(1-5)]]&amp;Auto_Sales_data___Copy[[#This Row],[F-Score(1-5)]]&amp;Auto_Sales_data___Copy[[#This Row],[M-Score(1-5)]]</f>
        <v>355</v>
      </c>
      <c r="AA1150" s="2" t="str" cm="1">
        <f t="array" ref="AA11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0" s="2" t="str">
        <f>VLOOKUP(Auto_Sales_data___Copy[[#This Row],[Segment Name]],Table3[],2,FALSE)</f>
        <v>Reward &amp; Upsell</v>
      </c>
    </row>
    <row r="1151" spans="1:28" x14ac:dyDescent="0.25">
      <c r="A1151">
        <v>10386</v>
      </c>
      <c r="B1151">
        <v>35</v>
      </c>
      <c r="C1151">
        <v>63.76</v>
      </c>
      <c r="D1151">
        <v>9</v>
      </c>
      <c r="E1151">
        <v>2231.6</v>
      </c>
      <c r="F1151" s="1">
        <v>43891</v>
      </c>
      <c r="G1151" s="2" t="s">
        <v>431</v>
      </c>
      <c r="H1151" s="2" t="s">
        <v>589</v>
      </c>
      <c r="I1151">
        <v>65</v>
      </c>
      <c r="J1151" s="2" t="s">
        <v>684</v>
      </c>
      <c r="K1151" s="2" t="s">
        <v>175</v>
      </c>
      <c r="L1151" s="2" t="s">
        <v>176</v>
      </c>
      <c r="M1151" s="2" t="s">
        <v>177</v>
      </c>
      <c r="N1151" s="2" t="s">
        <v>178</v>
      </c>
      <c r="O1151" s="2" t="s">
        <v>179</v>
      </c>
      <c r="P1151" s="2" t="s">
        <v>180</v>
      </c>
      <c r="Q1151" s="2" t="s">
        <v>181</v>
      </c>
      <c r="R1151" s="2" t="s">
        <v>182</v>
      </c>
      <c r="S1151" s="2" t="s">
        <v>30</v>
      </c>
      <c r="T1151">
        <v>1946</v>
      </c>
      <c r="U1151">
        <f>VLOOKUP(Auto_Sales_data___Copy[[#This Row],[CUSTOMER_NAME]],$AF$2:$AH$90,2,FALSE)</f>
        <v>259</v>
      </c>
      <c r="V1151">
        <f>VLOOKUP(Auto_Sales_data___Copy[[#This Row],[CUSTOMER_NAME]],$AF$2:$AH$90,3,FALSE)</f>
        <v>912294.1100000001</v>
      </c>
      <c r="W1151" s="2">
        <f>6-MATCH(Auto_Sales_data___Copy[[#This Row],[DAYS_SINCE_LAST_ORDER]],Table2[R-Cutoff],1)</f>
        <v>3</v>
      </c>
      <c r="X1151" s="2">
        <f>MATCH(Auto_Sales_data___Copy[[#This Row],[Total_Orders_Per_Customer]],Table2[F-Cutoff],1)</f>
        <v>5</v>
      </c>
      <c r="Y1151" s="2">
        <f>MATCH(Auto_Sales_data___Copy[[#This Row],[Total_Sales_Per_Customer]],Table2[M-Cutoff],1)</f>
        <v>5</v>
      </c>
      <c r="Z1151" s="2" t="str">
        <f>Auto_Sales_data___Copy[[#This Row],[R-Score(1-5)]]&amp;Auto_Sales_data___Copy[[#This Row],[F-Score(1-5)]]&amp;Auto_Sales_data___Copy[[#This Row],[M-Score(1-5)]]</f>
        <v>355</v>
      </c>
      <c r="AA1151" s="2" t="str" cm="1">
        <f t="array" ref="AA11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1" s="2" t="str">
        <f>VLOOKUP(Auto_Sales_data___Copy[[#This Row],[Segment Name]],Table3[],2,FALSE)</f>
        <v>Reward &amp; Upsell</v>
      </c>
    </row>
    <row r="1152" spans="1:28" x14ac:dyDescent="0.25">
      <c r="A1152">
        <v>10394</v>
      </c>
      <c r="B1152">
        <v>46</v>
      </c>
      <c r="C1152">
        <v>38.9</v>
      </c>
      <c r="D1152">
        <v>6</v>
      </c>
      <c r="E1152">
        <v>1789.4</v>
      </c>
      <c r="F1152" s="1">
        <v>43905</v>
      </c>
      <c r="G1152" s="2" t="s">
        <v>19</v>
      </c>
      <c r="H1152" s="2" t="s">
        <v>183</v>
      </c>
      <c r="I1152">
        <v>35</v>
      </c>
      <c r="J1152" s="2" t="s">
        <v>677</v>
      </c>
      <c r="K1152" s="2" t="s">
        <v>175</v>
      </c>
      <c r="L1152" s="2" t="s">
        <v>176</v>
      </c>
      <c r="M1152" s="2" t="s">
        <v>177</v>
      </c>
      <c r="N1152" s="2" t="s">
        <v>178</v>
      </c>
      <c r="O1152" s="2" t="s">
        <v>179</v>
      </c>
      <c r="P1152" s="2" t="s">
        <v>180</v>
      </c>
      <c r="Q1152" s="2" t="s">
        <v>181</v>
      </c>
      <c r="R1152" s="2" t="s">
        <v>182</v>
      </c>
      <c r="S1152" s="2" t="s">
        <v>30</v>
      </c>
      <c r="T1152">
        <v>1761</v>
      </c>
      <c r="U1152">
        <f>VLOOKUP(Auto_Sales_data___Copy[[#This Row],[CUSTOMER_NAME]],$AF$2:$AH$90,2,FALSE)</f>
        <v>259</v>
      </c>
      <c r="V1152">
        <f>VLOOKUP(Auto_Sales_data___Copy[[#This Row],[CUSTOMER_NAME]],$AF$2:$AH$90,3,FALSE)</f>
        <v>912294.1100000001</v>
      </c>
      <c r="W1152" s="2">
        <f>6-MATCH(Auto_Sales_data___Copy[[#This Row],[DAYS_SINCE_LAST_ORDER]],Table2[R-Cutoff],1)</f>
        <v>3</v>
      </c>
      <c r="X1152" s="2">
        <f>MATCH(Auto_Sales_data___Copy[[#This Row],[Total_Orders_Per_Customer]],Table2[F-Cutoff],1)</f>
        <v>5</v>
      </c>
      <c r="Y1152" s="2">
        <f>MATCH(Auto_Sales_data___Copy[[#This Row],[Total_Sales_Per_Customer]],Table2[M-Cutoff],1)</f>
        <v>5</v>
      </c>
      <c r="Z1152" s="2" t="str">
        <f>Auto_Sales_data___Copy[[#This Row],[R-Score(1-5)]]&amp;Auto_Sales_data___Copy[[#This Row],[F-Score(1-5)]]&amp;Auto_Sales_data___Copy[[#This Row],[M-Score(1-5)]]</f>
        <v>355</v>
      </c>
      <c r="AA1152" s="2" t="str" cm="1">
        <f t="array" ref="AA11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2" s="2" t="str">
        <f>VLOOKUP(Auto_Sales_data___Copy[[#This Row],[Segment Name]],Table3[],2,FALSE)</f>
        <v>Reward &amp; Upsell</v>
      </c>
    </row>
    <row r="1153" spans="1:28" x14ac:dyDescent="0.25">
      <c r="A1153">
        <v>10412</v>
      </c>
      <c r="B1153">
        <v>70</v>
      </c>
      <c r="C1153">
        <v>121.4</v>
      </c>
      <c r="D1153">
        <v>10</v>
      </c>
      <c r="E1153">
        <v>8498</v>
      </c>
      <c r="F1153" s="1">
        <v>43954</v>
      </c>
      <c r="G1153" s="2" t="s">
        <v>19</v>
      </c>
      <c r="H1153" s="2" t="s">
        <v>537</v>
      </c>
      <c r="I1153">
        <v>127</v>
      </c>
      <c r="J1153" s="2" t="s">
        <v>674</v>
      </c>
      <c r="K1153" s="2" t="s">
        <v>175</v>
      </c>
      <c r="L1153" s="2" t="s">
        <v>176</v>
      </c>
      <c r="M1153" s="2" t="s">
        <v>177</v>
      </c>
      <c r="N1153" s="2" t="s">
        <v>178</v>
      </c>
      <c r="O1153" s="2" t="s">
        <v>179</v>
      </c>
      <c r="P1153" s="2" t="s">
        <v>180</v>
      </c>
      <c r="Q1153" s="2" t="s">
        <v>181</v>
      </c>
      <c r="R1153" s="2" t="s">
        <v>182</v>
      </c>
      <c r="S1153" s="2" t="s">
        <v>151</v>
      </c>
      <c r="T1153">
        <v>1638</v>
      </c>
      <c r="U1153">
        <f>VLOOKUP(Auto_Sales_data___Copy[[#This Row],[CUSTOMER_NAME]],$AF$2:$AH$90,2,FALSE)</f>
        <v>259</v>
      </c>
      <c r="V1153">
        <f>VLOOKUP(Auto_Sales_data___Copy[[#This Row],[CUSTOMER_NAME]],$AF$2:$AH$90,3,FALSE)</f>
        <v>912294.1100000001</v>
      </c>
      <c r="W1153" s="2">
        <f>6-MATCH(Auto_Sales_data___Copy[[#This Row],[DAYS_SINCE_LAST_ORDER]],Table2[R-Cutoff],1)</f>
        <v>3</v>
      </c>
      <c r="X1153" s="2">
        <f>MATCH(Auto_Sales_data___Copy[[#This Row],[Total_Orders_Per_Customer]],Table2[F-Cutoff],1)</f>
        <v>5</v>
      </c>
      <c r="Y1153" s="2">
        <f>MATCH(Auto_Sales_data___Copy[[#This Row],[Total_Sales_Per_Customer]],Table2[M-Cutoff],1)</f>
        <v>5</v>
      </c>
      <c r="Z1153" s="2" t="str">
        <f>Auto_Sales_data___Copy[[#This Row],[R-Score(1-5)]]&amp;Auto_Sales_data___Copy[[#This Row],[F-Score(1-5)]]&amp;Auto_Sales_data___Copy[[#This Row],[M-Score(1-5)]]</f>
        <v>355</v>
      </c>
      <c r="AA1153" s="2" t="str" cm="1">
        <f t="array" ref="AA11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3" s="2" t="str">
        <f>VLOOKUP(Auto_Sales_data___Copy[[#This Row],[Segment Name]],Table3[],2,FALSE)</f>
        <v>Reward &amp; Upsell</v>
      </c>
    </row>
    <row r="1154" spans="1:28" x14ac:dyDescent="0.25">
      <c r="A1154">
        <v>10412</v>
      </c>
      <c r="B1154">
        <v>30</v>
      </c>
      <c r="C1154">
        <v>36.07</v>
      </c>
      <c r="D1154">
        <v>6</v>
      </c>
      <c r="E1154">
        <v>1082.0999999999999</v>
      </c>
      <c r="F1154" s="1">
        <v>43954</v>
      </c>
      <c r="G1154" s="2" t="s">
        <v>19</v>
      </c>
      <c r="H1154" s="2" t="s">
        <v>183</v>
      </c>
      <c r="I1154">
        <v>35</v>
      </c>
      <c r="J1154" s="2" t="s">
        <v>677</v>
      </c>
      <c r="K1154" s="2" t="s">
        <v>175</v>
      </c>
      <c r="L1154" s="2" t="s">
        <v>176</v>
      </c>
      <c r="M1154" s="2" t="s">
        <v>177</v>
      </c>
      <c r="N1154" s="2" t="s">
        <v>178</v>
      </c>
      <c r="O1154" s="2" t="s">
        <v>179</v>
      </c>
      <c r="P1154" s="2" t="s">
        <v>180</v>
      </c>
      <c r="Q1154" s="2" t="s">
        <v>181</v>
      </c>
      <c r="R1154" s="2" t="s">
        <v>182</v>
      </c>
      <c r="S1154" s="2" t="s">
        <v>30</v>
      </c>
      <c r="T1154">
        <v>1713</v>
      </c>
      <c r="U1154">
        <f>VLOOKUP(Auto_Sales_data___Copy[[#This Row],[CUSTOMER_NAME]],$AF$2:$AH$90,2,FALSE)</f>
        <v>259</v>
      </c>
      <c r="V1154">
        <f>VLOOKUP(Auto_Sales_data___Copy[[#This Row],[CUSTOMER_NAME]],$AF$2:$AH$90,3,FALSE)</f>
        <v>912294.1100000001</v>
      </c>
      <c r="W1154" s="2">
        <f>6-MATCH(Auto_Sales_data___Copy[[#This Row],[DAYS_SINCE_LAST_ORDER]],Table2[R-Cutoff],1)</f>
        <v>3</v>
      </c>
      <c r="X1154" s="2">
        <f>MATCH(Auto_Sales_data___Copy[[#This Row],[Total_Orders_Per_Customer]],Table2[F-Cutoff],1)</f>
        <v>5</v>
      </c>
      <c r="Y1154" s="2">
        <f>MATCH(Auto_Sales_data___Copy[[#This Row],[Total_Sales_Per_Customer]],Table2[M-Cutoff],1)</f>
        <v>5</v>
      </c>
      <c r="Z1154" s="2" t="str">
        <f>Auto_Sales_data___Copy[[#This Row],[R-Score(1-5)]]&amp;Auto_Sales_data___Copy[[#This Row],[F-Score(1-5)]]&amp;Auto_Sales_data___Copy[[#This Row],[M-Score(1-5)]]</f>
        <v>355</v>
      </c>
      <c r="AA1154" s="2" t="str" cm="1">
        <f t="array" ref="AA11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4" s="2" t="str">
        <f>VLOOKUP(Auto_Sales_data___Copy[[#This Row],[Segment Name]],Table3[],2,FALSE)</f>
        <v>Reward &amp; Upsell</v>
      </c>
    </row>
    <row r="1155" spans="1:28" x14ac:dyDescent="0.25">
      <c r="A1155">
        <v>10100</v>
      </c>
      <c r="B1155">
        <v>50</v>
      </c>
      <c r="C1155">
        <v>67.8</v>
      </c>
      <c r="D1155">
        <v>2</v>
      </c>
      <c r="E1155">
        <v>3390</v>
      </c>
      <c r="F1155" s="1">
        <v>43106</v>
      </c>
      <c r="G1155" s="2" t="s">
        <v>19</v>
      </c>
      <c r="H1155" s="2" t="s">
        <v>589</v>
      </c>
      <c r="I1155">
        <v>60</v>
      </c>
      <c r="J1155" s="2" t="s">
        <v>632</v>
      </c>
      <c r="K1155" s="2" t="s">
        <v>290</v>
      </c>
      <c r="L1155" s="2" t="s">
        <v>291</v>
      </c>
      <c r="M1155" s="2" t="s">
        <v>292</v>
      </c>
      <c r="N1155" s="2" t="s">
        <v>293</v>
      </c>
      <c r="O1155" s="2" t="s">
        <v>294</v>
      </c>
      <c r="P1155" s="2" t="s">
        <v>27</v>
      </c>
      <c r="Q1155" s="2" t="s">
        <v>52</v>
      </c>
      <c r="R1155" s="2" t="s">
        <v>289</v>
      </c>
      <c r="S1155" s="2" t="s">
        <v>46</v>
      </c>
      <c r="T1155">
        <v>1529</v>
      </c>
      <c r="U1155">
        <f>VLOOKUP(Auto_Sales_data___Copy[[#This Row],[CUSTOMER_NAME]],$AF$2:$AH$90,2,FALSE)</f>
        <v>34</v>
      </c>
      <c r="V1155">
        <f>VLOOKUP(Auto_Sales_data___Copy[[#This Row],[CUSTOMER_NAME]],$AF$2:$AH$90,3,FALSE)</f>
        <v>131685.29999999999</v>
      </c>
      <c r="W1155" s="2">
        <f>6-MATCH(Auto_Sales_data___Copy[[#This Row],[DAYS_SINCE_LAST_ORDER]],Table2[R-Cutoff],1)</f>
        <v>3</v>
      </c>
      <c r="X1155" s="2">
        <f>MATCH(Auto_Sales_data___Copy[[#This Row],[Total_Orders_Per_Customer]],Table2[F-Cutoff],1)</f>
        <v>4</v>
      </c>
      <c r="Y1155" s="2">
        <f>MATCH(Auto_Sales_data___Copy[[#This Row],[Total_Sales_Per_Customer]],Table2[M-Cutoff],1)</f>
        <v>4</v>
      </c>
      <c r="Z1155" s="2" t="str">
        <f>Auto_Sales_data___Copy[[#This Row],[R-Score(1-5)]]&amp;Auto_Sales_data___Copy[[#This Row],[F-Score(1-5)]]&amp;Auto_Sales_data___Copy[[#This Row],[M-Score(1-5)]]</f>
        <v>344</v>
      </c>
      <c r="AA1155" s="2" t="str" cm="1">
        <f t="array" ref="AA11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5" s="2" t="str">
        <f>VLOOKUP(Auto_Sales_data___Copy[[#This Row],[Segment Name]],Table3[],2,FALSE)</f>
        <v>Reward &amp; Upsell</v>
      </c>
    </row>
    <row r="1156" spans="1:28" x14ac:dyDescent="0.25">
      <c r="A1156">
        <v>10103</v>
      </c>
      <c r="B1156">
        <v>22</v>
      </c>
      <c r="C1156">
        <v>54.09</v>
      </c>
      <c r="D1156">
        <v>2</v>
      </c>
      <c r="E1156">
        <v>1189.98</v>
      </c>
      <c r="F1156" s="1">
        <v>43129</v>
      </c>
      <c r="G1156" s="2" t="s">
        <v>19</v>
      </c>
      <c r="H1156" s="2" t="s">
        <v>537</v>
      </c>
      <c r="I1156">
        <v>60</v>
      </c>
      <c r="J1156" s="2" t="s">
        <v>635</v>
      </c>
      <c r="K1156" s="2" t="s">
        <v>130</v>
      </c>
      <c r="L1156" s="2" t="s">
        <v>131</v>
      </c>
      <c r="M1156" s="2" t="s">
        <v>132</v>
      </c>
      <c r="N1156" s="2" t="s">
        <v>133</v>
      </c>
      <c r="O1156" s="2" t="s">
        <v>134</v>
      </c>
      <c r="P1156" s="2" t="s">
        <v>73</v>
      </c>
      <c r="Q1156" s="2" t="s">
        <v>135</v>
      </c>
      <c r="R1156" s="2" t="s">
        <v>136</v>
      </c>
      <c r="S1156" s="2" t="s">
        <v>30</v>
      </c>
      <c r="T1156">
        <v>1577</v>
      </c>
      <c r="U1156">
        <f>VLOOKUP(Auto_Sales_data___Copy[[#This Row],[CUSTOMER_NAME]],$AF$2:$AH$90,2,FALSE)</f>
        <v>32</v>
      </c>
      <c r="V1156">
        <f>VLOOKUP(Auto_Sales_data___Copy[[#This Row],[CUSTOMER_NAME]],$AF$2:$AH$90,3,FALSE)</f>
        <v>116599.18999999999</v>
      </c>
      <c r="W1156" s="2">
        <f>6-MATCH(Auto_Sales_data___Copy[[#This Row],[DAYS_SINCE_LAST_ORDER]],Table2[R-Cutoff],1)</f>
        <v>3</v>
      </c>
      <c r="X1156" s="2">
        <f>MATCH(Auto_Sales_data___Copy[[#This Row],[Total_Orders_Per_Customer]],Table2[F-Cutoff],1)</f>
        <v>4</v>
      </c>
      <c r="Y1156" s="2">
        <f>MATCH(Auto_Sales_data___Copy[[#This Row],[Total_Sales_Per_Customer]],Table2[M-Cutoff],1)</f>
        <v>4</v>
      </c>
      <c r="Z1156" s="2" t="str">
        <f>Auto_Sales_data___Copy[[#This Row],[R-Score(1-5)]]&amp;Auto_Sales_data___Copy[[#This Row],[F-Score(1-5)]]&amp;Auto_Sales_data___Copy[[#This Row],[M-Score(1-5)]]</f>
        <v>344</v>
      </c>
      <c r="AA1156" s="2" t="str" cm="1">
        <f t="array" ref="AA11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6" s="2" t="str">
        <f>VLOOKUP(Auto_Sales_data___Copy[[#This Row],[Segment Name]],Table3[],2,FALSE)</f>
        <v>Reward &amp; Upsell</v>
      </c>
    </row>
    <row r="1157" spans="1:28" x14ac:dyDescent="0.25">
      <c r="A1157">
        <v>10103</v>
      </c>
      <c r="B1157">
        <v>27</v>
      </c>
      <c r="C1157">
        <v>83.07</v>
      </c>
      <c r="D1157">
        <v>12</v>
      </c>
      <c r="E1157">
        <v>2242.89</v>
      </c>
      <c r="F1157" s="1">
        <v>43129</v>
      </c>
      <c r="G1157" s="2" t="s">
        <v>19</v>
      </c>
      <c r="H1157" s="2" t="s">
        <v>589</v>
      </c>
      <c r="I1157">
        <v>101</v>
      </c>
      <c r="J1157" s="2" t="s">
        <v>640</v>
      </c>
      <c r="K1157" s="2" t="s">
        <v>130</v>
      </c>
      <c r="L1157" s="2" t="s">
        <v>131</v>
      </c>
      <c r="M1157" s="2" t="s">
        <v>132</v>
      </c>
      <c r="N1157" s="2" t="s">
        <v>133</v>
      </c>
      <c r="O1157" s="2" t="s">
        <v>134</v>
      </c>
      <c r="P1157" s="2" t="s">
        <v>73</v>
      </c>
      <c r="Q1157" s="2" t="s">
        <v>135</v>
      </c>
      <c r="R1157" s="2" t="s">
        <v>136</v>
      </c>
      <c r="S1157" s="2" t="s">
        <v>30</v>
      </c>
      <c r="T1157">
        <v>1701</v>
      </c>
      <c r="U1157">
        <f>VLOOKUP(Auto_Sales_data___Copy[[#This Row],[CUSTOMER_NAME]],$AF$2:$AH$90,2,FALSE)</f>
        <v>32</v>
      </c>
      <c r="V1157">
        <f>VLOOKUP(Auto_Sales_data___Copy[[#This Row],[CUSTOMER_NAME]],$AF$2:$AH$90,3,FALSE)</f>
        <v>116599.18999999999</v>
      </c>
      <c r="W1157" s="2">
        <f>6-MATCH(Auto_Sales_data___Copy[[#This Row],[DAYS_SINCE_LAST_ORDER]],Table2[R-Cutoff],1)</f>
        <v>3</v>
      </c>
      <c r="X1157" s="2">
        <f>MATCH(Auto_Sales_data___Copy[[#This Row],[Total_Orders_Per_Customer]],Table2[F-Cutoff],1)</f>
        <v>4</v>
      </c>
      <c r="Y1157" s="2">
        <f>MATCH(Auto_Sales_data___Copy[[#This Row],[Total_Sales_Per_Customer]],Table2[M-Cutoff],1)</f>
        <v>4</v>
      </c>
      <c r="Z1157" s="2" t="str">
        <f>Auto_Sales_data___Copy[[#This Row],[R-Score(1-5)]]&amp;Auto_Sales_data___Copy[[#This Row],[F-Score(1-5)]]&amp;Auto_Sales_data___Copy[[#This Row],[M-Score(1-5)]]</f>
        <v>344</v>
      </c>
      <c r="AA1157" s="2" t="str" cm="1">
        <f t="array" ref="AA11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7" s="2" t="str">
        <f>VLOOKUP(Auto_Sales_data___Copy[[#This Row],[Segment Name]],Table3[],2,FALSE)</f>
        <v>Reward &amp; Upsell</v>
      </c>
    </row>
    <row r="1158" spans="1:28" x14ac:dyDescent="0.25">
      <c r="A1158">
        <v>10103</v>
      </c>
      <c r="B1158">
        <v>35</v>
      </c>
      <c r="C1158">
        <v>57.46</v>
      </c>
      <c r="D1158">
        <v>14</v>
      </c>
      <c r="E1158">
        <v>2011.1</v>
      </c>
      <c r="F1158" s="1">
        <v>43129</v>
      </c>
      <c r="G1158" s="2" t="s">
        <v>19</v>
      </c>
      <c r="H1158" s="2" t="s">
        <v>589</v>
      </c>
      <c r="I1158">
        <v>62</v>
      </c>
      <c r="J1158" s="2" t="s">
        <v>641</v>
      </c>
      <c r="K1158" s="2" t="s">
        <v>130</v>
      </c>
      <c r="L1158" s="2" t="s">
        <v>131</v>
      </c>
      <c r="M1158" s="2" t="s">
        <v>132</v>
      </c>
      <c r="N1158" s="2" t="s">
        <v>133</v>
      </c>
      <c r="O1158" s="2" t="s">
        <v>134</v>
      </c>
      <c r="P1158" s="2" t="s">
        <v>73</v>
      </c>
      <c r="Q1158" s="2" t="s">
        <v>135</v>
      </c>
      <c r="R1158" s="2" t="s">
        <v>136</v>
      </c>
      <c r="S1158" s="2" t="s">
        <v>30</v>
      </c>
      <c r="T1158">
        <v>1726</v>
      </c>
      <c r="U1158">
        <f>VLOOKUP(Auto_Sales_data___Copy[[#This Row],[CUSTOMER_NAME]],$AF$2:$AH$90,2,FALSE)</f>
        <v>32</v>
      </c>
      <c r="V1158">
        <f>VLOOKUP(Auto_Sales_data___Copy[[#This Row],[CUSTOMER_NAME]],$AF$2:$AH$90,3,FALSE)</f>
        <v>116599.18999999999</v>
      </c>
      <c r="W1158" s="2">
        <f>6-MATCH(Auto_Sales_data___Copy[[#This Row],[DAYS_SINCE_LAST_ORDER]],Table2[R-Cutoff],1)</f>
        <v>3</v>
      </c>
      <c r="X1158" s="2">
        <f>MATCH(Auto_Sales_data___Copy[[#This Row],[Total_Orders_Per_Customer]],Table2[F-Cutoff],1)</f>
        <v>4</v>
      </c>
      <c r="Y1158" s="2">
        <f>MATCH(Auto_Sales_data___Copy[[#This Row],[Total_Sales_Per_Customer]],Table2[M-Cutoff],1)</f>
        <v>4</v>
      </c>
      <c r="Z1158" s="2" t="str">
        <f>Auto_Sales_data___Copy[[#This Row],[R-Score(1-5)]]&amp;Auto_Sales_data___Copy[[#This Row],[F-Score(1-5)]]&amp;Auto_Sales_data___Copy[[#This Row],[M-Score(1-5)]]</f>
        <v>344</v>
      </c>
      <c r="AA1158" s="2" t="str" cm="1">
        <f t="array" ref="AA11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8" s="2" t="str">
        <f>VLOOKUP(Auto_Sales_data___Copy[[#This Row],[Segment Name]],Table3[],2,FALSE)</f>
        <v>Reward &amp; Upsell</v>
      </c>
    </row>
    <row r="1159" spans="1:28" x14ac:dyDescent="0.25">
      <c r="A1159">
        <v>10103</v>
      </c>
      <c r="B1159">
        <v>25</v>
      </c>
      <c r="C1159">
        <v>101.58</v>
      </c>
      <c r="D1159">
        <v>13</v>
      </c>
      <c r="E1159">
        <v>2539.5</v>
      </c>
      <c r="F1159" s="1">
        <v>43129</v>
      </c>
      <c r="G1159" s="2" t="s">
        <v>19</v>
      </c>
      <c r="H1159" s="2" t="s">
        <v>589</v>
      </c>
      <c r="I1159">
        <v>104</v>
      </c>
      <c r="J1159" s="2" t="s">
        <v>647</v>
      </c>
      <c r="K1159" s="2" t="s">
        <v>130</v>
      </c>
      <c r="L1159" s="2" t="s">
        <v>131</v>
      </c>
      <c r="M1159" s="2" t="s">
        <v>132</v>
      </c>
      <c r="N1159" s="2" t="s">
        <v>133</v>
      </c>
      <c r="O1159" s="2" t="s">
        <v>134</v>
      </c>
      <c r="P1159" s="2" t="s">
        <v>73</v>
      </c>
      <c r="Q1159" s="2" t="s">
        <v>135</v>
      </c>
      <c r="R1159" s="2" t="s">
        <v>136</v>
      </c>
      <c r="S1159" s="2" t="s">
        <v>30</v>
      </c>
      <c r="T1159">
        <v>1776</v>
      </c>
      <c r="U1159">
        <f>VLOOKUP(Auto_Sales_data___Copy[[#This Row],[CUSTOMER_NAME]],$AF$2:$AH$90,2,FALSE)</f>
        <v>32</v>
      </c>
      <c r="V1159">
        <f>VLOOKUP(Auto_Sales_data___Copy[[#This Row],[CUSTOMER_NAME]],$AF$2:$AH$90,3,FALSE)</f>
        <v>116599.18999999999</v>
      </c>
      <c r="W1159" s="2">
        <f>6-MATCH(Auto_Sales_data___Copy[[#This Row],[DAYS_SINCE_LAST_ORDER]],Table2[R-Cutoff],1)</f>
        <v>3</v>
      </c>
      <c r="X1159" s="2">
        <f>MATCH(Auto_Sales_data___Copy[[#This Row],[Total_Orders_Per_Customer]],Table2[F-Cutoff],1)</f>
        <v>4</v>
      </c>
      <c r="Y1159" s="2">
        <f>MATCH(Auto_Sales_data___Copy[[#This Row],[Total_Sales_Per_Customer]],Table2[M-Cutoff],1)</f>
        <v>4</v>
      </c>
      <c r="Z1159" s="2" t="str">
        <f>Auto_Sales_data___Copy[[#This Row],[R-Score(1-5)]]&amp;Auto_Sales_data___Copy[[#This Row],[F-Score(1-5)]]&amp;Auto_Sales_data___Copy[[#This Row],[M-Score(1-5)]]</f>
        <v>344</v>
      </c>
      <c r="AA1159" s="2" t="str" cm="1">
        <f t="array" ref="AA11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9" s="2" t="str">
        <f>VLOOKUP(Auto_Sales_data___Copy[[#This Row],[Segment Name]],Table3[],2,FALSE)</f>
        <v>Reward &amp; Upsell</v>
      </c>
    </row>
    <row r="1160" spans="1:28" x14ac:dyDescent="0.25">
      <c r="A1160">
        <v>10103</v>
      </c>
      <c r="B1160">
        <v>46</v>
      </c>
      <c r="C1160">
        <v>104.17</v>
      </c>
      <c r="D1160">
        <v>16</v>
      </c>
      <c r="E1160">
        <v>4791.82</v>
      </c>
      <c r="F1160" s="1">
        <v>43129</v>
      </c>
      <c r="G1160" s="2" t="s">
        <v>19</v>
      </c>
      <c r="H1160" s="2" t="s">
        <v>589</v>
      </c>
      <c r="I1160">
        <v>99</v>
      </c>
      <c r="J1160" s="2" t="s">
        <v>653</v>
      </c>
      <c r="K1160" s="2" t="s">
        <v>130</v>
      </c>
      <c r="L1160" s="2" t="s">
        <v>131</v>
      </c>
      <c r="M1160" s="2" t="s">
        <v>132</v>
      </c>
      <c r="N1160" s="2" t="s">
        <v>133</v>
      </c>
      <c r="O1160" s="2" t="s">
        <v>134</v>
      </c>
      <c r="P1160" s="2" t="s">
        <v>73</v>
      </c>
      <c r="Q1160" s="2" t="s">
        <v>135</v>
      </c>
      <c r="R1160" s="2" t="s">
        <v>136</v>
      </c>
      <c r="S1160" s="2" t="s">
        <v>46</v>
      </c>
      <c r="T1160">
        <v>1925</v>
      </c>
      <c r="U1160">
        <f>VLOOKUP(Auto_Sales_data___Copy[[#This Row],[CUSTOMER_NAME]],$AF$2:$AH$90,2,FALSE)</f>
        <v>32</v>
      </c>
      <c r="V1160">
        <f>VLOOKUP(Auto_Sales_data___Copy[[#This Row],[CUSTOMER_NAME]],$AF$2:$AH$90,3,FALSE)</f>
        <v>116599.18999999999</v>
      </c>
      <c r="W1160" s="2">
        <f>6-MATCH(Auto_Sales_data___Copy[[#This Row],[DAYS_SINCE_LAST_ORDER]],Table2[R-Cutoff],1)</f>
        <v>3</v>
      </c>
      <c r="X1160" s="2">
        <f>MATCH(Auto_Sales_data___Copy[[#This Row],[Total_Orders_Per_Customer]],Table2[F-Cutoff],1)</f>
        <v>4</v>
      </c>
      <c r="Y1160" s="2">
        <f>MATCH(Auto_Sales_data___Copy[[#This Row],[Total_Sales_Per_Customer]],Table2[M-Cutoff],1)</f>
        <v>4</v>
      </c>
      <c r="Z1160" s="2" t="str">
        <f>Auto_Sales_data___Copy[[#This Row],[R-Score(1-5)]]&amp;Auto_Sales_data___Copy[[#This Row],[F-Score(1-5)]]&amp;Auto_Sales_data___Copy[[#This Row],[M-Score(1-5)]]</f>
        <v>344</v>
      </c>
      <c r="AA1160" s="2" t="str" cm="1">
        <f t="array" ref="AA11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0" s="2" t="str">
        <f>VLOOKUP(Auto_Sales_data___Copy[[#This Row],[Segment Name]],Table3[],2,FALSE)</f>
        <v>Reward &amp; Upsell</v>
      </c>
    </row>
    <row r="1161" spans="1:28" x14ac:dyDescent="0.25">
      <c r="A1161">
        <v>10105</v>
      </c>
      <c r="B1161">
        <v>22</v>
      </c>
      <c r="C1161">
        <v>139.32</v>
      </c>
      <c r="D1161">
        <v>11</v>
      </c>
      <c r="E1161">
        <v>3065.04</v>
      </c>
      <c r="F1161" s="1">
        <v>43142</v>
      </c>
      <c r="G1161" s="2" t="s">
        <v>19</v>
      </c>
      <c r="H1161" s="2" t="s">
        <v>589</v>
      </c>
      <c r="I1161">
        <v>136</v>
      </c>
      <c r="J1161" s="2" t="s">
        <v>648</v>
      </c>
      <c r="K1161" s="2" t="s">
        <v>339</v>
      </c>
      <c r="L1161" s="2" t="s">
        <v>340</v>
      </c>
      <c r="M1161" s="2" t="s">
        <v>341</v>
      </c>
      <c r="N1161" s="2" t="s">
        <v>342</v>
      </c>
      <c r="O1161" s="2" t="s">
        <v>343</v>
      </c>
      <c r="P1161" s="2" t="s">
        <v>344</v>
      </c>
      <c r="Q1161" s="2" t="s">
        <v>345</v>
      </c>
      <c r="R1161" s="2" t="s">
        <v>346</v>
      </c>
      <c r="S1161" s="2" t="s">
        <v>46</v>
      </c>
      <c r="T1161">
        <v>1788</v>
      </c>
      <c r="U1161">
        <f>VLOOKUP(Auto_Sales_data___Copy[[#This Row],[CUSTOMER_NAME]],$AF$2:$AH$90,2,FALSE)</f>
        <v>36</v>
      </c>
      <c r="V1161">
        <f>VLOOKUP(Auto_Sales_data___Copy[[#This Row],[CUSTOMER_NAME]],$AF$2:$AH$90,3,FALSE)</f>
        <v>145041.60000000001</v>
      </c>
      <c r="W1161" s="2">
        <f>6-MATCH(Auto_Sales_data___Copy[[#This Row],[DAYS_SINCE_LAST_ORDER]],Table2[R-Cutoff],1)</f>
        <v>3</v>
      </c>
      <c r="X1161" s="2">
        <f>MATCH(Auto_Sales_data___Copy[[#This Row],[Total_Orders_Per_Customer]],Table2[F-Cutoff],1)</f>
        <v>4</v>
      </c>
      <c r="Y1161" s="2">
        <f>MATCH(Auto_Sales_data___Copy[[#This Row],[Total_Sales_Per_Customer]],Table2[M-Cutoff],1)</f>
        <v>4</v>
      </c>
      <c r="Z1161" s="2" t="str">
        <f>Auto_Sales_data___Copy[[#This Row],[R-Score(1-5)]]&amp;Auto_Sales_data___Copy[[#This Row],[F-Score(1-5)]]&amp;Auto_Sales_data___Copy[[#This Row],[M-Score(1-5)]]</f>
        <v>344</v>
      </c>
      <c r="AA1161" s="2" t="str" cm="1">
        <f t="array" ref="AA11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1" s="2" t="str">
        <f>VLOOKUP(Auto_Sales_data___Copy[[#This Row],[Segment Name]],Table3[],2,FALSE)</f>
        <v>Reward &amp; Upsell</v>
      </c>
    </row>
    <row r="1162" spans="1:28" x14ac:dyDescent="0.25">
      <c r="A1162">
        <v>10105</v>
      </c>
      <c r="B1162">
        <v>38</v>
      </c>
      <c r="C1162">
        <v>113.95</v>
      </c>
      <c r="D1162">
        <v>13</v>
      </c>
      <c r="E1162">
        <v>4330.1000000000004</v>
      </c>
      <c r="F1162" s="1">
        <v>43142</v>
      </c>
      <c r="G1162" s="2" t="s">
        <v>19</v>
      </c>
      <c r="H1162" s="2" t="s">
        <v>650</v>
      </c>
      <c r="I1162">
        <v>100</v>
      </c>
      <c r="J1162" s="2" t="s">
        <v>651</v>
      </c>
      <c r="K1162" s="2" t="s">
        <v>339</v>
      </c>
      <c r="L1162" s="2" t="s">
        <v>340</v>
      </c>
      <c r="M1162" s="2" t="s">
        <v>341</v>
      </c>
      <c r="N1162" s="2" t="s">
        <v>342</v>
      </c>
      <c r="O1162" s="2" t="s">
        <v>343</v>
      </c>
      <c r="P1162" s="2" t="s">
        <v>344</v>
      </c>
      <c r="Q1162" s="2" t="s">
        <v>345</v>
      </c>
      <c r="R1162" s="2" t="s">
        <v>346</v>
      </c>
      <c r="S1162" s="2" t="s">
        <v>46</v>
      </c>
      <c r="T1162">
        <v>1864</v>
      </c>
      <c r="U1162">
        <f>VLOOKUP(Auto_Sales_data___Copy[[#This Row],[CUSTOMER_NAME]],$AF$2:$AH$90,2,FALSE)</f>
        <v>36</v>
      </c>
      <c r="V1162">
        <f>VLOOKUP(Auto_Sales_data___Copy[[#This Row],[CUSTOMER_NAME]],$AF$2:$AH$90,3,FALSE)</f>
        <v>145041.60000000001</v>
      </c>
      <c r="W1162" s="2">
        <f>6-MATCH(Auto_Sales_data___Copy[[#This Row],[DAYS_SINCE_LAST_ORDER]],Table2[R-Cutoff],1)</f>
        <v>3</v>
      </c>
      <c r="X1162" s="2">
        <f>MATCH(Auto_Sales_data___Copy[[#This Row],[Total_Orders_Per_Customer]],Table2[F-Cutoff],1)</f>
        <v>4</v>
      </c>
      <c r="Y1162" s="2">
        <f>MATCH(Auto_Sales_data___Copy[[#This Row],[Total_Sales_Per_Customer]],Table2[M-Cutoff],1)</f>
        <v>4</v>
      </c>
      <c r="Z1162" s="2" t="str">
        <f>Auto_Sales_data___Copy[[#This Row],[R-Score(1-5)]]&amp;Auto_Sales_data___Copy[[#This Row],[F-Score(1-5)]]&amp;Auto_Sales_data___Copy[[#This Row],[M-Score(1-5)]]</f>
        <v>344</v>
      </c>
      <c r="AA1162" s="2" t="str" cm="1">
        <f t="array" ref="AA11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2" s="2" t="str">
        <f>VLOOKUP(Auto_Sales_data___Copy[[#This Row],[Segment Name]],Table3[],2,FALSE)</f>
        <v>Reward &amp; Upsell</v>
      </c>
    </row>
    <row r="1163" spans="1:28" x14ac:dyDescent="0.25">
      <c r="A1163">
        <v>10106</v>
      </c>
      <c r="B1163">
        <v>34</v>
      </c>
      <c r="C1163">
        <v>90.39</v>
      </c>
      <c r="D1163">
        <v>2</v>
      </c>
      <c r="E1163">
        <v>3073.26</v>
      </c>
      <c r="F1163" s="1">
        <v>43148</v>
      </c>
      <c r="G1163" s="2" t="s">
        <v>19</v>
      </c>
      <c r="H1163" s="2" t="s">
        <v>607</v>
      </c>
      <c r="I1163">
        <v>84</v>
      </c>
      <c r="J1163" s="2" t="s">
        <v>636</v>
      </c>
      <c r="K1163" s="2" t="s">
        <v>591</v>
      </c>
      <c r="L1163" s="2" t="s">
        <v>592</v>
      </c>
      <c r="M1163" s="2" t="s">
        <v>593</v>
      </c>
      <c r="N1163" s="2" t="s">
        <v>594</v>
      </c>
      <c r="O1163" s="2" t="s">
        <v>595</v>
      </c>
      <c r="P1163" s="2" t="s">
        <v>269</v>
      </c>
      <c r="Q1163" s="2" t="s">
        <v>596</v>
      </c>
      <c r="R1163" s="2" t="s">
        <v>597</v>
      </c>
      <c r="S1163" s="2" t="s">
        <v>46</v>
      </c>
      <c r="T1163">
        <v>1585</v>
      </c>
      <c r="U1163">
        <f>VLOOKUP(Auto_Sales_data___Copy[[#This Row],[CUSTOMER_NAME]],$AF$2:$AH$90,2,FALSE)</f>
        <v>48</v>
      </c>
      <c r="V1163">
        <f>VLOOKUP(Auto_Sales_data___Copy[[#This Row],[CUSTOMER_NAME]],$AF$2:$AH$90,3,FALSE)</f>
        <v>137955.72</v>
      </c>
      <c r="W1163" s="2">
        <f>6-MATCH(Auto_Sales_data___Copy[[#This Row],[DAYS_SINCE_LAST_ORDER]],Table2[R-Cutoff],1)</f>
        <v>3</v>
      </c>
      <c r="X1163" s="2">
        <f>MATCH(Auto_Sales_data___Copy[[#This Row],[Total_Orders_Per_Customer]],Table2[F-Cutoff],1)</f>
        <v>4</v>
      </c>
      <c r="Y1163" s="2">
        <f>MATCH(Auto_Sales_data___Copy[[#This Row],[Total_Sales_Per_Customer]],Table2[M-Cutoff],1)</f>
        <v>4</v>
      </c>
      <c r="Z1163" s="2" t="str">
        <f>Auto_Sales_data___Copy[[#This Row],[R-Score(1-5)]]&amp;Auto_Sales_data___Copy[[#This Row],[F-Score(1-5)]]&amp;Auto_Sales_data___Copy[[#This Row],[M-Score(1-5)]]</f>
        <v>344</v>
      </c>
      <c r="AA1163" s="2" t="str" cm="1">
        <f t="array" ref="AA11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3" s="2" t="str">
        <f>VLOOKUP(Auto_Sales_data___Copy[[#This Row],[Segment Name]],Table3[],2,FALSE)</f>
        <v>Reward &amp; Upsell</v>
      </c>
    </row>
    <row r="1164" spans="1:28" x14ac:dyDescent="0.25">
      <c r="A1164">
        <v>10106</v>
      </c>
      <c r="B1164">
        <v>41</v>
      </c>
      <c r="C1164">
        <v>83.44</v>
      </c>
      <c r="D1164">
        <v>18</v>
      </c>
      <c r="E1164">
        <v>3421.04</v>
      </c>
      <c r="F1164" s="1">
        <v>43148</v>
      </c>
      <c r="G1164" s="2" t="s">
        <v>19</v>
      </c>
      <c r="H1164" s="2" t="s">
        <v>642</v>
      </c>
      <c r="I1164">
        <v>86</v>
      </c>
      <c r="J1164" s="2" t="s">
        <v>643</v>
      </c>
      <c r="K1164" s="2" t="s">
        <v>591</v>
      </c>
      <c r="L1164" s="2" t="s">
        <v>592</v>
      </c>
      <c r="M1164" s="2" t="s">
        <v>593</v>
      </c>
      <c r="N1164" s="2" t="s">
        <v>594</v>
      </c>
      <c r="O1164" s="2" t="s">
        <v>595</v>
      </c>
      <c r="P1164" s="2" t="s">
        <v>269</v>
      </c>
      <c r="Q1164" s="2" t="s">
        <v>596</v>
      </c>
      <c r="R1164" s="2" t="s">
        <v>597</v>
      </c>
      <c r="S1164" s="2" t="s">
        <v>46</v>
      </c>
      <c r="T1164">
        <v>1732</v>
      </c>
      <c r="U1164">
        <f>VLOOKUP(Auto_Sales_data___Copy[[#This Row],[CUSTOMER_NAME]],$AF$2:$AH$90,2,FALSE)</f>
        <v>48</v>
      </c>
      <c r="V1164">
        <f>VLOOKUP(Auto_Sales_data___Copy[[#This Row],[CUSTOMER_NAME]],$AF$2:$AH$90,3,FALSE)</f>
        <v>137955.72</v>
      </c>
      <c r="W1164" s="2">
        <f>6-MATCH(Auto_Sales_data___Copy[[#This Row],[DAYS_SINCE_LAST_ORDER]],Table2[R-Cutoff],1)</f>
        <v>3</v>
      </c>
      <c r="X1164" s="2">
        <f>MATCH(Auto_Sales_data___Copy[[#This Row],[Total_Orders_Per_Customer]],Table2[F-Cutoff],1)</f>
        <v>4</v>
      </c>
      <c r="Y1164" s="2">
        <f>MATCH(Auto_Sales_data___Copy[[#This Row],[Total_Sales_Per_Customer]],Table2[M-Cutoff],1)</f>
        <v>4</v>
      </c>
      <c r="Z1164" s="2" t="str">
        <f>Auto_Sales_data___Copy[[#This Row],[R-Score(1-5)]]&amp;Auto_Sales_data___Copy[[#This Row],[F-Score(1-5)]]&amp;Auto_Sales_data___Copy[[#This Row],[M-Score(1-5)]]</f>
        <v>344</v>
      </c>
      <c r="AA1164" s="2" t="str" cm="1">
        <f t="array" ref="AA11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4" s="2" t="str">
        <f>VLOOKUP(Auto_Sales_data___Copy[[#This Row],[Segment Name]],Table3[],2,FALSE)</f>
        <v>Reward &amp; Upsell</v>
      </c>
    </row>
    <row r="1165" spans="1:28" x14ac:dyDescent="0.25">
      <c r="A1165">
        <v>10106</v>
      </c>
      <c r="B1165">
        <v>41</v>
      </c>
      <c r="C1165">
        <v>116.46</v>
      </c>
      <c r="D1165">
        <v>17</v>
      </c>
      <c r="E1165">
        <v>4774.8599999999997</v>
      </c>
      <c r="F1165" s="1">
        <v>43148</v>
      </c>
      <c r="G1165" s="2" t="s">
        <v>19</v>
      </c>
      <c r="H1165" s="2" t="s">
        <v>589</v>
      </c>
      <c r="I1165">
        <v>105</v>
      </c>
      <c r="J1165" s="2" t="s">
        <v>657</v>
      </c>
      <c r="K1165" s="2" t="s">
        <v>591</v>
      </c>
      <c r="L1165" s="2" t="s">
        <v>592</v>
      </c>
      <c r="M1165" s="2" t="s">
        <v>593</v>
      </c>
      <c r="N1165" s="2" t="s">
        <v>594</v>
      </c>
      <c r="O1165" s="2" t="s">
        <v>595</v>
      </c>
      <c r="P1165" s="2" t="s">
        <v>269</v>
      </c>
      <c r="Q1165" s="2" t="s">
        <v>596</v>
      </c>
      <c r="R1165" s="2" t="s">
        <v>597</v>
      </c>
      <c r="S1165" s="2" t="s">
        <v>46</v>
      </c>
      <c r="T1165">
        <v>2003</v>
      </c>
      <c r="U1165">
        <f>VLOOKUP(Auto_Sales_data___Copy[[#This Row],[CUSTOMER_NAME]],$AF$2:$AH$90,2,FALSE)</f>
        <v>48</v>
      </c>
      <c r="V1165">
        <f>VLOOKUP(Auto_Sales_data___Copy[[#This Row],[CUSTOMER_NAME]],$AF$2:$AH$90,3,FALSE)</f>
        <v>137955.72</v>
      </c>
      <c r="W1165" s="2">
        <f>6-MATCH(Auto_Sales_data___Copy[[#This Row],[DAYS_SINCE_LAST_ORDER]],Table2[R-Cutoff],1)</f>
        <v>3</v>
      </c>
      <c r="X1165" s="2">
        <f>MATCH(Auto_Sales_data___Copy[[#This Row],[Total_Orders_Per_Customer]],Table2[F-Cutoff],1)</f>
        <v>4</v>
      </c>
      <c r="Y1165" s="2">
        <f>MATCH(Auto_Sales_data___Copy[[#This Row],[Total_Sales_Per_Customer]],Table2[M-Cutoff],1)</f>
        <v>4</v>
      </c>
      <c r="Z1165" s="2" t="str">
        <f>Auto_Sales_data___Copy[[#This Row],[R-Score(1-5)]]&amp;Auto_Sales_data___Copy[[#This Row],[F-Score(1-5)]]&amp;Auto_Sales_data___Copy[[#This Row],[M-Score(1-5)]]</f>
        <v>344</v>
      </c>
      <c r="AA1165" s="2" t="str" cm="1">
        <f t="array" ref="AA11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5" s="2" t="str">
        <f>VLOOKUP(Auto_Sales_data___Copy[[#This Row],[Segment Name]],Table3[],2,FALSE)</f>
        <v>Reward &amp; Upsell</v>
      </c>
    </row>
    <row r="1166" spans="1:28" x14ac:dyDescent="0.25">
      <c r="A1166">
        <v>10107</v>
      </c>
      <c r="B1166">
        <v>29</v>
      </c>
      <c r="C1166">
        <v>70.87</v>
      </c>
      <c r="D1166">
        <v>6</v>
      </c>
      <c r="E1166">
        <v>2055.23</v>
      </c>
      <c r="F1166" s="1">
        <v>43155</v>
      </c>
      <c r="G1166" s="2" t="s">
        <v>19</v>
      </c>
      <c r="H1166" s="2" t="s">
        <v>20</v>
      </c>
      <c r="I1166">
        <v>60</v>
      </c>
      <c r="J1166" s="2" t="s">
        <v>637</v>
      </c>
      <c r="K1166" s="2" t="s">
        <v>22</v>
      </c>
      <c r="L1166" s="2" t="s">
        <v>23</v>
      </c>
      <c r="M1166" s="2" t="s">
        <v>24</v>
      </c>
      <c r="N1166" s="2" t="s">
        <v>25</v>
      </c>
      <c r="O1166" s="2" t="s">
        <v>26</v>
      </c>
      <c r="P1166" s="2" t="s">
        <v>27</v>
      </c>
      <c r="Q1166" s="2" t="s">
        <v>28</v>
      </c>
      <c r="R1166" s="2" t="s">
        <v>29</v>
      </c>
      <c r="S1166" s="2" t="s">
        <v>30</v>
      </c>
      <c r="T1166">
        <v>1601</v>
      </c>
      <c r="U1166">
        <f>VLOOKUP(Auto_Sales_data___Copy[[#This Row],[CUSTOMER_NAME]],$AF$2:$AH$90,2,FALSE)</f>
        <v>49</v>
      </c>
      <c r="V1166">
        <f>VLOOKUP(Auto_Sales_data___Copy[[#This Row],[CUSTOMER_NAME]],$AF$2:$AH$90,3,FALSE)</f>
        <v>164069.43999999997</v>
      </c>
      <c r="W1166" s="2">
        <f>6-MATCH(Auto_Sales_data___Copy[[#This Row],[DAYS_SINCE_LAST_ORDER]],Table2[R-Cutoff],1)</f>
        <v>3</v>
      </c>
      <c r="X1166" s="2">
        <f>MATCH(Auto_Sales_data___Copy[[#This Row],[Total_Orders_Per_Customer]],Table2[F-Cutoff],1)</f>
        <v>4</v>
      </c>
      <c r="Y1166" s="2">
        <f>MATCH(Auto_Sales_data___Copy[[#This Row],[Total_Sales_Per_Customer]],Table2[M-Cutoff],1)</f>
        <v>4</v>
      </c>
      <c r="Z1166" s="2" t="str">
        <f>Auto_Sales_data___Copy[[#This Row],[R-Score(1-5)]]&amp;Auto_Sales_data___Copy[[#This Row],[F-Score(1-5)]]&amp;Auto_Sales_data___Copy[[#This Row],[M-Score(1-5)]]</f>
        <v>344</v>
      </c>
      <c r="AA1166" s="2" t="str" cm="1">
        <f t="array" ref="AA11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6" s="2" t="str">
        <f>VLOOKUP(Auto_Sales_data___Copy[[#This Row],[Segment Name]],Table3[],2,FALSE)</f>
        <v>Reward &amp; Upsell</v>
      </c>
    </row>
    <row r="1167" spans="1:28" x14ac:dyDescent="0.25">
      <c r="A1167">
        <v>10110</v>
      </c>
      <c r="B1167">
        <v>33</v>
      </c>
      <c r="C1167">
        <v>116.96</v>
      </c>
      <c r="D1167">
        <v>4</v>
      </c>
      <c r="E1167">
        <v>3859.68</v>
      </c>
      <c r="F1167" s="1">
        <v>43177</v>
      </c>
      <c r="G1167" s="2" t="s">
        <v>19</v>
      </c>
      <c r="H1167" s="2" t="s">
        <v>589</v>
      </c>
      <c r="I1167">
        <v>127</v>
      </c>
      <c r="J1167" s="2" t="s">
        <v>634</v>
      </c>
      <c r="K1167" s="2" t="s">
        <v>523</v>
      </c>
      <c r="L1167" s="2" t="s">
        <v>524</v>
      </c>
      <c r="M1167" s="2" t="s">
        <v>525</v>
      </c>
      <c r="N1167" s="2" t="s">
        <v>526</v>
      </c>
      <c r="O1167" s="2" t="s">
        <v>527</v>
      </c>
      <c r="P1167" s="2" t="s">
        <v>171</v>
      </c>
      <c r="Q1167" s="2" t="s">
        <v>528</v>
      </c>
      <c r="R1167" s="2" t="s">
        <v>529</v>
      </c>
      <c r="S1167" s="2" t="s">
        <v>46</v>
      </c>
      <c r="T1167">
        <v>1506</v>
      </c>
      <c r="U1167">
        <f>VLOOKUP(Auto_Sales_data___Copy[[#This Row],[CUSTOMER_NAME]],$AF$2:$AH$90,2,FALSE)</f>
        <v>51</v>
      </c>
      <c r="V1167">
        <f>VLOOKUP(Auto_Sales_data___Copy[[#This Row],[CUSTOMER_NAME]],$AF$2:$AH$90,3,FALSE)</f>
        <v>157807.80999999994</v>
      </c>
      <c r="W1167" s="2">
        <f>6-MATCH(Auto_Sales_data___Copy[[#This Row],[DAYS_SINCE_LAST_ORDER]],Table2[R-Cutoff],1)</f>
        <v>3</v>
      </c>
      <c r="X1167" s="2">
        <f>MATCH(Auto_Sales_data___Copy[[#This Row],[Total_Orders_Per_Customer]],Table2[F-Cutoff],1)</f>
        <v>4</v>
      </c>
      <c r="Y1167" s="2">
        <f>MATCH(Auto_Sales_data___Copy[[#This Row],[Total_Sales_Per_Customer]],Table2[M-Cutoff],1)</f>
        <v>4</v>
      </c>
      <c r="Z1167" s="2" t="str">
        <f>Auto_Sales_data___Copy[[#This Row],[R-Score(1-5)]]&amp;Auto_Sales_data___Copy[[#This Row],[F-Score(1-5)]]&amp;Auto_Sales_data___Copy[[#This Row],[M-Score(1-5)]]</f>
        <v>344</v>
      </c>
      <c r="AA1167" s="2" t="str" cm="1">
        <f t="array" ref="AA11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7" s="2" t="str">
        <f>VLOOKUP(Auto_Sales_data___Copy[[#This Row],[Segment Name]],Table3[],2,FALSE)</f>
        <v>Reward &amp; Upsell</v>
      </c>
    </row>
    <row r="1168" spans="1:28" x14ac:dyDescent="0.25">
      <c r="A1168">
        <v>10110</v>
      </c>
      <c r="B1168">
        <v>31</v>
      </c>
      <c r="C1168">
        <v>163.69</v>
      </c>
      <c r="D1168">
        <v>1</v>
      </c>
      <c r="E1168">
        <v>5074.3900000000003</v>
      </c>
      <c r="F1168" s="1">
        <v>43177</v>
      </c>
      <c r="G1168" s="2" t="s">
        <v>19</v>
      </c>
      <c r="H1168" s="2" t="s">
        <v>589</v>
      </c>
      <c r="I1168">
        <v>168</v>
      </c>
      <c r="J1168" s="2" t="s">
        <v>638</v>
      </c>
      <c r="K1168" s="2" t="s">
        <v>523</v>
      </c>
      <c r="L1168" s="2" t="s">
        <v>524</v>
      </c>
      <c r="M1168" s="2" t="s">
        <v>525</v>
      </c>
      <c r="N1168" s="2" t="s">
        <v>526</v>
      </c>
      <c r="O1168" s="2" t="s">
        <v>527</v>
      </c>
      <c r="P1168" s="2" t="s">
        <v>171</v>
      </c>
      <c r="Q1168" s="2" t="s">
        <v>528</v>
      </c>
      <c r="R1168" s="2" t="s">
        <v>529</v>
      </c>
      <c r="S1168" s="2" t="s">
        <v>46</v>
      </c>
      <c r="T1168">
        <v>1604</v>
      </c>
      <c r="U1168">
        <f>VLOOKUP(Auto_Sales_data___Copy[[#This Row],[CUSTOMER_NAME]],$AF$2:$AH$90,2,FALSE)</f>
        <v>51</v>
      </c>
      <c r="V1168">
        <f>VLOOKUP(Auto_Sales_data___Copy[[#This Row],[CUSTOMER_NAME]],$AF$2:$AH$90,3,FALSE)</f>
        <v>157807.80999999994</v>
      </c>
      <c r="W1168" s="2">
        <f>6-MATCH(Auto_Sales_data___Copy[[#This Row],[DAYS_SINCE_LAST_ORDER]],Table2[R-Cutoff],1)</f>
        <v>3</v>
      </c>
      <c r="X1168" s="2">
        <f>MATCH(Auto_Sales_data___Copy[[#This Row],[Total_Orders_Per_Customer]],Table2[F-Cutoff],1)</f>
        <v>4</v>
      </c>
      <c r="Y1168" s="2">
        <f>MATCH(Auto_Sales_data___Copy[[#This Row],[Total_Sales_Per_Customer]],Table2[M-Cutoff],1)</f>
        <v>4</v>
      </c>
      <c r="Z1168" s="2" t="str">
        <f>Auto_Sales_data___Copy[[#This Row],[R-Score(1-5)]]&amp;Auto_Sales_data___Copy[[#This Row],[F-Score(1-5)]]&amp;Auto_Sales_data___Copy[[#This Row],[M-Score(1-5)]]</f>
        <v>344</v>
      </c>
      <c r="AA1168" s="2" t="str" cm="1">
        <f t="array" ref="AA11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8" s="2" t="str">
        <f>VLOOKUP(Auto_Sales_data___Copy[[#This Row],[Segment Name]],Table3[],2,FALSE)</f>
        <v>Reward &amp; Upsell</v>
      </c>
    </row>
    <row r="1169" spans="1:28" x14ac:dyDescent="0.25">
      <c r="A1169">
        <v>10117</v>
      </c>
      <c r="B1169">
        <v>26</v>
      </c>
      <c r="C1169">
        <v>136.59</v>
      </c>
      <c r="D1169">
        <v>5</v>
      </c>
      <c r="E1169">
        <v>3551.34</v>
      </c>
      <c r="F1169" s="1">
        <v>43206</v>
      </c>
      <c r="G1169" s="2" t="s">
        <v>19</v>
      </c>
      <c r="H1169" s="2" t="s">
        <v>589</v>
      </c>
      <c r="I1169">
        <v>136</v>
      </c>
      <c r="J1169" s="2" t="s">
        <v>648</v>
      </c>
      <c r="K1169" s="2" t="s">
        <v>199</v>
      </c>
      <c r="L1169" s="2" t="s">
        <v>200</v>
      </c>
      <c r="M1169" s="2" t="s">
        <v>201</v>
      </c>
      <c r="N1169" s="2" t="s">
        <v>202</v>
      </c>
      <c r="O1169" s="2" t="s">
        <v>203</v>
      </c>
      <c r="P1169" s="2" t="s">
        <v>202</v>
      </c>
      <c r="Q1169" s="2" t="s">
        <v>204</v>
      </c>
      <c r="R1169" s="2" t="s">
        <v>205</v>
      </c>
      <c r="S1169" s="2" t="s">
        <v>46</v>
      </c>
      <c r="T1169">
        <v>1725</v>
      </c>
      <c r="U1169">
        <f>VLOOKUP(Auto_Sales_data___Copy[[#This Row],[CUSTOMER_NAME]],$AF$2:$AH$90,2,FALSE)</f>
        <v>43</v>
      </c>
      <c r="V1169">
        <f>VLOOKUP(Auto_Sales_data___Copy[[#This Row],[CUSTOMER_NAME]],$AF$2:$AH$90,3,FALSE)</f>
        <v>172989.68000000008</v>
      </c>
      <c r="W1169" s="2">
        <f>6-MATCH(Auto_Sales_data___Copy[[#This Row],[DAYS_SINCE_LAST_ORDER]],Table2[R-Cutoff],1)</f>
        <v>3</v>
      </c>
      <c r="X1169" s="2">
        <f>MATCH(Auto_Sales_data___Copy[[#This Row],[Total_Orders_Per_Customer]],Table2[F-Cutoff],1)</f>
        <v>4</v>
      </c>
      <c r="Y1169" s="2">
        <f>MATCH(Auto_Sales_data___Copy[[#This Row],[Total_Sales_Per_Customer]],Table2[M-Cutoff],1)</f>
        <v>4</v>
      </c>
      <c r="Z1169" s="2" t="str">
        <f>Auto_Sales_data___Copy[[#This Row],[R-Score(1-5)]]&amp;Auto_Sales_data___Copy[[#This Row],[F-Score(1-5)]]&amp;Auto_Sales_data___Copy[[#This Row],[M-Score(1-5)]]</f>
        <v>344</v>
      </c>
      <c r="AA1169" s="2" t="str" cm="1">
        <f t="array" ref="AA11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9" s="2" t="str">
        <f>VLOOKUP(Auto_Sales_data___Copy[[#This Row],[Segment Name]],Table3[],2,FALSE)</f>
        <v>Reward &amp; Upsell</v>
      </c>
    </row>
    <row r="1170" spans="1:28" x14ac:dyDescent="0.25">
      <c r="A1170">
        <v>10117</v>
      </c>
      <c r="B1170">
        <v>21</v>
      </c>
      <c r="C1170">
        <v>95.8</v>
      </c>
      <c r="D1170">
        <v>7</v>
      </c>
      <c r="E1170">
        <v>2011.8</v>
      </c>
      <c r="F1170" s="1">
        <v>43206</v>
      </c>
      <c r="G1170" s="2" t="s">
        <v>19</v>
      </c>
      <c r="H1170" s="2" t="s">
        <v>650</v>
      </c>
      <c r="I1170">
        <v>100</v>
      </c>
      <c r="J1170" s="2" t="s">
        <v>651</v>
      </c>
      <c r="K1170" s="2" t="s">
        <v>199</v>
      </c>
      <c r="L1170" s="2" t="s">
        <v>200</v>
      </c>
      <c r="M1170" s="2" t="s">
        <v>201</v>
      </c>
      <c r="N1170" s="2" t="s">
        <v>202</v>
      </c>
      <c r="O1170" s="2" t="s">
        <v>203</v>
      </c>
      <c r="P1170" s="2" t="s">
        <v>202</v>
      </c>
      <c r="Q1170" s="2" t="s">
        <v>204</v>
      </c>
      <c r="R1170" s="2" t="s">
        <v>205</v>
      </c>
      <c r="S1170" s="2" t="s">
        <v>30</v>
      </c>
      <c r="T1170">
        <v>1801</v>
      </c>
      <c r="U1170">
        <f>VLOOKUP(Auto_Sales_data___Copy[[#This Row],[CUSTOMER_NAME]],$AF$2:$AH$90,2,FALSE)</f>
        <v>43</v>
      </c>
      <c r="V1170">
        <f>VLOOKUP(Auto_Sales_data___Copy[[#This Row],[CUSTOMER_NAME]],$AF$2:$AH$90,3,FALSE)</f>
        <v>172989.68000000008</v>
      </c>
      <c r="W1170" s="2">
        <f>6-MATCH(Auto_Sales_data___Copy[[#This Row],[DAYS_SINCE_LAST_ORDER]],Table2[R-Cutoff],1)</f>
        <v>3</v>
      </c>
      <c r="X1170" s="2">
        <f>MATCH(Auto_Sales_data___Copy[[#This Row],[Total_Orders_Per_Customer]],Table2[F-Cutoff],1)</f>
        <v>4</v>
      </c>
      <c r="Y1170" s="2">
        <f>MATCH(Auto_Sales_data___Copy[[#This Row],[Total_Sales_Per_Customer]],Table2[M-Cutoff],1)</f>
        <v>4</v>
      </c>
      <c r="Z1170" s="2" t="str">
        <f>Auto_Sales_data___Copy[[#This Row],[R-Score(1-5)]]&amp;Auto_Sales_data___Copy[[#This Row],[F-Score(1-5)]]&amp;Auto_Sales_data___Copy[[#This Row],[M-Score(1-5)]]</f>
        <v>344</v>
      </c>
      <c r="AA1170" s="2" t="str" cm="1">
        <f t="array" ref="AA11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0" s="2" t="str">
        <f>VLOOKUP(Auto_Sales_data___Copy[[#This Row],[Segment Name]],Table3[],2,FALSE)</f>
        <v>Reward &amp; Upsell</v>
      </c>
    </row>
    <row r="1171" spans="1:28" x14ac:dyDescent="0.25">
      <c r="A1171">
        <v>10117</v>
      </c>
      <c r="B1171">
        <v>22</v>
      </c>
      <c r="C1171">
        <v>126.39</v>
      </c>
      <c r="D1171">
        <v>12</v>
      </c>
      <c r="E1171">
        <v>2780.58</v>
      </c>
      <c r="F1171" s="1">
        <v>43206</v>
      </c>
      <c r="G1171" s="2" t="s">
        <v>19</v>
      </c>
      <c r="H1171" s="2" t="s">
        <v>183</v>
      </c>
      <c r="I1171">
        <v>143</v>
      </c>
      <c r="J1171" s="2" t="s">
        <v>658</v>
      </c>
      <c r="K1171" s="2" t="s">
        <v>199</v>
      </c>
      <c r="L1171" s="2" t="s">
        <v>200</v>
      </c>
      <c r="M1171" s="2" t="s">
        <v>201</v>
      </c>
      <c r="N1171" s="2" t="s">
        <v>202</v>
      </c>
      <c r="O1171" s="2" t="s">
        <v>203</v>
      </c>
      <c r="P1171" s="2" t="s">
        <v>202</v>
      </c>
      <c r="Q1171" s="2" t="s">
        <v>204</v>
      </c>
      <c r="R1171" s="2" t="s">
        <v>205</v>
      </c>
      <c r="S1171" s="2" t="s">
        <v>30</v>
      </c>
      <c r="T1171">
        <v>1971</v>
      </c>
      <c r="U1171">
        <f>VLOOKUP(Auto_Sales_data___Copy[[#This Row],[CUSTOMER_NAME]],$AF$2:$AH$90,2,FALSE)</f>
        <v>43</v>
      </c>
      <c r="V1171">
        <f>VLOOKUP(Auto_Sales_data___Copy[[#This Row],[CUSTOMER_NAME]],$AF$2:$AH$90,3,FALSE)</f>
        <v>172989.68000000008</v>
      </c>
      <c r="W1171" s="2">
        <f>6-MATCH(Auto_Sales_data___Copy[[#This Row],[DAYS_SINCE_LAST_ORDER]],Table2[R-Cutoff],1)</f>
        <v>3</v>
      </c>
      <c r="X1171" s="2">
        <f>MATCH(Auto_Sales_data___Copy[[#This Row],[Total_Orders_Per_Customer]],Table2[F-Cutoff],1)</f>
        <v>4</v>
      </c>
      <c r="Y1171" s="2">
        <f>MATCH(Auto_Sales_data___Copy[[#This Row],[Total_Sales_Per_Customer]],Table2[M-Cutoff],1)</f>
        <v>4</v>
      </c>
      <c r="Z1171" s="2" t="str">
        <f>Auto_Sales_data___Copy[[#This Row],[R-Score(1-5)]]&amp;Auto_Sales_data___Copy[[#This Row],[F-Score(1-5)]]&amp;Auto_Sales_data___Copy[[#This Row],[M-Score(1-5)]]</f>
        <v>344</v>
      </c>
      <c r="AA1171" s="2" t="str" cm="1">
        <f t="array" ref="AA11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1" s="2" t="str">
        <f>VLOOKUP(Auto_Sales_data___Copy[[#This Row],[Segment Name]],Table3[],2,FALSE)</f>
        <v>Reward &amp; Upsell</v>
      </c>
    </row>
    <row r="1172" spans="1:28" x14ac:dyDescent="0.25">
      <c r="A1172">
        <v>10117</v>
      </c>
      <c r="B1172">
        <v>23</v>
      </c>
      <c r="C1172">
        <v>97.42</v>
      </c>
      <c r="D1172">
        <v>4</v>
      </c>
      <c r="E1172">
        <v>2240.66</v>
      </c>
      <c r="F1172" s="1">
        <v>43206</v>
      </c>
      <c r="G1172" s="2" t="s">
        <v>19</v>
      </c>
      <c r="H1172" s="2" t="s">
        <v>589</v>
      </c>
      <c r="I1172">
        <v>87</v>
      </c>
      <c r="J1172" s="2" t="s">
        <v>660</v>
      </c>
      <c r="K1172" s="2" t="s">
        <v>199</v>
      </c>
      <c r="L1172" s="2" t="s">
        <v>200</v>
      </c>
      <c r="M1172" s="2" t="s">
        <v>201</v>
      </c>
      <c r="N1172" s="2" t="s">
        <v>202</v>
      </c>
      <c r="O1172" s="2" t="s">
        <v>203</v>
      </c>
      <c r="P1172" s="2" t="s">
        <v>202</v>
      </c>
      <c r="Q1172" s="2" t="s">
        <v>204</v>
      </c>
      <c r="R1172" s="2" t="s">
        <v>205</v>
      </c>
      <c r="S1172" s="2" t="s">
        <v>30</v>
      </c>
      <c r="T1172">
        <v>2018</v>
      </c>
      <c r="U1172">
        <f>VLOOKUP(Auto_Sales_data___Copy[[#This Row],[CUSTOMER_NAME]],$AF$2:$AH$90,2,FALSE)</f>
        <v>43</v>
      </c>
      <c r="V1172">
        <f>VLOOKUP(Auto_Sales_data___Copy[[#This Row],[CUSTOMER_NAME]],$AF$2:$AH$90,3,FALSE)</f>
        <v>172989.68000000008</v>
      </c>
      <c r="W1172" s="2">
        <f>6-MATCH(Auto_Sales_data___Copy[[#This Row],[DAYS_SINCE_LAST_ORDER]],Table2[R-Cutoff],1)</f>
        <v>3</v>
      </c>
      <c r="X1172" s="2">
        <f>MATCH(Auto_Sales_data___Copy[[#This Row],[Total_Orders_Per_Customer]],Table2[F-Cutoff],1)</f>
        <v>4</v>
      </c>
      <c r="Y1172" s="2">
        <f>MATCH(Auto_Sales_data___Copy[[#This Row],[Total_Sales_Per_Customer]],Table2[M-Cutoff],1)</f>
        <v>4</v>
      </c>
      <c r="Z1172" s="2" t="str">
        <f>Auto_Sales_data___Copy[[#This Row],[R-Score(1-5)]]&amp;Auto_Sales_data___Copy[[#This Row],[F-Score(1-5)]]&amp;Auto_Sales_data___Copy[[#This Row],[M-Score(1-5)]]</f>
        <v>344</v>
      </c>
      <c r="AA1172" s="2" t="str" cm="1">
        <f t="array" ref="AA11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2" s="2" t="str">
        <f>VLOOKUP(Auto_Sales_data___Copy[[#This Row],[Segment Name]],Table3[],2,FALSE)</f>
        <v>Reward &amp; Upsell</v>
      </c>
    </row>
    <row r="1173" spans="1:28" x14ac:dyDescent="0.25">
      <c r="A1173">
        <v>10119</v>
      </c>
      <c r="B1173">
        <v>21</v>
      </c>
      <c r="C1173">
        <v>89.46</v>
      </c>
      <c r="D1173">
        <v>9</v>
      </c>
      <c r="E1173">
        <v>1878.66</v>
      </c>
      <c r="F1173" s="1">
        <v>43218</v>
      </c>
      <c r="G1173" s="2" t="s">
        <v>19</v>
      </c>
      <c r="H1173" s="2" t="s">
        <v>642</v>
      </c>
      <c r="I1173">
        <v>86</v>
      </c>
      <c r="J1173" s="2" t="s">
        <v>643</v>
      </c>
      <c r="K1173" s="2" t="s">
        <v>143</v>
      </c>
      <c r="L1173" s="2" t="s">
        <v>144</v>
      </c>
      <c r="M1173" s="2" t="s">
        <v>145</v>
      </c>
      <c r="N1173" s="2" t="s">
        <v>146</v>
      </c>
      <c r="O1173" s="2" t="s">
        <v>147</v>
      </c>
      <c r="P1173" s="2" t="s">
        <v>148</v>
      </c>
      <c r="Q1173" s="2" t="s">
        <v>149</v>
      </c>
      <c r="R1173" s="2" t="s">
        <v>150</v>
      </c>
      <c r="S1173" s="2" t="s">
        <v>30</v>
      </c>
      <c r="T1173">
        <v>1663</v>
      </c>
      <c r="U1173">
        <f>VLOOKUP(Auto_Sales_data___Copy[[#This Row],[CUSTOMER_NAME]],$AF$2:$AH$90,2,FALSE)</f>
        <v>40</v>
      </c>
      <c r="V1173">
        <f>VLOOKUP(Auto_Sales_data___Copy[[#This Row],[CUSTOMER_NAME]],$AF$2:$AH$90,3,FALSE)</f>
        <v>149798.63</v>
      </c>
      <c r="W1173" s="2">
        <f>6-MATCH(Auto_Sales_data___Copy[[#This Row],[DAYS_SINCE_LAST_ORDER]],Table2[R-Cutoff],1)</f>
        <v>3</v>
      </c>
      <c r="X1173" s="2">
        <f>MATCH(Auto_Sales_data___Copy[[#This Row],[Total_Orders_Per_Customer]],Table2[F-Cutoff],1)</f>
        <v>4</v>
      </c>
      <c r="Y1173" s="2">
        <f>MATCH(Auto_Sales_data___Copy[[#This Row],[Total_Sales_Per_Customer]],Table2[M-Cutoff],1)</f>
        <v>4</v>
      </c>
      <c r="Z1173" s="2" t="str">
        <f>Auto_Sales_data___Copy[[#This Row],[R-Score(1-5)]]&amp;Auto_Sales_data___Copy[[#This Row],[F-Score(1-5)]]&amp;Auto_Sales_data___Copy[[#This Row],[M-Score(1-5)]]</f>
        <v>344</v>
      </c>
      <c r="AA1173" s="2" t="str" cm="1">
        <f t="array" ref="AA11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3" s="2" t="str">
        <f>VLOOKUP(Auto_Sales_data___Copy[[#This Row],[Segment Name]],Table3[],2,FALSE)</f>
        <v>Reward &amp; Upsell</v>
      </c>
    </row>
    <row r="1174" spans="1:28" x14ac:dyDescent="0.25">
      <c r="A1174">
        <v>10119</v>
      </c>
      <c r="B1174">
        <v>27</v>
      </c>
      <c r="C1174">
        <v>99.52</v>
      </c>
      <c r="D1174">
        <v>8</v>
      </c>
      <c r="E1174">
        <v>2687.04</v>
      </c>
      <c r="F1174" s="1">
        <v>43218</v>
      </c>
      <c r="G1174" s="2" t="s">
        <v>19</v>
      </c>
      <c r="H1174" s="2" t="s">
        <v>589</v>
      </c>
      <c r="I1174">
        <v>105</v>
      </c>
      <c r="J1174" s="2" t="s">
        <v>657</v>
      </c>
      <c r="K1174" s="2" t="s">
        <v>143</v>
      </c>
      <c r="L1174" s="2" t="s">
        <v>144</v>
      </c>
      <c r="M1174" s="2" t="s">
        <v>145</v>
      </c>
      <c r="N1174" s="2" t="s">
        <v>146</v>
      </c>
      <c r="O1174" s="2" t="s">
        <v>147</v>
      </c>
      <c r="P1174" s="2" t="s">
        <v>148</v>
      </c>
      <c r="Q1174" s="2" t="s">
        <v>149</v>
      </c>
      <c r="R1174" s="2" t="s">
        <v>150</v>
      </c>
      <c r="S1174" s="2" t="s">
        <v>30</v>
      </c>
      <c r="T1174">
        <v>1934</v>
      </c>
      <c r="U1174">
        <f>VLOOKUP(Auto_Sales_data___Copy[[#This Row],[CUSTOMER_NAME]],$AF$2:$AH$90,2,FALSE)</f>
        <v>40</v>
      </c>
      <c r="V1174">
        <f>VLOOKUP(Auto_Sales_data___Copy[[#This Row],[CUSTOMER_NAME]],$AF$2:$AH$90,3,FALSE)</f>
        <v>149798.63</v>
      </c>
      <c r="W1174" s="2">
        <f>6-MATCH(Auto_Sales_data___Copy[[#This Row],[DAYS_SINCE_LAST_ORDER]],Table2[R-Cutoff],1)</f>
        <v>3</v>
      </c>
      <c r="X1174" s="2">
        <f>MATCH(Auto_Sales_data___Copy[[#This Row],[Total_Orders_Per_Customer]],Table2[F-Cutoff],1)</f>
        <v>4</v>
      </c>
      <c r="Y1174" s="2">
        <f>MATCH(Auto_Sales_data___Copy[[#This Row],[Total_Sales_Per_Customer]],Table2[M-Cutoff],1)</f>
        <v>4</v>
      </c>
      <c r="Z1174" s="2" t="str">
        <f>Auto_Sales_data___Copy[[#This Row],[R-Score(1-5)]]&amp;Auto_Sales_data___Copy[[#This Row],[F-Score(1-5)]]&amp;Auto_Sales_data___Copy[[#This Row],[M-Score(1-5)]]</f>
        <v>344</v>
      </c>
      <c r="AA1174" s="2" t="str" cm="1">
        <f t="array" ref="AA11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4" s="2" t="str">
        <f>VLOOKUP(Auto_Sales_data___Copy[[#This Row],[Segment Name]],Table3[],2,FALSE)</f>
        <v>Reward &amp; Upsell</v>
      </c>
    </row>
    <row r="1175" spans="1:28" x14ac:dyDescent="0.25">
      <c r="A1175">
        <v>10120</v>
      </c>
      <c r="B1175">
        <v>29</v>
      </c>
      <c r="C1175">
        <v>71.81</v>
      </c>
      <c r="D1175">
        <v>8</v>
      </c>
      <c r="E1175">
        <v>2082.4899999999998</v>
      </c>
      <c r="F1175" s="1">
        <v>43219</v>
      </c>
      <c r="G1175" s="2" t="s">
        <v>19</v>
      </c>
      <c r="H1175" s="2" t="s">
        <v>607</v>
      </c>
      <c r="I1175">
        <v>84</v>
      </c>
      <c r="J1175" s="2" t="s">
        <v>636</v>
      </c>
      <c r="K1175" s="2" t="s">
        <v>82</v>
      </c>
      <c r="L1175" s="2" t="s">
        <v>83</v>
      </c>
      <c r="M1175" s="2" t="s">
        <v>84</v>
      </c>
      <c r="N1175" s="2" t="s">
        <v>85</v>
      </c>
      <c r="O1175" s="2" t="s">
        <v>86</v>
      </c>
      <c r="P1175" s="2" t="s">
        <v>87</v>
      </c>
      <c r="Q1175" s="2" t="s">
        <v>88</v>
      </c>
      <c r="R1175" s="2" t="s">
        <v>89</v>
      </c>
      <c r="S1175" s="2" t="s">
        <v>30</v>
      </c>
      <c r="T1175">
        <v>1515</v>
      </c>
      <c r="U1175">
        <f>VLOOKUP(Auto_Sales_data___Copy[[#This Row],[CUSTOMER_NAME]],$AF$2:$AH$90,2,FALSE)</f>
        <v>55</v>
      </c>
      <c r="V1175">
        <f>VLOOKUP(Auto_Sales_data___Copy[[#This Row],[CUSTOMER_NAME]],$AF$2:$AH$90,3,FALSE)</f>
        <v>200995.41000000006</v>
      </c>
      <c r="W1175" s="2">
        <f>6-MATCH(Auto_Sales_data___Copy[[#This Row],[DAYS_SINCE_LAST_ORDER]],Table2[R-Cutoff],1)</f>
        <v>3</v>
      </c>
      <c r="X1175" s="2">
        <f>MATCH(Auto_Sales_data___Copy[[#This Row],[Total_Orders_Per_Customer]],Table2[F-Cutoff],1)</f>
        <v>4</v>
      </c>
      <c r="Y1175" s="2">
        <f>MATCH(Auto_Sales_data___Copy[[#This Row],[Total_Sales_Per_Customer]],Table2[M-Cutoff],1)</f>
        <v>4</v>
      </c>
      <c r="Z1175" s="2" t="str">
        <f>Auto_Sales_data___Copy[[#This Row],[R-Score(1-5)]]&amp;Auto_Sales_data___Copy[[#This Row],[F-Score(1-5)]]&amp;Auto_Sales_data___Copy[[#This Row],[M-Score(1-5)]]</f>
        <v>344</v>
      </c>
      <c r="AA1175" s="2" t="str" cm="1">
        <f t="array" ref="AA11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5" s="2" t="str">
        <f>VLOOKUP(Auto_Sales_data___Copy[[#This Row],[Segment Name]],Table3[],2,FALSE)</f>
        <v>Reward &amp; Upsell</v>
      </c>
    </row>
    <row r="1176" spans="1:28" x14ac:dyDescent="0.25">
      <c r="A1176">
        <v>10120</v>
      </c>
      <c r="B1176">
        <v>46</v>
      </c>
      <c r="C1176">
        <v>58.15</v>
      </c>
      <c r="D1176">
        <v>4</v>
      </c>
      <c r="E1176">
        <v>2674.9</v>
      </c>
      <c r="F1176" s="1">
        <v>43219</v>
      </c>
      <c r="G1176" s="2" t="s">
        <v>19</v>
      </c>
      <c r="H1176" s="2" t="s">
        <v>20</v>
      </c>
      <c r="I1176">
        <v>60</v>
      </c>
      <c r="J1176" s="2" t="s">
        <v>637</v>
      </c>
      <c r="K1176" s="2" t="s">
        <v>82</v>
      </c>
      <c r="L1176" s="2" t="s">
        <v>83</v>
      </c>
      <c r="M1176" s="2" t="s">
        <v>84</v>
      </c>
      <c r="N1176" s="2" t="s">
        <v>85</v>
      </c>
      <c r="O1176" s="2" t="s">
        <v>86</v>
      </c>
      <c r="P1176" s="2" t="s">
        <v>87</v>
      </c>
      <c r="Q1176" s="2" t="s">
        <v>88</v>
      </c>
      <c r="R1176" s="2" t="s">
        <v>89</v>
      </c>
      <c r="S1176" s="2" t="s">
        <v>30</v>
      </c>
      <c r="T1176">
        <v>1538</v>
      </c>
      <c r="U1176">
        <f>VLOOKUP(Auto_Sales_data___Copy[[#This Row],[CUSTOMER_NAME]],$AF$2:$AH$90,2,FALSE)</f>
        <v>55</v>
      </c>
      <c r="V1176">
        <f>VLOOKUP(Auto_Sales_data___Copy[[#This Row],[CUSTOMER_NAME]],$AF$2:$AH$90,3,FALSE)</f>
        <v>200995.41000000006</v>
      </c>
      <c r="W1176" s="2">
        <f>6-MATCH(Auto_Sales_data___Copy[[#This Row],[DAYS_SINCE_LAST_ORDER]],Table2[R-Cutoff],1)</f>
        <v>3</v>
      </c>
      <c r="X1176" s="2">
        <f>MATCH(Auto_Sales_data___Copy[[#This Row],[Total_Orders_Per_Customer]],Table2[F-Cutoff],1)</f>
        <v>4</v>
      </c>
      <c r="Y1176" s="2">
        <f>MATCH(Auto_Sales_data___Copy[[#This Row],[Total_Sales_Per_Customer]],Table2[M-Cutoff],1)</f>
        <v>4</v>
      </c>
      <c r="Z1176" s="2" t="str">
        <f>Auto_Sales_data___Copy[[#This Row],[R-Score(1-5)]]&amp;Auto_Sales_data___Copy[[#This Row],[F-Score(1-5)]]&amp;Auto_Sales_data___Copy[[#This Row],[M-Score(1-5)]]</f>
        <v>344</v>
      </c>
      <c r="AA1176" s="2" t="str" cm="1">
        <f t="array" ref="AA11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6" s="2" t="str">
        <f>VLOOKUP(Auto_Sales_data___Copy[[#This Row],[Segment Name]],Table3[],2,FALSE)</f>
        <v>Reward &amp; Upsell</v>
      </c>
    </row>
    <row r="1177" spans="1:28" x14ac:dyDescent="0.25">
      <c r="A1177">
        <v>10125</v>
      </c>
      <c r="B1177">
        <v>34</v>
      </c>
      <c r="C1177">
        <v>190.69</v>
      </c>
      <c r="D1177">
        <v>2</v>
      </c>
      <c r="E1177">
        <v>6483.46</v>
      </c>
      <c r="F1177" s="1">
        <v>43241</v>
      </c>
      <c r="G1177" s="2" t="s">
        <v>19</v>
      </c>
      <c r="H1177" s="2" t="s">
        <v>589</v>
      </c>
      <c r="I1177">
        <v>168</v>
      </c>
      <c r="J1177" s="2" t="s">
        <v>638</v>
      </c>
      <c r="K1177" s="2" t="s">
        <v>82</v>
      </c>
      <c r="L1177" s="2" t="s">
        <v>83</v>
      </c>
      <c r="M1177" s="2" t="s">
        <v>84</v>
      </c>
      <c r="N1177" s="2" t="s">
        <v>85</v>
      </c>
      <c r="O1177" s="2" t="s">
        <v>86</v>
      </c>
      <c r="P1177" s="2" t="s">
        <v>87</v>
      </c>
      <c r="Q1177" s="2" t="s">
        <v>88</v>
      </c>
      <c r="R1177" s="2" t="s">
        <v>89</v>
      </c>
      <c r="S1177" s="2" t="s">
        <v>46</v>
      </c>
      <c r="T1177">
        <v>1541</v>
      </c>
      <c r="U1177">
        <f>VLOOKUP(Auto_Sales_data___Copy[[#This Row],[CUSTOMER_NAME]],$AF$2:$AH$90,2,FALSE)</f>
        <v>55</v>
      </c>
      <c r="V1177">
        <f>VLOOKUP(Auto_Sales_data___Copy[[#This Row],[CUSTOMER_NAME]],$AF$2:$AH$90,3,FALSE)</f>
        <v>200995.41000000006</v>
      </c>
      <c r="W1177" s="2">
        <f>6-MATCH(Auto_Sales_data___Copy[[#This Row],[DAYS_SINCE_LAST_ORDER]],Table2[R-Cutoff],1)</f>
        <v>3</v>
      </c>
      <c r="X1177" s="2">
        <f>MATCH(Auto_Sales_data___Copy[[#This Row],[Total_Orders_Per_Customer]],Table2[F-Cutoff],1)</f>
        <v>4</v>
      </c>
      <c r="Y1177" s="2">
        <f>MATCH(Auto_Sales_data___Copy[[#This Row],[Total_Sales_Per_Customer]],Table2[M-Cutoff],1)</f>
        <v>4</v>
      </c>
      <c r="Z1177" s="2" t="str">
        <f>Auto_Sales_data___Copy[[#This Row],[R-Score(1-5)]]&amp;Auto_Sales_data___Copy[[#This Row],[F-Score(1-5)]]&amp;Auto_Sales_data___Copy[[#This Row],[M-Score(1-5)]]</f>
        <v>344</v>
      </c>
      <c r="AA1177" s="2" t="str" cm="1">
        <f t="array" ref="AA11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7" s="2" t="str">
        <f>VLOOKUP(Auto_Sales_data___Copy[[#This Row],[Segment Name]],Table3[],2,FALSE)</f>
        <v>Reward &amp; Upsell</v>
      </c>
    </row>
    <row r="1178" spans="1:28" x14ac:dyDescent="0.25">
      <c r="A1178">
        <v>10126</v>
      </c>
      <c r="B1178">
        <v>31</v>
      </c>
      <c r="C1178">
        <v>90.17</v>
      </c>
      <c r="D1178">
        <v>12</v>
      </c>
      <c r="E1178">
        <v>2795.27</v>
      </c>
      <c r="F1178" s="1">
        <v>43248</v>
      </c>
      <c r="G1178" s="2" t="s">
        <v>19</v>
      </c>
      <c r="H1178" s="2" t="s">
        <v>589</v>
      </c>
      <c r="I1178">
        <v>101</v>
      </c>
      <c r="J1178" s="2" t="s">
        <v>640</v>
      </c>
      <c r="K1178" s="2" t="s">
        <v>193</v>
      </c>
      <c r="L1178" s="2" t="s">
        <v>194</v>
      </c>
      <c r="M1178" s="2" t="s">
        <v>195</v>
      </c>
      <c r="N1178" s="2" t="s">
        <v>178</v>
      </c>
      <c r="O1178" s="2" t="s">
        <v>196</v>
      </c>
      <c r="P1178" s="2" t="s">
        <v>180</v>
      </c>
      <c r="Q1178" s="2" t="s">
        <v>197</v>
      </c>
      <c r="R1178" s="2" t="s">
        <v>198</v>
      </c>
      <c r="S1178" s="2" t="s">
        <v>30</v>
      </c>
      <c r="T1178">
        <v>1584</v>
      </c>
      <c r="U1178">
        <f>VLOOKUP(Auto_Sales_data___Copy[[#This Row],[CUSTOMER_NAME]],$AF$2:$AH$90,2,FALSE)</f>
        <v>32</v>
      </c>
      <c r="V1178">
        <f>VLOOKUP(Auto_Sales_data___Copy[[#This Row],[CUSTOMER_NAME]],$AF$2:$AH$90,3,FALSE)</f>
        <v>120615.28</v>
      </c>
      <c r="W1178" s="2">
        <f>6-MATCH(Auto_Sales_data___Copy[[#This Row],[DAYS_SINCE_LAST_ORDER]],Table2[R-Cutoff],1)</f>
        <v>3</v>
      </c>
      <c r="X1178" s="2">
        <f>MATCH(Auto_Sales_data___Copy[[#This Row],[Total_Orders_Per_Customer]],Table2[F-Cutoff],1)</f>
        <v>4</v>
      </c>
      <c r="Y1178" s="2">
        <f>MATCH(Auto_Sales_data___Copy[[#This Row],[Total_Sales_Per_Customer]],Table2[M-Cutoff],1)</f>
        <v>4</v>
      </c>
      <c r="Z1178" s="2" t="str">
        <f>Auto_Sales_data___Copy[[#This Row],[R-Score(1-5)]]&amp;Auto_Sales_data___Copy[[#This Row],[F-Score(1-5)]]&amp;Auto_Sales_data___Copy[[#This Row],[M-Score(1-5)]]</f>
        <v>344</v>
      </c>
      <c r="AA1178" s="2" t="str" cm="1">
        <f t="array" ref="AA11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8" s="2" t="str">
        <f>VLOOKUP(Auto_Sales_data___Copy[[#This Row],[Segment Name]],Table3[],2,FALSE)</f>
        <v>Reward &amp; Upsell</v>
      </c>
    </row>
    <row r="1179" spans="1:28" x14ac:dyDescent="0.25">
      <c r="A1179">
        <v>10126</v>
      </c>
      <c r="B1179">
        <v>46</v>
      </c>
      <c r="C1179">
        <v>73.7</v>
      </c>
      <c r="D1179">
        <v>14</v>
      </c>
      <c r="E1179">
        <v>3390.2</v>
      </c>
      <c r="F1179" s="1">
        <v>43248</v>
      </c>
      <c r="G1179" s="2" t="s">
        <v>19</v>
      </c>
      <c r="H1179" s="2" t="s">
        <v>589</v>
      </c>
      <c r="I1179">
        <v>62</v>
      </c>
      <c r="J1179" s="2" t="s">
        <v>641</v>
      </c>
      <c r="K1179" s="2" t="s">
        <v>193</v>
      </c>
      <c r="L1179" s="2" t="s">
        <v>194</v>
      </c>
      <c r="M1179" s="2" t="s">
        <v>195</v>
      </c>
      <c r="N1179" s="2" t="s">
        <v>178</v>
      </c>
      <c r="O1179" s="2" t="s">
        <v>196</v>
      </c>
      <c r="P1179" s="2" t="s">
        <v>180</v>
      </c>
      <c r="Q1179" s="2" t="s">
        <v>197</v>
      </c>
      <c r="R1179" s="2" t="s">
        <v>198</v>
      </c>
      <c r="S1179" s="2" t="s">
        <v>46</v>
      </c>
      <c r="T1179">
        <v>1608</v>
      </c>
      <c r="U1179">
        <f>VLOOKUP(Auto_Sales_data___Copy[[#This Row],[CUSTOMER_NAME]],$AF$2:$AH$90,2,FALSE)</f>
        <v>32</v>
      </c>
      <c r="V1179">
        <f>VLOOKUP(Auto_Sales_data___Copy[[#This Row],[CUSTOMER_NAME]],$AF$2:$AH$90,3,FALSE)</f>
        <v>120615.28</v>
      </c>
      <c r="W1179" s="2">
        <f>6-MATCH(Auto_Sales_data___Copy[[#This Row],[DAYS_SINCE_LAST_ORDER]],Table2[R-Cutoff],1)</f>
        <v>3</v>
      </c>
      <c r="X1179" s="2">
        <f>MATCH(Auto_Sales_data___Copy[[#This Row],[Total_Orders_Per_Customer]],Table2[F-Cutoff],1)</f>
        <v>4</v>
      </c>
      <c r="Y1179" s="2">
        <f>MATCH(Auto_Sales_data___Copy[[#This Row],[Total_Sales_Per_Customer]],Table2[M-Cutoff],1)</f>
        <v>4</v>
      </c>
      <c r="Z1179" s="2" t="str">
        <f>Auto_Sales_data___Copy[[#This Row],[R-Score(1-5)]]&amp;Auto_Sales_data___Copy[[#This Row],[F-Score(1-5)]]&amp;Auto_Sales_data___Copy[[#This Row],[M-Score(1-5)]]</f>
        <v>344</v>
      </c>
      <c r="AA1179" s="2" t="str" cm="1">
        <f t="array" ref="AA11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9" s="2" t="str">
        <f>VLOOKUP(Auto_Sales_data___Copy[[#This Row],[Segment Name]],Table3[],2,FALSE)</f>
        <v>Reward &amp; Upsell</v>
      </c>
    </row>
    <row r="1180" spans="1:28" x14ac:dyDescent="0.25">
      <c r="A1180">
        <v>10126</v>
      </c>
      <c r="B1180">
        <v>30</v>
      </c>
      <c r="C1180">
        <v>97.39</v>
      </c>
      <c r="D1180">
        <v>13</v>
      </c>
      <c r="E1180">
        <v>2921.7</v>
      </c>
      <c r="F1180" s="1">
        <v>43248</v>
      </c>
      <c r="G1180" s="2" t="s">
        <v>19</v>
      </c>
      <c r="H1180" s="2" t="s">
        <v>589</v>
      </c>
      <c r="I1180">
        <v>104</v>
      </c>
      <c r="J1180" s="2" t="s">
        <v>647</v>
      </c>
      <c r="K1180" s="2" t="s">
        <v>193</v>
      </c>
      <c r="L1180" s="2" t="s">
        <v>194</v>
      </c>
      <c r="M1180" s="2" t="s">
        <v>195</v>
      </c>
      <c r="N1180" s="2" t="s">
        <v>178</v>
      </c>
      <c r="O1180" s="2" t="s">
        <v>196</v>
      </c>
      <c r="P1180" s="2" t="s">
        <v>180</v>
      </c>
      <c r="Q1180" s="2" t="s">
        <v>197</v>
      </c>
      <c r="R1180" s="2" t="s">
        <v>198</v>
      </c>
      <c r="S1180" s="2" t="s">
        <v>30</v>
      </c>
      <c r="T1180">
        <v>1658</v>
      </c>
      <c r="U1180">
        <f>VLOOKUP(Auto_Sales_data___Copy[[#This Row],[CUSTOMER_NAME]],$AF$2:$AH$90,2,FALSE)</f>
        <v>32</v>
      </c>
      <c r="V1180">
        <f>VLOOKUP(Auto_Sales_data___Copy[[#This Row],[CUSTOMER_NAME]],$AF$2:$AH$90,3,FALSE)</f>
        <v>120615.28</v>
      </c>
      <c r="W1180" s="2">
        <f>6-MATCH(Auto_Sales_data___Copy[[#This Row],[DAYS_SINCE_LAST_ORDER]],Table2[R-Cutoff],1)</f>
        <v>3</v>
      </c>
      <c r="X1180" s="2">
        <f>MATCH(Auto_Sales_data___Copy[[#This Row],[Total_Orders_Per_Customer]],Table2[F-Cutoff],1)</f>
        <v>4</v>
      </c>
      <c r="Y1180" s="2">
        <f>MATCH(Auto_Sales_data___Copy[[#This Row],[Total_Sales_Per_Customer]],Table2[M-Cutoff],1)</f>
        <v>4</v>
      </c>
      <c r="Z1180" s="2" t="str">
        <f>Auto_Sales_data___Copy[[#This Row],[R-Score(1-5)]]&amp;Auto_Sales_data___Copy[[#This Row],[F-Score(1-5)]]&amp;Auto_Sales_data___Copy[[#This Row],[M-Score(1-5)]]</f>
        <v>344</v>
      </c>
      <c r="AA1180" s="2" t="str" cm="1">
        <f t="array" ref="AA11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0" s="2" t="str">
        <f>VLOOKUP(Auto_Sales_data___Copy[[#This Row],[Segment Name]],Table3[],2,FALSE)</f>
        <v>Reward &amp; Upsell</v>
      </c>
    </row>
    <row r="1181" spans="1:28" x14ac:dyDescent="0.25">
      <c r="A1181">
        <v>10126</v>
      </c>
      <c r="B1181">
        <v>38</v>
      </c>
      <c r="C1181">
        <v>82.34</v>
      </c>
      <c r="D1181">
        <v>16</v>
      </c>
      <c r="E1181">
        <v>3128.92</v>
      </c>
      <c r="F1181" s="1">
        <v>43248</v>
      </c>
      <c r="G1181" s="2" t="s">
        <v>19</v>
      </c>
      <c r="H1181" s="2" t="s">
        <v>589</v>
      </c>
      <c r="I1181">
        <v>99</v>
      </c>
      <c r="J1181" s="2" t="s">
        <v>653</v>
      </c>
      <c r="K1181" s="2" t="s">
        <v>193</v>
      </c>
      <c r="L1181" s="2" t="s">
        <v>194</v>
      </c>
      <c r="M1181" s="2" t="s">
        <v>195</v>
      </c>
      <c r="N1181" s="2" t="s">
        <v>178</v>
      </c>
      <c r="O1181" s="2" t="s">
        <v>196</v>
      </c>
      <c r="P1181" s="2" t="s">
        <v>180</v>
      </c>
      <c r="Q1181" s="2" t="s">
        <v>197</v>
      </c>
      <c r="R1181" s="2" t="s">
        <v>198</v>
      </c>
      <c r="S1181" s="2" t="s">
        <v>46</v>
      </c>
      <c r="T1181">
        <v>1807</v>
      </c>
      <c r="U1181">
        <f>VLOOKUP(Auto_Sales_data___Copy[[#This Row],[CUSTOMER_NAME]],$AF$2:$AH$90,2,FALSE)</f>
        <v>32</v>
      </c>
      <c r="V1181">
        <f>VLOOKUP(Auto_Sales_data___Copy[[#This Row],[CUSTOMER_NAME]],$AF$2:$AH$90,3,FALSE)</f>
        <v>120615.28</v>
      </c>
      <c r="W1181" s="2">
        <f>6-MATCH(Auto_Sales_data___Copy[[#This Row],[DAYS_SINCE_LAST_ORDER]],Table2[R-Cutoff],1)</f>
        <v>3</v>
      </c>
      <c r="X1181" s="2">
        <f>MATCH(Auto_Sales_data___Copy[[#This Row],[Total_Orders_Per_Customer]],Table2[F-Cutoff],1)</f>
        <v>4</v>
      </c>
      <c r="Y1181" s="2">
        <f>MATCH(Auto_Sales_data___Copy[[#This Row],[Total_Sales_Per_Customer]],Table2[M-Cutoff],1)</f>
        <v>4</v>
      </c>
      <c r="Z1181" s="2" t="str">
        <f>Auto_Sales_data___Copy[[#This Row],[R-Score(1-5)]]&amp;Auto_Sales_data___Copy[[#This Row],[F-Score(1-5)]]&amp;Auto_Sales_data___Copy[[#This Row],[M-Score(1-5)]]</f>
        <v>344</v>
      </c>
      <c r="AA1181" s="2" t="str" cm="1">
        <f t="array" ref="AA11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1" s="2" t="str">
        <f>VLOOKUP(Auto_Sales_data___Copy[[#This Row],[Segment Name]],Table3[],2,FALSE)</f>
        <v>Reward &amp; Upsell</v>
      </c>
    </row>
    <row r="1182" spans="1:28" x14ac:dyDescent="0.25">
      <c r="A1182">
        <v>10126</v>
      </c>
      <c r="B1182">
        <v>50</v>
      </c>
      <c r="C1182">
        <v>141.66</v>
      </c>
      <c r="D1182">
        <v>5</v>
      </c>
      <c r="E1182">
        <v>7083</v>
      </c>
      <c r="F1182" s="1">
        <v>43248</v>
      </c>
      <c r="G1182" s="2" t="s">
        <v>19</v>
      </c>
      <c r="H1182" s="2" t="s">
        <v>537</v>
      </c>
      <c r="I1182">
        <v>121</v>
      </c>
      <c r="J1182" s="2" t="s">
        <v>661</v>
      </c>
      <c r="K1182" s="2" t="s">
        <v>193</v>
      </c>
      <c r="L1182" s="2" t="s">
        <v>194</v>
      </c>
      <c r="M1182" s="2" t="s">
        <v>195</v>
      </c>
      <c r="N1182" s="2" t="s">
        <v>178</v>
      </c>
      <c r="O1182" s="2" t="s">
        <v>196</v>
      </c>
      <c r="P1182" s="2" t="s">
        <v>180</v>
      </c>
      <c r="Q1182" s="2" t="s">
        <v>197</v>
      </c>
      <c r="R1182" s="2" t="s">
        <v>198</v>
      </c>
      <c r="S1182" s="2" t="s">
        <v>151</v>
      </c>
      <c r="T1182">
        <v>2003</v>
      </c>
      <c r="U1182">
        <f>VLOOKUP(Auto_Sales_data___Copy[[#This Row],[CUSTOMER_NAME]],$AF$2:$AH$90,2,FALSE)</f>
        <v>32</v>
      </c>
      <c r="V1182">
        <f>VLOOKUP(Auto_Sales_data___Copy[[#This Row],[CUSTOMER_NAME]],$AF$2:$AH$90,3,FALSE)</f>
        <v>120615.28</v>
      </c>
      <c r="W1182" s="2">
        <f>6-MATCH(Auto_Sales_data___Copy[[#This Row],[DAYS_SINCE_LAST_ORDER]],Table2[R-Cutoff],1)</f>
        <v>3</v>
      </c>
      <c r="X1182" s="2">
        <f>MATCH(Auto_Sales_data___Copy[[#This Row],[Total_Orders_Per_Customer]],Table2[F-Cutoff],1)</f>
        <v>4</v>
      </c>
      <c r="Y1182" s="2">
        <f>MATCH(Auto_Sales_data___Copy[[#This Row],[Total_Sales_Per_Customer]],Table2[M-Cutoff],1)</f>
        <v>4</v>
      </c>
      <c r="Z1182" s="2" t="str">
        <f>Auto_Sales_data___Copy[[#This Row],[R-Score(1-5)]]&amp;Auto_Sales_data___Copy[[#This Row],[F-Score(1-5)]]&amp;Auto_Sales_data___Copy[[#This Row],[M-Score(1-5)]]</f>
        <v>344</v>
      </c>
      <c r="AA1182" s="2" t="str" cm="1">
        <f t="array" ref="AA11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2" s="2" t="str">
        <f>VLOOKUP(Auto_Sales_data___Copy[[#This Row],[Segment Name]],Table3[],2,FALSE)</f>
        <v>Reward &amp; Upsell</v>
      </c>
    </row>
    <row r="1183" spans="1:28" x14ac:dyDescent="0.25">
      <c r="A1183">
        <v>10127</v>
      </c>
      <c r="B1183">
        <v>22</v>
      </c>
      <c r="C1183">
        <v>174.42</v>
      </c>
      <c r="D1183">
        <v>15</v>
      </c>
      <c r="E1183">
        <v>3837.24</v>
      </c>
      <c r="F1183" s="1">
        <v>43254</v>
      </c>
      <c r="G1183" s="2" t="s">
        <v>19</v>
      </c>
      <c r="H1183" s="2" t="s">
        <v>183</v>
      </c>
      <c r="I1183">
        <v>169</v>
      </c>
      <c r="J1183" s="2" t="s">
        <v>649</v>
      </c>
      <c r="K1183" s="2" t="s">
        <v>506</v>
      </c>
      <c r="L1183" s="2" t="s">
        <v>507</v>
      </c>
      <c r="M1183" s="2" t="s">
        <v>508</v>
      </c>
      <c r="N1183" s="2" t="s">
        <v>25</v>
      </c>
      <c r="O1183" s="2" t="s">
        <v>26</v>
      </c>
      <c r="P1183" s="2" t="s">
        <v>27</v>
      </c>
      <c r="Q1183" s="2" t="s">
        <v>52</v>
      </c>
      <c r="R1183" s="2" t="s">
        <v>509</v>
      </c>
      <c r="S1183" s="2" t="s">
        <v>46</v>
      </c>
      <c r="T1183">
        <v>1705</v>
      </c>
      <c r="U1183">
        <f>VLOOKUP(Auto_Sales_data___Copy[[#This Row],[CUSTOMER_NAME]],$AF$2:$AH$90,2,FALSE)</f>
        <v>48</v>
      </c>
      <c r="V1183">
        <f>VLOOKUP(Auto_Sales_data___Copy[[#This Row],[CUSTOMER_NAME]],$AF$2:$AH$90,3,FALSE)</f>
        <v>197736.93999999997</v>
      </c>
      <c r="W1183" s="2">
        <f>6-MATCH(Auto_Sales_data___Copy[[#This Row],[DAYS_SINCE_LAST_ORDER]],Table2[R-Cutoff],1)</f>
        <v>3</v>
      </c>
      <c r="X1183" s="2">
        <f>MATCH(Auto_Sales_data___Copy[[#This Row],[Total_Orders_Per_Customer]],Table2[F-Cutoff],1)</f>
        <v>4</v>
      </c>
      <c r="Y1183" s="2">
        <f>MATCH(Auto_Sales_data___Copy[[#This Row],[Total_Sales_Per_Customer]],Table2[M-Cutoff],1)</f>
        <v>4</v>
      </c>
      <c r="Z1183" s="2" t="str">
        <f>Auto_Sales_data___Copy[[#This Row],[R-Score(1-5)]]&amp;Auto_Sales_data___Copy[[#This Row],[F-Score(1-5)]]&amp;Auto_Sales_data___Copy[[#This Row],[M-Score(1-5)]]</f>
        <v>344</v>
      </c>
      <c r="AA1183" s="2" t="str" cm="1">
        <f t="array" ref="AA11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3" s="2" t="str">
        <f>VLOOKUP(Auto_Sales_data___Copy[[#This Row],[Segment Name]],Table3[],2,FALSE)</f>
        <v>Reward &amp; Upsell</v>
      </c>
    </row>
    <row r="1184" spans="1:28" x14ac:dyDescent="0.25">
      <c r="A1184">
        <v>10127</v>
      </c>
      <c r="B1184">
        <v>25</v>
      </c>
      <c r="C1184">
        <v>137.88</v>
      </c>
      <c r="D1184">
        <v>5</v>
      </c>
      <c r="E1184">
        <v>3447</v>
      </c>
      <c r="F1184" s="1">
        <v>43254</v>
      </c>
      <c r="G1184" s="2" t="s">
        <v>19</v>
      </c>
      <c r="H1184" s="2" t="s">
        <v>183</v>
      </c>
      <c r="I1184">
        <v>143</v>
      </c>
      <c r="J1184" s="2" t="s">
        <v>658</v>
      </c>
      <c r="K1184" s="2" t="s">
        <v>506</v>
      </c>
      <c r="L1184" s="2" t="s">
        <v>507</v>
      </c>
      <c r="M1184" s="2" t="s">
        <v>508</v>
      </c>
      <c r="N1184" s="2" t="s">
        <v>25</v>
      </c>
      <c r="O1184" s="2" t="s">
        <v>26</v>
      </c>
      <c r="P1184" s="2" t="s">
        <v>27</v>
      </c>
      <c r="Q1184" s="2" t="s">
        <v>52</v>
      </c>
      <c r="R1184" s="2" t="s">
        <v>509</v>
      </c>
      <c r="S1184" s="2" t="s">
        <v>46</v>
      </c>
      <c r="T1184">
        <v>1924</v>
      </c>
      <c r="U1184">
        <f>VLOOKUP(Auto_Sales_data___Copy[[#This Row],[CUSTOMER_NAME]],$AF$2:$AH$90,2,FALSE)</f>
        <v>48</v>
      </c>
      <c r="V1184">
        <f>VLOOKUP(Auto_Sales_data___Copy[[#This Row],[CUSTOMER_NAME]],$AF$2:$AH$90,3,FALSE)</f>
        <v>197736.93999999997</v>
      </c>
      <c r="W1184" s="2">
        <f>6-MATCH(Auto_Sales_data___Copy[[#This Row],[DAYS_SINCE_LAST_ORDER]],Table2[R-Cutoff],1)</f>
        <v>3</v>
      </c>
      <c r="X1184" s="2">
        <f>MATCH(Auto_Sales_data___Copy[[#This Row],[Total_Orders_Per_Customer]],Table2[F-Cutoff],1)</f>
        <v>4</v>
      </c>
      <c r="Y1184" s="2">
        <f>MATCH(Auto_Sales_data___Copy[[#This Row],[Total_Sales_Per_Customer]],Table2[M-Cutoff],1)</f>
        <v>4</v>
      </c>
      <c r="Z1184" s="2" t="str">
        <f>Auto_Sales_data___Copy[[#This Row],[R-Score(1-5)]]&amp;Auto_Sales_data___Copy[[#This Row],[F-Score(1-5)]]&amp;Auto_Sales_data___Copy[[#This Row],[M-Score(1-5)]]</f>
        <v>344</v>
      </c>
      <c r="AA1184" s="2" t="str" cm="1">
        <f t="array" ref="AA11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4" s="2" t="str">
        <f>VLOOKUP(Auto_Sales_data___Copy[[#This Row],[Segment Name]],Table3[],2,FALSE)</f>
        <v>Reward &amp; Upsell</v>
      </c>
    </row>
    <row r="1185" spans="1:28" x14ac:dyDescent="0.25">
      <c r="A1185">
        <v>10135</v>
      </c>
      <c r="B1185">
        <v>45</v>
      </c>
      <c r="C1185">
        <v>78</v>
      </c>
      <c r="D1185">
        <v>10</v>
      </c>
      <c r="E1185">
        <v>3510</v>
      </c>
      <c r="F1185" s="1">
        <v>43283</v>
      </c>
      <c r="G1185" s="2" t="s">
        <v>19</v>
      </c>
      <c r="H1185" s="2" t="s">
        <v>183</v>
      </c>
      <c r="I1185">
        <v>80</v>
      </c>
      <c r="J1185" s="2" t="s">
        <v>652</v>
      </c>
      <c r="K1185" s="2" t="s">
        <v>284</v>
      </c>
      <c r="L1185" s="2" t="s">
        <v>285</v>
      </c>
      <c r="M1185" s="2" t="s">
        <v>286</v>
      </c>
      <c r="N1185" s="2" t="s">
        <v>287</v>
      </c>
      <c r="O1185" s="2" t="s">
        <v>106</v>
      </c>
      <c r="P1185" s="2" t="s">
        <v>27</v>
      </c>
      <c r="Q1185" s="2" t="s">
        <v>288</v>
      </c>
      <c r="R1185" s="2" t="s">
        <v>289</v>
      </c>
      <c r="S1185" s="2" t="s">
        <v>46</v>
      </c>
      <c r="T1185">
        <v>1750</v>
      </c>
      <c r="U1185">
        <f>VLOOKUP(Auto_Sales_data___Copy[[#This Row],[CUSTOMER_NAME]],$AF$2:$AH$90,2,FALSE)</f>
        <v>180</v>
      </c>
      <c r="V1185">
        <f>VLOOKUP(Auto_Sales_data___Copy[[#This Row],[CUSTOMER_NAME]],$AF$2:$AH$90,3,FALSE)</f>
        <v>654858.06000000017</v>
      </c>
      <c r="W1185" s="2">
        <f>6-MATCH(Auto_Sales_data___Copy[[#This Row],[DAYS_SINCE_LAST_ORDER]],Table2[R-Cutoff],1)</f>
        <v>3</v>
      </c>
      <c r="X1185" s="2">
        <f>MATCH(Auto_Sales_data___Copy[[#This Row],[Total_Orders_Per_Customer]],Table2[F-Cutoff],1)</f>
        <v>4</v>
      </c>
      <c r="Y1185" s="2">
        <f>MATCH(Auto_Sales_data___Copy[[#This Row],[Total_Sales_Per_Customer]],Table2[M-Cutoff],1)</f>
        <v>4</v>
      </c>
      <c r="Z1185" s="2" t="str">
        <f>Auto_Sales_data___Copy[[#This Row],[R-Score(1-5)]]&amp;Auto_Sales_data___Copy[[#This Row],[F-Score(1-5)]]&amp;Auto_Sales_data___Copy[[#This Row],[M-Score(1-5)]]</f>
        <v>344</v>
      </c>
      <c r="AA1185" s="2" t="str" cm="1">
        <f t="array" ref="AA11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5" s="2" t="str">
        <f>VLOOKUP(Auto_Sales_data___Copy[[#This Row],[Segment Name]],Table3[],2,FALSE)</f>
        <v>Reward &amp; Upsell</v>
      </c>
    </row>
    <row r="1186" spans="1:28" x14ac:dyDescent="0.25">
      <c r="A1186">
        <v>10135</v>
      </c>
      <c r="B1186">
        <v>42</v>
      </c>
      <c r="C1186">
        <v>129.35</v>
      </c>
      <c r="D1186">
        <v>9</v>
      </c>
      <c r="E1186">
        <v>5432.7</v>
      </c>
      <c r="F1186" s="1">
        <v>43283</v>
      </c>
      <c r="G1186" s="2" t="s">
        <v>19</v>
      </c>
      <c r="H1186" s="2" t="s">
        <v>183</v>
      </c>
      <c r="I1186">
        <v>146</v>
      </c>
      <c r="J1186" s="2" t="s">
        <v>654</v>
      </c>
      <c r="K1186" s="2" t="s">
        <v>284</v>
      </c>
      <c r="L1186" s="2" t="s">
        <v>285</v>
      </c>
      <c r="M1186" s="2" t="s">
        <v>286</v>
      </c>
      <c r="N1186" s="2" t="s">
        <v>287</v>
      </c>
      <c r="O1186" s="2" t="s">
        <v>106</v>
      </c>
      <c r="P1186" s="2" t="s">
        <v>27</v>
      </c>
      <c r="Q1186" s="2" t="s">
        <v>288</v>
      </c>
      <c r="R1186" s="2" t="s">
        <v>289</v>
      </c>
      <c r="S1186" s="2" t="s">
        <v>46</v>
      </c>
      <c r="T1186">
        <v>1797</v>
      </c>
      <c r="U1186">
        <f>VLOOKUP(Auto_Sales_data___Copy[[#This Row],[CUSTOMER_NAME]],$AF$2:$AH$90,2,FALSE)</f>
        <v>180</v>
      </c>
      <c r="V1186">
        <f>VLOOKUP(Auto_Sales_data___Copy[[#This Row],[CUSTOMER_NAME]],$AF$2:$AH$90,3,FALSE)</f>
        <v>654858.06000000017</v>
      </c>
      <c r="W1186" s="2">
        <f>6-MATCH(Auto_Sales_data___Copy[[#This Row],[DAYS_SINCE_LAST_ORDER]],Table2[R-Cutoff],1)</f>
        <v>3</v>
      </c>
      <c r="X1186" s="2">
        <f>MATCH(Auto_Sales_data___Copy[[#This Row],[Total_Orders_Per_Customer]],Table2[F-Cutoff],1)</f>
        <v>4</v>
      </c>
      <c r="Y1186" s="2">
        <f>MATCH(Auto_Sales_data___Copy[[#This Row],[Total_Sales_Per_Customer]],Table2[M-Cutoff],1)</f>
        <v>4</v>
      </c>
      <c r="Z1186" s="2" t="str">
        <f>Auto_Sales_data___Copy[[#This Row],[R-Score(1-5)]]&amp;Auto_Sales_data___Copy[[#This Row],[F-Score(1-5)]]&amp;Auto_Sales_data___Copy[[#This Row],[M-Score(1-5)]]</f>
        <v>344</v>
      </c>
      <c r="AA1186" s="2" t="str" cm="1">
        <f t="array" ref="AA11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6" s="2" t="str">
        <f>VLOOKUP(Auto_Sales_data___Copy[[#This Row],[Segment Name]],Table3[],2,FALSE)</f>
        <v>Reward &amp; Upsell</v>
      </c>
    </row>
    <row r="1187" spans="1:28" x14ac:dyDescent="0.25">
      <c r="A1187">
        <v>10135</v>
      </c>
      <c r="B1187">
        <v>45</v>
      </c>
      <c r="C1187">
        <v>50.36</v>
      </c>
      <c r="D1187">
        <v>13</v>
      </c>
      <c r="E1187">
        <v>2266.1999999999998</v>
      </c>
      <c r="F1187" s="1">
        <v>43283</v>
      </c>
      <c r="G1187" s="2" t="s">
        <v>19</v>
      </c>
      <c r="H1187" s="2" t="s">
        <v>20</v>
      </c>
      <c r="I1187">
        <v>62</v>
      </c>
      <c r="J1187" s="2" t="s">
        <v>656</v>
      </c>
      <c r="K1187" s="2" t="s">
        <v>284</v>
      </c>
      <c r="L1187" s="2" t="s">
        <v>285</v>
      </c>
      <c r="M1187" s="2" t="s">
        <v>286</v>
      </c>
      <c r="N1187" s="2" t="s">
        <v>287</v>
      </c>
      <c r="O1187" s="2" t="s">
        <v>106</v>
      </c>
      <c r="P1187" s="2" t="s">
        <v>27</v>
      </c>
      <c r="Q1187" s="2" t="s">
        <v>288</v>
      </c>
      <c r="R1187" s="2" t="s">
        <v>289</v>
      </c>
      <c r="S1187" s="2" t="s">
        <v>30</v>
      </c>
      <c r="T1187">
        <v>1846</v>
      </c>
      <c r="U1187">
        <f>VLOOKUP(Auto_Sales_data___Copy[[#This Row],[CUSTOMER_NAME]],$AF$2:$AH$90,2,FALSE)</f>
        <v>180</v>
      </c>
      <c r="V1187">
        <f>VLOOKUP(Auto_Sales_data___Copy[[#This Row],[CUSTOMER_NAME]],$AF$2:$AH$90,3,FALSE)</f>
        <v>654858.06000000017</v>
      </c>
      <c r="W1187" s="2">
        <f>6-MATCH(Auto_Sales_data___Copy[[#This Row],[DAYS_SINCE_LAST_ORDER]],Table2[R-Cutoff],1)</f>
        <v>3</v>
      </c>
      <c r="X1187" s="2">
        <f>MATCH(Auto_Sales_data___Copy[[#This Row],[Total_Orders_Per_Customer]],Table2[F-Cutoff],1)</f>
        <v>4</v>
      </c>
      <c r="Y1187" s="2">
        <f>MATCH(Auto_Sales_data___Copy[[#This Row],[Total_Sales_Per_Customer]],Table2[M-Cutoff],1)</f>
        <v>4</v>
      </c>
      <c r="Z1187" s="2" t="str">
        <f>Auto_Sales_data___Copy[[#This Row],[R-Score(1-5)]]&amp;Auto_Sales_data___Copy[[#This Row],[F-Score(1-5)]]&amp;Auto_Sales_data___Copy[[#This Row],[M-Score(1-5)]]</f>
        <v>344</v>
      </c>
      <c r="AA1187" s="2" t="str" cm="1">
        <f t="array" ref="AA11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7" s="2" t="str">
        <f>VLOOKUP(Auto_Sales_data___Copy[[#This Row],[Segment Name]],Table3[],2,FALSE)</f>
        <v>Reward &amp; Upsell</v>
      </c>
    </row>
    <row r="1188" spans="1:28" x14ac:dyDescent="0.25">
      <c r="A1188">
        <v>10135</v>
      </c>
      <c r="B1188">
        <v>31</v>
      </c>
      <c r="C1188">
        <v>151.78</v>
      </c>
      <c r="D1188">
        <v>12</v>
      </c>
      <c r="E1188">
        <v>4705.18</v>
      </c>
      <c r="F1188" s="1">
        <v>43283</v>
      </c>
      <c r="G1188" s="2" t="s">
        <v>19</v>
      </c>
      <c r="H1188" s="2" t="s">
        <v>183</v>
      </c>
      <c r="I1188">
        <v>148</v>
      </c>
      <c r="J1188" s="2" t="s">
        <v>663</v>
      </c>
      <c r="K1188" s="2" t="s">
        <v>284</v>
      </c>
      <c r="L1188" s="2" t="s">
        <v>285</v>
      </c>
      <c r="M1188" s="2" t="s">
        <v>286</v>
      </c>
      <c r="N1188" s="2" t="s">
        <v>287</v>
      </c>
      <c r="O1188" s="2" t="s">
        <v>106</v>
      </c>
      <c r="P1188" s="2" t="s">
        <v>27</v>
      </c>
      <c r="Q1188" s="2" t="s">
        <v>288</v>
      </c>
      <c r="R1188" s="2" t="s">
        <v>289</v>
      </c>
      <c r="S1188" s="2" t="s">
        <v>46</v>
      </c>
      <c r="T1188">
        <v>2021</v>
      </c>
      <c r="U1188">
        <f>VLOOKUP(Auto_Sales_data___Copy[[#This Row],[CUSTOMER_NAME]],$AF$2:$AH$90,2,FALSE)</f>
        <v>180</v>
      </c>
      <c r="V1188">
        <f>VLOOKUP(Auto_Sales_data___Copy[[#This Row],[CUSTOMER_NAME]],$AF$2:$AH$90,3,FALSE)</f>
        <v>654858.06000000017</v>
      </c>
      <c r="W1188" s="2">
        <f>6-MATCH(Auto_Sales_data___Copy[[#This Row],[DAYS_SINCE_LAST_ORDER]],Table2[R-Cutoff],1)</f>
        <v>3</v>
      </c>
      <c r="X1188" s="2">
        <f>MATCH(Auto_Sales_data___Copy[[#This Row],[Total_Orders_Per_Customer]],Table2[F-Cutoff],1)</f>
        <v>4</v>
      </c>
      <c r="Y1188" s="2">
        <f>MATCH(Auto_Sales_data___Copy[[#This Row],[Total_Sales_Per_Customer]],Table2[M-Cutoff],1)</f>
        <v>4</v>
      </c>
      <c r="Z1188" s="2" t="str">
        <f>Auto_Sales_data___Copy[[#This Row],[R-Score(1-5)]]&amp;Auto_Sales_data___Copy[[#This Row],[F-Score(1-5)]]&amp;Auto_Sales_data___Copy[[#This Row],[M-Score(1-5)]]</f>
        <v>344</v>
      </c>
      <c r="AA1188" s="2" t="str" cm="1">
        <f t="array" ref="AA11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8" s="2" t="str">
        <f>VLOOKUP(Auto_Sales_data___Copy[[#This Row],[Segment Name]],Table3[],2,FALSE)</f>
        <v>Reward &amp; Upsell</v>
      </c>
    </row>
    <row r="1189" spans="1:28" x14ac:dyDescent="0.25">
      <c r="A1189">
        <v>10137</v>
      </c>
      <c r="B1189">
        <v>37</v>
      </c>
      <c r="C1189">
        <v>117.48</v>
      </c>
      <c r="D1189">
        <v>3</v>
      </c>
      <c r="E1189">
        <v>4346.76</v>
      </c>
      <c r="F1189" s="1">
        <v>43291</v>
      </c>
      <c r="G1189" s="2" t="s">
        <v>19</v>
      </c>
      <c r="H1189" s="2" t="s">
        <v>183</v>
      </c>
      <c r="I1189">
        <v>132</v>
      </c>
      <c r="J1189" s="2" t="s">
        <v>639</v>
      </c>
      <c r="K1189" s="2" t="s">
        <v>31</v>
      </c>
      <c r="L1189" s="2" t="s">
        <v>32</v>
      </c>
      <c r="M1189" s="2" t="s">
        <v>33</v>
      </c>
      <c r="N1189" s="2" t="s">
        <v>34</v>
      </c>
      <c r="O1189" s="2" t="s">
        <v>35</v>
      </c>
      <c r="P1189" s="2" t="s">
        <v>36</v>
      </c>
      <c r="Q1189" s="2" t="s">
        <v>37</v>
      </c>
      <c r="R1189" s="2" t="s">
        <v>38</v>
      </c>
      <c r="S1189" s="2" t="s">
        <v>46</v>
      </c>
      <c r="T1189">
        <v>1516</v>
      </c>
      <c r="U1189">
        <f>VLOOKUP(Auto_Sales_data___Copy[[#This Row],[CUSTOMER_NAME]],$AF$2:$AH$90,2,FALSE)</f>
        <v>41</v>
      </c>
      <c r="V1189">
        <f>VLOOKUP(Auto_Sales_data___Copy[[#This Row],[CUSTOMER_NAME]],$AF$2:$AH$90,3,FALSE)</f>
        <v>135042.94</v>
      </c>
      <c r="W1189" s="2">
        <f>6-MATCH(Auto_Sales_data___Copy[[#This Row],[DAYS_SINCE_LAST_ORDER]],Table2[R-Cutoff],1)</f>
        <v>3</v>
      </c>
      <c r="X1189" s="2">
        <f>MATCH(Auto_Sales_data___Copy[[#This Row],[Total_Orders_Per_Customer]],Table2[F-Cutoff],1)</f>
        <v>4</v>
      </c>
      <c r="Y1189" s="2">
        <f>MATCH(Auto_Sales_data___Copy[[#This Row],[Total_Sales_Per_Customer]],Table2[M-Cutoff],1)</f>
        <v>4</v>
      </c>
      <c r="Z1189" s="2" t="str">
        <f>Auto_Sales_data___Copy[[#This Row],[R-Score(1-5)]]&amp;Auto_Sales_data___Copy[[#This Row],[F-Score(1-5)]]&amp;Auto_Sales_data___Copy[[#This Row],[M-Score(1-5)]]</f>
        <v>344</v>
      </c>
      <c r="AA1189" s="2" t="str" cm="1">
        <f t="array" ref="AA11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9" s="2" t="str">
        <f>VLOOKUP(Auto_Sales_data___Copy[[#This Row],[Segment Name]],Table3[],2,FALSE)</f>
        <v>Reward &amp; Upsell</v>
      </c>
    </row>
    <row r="1190" spans="1:28" x14ac:dyDescent="0.25">
      <c r="A1190">
        <v>10137</v>
      </c>
      <c r="B1190">
        <v>31</v>
      </c>
      <c r="C1190">
        <v>165.3</v>
      </c>
      <c r="D1190">
        <v>4</v>
      </c>
      <c r="E1190">
        <v>5124.3</v>
      </c>
      <c r="F1190" s="1">
        <v>43291</v>
      </c>
      <c r="G1190" s="2" t="s">
        <v>19</v>
      </c>
      <c r="H1190" s="2" t="s">
        <v>183</v>
      </c>
      <c r="I1190">
        <v>141</v>
      </c>
      <c r="J1190" s="2" t="s">
        <v>655</v>
      </c>
      <c r="K1190" s="2" t="s">
        <v>31</v>
      </c>
      <c r="L1190" s="2" t="s">
        <v>32</v>
      </c>
      <c r="M1190" s="2" t="s">
        <v>33</v>
      </c>
      <c r="N1190" s="2" t="s">
        <v>34</v>
      </c>
      <c r="O1190" s="2" t="s">
        <v>35</v>
      </c>
      <c r="P1190" s="2" t="s">
        <v>36</v>
      </c>
      <c r="Q1190" s="2" t="s">
        <v>37</v>
      </c>
      <c r="R1190" s="2" t="s">
        <v>38</v>
      </c>
      <c r="S1190" s="2" t="s">
        <v>46</v>
      </c>
      <c r="T1190">
        <v>1813</v>
      </c>
      <c r="U1190">
        <f>VLOOKUP(Auto_Sales_data___Copy[[#This Row],[CUSTOMER_NAME]],$AF$2:$AH$90,2,FALSE)</f>
        <v>41</v>
      </c>
      <c r="V1190">
        <f>VLOOKUP(Auto_Sales_data___Copy[[#This Row],[CUSTOMER_NAME]],$AF$2:$AH$90,3,FALSE)</f>
        <v>135042.94</v>
      </c>
      <c r="W1190" s="2">
        <f>6-MATCH(Auto_Sales_data___Copy[[#This Row],[DAYS_SINCE_LAST_ORDER]],Table2[R-Cutoff],1)</f>
        <v>3</v>
      </c>
      <c r="X1190" s="2">
        <f>MATCH(Auto_Sales_data___Copy[[#This Row],[Total_Orders_Per_Customer]],Table2[F-Cutoff],1)</f>
        <v>4</v>
      </c>
      <c r="Y1190" s="2">
        <f>MATCH(Auto_Sales_data___Copy[[#This Row],[Total_Sales_Per_Customer]],Table2[M-Cutoff],1)</f>
        <v>4</v>
      </c>
      <c r="Z1190" s="2" t="str">
        <f>Auto_Sales_data___Copy[[#This Row],[R-Score(1-5)]]&amp;Auto_Sales_data___Copy[[#This Row],[F-Score(1-5)]]&amp;Auto_Sales_data___Copy[[#This Row],[M-Score(1-5)]]</f>
        <v>344</v>
      </c>
      <c r="AA1190" s="2" t="str" cm="1">
        <f t="array" ref="AA11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0" s="2" t="str">
        <f>VLOOKUP(Auto_Sales_data___Copy[[#This Row],[Segment Name]],Table3[],2,FALSE)</f>
        <v>Reward &amp; Upsell</v>
      </c>
    </row>
    <row r="1191" spans="1:28" x14ac:dyDescent="0.25">
      <c r="A1191">
        <v>10139</v>
      </c>
      <c r="B1191">
        <v>46</v>
      </c>
      <c r="C1191">
        <v>120.56</v>
      </c>
      <c r="D1191">
        <v>1</v>
      </c>
      <c r="E1191">
        <v>5545.76</v>
      </c>
      <c r="F1191" s="1">
        <v>43297</v>
      </c>
      <c r="G1191" s="2" t="s">
        <v>19</v>
      </c>
      <c r="H1191" s="2" t="s">
        <v>589</v>
      </c>
      <c r="I1191">
        <v>101</v>
      </c>
      <c r="J1191" s="2" t="s">
        <v>640</v>
      </c>
      <c r="K1191" s="2" t="s">
        <v>152</v>
      </c>
      <c r="L1191" s="2" t="s">
        <v>153</v>
      </c>
      <c r="M1191" s="2" t="s">
        <v>154</v>
      </c>
      <c r="N1191" s="2" t="s">
        <v>155</v>
      </c>
      <c r="O1191" s="2" t="s">
        <v>156</v>
      </c>
      <c r="P1191" s="2" t="s">
        <v>87</v>
      </c>
      <c r="Q1191" s="2" t="s">
        <v>157</v>
      </c>
      <c r="R1191" s="2" t="s">
        <v>158</v>
      </c>
      <c r="S1191" s="2" t="s">
        <v>46</v>
      </c>
      <c r="T1191">
        <v>1536</v>
      </c>
      <c r="U1191">
        <f>VLOOKUP(Auto_Sales_data___Copy[[#This Row],[CUSTOMER_NAME]],$AF$2:$AH$90,2,FALSE)</f>
        <v>46</v>
      </c>
      <c r="V1191">
        <f>VLOOKUP(Auto_Sales_data___Copy[[#This Row],[CUSTOMER_NAME]],$AF$2:$AH$90,3,FALSE)</f>
        <v>151570.98000000001</v>
      </c>
      <c r="W1191" s="2">
        <f>6-MATCH(Auto_Sales_data___Copy[[#This Row],[DAYS_SINCE_LAST_ORDER]],Table2[R-Cutoff],1)</f>
        <v>3</v>
      </c>
      <c r="X1191" s="2">
        <f>MATCH(Auto_Sales_data___Copy[[#This Row],[Total_Orders_Per_Customer]],Table2[F-Cutoff],1)</f>
        <v>4</v>
      </c>
      <c r="Y1191" s="2">
        <f>MATCH(Auto_Sales_data___Copy[[#This Row],[Total_Sales_Per_Customer]],Table2[M-Cutoff],1)</f>
        <v>4</v>
      </c>
      <c r="Z1191" s="2" t="str">
        <f>Auto_Sales_data___Copy[[#This Row],[R-Score(1-5)]]&amp;Auto_Sales_data___Copy[[#This Row],[F-Score(1-5)]]&amp;Auto_Sales_data___Copy[[#This Row],[M-Score(1-5)]]</f>
        <v>344</v>
      </c>
      <c r="AA1191" s="2" t="str" cm="1">
        <f t="array" ref="AA11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1" s="2" t="str">
        <f>VLOOKUP(Auto_Sales_data___Copy[[#This Row],[Segment Name]],Table3[],2,FALSE)</f>
        <v>Reward &amp; Upsell</v>
      </c>
    </row>
    <row r="1192" spans="1:28" x14ac:dyDescent="0.25">
      <c r="A1192">
        <v>10139</v>
      </c>
      <c r="B1192">
        <v>20</v>
      </c>
      <c r="C1192">
        <v>71.2</v>
      </c>
      <c r="D1192">
        <v>3</v>
      </c>
      <c r="E1192">
        <v>1424</v>
      </c>
      <c r="F1192" s="1">
        <v>43297</v>
      </c>
      <c r="G1192" s="2" t="s">
        <v>19</v>
      </c>
      <c r="H1192" s="2" t="s">
        <v>589</v>
      </c>
      <c r="I1192">
        <v>62</v>
      </c>
      <c r="J1192" s="2" t="s">
        <v>641</v>
      </c>
      <c r="K1192" s="2" t="s">
        <v>152</v>
      </c>
      <c r="L1192" s="2" t="s">
        <v>153</v>
      </c>
      <c r="M1192" s="2" t="s">
        <v>154</v>
      </c>
      <c r="N1192" s="2" t="s">
        <v>155</v>
      </c>
      <c r="O1192" s="2" t="s">
        <v>156</v>
      </c>
      <c r="P1192" s="2" t="s">
        <v>87</v>
      </c>
      <c r="Q1192" s="2" t="s">
        <v>157</v>
      </c>
      <c r="R1192" s="2" t="s">
        <v>158</v>
      </c>
      <c r="S1192" s="2" t="s">
        <v>30</v>
      </c>
      <c r="T1192">
        <v>1560</v>
      </c>
      <c r="U1192">
        <f>VLOOKUP(Auto_Sales_data___Copy[[#This Row],[CUSTOMER_NAME]],$AF$2:$AH$90,2,FALSE)</f>
        <v>46</v>
      </c>
      <c r="V1192">
        <f>VLOOKUP(Auto_Sales_data___Copy[[#This Row],[CUSTOMER_NAME]],$AF$2:$AH$90,3,FALSE)</f>
        <v>151570.98000000001</v>
      </c>
      <c r="W1192" s="2">
        <f>6-MATCH(Auto_Sales_data___Copy[[#This Row],[DAYS_SINCE_LAST_ORDER]],Table2[R-Cutoff],1)</f>
        <v>3</v>
      </c>
      <c r="X1192" s="2">
        <f>MATCH(Auto_Sales_data___Copy[[#This Row],[Total_Orders_Per_Customer]],Table2[F-Cutoff],1)</f>
        <v>4</v>
      </c>
      <c r="Y1192" s="2">
        <f>MATCH(Auto_Sales_data___Copy[[#This Row],[Total_Sales_Per_Customer]],Table2[M-Cutoff],1)</f>
        <v>4</v>
      </c>
      <c r="Z1192" s="2" t="str">
        <f>Auto_Sales_data___Copy[[#This Row],[R-Score(1-5)]]&amp;Auto_Sales_data___Copy[[#This Row],[F-Score(1-5)]]&amp;Auto_Sales_data___Copy[[#This Row],[M-Score(1-5)]]</f>
        <v>344</v>
      </c>
      <c r="AA1192" s="2" t="str" cm="1">
        <f t="array" ref="AA11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2" s="2" t="str">
        <f>VLOOKUP(Auto_Sales_data___Copy[[#This Row],[Segment Name]],Table3[],2,FALSE)</f>
        <v>Reward &amp; Upsell</v>
      </c>
    </row>
    <row r="1193" spans="1:28" x14ac:dyDescent="0.25">
      <c r="A1193">
        <v>10139</v>
      </c>
      <c r="B1193">
        <v>20</v>
      </c>
      <c r="C1193">
        <v>90.06</v>
      </c>
      <c r="D1193">
        <v>2</v>
      </c>
      <c r="E1193">
        <v>1801.2</v>
      </c>
      <c r="F1193" s="1">
        <v>43297</v>
      </c>
      <c r="G1193" s="2" t="s">
        <v>19</v>
      </c>
      <c r="H1193" s="2" t="s">
        <v>589</v>
      </c>
      <c r="I1193">
        <v>104</v>
      </c>
      <c r="J1193" s="2" t="s">
        <v>647</v>
      </c>
      <c r="K1193" s="2" t="s">
        <v>152</v>
      </c>
      <c r="L1193" s="2" t="s">
        <v>153</v>
      </c>
      <c r="M1193" s="2" t="s">
        <v>154</v>
      </c>
      <c r="N1193" s="2" t="s">
        <v>155</v>
      </c>
      <c r="O1193" s="2" t="s">
        <v>156</v>
      </c>
      <c r="P1193" s="2" t="s">
        <v>87</v>
      </c>
      <c r="Q1193" s="2" t="s">
        <v>157</v>
      </c>
      <c r="R1193" s="2" t="s">
        <v>158</v>
      </c>
      <c r="S1193" s="2" t="s">
        <v>30</v>
      </c>
      <c r="T1193">
        <v>1610</v>
      </c>
      <c r="U1193">
        <f>VLOOKUP(Auto_Sales_data___Copy[[#This Row],[CUSTOMER_NAME]],$AF$2:$AH$90,2,FALSE)</f>
        <v>46</v>
      </c>
      <c r="V1193">
        <f>VLOOKUP(Auto_Sales_data___Copy[[#This Row],[CUSTOMER_NAME]],$AF$2:$AH$90,3,FALSE)</f>
        <v>151570.98000000001</v>
      </c>
      <c r="W1193" s="2">
        <f>6-MATCH(Auto_Sales_data___Copy[[#This Row],[DAYS_SINCE_LAST_ORDER]],Table2[R-Cutoff],1)</f>
        <v>3</v>
      </c>
      <c r="X1193" s="2">
        <f>MATCH(Auto_Sales_data___Copy[[#This Row],[Total_Orders_Per_Customer]],Table2[F-Cutoff],1)</f>
        <v>4</v>
      </c>
      <c r="Y1193" s="2">
        <f>MATCH(Auto_Sales_data___Copy[[#This Row],[Total_Sales_Per_Customer]],Table2[M-Cutoff],1)</f>
        <v>4</v>
      </c>
      <c r="Z1193" s="2" t="str">
        <f>Auto_Sales_data___Copy[[#This Row],[R-Score(1-5)]]&amp;Auto_Sales_data___Copy[[#This Row],[F-Score(1-5)]]&amp;Auto_Sales_data___Copy[[#This Row],[M-Score(1-5)]]</f>
        <v>344</v>
      </c>
      <c r="AA1193" s="2" t="str" cm="1">
        <f t="array" ref="AA11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3" s="2" t="str">
        <f>VLOOKUP(Auto_Sales_data___Copy[[#This Row],[Segment Name]],Table3[],2,FALSE)</f>
        <v>Reward &amp; Upsell</v>
      </c>
    </row>
    <row r="1194" spans="1:28" x14ac:dyDescent="0.25">
      <c r="A1194">
        <v>10139</v>
      </c>
      <c r="B1194">
        <v>30</v>
      </c>
      <c r="C1194">
        <v>103.18</v>
      </c>
      <c r="D1194">
        <v>5</v>
      </c>
      <c r="E1194">
        <v>3095.4</v>
      </c>
      <c r="F1194" s="1">
        <v>43297</v>
      </c>
      <c r="G1194" s="2" t="s">
        <v>19</v>
      </c>
      <c r="H1194" s="2" t="s">
        <v>589</v>
      </c>
      <c r="I1194">
        <v>99</v>
      </c>
      <c r="J1194" s="2" t="s">
        <v>653</v>
      </c>
      <c r="K1194" s="2" t="s">
        <v>152</v>
      </c>
      <c r="L1194" s="2" t="s">
        <v>153</v>
      </c>
      <c r="M1194" s="2" t="s">
        <v>154</v>
      </c>
      <c r="N1194" s="2" t="s">
        <v>155</v>
      </c>
      <c r="O1194" s="2" t="s">
        <v>156</v>
      </c>
      <c r="P1194" s="2" t="s">
        <v>87</v>
      </c>
      <c r="Q1194" s="2" t="s">
        <v>157</v>
      </c>
      <c r="R1194" s="2" t="s">
        <v>158</v>
      </c>
      <c r="S1194" s="2" t="s">
        <v>46</v>
      </c>
      <c r="T1194">
        <v>1759</v>
      </c>
      <c r="U1194">
        <f>VLOOKUP(Auto_Sales_data___Copy[[#This Row],[CUSTOMER_NAME]],$AF$2:$AH$90,2,FALSE)</f>
        <v>46</v>
      </c>
      <c r="V1194">
        <f>VLOOKUP(Auto_Sales_data___Copy[[#This Row],[CUSTOMER_NAME]],$AF$2:$AH$90,3,FALSE)</f>
        <v>151570.98000000001</v>
      </c>
      <c r="W1194" s="2">
        <f>6-MATCH(Auto_Sales_data___Copy[[#This Row],[DAYS_SINCE_LAST_ORDER]],Table2[R-Cutoff],1)</f>
        <v>3</v>
      </c>
      <c r="X1194" s="2">
        <f>MATCH(Auto_Sales_data___Copy[[#This Row],[Total_Orders_Per_Customer]],Table2[F-Cutoff],1)</f>
        <v>4</v>
      </c>
      <c r="Y1194" s="2">
        <f>MATCH(Auto_Sales_data___Copy[[#This Row],[Total_Sales_Per_Customer]],Table2[M-Cutoff],1)</f>
        <v>4</v>
      </c>
      <c r="Z1194" s="2" t="str">
        <f>Auto_Sales_data___Copy[[#This Row],[R-Score(1-5)]]&amp;Auto_Sales_data___Copy[[#This Row],[F-Score(1-5)]]&amp;Auto_Sales_data___Copy[[#This Row],[M-Score(1-5)]]</f>
        <v>344</v>
      </c>
      <c r="AA1194" s="2" t="str" cm="1">
        <f t="array" ref="AA11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4" s="2" t="str">
        <f>VLOOKUP(Auto_Sales_data___Copy[[#This Row],[Segment Name]],Table3[],2,FALSE)</f>
        <v>Reward &amp; Upsell</v>
      </c>
    </row>
    <row r="1195" spans="1:28" x14ac:dyDescent="0.25">
      <c r="A1195">
        <v>10140</v>
      </c>
      <c r="B1195">
        <v>40</v>
      </c>
      <c r="C1195">
        <v>115.03</v>
      </c>
      <c r="D1195">
        <v>5</v>
      </c>
      <c r="E1195">
        <v>4601.2</v>
      </c>
      <c r="F1195" s="1">
        <v>43305</v>
      </c>
      <c r="G1195" s="2" t="s">
        <v>19</v>
      </c>
      <c r="H1195" s="2" t="s">
        <v>537</v>
      </c>
      <c r="I1195">
        <v>121</v>
      </c>
      <c r="J1195" s="2" t="s">
        <v>661</v>
      </c>
      <c r="K1195" s="2" t="s">
        <v>54</v>
      </c>
      <c r="L1195" s="2" t="s">
        <v>55</v>
      </c>
      <c r="M1195" s="2" t="s">
        <v>56</v>
      </c>
      <c r="N1195" s="2" t="s">
        <v>57</v>
      </c>
      <c r="O1195" s="2" t="s">
        <v>58</v>
      </c>
      <c r="P1195" s="2" t="s">
        <v>27</v>
      </c>
      <c r="Q1195" s="2" t="s">
        <v>59</v>
      </c>
      <c r="R1195" s="2" t="s">
        <v>60</v>
      </c>
      <c r="S1195" s="2" t="s">
        <v>46</v>
      </c>
      <c r="T1195">
        <v>1947</v>
      </c>
      <c r="U1195">
        <f>VLOOKUP(Auto_Sales_data___Copy[[#This Row],[CUSTOMER_NAME]],$AF$2:$AH$90,2,FALSE)</f>
        <v>34</v>
      </c>
      <c r="V1195">
        <f>VLOOKUP(Auto_Sales_data___Copy[[#This Row],[CUSTOMER_NAME]],$AF$2:$AH$90,3,FALSE)</f>
        <v>120783.07</v>
      </c>
      <c r="W1195" s="2">
        <f>6-MATCH(Auto_Sales_data___Copy[[#This Row],[DAYS_SINCE_LAST_ORDER]],Table2[R-Cutoff],1)</f>
        <v>3</v>
      </c>
      <c r="X1195" s="2">
        <f>MATCH(Auto_Sales_data___Copy[[#This Row],[Total_Orders_Per_Customer]],Table2[F-Cutoff],1)</f>
        <v>4</v>
      </c>
      <c r="Y1195" s="2">
        <f>MATCH(Auto_Sales_data___Copy[[#This Row],[Total_Sales_Per_Customer]],Table2[M-Cutoff],1)</f>
        <v>4</v>
      </c>
      <c r="Z1195" s="2" t="str">
        <f>Auto_Sales_data___Copy[[#This Row],[R-Score(1-5)]]&amp;Auto_Sales_data___Copy[[#This Row],[F-Score(1-5)]]&amp;Auto_Sales_data___Copy[[#This Row],[M-Score(1-5)]]</f>
        <v>344</v>
      </c>
      <c r="AA1195" s="2" t="str" cm="1">
        <f t="array" ref="AA11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5" s="2" t="str">
        <f>VLOOKUP(Auto_Sales_data___Copy[[#This Row],[Segment Name]],Table3[],2,FALSE)</f>
        <v>Reward &amp; Upsell</v>
      </c>
    </row>
    <row r="1196" spans="1:28" x14ac:dyDescent="0.25">
      <c r="A1196">
        <v>10140</v>
      </c>
      <c r="B1196">
        <v>29</v>
      </c>
      <c r="C1196">
        <v>43.27</v>
      </c>
      <c r="D1196">
        <v>9</v>
      </c>
      <c r="E1196">
        <v>1254.83</v>
      </c>
      <c r="F1196" s="1">
        <v>43305</v>
      </c>
      <c r="G1196" s="2" t="s">
        <v>19</v>
      </c>
      <c r="H1196" s="2" t="s">
        <v>589</v>
      </c>
      <c r="I1196">
        <v>50</v>
      </c>
      <c r="J1196" s="2" t="s">
        <v>662</v>
      </c>
      <c r="K1196" s="2" t="s">
        <v>54</v>
      </c>
      <c r="L1196" s="2" t="s">
        <v>55</v>
      </c>
      <c r="M1196" s="2" t="s">
        <v>56</v>
      </c>
      <c r="N1196" s="2" t="s">
        <v>57</v>
      </c>
      <c r="O1196" s="2" t="s">
        <v>58</v>
      </c>
      <c r="P1196" s="2" t="s">
        <v>27</v>
      </c>
      <c r="Q1196" s="2" t="s">
        <v>59</v>
      </c>
      <c r="R1196" s="2" t="s">
        <v>60</v>
      </c>
      <c r="S1196" s="2" t="s">
        <v>30</v>
      </c>
      <c r="T1196">
        <v>1974</v>
      </c>
      <c r="U1196">
        <f>VLOOKUP(Auto_Sales_data___Copy[[#This Row],[CUSTOMER_NAME]],$AF$2:$AH$90,2,FALSE)</f>
        <v>34</v>
      </c>
      <c r="V1196">
        <f>VLOOKUP(Auto_Sales_data___Copy[[#This Row],[CUSTOMER_NAME]],$AF$2:$AH$90,3,FALSE)</f>
        <v>120783.07</v>
      </c>
      <c r="W1196" s="2">
        <f>6-MATCH(Auto_Sales_data___Copy[[#This Row],[DAYS_SINCE_LAST_ORDER]],Table2[R-Cutoff],1)</f>
        <v>3</v>
      </c>
      <c r="X1196" s="2">
        <f>MATCH(Auto_Sales_data___Copy[[#This Row],[Total_Orders_Per_Customer]],Table2[F-Cutoff],1)</f>
        <v>4</v>
      </c>
      <c r="Y1196" s="2">
        <f>MATCH(Auto_Sales_data___Copy[[#This Row],[Total_Sales_Per_Customer]],Table2[M-Cutoff],1)</f>
        <v>4</v>
      </c>
      <c r="Z1196" s="2" t="str">
        <f>Auto_Sales_data___Copy[[#This Row],[R-Score(1-5)]]&amp;Auto_Sales_data___Copy[[#This Row],[F-Score(1-5)]]&amp;Auto_Sales_data___Copy[[#This Row],[M-Score(1-5)]]</f>
        <v>344</v>
      </c>
      <c r="AA1196" s="2" t="str" cm="1">
        <f t="array" ref="AA11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6" s="2" t="str">
        <f>VLOOKUP(Auto_Sales_data___Copy[[#This Row],[Segment Name]],Table3[],2,FALSE)</f>
        <v>Reward &amp; Upsell</v>
      </c>
    </row>
    <row r="1197" spans="1:28" x14ac:dyDescent="0.25">
      <c r="A1197">
        <v>10141</v>
      </c>
      <c r="B1197">
        <v>34</v>
      </c>
      <c r="C1197">
        <v>142.25</v>
      </c>
      <c r="D1197">
        <v>9</v>
      </c>
      <c r="E1197">
        <v>4836.5</v>
      </c>
      <c r="F1197" s="1">
        <v>43313</v>
      </c>
      <c r="G1197" s="2" t="s">
        <v>19</v>
      </c>
      <c r="H1197" s="2" t="s">
        <v>183</v>
      </c>
      <c r="I1197">
        <v>169</v>
      </c>
      <c r="J1197" s="2" t="s">
        <v>649</v>
      </c>
      <c r="K1197" s="2" t="s">
        <v>498</v>
      </c>
      <c r="L1197" s="2" t="s">
        <v>499</v>
      </c>
      <c r="M1197" s="2" t="s">
        <v>500</v>
      </c>
      <c r="N1197" s="2" t="s">
        <v>501</v>
      </c>
      <c r="O1197" s="2" t="s">
        <v>502</v>
      </c>
      <c r="P1197" s="2" t="s">
        <v>127</v>
      </c>
      <c r="Q1197" s="2" t="s">
        <v>503</v>
      </c>
      <c r="R1197" s="2" t="s">
        <v>504</v>
      </c>
      <c r="S1197" s="2" t="s">
        <v>46</v>
      </c>
      <c r="T1197">
        <v>1648</v>
      </c>
      <c r="U1197">
        <f>VLOOKUP(Auto_Sales_data___Copy[[#This Row],[CUSTOMER_NAME]],$AF$2:$AH$90,2,FALSE)</f>
        <v>30</v>
      </c>
      <c r="V1197">
        <f>VLOOKUP(Auto_Sales_data___Copy[[#This Row],[CUSTOMER_NAME]],$AF$2:$AH$90,3,FALSE)</f>
        <v>113961.14999999997</v>
      </c>
      <c r="W1197" s="2">
        <f>6-MATCH(Auto_Sales_data___Copy[[#This Row],[DAYS_SINCE_LAST_ORDER]],Table2[R-Cutoff],1)</f>
        <v>3</v>
      </c>
      <c r="X1197" s="2">
        <f>MATCH(Auto_Sales_data___Copy[[#This Row],[Total_Orders_Per_Customer]],Table2[F-Cutoff],1)</f>
        <v>4</v>
      </c>
      <c r="Y1197" s="2">
        <f>MATCH(Auto_Sales_data___Copy[[#This Row],[Total_Sales_Per_Customer]],Table2[M-Cutoff],1)</f>
        <v>4</v>
      </c>
      <c r="Z1197" s="2" t="str">
        <f>Auto_Sales_data___Copy[[#This Row],[R-Score(1-5)]]&amp;Auto_Sales_data___Copy[[#This Row],[F-Score(1-5)]]&amp;Auto_Sales_data___Copy[[#This Row],[M-Score(1-5)]]</f>
        <v>344</v>
      </c>
      <c r="AA1197" s="2" t="str" cm="1">
        <f t="array" ref="AA11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7" s="2" t="str">
        <f>VLOOKUP(Auto_Sales_data___Copy[[#This Row],[Segment Name]],Table3[],2,FALSE)</f>
        <v>Reward &amp; Upsell</v>
      </c>
    </row>
    <row r="1198" spans="1:28" x14ac:dyDescent="0.25">
      <c r="A1198">
        <v>10142</v>
      </c>
      <c r="B1198">
        <v>47</v>
      </c>
      <c r="C1198">
        <v>128.38999999999999</v>
      </c>
      <c r="D1198">
        <v>8</v>
      </c>
      <c r="E1198">
        <v>6034.33</v>
      </c>
      <c r="F1198" s="1">
        <v>43320</v>
      </c>
      <c r="G1198" s="2" t="s">
        <v>19</v>
      </c>
      <c r="H1198" s="2" t="s">
        <v>589</v>
      </c>
      <c r="I1198">
        <v>136</v>
      </c>
      <c r="J1198" s="2" t="s">
        <v>648</v>
      </c>
      <c r="K1198" s="2" t="s">
        <v>284</v>
      </c>
      <c r="L1198" s="2" t="s">
        <v>285</v>
      </c>
      <c r="M1198" s="2" t="s">
        <v>286</v>
      </c>
      <c r="N1198" s="2" t="s">
        <v>287</v>
      </c>
      <c r="O1198" s="2" t="s">
        <v>106</v>
      </c>
      <c r="P1198" s="2" t="s">
        <v>27</v>
      </c>
      <c r="Q1198" s="2" t="s">
        <v>288</v>
      </c>
      <c r="R1198" s="2" t="s">
        <v>289</v>
      </c>
      <c r="S1198" s="2" t="s">
        <v>46</v>
      </c>
      <c r="T1198">
        <v>1613</v>
      </c>
      <c r="U1198">
        <f>VLOOKUP(Auto_Sales_data___Copy[[#This Row],[CUSTOMER_NAME]],$AF$2:$AH$90,2,FALSE)</f>
        <v>180</v>
      </c>
      <c r="V1198">
        <f>VLOOKUP(Auto_Sales_data___Copy[[#This Row],[CUSTOMER_NAME]],$AF$2:$AH$90,3,FALSE)</f>
        <v>654858.06000000017</v>
      </c>
      <c r="W1198" s="2">
        <f>6-MATCH(Auto_Sales_data___Copy[[#This Row],[DAYS_SINCE_LAST_ORDER]],Table2[R-Cutoff],1)</f>
        <v>3</v>
      </c>
      <c r="X1198" s="2">
        <f>MATCH(Auto_Sales_data___Copy[[#This Row],[Total_Orders_Per_Customer]],Table2[F-Cutoff],1)</f>
        <v>4</v>
      </c>
      <c r="Y1198" s="2">
        <f>MATCH(Auto_Sales_data___Copy[[#This Row],[Total_Sales_Per_Customer]],Table2[M-Cutoff],1)</f>
        <v>4</v>
      </c>
      <c r="Z1198" s="2" t="str">
        <f>Auto_Sales_data___Copy[[#This Row],[R-Score(1-5)]]&amp;Auto_Sales_data___Copy[[#This Row],[F-Score(1-5)]]&amp;Auto_Sales_data___Copy[[#This Row],[M-Score(1-5)]]</f>
        <v>344</v>
      </c>
      <c r="AA1198" s="2" t="str" cm="1">
        <f t="array" ref="AA11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8" s="2" t="str">
        <f>VLOOKUP(Auto_Sales_data___Copy[[#This Row],[Segment Name]],Table3[],2,FALSE)</f>
        <v>Reward &amp; Upsell</v>
      </c>
    </row>
    <row r="1199" spans="1:28" x14ac:dyDescent="0.25">
      <c r="A1199">
        <v>10142</v>
      </c>
      <c r="B1199">
        <v>22</v>
      </c>
      <c r="C1199">
        <v>97.81</v>
      </c>
      <c r="D1199">
        <v>10</v>
      </c>
      <c r="E1199">
        <v>2151.8200000000002</v>
      </c>
      <c r="F1199" s="1">
        <v>43320</v>
      </c>
      <c r="G1199" s="2" t="s">
        <v>19</v>
      </c>
      <c r="H1199" s="2" t="s">
        <v>650</v>
      </c>
      <c r="I1199">
        <v>100</v>
      </c>
      <c r="J1199" s="2" t="s">
        <v>651</v>
      </c>
      <c r="K1199" s="2" t="s">
        <v>284</v>
      </c>
      <c r="L1199" s="2" t="s">
        <v>285</v>
      </c>
      <c r="M1199" s="2" t="s">
        <v>286</v>
      </c>
      <c r="N1199" s="2" t="s">
        <v>287</v>
      </c>
      <c r="O1199" s="2" t="s">
        <v>106</v>
      </c>
      <c r="P1199" s="2" t="s">
        <v>27</v>
      </c>
      <c r="Q1199" s="2" t="s">
        <v>288</v>
      </c>
      <c r="R1199" s="2" t="s">
        <v>289</v>
      </c>
      <c r="S1199" s="2" t="s">
        <v>30</v>
      </c>
      <c r="T1199">
        <v>1689</v>
      </c>
      <c r="U1199">
        <f>VLOOKUP(Auto_Sales_data___Copy[[#This Row],[CUSTOMER_NAME]],$AF$2:$AH$90,2,FALSE)</f>
        <v>180</v>
      </c>
      <c r="V1199">
        <f>VLOOKUP(Auto_Sales_data___Copy[[#This Row],[CUSTOMER_NAME]],$AF$2:$AH$90,3,FALSE)</f>
        <v>654858.06000000017</v>
      </c>
      <c r="W1199" s="2">
        <f>6-MATCH(Auto_Sales_data___Copy[[#This Row],[DAYS_SINCE_LAST_ORDER]],Table2[R-Cutoff],1)</f>
        <v>3</v>
      </c>
      <c r="X1199" s="2">
        <f>MATCH(Auto_Sales_data___Copy[[#This Row],[Total_Orders_Per_Customer]],Table2[F-Cutoff],1)</f>
        <v>4</v>
      </c>
      <c r="Y1199" s="2">
        <f>MATCH(Auto_Sales_data___Copy[[#This Row],[Total_Sales_Per_Customer]],Table2[M-Cutoff],1)</f>
        <v>4</v>
      </c>
      <c r="Z1199" s="2" t="str">
        <f>Auto_Sales_data___Copy[[#This Row],[R-Score(1-5)]]&amp;Auto_Sales_data___Copy[[#This Row],[F-Score(1-5)]]&amp;Auto_Sales_data___Copy[[#This Row],[M-Score(1-5)]]</f>
        <v>344</v>
      </c>
      <c r="AA1199" s="2" t="str" cm="1">
        <f t="array" ref="AA11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9" s="2" t="str">
        <f>VLOOKUP(Auto_Sales_data___Copy[[#This Row],[Segment Name]],Table3[],2,FALSE)</f>
        <v>Reward &amp; Upsell</v>
      </c>
    </row>
    <row r="1200" spans="1:28" x14ac:dyDescent="0.25">
      <c r="A1200">
        <v>10142</v>
      </c>
      <c r="B1200">
        <v>24</v>
      </c>
      <c r="C1200">
        <v>157.97999999999999</v>
      </c>
      <c r="D1200">
        <v>15</v>
      </c>
      <c r="E1200">
        <v>3791.52</v>
      </c>
      <c r="F1200" s="1">
        <v>43320</v>
      </c>
      <c r="G1200" s="2" t="s">
        <v>19</v>
      </c>
      <c r="H1200" s="2" t="s">
        <v>183</v>
      </c>
      <c r="I1200">
        <v>143</v>
      </c>
      <c r="J1200" s="2" t="s">
        <v>658</v>
      </c>
      <c r="K1200" s="2" t="s">
        <v>284</v>
      </c>
      <c r="L1200" s="2" t="s">
        <v>285</v>
      </c>
      <c r="M1200" s="2" t="s">
        <v>286</v>
      </c>
      <c r="N1200" s="2" t="s">
        <v>287</v>
      </c>
      <c r="O1200" s="2" t="s">
        <v>106</v>
      </c>
      <c r="P1200" s="2" t="s">
        <v>27</v>
      </c>
      <c r="Q1200" s="2" t="s">
        <v>288</v>
      </c>
      <c r="R1200" s="2" t="s">
        <v>289</v>
      </c>
      <c r="S1200" s="2" t="s">
        <v>46</v>
      </c>
      <c r="T1200">
        <v>1859</v>
      </c>
      <c r="U1200">
        <f>VLOOKUP(Auto_Sales_data___Copy[[#This Row],[CUSTOMER_NAME]],$AF$2:$AH$90,2,FALSE)</f>
        <v>180</v>
      </c>
      <c r="V1200">
        <f>VLOOKUP(Auto_Sales_data___Copy[[#This Row],[CUSTOMER_NAME]],$AF$2:$AH$90,3,FALSE)</f>
        <v>654858.06000000017</v>
      </c>
      <c r="W1200" s="2">
        <f>6-MATCH(Auto_Sales_data___Copy[[#This Row],[DAYS_SINCE_LAST_ORDER]],Table2[R-Cutoff],1)</f>
        <v>3</v>
      </c>
      <c r="X1200" s="2">
        <f>MATCH(Auto_Sales_data___Copy[[#This Row],[Total_Orders_Per_Customer]],Table2[F-Cutoff],1)</f>
        <v>4</v>
      </c>
      <c r="Y1200" s="2">
        <f>MATCH(Auto_Sales_data___Copy[[#This Row],[Total_Sales_Per_Customer]],Table2[M-Cutoff],1)</f>
        <v>4</v>
      </c>
      <c r="Z1200" s="2" t="str">
        <f>Auto_Sales_data___Copy[[#This Row],[R-Score(1-5)]]&amp;Auto_Sales_data___Copy[[#This Row],[F-Score(1-5)]]&amp;Auto_Sales_data___Copy[[#This Row],[M-Score(1-5)]]</f>
        <v>344</v>
      </c>
      <c r="AA1200" s="2" t="str" cm="1">
        <f t="array" ref="AA12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0" s="2" t="str">
        <f>VLOOKUP(Auto_Sales_data___Copy[[#This Row],[Segment Name]],Table3[],2,FALSE)</f>
        <v>Reward &amp; Upsell</v>
      </c>
    </row>
    <row r="1201" spans="1:28" x14ac:dyDescent="0.25">
      <c r="A1201">
        <v>10142</v>
      </c>
      <c r="B1201">
        <v>24</v>
      </c>
      <c r="C1201">
        <v>70.22</v>
      </c>
      <c r="D1201">
        <v>7</v>
      </c>
      <c r="E1201">
        <v>1685.28</v>
      </c>
      <c r="F1201" s="1">
        <v>43320</v>
      </c>
      <c r="G1201" s="2" t="s">
        <v>19</v>
      </c>
      <c r="H1201" s="2" t="s">
        <v>589</v>
      </c>
      <c r="I1201">
        <v>87</v>
      </c>
      <c r="J1201" s="2" t="s">
        <v>660</v>
      </c>
      <c r="K1201" s="2" t="s">
        <v>284</v>
      </c>
      <c r="L1201" s="2" t="s">
        <v>285</v>
      </c>
      <c r="M1201" s="2" t="s">
        <v>286</v>
      </c>
      <c r="N1201" s="2" t="s">
        <v>287</v>
      </c>
      <c r="O1201" s="2" t="s">
        <v>106</v>
      </c>
      <c r="P1201" s="2" t="s">
        <v>27</v>
      </c>
      <c r="Q1201" s="2" t="s">
        <v>288</v>
      </c>
      <c r="R1201" s="2" t="s">
        <v>289</v>
      </c>
      <c r="S1201" s="2" t="s">
        <v>30</v>
      </c>
      <c r="T1201">
        <v>1906</v>
      </c>
      <c r="U1201">
        <f>VLOOKUP(Auto_Sales_data___Copy[[#This Row],[CUSTOMER_NAME]],$AF$2:$AH$90,2,FALSE)</f>
        <v>180</v>
      </c>
      <c r="V1201">
        <f>VLOOKUP(Auto_Sales_data___Copy[[#This Row],[CUSTOMER_NAME]],$AF$2:$AH$90,3,FALSE)</f>
        <v>654858.06000000017</v>
      </c>
      <c r="W1201" s="2">
        <f>6-MATCH(Auto_Sales_data___Copy[[#This Row],[DAYS_SINCE_LAST_ORDER]],Table2[R-Cutoff],1)</f>
        <v>3</v>
      </c>
      <c r="X1201" s="2">
        <f>MATCH(Auto_Sales_data___Copy[[#This Row],[Total_Orders_Per_Customer]],Table2[F-Cutoff],1)</f>
        <v>4</v>
      </c>
      <c r="Y1201" s="2">
        <f>MATCH(Auto_Sales_data___Copy[[#This Row],[Total_Sales_Per_Customer]],Table2[M-Cutoff],1)</f>
        <v>4</v>
      </c>
      <c r="Z1201" s="2" t="str">
        <f>Auto_Sales_data___Copy[[#This Row],[R-Score(1-5)]]&amp;Auto_Sales_data___Copy[[#This Row],[F-Score(1-5)]]&amp;Auto_Sales_data___Copy[[#This Row],[M-Score(1-5)]]</f>
        <v>344</v>
      </c>
      <c r="AA1201" s="2" t="str" cm="1">
        <f t="array" ref="AA12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1" s="2" t="str">
        <f>VLOOKUP(Auto_Sales_data___Copy[[#This Row],[Segment Name]],Table3[],2,FALSE)</f>
        <v>Reward &amp; Upsell</v>
      </c>
    </row>
    <row r="1202" spans="1:28" x14ac:dyDescent="0.25">
      <c r="A1202">
        <v>10143</v>
      </c>
      <c r="B1202">
        <v>46</v>
      </c>
      <c r="C1202">
        <v>74.84</v>
      </c>
      <c r="D1202">
        <v>13</v>
      </c>
      <c r="E1202">
        <v>3442.64</v>
      </c>
      <c r="F1202" s="1">
        <v>43322</v>
      </c>
      <c r="G1202" s="2" t="s">
        <v>19</v>
      </c>
      <c r="H1202" s="2" t="s">
        <v>642</v>
      </c>
      <c r="I1202">
        <v>86</v>
      </c>
      <c r="J1202" s="2" t="s">
        <v>643</v>
      </c>
      <c r="K1202" s="2" t="s">
        <v>353</v>
      </c>
      <c r="L1202" s="2" t="s">
        <v>354</v>
      </c>
      <c r="M1202" s="2" t="s">
        <v>355</v>
      </c>
      <c r="N1202" s="2" t="s">
        <v>162</v>
      </c>
      <c r="O1202" s="2" t="s">
        <v>163</v>
      </c>
      <c r="P1202" s="2" t="s">
        <v>27</v>
      </c>
      <c r="Q1202" s="2" t="s">
        <v>356</v>
      </c>
      <c r="R1202" s="2" t="s">
        <v>357</v>
      </c>
      <c r="S1202" s="2" t="s">
        <v>46</v>
      </c>
      <c r="T1202">
        <v>1561</v>
      </c>
      <c r="U1202">
        <f>VLOOKUP(Auto_Sales_data___Copy[[#This Row],[CUSTOMER_NAME]],$AF$2:$AH$90,2,FALSE)</f>
        <v>35</v>
      </c>
      <c r="V1202">
        <f>VLOOKUP(Auto_Sales_data___Copy[[#This Row],[CUSTOMER_NAME]],$AF$2:$AH$90,3,FALSE)</f>
        <v>108951.12999999998</v>
      </c>
      <c r="W1202" s="2">
        <f>6-MATCH(Auto_Sales_data___Copy[[#This Row],[DAYS_SINCE_LAST_ORDER]],Table2[R-Cutoff],1)</f>
        <v>3</v>
      </c>
      <c r="X1202" s="2">
        <f>MATCH(Auto_Sales_data___Copy[[#This Row],[Total_Orders_Per_Customer]],Table2[F-Cutoff],1)</f>
        <v>4</v>
      </c>
      <c r="Y1202" s="2">
        <f>MATCH(Auto_Sales_data___Copy[[#This Row],[Total_Sales_Per_Customer]],Table2[M-Cutoff],1)</f>
        <v>4</v>
      </c>
      <c r="Z1202" s="2" t="str">
        <f>Auto_Sales_data___Copy[[#This Row],[R-Score(1-5)]]&amp;Auto_Sales_data___Copy[[#This Row],[F-Score(1-5)]]&amp;Auto_Sales_data___Copy[[#This Row],[M-Score(1-5)]]</f>
        <v>344</v>
      </c>
      <c r="AA1202" s="2" t="str" cm="1">
        <f t="array" ref="AA12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2" s="2" t="str">
        <f>VLOOKUP(Auto_Sales_data___Copy[[#This Row],[Segment Name]],Table3[],2,FALSE)</f>
        <v>Reward &amp; Upsell</v>
      </c>
    </row>
    <row r="1203" spans="1:28" x14ac:dyDescent="0.25">
      <c r="A1203">
        <v>10143</v>
      </c>
      <c r="B1203">
        <v>34</v>
      </c>
      <c r="C1203">
        <v>101.64</v>
      </c>
      <c r="D1203">
        <v>12</v>
      </c>
      <c r="E1203">
        <v>3455.76</v>
      </c>
      <c r="F1203" s="1">
        <v>43322</v>
      </c>
      <c r="G1203" s="2" t="s">
        <v>19</v>
      </c>
      <c r="H1203" s="2" t="s">
        <v>589</v>
      </c>
      <c r="I1203">
        <v>105</v>
      </c>
      <c r="J1203" s="2" t="s">
        <v>657</v>
      </c>
      <c r="K1203" s="2" t="s">
        <v>353</v>
      </c>
      <c r="L1203" s="2" t="s">
        <v>354</v>
      </c>
      <c r="M1203" s="2" t="s">
        <v>355</v>
      </c>
      <c r="N1203" s="2" t="s">
        <v>162</v>
      </c>
      <c r="O1203" s="2" t="s">
        <v>163</v>
      </c>
      <c r="P1203" s="2" t="s">
        <v>27</v>
      </c>
      <c r="Q1203" s="2" t="s">
        <v>356</v>
      </c>
      <c r="R1203" s="2" t="s">
        <v>357</v>
      </c>
      <c r="S1203" s="2" t="s">
        <v>46</v>
      </c>
      <c r="T1203">
        <v>1832</v>
      </c>
      <c r="U1203">
        <f>VLOOKUP(Auto_Sales_data___Copy[[#This Row],[CUSTOMER_NAME]],$AF$2:$AH$90,2,FALSE)</f>
        <v>35</v>
      </c>
      <c r="V1203">
        <f>VLOOKUP(Auto_Sales_data___Copy[[#This Row],[CUSTOMER_NAME]],$AF$2:$AH$90,3,FALSE)</f>
        <v>108951.12999999998</v>
      </c>
      <c r="W1203" s="2">
        <f>6-MATCH(Auto_Sales_data___Copy[[#This Row],[DAYS_SINCE_LAST_ORDER]],Table2[R-Cutoff],1)</f>
        <v>3</v>
      </c>
      <c r="X1203" s="2">
        <f>MATCH(Auto_Sales_data___Copy[[#This Row],[Total_Orders_Per_Customer]],Table2[F-Cutoff],1)</f>
        <v>4</v>
      </c>
      <c r="Y1203" s="2">
        <f>MATCH(Auto_Sales_data___Copy[[#This Row],[Total_Sales_Per_Customer]],Table2[M-Cutoff],1)</f>
        <v>4</v>
      </c>
      <c r="Z1203" s="2" t="str">
        <f>Auto_Sales_data___Copy[[#This Row],[R-Score(1-5)]]&amp;Auto_Sales_data___Copy[[#This Row],[F-Score(1-5)]]&amp;Auto_Sales_data___Copy[[#This Row],[M-Score(1-5)]]</f>
        <v>344</v>
      </c>
      <c r="AA1203" s="2" t="str" cm="1">
        <f t="array" ref="AA12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3" s="2" t="str">
        <f>VLOOKUP(Auto_Sales_data___Copy[[#This Row],[Segment Name]],Table3[],2,FALSE)</f>
        <v>Reward &amp; Upsell</v>
      </c>
    </row>
    <row r="1204" spans="1:28" x14ac:dyDescent="0.25">
      <c r="A1204">
        <v>10148</v>
      </c>
      <c r="B1204">
        <v>32</v>
      </c>
      <c r="C1204">
        <v>169.34</v>
      </c>
      <c r="D1204">
        <v>14</v>
      </c>
      <c r="E1204">
        <v>5418.88</v>
      </c>
      <c r="F1204" s="1">
        <v>43354</v>
      </c>
      <c r="G1204" s="2" t="s">
        <v>19</v>
      </c>
      <c r="H1204" s="2" t="s">
        <v>183</v>
      </c>
      <c r="I1204">
        <v>169</v>
      </c>
      <c r="J1204" s="2" t="s">
        <v>649</v>
      </c>
      <c r="K1204" s="2" t="s">
        <v>300</v>
      </c>
      <c r="L1204" s="2" t="s">
        <v>301</v>
      </c>
      <c r="M1204" s="2" t="s">
        <v>302</v>
      </c>
      <c r="N1204" s="2" t="s">
        <v>303</v>
      </c>
      <c r="O1204" s="2" t="s">
        <v>304</v>
      </c>
      <c r="P1204" s="2" t="s">
        <v>87</v>
      </c>
      <c r="Q1204" s="2" t="s">
        <v>305</v>
      </c>
      <c r="R1204" s="2" t="s">
        <v>306</v>
      </c>
      <c r="S1204" s="2" t="s">
        <v>46</v>
      </c>
      <c r="T1204">
        <v>1608</v>
      </c>
      <c r="U1204">
        <f>VLOOKUP(Auto_Sales_data___Copy[[#This Row],[CUSTOMER_NAME]],$AF$2:$AH$90,2,FALSE)</f>
        <v>46</v>
      </c>
      <c r="V1204">
        <f>VLOOKUP(Auto_Sales_data___Copy[[#This Row],[CUSTOMER_NAME]],$AF$2:$AH$90,3,FALSE)</f>
        <v>153996.12999999998</v>
      </c>
      <c r="W1204" s="2">
        <f>6-MATCH(Auto_Sales_data___Copy[[#This Row],[DAYS_SINCE_LAST_ORDER]],Table2[R-Cutoff],1)</f>
        <v>3</v>
      </c>
      <c r="X1204" s="2">
        <f>MATCH(Auto_Sales_data___Copy[[#This Row],[Total_Orders_Per_Customer]],Table2[F-Cutoff],1)</f>
        <v>4</v>
      </c>
      <c r="Y1204" s="2">
        <f>MATCH(Auto_Sales_data___Copy[[#This Row],[Total_Sales_Per_Customer]],Table2[M-Cutoff],1)</f>
        <v>4</v>
      </c>
      <c r="Z1204" s="2" t="str">
        <f>Auto_Sales_data___Copy[[#This Row],[R-Score(1-5)]]&amp;Auto_Sales_data___Copy[[#This Row],[F-Score(1-5)]]&amp;Auto_Sales_data___Copy[[#This Row],[M-Score(1-5)]]</f>
        <v>344</v>
      </c>
      <c r="AA1204" s="2" t="str" cm="1">
        <f t="array" ref="AA12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4" s="2" t="str">
        <f>VLOOKUP(Auto_Sales_data___Copy[[#This Row],[Segment Name]],Table3[],2,FALSE)</f>
        <v>Reward &amp; Upsell</v>
      </c>
    </row>
    <row r="1205" spans="1:28" x14ac:dyDescent="0.25">
      <c r="A1205">
        <v>10148</v>
      </c>
      <c r="B1205">
        <v>28</v>
      </c>
      <c r="C1205">
        <v>129.97999999999999</v>
      </c>
      <c r="D1205">
        <v>11</v>
      </c>
      <c r="E1205">
        <v>3639.44</v>
      </c>
      <c r="F1205" s="1">
        <v>43354</v>
      </c>
      <c r="G1205" s="2" t="s">
        <v>19</v>
      </c>
      <c r="H1205" s="2" t="s">
        <v>183</v>
      </c>
      <c r="I1205">
        <v>141</v>
      </c>
      <c r="J1205" s="2" t="s">
        <v>655</v>
      </c>
      <c r="K1205" s="2" t="s">
        <v>300</v>
      </c>
      <c r="L1205" s="2" t="s">
        <v>301</v>
      </c>
      <c r="M1205" s="2" t="s">
        <v>302</v>
      </c>
      <c r="N1205" s="2" t="s">
        <v>303</v>
      </c>
      <c r="O1205" s="2" t="s">
        <v>304</v>
      </c>
      <c r="P1205" s="2" t="s">
        <v>87</v>
      </c>
      <c r="Q1205" s="2" t="s">
        <v>305</v>
      </c>
      <c r="R1205" s="2" t="s">
        <v>306</v>
      </c>
      <c r="S1205" s="2" t="s">
        <v>46</v>
      </c>
      <c r="T1205">
        <v>1751</v>
      </c>
      <c r="U1205">
        <f>VLOOKUP(Auto_Sales_data___Copy[[#This Row],[CUSTOMER_NAME]],$AF$2:$AH$90,2,FALSE)</f>
        <v>46</v>
      </c>
      <c r="V1205">
        <f>VLOOKUP(Auto_Sales_data___Copy[[#This Row],[CUSTOMER_NAME]],$AF$2:$AH$90,3,FALSE)</f>
        <v>153996.12999999998</v>
      </c>
      <c r="W1205" s="2">
        <f>6-MATCH(Auto_Sales_data___Copy[[#This Row],[DAYS_SINCE_LAST_ORDER]],Table2[R-Cutoff],1)</f>
        <v>3</v>
      </c>
      <c r="X1205" s="2">
        <f>MATCH(Auto_Sales_data___Copy[[#This Row],[Total_Orders_Per_Customer]],Table2[F-Cutoff],1)</f>
        <v>4</v>
      </c>
      <c r="Y1205" s="2">
        <f>MATCH(Auto_Sales_data___Copy[[#This Row],[Total_Sales_Per_Customer]],Table2[M-Cutoff],1)</f>
        <v>4</v>
      </c>
      <c r="Z1205" s="2" t="str">
        <f>Auto_Sales_data___Copy[[#This Row],[R-Score(1-5)]]&amp;Auto_Sales_data___Copy[[#This Row],[F-Score(1-5)]]&amp;Auto_Sales_data___Copy[[#This Row],[M-Score(1-5)]]</f>
        <v>344</v>
      </c>
      <c r="AA1205" s="2" t="str" cm="1">
        <f t="array" ref="AA12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5" s="2" t="str">
        <f>VLOOKUP(Auto_Sales_data___Copy[[#This Row],[Segment Name]],Table3[],2,FALSE)</f>
        <v>Reward &amp; Upsell</v>
      </c>
    </row>
    <row r="1206" spans="1:28" x14ac:dyDescent="0.25">
      <c r="A1206">
        <v>10148</v>
      </c>
      <c r="B1206">
        <v>34</v>
      </c>
      <c r="C1206">
        <v>105.83</v>
      </c>
      <c r="D1206">
        <v>1</v>
      </c>
      <c r="E1206">
        <v>3598.22</v>
      </c>
      <c r="F1206" s="1">
        <v>43354</v>
      </c>
      <c r="G1206" s="2" t="s">
        <v>19</v>
      </c>
      <c r="H1206" s="2" t="s">
        <v>589</v>
      </c>
      <c r="I1206">
        <v>92</v>
      </c>
      <c r="J1206" s="2" t="s">
        <v>659</v>
      </c>
      <c r="K1206" s="2" t="s">
        <v>300</v>
      </c>
      <c r="L1206" s="2" t="s">
        <v>301</v>
      </c>
      <c r="M1206" s="2" t="s">
        <v>302</v>
      </c>
      <c r="N1206" s="2" t="s">
        <v>303</v>
      </c>
      <c r="O1206" s="2" t="s">
        <v>304</v>
      </c>
      <c r="P1206" s="2" t="s">
        <v>87</v>
      </c>
      <c r="Q1206" s="2" t="s">
        <v>305</v>
      </c>
      <c r="R1206" s="2" t="s">
        <v>306</v>
      </c>
      <c r="S1206" s="2" t="s">
        <v>46</v>
      </c>
      <c r="T1206">
        <v>1851</v>
      </c>
      <c r="U1206">
        <f>VLOOKUP(Auto_Sales_data___Copy[[#This Row],[CUSTOMER_NAME]],$AF$2:$AH$90,2,FALSE)</f>
        <v>46</v>
      </c>
      <c r="V1206">
        <f>VLOOKUP(Auto_Sales_data___Copy[[#This Row],[CUSTOMER_NAME]],$AF$2:$AH$90,3,FALSE)</f>
        <v>153996.12999999998</v>
      </c>
      <c r="W1206" s="2">
        <f>6-MATCH(Auto_Sales_data___Copy[[#This Row],[DAYS_SINCE_LAST_ORDER]],Table2[R-Cutoff],1)</f>
        <v>3</v>
      </c>
      <c r="X1206" s="2">
        <f>MATCH(Auto_Sales_data___Copy[[#This Row],[Total_Orders_Per_Customer]],Table2[F-Cutoff],1)</f>
        <v>4</v>
      </c>
      <c r="Y1206" s="2">
        <f>MATCH(Auto_Sales_data___Copy[[#This Row],[Total_Sales_Per_Customer]],Table2[M-Cutoff],1)</f>
        <v>4</v>
      </c>
      <c r="Z1206" s="2" t="str">
        <f>Auto_Sales_data___Copy[[#This Row],[R-Score(1-5)]]&amp;Auto_Sales_data___Copy[[#This Row],[F-Score(1-5)]]&amp;Auto_Sales_data___Copy[[#This Row],[M-Score(1-5)]]</f>
        <v>344</v>
      </c>
      <c r="AA1206" s="2" t="str" cm="1">
        <f t="array" ref="AA12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6" s="2" t="str">
        <f>VLOOKUP(Auto_Sales_data___Copy[[#This Row],[Segment Name]],Table3[],2,FALSE)</f>
        <v>Reward &amp; Upsell</v>
      </c>
    </row>
    <row r="1207" spans="1:28" x14ac:dyDescent="0.25">
      <c r="A1207">
        <v>10148</v>
      </c>
      <c r="B1207">
        <v>29</v>
      </c>
      <c r="C1207">
        <v>81.25</v>
      </c>
      <c r="D1207">
        <v>2</v>
      </c>
      <c r="E1207">
        <v>2356.25</v>
      </c>
      <c r="F1207" s="1">
        <v>43354</v>
      </c>
      <c r="G1207" s="2" t="s">
        <v>19</v>
      </c>
      <c r="H1207" s="2" t="s">
        <v>183</v>
      </c>
      <c r="I1207">
        <v>71</v>
      </c>
      <c r="J1207" s="2" t="s">
        <v>664</v>
      </c>
      <c r="K1207" s="2" t="s">
        <v>300</v>
      </c>
      <c r="L1207" s="2" t="s">
        <v>301</v>
      </c>
      <c r="M1207" s="2" t="s">
        <v>302</v>
      </c>
      <c r="N1207" s="2" t="s">
        <v>303</v>
      </c>
      <c r="O1207" s="2" t="s">
        <v>304</v>
      </c>
      <c r="P1207" s="2" t="s">
        <v>87</v>
      </c>
      <c r="Q1207" s="2" t="s">
        <v>305</v>
      </c>
      <c r="R1207" s="2" t="s">
        <v>306</v>
      </c>
      <c r="S1207" s="2" t="s">
        <v>30</v>
      </c>
      <c r="T1207">
        <v>1973</v>
      </c>
      <c r="U1207">
        <f>VLOOKUP(Auto_Sales_data___Copy[[#This Row],[CUSTOMER_NAME]],$AF$2:$AH$90,2,FALSE)</f>
        <v>46</v>
      </c>
      <c r="V1207">
        <f>VLOOKUP(Auto_Sales_data___Copy[[#This Row],[CUSTOMER_NAME]],$AF$2:$AH$90,3,FALSE)</f>
        <v>153996.12999999998</v>
      </c>
      <c r="W1207" s="2">
        <f>6-MATCH(Auto_Sales_data___Copy[[#This Row],[DAYS_SINCE_LAST_ORDER]],Table2[R-Cutoff],1)</f>
        <v>3</v>
      </c>
      <c r="X1207" s="2">
        <f>MATCH(Auto_Sales_data___Copy[[#This Row],[Total_Orders_Per_Customer]],Table2[F-Cutoff],1)</f>
        <v>4</v>
      </c>
      <c r="Y1207" s="2">
        <f>MATCH(Auto_Sales_data___Copy[[#This Row],[Total_Sales_Per_Customer]],Table2[M-Cutoff],1)</f>
        <v>4</v>
      </c>
      <c r="Z1207" s="2" t="str">
        <f>Auto_Sales_data___Copy[[#This Row],[R-Score(1-5)]]&amp;Auto_Sales_data___Copy[[#This Row],[F-Score(1-5)]]&amp;Auto_Sales_data___Copy[[#This Row],[M-Score(1-5)]]</f>
        <v>344</v>
      </c>
      <c r="AA1207" s="2" t="str" cm="1">
        <f t="array" ref="AA12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7" s="2" t="str">
        <f>VLOOKUP(Auto_Sales_data___Copy[[#This Row],[Segment Name]],Table3[],2,FALSE)</f>
        <v>Reward &amp; Upsell</v>
      </c>
    </row>
    <row r="1208" spans="1:28" x14ac:dyDescent="0.25">
      <c r="A1208">
        <v>10148</v>
      </c>
      <c r="B1208">
        <v>25</v>
      </c>
      <c r="C1208">
        <v>60.26</v>
      </c>
      <c r="D1208">
        <v>6</v>
      </c>
      <c r="E1208">
        <v>1506.5</v>
      </c>
      <c r="F1208" s="1">
        <v>43354</v>
      </c>
      <c r="G1208" s="2" t="s">
        <v>19</v>
      </c>
      <c r="H1208" s="2" t="s">
        <v>183</v>
      </c>
      <c r="I1208">
        <v>73</v>
      </c>
      <c r="J1208" s="2" t="s">
        <v>665</v>
      </c>
      <c r="K1208" s="2" t="s">
        <v>300</v>
      </c>
      <c r="L1208" s="2" t="s">
        <v>301</v>
      </c>
      <c r="M1208" s="2" t="s">
        <v>302</v>
      </c>
      <c r="N1208" s="2" t="s">
        <v>303</v>
      </c>
      <c r="O1208" s="2" t="s">
        <v>304</v>
      </c>
      <c r="P1208" s="2" t="s">
        <v>87</v>
      </c>
      <c r="Q1208" s="2" t="s">
        <v>305</v>
      </c>
      <c r="R1208" s="2" t="s">
        <v>306</v>
      </c>
      <c r="S1208" s="2" t="s">
        <v>30</v>
      </c>
      <c r="T1208">
        <v>1995</v>
      </c>
      <c r="U1208">
        <f>VLOOKUP(Auto_Sales_data___Copy[[#This Row],[CUSTOMER_NAME]],$AF$2:$AH$90,2,FALSE)</f>
        <v>46</v>
      </c>
      <c r="V1208">
        <f>VLOOKUP(Auto_Sales_data___Copy[[#This Row],[CUSTOMER_NAME]],$AF$2:$AH$90,3,FALSE)</f>
        <v>153996.12999999998</v>
      </c>
      <c r="W1208" s="2">
        <f>6-MATCH(Auto_Sales_data___Copy[[#This Row],[DAYS_SINCE_LAST_ORDER]],Table2[R-Cutoff],1)</f>
        <v>3</v>
      </c>
      <c r="X1208" s="2">
        <f>MATCH(Auto_Sales_data___Copy[[#This Row],[Total_Orders_Per_Customer]],Table2[F-Cutoff],1)</f>
        <v>4</v>
      </c>
      <c r="Y1208" s="2">
        <f>MATCH(Auto_Sales_data___Copy[[#This Row],[Total_Sales_Per_Customer]],Table2[M-Cutoff],1)</f>
        <v>4</v>
      </c>
      <c r="Z1208" s="2" t="str">
        <f>Auto_Sales_data___Copy[[#This Row],[R-Score(1-5)]]&amp;Auto_Sales_data___Copy[[#This Row],[F-Score(1-5)]]&amp;Auto_Sales_data___Copy[[#This Row],[M-Score(1-5)]]</f>
        <v>344</v>
      </c>
      <c r="AA1208" s="2" t="str" cm="1">
        <f t="array" ref="AA12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8" s="2" t="str">
        <f>VLOOKUP(Auto_Sales_data___Copy[[#This Row],[Segment Name]],Table3[],2,FALSE)</f>
        <v>Reward &amp; Upsell</v>
      </c>
    </row>
    <row r="1209" spans="1:28" x14ac:dyDescent="0.25">
      <c r="A1209">
        <v>10150</v>
      </c>
      <c r="B1209">
        <v>30</v>
      </c>
      <c r="C1209">
        <v>49.97</v>
      </c>
      <c r="D1209">
        <v>11</v>
      </c>
      <c r="E1209">
        <v>1499.1</v>
      </c>
      <c r="F1209" s="1">
        <v>43362</v>
      </c>
      <c r="G1209" s="2" t="s">
        <v>19</v>
      </c>
      <c r="H1209" s="2" t="s">
        <v>589</v>
      </c>
      <c r="I1209">
        <v>62</v>
      </c>
      <c r="J1209" s="2" t="s">
        <v>641</v>
      </c>
      <c r="K1209" s="2" t="s">
        <v>199</v>
      </c>
      <c r="L1209" s="2" t="s">
        <v>200</v>
      </c>
      <c r="M1209" s="2" t="s">
        <v>201</v>
      </c>
      <c r="N1209" s="2" t="s">
        <v>202</v>
      </c>
      <c r="O1209" s="2" t="s">
        <v>203</v>
      </c>
      <c r="P1209" s="2" t="s">
        <v>202</v>
      </c>
      <c r="Q1209" s="2" t="s">
        <v>204</v>
      </c>
      <c r="R1209" s="2" t="s">
        <v>205</v>
      </c>
      <c r="S1209" s="2" t="s">
        <v>30</v>
      </c>
      <c r="T1209">
        <v>1496</v>
      </c>
      <c r="U1209">
        <f>VLOOKUP(Auto_Sales_data___Copy[[#This Row],[CUSTOMER_NAME]],$AF$2:$AH$90,2,FALSE)</f>
        <v>43</v>
      </c>
      <c r="V1209">
        <f>VLOOKUP(Auto_Sales_data___Copy[[#This Row],[CUSTOMER_NAME]],$AF$2:$AH$90,3,FALSE)</f>
        <v>172989.68000000008</v>
      </c>
      <c r="W1209" s="2">
        <f>6-MATCH(Auto_Sales_data___Copy[[#This Row],[DAYS_SINCE_LAST_ORDER]],Table2[R-Cutoff],1)</f>
        <v>3</v>
      </c>
      <c r="X1209" s="2">
        <f>MATCH(Auto_Sales_data___Copy[[#This Row],[Total_Orders_Per_Customer]],Table2[F-Cutoff],1)</f>
        <v>4</v>
      </c>
      <c r="Y1209" s="2">
        <f>MATCH(Auto_Sales_data___Copy[[#This Row],[Total_Sales_Per_Customer]],Table2[M-Cutoff],1)</f>
        <v>4</v>
      </c>
      <c r="Z1209" s="2" t="str">
        <f>Auto_Sales_data___Copy[[#This Row],[R-Score(1-5)]]&amp;Auto_Sales_data___Copy[[#This Row],[F-Score(1-5)]]&amp;Auto_Sales_data___Copy[[#This Row],[M-Score(1-5)]]</f>
        <v>344</v>
      </c>
      <c r="AA1209" s="2" t="str" cm="1">
        <f t="array" ref="AA12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9" s="2" t="str">
        <f>VLOOKUP(Auto_Sales_data___Copy[[#This Row],[Segment Name]],Table3[],2,FALSE)</f>
        <v>Reward &amp; Upsell</v>
      </c>
    </row>
    <row r="1210" spans="1:28" x14ac:dyDescent="0.25">
      <c r="A1210">
        <v>10150</v>
      </c>
      <c r="B1210">
        <v>26</v>
      </c>
      <c r="C1210">
        <v>107.86</v>
      </c>
      <c r="D1210">
        <v>10</v>
      </c>
      <c r="E1210">
        <v>2804.36</v>
      </c>
      <c r="F1210" s="1">
        <v>43362</v>
      </c>
      <c r="G1210" s="2" t="s">
        <v>19</v>
      </c>
      <c r="H1210" s="2" t="s">
        <v>589</v>
      </c>
      <c r="I1210">
        <v>104</v>
      </c>
      <c r="J1210" s="2" t="s">
        <v>647</v>
      </c>
      <c r="K1210" s="2" t="s">
        <v>199</v>
      </c>
      <c r="L1210" s="2" t="s">
        <v>200</v>
      </c>
      <c r="M1210" s="2" t="s">
        <v>201</v>
      </c>
      <c r="N1210" s="2" t="s">
        <v>202</v>
      </c>
      <c r="O1210" s="2" t="s">
        <v>203</v>
      </c>
      <c r="P1210" s="2" t="s">
        <v>202</v>
      </c>
      <c r="Q1210" s="2" t="s">
        <v>204</v>
      </c>
      <c r="R1210" s="2" t="s">
        <v>205</v>
      </c>
      <c r="S1210" s="2" t="s">
        <v>30</v>
      </c>
      <c r="T1210">
        <v>1546</v>
      </c>
      <c r="U1210">
        <f>VLOOKUP(Auto_Sales_data___Copy[[#This Row],[CUSTOMER_NAME]],$AF$2:$AH$90,2,FALSE)</f>
        <v>43</v>
      </c>
      <c r="V1210">
        <f>VLOOKUP(Auto_Sales_data___Copy[[#This Row],[CUSTOMER_NAME]],$AF$2:$AH$90,3,FALSE)</f>
        <v>172989.68000000008</v>
      </c>
      <c r="W1210" s="2">
        <f>6-MATCH(Auto_Sales_data___Copy[[#This Row],[DAYS_SINCE_LAST_ORDER]],Table2[R-Cutoff],1)</f>
        <v>3</v>
      </c>
      <c r="X1210" s="2">
        <f>MATCH(Auto_Sales_data___Copy[[#This Row],[Total_Orders_Per_Customer]],Table2[F-Cutoff],1)</f>
        <v>4</v>
      </c>
      <c r="Y1210" s="2">
        <f>MATCH(Auto_Sales_data___Copy[[#This Row],[Total_Sales_Per_Customer]],Table2[M-Cutoff],1)</f>
        <v>4</v>
      </c>
      <c r="Z1210" s="2" t="str">
        <f>Auto_Sales_data___Copy[[#This Row],[R-Score(1-5)]]&amp;Auto_Sales_data___Copy[[#This Row],[F-Score(1-5)]]&amp;Auto_Sales_data___Copy[[#This Row],[M-Score(1-5)]]</f>
        <v>344</v>
      </c>
      <c r="AA1210" s="2" t="str" cm="1">
        <f t="array" ref="AA12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0" s="2" t="str">
        <f>VLOOKUP(Auto_Sales_data___Copy[[#This Row],[Segment Name]],Table3[],2,FALSE)</f>
        <v>Reward &amp; Upsell</v>
      </c>
    </row>
    <row r="1211" spans="1:28" x14ac:dyDescent="0.25">
      <c r="A1211">
        <v>10150</v>
      </c>
      <c r="B1211">
        <v>49</v>
      </c>
      <c r="C1211">
        <v>131.97999999999999</v>
      </c>
      <c r="D1211">
        <v>2</v>
      </c>
      <c r="E1211">
        <v>6467.02</v>
      </c>
      <c r="F1211" s="1">
        <v>43362</v>
      </c>
      <c r="G1211" s="2" t="s">
        <v>19</v>
      </c>
      <c r="H1211" s="2" t="s">
        <v>537</v>
      </c>
      <c r="I1211">
        <v>121</v>
      </c>
      <c r="J1211" s="2" t="s">
        <v>661</v>
      </c>
      <c r="K1211" s="2" t="s">
        <v>199</v>
      </c>
      <c r="L1211" s="2" t="s">
        <v>200</v>
      </c>
      <c r="M1211" s="2" t="s">
        <v>201</v>
      </c>
      <c r="N1211" s="2" t="s">
        <v>202</v>
      </c>
      <c r="O1211" s="2" t="s">
        <v>203</v>
      </c>
      <c r="P1211" s="2" t="s">
        <v>202</v>
      </c>
      <c r="Q1211" s="2" t="s">
        <v>204</v>
      </c>
      <c r="R1211" s="2" t="s">
        <v>205</v>
      </c>
      <c r="S1211" s="2" t="s">
        <v>46</v>
      </c>
      <c r="T1211">
        <v>1891</v>
      </c>
      <c r="U1211">
        <f>VLOOKUP(Auto_Sales_data___Copy[[#This Row],[CUSTOMER_NAME]],$AF$2:$AH$90,2,FALSE)</f>
        <v>43</v>
      </c>
      <c r="V1211">
        <f>VLOOKUP(Auto_Sales_data___Copy[[#This Row],[CUSTOMER_NAME]],$AF$2:$AH$90,3,FALSE)</f>
        <v>172989.68000000008</v>
      </c>
      <c r="W1211" s="2">
        <f>6-MATCH(Auto_Sales_data___Copy[[#This Row],[DAYS_SINCE_LAST_ORDER]],Table2[R-Cutoff],1)</f>
        <v>3</v>
      </c>
      <c r="X1211" s="2">
        <f>MATCH(Auto_Sales_data___Copy[[#This Row],[Total_Orders_Per_Customer]],Table2[F-Cutoff],1)</f>
        <v>4</v>
      </c>
      <c r="Y1211" s="2">
        <f>MATCH(Auto_Sales_data___Copy[[#This Row],[Total_Sales_Per_Customer]],Table2[M-Cutoff],1)</f>
        <v>4</v>
      </c>
      <c r="Z1211" s="2" t="str">
        <f>Auto_Sales_data___Copy[[#This Row],[R-Score(1-5)]]&amp;Auto_Sales_data___Copy[[#This Row],[F-Score(1-5)]]&amp;Auto_Sales_data___Copy[[#This Row],[M-Score(1-5)]]</f>
        <v>344</v>
      </c>
      <c r="AA1211" s="2" t="str" cm="1">
        <f t="array" ref="AA12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1" s="2" t="str">
        <f>VLOOKUP(Auto_Sales_data___Copy[[#This Row],[Segment Name]],Table3[],2,FALSE)</f>
        <v>Reward &amp; Upsell</v>
      </c>
    </row>
    <row r="1212" spans="1:28" x14ac:dyDescent="0.25">
      <c r="A1212">
        <v>10150</v>
      </c>
      <c r="B1212">
        <v>30</v>
      </c>
      <c r="C1212">
        <v>42.76</v>
      </c>
      <c r="D1212">
        <v>6</v>
      </c>
      <c r="E1212">
        <v>1282.8</v>
      </c>
      <c r="F1212" s="1">
        <v>43362</v>
      </c>
      <c r="G1212" s="2" t="s">
        <v>19</v>
      </c>
      <c r="H1212" s="2" t="s">
        <v>589</v>
      </c>
      <c r="I1212">
        <v>50</v>
      </c>
      <c r="J1212" s="2" t="s">
        <v>662</v>
      </c>
      <c r="K1212" s="2" t="s">
        <v>199</v>
      </c>
      <c r="L1212" s="2" t="s">
        <v>200</v>
      </c>
      <c r="M1212" s="2" t="s">
        <v>201</v>
      </c>
      <c r="N1212" s="2" t="s">
        <v>202</v>
      </c>
      <c r="O1212" s="2" t="s">
        <v>203</v>
      </c>
      <c r="P1212" s="2" t="s">
        <v>202</v>
      </c>
      <c r="Q1212" s="2" t="s">
        <v>204</v>
      </c>
      <c r="R1212" s="2" t="s">
        <v>205</v>
      </c>
      <c r="S1212" s="2" t="s">
        <v>30</v>
      </c>
      <c r="T1212">
        <v>1918</v>
      </c>
      <c r="U1212">
        <f>VLOOKUP(Auto_Sales_data___Copy[[#This Row],[CUSTOMER_NAME]],$AF$2:$AH$90,2,FALSE)</f>
        <v>43</v>
      </c>
      <c r="V1212">
        <f>VLOOKUP(Auto_Sales_data___Copy[[#This Row],[CUSTOMER_NAME]],$AF$2:$AH$90,3,FALSE)</f>
        <v>172989.68000000008</v>
      </c>
      <c r="W1212" s="2">
        <f>6-MATCH(Auto_Sales_data___Copy[[#This Row],[DAYS_SINCE_LAST_ORDER]],Table2[R-Cutoff],1)</f>
        <v>3</v>
      </c>
      <c r="X1212" s="2">
        <f>MATCH(Auto_Sales_data___Copy[[#This Row],[Total_Orders_Per_Customer]],Table2[F-Cutoff],1)</f>
        <v>4</v>
      </c>
      <c r="Y1212" s="2">
        <f>MATCH(Auto_Sales_data___Copy[[#This Row],[Total_Sales_Per_Customer]],Table2[M-Cutoff],1)</f>
        <v>4</v>
      </c>
      <c r="Z1212" s="2" t="str">
        <f>Auto_Sales_data___Copy[[#This Row],[R-Score(1-5)]]&amp;Auto_Sales_data___Copy[[#This Row],[F-Score(1-5)]]&amp;Auto_Sales_data___Copy[[#This Row],[M-Score(1-5)]]</f>
        <v>344</v>
      </c>
      <c r="AA1212" s="2" t="str" cm="1">
        <f t="array" ref="AA12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2" s="2" t="str">
        <f>VLOOKUP(Auto_Sales_data___Copy[[#This Row],[Segment Name]],Table3[],2,FALSE)</f>
        <v>Reward &amp; Upsell</v>
      </c>
    </row>
    <row r="1213" spans="1:28" x14ac:dyDescent="0.25">
      <c r="A1213">
        <v>10151</v>
      </c>
      <c r="B1213">
        <v>21</v>
      </c>
      <c r="C1213">
        <v>177.81</v>
      </c>
      <c r="D1213">
        <v>7</v>
      </c>
      <c r="E1213">
        <v>3734.01</v>
      </c>
      <c r="F1213" s="1">
        <v>43364</v>
      </c>
      <c r="G1213" s="2" t="s">
        <v>19</v>
      </c>
      <c r="H1213" s="2" t="s">
        <v>183</v>
      </c>
      <c r="I1213">
        <v>169</v>
      </c>
      <c r="J1213" s="2" t="s">
        <v>649</v>
      </c>
      <c r="K1213" s="2" t="s">
        <v>411</v>
      </c>
      <c r="L1213" s="2" t="s">
        <v>412</v>
      </c>
      <c r="M1213" s="2" t="s">
        <v>413</v>
      </c>
      <c r="N1213" s="2" t="s">
        <v>414</v>
      </c>
      <c r="O1213" s="2" t="s">
        <v>415</v>
      </c>
      <c r="P1213" s="2" t="s">
        <v>127</v>
      </c>
      <c r="Q1213" s="2" t="s">
        <v>416</v>
      </c>
      <c r="R1213" s="2" t="s">
        <v>417</v>
      </c>
      <c r="S1213" s="2" t="s">
        <v>46</v>
      </c>
      <c r="T1213">
        <v>1599</v>
      </c>
      <c r="U1213">
        <f>VLOOKUP(Auto_Sales_data___Copy[[#This Row],[CUSTOMER_NAME]],$AF$2:$AH$90,2,FALSE)</f>
        <v>32</v>
      </c>
      <c r="V1213">
        <f>VLOOKUP(Auto_Sales_data___Copy[[#This Row],[CUSTOMER_NAME]],$AF$2:$AH$90,3,FALSE)</f>
        <v>104370.37999999999</v>
      </c>
      <c r="W1213" s="2">
        <f>6-MATCH(Auto_Sales_data___Copy[[#This Row],[DAYS_SINCE_LAST_ORDER]],Table2[R-Cutoff],1)</f>
        <v>3</v>
      </c>
      <c r="X1213" s="2">
        <f>MATCH(Auto_Sales_data___Copy[[#This Row],[Total_Orders_Per_Customer]],Table2[F-Cutoff],1)</f>
        <v>4</v>
      </c>
      <c r="Y1213" s="2">
        <f>MATCH(Auto_Sales_data___Copy[[#This Row],[Total_Sales_Per_Customer]],Table2[M-Cutoff],1)</f>
        <v>4</v>
      </c>
      <c r="Z1213" s="2" t="str">
        <f>Auto_Sales_data___Copy[[#This Row],[R-Score(1-5)]]&amp;Auto_Sales_data___Copy[[#This Row],[F-Score(1-5)]]&amp;Auto_Sales_data___Copy[[#This Row],[M-Score(1-5)]]</f>
        <v>344</v>
      </c>
      <c r="AA1213" s="2" t="str" cm="1">
        <f t="array" ref="AA12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3" s="2" t="str">
        <f>VLOOKUP(Auto_Sales_data___Copy[[#This Row],[Segment Name]],Table3[],2,FALSE)</f>
        <v>Reward &amp; Upsell</v>
      </c>
    </row>
    <row r="1214" spans="1:28" x14ac:dyDescent="0.25">
      <c r="A1214">
        <v>10155</v>
      </c>
      <c r="B1214">
        <v>44</v>
      </c>
      <c r="C1214">
        <v>79.14</v>
      </c>
      <c r="D1214">
        <v>11</v>
      </c>
      <c r="E1214">
        <v>3482.16</v>
      </c>
      <c r="F1214" s="1">
        <v>43379</v>
      </c>
      <c r="G1214" s="2" t="s">
        <v>19</v>
      </c>
      <c r="H1214" s="2" t="s">
        <v>642</v>
      </c>
      <c r="I1214">
        <v>86</v>
      </c>
      <c r="J1214" s="2" t="s">
        <v>643</v>
      </c>
      <c r="K1214" s="2" t="s">
        <v>122</v>
      </c>
      <c r="L1214" s="2" t="s">
        <v>123</v>
      </c>
      <c r="M1214" s="2" t="s">
        <v>124</v>
      </c>
      <c r="N1214" s="2" t="s">
        <v>125</v>
      </c>
      <c r="O1214" s="2" t="s">
        <v>126</v>
      </c>
      <c r="P1214" s="2" t="s">
        <v>127</v>
      </c>
      <c r="Q1214" s="2" t="s">
        <v>128</v>
      </c>
      <c r="R1214" s="2" t="s">
        <v>129</v>
      </c>
      <c r="S1214" s="2" t="s">
        <v>46</v>
      </c>
      <c r="T1214">
        <v>1505</v>
      </c>
      <c r="U1214">
        <f>VLOOKUP(Auto_Sales_data___Copy[[#This Row],[CUSTOMER_NAME]],$AF$2:$AH$90,2,FALSE)</f>
        <v>30</v>
      </c>
      <c r="V1214">
        <f>VLOOKUP(Auto_Sales_data___Copy[[#This Row],[CUSTOMER_NAME]],$AF$2:$AH$90,3,FALSE)</f>
        <v>111250.37999999999</v>
      </c>
      <c r="W1214" s="2">
        <f>6-MATCH(Auto_Sales_data___Copy[[#This Row],[DAYS_SINCE_LAST_ORDER]],Table2[R-Cutoff],1)</f>
        <v>3</v>
      </c>
      <c r="X1214" s="2">
        <f>MATCH(Auto_Sales_data___Copy[[#This Row],[Total_Orders_Per_Customer]],Table2[F-Cutoff],1)</f>
        <v>4</v>
      </c>
      <c r="Y1214" s="2">
        <f>MATCH(Auto_Sales_data___Copy[[#This Row],[Total_Sales_Per_Customer]],Table2[M-Cutoff],1)</f>
        <v>4</v>
      </c>
      <c r="Z1214" s="2" t="str">
        <f>Auto_Sales_data___Copy[[#This Row],[R-Score(1-5)]]&amp;Auto_Sales_data___Copy[[#This Row],[F-Score(1-5)]]&amp;Auto_Sales_data___Copy[[#This Row],[M-Score(1-5)]]</f>
        <v>344</v>
      </c>
      <c r="AA1214" s="2" t="str" cm="1">
        <f t="array" ref="AA12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4" s="2" t="str">
        <f>VLOOKUP(Auto_Sales_data___Copy[[#This Row],[Segment Name]],Table3[],2,FALSE)</f>
        <v>Reward &amp; Upsell</v>
      </c>
    </row>
    <row r="1215" spans="1:28" x14ac:dyDescent="0.25">
      <c r="A1215">
        <v>10155</v>
      </c>
      <c r="B1215">
        <v>29</v>
      </c>
      <c r="C1215">
        <v>124.93</v>
      </c>
      <c r="D1215">
        <v>10</v>
      </c>
      <c r="E1215">
        <v>3622.97</v>
      </c>
      <c r="F1215" s="1">
        <v>43379</v>
      </c>
      <c r="G1215" s="2" t="s">
        <v>19</v>
      </c>
      <c r="H1215" s="2" t="s">
        <v>589</v>
      </c>
      <c r="I1215">
        <v>105</v>
      </c>
      <c r="J1215" s="2" t="s">
        <v>657</v>
      </c>
      <c r="K1215" s="2" t="s">
        <v>122</v>
      </c>
      <c r="L1215" s="2" t="s">
        <v>123</v>
      </c>
      <c r="M1215" s="2" t="s">
        <v>124</v>
      </c>
      <c r="N1215" s="2" t="s">
        <v>125</v>
      </c>
      <c r="O1215" s="2" t="s">
        <v>126</v>
      </c>
      <c r="P1215" s="2" t="s">
        <v>127</v>
      </c>
      <c r="Q1215" s="2" t="s">
        <v>128</v>
      </c>
      <c r="R1215" s="2" t="s">
        <v>129</v>
      </c>
      <c r="S1215" s="2" t="s">
        <v>46</v>
      </c>
      <c r="T1215">
        <v>1776</v>
      </c>
      <c r="U1215">
        <f>VLOOKUP(Auto_Sales_data___Copy[[#This Row],[CUSTOMER_NAME]],$AF$2:$AH$90,2,FALSE)</f>
        <v>30</v>
      </c>
      <c r="V1215">
        <f>VLOOKUP(Auto_Sales_data___Copy[[#This Row],[CUSTOMER_NAME]],$AF$2:$AH$90,3,FALSE)</f>
        <v>111250.37999999999</v>
      </c>
      <c r="W1215" s="2">
        <f>6-MATCH(Auto_Sales_data___Copy[[#This Row],[DAYS_SINCE_LAST_ORDER]],Table2[R-Cutoff],1)</f>
        <v>3</v>
      </c>
      <c r="X1215" s="2">
        <f>MATCH(Auto_Sales_data___Copy[[#This Row],[Total_Orders_Per_Customer]],Table2[F-Cutoff],1)</f>
        <v>4</v>
      </c>
      <c r="Y1215" s="2">
        <f>MATCH(Auto_Sales_data___Copy[[#This Row],[Total_Sales_Per_Customer]],Table2[M-Cutoff],1)</f>
        <v>4</v>
      </c>
      <c r="Z1215" s="2" t="str">
        <f>Auto_Sales_data___Copy[[#This Row],[R-Score(1-5)]]&amp;Auto_Sales_data___Copy[[#This Row],[F-Score(1-5)]]&amp;Auto_Sales_data___Copy[[#This Row],[M-Score(1-5)]]</f>
        <v>344</v>
      </c>
      <c r="AA1215" s="2" t="str" cm="1">
        <f t="array" ref="AA12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5" s="2" t="str">
        <f>VLOOKUP(Auto_Sales_data___Copy[[#This Row],[Segment Name]],Table3[],2,FALSE)</f>
        <v>Reward &amp; Upsell</v>
      </c>
    </row>
    <row r="1216" spans="1:28" x14ac:dyDescent="0.25">
      <c r="A1216">
        <v>10302</v>
      </c>
      <c r="B1216">
        <v>38</v>
      </c>
      <c r="C1216">
        <v>89.27</v>
      </c>
      <c r="D1216">
        <v>2</v>
      </c>
      <c r="E1216">
        <v>3392.26</v>
      </c>
      <c r="F1216" s="1">
        <v>43379</v>
      </c>
      <c r="G1216" s="2" t="s">
        <v>19</v>
      </c>
      <c r="H1216" s="2" t="s">
        <v>589</v>
      </c>
      <c r="I1216">
        <v>92</v>
      </c>
      <c r="J1216" s="2" t="s">
        <v>659</v>
      </c>
      <c r="K1216" s="2" t="s">
        <v>166</v>
      </c>
      <c r="L1216" s="2" t="s">
        <v>167</v>
      </c>
      <c r="M1216" s="2" t="s">
        <v>168</v>
      </c>
      <c r="N1216" s="2" t="s">
        <v>169</v>
      </c>
      <c r="O1216" s="2" t="s">
        <v>170</v>
      </c>
      <c r="P1216" s="2" t="s">
        <v>171</v>
      </c>
      <c r="Q1216" s="2" t="s">
        <v>172</v>
      </c>
      <c r="R1216" s="2" t="s">
        <v>173</v>
      </c>
      <c r="S1216" s="2" t="s">
        <v>46</v>
      </c>
      <c r="T1216">
        <v>1836</v>
      </c>
      <c r="U1216">
        <f>VLOOKUP(Auto_Sales_data___Copy[[#This Row],[CUSTOMER_NAME]],$AF$2:$AH$90,2,FALSE)</f>
        <v>29</v>
      </c>
      <c r="V1216">
        <f>VLOOKUP(Auto_Sales_data___Copy[[#This Row],[CUSTOMER_NAME]],$AF$2:$AH$90,3,FALSE)</f>
        <v>118008.26999999999</v>
      </c>
      <c r="W1216" s="2">
        <f>6-MATCH(Auto_Sales_data___Copy[[#This Row],[DAYS_SINCE_LAST_ORDER]],Table2[R-Cutoff],1)</f>
        <v>3</v>
      </c>
      <c r="X1216" s="2">
        <f>MATCH(Auto_Sales_data___Copy[[#This Row],[Total_Orders_Per_Customer]],Table2[F-Cutoff],1)</f>
        <v>4</v>
      </c>
      <c r="Y1216" s="2">
        <f>MATCH(Auto_Sales_data___Copy[[#This Row],[Total_Sales_Per_Customer]],Table2[M-Cutoff],1)</f>
        <v>4</v>
      </c>
      <c r="Z1216" s="2" t="str">
        <f>Auto_Sales_data___Copy[[#This Row],[R-Score(1-5)]]&amp;Auto_Sales_data___Copy[[#This Row],[F-Score(1-5)]]&amp;Auto_Sales_data___Copy[[#This Row],[M-Score(1-5)]]</f>
        <v>344</v>
      </c>
      <c r="AA1216" s="2" t="str" cm="1">
        <f t="array" ref="AA12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6" s="2" t="str">
        <f>VLOOKUP(Auto_Sales_data___Copy[[#This Row],[Segment Name]],Table3[],2,FALSE)</f>
        <v>Reward &amp; Upsell</v>
      </c>
    </row>
    <row r="1217" spans="1:28" x14ac:dyDescent="0.25">
      <c r="A1217">
        <v>10302</v>
      </c>
      <c r="B1217">
        <v>23</v>
      </c>
      <c r="C1217">
        <v>72.7</v>
      </c>
      <c r="D1217">
        <v>3</v>
      </c>
      <c r="E1217">
        <v>1672.1</v>
      </c>
      <c r="F1217" s="1">
        <v>43379</v>
      </c>
      <c r="G1217" s="2" t="s">
        <v>19</v>
      </c>
      <c r="H1217" s="2" t="s">
        <v>183</v>
      </c>
      <c r="I1217">
        <v>71</v>
      </c>
      <c r="J1217" s="2" t="s">
        <v>664</v>
      </c>
      <c r="K1217" s="2" t="s">
        <v>166</v>
      </c>
      <c r="L1217" s="2" t="s">
        <v>167</v>
      </c>
      <c r="M1217" s="2" t="s">
        <v>168</v>
      </c>
      <c r="N1217" s="2" t="s">
        <v>169</v>
      </c>
      <c r="O1217" s="2" t="s">
        <v>170</v>
      </c>
      <c r="P1217" s="2" t="s">
        <v>171</v>
      </c>
      <c r="Q1217" s="2" t="s">
        <v>172</v>
      </c>
      <c r="R1217" s="2" t="s">
        <v>173</v>
      </c>
      <c r="S1217" s="2" t="s">
        <v>30</v>
      </c>
      <c r="T1217">
        <v>1960</v>
      </c>
      <c r="U1217">
        <f>VLOOKUP(Auto_Sales_data___Copy[[#This Row],[CUSTOMER_NAME]],$AF$2:$AH$90,2,FALSE)</f>
        <v>29</v>
      </c>
      <c r="V1217">
        <f>VLOOKUP(Auto_Sales_data___Copy[[#This Row],[CUSTOMER_NAME]],$AF$2:$AH$90,3,FALSE)</f>
        <v>118008.26999999999</v>
      </c>
      <c r="W1217" s="2">
        <f>6-MATCH(Auto_Sales_data___Copy[[#This Row],[DAYS_SINCE_LAST_ORDER]],Table2[R-Cutoff],1)</f>
        <v>3</v>
      </c>
      <c r="X1217" s="2">
        <f>MATCH(Auto_Sales_data___Copy[[#This Row],[Total_Orders_Per_Customer]],Table2[F-Cutoff],1)</f>
        <v>4</v>
      </c>
      <c r="Y1217" s="2">
        <f>MATCH(Auto_Sales_data___Copy[[#This Row],[Total_Sales_Per_Customer]],Table2[M-Cutoff],1)</f>
        <v>4</v>
      </c>
      <c r="Z1217" s="2" t="str">
        <f>Auto_Sales_data___Copy[[#This Row],[R-Score(1-5)]]&amp;Auto_Sales_data___Copy[[#This Row],[F-Score(1-5)]]&amp;Auto_Sales_data___Copy[[#This Row],[M-Score(1-5)]]</f>
        <v>344</v>
      </c>
      <c r="AA1217" s="2" t="str" cm="1">
        <f t="array" ref="AA12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7" s="2" t="str">
        <f>VLOOKUP(Auto_Sales_data___Copy[[#This Row],[Segment Name]],Table3[],2,FALSE)</f>
        <v>Reward &amp; Upsell</v>
      </c>
    </row>
    <row r="1218" spans="1:28" x14ac:dyDescent="0.25">
      <c r="A1218">
        <v>10161</v>
      </c>
      <c r="B1218">
        <v>36</v>
      </c>
      <c r="C1218">
        <v>154</v>
      </c>
      <c r="D1218">
        <v>10</v>
      </c>
      <c r="E1218">
        <v>5544</v>
      </c>
      <c r="F1218" s="1">
        <v>43390</v>
      </c>
      <c r="G1218" s="2" t="s">
        <v>19</v>
      </c>
      <c r="H1218" s="2" t="s">
        <v>183</v>
      </c>
      <c r="I1218">
        <v>141</v>
      </c>
      <c r="J1218" s="2" t="s">
        <v>655</v>
      </c>
      <c r="K1218" s="2" t="s">
        <v>530</v>
      </c>
      <c r="L1218" s="2" t="s">
        <v>531</v>
      </c>
      <c r="M1218" s="2" t="s">
        <v>532</v>
      </c>
      <c r="N1218" s="2" t="s">
        <v>533</v>
      </c>
      <c r="O1218" s="2" t="s">
        <v>534</v>
      </c>
      <c r="P1218" s="2" t="s">
        <v>344</v>
      </c>
      <c r="Q1218" s="2" t="s">
        <v>535</v>
      </c>
      <c r="R1218" s="2" t="s">
        <v>536</v>
      </c>
      <c r="S1218" s="2" t="s">
        <v>46</v>
      </c>
      <c r="T1218">
        <v>1716</v>
      </c>
      <c r="U1218">
        <f>VLOOKUP(Auto_Sales_data___Copy[[#This Row],[CUSTOMER_NAME]],$AF$2:$AH$90,2,FALSE)</f>
        <v>27</v>
      </c>
      <c r="V1218">
        <f>VLOOKUP(Auto_Sales_data___Copy[[#This Row],[CUSTOMER_NAME]],$AF$2:$AH$90,3,FALSE)</f>
        <v>100595.54999999999</v>
      </c>
      <c r="W1218" s="2">
        <f>6-MATCH(Auto_Sales_data___Copy[[#This Row],[DAYS_SINCE_LAST_ORDER]],Table2[R-Cutoff],1)</f>
        <v>3</v>
      </c>
      <c r="X1218" s="2">
        <f>MATCH(Auto_Sales_data___Copy[[#This Row],[Total_Orders_Per_Customer]],Table2[F-Cutoff],1)</f>
        <v>4</v>
      </c>
      <c r="Y1218" s="2">
        <f>MATCH(Auto_Sales_data___Copy[[#This Row],[Total_Sales_Per_Customer]],Table2[M-Cutoff],1)</f>
        <v>4</v>
      </c>
      <c r="Z1218" s="2" t="str">
        <f>Auto_Sales_data___Copy[[#This Row],[R-Score(1-5)]]&amp;Auto_Sales_data___Copy[[#This Row],[F-Score(1-5)]]&amp;Auto_Sales_data___Copy[[#This Row],[M-Score(1-5)]]</f>
        <v>344</v>
      </c>
      <c r="AA1218" s="2" t="str" cm="1">
        <f t="array" ref="AA12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8" s="2" t="str">
        <f>VLOOKUP(Auto_Sales_data___Copy[[#This Row],[Segment Name]],Table3[],2,FALSE)</f>
        <v>Reward &amp; Upsell</v>
      </c>
    </row>
    <row r="1219" spans="1:28" x14ac:dyDescent="0.25">
      <c r="A1219">
        <v>10161</v>
      </c>
      <c r="B1219">
        <v>25</v>
      </c>
      <c r="C1219">
        <v>80.540000000000006</v>
      </c>
      <c r="D1219">
        <v>1</v>
      </c>
      <c r="E1219">
        <v>2013.5</v>
      </c>
      <c r="F1219" s="1">
        <v>43390</v>
      </c>
      <c r="G1219" s="2" t="s">
        <v>19</v>
      </c>
      <c r="H1219" s="2" t="s">
        <v>183</v>
      </c>
      <c r="I1219">
        <v>71</v>
      </c>
      <c r="J1219" s="2" t="s">
        <v>664</v>
      </c>
      <c r="K1219" s="2" t="s">
        <v>530</v>
      </c>
      <c r="L1219" s="2" t="s">
        <v>531</v>
      </c>
      <c r="M1219" s="2" t="s">
        <v>532</v>
      </c>
      <c r="N1219" s="2" t="s">
        <v>533</v>
      </c>
      <c r="O1219" s="2" t="s">
        <v>534</v>
      </c>
      <c r="P1219" s="2" t="s">
        <v>344</v>
      </c>
      <c r="Q1219" s="2" t="s">
        <v>535</v>
      </c>
      <c r="R1219" s="2" t="s">
        <v>536</v>
      </c>
      <c r="S1219" s="2" t="s">
        <v>30</v>
      </c>
      <c r="T1219">
        <v>1938</v>
      </c>
      <c r="U1219">
        <f>VLOOKUP(Auto_Sales_data___Copy[[#This Row],[CUSTOMER_NAME]],$AF$2:$AH$90,2,FALSE)</f>
        <v>27</v>
      </c>
      <c r="V1219">
        <f>VLOOKUP(Auto_Sales_data___Copy[[#This Row],[CUSTOMER_NAME]],$AF$2:$AH$90,3,FALSE)</f>
        <v>100595.54999999999</v>
      </c>
      <c r="W1219" s="2">
        <f>6-MATCH(Auto_Sales_data___Copy[[#This Row],[DAYS_SINCE_LAST_ORDER]],Table2[R-Cutoff],1)</f>
        <v>3</v>
      </c>
      <c r="X1219" s="2">
        <f>MATCH(Auto_Sales_data___Copy[[#This Row],[Total_Orders_Per_Customer]],Table2[F-Cutoff],1)</f>
        <v>4</v>
      </c>
      <c r="Y1219" s="2">
        <f>MATCH(Auto_Sales_data___Copy[[#This Row],[Total_Sales_Per_Customer]],Table2[M-Cutoff],1)</f>
        <v>4</v>
      </c>
      <c r="Z1219" s="2" t="str">
        <f>Auto_Sales_data___Copy[[#This Row],[R-Score(1-5)]]&amp;Auto_Sales_data___Copy[[#This Row],[F-Score(1-5)]]&amp;Auto_Sales_data___Copy[[#This Row],[M-Score(1-5)]]</f>
        <v>344</v>
      </c>
      <c r="AA1219" s="2" t="str" cm="1">
        <f t="array" ref="AA12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9" s="2" t="str">
        <f>VLOOKUP(Auto_Sales_data___Copy[[#This Row],[Segment Name]],Table3[],2,FALSE)</f>
        <v>Reward &amp; Upsell</v>
      </c>
    </row>
    <row r="1220" spans="1:28" x14ac:dyDescent="0.25">
      <c r="A1220">
        <v>10161</v>
      </c>
      <c r="B1220">
        <v>37</v>
      </c>
      <c r="C1220">
        <v>72.760000000000005</v>
      </c>
      <c r="D1220">
        <v>5</v>
      </c>
      <c r="E1220">
        <v>2692.12</v>
      </c>
      <c r="F1220" s="1">
        <v>43390</v>
      </c>
      <c r="G1220" s="2" t="s">
        <v>19</v>
      </c>
      <c r="H1220" s="2" t="s">
        <v>183</v>
      </c>
      <c r="I1220">
        <v>73</v>
      </c>
      <c r="J1220" s="2" t="s">
        <v>665</v>
      </c>
      <c r="K1220" s="2" t="s">
        <v>530</v>
      </c>
      <c r="L1220" s="2" t="s">
        <v>531</v>
      </c>
      <c r="M1220" s="2" t="s">
        <v>532</v>
      </c>
      <c r="N1220" s="2" t="s">
        <v>533</v>
      </c>
      <c r="O1220" s="2" t="s">
        <v>534</v>
      </c>
      <c r="P1220" s="2" t="s">
        <v>344</v>
      </c>
      <c r="Q1220" s="2" t="s">
        <v>535</v>
      </c>
      <c r="R1220" s="2" t="s">
        <v>536</v>
      </c>
      <c r="S1220" s="2" t="s">
        <v>30</v>
      </c>
      <c r="T1220">
        <v>1960</v>
      </c>
      <c r="U1220">
        <f>VLOOKUP(Auto_Sales_data___Copy[[#This Row],[CUSTOMER_NAME]],$AF$2:$AH$90,2,FALSE)</f>
        <v>27</v>
      </c>
      <c r="V1220">
        <f>VLOOKUP(Auto_Sales_data___Copy[[#This Row],[CUSTOMER_NAME]],$AF$2:$AH$90,3,FALSE)</f>
        <v>100595.54999999999</v>
      </c>
      <c r="W1220" s="2">
        <f>6-MATCH(Auto_Sales_data___Copy[[#This Row],[DAYS_SINCE_LAST_ORDER]],Table2[R-Cutoff],1)</f>
        <v>3</v>
      </c>
      <c r="X1220" s="2">
        <f>MATCH(Auto_Sales_data___Copy[[#This Row],[Total_Orders_Per_Customer]],Table2[F-Cutoff],1)</f>
        <v>4</v>
      </c>
      <c r="Y1220" s="2">
        <f>MATCH(Auto_Sales_data___Copy[[#This Row],[Total_Sales_Per_Customer]],Table2[M-Cutoff],1)</f>
        <v>4</v>
      </c>
      <c r="Z1220" s="2" t="str">
        <f>Auto_Sales_data___Copy[[#This Row],[R-Score(1-5)]]&amp;Auto_Sales_data___Copy[[#This Row],[F-Score(1-5)]]&amp;Auto_Sales_data___Copy[[#This Row],[M-Score(1-5)]]</f>
        <v>344</v>
      </c>
      <c r="AA1220" s="2" t="str" cm="1">
        <f t="array" ref="AA12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0" s="2" t="str">
        <f>VLOOKUP(Auto_Sales_data___Copy[[#This Row],[Segment Name]],Table3[],2,FALSE)</f>
        <v>Reward &amp; Upsell</v>
      </c>
    </row>
    <row r="1221" spans="1:28" x14ac:dyDescent="0.25">
      <c r="A1221">
        <v>10165</v>
      </c>
      <c r="B1221">
        <v>47</v>
      </c>
      <c r="C1221">
        <v>186.27</v>
      </c>
      <c r="D1221">
        <v>16</v>
      </c>
      <c r="E1221">
        <v>8754.69</v>
      </c>
      <c r="F1221" s="1">
        <v>43395</v>
      </c>
      <c r="G1221" s="2" t="s">
        <v>19</v>
      </c>
      <c r="H1221" s="2" t="s">
        <v>183</v>
      </c>
      <c r="I1221">
        <v>169</v>
      </c>
      <c r="J1221" s="2" t="s">
        <v>649</v>
      </c>
      <c r="K1221" s="2" t="s">
        <v>199</v>
      </c>
      <c r="L1221" s="2" t="s">
        <v>200</v>
      </c>
      <c r="M1221" s="2" t="s">
        <v>201</v>
      </c>
      <c r="N1221" s="2" t="s">
        <v>202</v>
      </c>
      <c r="O1221" s="2" t="s">
        <v>203</v>
      </c>
      <c r="P1221" s="2" t="s">
        <v>202</v>
      </c>
      <c r="Q1221" s="2" t="s">
        <v>204</v>
      </c>
      <c r="R1221" s="2" t="s">
        <v>205</v>
      </c>
      <c r="S1221" s="2" t="s">
        <v>151</v>
      </c>
      <c r="T1221">
        <v>1569</v>
      </c>
      <c r="U1221">
        <f>VLOOKUP(Auto_Sales_data___Copy[[#This Row],[CUSTOMER_NAME]],$AF$2:$AH$90,2,FALSE)</f>
        <v>43</v>
      </c>
      <c r="V1221">
        <f>VLOOKUP(Auto_Sales_data___Copy[[#This Row],[CUSTOMER_NAME]],$AF$2:$AH$90,3,FALSE)</f>
        <v>172989.68000000008</v>
      </c>
      <c r="W1221" s="2">
        <f>6-MATCH(Auto_Sales_data___Copy[[#This Row],[DAYS_SINCE_LAST_ORDER]],Table2[R-Cutoff],1)</f>
        <v>3</v>
      </c>
      <c r="X1221" s="2">
        <f>MATCH(Auto_Sales_data___Copy[[#This Row],[Total_Orders_Per_Customer]],Table2[F-Cutoff],1)</f>
        <v>4</v>
      </c>
      <c r="Y1221" s="2">
        <f>MATCH(Auto_Sales_data___Copy[[#This Row],[Total_Sales_Per_Customer]],Table2[M-Cutoff],1)</f>
        <v>4</v>
      </c>
      <c r="Z1221" s="2" t="str">
        <f>Auto_Sales_data___Copy[[#This Row],[R-Score(1-5)]]&amp;Auto_Sales_data___Copy[[#This Row],[F-Score(1-5)]]&amp;Auto_Sales_data___Copy[[#This Row],[M-Score(1-5)]]</f>
        <v>344</v>
      </c>
      <c r="AA1221" s="2" t="str" cm="1">
        <f t="array" ref="AA12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1" s="2" t="str">
        <f>VLOOKUP(Auto_Sales_data___Copy[[#This Row],[Segment Name]],Table3[],2,FALSE)</f>
        <v>Reward &amp; Upsell</v>
      </c>
    </row>
    <row r="1222" spans="1:28" x14ac:dyDescent="0.25">
      <c r="A1222">
        <v>10165</v>
      </c>
      <c r="B1222">
        <v>50</v>
      </c>
      <c r="C1222">
        <v>106.89</v>
      </c>
      <c r="D1222">
        <v>1</v>
      </c>
      <c r="E1222">
        <v>5344.5</v>
      </c>
      <c r="F1222" s="1">
        <v>43395</v>
      </c>
      <c r="G1222" s="2" t="s">
        <v>19</v>
      </c>
      <c r="H1222" s="2" t="s">
        <v>650</v>
      </c>
      <c r="I1222">
        <v>100</v>
      </c>
      <c r="J1222" s="2" t="s">
        <v>651</v>
      </c>
      <c r="K1222" s="2" t="s">
        <v>199</v>
      </c>
      <c r="L1222" s="2" t="s">
        <v>200</v>
      </c>
      <c r="M1222" s="2" t="s">
        <v>201</v>
      </c>
      <c r="N1222" s="2" t="s">
        <v>202</v>
      </c>
      <c r="O1222" s="2" t="s">
        <v>203</v>
      </c>
      <c r="P1222" s="2" t="s">
        <v>202</v>
      </c>
      <c r="Q1222" s="2" t="s">
        <v>204</v>
      </c>
      <c r="R1222" s="2" t="s">
        <v>205</v>
      </c>
      <c r="S1222" s="2" t="s">
        <v>46</v>
      </c>
      <c r="T1222">
        <v>1616</v>
      </c>
      <c r="U1222">
        <f>VLOOKUP(Auto_Sales_data___Copy[[#This Row],[CUSTOMER_NAME]],$AF$2:$AH$90,2,FALSE)</f>
        <v>43</v>
      </c>
      <c r="V1222">
        <f>VLOOKUP(Auto_Sales_data___Copy[[#This Row],[CUSTOMER_NAME]],$AF$2:$AH$90,3,FALSE)</f>
        <v>172989.68000000008</v>
      </c>
      <c r="W1222" s="2">
        <f>6-MATCH(Auto_Sales_data___Copy[[#This Row],[DAYS_SINCE_LAST_ORDER]],Table2[R-Cutoff],1)</f>
        <v>3</v>
      </c>
      <c r="X1222" s="2">
        <f>MATCH(Auto_Sales_data___Copy[[#This Row],[Total_Orders_Per_Customer]],Table2[F-Cutoff],1)</f>
        <v>4</v>
      </c>
      <c r="Y1222" s="2">
        <f>MATCH(Auto_Sales_data___Copy[[#This Row],[Total_Sales_Per_Customer]],Table2[M-Cutoff],1)</f>
        <v>4</v>
      </c>
      <c r="Z1222" s="2" t="str">
        <f>Auto_Sales_data___Copy[[#This Row],[R-Score(1-5)]]&amp;Auto_Sales_data___Copy[[#This Row],[F-Score(1-5)]]&amp;Auto_Sales_data___Copy[[#This Row],[M-Score(1-5)]]</f>
        <v>344</v>
      </c>
      <c r="AA1222" s="2" t="str" cm="1">
        <f t="array" ref="AA12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2" s="2" t="str">
        <f>VLOOKUP(Auto_Sales_data___Copy[[#This Row],[Segment Name]],Table3[],2,FALSE)</f>
        <v>Reward &amp; Upsell</v>
      </c>
    </row>
    <row r="1223" spans="1:28" x14ac:dyDescent="0.25">
      <c r="A1223">
        <v>10165</v>
      </c>
      <c r="B1223">
        <v>28</v>
      </c>
      <c r="C1223">
        <v>119.2</v>
      </c>
      <c r="D1223">
        <v>6</v>
      </c>
      <c r="E1223">
        <v>3337.6</v>
      </c>
      <c r="F1223" s="1">
        <v>43395</v>
      </c>
      <c r="G1223" s="2" t="s">
        <v>19</v>
      </c>
      <c r="H1223" s="2" t="s">
        <v>183</v>
      </c>
      <c r="I1223">
        <v>143</v>
      </c>
      <c r="J1223" s="2" t="s">
        <v>658</v>
      </c>
      <c r="K1223" s="2" t="s">
        <v>199</v>
      </c>
      <c r="L1223" s="2" t="s">
        <v>200</v>
      </c>
      <c r="M1223" s="2" t="s">
        <v>201</v>
      </c>
      <c r="N1223" s="2" t="s">
        <v>202</v>
      </c>
      <c r="O1223" s="2" t="s">
        <v>203</v>
      </c>
      <c r="P1223" s="2" t="s">
        <v>202</v>
      </c>
      <c r="Q1223" s="2" t="s">
        <v>204</v>
      </c>
      <c r="R1223" s="2" t="s">
        <v>205</v>
      </c>
      <c r="S1223" s="2" t="s">
        <v>46</v>
      </c>
      <c r="T1223">
        <v>1786</v>
      </c>
      <c r="U1223">
        <f>VLOOKUP(Auto_Sales_data___Copy[[#This Row],[CUSTOMER_NAME]],$AF$2:$AH$90,2,FALSE)</f>
        <v>43</v>
      </c>
      <c r="V1223">
        <f>VLOOKUP(Auto_Sales_data___Copy[[#This Row],[CUSTOMER_NAME]],$AF$2:$AH$90,3,FALSE)</f>
        <v>172989.68000000008</v>
      </c>
      <c r="W1223" s="2">
        <f>6-MATCH(Auto_Sales_data___Copy[[#This Row],[DAYS_SINCE_LAST_ORDER]],Table2[R-Cutoff],1)</f>
        <v>3</v>
      </c>
      <c r="X1223" s="2">
        <f>MATCH(Auto_Sales_data___Copy[[#This Row],[Total_Orders_Per_Customer]],Table2[F-Cutoff],1)</f>
        <v>4</v>
      </c>
      <c r="Y1223" s="2">
        <f>MATCH(Auto_Sales_data___Copy[[#This Row],[Total_Sales_Per_Customer]],Table2[M-Cutoff],1)</f>
        <v>4</v>
      </c>
      <c r="Z1223" s="2" t="str">
        <f>Auto_Sales_data___Copy[[#This Row],[R-Score(1-5)]]&amp;Auto_Sales_data___Copy[[#This Row],[F-Score(1-5)]]&amp;Auto_Sales_data___Copy[[#This Row],[M-Score(1-5)]]</f>
        <v>344</v>
      </c>
      <c r="AA1223" s="2" t="str" cm="1">
        <f t="array" ref="AA12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3" s="2" t="str">
        <f>VLOOKUP(Auto_Sales_data___Copy[[#This Row],[Segment Name]],Table3[],2,FALSE)</f>
        <v>Reward &amp; Upsell</v>
      </c>
    </row>
    <row r="1224" spans="1:28" x14ac:dyDescent="0.25">
      <c r="A1224">
        <v>10165</v>
      </c>
      <c r="B1224">
        <v>25</v>
      </c>
      <c r="C1224">
        <v>69.36</v>
      </c>
      <c r="D1224">
        <v>9</v>
      </c>
      <c r="E1224">
        <v>1734</v>
      </c>
      <c r="F1224" s="1">
        <v>43395</v>
      </c>
      <c r="G1224" s="2" t="s">
        <v>19</v>
      </c>
      <c r="H1224" s="2" t="s">
        <v>183</v>
      </c>
      <c r="I1224">
        <v>57</v>
      </c>
      <c r="J1224" s="2" t="s">
        <v>666</v>
      </c>
      <c r="K1224" s="2" t="s">
        <v>199</v>
      </c>
      <c r="L1224" s="2" t="s">
        <v>200</v>
      </c>
      <c r="M1224" s="2" t="s">
        <v>201</v>
      </c>
      <c r="N1224" s="2" t="s">
        <v>202</v>
      </c>
      <c r="O1224" s="2" t="s">
        <v>203</v>
      </c>
      <c r="P1224" s="2" t="s">
        <v>202</v>
      </c>
      <c r="Q1224" s="2" t="s">
        <v>204</v>
      </c>
      <c r="R1224" s="2" t="s">
        <v>205</v>
      </c>
      <c r="S1224" s="2" t="s">
        <v>30</v>
      </c>
      <c r="T1224">
        <v>1980</v>
      </c>
      <c r="U1224">
        <f>VLOOKUP(Auto_Sales_data___Copy[[#This Row],[CUSTOMER_NAME]],$AF$2:$AH$90,2,FALSE)</f>
        <v>43</v>
      </c>
      <c r="V1224">
        <f>VLOOKUP(Auto_Sales_data___Copy[[#This Row],[CUSTOMER_NAME]],$AF$2:$AH$90,3,FALSE)</f>
        <v>172989.68000000008</v>
      </c>
      <c r="W1224" s="2">
        <f>6-MATCH(Auto_Sales_data___Copy[[#This Row],[DAYS_SINCE_LAST_ORDER]],Table2[R-Cutoff],1)</f>
        <v>3</v>
      </c>
      <c r="X1224" s="2">
        <f>MATCH(Auto_Sales_data___Copy[[#This Row],[Total_Orders_Per_Customer]],Table2[F-Cutoff],1)</f>
        <v>4</v>
      </c>
      <c r="Y1224" s="2">
        <f>MATCH(Auto_Sales_data___Copy[[#This Row],[Total_Sales_Per_Customer]],Table2[M-Cutoff],1)</f>
        <v>4</v>
      </c>
      <c r="Z1224" s="2" t="str">
        <f>Auto_Sales_data___Copy[[#This Row],[R-Score(1-5)]]&amp;Auto_Sales_data___Copy[[#This Row],[F-Score(1-5)]]&amp;Auto_Sales_data___Copy[[#This Row],[M-Score(1-5)]]</f>
        <v>344</v>
      </c>
      <c r="AA1224" s="2" t="str" cm="1">
        <f t="array" ref="AA12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4" s="2" t="str">
        <f>VLOOKUP(Auto_Sales_data___Copy[[#This Row],[Segment Name]],Table3[],2,FALSE)</f>
        <v>Reward &amp; Upsell</v>
      </c>
    </row>
    <row r="1225" spans="1:28" x14ac:dyDescent="0.25">
      <c r="A1225">
        <v>10167</v>
      </c>
      <c r="B1225">
        <v>34</v>
      </c>
      <c r="C1225">
        <v>105.87</v>
      </c>
      <c r="D1225">
        <v>6</v>
      </c>
      <c r="E1225">
        <v>3599.58</v>
      </c>
      <c r="F1225" s="1">
        <v>43396</v>
      </c>
      <c r="G1225" s="2" t="s">
        <v>358</v>
      </c>
      <c r="H1225" s="2" t="s">
        <v>589</v>
      </c>
      <c r="I1225">
        <v>105</v>
      </c>
      <c r="J1225" s="2" t="s">
        <v>657</v>
      </c>
      <c r="K1225" s="2" t="s">
        <v>272</v>
      </c>
      <c r="L1225" s="2" t="s">
        <v>273</v>
      </c>
      <c r="M1225" s="2" t="s">
        <v>274</v>
      </c>
      <c r="N1225" s="2" t="s">
        <v>275</v>
      </c>
      <c r="O1225" s="2" t="s">
        <v>276</v>
      </c>
      <c r="P1225" s="2" t="s">
        <v>190</v>
      </c>
      <c r="Q1225" s="2" t="s">
        <v>277</v>
      </c>
      <c r="R1225" s="2" t="s">
        <v>209</v>
      </c>
      <c r="S1225" s="2" t="s">
        <v>46</v>
      </c>
      <c r="T1225">
        <v>1760</v>
      </c>
      <c r="U1225">
        <f>VLOOKUP(Auto_Sales_data___Copy[[#This Row],[CUSTOMER_NAME]],$AF$2:$AH$90,2,FALSE)</f>
        <v>38</v>
      </c>
      <c r="V1225">
        <f>VLOOKUP(Auto_Sales_data___Copy[[#This Row],[CUSTOMER_NAME]],$AF$2:$AH$90,3,FALSE)</f>
        <v>134259.32999999996</v>
      </c>
      <c r="W1225" s="2">
        <f>6-MATCH(Auto_Sales_data___Copy[[#This Row],[DAYS_SINCE_LAST_ORDER]],Table2[R-Cutoff],1)</f>
        <v>3</v>
      </c>
      <c r="X1225" s="2">
        <f>MATCH(Auto_Sales_data___Copy[[#This Row],[Total_Orders_Per_Customer]],Table2[F-Cutoff],1)</f>
        <v>4</v>
      </c>
      <c r="Y1225" s="2">
        <f>MATCH(Auto_Sales_data___Copy[[#This Row],[Total_Sales_Per_Customer]],Table2[M-Cutoff],1)</f>
        <v>4</v>
      </c>
      <c r="Z1225" s="2" t="str">
        <f>Auto_Sales_data___Copy[[#This Row],[R-Score(1-5)]]&amp;Auto_Sales_data___Copy[[#This Row],[F-Score(1-5)]]&amp;Auto_Sales_data___Copy[[#This Row],[M-Score(1-5)]]</f>
        <v>344</v>
      </c>
      <c r="AA1225" s="2" t="str" cm="1">
        <f t="array" ref="AA12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5" s="2" t="str">
        <f>VLOOKUP(Auto_Sales_data___Copy[[#This Row],[Segment Name]],Table3[],2,FALSE)</f>
        <v>Reward &amp; Upsell</v>
      </c>
    </row>
    <row r="1226" spans="1:28" x14ac:dyDescent="0.25">
      <c r="A1226">
        <v>10168</v>
      </c>
      <c r="B1226">
        <v>50</v>
      </c>
      <c r="C1226">
        <v>114.95</v>
      </c>
      <c r="D1226">
        <v>2</v>
      </c>
      <c r="E1226">
        <v>5747.5</v>
      </c>
      <c r="F1226" s="1">
        <v>43401</v>
      </c>
      <c r="G1226" s="2" t="s">
        <v>19</v>
      </c>
      <c r="H1226" s="2" t="s">
        <v>20</v>
      </c>
      <c r="I1226">
        <v>112</v>
      </c>
      <c r="J1226" s="2" t="s">
        <v>667</v>
      </c>
      <c r="K1226" s="2" t="s">
        <v>54</v>
      </c>
      <c r="L1226" s="2" t="s">
        <v>55</v>
      </c>
      <c r="M1226" s="2" t="s">
        <v>56</v>
      </c>
      <c r="N1226" s="2" t="s">
        <v>57</v>
      </c>
      <c r="O1226" s="2" t="s">
        <v>58</v>
      </c>
      <c r="P1226" s="2" t="s">
        <v>27</v>
      </c>
      <c r="Q1226" s="2" t="s">
        <v>59</v>
      </c>
      <c r="R1226" s="2" t="s">
        <v>60</v>
      </c>
      <c r="S1226" s="2" t="s">
        <v>46</v>
      </c>
      <c r="T1226">
        <v>2001</v>
      </c>
      <c r="U1226">
        <f>VLOOKUP(Auto_Sales_data___Copy[[#This Row],[CUSTOMER_NAME]],$AF$2:$AH$90,2,FALSE)</f>
        <v>34</v>
      </c>
      <c r="V1226">
        <f>VLOOKUP(Auto_Sales_data___Copy[[#This Row],[CUSTOMER_NAME]],$AF$2:$AH$90,3,FALSE)</f>
        <v>120783.07</v>
      </c>
      <c r="W1226" s="2">
        <f>6-MATCH(Auto_Sales_data___Copy[[#This Row],[DAYS_SINCE_LAST_ORDER]],Table2[R-Cutoff],1)</f>
        <v>3</v>
      </c>
      <c r="X1226" s="2">
        <f>MATCH(Auto_Sales_data___Copy[[#This Row],[Total_Orders_Per_Customer]],Table2[F-Cutoff],1)</f>
        <v>4</v>
      </c>
      <c r="Y1226" s="2">
        <f>MATCH(Auto_Sales_data___Copy[[#This Row],[Total_Sales_Per_Customer]],Table2[M-Cutoff],1)</f>
        <v>4</v>
      </c>
      <c r="Z1226" s="2" t="str">
        <f>Auto_Sales_data___Copy[[#This Row],[R-Score(1-5)]]&amp;Auto_Sales_data___Copy[[#This Row],[F-Score(1-5)]]&amp;Auto_Sales_data___Copy[[#This Row],[M-Score(1-5)]]</f>
        <v>344</v>
      </c>
      <c r="AA1226" s="2" t="str" cm="1">
        <f t="array" ref="AA12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6" s="2" t="str">
        <f>VLOOKUP(Auto_Sales_data___Copy[[#This Row],[Segment Name]],Table3[],2,FALSE)</f>
        <v>Reward &amp; Upsell</v>
      </c>
    </row>
    <row r="1227" spans="1:28" x14ac:dyDescent="0.25">
      <c r="A1227">
        <v>10169</v>
      </c>
      <c r="B1227">
        <v>32</v>
      </c>
      <c r="C1227">
        <v>70.760000000000005</v>
      </c>
      <c r="D1227">
        <v>5</v>
      </c>
      <c r="E1227">
        <v>2264.3200000000002</v>
      </c>
      <c r="F1227" s="1">
        <v>43408</v>
      </c>
      <c r="G1227" s="2" t="s">
        <v>19</v>
      </c>
      <c r="H1227" s="2" t="s">
        <v>183</v>
      </c>
      <c r="I1227">
        <v>80</v>
      </c>
      <c r="J1227" s="2" t="s">
        <v>652</v>
      </c>
      <c r="K1227" s="2" t="s">
        <v>300</v>
      </c>
      <c r="L1227" s="2" t="s">
        <v>301</v>
      </c>
      <c r="M1227" s="2" t="s">
        <v>302</v>
      </c>
      <c r="N1227" s="2" t="s">
        <v>303</v>
      </c>
      <c r="O1227" s="2" t="s">
        <v>304</v>
      </c>
      <c r="P1227" s="2" t="s">
        <v>87</v>
      </c>
      <c r="Q1227" s="2" t="s">
        <v>305</v>
      </c>
      <c r="R1227" s="2" t="s">
        <v>306</v>
      </c>
      <c r="S1227" s="2" t="s">
        <v>30</v>
      </c>
      <c r="T1227">
        <v>1627</v>
      </c>
      <c r="U1227">
        <f>VLOOKUP(Auto_Sales_data___Copy[[#This Row],[CUSTOMER_NAME]],$AF$2:$AH$90,2,FALSE)</f>
        <v>46</v>
      </c>
      <c r="V1227">
        <f>VLOOKUP(Auto_Sales_data___Copy[[#This Row],[CUSTOMER_NAME]],$AF$2:$AH$90,3,FALSE)</f>
        <v>153996.12999999998</v>
      </c>
      <c r="W1227" s="2">
        <f>6-MATCH(Auto_Sales_data___Copy[[#This Row],[DAYS_SINCE_LAST_ORDER]],Table2[R-Cutoff],1)</f>
        <v>3</v>
      </c>
      <c r="X1227" s="2">
        <f>MATCH(Auto_Sales_data___Copy[[#This Row],[Total_Orders_Per_Customer]],Table2[F-Cutoff],1)</f>
        <v>4</v>
      </c>
      <c r="Y1227" s="2">
        <f>MATCH(Auto_Sales_data___Copy[[#This Row],[Total_Sales_Per_Customer]],Table2[M-Cutoff],1)</f>
        <v>4</v>
      </c>
      <c r="Z1227" s="2" t="str">
        <f>Auto_Sales_data___Copy[[#This Row],[R-Score(1-5)]]&amp;Auto_Sales_data___Copy[[#This Row],[F-Score(1-5)]]&amp;Auto_Sales_data___Copy[[#This Row],[M-Score(1-5)]]</f>
        <v>344</v>
      </c>
      <c r="AA1227" s="2" t="str" cm="1">
        <f t="array" ref="AA12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7" s="2" t="str">
        <f>VLOOKUP(Auto_Sales_data___Copy[[#This Row],[Segment Name]],Table3[],2,FALSE)</f>
        <v>Reward &amp; Upsell</v>
      </c>
    </row>
    <row r="1228" spans="1:28" x14ac:dyDescent="0.25">
      <c r="A1228">
        <v>10169</v>
      </c>
      <c r="B1228">
        <v>36</v>
      </c>
      <c r="C1228">
        <v>123.47</v>
      </c>
      <c r="D1228">
        <v>4</v>
      </c>
      <c r="E1228">
        <v>4444.92</v>
      </c>
      <c r="F1228" s="1">
        <v>43408</v>
      </c>
      <c r="G1228" s="2" t="s">
        <v>19</v>
      </c>
      <c r="H1228" s="2" t="s">
        <v>183</v>
      </c>
      <c r="I1228">
        <v>146</v>
      </c>
      <c r="J1228" s="2" t="s">
        <v>654</v>
      </c>
      <c r="K1228" s="2" t="s">
        <v>300</v>
      </c>
      <c r="L1228" s="2" t="s">
        <v>301</v>
      </c>
      <c r="M1228" s="2" t="s">
        <v>302</v>
      </c>
      <c r="N1228" s="2" t="s">
        <v>303</v>
      </c>
      <c r="O1228" s="2" t="s">
        <v>304</v>
      </c>
      <c r="P1228" s="2" t="s">
        <v>87</v>
      </c>
      <c r="Q1228" s="2" t="s">
        <v>305</v>
      </c>
      <c r="R1228" s="2" t="s">
        <v>306</v>
      </c>
      <c r="S1228" s="2" t="s">
        <v>46</v>
      </c>
      <c r="T1228">
        <v>1674</v>
      </c>
      <c r="U1228">
        <f>VLOOKUP(Auto_Sales_data___Copy[[#This Row],[CUSTOMER_NAME]],$AF$2:$AH$90,2,FALSE)</f>
        <v>46</v>
      </c>
      <c r="V1228">
        <f>VLOOKUP(Auto_Sales_data___Copy[[#This Row],[CUSTOMER_NAME]],$AF$2:$AH$90,3,FALSE)</f>
        <v>153996.12999999998</v>
      </c>
      <c r="W1228" s="2">
        <f>6-MATCH(Auto_Sales_data___Copy[[#This Row],[DAYS_SINCE_LAST_ORDER]],Table2[R-Cutoff],1)</f>
        <v>3</v>
      </c>
      <c r="X1228" s="2">
        <f>MATCH(Auto_Sales_data___Copy[[#This Row],[Total_Orders_Per_Customer]],Table2[F-Cutoff],1)</f>
        <v>4</v>
      </c>
      <c r="Y1228" s="2">
        <f>MATCH(Auto_Sales_data___Copy[[#This Row],[Total_Sales_Per_Customer]],Table2[M-Cutoff],1)</f>
        <v>4</v>
      </c>
      <c r="Z1228" s="2" t="str">
        <f>Auto_Sales_data___Copy[[#This Row],[R-Score(1-5)]]&amp;Auto_Sales_data___Copy[[#This Row],[F-Score(1-5)]]&amp;Auto_Sales_data___Copy[[#This Row],[M-Score(1-5)]]</f>
        <v>344</v>
      </c>
      <c r="AA1228" s="2" t="str" cm="1">
        <f t="array" ref="AA12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8" s="2" t="str">
        <f>VLOOKUP(Auto_Sales_data___Copy[[#This Row],[Segment Name]],Table3[],2,FALSE)</f>
        <v>Reward &amp; Upsell</v>
      </c>
    </row>
    <row r="1229" spans="1:28" x14ac:dyDescent="0.25">
      <c r="A1229">
        <v>10169</v>
      </c>
      <c r="B1229">
        <v>38</v>
      </c>
      <c r="C1229">
        <v>68.39</v>
      </c>
      <c r="D1229">
        <v>8</v>
      </c>
      <c r="E1229">
        <v>2598.8200000000002</v>
      </c>
      <c r="F1229" s="1">
        <v>43408</v>
      </c>
      <c r="G1229" s="2" t="s">
        <v>19</v>
      </c>
      <c r="H1229" s="2" t="s">
        <v>20</v>
      </c>
      <c r="I1229">
        <v>62</v>
      </c>
      <c r="J1229" s="2" t="s">
        <v>656</v>
      </c>
      <c r="K1229" s="2" t="s">
        <v>300</v>
      </c>
      <c r="L1229" s="2" t="s">
        <v>301</v>
      </c>
      <c r="M1229" s="2" t="s">
        <v>302</v>
      </c>
      <c r="N1229" s="2" t="s">
        <v>303</v>
      </c>
      <c r="O1229" s="2" t="s">
        <v>304</v>
      </c>
      <c r="P1229" s="2" t="s">
        <v>87</v>
      </c>
      <c r="Q1229" s="2" t="s">
        <v>305</v>
      </c>
      <c r="R1229" s="2" t="s">
        <v>306</v>
      </c>
      <c r="S1229" s="2" t="s">
        <v>30</v>
      </c>
      <c r="T1229">
        <v>1723</v>
      </c>
      <c r="U1229">
        <f>VLOOKUP(Auto_Sales_data___Copy[[#This Row],[CUSTOMER_NAME]],$AF$2:$AH$90,2,FALSE)</f>
        <v>46</v>
      </c>
      <c r="V1229">
        <f>VLOOKUP(Auto_Sales_data___Copy[[#This Row],[CUSTOMER_NAME]],$AF$2:$AH$90,3,FALSE)</f>
        <v>153996.12999999998</v>
      </c>
      <c r="W1229" s="2">
        <f>6-MATCH(Auto_Sales_data___Copy[[#This Row],[DAYS_SINCE_LAST_ORDER]],Table2[R-Cutoff],1)</f>
        <v>3</v>
      </c>
      <c r="X1229" s="2">
        <f>MATCH(Auto_Sales_data___Copy[[#This Row],[Total_Orders_Per_Customer]],Table2[F-Cutoff],1)</f>
        <v>4</v>
      </c>
      <c r="Y1229" s="2">
        <f>MATCH(Auto_Sales_data___Copy[[#This Row],[Total_Sales_Per_Customer]],Table2[M-Cutoff],1)</f>
        <v>4</v>
      </c>
      <c r="Z1229" s="2" t="str">
        <f>Auto_Sales_data___Copy[[#This Row],[R-Score(1-5)]]&amp;Auto_Sales_data___Copy[[#This Row],[F-Score(1-5)]]&amp;Auto_Sales_data___Copy[[#This Row],[M-Score(1-5)]]</f>
        <v>344</v>
      </c>
      <c r="AA1229" s="2" t="str" cm="1">
        <f t="array" ref="AA12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9" s="2" t="str">
        <f>VLOOKUP(Auto_Sales_data___Copy[[#This Row],[Segment Name]],Table3[],2,FALSE)</f>
        <v>Reward &amp; Upsell</v>
      </c>
    </row>
    <row r="1230" spans="1:28" x14ac:dyDescent="0.25">
      <c r="A1230">
        <v>10169</v>
      </c>
      <c r="B1230">
        <v>33</v>
      </c>
      <c r="C1230">
        <v>148.80000000000001</v>
      </c>
      <c r="D1230">
        <v>7</v>
      </c>
      <c r="E1230">
        <v>4910.3999999999996</v>
      </c>
      <c r="F1230" s="1">
        <v>43408</v>
      </c>
      <c r="G1230" s="2" t="s">
        <v>19</v>
      </c>
      <c r="H1230" s="2" t="s">
        <v>183</v>
      </c>
      <c r="I1230">
        <v>148</v>
      </c>
      <c r="J1230" s="2" t="s">
        <v>663</v>
      </c>
      <c r="K1230" s="2" t="s">
        <v>300</v>
      </c>
      <c r="L1230" s="2" t="s">
        <v>301</v>
      </c>
      <c r="M1230" s="2" t="s">
        <v>302</v>
      </c>
      <c r="N1230" s="2" t="s">
        <v>303</v>
      </c>
      <c r="O1230" s="2" t="s">
        <v>304</v>
      </c>
      <c r="P1230" s="2" t="s">
        <v>87</v>
      </c>
      <c r="Q1230" s="2" t="s">
        <v>305</v>
      </c>
      <c r="R1230" s="2" t="s">
        <v>306</v>
      </c>
      <c r="S1230" s="2" t="s">
        <v>46</v>
      </c>
      <c r="T1230">
        <v>1898</v>
      </c>
      <c r="U1230">
        <f>VLOOKUP(Auto_Sales_data___Copy[[#This Row],[CUSTOMER_NAME]],$AF$2:$AH$90,2,FALSE)</f>
        <v>46</v>
      </c>
      <c r="V1230">
        <f>VLOOKUP(Auto_Sales_data___Copy[[#This Row],[CUSTOMER_NAME]],$AF$2:$AH$90,3,FALSE)</f>
        <v>153996.12999999998</v>
      </c>
      <c r="W1230" s="2">
        <f>6-MATCH(Auto_Sales_data___Copy[[#This Row],[DAYS_SINCE_LAST_ORDER]],Table2[R-Cutoff],1)</f>
        <v>3</v>
      </c>
      <c r="X1230" s="2">
        <f>MATCH(Auto_Sales_data___Copy[[#This Row],[Total_Orders_Per_Customer]],Table2[F-Cutoff],1)</f>
        <v>4</v>
      </c>
      <c r="Y1230" s="2">
        <f>MATCH(Auto_Sales_data___Copy[[#This Row],[Total_Sales_Per_Customer]],Table2[M-Cutoff],1)</f>
        <v>4</v>
      </c>
      <c r="Z1230" s="2" t="str">
        <f>Auto_Sales_data___Copy[[#This Row],[R-Score(1-5)]]&amp;Auto_Sales_data___Copy[[#This Row],[F-Score(1-5)]]&amp;Auto_Sales_data___Copy[[#This Row],[M-Score(1-5)]]</f>
        <v>344</v>
      </c>
      <c r="AA1230" s="2" t="str" cm="1">
        <f t="array" ref="AA12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0" s="2" t="str">
        <f>VLOOKUP(Auto_Sales_data___Copy[[#This Row],[Segment Name]],Table3[],2,FALSE)</f>
        <v>Reward &amp; Upsell</v>
      </c>
    </row>
    <row r="1231" spans="1:28" x14ac:dyDescent="0.25">
      <c r="A1231">
        <v>10173</v>
      </c>
      <c r="B1231">
        <v>31</v>
      </c>
      <c r="C1231">
        <v>89.01</v>
      </c>
      <c r="D1231">
        <v>1</v>
      </c>
      <c r="E1231">
        <v>2759.31</v>
      </c>
      <c r="F1231" s="1">
        <v>43409</v>
      </c>
      <c r="G1231" s="2" t="s">
        <v>19</v>
      </c>
      <c r="H1231" s="2" t="s">
        <v>589</v>
      </c>
      <c r="I1231">
        <v>104</v>
      </c>
      <c r="J1231" s="2" t="s">
        <v>647</v>
      </c>
      <c r="K1231" s="2" t="s">
        <v>591</v>
      </c>
      <c r="L1231" s="2" t="s">
        <v>592</v>
      </c>
      <c r="M1231" s="2" t="s">
        <v>593</v>
      </c>
      <c r="N1231" s="2" t="s">
        <v>594</v>
      </c>
      <c r="O1231" s="2" t="s">
        <v>595</v>
      </c>
      <c r="P1231" s="2" t="s">
        <v>269</v>
      </c>
      <c r="Q1231" s="2" t="s">
        <v>596</v>
      </c>
      <c r="R1231" s="2" t="s">
        <v>597</v>
      </c>
      <c r="S1231" s="2" t="s">
        <v>30</v>
      </c>
      <c r="T1231">
        <v>1501</v>
      </c>
      <c r="U1231">
        <f>VLOOKUP(Auto_Sales_data___Copy[[#This Row],[CUSTOMER_NAME]],$AF$2:$AH$90,2,FALSE)</f>
        <v>48</v>
      </c>
      <c r="V1231">
        <f>VLOOKUP(Auto_Sales_data___Copy[[#This Row],[CUSTOMER_NAME]],$AF$2:$AH$90,3,FALSE)</f>
        <v>137955.72</v>
      </c>
      <c r="W1231" s="2">
        <f>6-MATCH(Auto_Sales_data___Copy[[#This Row],[DAYS_SINCE_LAST_ORDER]],Table2[R-Cutoff],1)</f>
        <v>3</v>
      </c>
      <c r="X1231" s="2">
        <f>MATCH(Auto_Sales_data___Copy[[#This Row],[Total_Orders_Per_Customer]],Table2[F-Cutoff],1)</f>
        <v>4</v>
      </c>
      <c r="Y1231" s="2">
        <f>MATCH(Auto_Sales_data___Copy[[#This Row],[Total_Sales_Per_Customer]],Table2[M-Cutoff],1)</f>
        <v>4</v>
      </c>
      <c r="Z1231" s="2" t="str">
        <f>Auto_Sales_data___Copy[[#This Row],[R-Score(1-5)]]&amp;Auto_Sales_data___Copy[[#This Row],[F-Score(1-5)]]&amp;Auto_Sales_data___Copy[[#This Row],[M-Score(1-5)]]</f>
        <v>344</v>
      </c>
      <c r="AA1231" s="2" t="str" cm="1">
        <f t="array" ref="AA12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1" s="2" t="str">
        <f>VLOOKUP(Auto_Sales_data___Copy[[#This Row],[Segment Name]],Table3[],2,FALSE)</f>
        <v>Reward &amp; Upsell</v>
      </c>
    </row>
    <row r="1232" spans="1:28" x14ac:dyDescent="0.25">
      <c r="A1232">
        <v>10173</v>
      </c>
      <c r="B1232">
        <v>29</v>
      </c>
      <c r="C1232">
        <v>95.24</v>
      </c>
      <c r="D1232">
        <v>4</v>
      </c>
      <c r="E1232">
        <v>2761.96</v>
      </c>
      <c r="F1232" s="1">
        <v>43409</v>
      </c>
      <c r="G1232" s="2" t="s">
        <v>19</v>
      </c>
      <c r="H1232" s="2" t="s">
        <v>589</v>
      </c>
      <c r="I1232">
        <v>99</v>
      </c>
      <c r="J1232" s="2" t="s">
        <v>653</v>
      </c>
      <c r="K1232" s="2" t="s">
        <v>591</v>
      </c>
      <c r="L1232" s="2" t="s">
        <v>592</v>
      </c>
      <c r="M1232" s="2" t="s">
        <v>593</v>
      </c>
      <c r="N1232" s="2" t="s">
        <v>594</v>
      </c>
      <c r="O1232" s="2" t="s">
        <v>595</v>
      </c>
      <c r="P1232" s="2" t="s">
        <v>269</v>
      </c>
      <c r="Q1232" s="2" t="s">
        <v>596</v>
      </c>
      <c r="R1232" s="2" t="s">
        <v>597</v>
      </c>
      <c r="S1232" s="2" t="s">
        <v>30</v>
      </c>
      <c r="T1232">
        <v>1650</v>
      </c>
      <c r="U1232">
        <f>VLOOKUP(Auto_Sales_data___Copy[[#This Row],[CUSTOMER_NAME]],$AF$2:$AH$90,2,FALSE)</f>
        <v>48</v>
      </c>
      <c r="V1232">
        <f>VLOOKUP(Auto_Sales_data___Copy[[#This Row],[CUSTOMER_NAME]],$AF$2:$AH$90,3,FALSE)</f>
        <v>137955.72</v>
      </c>
      <c r="W1232" s="2">
        <f>6-MATCH(Auto_Sales_data___Copy[[#This Row],[DAYS_SINCE_LAST_ORDER]],Table2[R-Cutoff],1)</f>
        <v>3</v>
      </c>
      <c r="X1232" s="2">
        <f>MATCH(Auto_Sales_data___Copy[[#This Row],[Total_Orders_Per_Customer]],Table2[F-Cutoff],1)</f>
        <v>4</v>
      </c>
      <c r="Y1232" s="2">
        <f>MATCH(Auto_Sales_data___Copy[[#This Row],[Total_Sales_Per_Customer]],Table2[M-Cutoff],1)</f>
        <v>4</v>
      </c>
      <c r="Z1232" s="2" t="str">
        <f>Auto_Sales_data___Copy[[#This Row],[R-Score(1-5)]]&amp;Auto_Sales_data___Copy[[#This Row],[F-Score(1-5)]]&amp;Auto_Sales_data___Copy[[#This Row],[M-Score(1-5)]]</f>
        <v>344</v>
      </c>
      <c r="AA1232" s="2" t="str" cm="1">
        <f t="array" ref="AA12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2" s="2" t="str">
        <f>VLOOKUP(Auto_Sales_data___Copy[[#This Row],[Segment Name]],Table3[],2,FALSE)</f>
        <v>Reward &amp; Upsell</v>
      </c>
    </row>
    <row r="1233" spans="1:28" x14ac:dyDescent="0.25">
      <c r="A1233">
        <v>10173</v>
      </c>
      <c r="B1233">
        <v>21</v>
      </c>
      <c r="C1233">
        <v>75.459999999999994</v>
      </c>
      <c r="D1233">
        <v>14</v>
      </c>
      <c r="E1233">
        <v>1584.66</v>
      </c>
      <c r="F1233" s="1">
        <v>43409</v>
      </c>
      <c r="G1233" s="2" t="s">
        <v>19</v>
      </c>
      <c r="H1233" s="2" t="s">
        <v>589</v>
      </c>
      <c r="I1233">
        <v>92</v>
      </c>
      <c r="J1233" s="2" t="s">
        <v>659</v>
      </c>
      <c r="K1233" s="2" t="s">
        <v>591</v>
      </c>
      <c r="L1233" s="2" t="s">
        <v>592</v>
      </c>
      <c r="M1233" s="2" t="s">
        <v>593</v>
      </c>
      <c r="N1233" s="2" t="s">
        <v>594</v>
      </c>
      <c r="O1233" s="2" t="s">
        <v>595</v>
      </c>
      <c r="P1233" s="2" t="s">
        <v>269</v>
      </c>
      <c r="Q1233" s="2" t="s">
        <v>596</v>
      </c>
      <c r="R1233" s="2" t="s">
        <v>597</v>
      </c>
      <c r="S1233" s="2" t="s">
        <v>30</v>
      </c>
      <c r="T1233">
        <v>1797</v>
      </c>
      <c r="U1233">
        <f>VLOOKUP(Auto_Sales_data___Copy[[#This Row],[CUSTOMER_NAME]],$AF$2:$AH$90,2,FALSE)</f>
        <v>48</v>
      </c>
      <c r="V1233">
        <f>VLOOKUP(Auto_Sales_data___Copy[[#This Row],[CUSTOMER_NAME]],$AF$2:$AH$90,3,FALSE)</f>
        <v>137955.72</v>
      </c>
      <c r="W1233" s="2">
        <f>6-MATCH(Auto_Sales_data___Copy[[#This Row],[DAYS_SINCE_LAST_ORDER]],Table2[R-Cutoff],1)</f>
        <v>3</v>
      </c>
      <c r="X1233" s="2">
        <f>MATCH(Auto_Sales_data___Copy[[#This Row],[Total_Orders_Per_Customer]],Table2[F-Cutoff],1)</f>
        <v>4</v>
      </c>
      <c r="Y1233" s="2">
        <f>MATCH(Auto_Sales_data___Copy[[#This Row],[Total_Sales_Per_Customer]],Table2[M-Cutoff],1)</f>
        <v>4</v>
      </c>
      <c r="Z1233" s="2" t="str">
        <f>Auto_Sales_data___Copy[[#This Row],[R-Score(1-5)]]&amp;Auto_Sales_data___Copy[[#This Row],[F-Score(1-5)]]&amp;Auto_Sales_data___Copy[[#This Row],[M-Score(1-5)]]</f>
        <v>344</v>
      </c>
      <c r="AA1233" s="2" t="str" cm="1">
        <f t="array" ref="AA12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3" s="2" t="str">
        <f>VLOOKUP(Auto_Sales_data___Copy[[#This Row],[Segment Name]],Table3[],2,FALSE)</f>
        <v>Reward &amp; Upsell</v>
      </c>
    </row>
    <row r="1234" spans="1:28" x14ac:dyDescent="0.25">
      <c r="A1234">
        <v>10173</v>
      </c>
      <c r="B1234">
        <v>39</v>
      </c>
      <c r="C1234">
        <v>71.98</v>
      </c>
      <c r="D1234">
        <v>15</v>
      </c>
      <c r="E1234">
        <v>2807.22</v>
      </c>
      <c r="F1234" s="1">
        <v>43409</v>
      </c>
      <c r="G1234" s="2" t="s">
        <v>19</v>
      </c>
      <c r="H1234" s="2" t="s">
        <v>183</v>
      </c>
      <c r="I1234">
        <v>71</v>
      </c>
      <c r="J1234" s="2" t="s">
        <v>664</v>
      </c>
      <c r="K1234" s="2" t="s">
        <v>591</v>
      </c>
      <c r="L1234" s="2" t="s">
        <v>592</v>
      </c>
      <c r="M1234" s="2" t="s">
        <v>593</v>
      </c>
      <c r="N1234" s="2" t="s">
        <v>594</v>
      </c>
      <c r="O1234" s="2" t="s">
        <v>595</v>
      </c>
      <c r="P1234" s="2" t="s">
        <v>269</v>
      </c>
      <c r="Q1234" s="2" t="s">
        <v>596</v>
      </c>
      <c r="R1234" s="2" t="s">
        <v>597</v>
      </c>
      <c r="S1234" s="2" t="s">
        <v>30</v>
      </c>
      <c r="T1234">
        <v>1920</v>
      </c>
      <c r="U1234">
        <f>VLOOKUP(Auto_Sales_data___Copy[[#This Row],[CUSTOMER_NAME]],$AF$2:$AH$90,2,FALSE)</f>
        <v>48</v>
      </c>
      <c r="V1234">
        <f>VLOOKUP(Auto_Sales_data___Copy[[#This Row],[CUSTOMER_NAME]],$AF$2:$AH$90,3,FALSE)</f>
        <v>137955.72</v>
      </c>
      <c r="W1234" s="2">
        <f>6-MATCH(Auto_Sales_data___Copy[[#This Row],[DAYS_SINCE_LAST_ORDER]],Table2[R-Cutoff],1)</f>
        <v>3</v>
      </c>
      <c r="X1234" s="2">
        <f>MATCH(Auto_Sales_data___Copy[[#This Row],[Total_Orders_Per_Customer]],Table2[F-Cutoff],1)</f>
        <v>4</v>
      </c>
      <c r="Y1234" s="2">
        <f>MATCH(Auto_Sales_data___Copy[[#This Row],[Total_Sales_Per_Customer]],Table2[M-Cutoff],1)</f>
        <v>4</v>
      </c>
      <c r="Z1234" s="2" t="str">
        <f>Auto_Sales_data___Copy[[#This Row],[R-Score(1-5)]]&amp;Auto_Sales_data___Copy[[#This Row],[F-Score(1-5)]]&amp;Auto_Sales_data___Copy[[#This Row],[M-Score(1-5)]]</f>
        <v>344</v>
      </c>
      <c r="AA1234" s="2" t="str" cm="1">
        <f t="array" ref="AA12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4" s="2" t="str">
        <f>VLOOKUP(Auto_Sales_data___Copy[[#This Row],[Segment Name]],Table3[],2,FALSE)</f>
        <v>Reward &amp; Upsell</v>
      </c>
    </row>
    <row r="1235" spans="1:28" x14ac:dyDescent="0.25">
      <c r="A1235">
        <v>10176</v>
      </c>
      <c r="B1235">
        <v>36</v>
      </c>
      <c r="C1235">
        <v>153.66999999999999</v>
      </c>
      <c r="D1235">
        <v>5</v>
      </c>
      <c r="E1235">
        <v>5532.12</v>
      </c>
      <c r="F1235" s="1">
        <v>43410</v>
      </c>
      <c r="G1235" s="2" t="s">
        <v>19</v>
      </c>
      <c r="H1235" s="2" t="s">
        <v>183</v>
      </c>
      <c r="I1235">
        <v>143</v>
      </c>
      <c r="J1235" s="2" t="s">
        <v>658</v>
      </c>
      <c r="K1235" s="2" t="s">
        <v>480</v>
      </c>
      <c r="L1235" s="2" t="s">
        <v>481</v>
      </c>
      <c r="M1235" s="2" t="s">
        <v>482</v>
      </c>
      <c r="N1235" s="2" t="s">
        <v>483</v>
      </c>
      <c r="O1235" s="2" t="s">
        <v>484</v>
      </c>
      <c r="P1235" s="2" t="s">
        <v>269</v>
      </c>
      <c r="Q1235" s="2" t="s">
        <v>485</v>
      </c>
      <c r="R1235" s="2" t="s">
        <v>486</v>
      </c>
      <c r="S1235" s="2" t="s">
        <v>46</v>
      </c>
      <c r="T1235">
        <v>1772</v>
      </c>
      <c r="U1235">
        <f>VLOOKUP(Auto_Sales_data___Copy[[#This Row],[CUSTOMER_NAME]],$AF$2:$AH$90,2,FALSE)</f>
        <v>39</v>
      </c>
      <c r="V1235">
        <f>VLOOKUP(Auto_Sales_data___Copy[[#This Row],[CUSTOMER_NAME]],$AF$2:$AH$90,3,FALSE)</f>
        <v>142601.33000000002</v>
      </c>
      <c r="W1235" s="2">
        <f>6-MATCH(Auto_Sales_data___Copy[[#This Row],[DAYS_SINCE_LAST_ORDER]],Table2[R-Cutoff],1)</f>
        <v>3</v>
      </c>
      <c r="X1235" s="2">
        <f>MATCH(Auto_Sales_data___Copy[[#This Row],[Total_Orders_Per_Customer]],Table2[F-Cutoff],1)</f>
        <v>4</v>
      </c>
      <c r="Y1235" s="2">
        <f>MATCH(Auto_Sales_data___Copy[[#This Row],[Total_Sales_Per_Customer]],Table2[M-Cutoff],1)</f>
        <v>4</v>
      </c>
      <c r="Z1235" s="2" t="str">
        <f>Auto_Sales_data___Copy[[#This Row],[R-Score(1-5)]]&amp;Auto_Sales_data___Copy[[#This Row],[F-Score(1-5)]]&amp;Auto_Sales_data___Copy[[#This Row],[M-Score(1-5)]]</f>
        <v>344</v>
      </c>
      <c r="AA1235" s="2" t="str" cm="1">
        <f t="array" ref="AA12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5" s="2" t="str">
        <f>VLOOKUP(Auto_Sales_data___Copy[[#This Row],[Segment Name]],Table3[],2,FALSE)</f>
        <v>Reward &amp; Upsell</v>
      </c>
    </row>
    <row r="1236" spans="1:28" x14ac:dyDescent="0.25">
      <c r="A1236">
        <v>10176</v>
      </c>
      <c r="B1236">
        <v>27</v>
      </c>
      <c r="C1236">
        <v>68.78</v>
      </c>
      <c r="D1236">
        <v>8</v>
      </c>
      <c r="E1236">
        <v>1857.06</v>
      </c>
      <c r="F1236" s="1">
        <v>43410</v>
      </c>
      <c r="G1236" s="2" t="s">
        <v>19</v>
      </c>
      <c r="H1236" s="2" t="s">
        <v>183</v>
      </c>
      <c r="I1236">
        <v>57</v>
      </c>
      <c r="J1236" s="2" t="s">
        <v>666</v>
      </c>
      <c r="K1236" s="2" t="s">
        <v>480</v>
      </c>
      <c r="L1236" s="2" t="s">
        <v>481</v>
      </c>
      <c r="M1236" s="2" t="s">
        <v>482</v>
      </c>
      <c r="N1236" s="2" t="s">
        <v>483</v>
      </c>
      <c r="O1236" s="2" t="s">
        <v>484</v>
      </c>
      <c r="P1236" s="2" t="s">
        <v>269</v>
      </c>
      <c r="Q1236" s="2" t="s">
        <v>485</v>
      </c>
      <c r="R1236" s="2" t="s">
        <v>486</v>
      </c>
      <c r="S1236" s="2" t="s">
        <v>30</v>
      </c>
      <c r="T1236">
        <v>1966</v>
      </c>
      <c r="U1236">
        <f>VLOOKUP(Auto_Sales_data___Copy[[#This Row],[CUSTOMER_NAME]],$AF$2:$AH$90,2,FALSE)</f>
        <v>39</v>
      </c>
      <c r="V1236">
        <f>VLOOKUP(Auto_Sales_data___Copy[[#This Row],[CUSTOMER_NAME]],$AF$2:$AH$90,3,FALSE)</f>
        <v>142601.33000000002</v>
      </c>
      <c r="W1236" s="2">
        <f>6-MATCH(Auto_Sales_data___Copy[[#This Row],[DAYS_SINCE_LAST_ORDER]],Table2[R-Cutoff],1)</f>
        <v>3</v>
      </c>
      <c r="X1236" s="2">
        <f>MATCH(Auto_Sales_data___Copy[[#This Row],[Total_Orders_Per_Customer]],Table2[F-Cutoff],1)</f>
        <v>4</v>
      </c>
      <c r="Y1236" s="2">
        <f>MATCH(Auto_Sales_data___Copy[[#This Row],[Total_Sales_Per_Customer]],Table2[M-Cutoff],1)</f>
        <v>4</v>
      </c>
      <c r="Z1236" s="2" t="str">
        <f>Auto_Sales_data___Copy[[#This Row],[R-Score(1-5)]]&amp;Auto_Sales_data___Copy[[#This Row],[F-Score(1-5)]]&amp;Auto_Sales_data___Copy[[#This Row],[M-Score(1-5)]]</f>
        <v>344</v>
      </c>
      <c r="AA1236" s="2" t="str" cm="1">
        <f t="array" ref="AA12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6" s="2" t="str">
        <f>VLOOKUP(Auto_Sales_data___Copy[[#This Row],[Segment Name]],Table3[],2,FALSE)</f>
        <v>Reward &amp; Upsell</v>
      </c>
    </row>
    <row r="1237" spans="1:28" x14ac:dyDescent="0.25">
      <c r="A1237">
        <v>10181</v>
      </c>
      <c r="B1237">
        <v>45</v>
      </c>
      <c r="C1237">
        <v>140.55000000000001</v>
      </c>
      <c r="D1237">
        <v>7</v>
      </c>
      <c r="E1237">
        <v>6324.75</v>
      </c>
      <c r="F1237" s="1">
        <v>43416</v>
      </c>
      <c r="G1237" s="2" t="s">
        <v>19</v>
      </c>
      <c r="H1237" s="2" t="s">
        <v>183</v>
      </c>
      <c r="I1237">
        <v>169</v>
      </c>
      <c r="J1237" s="2" t="s">
        <v>649</v>
      </c>
      <c r="K1237" s="2" t="s">
        <v>68</v>
      </c>
      <c r="L1237" s="2" t="s">
        <v>69</v>
      </c>
      <c r="M1237" s="2" t="s">
        <v>70</v>
      </c>
      <c r="N1237" s="2" t="s">
        <v>71</v>
      </c>
      <c r="O1237" s="2" t="s">
        <v>72</v>
      </c>
      <c r="P1237" s="2" t="s">
        <v>73</v>
      </c>
      <c r="Q1237" s="2" t="s">
        <v>74</v>
      </c>
      <c r="R1237" s="2" t="s">
        <v>75</v>
      </c>
      <c r="S1237" s="2" t="s">
        <v>46</v>
      </c>
      <c r="T1237">
        <v>1551</v>
      </c>
      <c r="U1237">
        <f>VLOOKUP(Auto_Sales_data___Copy[[#This Row],[CUSTOMER_NAME]],$AF$2:$AH$90,2,FALSE)</f>
        <v>29</v>
      </c>
      <c r="V1237">
        <f>VLOOKUP(Auto_Sales_data___Copy[[#This Row],[CUSTOMER_NAME]],$AF$2:$AH$90,3,FALSE)</f>
        <v>111640.28</v>
      </c>
      <c r="W1237" s="2">
        <f>6-MATCH(Auto_Sales_data___Copy[[#This Row],[DAYS_SINCE_LAST_ORDER]],Table2[R-Cutoff],1)</f>
        <v>3</v>
      </c>
      <c r="X1237" s="2">
        <f>MATCH(Auto_Sales_data___Copy[[#This Row],[Total_Orders_Per_Customer]],Table2[F-Cutoff],1)</f>
        <v>4</v>
      </c>
      <c r="Y1237" s="2">
        <f>MATCH(Auto_Sales_data___Copy[[#This Row],[Total_Sales_Per_Customer]],Table2[M-Cutoff],1)</f>
        <v>4</v>
      </c>
      <c r="Z1237" s="2" t="str">
        <f>Auto_Sales_data___Copy[[#This Row],[R-Score(1-5)]]&amp;Auto_Sales_data___Copy[[#This Row],[F-Score(1-5)]]&amp;Auto_Sales_data___Copy[[#This Row],[M-Score(1-5)]]</f>
        <v>344</v>
      </c>
      <c r="AA1237" s="2" t="str" cm="1">
        <f t="array" ref="AA12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7" s="2" t="str">
        <f>VLOOKUP(Auto_Sales_data___Copy[[#This Row],[Segment Name]],Table3[],2,FALSE)</f>
        <v>Reward &amp; Upsell</v>
      </c>
    </row>
    <row r="1238" spans="1:28" x14ac:dyDescent="0.25">
      <c r="A1238">
        <v>10181</v>
      </c>
      <c r="B1238">
        <v>30</v>
      </c>
      <c r="C1238">
        <v>82.82</v>
      </c>
      <c r="D1238">
        <v>17</v>
      </c>
      <c r="E1238">
        <v>2484.6</v>
      </c>
      <c r="F1238" s="1">
        <v>43416</v>
      </c>
      <c r="G1238" s="2" t="s">
        <v>19</v>
      </c>
      <c r="H1238" s="2" t="s">
        <v>183</v>
      </c>
      <c r="I1238">
        <v>80</v>
      </c>
      <c r="J1238" s="2" t="s">
        <v>652</v>
      </c>
      <c r="K1238" s="2" t="s">
        <v>68</v>
      </c>
      <c r="L1238" s="2" t="s">
        <v>69</v>
      </c>
      <c r="M1238" s="2" t="s">
        <v>70</v>
      </c>
      <c r="N1238" s="2" t="s">
        <v>71</v>
      </c>
      <c r="O1238" s="2" t="s">
        <v>72</v>
      </c>
      <c r="P1238" s="2" t="s">
        <v>73</v>
      </c>
      <c r="Q1238" s="2" t="s">
        <v>74</v>
      </c>
      <c r="R1238" s="2" t="s">
        <v>75</v>
      </c>
      <c r="S1238" s="2" t="s">
        <v>30</v>
      </c>
      <c r="T1238">
        <v>1620</v>
      </c>
      <c r="U1238">
        <f>VLOOKUP(Auto_Sales_data___Copy[[#This Row],[CUSTOMER_NAME]],$AF$2:$AH$90,2,FALSE)</f>
        <v>29</v>
      </c>
      <c r="V1238">
        <f>VLOOKUP(Auto_Sales_data___Copy[[#This Row],[CUSTOMER_NAME]],$AF$2:$AH$90,3,FALSE)</f>
        <v>111640.28</v>
      </c>
      <c r="W1238" s="2">
        <f>6-MATCH(Auto_Sales_data___Copy[[#This Row],[DAYS_SINCE_LAST_ORDER]],Table2[R-Cutoff],1)</f>
        <v>3</v>
      </c>
      <c r="X1238" s="2">
        <f>MATCH(Auto_Sales_data___Copy[[#This Row],[Total_Orders_Per_Customer]],Table2[F-Cutoff],1)</f>
        <v>4</v>
      </c>
      <c r="Y1238" s="2">
        <f>MATCH(Auto_Sales_data___Copy[[#This Row],[Total_Sales_Per_Customer]],Table2[M-Cutoff],1)</f>
        <v>4</v>
      </c>
      <c r="Z1238" s="2" t="str">
        <f>Auto_Sales_data___Copy[[#This Row],[R-Score(1-5)]]&amp;Auto_Sales_data___Copy[[#This Row],[F-Score(1-5)]]&amp;Auto_Sales_data___Copy[[#This Row],[M-Score(1-5)]]</f>
        <v>344</v>
      </c>
      <c r="AA1238" s="2" t="str" cm="1">
        <f t="array" ref="AA12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8" s="2" t="str">
        <f>VLOOKUP(Auto_Sales_data___Copy[[#This Row],[Segment Name]],Table3[],2,FALSE)</f>
        <v>Reward &amp; Upsell</v>
      </c>
    </row>
    <row r="1239" spans="1:28" x14ac:dyDescent="0.25">
      <c r="A1239">
        <v>10182</v>
      </c>
      <c r="B1239">
        <v>33</v>
      </c>
      <c r="C1239">
        <v>86.31</v>
      </c>
      <c r="D1239">
        <v>1</v>
      </c>
      <c r="E1239">
        <v>2848.23</v>
      </c>
      <c r="F1239" s="1">
        <v>43416</v>
      </c>
      <c r="G1239" s="2" t="s">
        <v>19</v>
      </c>
      <c r="H1239" s="2" t="s">
        <v>589</v>
      </c>
      <c r="I1239">
        <v>99</v>
      </c>
      <c r="J1239" s="2" t="s">
        <v>653</v>
      </c>
      <c r="K1239" s="2" t="s">
        <v>284</v>
      </c>
      <c r="L1239" s="2" t="s">
        <v>285</v>
      </c>
      <c r="M1239" s="2" t="s">
        <v>286</v>
      </c>
      <c r="N1239" s="2" t="s">
        <v>287</v>
      </c>
      <c r="O1239" s="2" t="s">
        <v>106</v>
      </c>
      <c r="P1239" s="2" t="s">
        <v>27</v>
      </c>
      <c r="Q1239" s="2" t="s">
        <v>288</v>
      </c>
      <c r="R1239" s="2" t="s">
        <v>289</v>
      </c>
      <c r="S1239" s="2" t="s">
        <v>30</v>
      </c>
      <c r="T1239">
        <v>1644</v>
      </c>
      <c r="U1239">
        <f>VLOOKUP(Auto_Sales_data___Copy[[#This Row],[CUSTOMER_NAME]],$AF$2:$AH$90,2,FALSE)</f>
        <v>180</v>
      </c>
      <c r="V1239">
        <f>VLOOKUP(Auto_Sales_data___Copy[[#This Row],[CUSTOMER_NAME]],$AF$2:$AH$90,3,FALSE)</f>
        <v>654858.06000000017</v>
      </c>
      <c r="W1239" s="2">
        <f>6-MATCH(Auto_Sales_data___Copy[[#This Row],[DAYS_SINCE_LAST_ORDER]],Table2[R-Cutoff],1)</f>
        <v>3</v>
      </c>
      <c r="X1239" s="2">
        <f>MATCH(Auto_Sales_data___Copy[[#This Row],[Total_Orders_Per_Customer]],Table2[F-Cutoff],1)</f>
        <v>4</v>
      </c>
      <c r="Y1239" s="2">
        <f>MATCH(Auto_Sales_data___Copy[[#This Row],[Total_Sales_Per_Customer]],Table2[M-Cutoff],1)</f>
        <v>4</v>
      </c>
      <c r="Z1239" s="2" t="str">
        <f>Auto_Sales_data___Copy[[#This Row],[R-Score(1-5)]]&amp;Auto_Sales_data___Copy[[#This Row],[F-Score(1-5)]]&amp;Auto_Sales_data___Copy[[#This Row],[M-Score(1-5)]]</f>
        <v>344</v>
      </c>
      <c r="AA1239" s="2" t="str" cm="1">
        <f t="array" ref="AA12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9" s="2" t="str">
        <f>VLOOKUP(Auto_Sales_data___Copy[[#This Row],[Segment Name]],Table3[],2,FALSE)</f>
        <v>Reward &amp; Upsell</v>
      </c>
    </row>
    <row r="1240" spans="1:28" x14ac:dyDescent="0.25">
      <c r="A1240">
        <v>10181</v>
      </c>
      <c r="B1240">
        <v>22</v>
      </c>
      <c r="C1240">
        <v>154.34</v>
      </c>
      <c r="D1240">
        <v>16</v>
      </c>
      <c r="E1240">
        <v>3395.48</v>
      </c>
      <c r="F1240" s="1">
        <v>43416</v>
      </c>
      <c r="G1240" s="2" t="s">
        <v>19</v>
      </c>
      <c r="H1240" s="2" t="s">
        <v>183</v>
      </c>
      <c r="I1240">
        <v>146</v>
      </c>
      <c r="J1240" s="2" t="s">
        <v>654</v>
      </c>
      <c r="K1240" s="2" t="s">
        <v>68</v>
      </c>
      <c r="L1240" s="2" t="s">
        <v>69</v>
      </c>
      <c r="M1240" s="2" t="s">
        <v>70</v>
      </c>
      <c r="N1240" s="2" t="s">
        <v>71</v>
      </c>
      <c r="O1240" s="2" t="s">
        <v>72</v>
      </c>
      <c r="P1240" s="2" t="s">
        <v>73</v>
      </c>
      <c r="Q1240" s="2" t="s">
        <v>74</v>
      </c>
      <c r="R1240" s="2" t="s">
        <v>75</v>
      </c>
      <c r="S1240" s="2" t="s">
        <v>46</v>
      </c>
      <c r="T1240">
        <v>1667</v>
      </c>
      <c r="U1240">
        <f>VLOOKUP(Auto_Sales_data___Copy[[#This Row],[CUSTOMER_NAME]],$AF$2:$AH$90,2,FALSE)</f>
        <v>29</v>
      </c>
      <c r="V1240">
        <f>VLOOKUP(Auto_Sales_data___Copy[[#This Row],[CUSTOMER_NAME]],$AF$2:$AH$90,3,FALSE)</f>
        <v>111640.28</v>
      </c>
      <c r="W1240" s="2">
        <f>6-MATCH(Auto_Sales_data___Copy[[#This Row],[DAYS_SINCE_LAST_ORDER]],Table2[R-Cutoff],1)</f>
        <v>3</v>
      </c>
      <c r="X1240" s="2">
        <f>MATCH(Auto_Sales_data___Copy[[#This Row],[Total_Orders_Per_Customer]],Table2[F-Cutoff],1)</f>
        <v>4</v>
      </c>
      <c r="Y1240" s="2">
        <f>MATCH(Auto_Sales_data___Copy[[#This Row],[Total_Sales_Per_Customer]],Table2[M-Cutoff],1)</f>
        <v>4</v>
      </c>
      <c r="Z1240" s="2" t="str">
        <f>Auto_Sales_data___Copy[[#This Row],[R-Score(1-5)]]&amp;Auto_Sales_data___Copy[[#This Row],[F-Score(1-5)]]&amp;Auto_Sales_data___Copy[[#This Row],[M-Score(1-5)]]</f>
        <v>344</v>
      </c>
      <c r="AA1240" s="2" t="str" cm="1">
        <f t="array" ref="AA12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0" s="2" t="str">
        <f>VLOOKUP(Auto_Sales_data___Copy[[#This Row],[Segment Name]],Table3[],2,FALSE)</f>
        <v>Reward &amp; Upsell</v>
      </c>
    </row>
    <row r="1241" spans="1:28" x14ac:dyDescent="0.25">
      <c r="A1241">
        <v>10181</v>
      </c>
      <c r="B1241">
        <v>39</v>
      </c>
      <c r="C1241">
        <v>148.34</v>
      </c>
      <c r="D1241">
        <v>4</v>
      </c>
      <c r="E1241">
        <v>5785.26</v>
      </c>
      <c r="F1241" s="1">
        <v>43416</v>
      </c>
      <c r="G1241" s="2" t="s">
        <v>19</v>
      </c>
      <c r="H1241" s="2" t="s">
        <v>183</v>
      </c>
      <c r="I1241">
        <v>141</v>
      </c>
      <c r="J1241" s="2" t="s">
        <v>655</v>
      </c>
      <c r="K1241" s="2" t="s">
        <v>68</v>
      </c>
      <c r="L1241" s="2" t="s">
        <v>69</v>
      </c>
      <c r="M1241" s="2" t="s">
        <v>70</v>
      </c>
      <c r="N1241" s="2" t="s">
        <v>71</v>
      </c>
      <c r="O1241" s="2" t="s">
        <v>72</v>
      </c>
      <c r="P1241" s="2" t="s">
        <v>73</v>
      </c>
      <c r="Q1241" s="2" t="s">
        <v>74</v>
      </c>
      <c r="R1241" s="2" t="s">
        <v>75</v>
      </c>
      <c r="S1241" s="2" t="s">
        <v>46</v>
      </c>
      <c r="T1241">
        <v>1692</v>
      </c>
      <c r="U1241">
        <f>VLOOKUP(Auto_Sales_data___Copy[[#This Row],[CUSTOMER_NAME]],$AF$2:$AH$90,2,FALSE)</f>
        <v>29</v>
      </c>
      <c r="V1241">
        <f>VLOOKUP(Auto_Sales_data___Copy[[#This Row],[CUSTOMER_NAME]],$AF$2:$AH$90,3,FALSE)</f>
        <v>111640.28</v>
      </c>
      <c r="W1241" s="2">
        <f>6-MATCH(Auto_Sales_data___Copy[[#This Row],[DAYS_SINCE_LAST_ORDER]],Table2[R-Cutoff],1)</f>
        <v>3</v>
      </c>
      <c r="X1241" s="2">
        <f>MATCH(Auto_Sales_data___Copy[[#This Row],[Total_Orders_Per_Customer]],Table2[F-Cutoff],1)</f>
        <v>4</v>
      </c>
      <c r="Y1241" s="2">
        <f>MATCH(Auto_Sales_data___Copy[[#This Row],[Total_Sales_Per_Customer]],Table2[M-Cutoff],1)</f>
        <v>4</v>
      </c>
      <c r="Z1241" s="2" t="str">
        <f>Auto_Sales_data___Copy[[#This Row],[R-Score(1-5)]]&amp;Auto_Sales_data___Copy[[#This Row],[F-Score(1-5)]]&amp;Auto_Sales_data___Copy[[#This Row],[M-Score(1-5)]]</f>
        <v>344</v>
      </c>
      <c r="AA1241" s="2" t="str" cm="1">
        <f t="array" ref="AA12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1" s="2" t="str">
        <f>VLOOKUP(Auto_Sales_data___Copy[[#This Row],[Segment Name]],Table3[],2,FALSE)</f>
        <v>Reward &amp; Upsell</v>
      </c>
    </row>
    <row r="1242" spans="1:28" x14ac:dyDescent="0.25">
      <c r="A1242">
        <v>10182</v>
      </c>
      <c r="B1242">
        <v>36</v>
      </c>
      <c r="C1242">
        <v>109.52</v>
      </c>
      <c r="D1242">
        <v>11</v>
      </c>
      <c r="E1242">
        <v>3942.72</v>
      </c>
      <c r="F1242" s="1">
        <v>43416</v>
      </c>
      <c r="G1242" s="2" t="s">
        <v>19</v>
      </c>
      <c r="H1242" s="2" t="s">
        <v>589</v>
      </c>
      <c r="I1242">
        <v>92</v>
      </c>
      <c r="J1242" s="2" t="s">
        <v>659</v>
      </c>
      <c r="K1242" s="2" t="s">
        <v>284</v>
      </c>
      <c r="L1242" s="2" t="s">
        <v>285</v>
      </c>
      <c r="M1242" s="2" t="s">
        <v>286</v>
      </c>
      <c r="N1242" s="2" t="s">
        <v>287</v>
      </c>
      <c r="O1242" s="2" t="s">
        <v>106</v>
      </c>
      <c r="P1242" s="2" t="s">
        <v>27</v>
      </c>
      <c r="Q1242" s="2" t="s">
        <v>288</v>
      </c>
      <c r="R1242" s="2" t="s">
        <v>289</v>
      </c>
      <c r="S1242" s="2" t="s">
        <v>46</v>
      </c>
      <c r="T1242">
        <v>1791</v>
      </c>
      <c r="U1242">
        <f>VLOOKUP(Auto_Sales_data___Copy[[#This Row],[CUSTOMER_NAME]],$AF$2:$AH$90,2,FALSE)</f>
        <v>180</v>
      </c>
      <c r="V1242">
        <f>VLOOKUP(Auto_Sales_data___Copy[[#This Row],[CUSTOMER_NAME]],$AF$2:$AH$90,3,FALSE)</f>
        <v>654858.06000000017</v>
      </c>
      <c r="W1242" s="2">
        <f>6-MATCH(Auto_Sales_data___Copy[[#This Row],[DAYS_SINCE_LAST_ORDER]],Table2[R-Cutoff],1)</f>
        <v>3</v>
      </c>
      <c r="X1242" s="2">
        <f>MATCH(Auto_Sales_data___Copy[[#This Row],[Total_Orders_Per_Customer]],Table2[F-Cutoff],1)</f>
        <v>4</v>
      </c>
      <c r="Y1242" s="2">
        <f>MATCH(Auto_Sales_data___Copy[[#This Row],[Total_Sales_Per_Customer]],Table2[M-Cutoff],1)</f>
        <v>4</v>
      </c>
      <c r="Z1242" s="2" t="str">
        <f>Auto_Sales_data___Copy[[#This Row],[R-Score(1-5)]]&amp;Auto_Sales_data___Copy[[#This Row],[F-Score(1-5)]]&amp;Auto_Sales_data___Copy[[#This Row],[M-Score(1-5)]]</f>
        <v>344</v>
      </c>
      <c r="AA1242" s="2" t="str" cm="1">
        <f t="array" ref="AA12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2" s="2" t="str">
        <f>VLOOKUP(Auto_Sales_data___Copy[[#This Row],[Segment Name]],Table3[],2,FALSE)</f>
        <v>Reward &amp; Upsell</v>
      </c>
    </row>
    <row r="1243" spans="1:28" x14ac:dyDescent="0.25">
      <c r="A1243">
        <v>10182</v>
      </c>
      <c r="B1243">
        <v>44</v>
      </c>
      <c r="C1243">
        <v>69.84</v>
      </c>
      <c r="D1243">
        <v>12</v>
      </c>
      <c r="E1243">
        <v>3072.96</v>
      </c>
      <c r="F1243" s="1">
        <v>43416</v>
      </c>
      <c r="G1243" s="2" t="s">
        <v>19</v>
      </c>
      <c r="H1243" s="2" t="s">
        <v>183</v>
      </c>
      <c r="I1243">
        <v>71</v>
      </c>
      <c r="J1243" s="2" t="s">
        <v>664</v>
      </c>
      <c r="K1243" s="2" t="s">
        <v>284</v>
      </c>
      <c r="L1243" s="2" t="s">
        <v>285</v>
      </c>
      <c r="M1243" s="2" t="s">
        <v>286</v>
      </c>
      <c r="N1243" s="2" t="s">
        <v>287</v>
      </c>
      <c r="O1243" s="2" t="s">
        <v>106</v>
      </c>
      <c r="P1243" s="2" t="s">
        <v>27</v>
      </c>
      <c r="Q1243" s="2" t="s">
        <v>288</v>
      </c>
      <c r="R1243" s="2" t="s">
        <v>289</v>
      </c>
      <c r="S1243" s="2" t="s">
        <v>46</v>
      </c>
      <c r="T1243">
        <v>1914</v>
      </c>
      <c r="U1243">
        <f>VLOOKUP(Auto_Sales_data___Copy[[#This Row],[CUSTOMER_NAME]],$AF$2:$AH$90,2,FALSE)</f>
        <v>180</v>
      </c>
      <c r="V1243">
        <f>VLOOKUP(Auto_Sales_data___Copy[[#This Row],[CUSTOMER_NAME]],$AF$2:$AH$90,3,FALSE)</f>
        <v>654858.06000000017</v>
      </c>
      <c r="W1243" s="2">
        <f>6-MATCH(Auto_Sales_data___Copy[[#This Row],[DAYS_SINCE_LAST_ORDER]],Table2[R-Cutoff],1)</f>
        <v>3</v>
      </c>
      <c r="X1243" s="2">
        <f>MATCH(Auto_Sales_data___Copy[[#This Row],[Total_Orders_Per_Customer]],Table2[F-Cutoff],1)</f>
        <v>4</v>
      </c>
      <c r="Y1243" s="2">
        <f>MATCH(Auto_Sales_data___Copy[[#This Row],[Total_Sales_Per_Customer]],Table2[M-Cutoff],1)</f>
        <v>4</v>
      </c>
      <c r="Z1243" s="2" t="str">
        <f>Auto_Sales_data___Copy[[#This Row],[R-Score(1-5)]]&amp;Auto_Sales_data___Copy[[#This Row],[F-Score(1-5)]]&amp;Auto_Sales_data___Copy[[#This Row],[M-Score(1-5)]]</f>
        <v>344</v>
      </c>
      <c r="AA1243" s="2" t="str" cm="1">
        <f t="array" ref="AA12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3" s="2" t="str">
        <f>VLOOKUP(Auto_Sales_data___Copy[[#This Row],[Segment Name]],Table3[],2,FALSE)</f>
        <v>Reward &amp; Upsell</v>
      </c>
    </row>
    <row r="1244" spans="1:28" x14ac:dyDescent="0.25">
      <c r="A1244">
        <v>10182</v>
      </c>
      <c r="B1244">
        <v>47</v>
      </c>
      <c r="C1244">
        <v>74.22</v>
      </c>
      <c r="D1244">
        <v>16</v>
      </c>
      <c r="E1244">
        <v>3488.34</v>
      </c>
      <c r="F1244" s="1">
        <v>43416</v>
      </c>
      <c r="G1244" s="2" t="s">
        <v>19</v>
      </c>
      <c r="H1244" s="2" t="s">
        <v>183</v>
      </c>
      <c r="I1244">
        <v>73</v>
      </c>
      <c r="J1244" s="2" t="s">
        <v>665</v>
      </c>
      <c r="K1244" s="2" t="s">
        <v>284</v>
      </c>
      <c r="L1244" s="2" t="s">
        <v>285</v>
      </c>
      <c r="M1244" s="2" t="s">
        <v>286</v>
      </c>
      <c r="N1244" s="2" t="s">
        <v>287</v>
      </c>
      <c r="O1244" s="2" t="s">
        <v>106</v>
      </c>
      <c r="P1244" s="2" t="s">
        <v>27</v>
      </c>
      <c r="Q1244" s="2" t="s">
        <v>288</v>
      </c>
      <c r="R1244" s="2" t="s">
        <v>289</v>
      </c>
      <c r="S1244" s="2" t="s">
        <v>46</v>
      </c>
      <c r="T1244">
        <v>1936</v>
      </c>
      <c r="U1244">
        <f>VLOOKUP(Auto_Sales_data___Copy[[#This Row],[CUSTOMER_NAME]],$AF$2:$AH$90,2,FALSE)</f>
        <v>180</v>
      </c>
      <c r="V1244">
        <f>VLOOKUP(Auto_Sales_data___Copy[[#This Row],[CUSTOMER_NAME]],$AF$2:$AH$90,3,FALSE)</f>
        <v>654858.06000000017</v>
      </c>
      <c r="W1244" s="2">
        <f>6-MATCH(Auto_Sales_data___Copy[[#This Row],[DAYS_SINCE_LAST_ORDER]],Table2[R-Cutoff],1)</f>
        <v>3</v>
      </c>
      <c r="X1244" s="2">
        <f>MATCH(Auto_Sales_data___Copy[[#This Row],[Total_Orders_Per_Customer]],Table2[F-Cutoff],1)</f>
        <v>4</v>
      </c>
      <c r="Y1244" s="2">
        <f>MATCH(Auto_Sales_data___Copy[[#This Row],[Total_Sales_Per_Customer]],Table2[M-Cutoff],1)</f>
        <v>4</v>
      </c>
      <c r="Z1244" s="2" t="str">
        <f>Auto_Sales_data___Copy[[#This Row],[R-Score(1-5)]]&amp;Auto_Sales_data___Copy[[#This Row],[F-Score(1-5)]]&amp;Auto_Sales_data___Copy[[#This Row],[M-Score(1-5)]]</f>
        <v>344</v>
      </c>
      <c r="AA1244" s="2" t="str" cm="1">
        <f t="array" ref="AA12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4" s="2" t="str">
        <f>VLOOKUP(Auto_Sales_data___Copy[[#This Row],[Segment Name]],Table3[],2,FALSE)</f>
        <v>Reward &amp; Upsell</v>
      </c>
    </row>
    <row r="1245" spans="1:28" x14ac:dyDescent="0.25">
      <c r="A1245">
        <v>10181</v>
      </c>
      <c r="B1245">
        <v>34</v>
      </c>
      <c r="C1245">
        <v>53.83</v>
      </c>
      <c r="D1245">
        <v>1</v>
      </c>
      <c r="E1245">
        <v>1830.22</v>
      </c>
      <c r="F1245" s="1">
        <v>43416</v>
      </c>
      <c r="G1245" s="2" t="s">
        <v>19</v>
      </c>
      <c r="H1245" s="2" t="s">
        <v>183</v>
      </c>
      <c r="I1245">
        <v>50</v>
      </c>
      <c r="J1245" s="2" t="s">
        <v>668</v>
      </c>
      <c r="K1245" s="2" t="s">
        <v>68</v>
      </c>
      <c r="L1245" s="2" t="s">
        <v>69</v>
      </c>
      <c r="M1245" s="2" t="s">
        <v>70</v>
      </c>
      <c r="N1245" s="2" t="s">
        <v>71</v>
      </c>
      <c r="O1245" s="2" t="s">
        <v>72</v>
      </c>
      <c r="P1245" s="2" t="s">
        <v>73</v>
      </c>
      <c r="Q1245" s="2" t="s">
        <v>74</v>
      </c>
      <c r="R1245" s="2" t="s">
        <v>75</v>
      </c>
      <c r="S1245" s="2" t="s">
        <v>30</v>
      </c>
      <c r="T1245">
        <v>2012</v>
      </c>
      <c r="U1245">
        <f>VLOOKUP(Auto_Sales_data___Copy[[#This Row],[CUSTOMER_NAME]],$AF$2:$AH$90,2,FALSE)</f>
        <v>29</v>
      </c>
      <c r="V1245">
        <f>VLOOKUP(Auto_Sales_data___Copy[[#This Row],[CUSTOMER_NAME]],$AF$2:$AH$90,3,FALSE)</f>
        <v>111640.28</v>
      </c>
      <c r="W1245" s="2">
        <f>6-MATCH(Auto_Sales_data___Copy[[#This Row],[DAYS_SINCE_LAST_ORDER]],Table2[R-Cutoff],1)</f>
        <v>3</v>
      </c>
      <c r="X1245" s="2">
        <f>MATCH(Auto_Sales_data___Copy[[#This Row],[Total_Orders_Per_Customer]],Table2[F-Cutoff],1)</f>
        <v>4</v>
      </c>
      <c r="Y1245" s="2">
        <f>MATCH(Auto_Sales_data___Copy[[#This Row],[Total_Sales_Per_Customer]],Table2[M-Cutoff],1)</f>
        <v>4</v>
      </c>
      <c r="Z1245" s="2" t="str">
        <f>Auto_Sales_data___Copy[[#This Row],[R-Score(1-5)]]&amp;Auto_Sales_data___Copy[[#This Row],[F-Score(1-5)]]&amp;Auto_Sales_data___Copy[[#This Row],[M-Score(1-5)]]</f>
        <v>344</v>
      </c>
      <c r="AA1245" s="2" t="str" cm="1">
        <f t="array" ref="AA12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5" s="2" t="str">
        <f>VLOOKUP(Auto_Sales_data___Copy[[#This Row],[Segment Name]],Table3[],2,FALSE)</f>
        <v>Reward &amp; Upsell</v>
      </c>
    </row>
    <row r="1246" spans="1:28" x14ac:dyDescent="0.25">
      <c r="A1246">
        <v>10185</v>
      </c>
      <c r="B1246">
        <v>28</v>
      </c>
      <c r="C1246">
        <v>122.93</v>
      </c>
      <c r="D1246">
        <v>9</v>
      </c>
      <c r="E1246">
        <v>3442.04</v>
      </c>
      <c r="F1246" s="1">
        <v>43418</v>
      </c>
      <c r="G1246" s="2" t="s">
        <v>19</v>
      </c>
      <c r="H1246" s="2" t="s">
        <v>589</v>
      </c>
      <c r="I1246">
        <v>136</v>
      </c>
      <c r="J1246" s="2" t="s">
        <v>648</v>
      </c>
      <c r="K1246" s="2" t="s">
        <v>353</v>
      </c>
      <c r="L1246" s="2" t="s">
        <v>354</v>
      </c>
      <c r="M1246" s="2" t="s">
        <v>355</v>
      </c>
      <c r="N1246" s="2" t="s">
        <v>162</v>
      </c>
      <c r="O1246" s="2" t="s">
        <v>163</v>
      </c>
      <c r="P1246" s="2" t="s">
        <v>27</v>
      </c>
      <c r="Q1246" s="2" t="s">
        <v>356</v>
      </c>
      <c r="R1246" s="2" t="s">
        <v>357</v>
      </c>
      <c r="S1246" s="2" t="s">
        <v>46</v>
      </c>
      <c r="T1246">
        <v>1519</v>
      </c>
      <c r="U1246">
        <f>VLOOKUP(Auto_Sales_data___Copy[[#This Row],[CUSTOMER_NAME]],$AF$2:$AH$90,2,FALSE)</f>
        <v>35</v>
      </c>
      <c r="V1246">
        <f>VLOOKUP(Auto_Sales_data___Copy[[#This Row],[CUSTOMER_NAME]],$AF$2:$AH$90,3,FALSE)</f>
        <v>108951.12999999998</v>
      </c>
      <c r="W1246" s="2">
        <f>6-MATCH(Auto_Sales_data___Copy[[#This Row],[DAYS_SINCE_LAST_ORDER]],Table2[R-Cutoff],1)</f>
        <v>3</v>
      </c>
      <c r="X1246" s="2">
        <f>MATCH(Auto_Sales_data___Copy[[#This Row],[Total_Orders_Per_Customer]],Table2[F-Cutoff],1)</f>
        <v>4</v>
      </c>
      <c r="Y1246" s="2">
        <f>MATCH(Auto_Sales_data___Copy[[#This Row],[Total_Sales_Per_Customer]],Table2[M-Cutoff],1)</f>
        <v>4</v>
      </c>
      <c r="Z1246" s="2" t="str">
        <f>Auto_Sales_data___Copy[[#This Row],[R-Score(1-5)]]&amp;Auto_Sales_data___Copy[[#This Row],[F-Score(1-5)]]&amp;Auto_Sales_data___Copy[[#This Row],[M-Score(1-5)]]</f>
        <v>344</v>
      </c>
      <c r="AA1246" s="2" t="str" cm="1">
        <f t="array" ref="AA12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6" s="2" t="str">
        <f>VLOOKUP(Auto_Sales_data___Copy[[#This Row],[Segment Name]],Table3[],2,FALSE)</f>
        <v>Reward &amp; Upsell</v>
      </c>
    </row>
    <row r="1247" spans="1:28" x14ac:dyDescent="0.25">
      <c r="A1247">
        <v>10185</v>
      </c>
      <c r="B1247">
        <v>49</v>
      </c>
      <c r="C1247">
        <v>80.67</v>
      </c>
      <c r="D1247">
        <v>11</v>
      </c>
      <c r="E1247">
        <v>3952.83</v>
      </c>
      <c r="F1247" s="1">
        <v>43418</v>
      </c>
      <c r="G1247" s="2" t="s">
        <v>19</v>
      </c>
      <c r="H1247" s="2" t="s">
        <v>650</v>
      </c>
      <c r="I1247">
        <v>100</v>
      </c>
      <c r="J1247" s="2" t="s">
        <v>651</v>
      </c>
      <c r="K1247" s="2" t="s">
        <v>353</v>
      </c>
      <c r="L1247" s="2" t="s">
        <v>354</v>
      </c>
      <c r="M1247" s="2" t="s">
        <v>355</v>
      </c>
      <c r="N1247" s="2" t="s">
        <v>162</v>
      </c>
      <c r="O1247" s="2" t="s">
        <v>163</v>
      </c>
      <c r="P1247" s="2" t="s">
        <v>27</v>
      </c>
      <c r="Q1247" s="2" t="s">
        <v>356</v>
      </c>
      <c r="R1247" s="2" t="s">
        <v>357</v>
      </c>
      <c r="S1247" s="2" t="s">
        <v>46</v>
      </c>
      <c r="T1247">
        <v>1595</v>
      </c>
      <c r="U1247">
        <f>VLOOKUP(Auto_Sales_data___Copy[[#This Row],[CUSTOMER_NAME]],$AF$2:$AH$90,2,FALSE)</f>
        <v>35</v>
      </c>
      <c r="V1247">
        <f>VLOOKUP(Auto_Sales_data___Copy[[#This Row],[CUSTOMER_NAME]],$AF$2:$AH$90,3,FALSE)</f>
        <v>108951.12999999998</v>
      </c>
      <c r="W1247" s="2">
        <f>6-MATCH(Auto_Sales_data___Copy[[#This Row],[DAYS_SINCE_LAST_ORDER]],Table2[R-Cutoff],1)</f>
        <v>3</v>
      </c>
      <c r="X1247" s="2">
        <f>MATCH(Auto_Sales_data___Copy[[#This Row],[Total_Orders_Per_Customer]],Table2[F-Cutoff],1)</f>
        <v>4</v>
      </c>
      <c r="Y1247" s="2">
        <f>MATCH(Auto_Sales_data___Copy[[#This Row],[Total_Sales_Per_Customer]],Table2[M-Cutoff],1)</f>
        <v>4</v>
      </c>
      <c r="Z1247" s="2" t="str">
        <f>Auto_Sales_data___Copy[[#This Row],[R-Score(1-5)]]&amp;Auto_Sales_data___Copy[[#This Row],[F-Score(1-5)]]&amp;Auto_Sales_data___Copy[[#This Row],[M-Score(1-5)]]</f>
        <v>344</v>
      </c>
      <c r="AA1247" s="2" t="str" cm="1">
        <f t="array" ref="AA12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7" s="2" t="str">
        <f>VLOOKUP(Auto_Sales_data___Copy[[#This Row],[Segment Name]],Table3[],2,FALSE)</f>
        <v>Reward &amp; Upsell</v>
      </c>
    </row>
    <row r="1248" spans="1:28" x14ac:dyDescent="0.25">
      <c r="A1248">
        <v>10185</v>
      </c>
      <c r="B1248">
        <v>39</v>
      </c>
      <c r="C1248">
        <v>130.69</v>
      </c>
      <c r="D1248">
        <v>16</v>
      </c>
      <c r="E1248">
        <v>5096.91</v>
      </c>
      <c r="F1248" s="1">
        <v>43418</v>
      </c>
      <c r="G1248" s="2" t="s">
        <v>19</v>
      </c>
      <c r="H1248" s="2" t="s">
        <v>183</v>
      </c>
      <c r="I1248">
        <v>143</v>
      </c>
      <c r="J1248" s="2" t="s">
        <v>658</v>
      </c>
      <c r="K1248" s="2" t="s">
        <v>353</v>
      </c>
      <c r="L1248" s="2" t="s">
        <v>354</v>
      </c>
      <c r="M1248" s="2" t="s">
        <v>355</v>
      </c>
      <c r="N1248" s="2" t="s">
        <v>162</v>
      </c>
      <c r="O1248" s="2" t="s">
        <v>163</v>
      </c>
      <c r="P1248" s="2" t="s">
        <v>27</v>
      </c>
      <c r="Q1248" s="2" t="s">
        <v>356</v>
      </c>
      <c r="R1248" s="2" t="s">
        <v>357</v>
      </c>
      <c r="S1248" s="2" t="s">
        <v>46</v>
      </c>
      <c r="T1248">
        <v>1765</v>
      </c>
      <c r="U1248">
        <f>VLOOKUP(Auto_Sales_data___Copy[[#This Row],[CUSTOMER_NAME]],$AF$2:$AH$90,2,FALSE)</f>
        <v>35</v>
      </c>
      <c r="V1248">
        <f>VLOOKUP(Auto_Sales_data___Copy[[#This Row],[CUSTOMER_NAME]],$AF$2:$AH$90,3,FALSE)</f>
        <v>108951.12999999998</v>
      </c>
      <c r="W1248" s="2">
        <f>6-MATCH(Auto_Sales_data___Copy[[#This Row],[DAYS_SINCE_LAST_ORDER]],Table2[R-Cutoff],1)</f>
        <v>3</v>
      </c>
      <c r="X1248" s="2">
        <f>MATCH(Auto_Sales_data___Copy[[#This Row],[Total_Orders_Per_Customer]],Table2[F-Cutoff],1)</f>
        <v>4</v>
      </c>
      <c r="Y1248" s="2">
        <f>MATCH(Auto_Sales_data___Copy[[#This Row],[Total_Sales_Per_Customer]],Table2[M-Cutoff],1)</f>
        <v>4</v>
      </c>
      <c r="Z1248" s="2" t="str">
        <f>Auto_Sales_data___Copy[[#This Row],[R-Score(1-5)]]&amp;Auto_Sales_data___Copy[[#This Row],[F-Score(1-5)]]&amp;Auto_Sales_data___Copy[[#This Row],[M-Score(1-5)]]</f>
        <v>344</v>
      </c>
      <c r="AA1248" s="2" t="str" cm="1">
        <f t="array" ref="AA12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8" s="2" t="str">
        <f>VLOOKUP(Auto_Sales_data___Copy[[#This Row],[Segment Name]],Table3[],2,FALSE)</f>
        <v>Reward &amp; Upsell</v>
      </c>
    </row>
    <row r="1249" spans="1:28" x14ac:dyDescent="0.25">
      <c r="A1249">
        <v>10185</v>
      </c>
      <c r="B1249">
        <v>47</v>
      </c>
      <c r="C1249">
        <v>77.239999999999995</v>
      </c>
      <c r="D1249">
        <v>8</v>
      </c>
      <c r="E1249">
        <v>3630.28</v>
      </c>
      <c r="F1249" s="1">
        <v>43418</v>
      </c>
      <c r="G1249" s="2" t="s">
        <v>19</v>
      </c>
      <c r="H1249" s="2" t="s">
        <v>589</v>
      </c>
      <c r="I1249">
        <v>87</v>
      </c>
      <c r="J1249" s="2" t="s">
        <v>660</v>
      </c>
      <c r="K1249" s="2" t="s">
        <v>353</v>
      </c>
      <c r="L1249" s="2" t="s">
        <v>354</v>
      </c>
      <c r="M1249" s="2" t="s">
        <v>355</v>
      </c>
      <c r="N1249" s="2" t="s">
        <v>162</v>
      </c>
      <c r="O1249" s="2" t="s">
        <v>163</v>
      </c>
      <c r="P1249" s="2" t="s">
        <v>27</v>
      </c>
      <c r="Q1249" s="2" t="s">
        <v>356</v>
      </c>
      <c r="R1249" s="2" t="s">
        <v>357</v>
      </c>
      <c r="S1249" s="2" t="s">
        <v>46</v>
      </c>
      <c r="T1249">
        <v>1812</v>
      </c>
      <c r="U1249">
        <f>VLOOKUP(Auto_Sales_data___Copy[[#This Row],[CUSTOMER_NAME]],$AF$2:$AH$90,2,FALSE)</f>
        <v>35</v>
      </c>
      <c r="V1249">
        <f>VLOOKUP(Auto_Sales_data___Copy[[#This Row],[CUSTOMER_NAME]],$AF$2:$AH$90,3,FALSE)</f>
        <v>108951.12999999998</v>
      </c>
      <c r="W1249" s="2">
        <f>6-MATCH(Auto_Sales_data___Copy[[#This Row],[DAYS_SINCE_LAST_ORDER]],Table2[R-Cutoff],1)</f>
        <v>3</v>
      </c>
      <c r="X1249" s="2">
        <f>MATCH(Auto_Sales_data___Copy[[#This Row],[Total_Orders_Per_Customer]],Table2[F-Cutoff],1)</f>
        <v>4</v>
      </c>
      <c r="Y1249" s="2">
        <f>MATCH(Auto_Sales_data___Copy[[#This Row],[Total_Sales_Per_Customer]],Table2[M-Cutoff],1)</f>
        <v>4</v>
      </c>
      <c r="Z1249" s="2" t="str">
        <f>Auto_Sales_data___Copy[[#This Row],[R-Score(1-5)]]&amp;Auto_Sales_data___Copy[[#This Row],[F-Score(1-5)]]&amp;Auto_Sales_data___Copy[[#This Row],[M-Score(1-5)]]</f>
        <v>344</v>
      </c>
      <c r="AA1249" s="2" t="str" cm="1">
        <f t="array" ref="AA12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9" s="2" t="str">
        <f>VLOOKUP(Auto_Sales_data___Copy[[#This Row],[Segment Name]],Table3[],2,FALSE)</f>
        <v>Reward &amp; Upsell</v>
      </c>
    </row>
    <row r="1250" spans="1:28" x14ac:dyDescent="0.25">
      <c r="A1250">
        <v>10188</v>
      </c>
      <c r="B1250">
        <v>25</v>
      </c>
      <c r="C1250">
        <v>101.43</v>
      </c>
      <c r="D1250">
        <v>2</v>
      </c>
      <c r="E1250">
        <v>2535.75</v>
      </c>
      <c r="F1250" s="1">
        <v>43422</v>
      </c>
      <c r="G1250" s="2" t="s">
        <v>19</v>
      </c>
      <c r="H1250" s="2" t="s">
        <v>20</v>
      </c>
      <c r="I1250">
        <v>112</v>
      </c>
      <c r="J1250" s="2" t="s">
        <v>667</v>
      </c>
      <c r="K1250" s="2" t="s">
        <v>68</v>
      </c>
      <c r="L1250" s="2" t="s">
        <v>69</v>
      </c>
      <c r="M1250" s="2" t="s">
        <v>70</v>
      </c>
      <c r="N1250" s="2" t="s">
        <v>71</v>
      </c>
      <c r="O1250" s="2" t="s">
        <v>72</v>
      </c>
      <c r="P1250" s="2" t="s">
        <v>73</v>
      </c>
      <c r="Q1250" s="2" t="s">
        <v>74</v>
      </c>
      <c r="R1250" s="2" t="s">
        <v>75</v>
      </c>
      <c r="S1250" s="2" t="s">
        <v>30</v>
      </c>
      <c r="T1250">
        <v>1982</v>
      </c>
      <c r="U1250">
        <f>VLOOKUP(Auto_Sales_data___Copy[[#This Row],[CUSTOMER_NAME]],$AF$2:$AH$90,2,FALSE)</f>
        <v>29</v>
      </c>
      <c r="V1250">
        <f>VLOOKUP(Auto_Sales_data___Copy[[#This Row],[CUSTOMER_NAME]],$AF$2:$AH$90,3,FALSE)</f>
        <v>111640.28</v>
      </c>
      <c r="W1250" s="2">
        <f>6-MATCH(Auto_Sales_data___Copy[[#This Row],[DAYS_SINCE_LAST_ORDER]],Table2[R-Cutoff],1)</f>
        <v>3</v>
      </c>
      <c r="X1250" s="2">
        <f>MATCH(Auto_Sales_data___Copy[[#This Row],[Total_Orders_Per_Customer]],Table2[F-Cutoff],1)</f>
        <v>4</v>
      </c>
      <c r="Y1250" s="2">
        <f>MATCH(Auto_Sales_data___Copy[[#This Row],[Total_Sales_Per_Customer]],Table2[M-Cutoff],1)</f>
        <v>4</v>
      </c>
      <c r="Z1250" s="2" t="str">
        <f>Auto_Sales_data___Copy[[#This Row],[R-Score(1-5)]]&amp;Auto_Sales_data___Copy[[#This Row],[F-Score(1-5)]]&amp;Auto_Sales_data___Copy[[#This Row],[M-Score(1-5)]]</f>
        <v>344</v>
      </c>
      <c r="AA1250" s="2" t="str" cm="1">
        <f t="array" ref="AA12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0" s="2" t="str">
        <f>VLOOKUP(Auto_Sales_data___Copy[[#This Row],[Segment Name]],Table3[],2,FALSE)</f>
        <v>Reward &amp; Upsell</v>
      </c>
    </row>
    <row r="1251" spans="1:28" x14ac:dyDescent="0.25">
      <c r="A1251">
        <v>10192</v>
      </c>
      <c r="B1251">
        <v>26</v>
      </c>
      <c r="C1251">
        <v>150.71</v>
      </c>
      <c r="D1251">
        <v>12</v>
      </c>
      <c r="E1251">
        <v>3918.46</v>
      </c>
      <c r="F1251" s="1">
        <v>43424</v>
      </c>
      <c r="G1251" s="2" t="s">
        <v>19</v>
      </c>
      <c r="H1251" s="2" t="s">
        <v>183</v>
      </c>
      <c r="I1251">
        <v>169</v>
      </c>
      <c r="J1251" s="2" t="s">
        <v>649</v>
      </c>
      <c r="K1251" s="2" t="s">
        <v>290</v>
      </c>
      <c r="L1251" s="2" t="s">
        <v>291</v>
      </c>
      <c r="M1251" s="2" t="s">
        <v>292</v>
      </c>
      <c r="N1251" s="2" t="s">
        <v>293</v>
      </c>
      <c r="O1251" s="2" t="s">
        <v>294</v>
      </c>
      <c r="P1251" s="2" t="s">
        <v>27</v>
      </c>
      <c r="Q1251" s="2" t="s">
        <v>52</v>
      </c>
      <c r="R1251" s="2" t="s">
        <v>289</v>
      </c>
      <c r="S1251" s="2" t="s">
        <v>46</v>
      </c>
      <c r="T1251">
        <v>1545</v>
      </c>
      <c r="U1251">
        <f>VLOOKUP(Auto_Sales_data___Copy[[#This Row],[CUSTOMER_NAME]],$AF$2:$AH$90,2,FALSE)</f>
        <v>34</v>
      </c>
      <c r="V1251">
        <f>VLOOKUP(Auto_Sales_data___Copy[[#This Row],[CUSTOMER_NAME]],$AF$2:$AH$90,3,FALSE)</f>
        <v>131685.29999999999</v>
      </c>
      <c r="W1251" s="2">
        <f>6-MATCH(Auto_Sales_data___Copy[[#This Row],[DAYS_SINCE_LAST_ORDER]],Table2[R-Cutoff],1)</f>
        <v>3</v>
      </c>
      <c r="X1251" s="2">
        <f>MATCH(Auto_Sales_data___Copy[[#This Row],[Total_Orders_Per_Customer]],Table2[F-Cutoff],1)</f>
        <v>4</v>
      </c>
      <c r="Y1251" s="2">
        <f>MATCH(Auto_Sales_data___Copy[[#This Row],[Total_Sales_Per_Customer]],Table2[M-Cutoff],1)</f>
        <v>4</v>
      </c>
      <c r="Z1251" s="2" t="str">
        <f>Auto_Sales_data___Copy[[#This Row],[R-Score(1-5)]]&amp;Auto_Sales_data___Copy[[#This Row],[F-Score(1-5)]]&amp;Auto_Sales_data___Copy[[#This Row],[M-Score(1-5)]]</f>
        <v>344</v>
      </c>
      <c r="AA1251" s="2" t="str" cm="1">
        <f t="array" ref="AA12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1" s="2" t="str">
        <f>VLOOKUP(Auto_Sales_data___Copy[[#This Row],[Segment Name]],Table3[],2,FALSE)</f>
        <v>Reward &amp; Upsell</v>
      </c>
    </row>
    <row r="1252" spans="1:28" x14ac:dyDescent="0.25">
      <c r="A1252">
        <v>10192</v>
      </c>
      <c r="B1252">
        <v>45</v>
      </c>
      <c r="C1252">
        <v>118.68</v>
      </c>
      <c r="D1252">
        <v>9</v>
      </c>
      <c r="E1252">
        <v>5340.6</v>
      </c>
      <c r="F1252" s="1">
        <v>43424</v>
      </c>
      <c r="G1252" s="2" t="s">
        <v>19</v>
      </c>
      <c r="H1252" s="2" t="s">
        <v>183</v>
      </c>
      <c r="I1252">
        <v>141</v>
      </c>
      <c r="J1252" s="2" t="s">
        <v>655</v>
      </c>
      <c r="K1252" s="2" t="s">
        <v>290</v>
      </c>
      <c r="L1252" s="2" t="s">
        <v>291</v>
      </c>
      <c r="M1252" s="2" t="s">
        <v>292</v>
      </c>
      <c r="N1252" s="2" t="s">
        <v>293</v>
      </c>
      <c r="O1252" s="2" t="s">
        <v>294</v>
      </c>
      <c r="P1252" s="2" t="s">
        <v>27</v>
      </c>
      <c r="Q1252" s="2" t="s">
        <v>52</v>
      </c>
      <c r="R1252" s="2" t="s">
        <v>289</v>
      </c>
      <c r="S1252" s="2" t="s">
        <v>46</v>
      </c>
      <c r="T1252">
        <v>1685</v>
      </c>
      <c r="U1252">
        <f>VLOOKUP(Auto_Sales_data___Copy[[#This Row],[CUSTOMER_NAME]],$AF$2:$AH$90,2,FALSE)</f>
        <v>34</v>
      </c>
      <c r="V1252">
        <f>VLOOKUP(Auto_Sales_data___Copy[[#This Row],[CUSTOMER_NAME]],$AF$2:$AH$90,3,FALSE)</f>
        <v>131685.29999999999</v>
      </c>
      <c r="W1252" s="2">
        <f>6-MATCH(Auto_Sales_data___Copy[[#This Row],[DAYS_SINCE_LAST_ORDER]],Table2[R-Cutoff],1)</f>
        <v>3</v>
      </c>
      <c r="X1252" s="2">
        <f>MATCH(Auto_Sales_data___Copy[[#This Row],[Total_Orders_Per_Customer]],Table2[F-Cutoff],1)</f>
        <v>4</v>
      </c>
      <c r="Y1252" s="2">
        <f>MATCH(Auto_Sales_data___Copy[[#This Row],[Total_Sales_Per_Customer]],Table2[M-Cutoff],1)</f>
        <v>4</v>
      </c>
      <c r="Z1252" s="2" t="str">
        <f>Auto_Sales_data___Copy[[#This Row],[R-Score(1-5)]]&amp;Auto_Sales_data___Copy[[#This Row],[F-Score(1-5)]]&amp;Auto_Sales_data___Copy[[#This Row],[M-Score(1-5)]]</f>
        <v>344</v>
      </c>
      <c r="AA1252" s="2" t="str" cm="1">
        <f t="array" ref="AA12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2" s="2" t="str">
        <f>VLOOKUP(Auto_Sales_data___Copy[[#This Row],[Segment Name]],Table3[],2,FALSE)</f>
        <v>Reward &amp; Upsell</v>
      </c>
    </row>
    <row r="1253" spans="1:28" x14ac:dyDescent="0.25">
      <c r="A1253">
        <v>10192</v>
      </c>
      <c r="B1253">
        <v>37</v>
      </c>
      <c r="C1253">
        <v>69.819999999999993</v>
      </c>
      <c r="D1253">
        <v>4</v>
      </c>
      <c r="E1253">
        <v>2583.34</v>
      </c>
      <c r="F1253" s="1">
        <v>43424</v>
      </c>
      <c r="G1253" s="2" t="s">
        <v>19</v>
      </c>
      <c r="H1253" s="2" t="s">
        <v>183</v>
      </c>
      <c r="I1253">
        <v>73</v>
      </c>
      <c r="J1253" s="2" t="s">
        <v>665</v>
      </c>
      <c r="K1253" s="2" t="s">
        <v>290</v>
      </c>
      <c r="L1253" s="2" t="s">
        <v>291</v>
      </c>
      <c r="M1253" s="2" t="s">
        <v>292</v>
      </c>
      <c r="N1253" s="2" t="s">
        <v>293</v>
      </c>
      <c r="O1253" s="2" t="s">
        <v>294</v>
      </c>
      <c r="P1253" s="2" t="s">
        <v>27</v>
      </c>
      <c r="Q1253" s="2" t="s">
        <v>52</v>
      </c>
      <c r="R1253" s="2" t="s">
        <v>289</v>
      </c>
      <c r="S1253" s="2" t="s">
        <v>30</v>
      </c>
      <c r="T1253">
        <v>1929</v>
      </c>
      <c r="U1253">
        <f>VLOOKUP(Auto_Sales_data___Copy[[#This Row],[CUSTOMER_NAME]],$AF$2:$AH$90,2,FALSE)</f>
        <v>34</v>
      </c>
      <c r="V1253">
        <f>VLOOKUP(Auto_Sales_data___Copy[[#This Row],[CUSTOMER_NAME]],$AF$2:$AH$90,3,FALSE)</f>
        <v>131685.29999999999</v>
      </c>
      <c r="W1253" s="2">
        <f>6-MATCH(Auto_Sales_data___Copy[[#This Row],[DAYS_SINCE_LAST_ORDER]],Table2[R-Cutoff],1)</f>
        <v>3</v>
      </c>
      <c r="X1253" s="2">
        <f>MATCH(Auto_Sales_data___Copy[[#This Row],[Total_Orders_Per_Customer]],Table2[F-Cutoff],1)</f>
        <v>4</v>
      </c>
      <c r="Y1253" s="2">
        <f>MATCH(Auto_Sales_data___Copy[[#This Row],[Total_Sales_Per_Customer]],Table2[M-Cutoff],1)</f>
        <v>4</v>
      </c>
      <c r="Z1253" s="2" t="str">
        <f>Auto_Sales_data___Copy[[#This Row],[R-Score(1-5)]]&amp;Auto_Sales_data___Copy[[#This Row],[F-Score(1-5)]]&amp;Auto_Sales_data___Copy[[#This Row],[M-Score(1-5)]]</f>
        <v>344</v>
      </c>
      <c r="AA1253" s="2" t="str" cm="1">
        <f t="array" ref="AA12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3" s="2" t="str">
        <f>VLOOKUP(Auto_Sales_data___Copy[[#This Row],[Segment Name]],Table3[],2,FALSE)</f>
        <v>Reward &amp; Upsell</v>
      </c>
    </row>
    <row r="1254" spans="1:28" x14ac:dyDescent="0.25">
      <c r="A1254">
        <v>10192</v>
      </c>
      <c r="B1254">
        <v>47</v>
      </c>
      <c r="C1254">
        <v>53.83</v>
      </c>
      <c r="D1254">
        <v>6</v>
      </c>
      <c r="E1254">
        <v>2530.0100000000002</v>
      </c>
      <c r="F1254" s="1">
        <v>43424</v>
      </c>
      <c r="G1254" s="2" t="s">
        <v>19</v>
      </c>
      <c r="H1254" s="2" t="s">
        <v>183</v>
      </c>
      <c r="I1254">
        <v>50</v>
      </c>
      <c r="J1254" s="2" t="s">
        <v>668</v>
      </c>
      <c r="K1254" s="2" t="s">
        <v>290</v>
      </c>
      <c r="L1254" s="2" t="s">
        <v>291</v>
      </c>
      <c r="M1254" s="2" t="s">
        <v>292</v>
      </c>
      <c r="N1254" s="2" t="s">
        <v>293</v>
      </c>
      <c r="O1254" s="2" t="s">
        <v>294</v>
      </c>
      <c r="P1254" s="2" t="s">
        <v>27</v>
      </c>
      <c r="Q1254" s="2" t="s">
        <v>52</v>
      </c>
      <c r="R1254" s="2" t="s">
        <v>289</v>
      </c>
      <c r="S1254" s="2" t="s">
        <v>30</v>
      </c>
      <c r="T1254">
        <v>2005</v>
      </c>
      <c r="U1254">
        <f>VLOOKUP(Auto_Sales_data___Copy[[#This Row],[CUSTOMER_NAME]],$AF$2:$AH$90,2,FALSE)</f>
        <v>34</v>
      </c>
      <c r="V1254">
        <f>VLOOKUP(Auto_Sales_data___Copy[[#This Row],[CUSTOMER_NAME]],$AF$2:$AH$90,3,FALSE)</f>
        <v>131685.29999999999</v>
      </c>
      <c r="W1254" s="2">
        <f>6-MATCH(Auto_Sales_data___Copy[[#This Row],[DAYS_SINCE_LAST_ORDER]],Table2[R-Cutoff],1)</f>
        <v>3</v>
      </c>
      <c r="X1254" s="2">
        <f>MATCH(Auto_Sales_data___Copy[[#This Row],[Total_Orders_Per_Customer]],Table2[F-Cutoff],1)</f>
        <v>4</v>
      </c>
      <c r="Y1254" s="2">
        <f>MATCH(Auto_Sales_data___Copy[[#This Row],[Total_Sales_Per_Customer]],Table2[M-Cutoff],1)</f>
        <v>4</v>
      </c>
      <c r="Z1254" s="2" t="str">
        <f>Auto_Sales_data___Copy[[#This Row],[R-Score(1-5)]]&amp;Auto_Sales_data___Copy[[#This Row],[F-Score(1-5)]]&amp;Auto_Sales_data___Copy[[#This Row],[M-Score(1-5)]]</f>
        <v>344</v>
      </c>
      <c r="AA1254" s="2" t="str" cm="1">
        <f t="array" ref="AA12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4" s="2" t="str">
        <f>VLOOKUP(Auto_Sales_data___Copy[[#This Row],[Segment Name]],Table3[],2,FALSE)</f>
        <v>Reward &amp; Upsell</v>
      </c>
    </row>
    <row r="1255" spans="1:28" x14ac:dyDescent="0.25">
      <c r="A1255">
        <v>10194</v>
      </c>
      <c r="B1255">
        <v>32</v>
      </c>
      <c r="C1255">
        <v>133.19</v>
      </c>
      <c r="D1255">
        <v>5</v>
      </c>
      <c r="E1255">
        <v>4262.08</v>
      </c>
      <c r="F1255" s="1">
        <v>43429</v>
      </c>
      <c r="G1255" s="2" t="s">
        <v>19</v>
      </c>
      <c r="H1255" s="2" t="s">
        <v>537</v>
      </c>
      <c r="I1255">
        <v>121</v>
      </c>
      <c r="J1255" s="2" t="s">
        <v>661</v>
      </c>
      <c r="K1255" s="2" t="s">
        <v>224</v>
      </c>
      <c r="L1255" s="2" t="s">
        <v>225</v>
      </c>
      <c r="M1255" s="2" t="s">
        <v>226</v>
      </c>
      <c r="N1255" s="2" t="s">
        <v>227</v>
      </c>
      <c r="O1255" s="2" t="s">
        <v>228</v>
      </c>
      <c r="P1255" s="2" t="s">
        <v>36</v>
      </c>
      <c r="Q1255" s="2" t="s">
        <v>229</v>
      </c>
      <c r="R1255" s="2" t="s">
        <v>230</v>
      </c>
      <c r="S1255" s="2" t="s">
        <v>46</v>
      </c>
      <c r="T1255">
        <v>1828</v>
      </c>
      <c r="U1255">
        <f>VLOOKUP(Auto_Sales_data___Copy[[#This Row],[CUSTOMER_NAME]],$AF$2:$AH$90,2,FALSE)</f>
        <v>41</v>
      </c>
      <c r="V1255">
        <f>VLOOKUP(Auto_Sales_data___Copy[[#This Row],[CUSTOMER_NAME]],$AF$2:$AH$90,3,FALSE)</f>
        <v>142874.24999999997</v>
      </c>
      <c r="W1255" s="2">
        <f>6-MATCH(Auto_Sales_data___Copy[[#This Row],[DAYS_SINCE_LAST_ORDER]],Table2[R-Cutoff],1)</f>
        <v>3</v>
      </c>
      <c r="X1255" s="2">
        <f>MATCH(Auto_Sales_data___Copy[[#This Row],[Total_Orders_Per_Customer]],Table2[F-Cutoff],1)</f>
        <v>4</v>
      </c>
      <c r="Y1255" s="2">
        <f>MATCH(Auto_Sales_data___Copy[[#This Row],[Total_Sales_Per_Customer]],Table2[M-Cutoff],1)</f>
        <v>4</v>
      </c>
      <c r="Z1255" s="2" t="str">
        <f>Auto_Sales_data___Copy[[#This Row],[R-Score(1-5)]]&amp;Auto_Sales_data___Copy[[#This Row],[F-Score(1-5)]]&amp;Auto_Sales_data___Copy[[#This Row],[M-Score(1-5)]]</f>
        <v>344</v>
      </c>
      <c r="AA1255" s="2" t="str" cm="1">
        <f t="array" ref="AA12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5" s="2" t="str">
        <f>VLOOKUP(Auto_Sales_data___Copy[[#This Row],[Segment Name]],Table3[],2,FALSE)</f>
        <v>Reward &amp; Upsell</v>
      </c>
    </row>
    <row r="1256" spans="1:28" x14ac:dyDescent="0.25">
      <c r="A1256">
        <v>10194</v>
      </c>
      <c r="B1256">
        <v>41</v>
      </c>
      <c r="C1256">
        <v>44.78</v>
      </c>
      <c r="D1256">
        <v>9</v>
      </c>
      <c r="E1256">
        <v>1835.98</v>
      </c>
      <c r="F1256" s="1">
        <v>43429</v>
      </c>
      <c r="G1256" s="2" t="s">
        <v>19</v>
      </c>
      <c r="H1256" s="2" t="s">
        <v>589</v>
      </c>
      <c r="I1256">
        <v>50</v>
      </c>
      <c r="J1256" s="2" t="s">
        <v>662</v>
      </c>
      <c r="K1256" s="2" t="s">
        <v>224</v>
      </c>
      <c r="L1256" s="2" t="s">
        <v>225</v>
      </c>
      <c r="M1256" s="2" t="s">
        <v>226</v>
      </c>
      <c r="N1256" s="2" t="s">
        <v>227</v>
      </c>
      <c r="O1256" s="2" t="s">
        <v>228</v>
      </c>
      <c r="P1256" s="2" t="s">
        <v>36</v>
      </c>
      <c r="Q1256" s="2" t="s">
        <v>229</v>
      </c>
      <c r="R1256" s="2" t="s">
        <v>230</v>
      </c>
      <c r="S1256" s="2" t="s">
        <v>30</v>
      </c>
      <c r="T1256">
        <v>1855</v>
      </c>
      <c r="U1256">
        <f>VLOOKUP(Auto_Sales_data___Copy[[#This Row],[CUSTOMER_NAME]],$AF$2:$AH$90,2,FALSE)</f>
        <v>41</v>
      </c>
      <c r="V1256">
        <f>VLOOKUP(Auto_Sales_data___Copy[[#This Row],[CUSTOMER_NAME]],$AF$2:$AH$90,3,FALSE)</f>
        <v>142874.24999999997</v>
      </c>
      <c r="W1256" s="2">
        <f>6-MATCH(Auto_Sales_data___Copy[[#This Row],[DAYS_SINCE_LAST_ORDER]],Table2[R-Cutoff],1)</f>
        <v>3</v>
      </c>
      <c r="X1256" s="2">
        <f>MATCH(Auto_Sales_data___Copy[[#This Row],[Total_Orders_Per_Customer]],Table2[F-Cutoff],1)</f>
        <v>4</v>
      </c>
      <c r="Y1256" s="2">
        <f>MATCH(Auto_Sales_data___Copy[[#This Row],[Total_Sales_Per_Customer]],Table2[M-Cutoff],1)</f>
        <v>4</v>
      </c>
      <c r="Z1256" s="2" t="str">
        <f>Auto_Sales_data___Copy[[#This Row],[R-Score(1-5)]]&amp;Auto_Sales_data___Copy[[#This Row],[F-Score(1-5)]]&amp;Auto_Sales_data___Copy[[#This Row],[M-Score(1-5)]]</f>
        <v>344</v>
      </c>
      <c r="AA1256" s="2" t="str" cm="1">
        <f t="array" ref="AA12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6" s="2" t="str">
        <f>VLOOKUP(Auto_Sales_data___Copy[[#This Row],[Segment Name]],Table3[],2,FALSE)</f>
        <v>Reward &amp; Upsell</v>
      </c>
    </row>
    <row r="1257" spans="1:28" x14ac:dyDescent="0.25">
      <c r="A1257">
        <v>10204</v>
      </c>
      <c r="B1257">
        <v>35</v>
      </c>
      <c r="C1257">
        <v>163.88</v>
      </c>
      <c r="D1257">
        <v>15</v>
      </c>
      <c r="E1257">
        <v>5735.8</v>
      </c>
      <c r="F1257" s="1">
        <v>43436</v>
      </c>
      <c r="G1257" s="2" t="s">
        <v>19</v>
      </c>
      <c r="H1257" s="2" t="s">
        <v>183</v>
      </c>
      <c r="I1257">
        <v>141</v>
      </c>
      <c r="J1257" s="2" t="s">
        <v>655</v>
      </c>
      <c r="K1257" s="2" t="s">
        <v>506</v>
      </c>
      <c r="L1257" s="2" t="s">
        <v>507</v>
      </c>
      <c r="M1257" s="2" t="s">
        <v>508</v>
      </c>
      <c r="N1257" s="2" t="s">
        <v>25</v>
      </c>
      <c r="O1257" s="2" t="s">
        <v>26</v>
      </c>
      <c r="P1257" s="2" t="s">
        <v>27</v>
      </c>
      <c r="Q1257" s="2" t="s">
        <v>52</v>
      </c>
      <c r="R1257" s="2" t="s">
        <v>509</v>
      </c>
      <c r="S1257" s="2" t="s">
        <v>46</v>
      </c>
      <c r="T1257">
        <v>1674</v>
      </c>
      <c r="U1257">
        <f>VLOOKUP(Auto_Sales_data___Copy[[#This Row],[CUSTOMER_NAME]],$AF$2:$AH$90,2,FALSE)</f>
        <v>48</v>
      </c>
      <c r="V1257">
        <f>VLOOKUP(Auto_Sales_data___Copy[[#This Row],[CUSTOMER_NAME]],$AF$2:$AH$90,3,FALSE)</f>
        <v>197736.93999999997</v>
      </c>
      <c r="W1257" s="2">
        <f>6-MATCH(Auto_Sales_data___Copy[[#This Row],[DAYS_SINCE_LAST_ORDER]],Table2[R-Cutoff],1)</f>
        <v>3</v>
      </c>
      <c r="X1257" s="2">
        <f>MATCH(Auto_Sales_data___Copy[[#This Row],[Total_Orders_Per_Customer]],Table2[F-Cutoff],1)</f>
        <v>4</v>
      </c>
      <c r="Y1257" s="2">
        <f>MATCH(Auto_Sales_data___Copy[[#This Row],[Total_Sales_Per_Customer]],Table2[M-Cutoff],1)</f>
        <v>4</v>
      </c>
      <c r="Z1257" s="2" t="str">
        <f>Auto_Sales_data___Copy[[#This Row],[R-Score(1-5)]]&amp;Auto_Sales_data___Copy[[#This Row],[F-Score(1-5)]]&amp;Auto_Sales_data___Copy[[#This Row],[M-Score(1-5)]]</f>
        <v>344</v>
      </c>
      <c r="AA1257" s="2" t="str" cm="1">
        <f t="array" ref="AA12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7" s="2" t="str">
        <f>VLOOKUP(Auto_Sales_data___Copy[[#This Row],[Segment Name]],Table3[],2,FALSE)</f>
        <v>Reward &amp; Upsell</v>
      </c>
    </row>
    <row r="1258" spans="1:28" x14ac:dyDescent="0.25">
      <c r="A1258">
        <v>10204</v>
      </c>
      <c r="B1258">
        <v>29</v>
      </c>
      <c r="C1258">
        <v>85.59</v>
      </c>
      <c r="D1258">
        <v>5</v>
      </c>
      <c r="E1258">
        <v>2482.11</v>
      </c>
      <c r="F1258" s="1">
        <v>43436</v>
      </c>
      <c r="G1258" s="2" t="s">
        <v>19</v>
      </c>
      <c r="H1258" s="2" t="s">
        <v>589</v>
      </c>
      <c r="I1258">
        <v>92</v>
      </c>
      <c r="J1258" s="2" t="s">
        <v>659</v>
      </c>
      <c r="K1258" s="2" t="s">
        <v>506</v>
      </c>
      <c r="L1258" s="2" t="s">
        <v>507</v>
      </c>
      <c r="M1258" s="2" t="s">
        <v>508</v>
      </c>
      <c r="N1258" s="2" t="s">
        <v>25</v>
      </c>
      <c r="O1258" s="2" t="s">
        <v>26</v>
      </c>
      <c r="P1258" s="2" t="s">
        <v>27</v>
      </c>
      <c r="Q1258" s="2" t="s">
        <v>52</v>
      </c>
      <c r="R1258" s="2" t="s">
        <v>509</v>
      </c>
      <c r="S1258" s="2" t="s">
        <v>30</v>
      </c>
      <c r="T1258">
        <v>1773</v>
      </c>
      <c r="U1258">
        <f>VLOOKUP(Auto_Sales_data___Copy[[#This Row],[CUSTOMER_NAME]],$AF$2:$AH$90,2,FALSE)</f>
        <v>48</v>
      </c>
      <c r="V1258">
        <f>VLOOKUP(Auto_Sales_data___Copy[[#This Row],[CUSTOMER_NAME]],$AF$2:$AH$90,3,FALSE)</f>
        <v>197736.93999999997</v>
      </c>
      <c r="W1258" s="2">
        <f>6-MATCH(Auto_Sales_data___Copy[[#This Row],[DAYS_SINCE_LAST_ORDER]],Table2[R-Cutoff],1)</f>
        <v>3</v>
      </c>
      <c r="X1258" s="2">
        <f>MATCH(Auto_Sales_data___Copy[[#This Row],[Total_Orders_Per_Customer]],Table2[F-Cutoff],1)</f>
        <v>4</v>
      </c>
      <c r="Y1258" s="2">
        <f>MATCH(Auto_Sales_data___Copy[[#This Row],[Total_Sales_Per_Customer]],Table2[M-Cutoff],1)</f>
        <v>4</v>
      </c>
      <c r="Z1258" s="2" t="str">
        <f>Auto_Sales_data___Copy[[#This Row],[R-Score(1-5)]]&amp;Auto_Sales_data___Copy[[#This Row],[F-Score(1-5)]]&amp;Auto_Sales_data___Copy[[#This Row],[M-Score(1-5)]]</f>
        <v>344</v>
      </c>
      <c r="AA1258" s="2" t="str" cm="1">
        <f t="array" ref="AA12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8" s="2" t="str">
        <f>VLOOKUP(Auto_Sales_data___Copy[[#This Row],[Segment Name]],Table3[],2,FALSE)</f>
        <v>Reward &amp; Upsell</v>
      </c>
    </row>
    <row r="1259" spans="1:28" x14ac:dyDescent="0.25">
      <c r="A1259">
        <v>10204</v>
      </c>
      <c r="B1259">
        <v>45</v>
      </c>
      <c r="C1259">
        <v>76.260000000000005</v>
      </c>
      <c r="D1259">
        <v>6</v>
      </c>
      <c r="E1259">
        <v>3431.7</v>
      </c>
      <c r="F1259" s="1">
        <v>43436</v>
      </c>
      <c r="G1259" s="2" t="s">
        <v>19</v>
      </c>
      <c r="H1259" s="2" t="s">
        <v>183</v>
      </c>
      <c r="I1259">
        <v>71</v>
      </c>
      <c r="J1259" s="2" t="s">
        <v>664</v>
      </c>
      <c r="K1259" s="2" t="s">
        <v>506</v>
      </c>
      <c r="L1259" s="2" t="s">
        <v>507</v>
      </c>
      <c r="M1259" s="2" t="s">
        <v>508</v>
      </c>
      <c r="N1259" s="2" t="s">
        <v>25</v>
      </c>
      <c r="O1259" s="2" t="s">
        <v>26</v>
      </c>
      <c r="P1259" s="2" t="s">
        <v>27</v>
      </c>
      <c r="Q1259" s="2" t="s">
        <v>52</v>
      </c>
      <c r="R1259" s="2" t="s">
        <v>509</v>
      </c>
      <c r="S1259" s="2" t="s">
        <v>46</v>
      </c>
      <c r="T1259">
        <v>1896</v>
      </c>
      <c r="U1259">
        <f>VLOOKUP(Auto_Sales_data___Copy[[#This Row],[CUSTOMER_NAME]],$AF$2:$AH$90,2,FALSE)</f>
        <v>48</v>
      </c>
      <c r="V1259">
        <f>VLOOKUP(Auto_Sales_data___Copy[[#This Row],[CUSTOMER_NAME]],$AF$2:$AH$90,3,FALSE)</f>
        <v>197736.93999999997</v>
      </c>
      <c r="W1259" s="2">
        <f>6-MATCH(Auto_Sales_data___Copy[[#This Row],[DAYS_SINCE_LAST_ORDER]],Table2[R-Cutoff],1)</f>
        <v>3</v>
      </c>
      <c r="X1259" s="2">
        <f>MATCH(Auto_Sales_data___Copy[[#This Row],[Total_Orders_Per_Customer]],Table2[F-Cutoff],1)</f>
        <v>4</v>
      </c>
      <c r="Y1259" s="2">
        <f>MATCH(Auto_Sales_data___Copy[[#This Row],[Total_Sales_Per_Customer]],Table2[M-Cutoff],1)</f>
        <v>4</v>
      </c>
      <c r="Z1259" s="2" t="str">
        <f>Auto_Sales_data___Copy[[#This Row],[R-Score(1-5)]]&amp;Auto_Sales_data___Copy[[#This Row],[F-Score(1-5)]]&amp;Auto_Sales_data___Copy[[#This Row],[M-Score(1-5)]]</f>
        <v>344</v>
      </c>
      <c r="AA1259" s="2" t="str" cm="1">
        <f t="array" ref="AA12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9" s="2" t="str">
        <f>VLOOKUP(Auto_Sales_data___Copy[[#This Row],[Segment Name]],Table3[],2,FALSE)</f>
        <v>Reward &amp; Upsell</v>
      </c>
    </row>
    <row r="1260" spans="1:28" x14ac:dyDescent="0.25">
      <c r="A1260">
        <v>10204</v>
      </c>
      <c r="B1260">
        <v>20</v>
      </c>
      <c r="C1260">
        <v>62.47</v>
      </c>
      <c r="D1260">
        <v>10</v>
      </c>
      <c r="E1260">
        <v>1249.4000000000001</v>
      </c>
      <c r="F1260" s="1">
        <v>43436</v>
      </c>
      <c r="G1260" s="2" t="s">
        <v>19</v>
      </c>
      <c r="H1260" s="2" t="s">
        <v>183</v>
      </c>
      <c r="I1260">
        <v>73</v>
      </c>
      <c r="J1260" s="2" t="s">
        <v>665</v>
      </c>
      <c r="K1260" s="2" t="s">
        <v>506</v>
      </c>
      <c r="L1260" s="2" t="s">
        <v>507</v>
      </c>
      <c r="M1260" s="2" t="s">
        <v>508</v>
      </c>
      <c r="N1260" s="2" t="s">
        <v>25</v>
      </c>
      <c r="O1260" s="2" t="s">
        <v>26</v>
      </c>
      <c r="P1260" s="2" t="s">
        <v>27</v>
      </c>
      <c r="Q1260" s="2" t="s">
        <v>52</v>
      </c>
      <c r="R1260" s="2" t="s">
        <v>509</v>
      </c>
      <c r="S1260" s="2" t="s">
        <v>30</v>
      </c>
      <c r="T1260">
        <v>1918</v>
      </c>
      <c r="U1260">
        <f>VLOOKUP(Auto_Sales_data___Copy[[#This Row],[CUSTOMER_NAME]],$AF$2:$AH$90,2,FALSE)</f>
        <v>48</v>
      </c>
      <c r="V1260">
        <f>VLOOKUP(Auto_Sales_data___Copy[[#This Row],[CUSTOMER_NAME]],$AF$2:$AH$90,3,FALSE)</f>
        <v>197736.93999999997</v>
      </c>
      <c r="W1260" s="2">
        <f>6-MATCH(Auto_Sales_data___Copy[[#This Row],[DAYS_SINCE_LAST_ORDER]],Table2[R-Cutoff],1)</f>
        <v>3</v>
      </c>
      <c r="X1260" s="2">
        <f>MATCH(Auto_Sales_data___Copy[[#This Row],[Total_Orders_Per_Customer]],Table2[F-Cutoff],1)</f>
        <v>4</v>
      </c>
      <c r="Y1260" s="2">
        <f>MATCH(Auto_Sales_data___Copy[[#This Row],[Total_Sales_Per_Customer]],Table2[M-Cutoff],1)</f>
        <v>4</v>
      </c>
      <c r="Z1260" s="2" t="str">
        <f>Auto_Sales_data___Copy[[#This Row],[R-Score(1-5)]]&amp;Auto_Sales_data___Copy[[#This Row],[F-Score(1-5)]]&amp;Auto_Sales_data___Copy[[#This Row],[M-Score(1-5)]]</f>
        <v>344</v>
      </c>
      <c r="AA1260" s="2" t="str" cm="1">
        <f t="array" ref="AA12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0" s="2" t="str">
        <f>VLOOKUP(Auto_Sales_data___Copy[[#This Row],[Segment Name]],Table3[],2,FALSE)</f>
        <v>Reward &amp; Upsell</v>
      </c>
    </row>
    <row r="1261" spans="1:28" x14ac:dyDescent="0.25">
      <c r="A1261">
        <v>10204</v>
      </c>
      <c r="B1261">
        <v>45</v>
      </c>
      <c r="C1261">
        <v>49.81</v>
      </c>
      <c r="D1261">
        <v>12</v>
      </c>
      <c r="E1261">
        <v>2241.4499999999998</v>
      </c>
      <c r="F1261" s="1">
        <v>43436</v>
      </c>
      <c r="G1261" s="2" t="s">
        <v>19</v>
      </c>
      <c r="H1261" s="2" t="s">
        <v>183</v>
      </c>
      <c r="I1261">
        <v>50</v>
      </c>
      <c r="J1261" s="2" t="s">
        <v>668</v>
      </c>
      <c r="K1261" s="2" t="s">
        <v>506</v>
      </c>
      <c r="L1261" s="2" t="s">
        <v>507</v>
      </c>
      <c r="M1261" s="2" t="s">
        <v>508</v>
      </c>
      <c r="N1261" s="2" t="s">
        <v>25</v>
      </c>
      <c r="O1261" s="2" t="s">
        <v>26</v>
      </c>
      <c r="P1261" s="2" t="s">
        <v>27</v>
      </c>
      <c r="Q1261" s="2" t="s">
        <v>52</v>
      </c>
      <c r="R1261" s="2" t="s">
        <v>509</v>
      </c>
      <c r="S1261" s="2" t="s">
        <v>30</v>
      </c>
      <c r="T1261">
        <v>1994</v>
      </c>
      <c r="U1261">
        <f>VLOOKUP(Auto_Sales_data___Copy[[#This Row],[CUSTOMER_NAME]],$AF$2:$AH$90,2,FALSE)</f>
        <v>48</v>
      </c>
      <c r="V1261">
        <f>VLOOKUP(Auto_Sales_data___Copy[[#This Row],[CUSTOMER_NAME]],$AF$2:$AH$90,3,FALSE)</f>
        <v>197736.93999999997</v>
      </c>
      <c r="W1261" s="2">
        <f>6-MATCH(Auto_Sales_data___Copy[[#This Row],[DAYS_SINCE_LAST_ORDER]],Table2[R-Cutoff],1)</f>
        <v>3</v>
      </c>
      <c r="X1261" s="2">
        <f>MATCH(Auto_Sales_data___Copy[[#This Row],[Total_Orders_Per_Customer]],Table2[F-Cutoff],1)</f>
        <v>4</v>
      </c>
      <c r="Y1261" s="2">
        <f>MATCH(Auto_Sales_data___Copy[[#This Row],[Total_Sales_Per_Customer]],Table2[M-Cutoff],1)</f>
        <v>4</v>
      </c>
      <c r="Z1261" s="2" t="str">
        <f>Auto_Sales_data___Copy[[#This Row],[R-Score(1-5)]]&amp;Auto_Sales_data___Copy[[#This Row],[F-Score(1-5)]]&amp;Auto_Sales_data___Copy[[#This Row],[M-Score(1-5)]]</f>
        <v>344</v>
      </c>
      <c r="AA1261" s="2" t="str" cm="1">
        <f t="array" ref="AA12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1" s="2" t="str">
        <f>VLOOKUP(Auto_Sales_data___Copy[[#This Row],[Segment Name]],Table3[],2,FALSE)</f>
        <v>Reward &amp; Upsell</v>
      </c>
    </row>
    <row r="1262" spans="1:28" x14ac:dyDescent="0.25">
      <c r="A1262">
        <v>10208</v>
      </c>
      <c r="B1262">
        <v>48</v>
      </c>
      <c r="C1262">
        <v>116.97</v>
      </c>
      <c r="D1262">
        <v>11</v>
      </c>
      <c r="E1262">
        <v>5614.56</v>
      </c>
      <c r="F1262" s="1">
        <v>43467</v>
      </c>
      <c r="G1262" s="2" t="s">
        <v>19</v>
      </c>
      <c r="H1262" s="2" t="s">
        <v>650</v>
      </c>
      <c r="I1262">
        <v>100</v>
      </c>
      <c r="J1262" s="2" t="s">
        <v>651</v>
      </c>
      <c r="K1262" s="2" t="s">
        <v>224</v>
      </c>
      <c r="L1262" s="2" t="s">
        <v>225</v>
      </c>
      <c r="M1262" s="2" t="s">
        <v>226</v>
      </c>
      <c r="N1262" s="2" t="s">
        <v>227</v>
      </c>
      <c r="O1262" s="2" t="s">
        <v>228</v>
      </c>
      <c r="P1262" s="2" t="s">
        <v>36</v>
      </c>
      <c r="Q1262" s="2" t="s">
        <v>229</v>
      </c>
      <c r="R1262" s="2" t="s">
        <v>230</v>
      </c>
      <c r="S1262" s="2" t="s">
        <v>46</v>
      </c>
      <c r="T1262">
        <v>1548</v>
      </c>
      <c r="U1262">
        <f>VLOOKUP(Auto_Sales_data___Copy[[#This Row],[CUSTOMER_NAME]],$AF$2:$AH$90,2,FALSE)</f>
        <v>41</v>
      </c>
      <c r="V1262">
        <f>VLOOKUP(Auto_Sales_data___Copy[[#This Row],[CUSTOMER_NAME]],$AF$2:$AH$90,3,FALSE)</f>
        <v>142874.24999999997</v>
      </c>
      <c r="W1262" s="2">
        <f>6-MATCH(Auto_Sales_data___Copy[[#This Row],[DAYS_SINCE_LAST_ORDER]],Table2[R-Cutoff],1)</f>
        <v>3</v>
      </c>
      <c r="X1262" s="2">
        <f>MATCH(Auto_Sales_data___Copy[[#This Row],[Total_Orders_Per_Customer]],Table2[F-Cutoff],1)</f>
        <v>4</v>
      </c>
      <c r="Y1262" s="2">
        <f>MATCH(Auto_Sales_data___Copy[[#This Row],[Total_Sales_Per_Customer]],Table2[M-Cutoff],1)</f>
        <v>4</v>
      </c>
      <c r="Z1262" s="2" t="str">
        <f>Auto_Sales_data___Copy[[#This Row],[R-Score(1-5)]]&amp;Auto_Sales_data___Copy[[#This Row],[F-Score(1-5)]]&amp;Auto_Sales_data___Copy[[#This Row],[M-Score(1-5)]]</f>
        <v>344</v>
      </c>
      <c r="AA1262" s="2" t="str" cm="1">
        <f t="array" ref="AA12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2" s="2" t="str">
        <f>VLOOKUP(Auto_Sales_data___Copy[[#This Row],[Segment Name]],Table3[],2,FALSE)</f>
        <v>Reward &amp; Upsell</v>
      </c>
    </row>
    <row r="1263" spans="1:28" x14ac:dyDescent="0.25">
      <c r="A1263">
        <v>10208</v>
      </c>
      <c r="B1263">
        <v>45</v>
      </c>
      <c r="C1263">
        <v>87.77</v>
      </c>
      <c r="D1263">
        <v>8</v>
      </c>
      <c r="E1263">
        <v>3949.65</v>
      </c>
      <c r="F1263" s="1">
        <v>43467</v>
      </c>
      <c r="G1263" s="2" t="s">
        <v>19</v>
      </c>
      <c r="H1263" s="2" t="s">
        <v>589</v>
      </c>
      <c r="I1263">
        <v>87</v>
      </c>
      <c r="J1263" s="2" t="s">
        <v>660</v>
      </c>
      <c r="K1263" s="2" t="s">
        <v>224</v>
      </c>
      <c r="L1263" s="2" t="s">
        <v>225</v>
      </c>
      <c r="M1263" s="2" t="s">
        <v>226</v>
      </c>
      <c r="N1263" s="2" t="s">
        <v>227</v>
      </c>
      <c r="O1263" s="2" t="s">
        <v>228</v>
      </c>
      <c r="P1263" s="2" t="s">
        <v>36</v>
      </c>
      <c r="Q1263" s="2" t="s">
        <v>229</v>
      </c>
      <c r="R1263" s="2" t="s">
        <v>230</v>
      </c>
      <c r="S1263" s="2" t="s">
        <v>46</v>
      </c>
      <c r="T1263">
        <v>1765</v>
      </c>
      <c r="U1263">
        <f>VLOOKUP(Auto_Sales_data___Copy[[#This Row],[CUSTOMER_NAME]],$AF$2:$AH$90,2,FALSE)</f>
        <v>41</v>
      </c>
      <c r="V1263">
        <f>VLOOKUP(Auto_Sales_data___Copy[[#This Row],[CUSTOMER_NAME]],$AF$2:$AH$90,3,FALSE)</f>
        <v>142874.24999999997</v>
      </c>
      <c r="W1263" s="2">
        <f>6-MATCH(Auto_Sales_data___Copy[[#This Row],[DAYS_SINCE_LAST_ORDER]],Table2[R-Cutoff],1)</f>
        <v>3</v>
      </c>
      <c r="X1263" s="2">
        <f>MATCH(Auto_Sales_data___Copy[[#This Row],[Total_Orders_Per_Customer]],Table2[F-Cutoff],1)</f>
        <v>4</v>
      </c>
      <c r="Y1263" s="2">
        <f>MATCH(Auto_Sales_data___Copy[[#This Row],[Total_Sales_Per_Customer]],Table2[M-Cutoff],1)</f>
        <v>4</v>
      </c>
      <c r="Z1263" s="2" t="str">
        <f>Auto_Sales_data___Copy[[#This Row],[R-Score(1-5)]]&amp;Auto_Sales_data___Copy[[#This Row],[F-Score(1-5)]]&amp;Auto_Sales_data___Copy[[#This Row],[M-Score(1-5)]]</f>
        <v>344</v>
      </c>
      <c r="AA1263" s="2" t="str" cm="1">
        <f t="array" ref="AA12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3" s="2" t="str">
        <f>VLOOKUP(Auto_Sales_data___Copy[[#This Row],[Segment Name]],Table3[],2,FALSE)</f>
        <v>Reward &amp; Upsell</v>
      </c>
    </row>
    <row r="1264" spans="1:28" x14ac:dyDescent="0.25">
      <c r="A1264">
        <v>10214</v>
      </c>
      <c r="B1264">
        <v>20</v>
      </c>
      <c r="C1264">
        <v>34.19</v>
      </c>
      <c r="D1264">
        <v>3</v>
      </c>
      <c r="E1264">
        <v>683.8</v>
      </c>
      <c r="F1264" s="1">
        <v>43491</v>
      </c>
      <c r="G1264" s="2" t="s">
        <v>19</v>
      </c>
      <c r="H1264" s="2" t="s">
        <v>589</v>
      </c>
      <c r="I1264">
        <v>33</v>
      </c>
      <c r="J1264" s="2" t="s">
        <v>670</v>
      </c>
      <c r="K1264" s="2" t="s">
        <v>193</v>
      </c>
      <c r="L1264" s="2" t="s">
        <v>194</v>
      </c>
      <c r="M1264" s="2" t="s">
        <v>195</v>
      </c>
      <c r="N1264" s="2" t="s">
        <v>178</v>
      </c>
      <c r="O1264" s="2" t="s">
        <v>196</v>
      </c>
      <c r="P1264" s="2" t="s">
        <v>180</v>
      </c>
      <c r="Q1264" s="2" t="s">
        <v>197</v>
      </c>
      <c r="R1264" s="2" t="s">
        <v>198</v>
      </c>
      <c r="S1264" s="2" t="s">
        <v>30</v>
      </c>
      <c r="T1264">
        <v>1986</v>
      </c>
      <c r="U1264">
        <f>VLOOKUP(Auto_Sales_data___Copy[[#This Row],[CUSTOMER_NAME]],$AF$2:$AH$90,2,FALSE)</f>
        <v>32</v>
      </c>
      <c r="V1264">
        <f>VLOOKUP(Auto_Sales_data___Copy[[#This Row],[CUSTOMER_NAME]],$AF$2:$AH$90,3,FALSE)</f>
        <v>120615.28</v>
      </c>
      <c r="W1264" s="2">
        <f>6-MATCH(Auto_Sales_data___Copy[[#This Row],[DAYS_SINCE_LAST_ORDER]],Table2[R-Cutoff],1)</f>
        <v>3</v>
      </c>
      <c r="X1264" s="2">
        <f>MATCH(Auto_Sales_data___Copy[[#This Row],[Total_Orders_Per_Customer]],Table2[F-Cutoff],1)</f>
        <v>4</v>
      </c>
      <c r="Y1264" s="2">
        <f>MATCH(Auto_Sales_data___Copy[[#This Row],[Total_Sales_Per_Customer]],Table2[M-Cutoff],1)</f>
        <v>4</v>
      </c>
      <c r="Z1264" s="2" t="str">
        <f>Auto_Sales_data___Copy[[#This Row],[R-Score(1-5)]]&amp;Auto_Sales_data___Copy[[#This Row],[F-Score(1-5)]]&amp;Auto_Sales_data___Copy[[#This Row],[M-Score(1-5)]]</f>
        <v>344</v>
      </c>
      <c r="AA1264" s="2" t="str" cm="1">
        <f t="array" ref="AA12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4" s="2" t="str">
        <f>VLOOKUP(Auto_Sales_data___Copy[[#This Row],[Segment Name]],Table3[],2,FALSE)</f>
        <v>Reward &amp; Upsell</v>
      </c>
    </row>
    <row r="1265" spans="1:28" x14ac:dyDescent="0.25">
      <c r="A1265">
        <v>10217</v>
      </c>
      <c r="B1265">
        <v>38</v>
      </c>
      <c r="C1265">
        <v>118.66</v>
      </c>
      <c r="D1265">
        <v>5</v>
      </c>
      <c r="E1265">
        <v>4509.08</v>
      </c>
      <c r="F1265" s="1">
        <v>43500</v>
      </c>
      <c r="G1265" s="2" t="s">
        <v>19</v>
      </c>
      <c r="H1265" s="2" t="s">
        <v>537</v>
      </c>
      <c r="I1265">
        <v>121</v>
      </c>
      <c r="J1265" s="2" t="s">
        <v>661</v>
      </c>
      <c r="K1265" s="2" t="s">
        <v>443</v>
      </c>
      <c r="L1265" s="2" t="s">
        <v>444</v>
      </c>
      <c r="M1265" s="2" t="s">
        <v>445</v>
      </c>
      <c r="N1265" s="2" t="s">
        <v>202</v>
      </c>
      <c r="O1265" s="2" t="s">
        <v>446</v>
      </c>
      <c r="P1265" s="2" t="s">
        <v>202</v>
      </c>
      <c r="Q1265" s="2" t="s">
        <v>447</v>
      </c>
      <c r="R1265" s="2" t="s">
        <v>448</v>
      </c>
      <c r="S1265" s="2" t="s">
        <v>46</v>
      </c>
      <c r="T1265">
        <v>1759</v>
      </c>
      <c r="U1265">
        <f>VLOOKUP(Auto_Sales_data___Copy[[#This Row],[CUSTOMER_NAME]],$AF$2:$AH$90,2,FALSE)</f>
        <v>36</v>
      </c>
      <c r="V1265">
        <f>VLOOKUP(Auto_Sales_data___Copy[[#This Row],[CUSTOMER_NAME]],$AF$2:$AH$90,3,FALSE)</f>
        <v>115498.72999999998</v>
      </c>
      <c r="W1265" s="2">
        <f>6-MATCH(Auto_Sales_data___Copy[[#This Row],[DAYS_SINCE_LAST_ORDER]],Table2[R-Cutoff],1)</f>
        <v>3</v>
      </c>
      <c r="X1265" s="2">
        <f>MATCH(Auto_Sales_data___Copy[[#This Row],[Total_Orders_Per_Customer]],Table2[F-Cutoff],1)</f>
        <v>4</v>
      </c>
      <c r="Y1265" s="2">
        <f>MATCH(Auto_Sales_data___Copy[[#This Row],[Total_Sales_Per_Customer]],Table2[M-Cutoff],1)</f>
        <v>4</v>
      </c>
      <c r="Z1265" s="2" t="str">
        <f>Auto_Sales_data___Copy[[#This Row],[R-Score(1-5)]]&amp;Auto_Sales_data___Copy[[#This Row],[F-Score(1-5)]]&amp;Auto_Sales_data___Copy[[#This Row],[M-Score(1-5)]]</f>
        <v>344</v>
      </c>
      <c r="AA1265" s="2" t="str" cm="1">
        <f t="array" ref="AA12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5" s="2" t="str">
        <f>VLOOKUP(Auto_Sales_data___Copy[[#This Row],[Segment Name]],Table3[],2,FALSE)</f>
        <v>Reward &amp; Upsell</v>
      </c>
    </row>
    <row r="1266" spans="1:28" x14ac:dyDescent="0.25">
      <c r="A1266">
        <v>10223</v>
      </c>
      <c r="B1266">
        <v>32</v>
      </c>
      <c r="C1266">
        <v>91.29</v>
      </c>
      <c r="D1266">
        <v>2</v>
      </c>
      <c r="E1266">
        <v>2921.28</v>
      </c>
      <c r="F1266" s="1">
        <v>43516</v>
      </c>
      <c r="G1266" s="2" t="s">
        <v>19</v>
      </c>
      <c r="H1266" s="2" t="s">
        <v>20</v>
      </c>
      <c r="I1266">
        <v>112</v>
      </c>
      <c r="J1266" s="2" t="s">
        <v>667</v>
      </c>
      <c r="K1266" s="2" t="s">
        <v>82</v>
      </c>
      <c r="L1266" s="2" t="s">
        <v>83</v>
      </c>
      <c r="M1266" s="2" t="s">
        <v>84</v>
      </c>
      <c r="N1266" s="2" t="s">
        <v>85</v>
      </c>
      <c r="O1266" s="2" t="s">
        <v>86</v>
      </c>
      <c r="P1266" s="2" t="s">
        <v>87</v>
      </c>
      <c r="Q1266" s="2" t="s">
        <v>88</v>
      </c>
      <c r="R1266" s="2" t="s">
        <v>89</v>
      </c>
      <c r="S1266" s="2" t="s">
        <v>30</v>
      </c>
      <c r="T1266">
        <v>1890</v>
      </c>
      <c r="U1266">
        <f>VLOOKUP(Auto_Sales_data___Copy[[#This Row],[CUSTOMER_NAME]],$AF$2:$AH$90,2,FALSE)</f>
        <v>55</v>
      </c>
      <c r="V1266">
        <f>VLOOKUP(Auto_Sales_data___Copy[[#This Row],[CUSTOMER_NAME]],$AF$2:$AH$90,3,FALSE)</f>
        <v>200995.41000000006</v>
      </c>
      <c r="W1266" s="2">
        <f>6-MATCH(Auto_Sales_data___Copy[[#This Row],[DAYS_SINCE_LAST_ORDER]],Table2[R-Cutoff],1)</f>
        <v>3</v>
      </c>
      <c r="X1266" s="2">
        <f>MATCH(Auto_Sales_data___Copy[[#This Row],[Total_Orders_Per_Customer]],Table2[F-Cutoff],1)</f>
        <v>4</v>
      </c>
      <c r="Y1266" s="2">
        <f>MATCH(Auto_Sales_data___Copy[[#This Row],[Total_Sales_Per_Customer]],Table2[M-Cutoff],1)</f>
        <v>4</v>
      </c>
      <c r="Z1266" s="2" t="str">
        <f>Auto_Sales_data___Copy[[#This Row],[R-Score(1-5)]]&amp;Auto_Sales_data___Copy[[#This Row],[F-Score(1-5)]]&amp;Auto_Sales_data___Copy[[#This Row],[M-Score(1-5)]]</f>
        <v>344</v>
      </c>
      <c r="AA1266" s="2" t="str" cm="1">
        <f t="array" ref="AA12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6" s="2" t="str">
        <f>VLOOKUP(Auto_Sales_data___Copy[[#This Row],[Segment Name]],Table3[],2,FALSE)</f>
        <v>Reward &amp; Upsell</v>
      </c>
    </row>
    <row r="1267" spans="1:28" x14ac:dyDescent="0.25">
      <c r="A1267">
        <v>10223</v>
      </c>
      <c r="B1267">
        <v>34</v>
      </c>
      <c r="C1267">
        <v>106.14</v>
      </c>
      <c r="D1267">
        <v>11</v>
      </c>
      <c r="E1267">
        <v>3608.76</v>
      </c>
      <c r="F1267" s="1">
        <v>43516</v>
      </c>
      <c r="G1267" s="2" t="s">
        <v>19</v>
      </c>
      <c r="H1267" s="2" t="s">
        <v>607</v>
      </c>
      <c r="I1267">
        <v>109</v>
      </c>
      <c r="J1267" s="2" t="s">
        <v>669</v>
      </c>
      <c r="K1267" s="2" t="s">
        <v>82</v>
      </c>
      <c r="L1267" s="2" t="s">
        <v>83</v>
      </c>
      <c r="M1267" s="2" t="s">
        <v>84</v>
      </c>
      <c r="N1267" s="2" t="s">
        <v>85</v>
      </c>
      <c r="O1267" s="2" t="s">
        <v>86</v>
      </c>
      <c r="P1267" s="2" t="s">
        <v>87</v>
      </c>
      <c r="Q1267" s="2" t="s">
        <v>88</v>
      </c>
      <c r="R1267" s="2" t="s">
        <v>89</v>
      </c>
      <c r="S1267" s="2" t="s">
        <v>46</v>
      </c>
      <c r="T1267">
        <v>1936</v>
      </c>
      <c r="U1267">
        <f>VLOOKUP(Auto_Sales_data___Copy[[#This Row],[CUSTOMER_NAME]],$AF$2:$AH$90,2,FALSE)</f>
        <v>55</v>
      </c>
      <c r="V1267">
        <f>VLOOKUP(Auto_Sales_data___Copy[[#This Row],[CUSTOMER_NAME]],$AF$2:$AH$90,3,FALSE)</f>
        <v>200995.41000000006</v>
      </c>
      <c r="W1267" s="2">
        <f>6-MATCH(Auto_Sales_data___Copy[[#This Row],[DAYS_SINCE_LAST_ORDER]],Table2[R-Cutoff],1)</f>
        <v>3</v>
      </c>
      <c r="X1267" s="2">
        <f>MATCH(Auto_Sales_data___Copy[[#This Row],[Total_Orders_Per_Customer]],Table2[F-Cutoff],1)</f>
        <v>4</v>
      </c>
      <c r="Y1267" s="2">
        <f>MATCH(Auto_Sales_data___Copy[[#This Row],[Total_Sales_Per_Customer]],Table2[M-Cutoff],1)</f>
        <v>4</v>
      </c>
      <c r="Z1267" s="2" t="str">
        <f>Auto_Sales_data___Copy[[#This Row],[R-Score(1-5)]]&amp;Auto_Sales_data___Copy[[#This Row],[F-Score(1-5)]]&amp;Auto_Sales_data___Copy[[#This Row],[M-Score(1-5)]]</f>
        <v>344</v>
      </c>
      <c r="AA1267" s="2" t="str" cm="1">
        <f t="array" ref="AA12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7" s="2" t="str">
        <f>VLOOKUP(Auto_Sales_data___Copy[[#This Row],[Segment Name]],Table3[],2,FALSE)</f>
        <v>Reward &amp; Upsell</v>
      </c>
    </row>
    <row r="1268" spans="1:28" x14ac:dyDescent="0.25">
      <c r="A1268">
        <v>10223</v>
      </c>
      <c r="B1268">
        <v>38</v>
      </c>
      <c r="C1268">
        <v>69.31</v>
      </c>
      <c r="D1268">
        <v>6</v>
      </c>
      <c r="E1268">
        <v>2633.78</v>
      </c>
      <c r="F1268" s="1">
        <v>43516</v>
      </c>
      <c r="G1268" s="2" t="s">
        <v>19</v>
      </c>
      <c r="H1268" s="2" t="s">
        <v>20</v>
      </c>
      <c r="I1268">
        <v>76</v>
      </c>
      <c r="J1268" s="2" t="s">
        <v>671</v>
      </c>
      <c r="K1268" s="2" t="s">
        <v>82</v>
      </c>
      <c r="L1268" s="2" t="s">
        <v>83</v>
      </c>
      <c r="M1268" s="2" t="s">
        <v>84</v>
      </c>
      <c r="N1268" s="2" t="s">
        <v>85</v>
      </c>
      <c r="O1268" s="2" t="s">
        <v>86</v>
      </c>
      <c r="P1268" s="2" t="s">
        <v>87</v>
      </c>
      <c r="Q1268" s="2" t="s">
        <v>88</v>
      </c>
      <c r="R1268" s="2" t="s">
        <v>89</v>
      </c>
      <c r="S1268" s="2" t="s">
        <v>30</v>
      </c>
      <c r="T1268">
        <v>1986</v>
      </c>
      <c r="U1268">
        <f>VLOOKUP(Auto_Sales_data___Copy[[#This Row],[CUSTOMER_NAME]],$AF$2:$AH$90,2,FALSE)</f>
        <v>55</v>
      </c>
      <c r="V1268">
        <f>VLOOKUP(Auto_Sales_data___Copy[[#This Row],[CUSTOMER_NAME]],$AF$2:$AH$90,3,FALSE)</f>
        <v>200995.41000000006</v>
      </c>
      <c r="W1268" s="2">
        <f>6-MATCH(Auto_Sales_data___Copy[[#This Row],[DAYS_SINCE_LAST_ORDER]],Table2[R-Cutoff],1)</f>
        <v>3</v>
      </c>
      <c r="X1268" s="2">
        <f>MATCH(Auto_Sales_data___Copy[[#This Row],[Total_Orders_Per_Customer]],Table2[F-Cutoff],1)</f>
        <v>4</v>
      </c>
      <c r="Y1268" s="2">
        <f>MATCH(Auto_Sales_data___Copy[[#This Row],[Total_Sales_Per_Customer]],Table2[M-Cutoff],1)</f>
        <v>4</v>
      </c>
      <c r="Z1268" s="2" t="str">
        <f>Auto_Sales_data___Copy[[#This Row],[R-Score(1-5)]]&amp;Auto_Sales_data___Copy[[#This Row],[F-Score(1-5)]]&amp;Auto_Sales_data___Copy[[#This Row],[M-Score(1-5)]]</f>
        <v>344</v>
      </c>
      <c r="AA1268" s="2" t="str" cm="1">
        <f t="array" ref="AA12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8" s="2" t="str">
        <f>VLOOKUP(Auto_Sales_data___Copy[[#This Row],[Segment Name]],Table3[],2,FALSE)</f>
        <v>Reward &amp; Upsell</v>
      </c>
    </row>
    <row r="1269" spans="1:28" x14ac:dyDescent="0.25">
      <c r="A1269">
        <v>10225</v>
      </c>
      <c r="B1269">
        <v>37</v>
      </c>
      <c r="C1269">
        <v>95.69</v>
      </c>
      <c r="D1269">
        <v>12</v>
      </c>
      <c r="E1269">
        <v>3540.53</v>
      </c>
      <c r="F1269" s="1">
        <v>43518</v>
      </c>
      <c r="G1269" s="2" t="s">
        <v>19</v>
      </c>
      <c r="H1269" s="2" t="s">
        <v>183</v>
      </c>
      <c r="I1269">
        <v>80</v>
      </c>
      <c r="J1269" s="2" t="s">
        <v>652</v>
      </c>
      <c r="K1269" s="2" t="s">
        <v>473</v>
      </c>
      <c r="L1269" s="2" t="s">
        <v>474</v>
      </c>
      <c r="M1269" s="2" t="s">
        <v>475</v>
      </c>
      <c r="N1269" s="2" t="s">
        <v>476</v>
      </c>
      <c r="O1269" s="2" t="s">
        <v>477</v>
      </c>
      <c r="P1269" s="2" t="s">
        <v>478</v>
      </c>
      <c r="Q1269" s="2" t="s">
        <v>479</v>
      </c>
      <c r="R1269" s="2" t="s">
        <v>94</v>
      </c>
      <c r="S1269" s="2" t="s">
        <v>46</v>
      </c>
      <c r="T1269">
        <v>1522</v>
      </c>
      <c r="U1269">
        <f>VLOOKUP(Auto_Sales_data___Copy[[#This Row],[CUSTOMER_NAME]],$AF$2:$AH$90,2,FALSE)</f>
        <v>31</v>
      </c>
      <c r="V1269">
        <f>VLOOKUP(Auto_Sales_data___Copy[[#This Row],[CUSTOMER_NAME]],$AF$2:$AH$90,3,FALSE)</f>
        <v>117713.56000000001</v>
      </c>
      <c r="W1269" s="2">
        <f>6-MATCH(Auto_Sales_data___Copy[[#This Row],[DAYS_SINCE_LAST_ORDER]],Table2[R-Cutoff],1)</f>
        <v>3</v>
      </c>
      <c r="X1269" s="2">
        <f>MATCH(Auto_Sales_data___Copy[[#This Row],[Total_Orders_Per_Customer]],Table2[F-Cutoff],1)</f>
        <v>4</v>
      </c>
      <c r="Y1269" s="2">
        <f>MATCH(Auto_Sales_data___Copy[[#This Row],[Total_Sales_Per_Customer]],Table2[M-Cutoff],1)</f>
        <v>4</v>
      </c>
      <c r="Z1269" s="2" t="str">
        <f>Auto_Sales_data___Copy[[#This Row],[R-Score(1-5)]]&amp;Auto_Sales_data___Copy[[#This Row],[F-Score(1-5)]]&amp;Auto_Sales_data___Copy[[#This Row],[M-Score(1-5)]]</f>
        <v>344</v>
      </c>
      <c r="AA1269" s="2" t="str" cm="1">
        <f t="array" ref="AA12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9" s="2" t="str">
        <f>VLOOKUP(Auto_Sales_data___Copy[[#This Row],[Segment Name]],Table3[],2,FALSE)</f>
        <v>Reward &amp; Upsell</v>
      </c>
    </row>
    <row r="1270" spans="1:28" x14ac:dyDescent="0.25">
      <c r="A1270">
        <v>10225</v>
      </c>
      <c r="B1270">
        <v>27</v>
      </c>
      <c r="C1270">
        <v>169.04</v>
      </c>
      <c r="D1270">
        <v>11</v>
      </c>
      <c r="E1270">
        <v>4564.08</v>
      </c>
      <c r="F1270" s="1">
        <v>43518</v>
      </c>
      <c r="G1270" s="2" t="s">
        <v>19</v>
      </c>
      <c r="H1270" s="2" t="s">
        <v>183</v>
      </c>
      <c r="I1270">
        <v>146</v>
      </c>
      <c r="J1270" s="2" t="s">
        <v>654</v>
      </c>
      <c r="K1270" s="2" t="s">
        <v>473</v>
      </c>
      <c r="L1270" s="2" t="s">
        <v>474</v>
      </c>
      <c r="M1270" s="2" t="s">
        <v>475</v>
      </c>
      <c r="N1270" s="2" t="s">
        <v>476</v>
      </c>
      <c r="O1270" s="2" t="s">
        <v>477</v>
      </c>
      <c r="P1270" s="2" t="s">
        <v>478</v>
      </c>
      <c r="Q1270" s="2" t="s">
        <v>479</v>
      </c>
      <c r="R1270" s="2" t="s">
        <v>94</v>
      </c>
      <c r="S1270" s="2" t="s">
        <v>46</v>
      </c>
      <c r="T1270">
        <v>1569</v>
      </c>
      <c r="U1270">
        <f>VLOOKUP(Auto_Sales_data___Copy[[#This Row],[CUSTOMER_NAME]],$AF$2:$AH$90,2,FALSE)</f>
        <v>31</v>
      </c>
      <c r="V1270">
        <f>VLOOKUP(Auto_Sales_data___Copy[[#This Row],[CUSTOMER_NAME]],$AF$2:$AH$90,3,FALSE)</f>
        <v>117713.56000000001</v>
      </c>
      <c r="W1270" s="2">
        <f>6-MATCH(Auto_Sales_data___Copy[[#This Row],[DAYS_SINCE_LAST_ORDER]],Table2[R-Cutoff],1)</f>
        <v>3</v>
      </c>
      <c r="X1270" s="2">
        <f>MATCH(Auto_Sales_data___Copy[[#This Row],[Total_Orders_Per_Customer]],Table2[F-Cutoff],1)</f>
        <v>4</v>
      </c>
      <c r="Y1270" s="2">
        <f>MATCH(Auto_Sales_data___Copy[[#This Row],[Total_Sales_Per_Customer]],Table2[M-Cutoff],1)</f>
        <v>4</v>
      </c>
      <c r="Z1270" s="2" t="str">
        <f>Auto_Sales_data___Copy[[#This Row],[R-Score(1-5)]]&amp;Auto_Sales_data___Copy[[#This Row],[F-Score(1-5)]]&amp;Auto_Sales_data___Copy[[#This Row],[M-Score(1-5)]]</f>
        <v>344</v>
      </c>
      <c r="AA1270" s="2" t="str" cm="1">
        <f t="array" ref="AA12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0" s="2" t="str">
        <f>VLOOKUP(Auto_Sales_data___Copy[[#This Row],[Segment Name]],Table3[],2,FALSE)</f>
        <v>Reward &amp; Upsell</v>
      </c>
    </row>
    <row r="1271" spans="1:28" x14ac:dyDescent="0.25">
      <c r="A1271">
        <v>10225</v>
      </c>
      <c r="B1271">
        <v>35</v>
      </c>
      <c r="C1271">
        <v>150.29</v>
      </c>
      <c r="D1271">
        <v>14</v>
      </c>
      <c r="E1271">
        <v>5260.15</v>
      </c>
      <c r="F1271" s="1">
        <v>43518</v>
      </c>
      <c r="G1271" s="2" t="s">
        <v>19</v>
      </c>
      <c r="H1271" s="2" t="s">
        <v>183</v>
      </c>
      <c r="I1271">
        <v>148</v>
      </c>
      <c r="J1271" s="2" t="s">
        <v>663</v>
      </c>
      <c r="K1271" s="2" t="s">
        <v>473</v>
      </c>
      <c r="L1271" s="2" t="s">
        <v>474</v>
      </c>
      <c r="M1271" s="2" t="s">
        <v>475</v>
      </c>
      <c r="N1271" s="2" t="s">
        <v>476</v>
      </c>
      <c r="O1271" s="2" t="s">
        <v>477</v>
      </c>
      <c r="P1271" s="2" t="s">
        <v>478</v>
      </c>
      <c r="Q1271" s="2" t="s">
        <v>479</v>
      </c>
      <c r="R1271" s="2" t="s">
        <v>94</v>
      </c>
      <c r="S1271" s="2" t="s">
        <v>46</v>
      </c>
      <c r="T1271">
        <v>1792</v>
      </c>
      <c r="U1271">
        <f>VLOOKUP(Auto_Sales_data___Copy[[#This Row],[CUSTOMER_NAME]],$AF$2:$AH$90,2,FALSE)</f>
        <v>31</v>
      </c>
      <c r="V1271">
        <f>VLOOKUP(Auto_Sales_data___Copy[[#This Row],[CUSTOMER_NAME]],$AF$2:$AH$90,3,FALSE)</f>
        <v>117713.56000000001</v>
      </c>
      <c r="W1271" s="2">
        <f>6-MATCH(Auto_Sales_data___Copy[[#This Row],[DAYS_SINCE_LAST_ORDER]],Table2[R-Cutoff],1)</f>
        <v>3</v>
      </c>
      <c r="X1271" s="2">
        <f>MATCH(Auto_Sales_data___Copy[[#This Row],[Total_Orders_Per_Customer]],Table2[F-Cutoff],1)</f>
        <v>4</v>
      </c>
      <c r="Y1271" s="2">
        <f>MATCH(Auto_Sales_data___Copy[[#This Row],[Total_Sales_Per_Customer]],Table2[M-Cutoff],1)</f>
        <v>4</v>
      </c>
      <c r="Z1271" s="2" t="str">
        <f>Auto_Sales_data___Copy[[#This Row],[R-Score(1-5)]]&amp;Auto_Sales_data___Copy[[#This Row],[F-Score(1-5)]]&amp;Auto_Sales_data___Copy[[#This Row],[M-Score(1-5)]]</f>
        <v>344</v>
      </c>
      <c r="AA1271" s="2" t="str" cm="1">
        <f t="array" ref="AA12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1" s="2" t="str">
        <f>VLOOKUP(Auto_Sales_data___Copy[[#This Row],[Segment Name]],Table3[],2,FALSE)</f>
        <v>Reward &amp; Upsell</v>
      </c>
    </row>
    <row r="1272" spans="1:28" x14ac:dyDescent="0.25">
      <c r="A1272">
        <v>10227</v>
      </c>
      <c r="B1272">
        <v>33</v>
      </c>
      <c r="C1272">
        <v>111.12</v>
      </c>
      <c r="D1272">
        <v>1</v>
      </c>
      <c r="E1272">
        <v>3666.96</v>
      </c>
      <c r="F1272" s="1">
        <v>43526</v>
      </c>
      <c r="G1272" s="2" t="s">
        <v>19</v>
      </c>
      <c r="H1272" s="2" t="s">
        <v>589</v>
      </c>
      <c r="I1272">
        <v>99</v>
      </c>
      <c r="J1272" s="2" t="s">
        <v>653</v>
      </c>
      <c r="K1272" s="2" t="s">
        <v>224</v>
      </c>
      <c r="L1272" s="2" t="s">
        <v>225</v>
      </c>
      <c r="M1272" s="2" t="s">
        <v>226</v>
      </c>
      <c r="N1272" s="2" t="s">
        <v>227</v>
      </c>
      <c r="O1272" s="2" t="s">
        <v>228</v>
      </c>
      <c r="P1272" s="2" t="s">
        <v>36</v>
      </c>
      <c r="Q1272" s="2" t="s">
        <v>229</v>
      </c>
      <c r="R1272" s="2" t="s">
        <v>230</v>
      </c>
      <c r="S1272" s="2" t="s">
        <v>46</v>
      </c>
      <c r="T1272">
        <v>1538</v>
      </c>
      <c r="U1272">
        <f>VLOOKUP(Auto_Sales_data___Copy[[#This Row],[CUSTOMER_NAME]],$AF$2:$AH$90,2,FALSE)</f>
        <v>41</v>
      </c>
      <c r="V1272">
        <f>VLOOKUP(Auto_Sales_data___Copy[[#This Row],[CUSTOMER_NAME]],$AF$2:$AH$90,3,FALSE)</f>
        <v>142874.24999999997</v>
      </c>
      <c r="W1272" s="2">
        <f>6-MATCH(Auto_Sales_data___Copy[[#This Row],[DAYS_SINCE_LAST_ORDER]],Table2[R-Cutoff],1)</f>
        <v>3</v>
      </c>
      <c r="X1272" s="2">
        <f>MATCH(Auto_Sales_data___Copy[[#This Row],[Total_Orders_Per_Customer]],Table2[F-Cutoff],1)</f>
        <v>4</v>
      </c>
      <c r="Y1272" s="2">
        <f>MATCH(Auto_Sales_data___Copy[[#This Row],[Total_Sales_Per_Customer]],Table2[M-Cutoff],1)</f>
        <v>4</v>
      </c>
      <c r="Z1272" s="2" t="str">
        <f>Auto_Sales_data___Copy[[#This Row],[R-Score(1-5)]]&amp;Auto_Sales_data___Copy[[#This Row],[F-Score(1-5)]]&amp;Auto_Sales_data___Copy[[#This Row],[M-Score(1-5)]]</f>
        <v>344</v>
      </c>
      <c r="AA1272" s="2" t="str" cm="1">
        <f t="array" ref="AA12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2" s="2" t="str">
        <f>VLOOKUP(Auto_Sales_data___Copy[[#This Row],[Segment Name]],Table3[],2,FALSE)</f>
        <v>Reward &amp; Upsell</v>
      </c>
    </row>
    <row r="1273" spans="1:28" x14ac:dyDescent="0.25">
      <c r="A1273">
        <v>10227</v>
      </c>
      <c r="B1273">
        <v>34</v>
      </c>
      <c r="C1273">
        <v>104.91</v>
      </c>
      <c r="D1273">
        <v>11</v>
      </c>
      <c r="E1273">
        <v>3566.94</v>
      </c>
      <c r="F1273" s="1">
        <v>43526</v>
      </c>
      <c r="G1273" s="2" t="s">
        <v>19</v>
      </c>
      <c r="H1273" s="2" t="s">
        <v>589</v>
      </c>
      <c r="I1273">
        <v>92</v>
      </c>
      <c r="J1273" s="2" t="s">
        <v>659</v>
      </c>
      <c r="K1273" s="2" t="s">
        <v>224</v>
      </c>
      <c r="L1273" s="2" t="s">
        <v>225</v>
      </c>
      <c r="M1273" s="2" t="s">
        <v>226</v>
      </c>
      <c r="N1273" s="2" t="s">
        <v>227</v>
      </c>
      <c r="O1273" s="2" t="s">
        <v>228</v>
      </c>
      <c r="P1273" s="2" t="s">
        <v>36</v>
      </c>
      <c r="Q1273" s="2" t="s">
        <v>229</v>
      </c>
      <c r="R1273" s="2" t="s">
        <v>230</v>
      </c>
      <c r="S1273" s="2" t="s">
        <v>46</v>
      </c>
      <c r="T1273">
        <v>1685</v>
      </c>
      <c r="U1273">
        <f>VLOOKUP(Auto_Sales_data___Copy[[#This Row],[CUSTOMER_NAME]],$AF$2:$AH$90,2,FALSE)</f>
        <v>41</v>
      </c>
      <c r="V1273">
        <f>VLOOKUP(Auto_Sales_data___Copy[[#This Row],[CUSTOMER_NAME]],$AF$2:$AH$90,3,FALSE)</f>
        <v>142874.24999999997</v>
      </c>
      <c r="W1273" s="2">
        <f>6-MATCH(Auto_Sales_data___Copy[[#This Row],[DAYS_SINCE_LAST_ORDER]],Table2[R-Cutoff],1)</f>
        <v>3</v>
      </c>
      <c r="X1273" s="2">
        <f>MATCH(Auto_Sales_data___Copy[[#This Row],[Total_Orders_Per_Customer]],Table2[F-Cutoff],1)</f>
        <v>4</v>
      </c>
      <c r="Y1273" s="2">
        <f>MATCH(Auto_Sales_data___Copy[[#This Row],[Total_Sales_Per_Customer]],Table2[M-Cutoff],1)</f>
        <v>4</v>
      </c>
      <c r="Z1273" s="2" t="str">
        <f>Auto_Sales_data___Copy[[#This Row],[R-Score(1-5)]]&amp;Auto_Sales_data___Copy[[#This Row],[F-Score(1-5)]]&amp;Auto_Sales_data___Copy[[#This Row],[M-Score(1-5)]]</f>
        <v>344</v>
      </c>
      <c r="AA1273" s="2" t="str" cm="1">
        <f t="array" ref="AA12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3" s="2" t="str">
        <f>VLOOKUP(Auto_Sales_data___Copy[[#This Row],[Segment Name]],Table3[],2,FALSE)</f>
        <v>Reward &amp; Upsell</v>
      </c>
    </row>
    <row r="1274" spans="1:28" x14ac:dyDescent="0.25">
      <c r="A1274">
        <v>10227</v>
      </c>
      <c r="B1274">
        <v>37</v>
      </c>
      <c r="C1274">
        <v>57.73</v>
      </c>
      <c r="D1274">
        <v>12</v>
      </c>
      <c r="E1274">
        <v>2136.0100000000002</v>
      </c>
      <c r="F1274" s="1">
        <v>43526</v>
      </c>
      <c r="G1274" s="2" t="s">
        <v>19</v>
      </c>
      <c r="H1274" s="2" t="s">
        <v>183</v>
      </c>
      <c r="I1274">
        <v>71</v>
      </c>
      <c r="J1274" s="2" t="s">
        <v>664</v>
      </c>
      <c r="K1274" s="2" t="s">
        <v>224</v>
      </c>
      <c r="L1274" s="2" t="s">
        <v>225</v>
      </c>
      <c r="M1274" s="2" t="s">
        <v>226</v>
      </c>
      <c r="N1274" s="2" t="s">
        <v>227</v>
      </c>
      <c r="O1274" s="2" t="s">
        <v>228</v>
      </c>
      <c r="P1274" s="2" t="s">
        <v>36</v>
      </c>
      <c r="Q1274" s="2" t="s">
        <v>229</v>
      </c>
      <c r="R1274" s="2" t="s">
        <v>230</v>
      </c>
      <c r="S1274" s="2" t="s">
        <v>30</v>
      </c>
      <c r="T1274">
        <v>1808</v>
      </c>
      <c r="U1274">
        <f>VLOOKUP(Auto_Sales_data___Copy[[#This Row],[CUSTOMER_NAME]],$AF$2:$AH$90,2,FALSE)</f>
        <v>41</v>
      </c>
      <c r="V1274">
        <f>VLOOKUP(Auto_Sales_data___Copy[[#This Row],[CUSTOMER_NAME]],$AF$2:$AH$90,3,FALSE)</f>
        <v>142874.24999999997</v>
      </c>
      <c r="W1274" s="2">
        <f>6-MATCH(Auto_Sales_data___Copy[[#This Row],[DAYS_SINCE_LAST_ORDER]],Table2[R-Cutoff],1)</f>
        <v>3</v>
      </c>
      <c r="X1274" s="2">
        <f>MATCH(Auto_Sales_data___Copy[[#This Row],[Total_Orders_Per_Customer]],Table2[F-Cutoff],1)</f>
        <v>4</v>
      </c>
      <c r="Y1274" s="2">
        <f>MATCH(Auto_Sales_data___Copy[[#This Row],[Total_Sales_Per_Customer]],Table2[M-Cutoff],1)</f>
        <v>4</v>
      </c>
      <c r="Z1274" s="2" t="str">
        <f>Auto_Sales_data___Copy[[#This Row],[R-Score(1-5)]]&amp;Auto_Sales_data___Copy[[#This Row],[F-Score(1-5)]]&amp;Auto_Sales_data___Copy[[#This Row],[M-Score(1-5)]]</f>
        <v>344</v>
      </c>
      <c r="AA1274" s="2" t="str" cm="1">
        <f t="array" ref="AA12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4" s="2" t="str">
        <f>VLOOKUP(Auto_Sales_data___Copy[[#This Row],[Segment Name]],Table3[],2,FALSE)</f>
        <v>Reward &amp; Upsell</v>
      </c>
    </row>
    <row r="1275" spans="1:28" x14ac:dyDescent="0.25">
      <c r="A1275">
        <v>10227</v>
      </c>
      <c r="B1275">
        <v>42</v>
      </c>
      <c r="C1275">
        <v>29.21</v>
      </c>
      <c r="D1275">
        <v>6</v>
      </c>
      <c r="E1275">
        <v>1226.82</v>
      </c>
      <c r="F1275" s="1">
        <v>43526</v>
      </c>
      <c r="G1275" s="2" t="s">
        <v>19</v>
      </c>
      <c r="H1275" s="2" t="s">
        <v>589</v>
      </c>
      <c r="I1275">
        <v>33</v>
      </c>
      <c r="J1275" s="2" t="s">
        <v>670</v>
      </c>
      <c r="K1275" s="2" t="s">
        <v>224</v>
      </c>
      <c r="L1275" s="2" t="s">
        <v>225</v>
      </c>
      <c r="M1275" s="2" t="s">
        <v>226</v>
      </c>
      <c r="N1275" s="2" t="s">
        <v>227</v>
      </c>
      <c r="O1275" s="2" t="s">
        <v>228</v>
      </c>
      <c r="P1275" s="2" t="s">
        <v>36</v>
      </c>
      <c r="Q1275" s="2" t="s">
        <v>229</v>
      </c>
      <c r="R1275" s="2" t="s">
        <v>230</v>
      </c>
      <c r="S1275" s="2" t="s">
        <v>30</v>
      </c>
      <c r="T1275">
        <v>1952</v>
      </c>
      <c r="U1275">
        <f>VLOOKUP(Auto_Sales_data___Copy[[#This Row],[CUSTOMER_NAME]],$AF$2:$AH$90,2,FALSE)</f>
        <v>41</v>
      </c>
      <c r="V1275">
        <f>VLOOKUP(Auto_Sales_data___Copy[[#This Row],[CUSTOMER_NAME]],$AF$2:$AH$90,3,FALSE)</f>
        <v>142874.24999999997</v>
      </c>
      <c r="W1275" s="2">
        <f>6-MATCH(Auto_Sales_data___Copy[[#This Row],[DAYS_SINCE_LAST_ORDER]],Table2[R-Cutoff],1)</f>
        <v>3</v>
      </c>
      <c r="X1275" s="2">
        <f>MATCH(Auto_Sales_data___Copy[[#This Row],[Total_Orders_Per_Customer]],Table2[F-Cutoff],1)</f>
        <v>4</v>
      </c>
      <c r="Y1275" s="2">
        <f>MATCH(Auto_Sales_data___Copy[[#This Row],[Total_Sales_Per_Customer]],Table2[M-Cutoff],1)</f>
        <v>4</v>
      </c>
      <c r="Z1275" s="2" t="str">
        <f>Auto_Sales_data___Copy[[#This Row],[R-Score(1-5)]]&amp;Auto_Sales_data___Copy[[#This Row],[F-Score(1-5)]]&amp;Auto_Sales_data___Copy[[#This Row],[M-Score(1-5)]]</f>
        <v>344</v>
      </c>
      <c r="AA1275" s="2" t="str" cm="1">
        <f t="array" ref="AA12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5" s="2" t="str">
        <f>VLOOKUP(Auto_Sales_data___Copy[[#This Row],[Segment Name]],Table3[],2,FALSE)</f>
        <v>Reward &amp; Upsell</v>
      </c>
    </row>
    <row r="1276" spans="1:28" x14ac:dyDescent="0.25">
      <c r="A1276">
        <v>10229</v>
      </c>
      <c r="B1276">
        <v>41</v>
      </c>
      <c r="C1276">
        <v>115.03</v>
      </c>
      <c r="D1276">
        <v>10</v>
      </c>
      <c r="E1276">
        <v>4716.2299999999996</v>
      </c>
      <c r="F1276" s="1">
        <v>43535</v>
      </c>
      <c r="G1276" s="2" t="s">
        <v>19</v>
      </c>
      <c r="H1276" s="2" t="s">
        <v>537</v>
      </c>
      <c r="I1276">
        <v>121</v>
      </c>
      <c r="J1276" s="2" t="s">
        <v>661</v>
      </c>
      <c r="K1276" s="2" t="s">
        <v>284</v>
      </c>
      <c r="L1276" s="2" t="s">
        <v>285</v>
      </c>
      <c r="M1276" s="2" t="s">
        <v>286</v>
      </c>
      <c r="N1276" s="2" t="s">
        <v>287</v>
      </c>
      <c r="O1276" s="2" t="s">
        <v>106</v>
      </c>
      <c r="P1276" s="2" t="s">
        <v>27</v>
      </c>
      <c r="Q1276" s="2" t="s">
        <v>288</v>
      </c>
      <c r="R1276" s="2" t="s">
        <v>289</v>
      </c>
      <c r="S1276" s="2" t="s">
        <v>46</v>
      </c>
      <c r="T1276">
        <v>1725</v>
      </c>
      <c r="U1276">
        <f>VLOOKUP(Auto_Sales_data___Copy[[#This Row],[CUSTOMER_NAME]],$AF$2:$AH$90,2,FALSE)</f>
        <v>180</v>
      </c>
      <c r="V1276">
        <f>VLOOKUP(Auto_Sales_data___Copy[[#This Row],[CUSTOMER_NAME]],$AF$2:$AH$90,3,FALSE)</f>
        <v>654858.06000000017</v>
      </c>
      <c r="W1276" s="2">
        <f>6-MATCH(Auto_Sales_data___Copy[[#This Row],[DAYS_SINCE_LAST_ORDER]],Table2[R-Cutoff],1)</f>
        <v>3</v>
      </c>
      <c r="X1276" s="2">
        <f>MATCH(Auto_Sales_data___Copy[[#This Row],[Total_Orders_Per_Customer]],Table2[F-Cutoff],1)</f>
        <v>4</v>
      </c>
      <c r="Y1276" s="2">
        <f>MATCH(Auto_Sales_data___Copy[[#This Row],[Total_Sales_Per_Customer]],Table2[M-Cutoff],1)</f>
        <v>4</v>
      </c>
      <c r="Z1276" s="2" t="str">
        <f>Auto_Sales_data___Copy[[#This Row],[R-Score(1-5)]]&amp;Auto_Sales_data___Copy[[#This Row],[F-Score(1-5)]]&amp;Auto_Sales_data___Copy[[#This Row],[M-Score(1-5)]]</f>
        <v>344</v>
      </c>
      <c r="AA1276" s="2" t="str" cm="1">
        <f t="array" ref="AA12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6" s="2" t="str">
        <f>VLOOKUP(Auto_Sales_data___Copy[[#This Row],[Segment Name]],Table3[],2,FALSE)</f>
        <v>Reward &amp; Upsell</v>
      </c>
    </row>
    <row r="1277" spans="1:28" x14ac:dyDescent="0.25">
      <c r="A1277">
        <v>10229</v>
      </c>
      <c r="B1277">
        <v>39</v>
      </c>
      <c r="C1277">
        <v>40.25</v>
      </c>
      <c r="D1277">
        <v>14</v>
      </c>
      <c r="E1277">
        <v>1569.75</v>
      </c>
      <c r="F1277" s="1">
        <v>43535</v>
      </c>
      <c r="G1277" s="2" t="s">
        <v>19</v>
      </c>
      <c r="H1277" s="2" t="s">
        <v>589</v>
      </c>
      <c r="I1277">
        <v>50</v>
      </c>
      <c r="J1277" s="2" t="s">
        <v>662</v>
      </c>
      <c r="K1277" s="2" t="s">
        <v>284</v>
      </c>
      <c r="L1277" s="2" t="s">
        <v>285</v>
      </c>
      <c r="M1277" s="2" t="s">
        <v>286</v>
      </c>
      <c r="N1277" s="2" t="s">
        <v>287</v>
      </c>
      <c r="O1277" s="2" t="s">
        <v>106</v>
      </c>
      <c r="P1277" s="2" t="s">
        <v>27</v>
      </c>
      <c r="Q1277" s="2" t="s">
        <v>288</v>
      </c>
      <c r="R1277" s="2" t="s">
        <v>289</v>
      </c>
      <c r="S1277" s="2" t="s">
        <v>30</v>
      </c>
      <c r="T1277">
        <v>1752</v>
      </c>
      <c r="U1277">
        <f>VLOOKUP(Auto_Sales_data___Copy[[#This Row],[CUSTOMER_NAME]],$AF$2:$AH$90,2,FALSE)</f>
        <v>180</v>
      </c>
      <c r="V1277">
        <f>VLOOKUP(Auto_Sales_data___Copy[[#This Row],[CUSTOMER_NAME]],$AF$2:$AH$90,3,FALSE)</f>
        <v>654858.06000000017</v>
      </c>
      <c r="W1277" s="2">
        <f>6-MATCH(Auto_Sales_data___Copy[[#This Row],[DAYS_SINCE_LAST_ORDER]],Table2[R-Cutoff],1)</f>
        <v>3</v>
      </c>
      <c r="X1277" s="2">
        <f>MATCH(Auto_Sales_data___Copy[[#This Row],[Total_Orders_Per_Customer]],Table2[F-Cutoff],1)</f>
        <v>4</v>
      </c>
      <c r="Y1277" s="2">
        <f>MATCH(Auto_Sales_data___Copy[[#This Row],[Total_Sales_Per_Customer]],Table2[M-Cutoff],1)</f>
        <v>4</v>
      </c>
      <c r="Z1277" s="2" t="str">
        <f>Auto_Sales_data___Copy[[#This Row],[R-Score(1-5)]]&amp;Auto_Sales_data___Copy[[#This Row],[F-Score(1-5)]]&amp;Auto_Sales_data___Copy[[#This Row],[M-Score(1-5)]]</f>
        <v>344</v>
      </c>
      <c r="AA1277" s="2" t="str" cm="1">
        <f t="array" ref="AA12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7" s="2" t="str">
        <f>VLOOKUP(Auto_Sales_data___Copy[[#This Row],[Segment Name]],Table3[],2,FALSE)</f>
        <v>Reward &amp; Upsell</v>
      </c>
    </row>
    <row r="1278" spans="1:28" x14ac:dyDescent="0.25">
      <c r="A1278">
        <v>10238</v>
      </c>
      <c r="B1278">
        <v>49</v>
      </c>
      <c r="C1278">
        <v>133.76</v>
      </c>
      <c r="D1278">
        <v>5</v>
      </c>
      <c r="E1278">
        <v>6554.24</v>
      </c>
      <c r="F1278" s="1">
        <v>43564</v>
      </c>
      <c r="G1278" s="2" t="s">
        <v>19</v>
      </c>
      <c r="H1278" s="2" t="s">
        <v>183</v>
      </c>
      <c r="I1278">
        <v>146</v>
      </c>
      <c r="J1278" s="2" t="s">
        <v>654</v>
      </c>
      <c r="K1278" s="2" t="s">
        <v>339</v>
      </c>
      <c r="L1278" s="2" t="s">
        <v>340</v>
      </c>
      <c r="M1278" s="2" t="s">
        <v>341</v>
      </c>
      <c r="N1278" s="2" t="s">
        <v>342</v>
      </c>
      <c r="O1278" s="2" t="s">
        <v>343</v>
      </c>
      <c r="P1278" s="2" t="s">
        <v>344</v>
      </c>
      <c r="Q1278" s="2" t="s">
        <v>345</v>
      </c>
      <c r="R1278" s="2" t="s">
        <v>346</v>
      </c>
      <c r="S1278" s="2" t="s">
        <v>46</v>
      </c>
      <c r="T1278">
        <v>1524</v>
      </c>
      <c r="U1278">
        <f>VLOOKUP(Auto_Sales_data___Copy[[#This Row],[CUSTOMER_NAME]],$AF$2:$AH$90,2,FALSE)</f>
        <v>36</v>
      </c>
      <c r="V1278">
        <f>VLOOKUP(Auto_Sales_data___Copy[[#This Row],[CUSTOMER_NAME]],$AF$2:$AH$90,3,FALSE)</f>
        <v>145041.60000000001</v>
      </c>
      <c r="W1278" s="2">
        <f>6-MATCH(Auto_Sales_data___Copy[[#This Row],[DAYS_SINCE_LAST_ORDER]],Table2[R-Cutoff],1)</f>
        <v>3</v>
      </c>
      <c r="X1278" s="2">
        <f>MATCH(Auto_Sales_data___Copy[[#This Row],[Total_Orders_Per_Customer]],Table2[F-Cutoff],1)</f>
        <v>4</v>
      </c>
      <c r="Y1278" s="2">
        <f>MATCH(Auto_Sales_data___Copy[[#This Row],[Total_Sales_Per_Customer]],Table2[M-Cutoff],1)</f>
        <v>4</v>
      </c>
      <c r="Z1278" s="2" t="str">
        <f>Auto_Sales_data___Copy[[#This Row],[R-Score(1-5)]]&amp;Auto_Sales_data___Copy[[#This Row],[F-Score(1-5)]]&amp;Auto_Sales_data___Copy[[#This Row],[M-Score(1-5)]]</f>
        <v>344</v>
      </c>
      <c r="AA1278" s="2" t="str" cm="1">
        <f t="array" ref="AA12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8" s="2" t="str">
        <f>VLOOKUP(Auto_Sales_data___Copy[[#This Row],[Segment Name]],Table3[],2,FALSE)</f>
        <v>Reward &amp; Upsell</v>
      </c>
    </row>
    <row r="1279" spans="1:28" x14ac:dyDescent="0.25">
      <c r="A1279">
        <v>10238</v>
      </c>
      <c r="B1279">
        <v>44</v>
      </c>
      <c r="C1279">
        <v>144.34</v>
      </c>
      <c r="D1279">
        <v>8</v>
      </c>
      <c r="E1279">
        <v>6350.96</v>
      </c>
      <c r="F1279" s="1">
        <v>43564</v>
      </c>
      <c r="G1279" s="2" t="s">
        <v>19</v>
      </c>
      <c r="H1279" s="2" t="s">
        <v>183</v>
      </c>
      <c r="I1279">
        <v>148</v>
      </c>
      <c r="J1279" s="2" t="s">
        <v>663</v>
      </c>
      <c r="K1279" s="2" t="s">
        <v>339</v>
      </c>
      <c r="L1279" s="2" t="s">
        <v>340</v>
      </c>
      <c r="M1279" s="2" t="s">
        <v>341</v>
      </c>
      <c r="N1279" s="2" t="s">
        <v>342</v>
      </c>
      <c r="O1279" s="2" t="s">
        <v>343</v>
      </c>
      <c r="P1279" s="2" t="s">
        <v>344</v>
      </c>
      <c r="Q1279" s="2" t="s">
        <v>345</v>
      </c>
      <c r="R1279" s="2" t="s">
        <v>346</v>
      </c>
      <c r="S1279" s="2" t="s">
        <v>46</v>
      </c>
      <c r="T1279">
        <v>1747</v>
      </c>
      <c r="U1279">
        <f>VLOOKUP(Auto_Sales_data___Copy[[#This Row],[CUSTOMER_NAME]],$AF$2:$AH$90,2,FALSE)</f>
        <v>36</v>
      </c>
      <c r="V1279">
        <f>VLOOKUP(Auto_Sales_data___Copy[[#This Row],[CUSTOMER_NAME]],$AF$2:$AH$90,3,FALSE)</f>
        <v>145041.60000000001</v>
      </c>
      <c r="W1279" s="2">
        <f>6-MATCH(Auto_Sales_data___Copy[[#This Row],[DAYS_SINCE_LAST_ORDER]],Table2[R-Cutoff],1)</f>
        <v>3</v>
      </c>
      <c r="X1279" s="2">
        <f>MATCH(Auto_Sales_data___Copy[[#This Row],[Total_Orders_Per_Customer]],Table2[F-Cutoff],1)</f>
        <v>4</v>
      </c>
      <c r="Y1279" s="2">
        <f>MATCH(Auto_Sales_data___Copy[[#This Row],[Total_Sales_Per_Customer]],Table2[M-Cutoff],1)</f>
        <v>4</v>
      </c>
      <c r="Z1279" s="2" t="str">
        <f>Auto_Sales_data___Copy[[#This Row],[R-Score(1-5)]]&amp;Auto_Sales_data___Copy[[#This Row],[F-Score(1-5)]]&amp;Auto_Sales_data___Copy[[#This Row],[M-Score(1-5)]]</f>
        <v>344</v>
      </c>
      <c r="AA1279" s="2" t="str" cm="1">
        <f t="array" ref="AA12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9" s="2" t="str">
        <f>VLOOKUP(Auto_Sales_data___Copy[[#This Row],[Segment Name]],Table3[],2,FALSE)</f>
        <v>Reward &amp; Upsell</v>
      </c>
    </row>
    <row r="1280" spans="1:28" x14ac:dyDescent="0.25">
      <c r="A1280">
        <v>10247</v>
      </c>
      <c r="B1280">
        <v>48</v>
      </c>
      <c r="C1280">
        <v>140.75</v>
      </c>
      <c r="D1280">
        <v>5</v>
      </c>
      <c r="E1280">
        <v>6756</v>
      </c>
      <c r="F1280" s="1">
        <v>43590</v>
      </c>
      <c r="G1280" s="2" t="s">
        <v>19</v>
      </c>
      <c r="H1280" s="2" t="s">
        <v>183</v>
      </c>
      <c r="I1280">
        <v>143</v>
      </c>
      <c r="J1280" s="2" t="s">
        <v>658</v>
      </c>
      <c r="K1280" s="2" t="s">
        <v>498</v>
      </c>
      <c r="L1280" s="2" t="s">
        <v>499</v>
      </c>
      <c r="M1280" s="2" t="s">
        <v>500</v>
      </c>
      <c r="N1280" s="2" t="s">
        <v>501</v>
      </c>
      <c r="O1280" s="2" t="s">
        <v>502</v>
      </c>
      <c r="P1280" s="2" t="s">
        <v>127</v>
      </c>
      <c r="Q1280" s="2" t="s">
        <v>503</v>
      </c>
      <c r="R1280" s="2" t="s">
        <v>504</v>
      </c>
      <c r="S1280" s="2" t="s">
        <v>46</v>
      </c>
      <c r="T1280">
        <v>1598</v>
      </c>
      <c r="U1280">
        <f>VLOOKUP(Auto_Sales_data___Copy[[#This Row],[CUSTOMER_NAME]],$AF$2:$AH$90,2,FALSE)</f>
        <v>30</v>
      </c>
      <c r="V1280">
        <f>VLOOKUP(Auto_Sales_data___Copy[[#This Row],[CUSTOMER_NAME]],$AF$2:$AH$90,3,FALSE)</f>
        <v>113961.14999999997</v>
      </c>
      <c r="W1280" s="2">
        <f>6-MATCH(Auto_Sales_data___Copy[[#This Row],[DAYS_SINCE_LAST_ORDER]],Table2[R-Cutoff],1)</f>
        <v>3</v>
      </c>
      <c r="X1280" s="2">
        <f>MATCH(Auto_Sales_data___Copy[[#This Row],[Total_Orders_Per_Customer]],Table2[F-Cutoff],1)</f>
        <v>4</v>
      </c>
      <c r="Y1280" s="2">
        <f>MATCH(Auto_Sales_data___Copy[[#This Row],[Total_Sales_Per_Customer]],Table2[M-Cutoff],1)</f>
        <v>4</v>
      </c>
      <c r="Z1280" s="2" t="str">
        <f>Auto_Sales_data___Copy[[#This Row],[R-Score(1-5)]]&amp;Auto_Sales_data___Copy[[#This Row],[F-Score(1-5)]]&amp;Auto_Sales_data___Copy[[#This Row],[M-Score(1-5)]]</f>
        <v>344</v>
      </c>
      <c r="AA1280" s="2" t="str" cm="1">
        <f t="array" ref="AA12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0" s="2" t="str">
        <f>VLOOKUP(Auto_Sales_data___Copy[[#This Row],[Segment Name]],Table3[],2,FALSE)</f>
        <v>Reward &amp; Upsell</v>
      </c>
    </row>
    <row r="1281" spans="1:28" x14ac:dyDescent="0.25">
      <c r="A1281">
        <v>10248</v>
      </c>
      <c r="B1281">
        <v>42</v>
      </c>
      <c r="C1281">
        <v>75.48</v>
      </c>
      <c r="D1281">
        <v>11</v>
      </c>
      <c r="E1281">
        <v>3170.16</v>
      </c>
      <c r="F1281" s="1">
        <v>43592</v>
      </c>
      <c r="G1281" s="2" t="s">
        <v>358</v>
      </c>
      <c r="H1281" s="2" t="s">
        <v>589</v>
      </c>
      <c r="I1281">
        <v>87</v>
      </c>
      <c r="J1281" s="2" t="s">
        <v>660</v>
      </c>
      <c r="K1281" s="2" t="s">
        <v>22</v>
      </c>
      <c r="L1281" s="2" t="s">
        <v>23</v>
      </c>
      <c r="M1281" s="2" t="s">
        <v>24</v>
      </c>
      <c r="N1281" s="2" t="s">
        <v>25</v>
      </c>
      <c r="O1281" s="2" t="s">
        <v>26</v>
      </c>
      <c r="P1281" s="2" t="s">
        <v>27</v>
      </c>
      <c r="Q1281" s="2" t="s">
        <v>28</v>
      </c>
      <c r="R1281" s="2" t="s">
        <v>29</v>
      </c>
      <c r="S1281" s="2" t="s">
        <v>46</v>
      </c>
      <c r="T1281">
        <v>1643</v>
      </c>
      <c r="U1281">
        <f>VLOOKUP(Auto_Sales_data___Copy[[#This Row],[CUSTOMER_NAME]],$AF$2:$AH$90,2,FALSE)</f>
        <v>49</v>
      </c>
      <c r="V1281">
        <f>VLOOKUP(Auto_Sales_data___Copy[[#This Row],[CUSTOMER_NAME]],$AF$2:$AH$90,3,FALSE)</f>
        <v>164069.43999999997</v>
      </c>
      <c r="W1281" s="2">
        <f>6-MATCH(Auto_Sales_data___Copy[[#This Row],[DAYS_SINCE_LAST_ORDER]],Table2[R-Cutoff],1)</f>
        <v>3</v>
      </c>
      <c r="X1281" s="2">
        <f>MATCH(Auto_Sales_data___Copy[[#This Row],[Total_Orders_Per_Customer]],Table2[F-Cutoff],1)</f>
        <v>4</v>
      </c>
      <c r="Y1281" s="2">
        <f>MATCH(Auto_Sales_data___Copy[[#This Row],[Total_Sales_Per_Customer]],Table2[M-Cutoff],1)</f>
        <v>4</v>
      </c>
      <c r="Z1281" s="2" t="str">
        <f>Auto_Sales_data___Copy[[#This Row],[R-Score(1-5)]]&amp;Auto_Sales_data___Copy[[#This Row],[F-Score(1-5)]]&amp;Auto_Sales_data___Copy[[#This Row],[M-Score(1-5)]]</f>
        <v>344</v>
      </c>
      <c r="AA1281" s="2" t="str" cm="1">
        <f t="array" ref="AA12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1" s="2" t="str">
        <f>VLOOKUP(Auto_Sales_data___Copy[[#This Row],[Segment Name]],Table3[],2,FALSE)</f>
        <v>Reward &amp; Upsell</v>
      </c>
    </row>
    <row r="1282" spans="1:28" x14ac:dyDescent="0.25">
      <c r="A1282">
        <v>10248</v>
      </c>
      <c r="B1282">
        <v>48</v>
      </c>
      <c r="C1282">
        <v>145.01</v>
      </c>
      <c r="D1282">
        <v>10</v>
      </c>
      <c r="E1282">
        <v>6960.48</v>
      </c>
      <c r="F1282" s="1">
        <v>43592</v>
      </c>
      <c r="G1282" s="2" t="s">
        <v>358</v>
      </c>
      <c r="H1282" s="2" t="s">
        <v>642</v>
      </c>
      <c r="I1282">
        <v>122</v>
      </c>
      <c r="J1282" s="2" t="s">
        <v>672</v>
      </c>
      <c r="K1282" s="2" t="s">
        <v>22</v>
      </c>
      <c r="L1282" s="2" t="s">
        <v>23</v>
      </c>
      <c r="M1282" s="2" t="s">
        <v>24</v>
      </c>
      <c r="N1282" s="2" t="s">
        <v>25</v>
      </c>
      <c r="O1282" s="2" t="s">
        <v>26</v>
      </c>
      <c r="P1282" s="2" t="s">
        <v>27</v>
      </c>
      <c r="Q1282" s="2" t="s">
        <v>28</v>
      </c>
      <c r="R1282" s="2" t="s">
        <v>29</v>
      </c>
      <c r="S1282" s="2" t="s">
        <v>46</v>
      </c>
      <c r="T1282">
        <v>1938</v>
      </c>
      <c r="U1282">
        <f>VLOOKUP(Auto_Sales_data___Copy[[#This Row],[CUSTOMER_NAME]],$AF$2:$AH$90,2,FALSE)</f>
        <v>49</v>
      </c>
      <c r="V1282">
        <f>VLOOKUP(Auto_Sales_data___Copy[[#This Row],[CUSTOMER_NAME]],$AF$2:$AH$90,3,FALSE)</f>
        <v>164069.43999999997</v>
      </c>
      <c r="W1282" s="2">
        <f>6-MATCH(Auto_Sales_data___Copy[[#This Row],[DAYS_SINCE_LAST_ORDER]],Table2[R-Cutoff],1)</f>
        <v>3</v>
      </c>
      <c r="X1282" s="2">
        <f>MATCH(Auto_Sales_data___Copy[[#This Row],[Total_Orders_Per_Customer]],Table2[F-Cutoff],1)</f>
        <v>4</v>
      </c>
      <c r="Y1282" s="2">
        <f>MATCH(Auto_Sales_data___Copy[[#This Row],[Total_Sales_Per_Customer]],Table2[M-Cutoff],1)</f>
        <v>4</v>
      </c>
      <c r="Z1282" s="2" t="str">
        <f>Auto_Sales_data___Copy[[#This Row],[R-Score(1-5)]]&amp;Auto_Sales_data___Copy[[#This Row],[F-Score(1-5)]]&amp;Auto_Sales_data___Copy[[#This Row],[M-Score(1-5)]]</f>
        <v>344</v>
      </c>
      <c r="AA1282" s="2" t="str" cm="1">
        <f t="array" ref="AA12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2" s="2" t="str">
        <f>VLOOKUP(Auto_Sales_data___Copy[[#This Row],[Segment Name]],Table3[],2,FALSE)</f>
        <v>Reward &amp; Upsell</v>
      </c>
    </row>
    <row r="1283" spans="1:28" x14ac:dyDescent="0.25">
      <c r="A1283">
        <v>10250</v>
      </c>
      <c r="B1283">
        <v>31</v>
      </c>
      <c r="C1283">
        <v>88.63</v>
      </c>
      <c r="D1283">
        <v>6</v>
      </c>
      <c r="E1283">
        <v>2747.53</v>
      </c>
      <c r="F1283" s="1">
        <v>43596</v>
      </c>
      <c r="G1283" s="2" t="s">
        <v>19</v>
      </c>
      <c r="H1283" s="2" t="s">
        <v>607</v>
      </c>
      <c r="I1283">
        <v>109</v>
      </c>
      <c r="J1283" s="2" t="s">
        <v>669</v>
      </c>
      <c r="K1283" s="2" t="s">
        <v>418</v>
      </c>
      <c r="L1283" s="2" t="s">
        <v>419</v>
      </c>
      <c r="M1283" s="2" t="s">
        <v>420</v>
      </c>
      <c r="N1283" s="2" t="s">
        <v>421</v>
      </c>
      <c r="O1283" s="2" t="s">
        <v>58</v>
      </c>
      <c r="P1283" s="2" t="s">
        <v>27</v>
      </c>
      <c r="Q1283" s="2" t="s">
        <v>93</v>
      </c>
      <c r="R1283" s="2" t="s">
        <v>422</v>
      </c>
      <c r="S1283" s="2" t="s">
        <v>30</v>
      </c>
      <c r="T1283">
        <v>1858</v>
      </c>
      <c r="U1283">
        <f>VLOOKUP(Auto_Sales_data___Copy[[#This Row],[CUSTOMER_NAME]],$AF$2:$AH$90,2,FALSE)</f>
        <v>40</v>
      </c>
      <c r="V1283">
        <f>VLOOKUP(Auto_Sales_data___Copy[[#This Row],[CUSTOMER_NAME]],$AF$2:$AH$90,3,FALSE)</f>
        <v>160010.27000000005</v>
      </c>
      <c r="W1283" s="2">
        <f>6-MATCH(Auto_Sales_data___Copy[[#This Row],[DAYS_SINCE_LAST_ORDER]],Table2[R-Cutoff],1)</f>
        <v>3</v>
      </c>
      <c r="X1283" s="2">
        <f>MATCH(Auto_Sales_data___Copy[[#This Row],[Total_Orders_Per_Customer]],Table2[F-Cutoff],1)</f>
        <v>4</v>
      </c>
      <c r="Y1283" s="2">
        <f>MATCH(Auto_Sales_data___Copy[[#This Row],[Total_Sales_Per_Customer]],Table2[M-Cutoff],1)</f>
        <v>4</v>
      </c>
      <c r="Z1283" s="2" t="str">
        <f>Auto_Sales_data___Copy[[#This Row],[R-Score(1-5)]]&amp;Auto_Sales_data___Copy[[#This Row],[F-Score(1-5)]]&amp;Auto_Sales_data___Copy[[#This Row],[M-Score(1-5)]]</f>
        <v>344</v>
      </c>
      <c r="AA1283" s="2" t="str" cm="1">
        <f t="array" ref="AA12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3" s="2" t="str">
        <f>VLOOKUP(Auto_Sales_data___Copy[[#This Row],[Segment Name]],Table3[],2,FALSE)</f>
        <v>Reward &amp; Upsell</v>
      </c>
    </row>
    <row r="1284" spans="1:28" x14ac:dyDescent="0.25">
      <c r="A1284">
        <v>10250</v>
      </c>
      <c r="B1284">
        <v>32</v>
      </c>
      <c r="C1284">
        <v>87.6</v>
      </c>
      <c r="D1284">
        <v>1</v>
      </c>
      <c r="E1284">
        <v>2803.2</v>
      </c>
      <c r="F1284" s="1">
        <v>43596</v>
      </c>
      <c r="G1284" s="2" t="s">
        <v>19</v>
      </c>
      <c r="H1284" s="2" t="s">
        <v>20</v>
      </c>
      <c r="I1284">
        <v>76</v>
      </c>
      <c r="J1284" s="2" t="s">
        <v>671</v>
      </c>
      <c r="K1284" s="2" t="s">
        <v>418</v>
      </c>
      <c r="L1284" s="2" t="s">
        <v>419</v>
      </c>
      <c r="M1284" s="2" t="s">
        <v>420</v>
      </c>
      <c r="N1284" s="2" t="s">
        <v>421</v>
      </c>
      <c r="O1284" s="2" t="s">
        <v>58</v>
      </c>
      <c r="P1284" s="2" t="s">
        <v>27</v>
      </c>
      <c r="Q1284" s="2" t="s">
        <v>93</v>
      </c>
      <c r="R1284" s="2" t="s">
        <v>422</v>
      </c>
      <c r="S1284" s="2" t="s">
        <v>30</v>
      </c>
      <c r="T1284">
        <v>1908</v>
      </c>
      <c r="U1284">
        <f>VLOOKUP(Auto_Sales_data___Copy[[#This Row],[CUSTOMER_NAME]],$AF$2:$AH$90,2,FALSE)</f>
        <v>40</v>
      </c>
      <c r="V1284">
        <f>VLOOKUP(Auto_Sales_data___Copy[[#This Row],[CUSTOMER_NAME]],$AF$2:$AH$90,3,FALSE)</f>
        <v>160010.27000000005</v>
      </c>
      <c r="W1284" s="2">
        <f>6-MATCH(Auto_Sales_data___Copy[[#This Row],[DAYS_SINCE_LAST_ORDER]],Table2[R-Cutoff],1)</f>
        <v>3</v>
      </c>
      <c r="X1284" s="2">
        <f>MATCH(Auto_Sales_data___Copy[[#This Row],[Total_Orders_Per_Customer]],Table2[F-Cutoff],1)</f>
        <v>4</v>
      </c>
      <c r="Y1284" s="2">
        <f>MATCH(Auto_Sales_data___Copy[[#This Row],[Total_Sales_Per_Customer]],Table2[M-Cutoff],1)</f>
        <v>4</v>
      </c>
      <c r="Z1284" s="2" t="str">
        <f>Auto_Sales_data___Copy[[#This Row],[R-Score(1-5)]]&amp;Auto_Sales_data___Copy[[#This Row],[F-Score(1-5)]]&amp;Auto_Sales_data___Copy[[#This Row],[M-Score(1-5)]]</f>
        <v>344</v>
      </c>
      <c r="AA1284" s="2" t="str" cm="1">
        <f t="array" ref="AA12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4" s="2" t="str">
        <f>VLOOKUP(Auto_Sales_data___Copy[[#This Row],[Segment Name]],Table3[],2,FALSE)</f>
        <v>Reward &amp; Upsell</v>
      </c>
    </row>
    <row r="1285" spans="1:28" x14ac:dyDescent="0.25">
      <c r="A1285">
        <v>10253</v>
      </c>
      <c r="B1285">
        <v>31</v>
      </c>
      <c r="C1285">
        <v>129.97999999999999</v>
      </c>
      <c r="D1285">
        <v>3</v>
      </c>
      <c r="E1285">
        <v>4029.38</v>
      </c>
      <c r="F1285" s="1">
        <v>43617</v>
      </c>
      <c r="G1285" s="2" t="s">
        <v>358</v>
      </c>
      <c r="H1285" s="2" t="s">
        <v>183</v>
      </c>
      <c r="I1285">
        <v>141</v>
      </c>
      <c r="J1285" s="2" t="s">
        <v>655</v>
      </c>
      <c r="K1285" s="2" t="s">
        <v>166</v>
      </c>
      <c r="L1285" s="2" t="s">
        <v>167</v>
      </c>
      <c r="M1285" s="2" t="s">
        <v>168</v>
      </c>
      <c r="N1285" s="2" t="s">
        <v>169</v>
      </c>
      <c r="O1285" s="2" t="s">
        <v>170</v>
      </c>
      <c r="P1285" s="2" t="s">
        <v>171</v>
      </c>
      <c r="Q1285" s="2" t="s">
        <v>172</v>
      </c>
      <c r="R1285" s="2" t="s">
        <v>173</v>
      </c>
      <c r="S1285" s="2" t="s">
        <v>46</v>
      </c>
      <c r="T1285">
        <v>1497</v>
      </c>
      <c r="U1285">
        <f>VLOOKUP(Auto_Sales_data___Copy[[#This Row],[CUSTOMER_NAME]],$AF$2:$AH$90,2,FALSE)</f>
        <v>29</v>
      </c>
      <c r="V1285">
        <f>VLOOKUP(Auto_Sales_data___Copy[[#This Row],[CUSTOMER_NAME]],$AF$2:$AH$90,3,FALSE)</f>
        <v>118008.26999999999</v>
      </c>
      <c r="W1285" s="2">
        <f>6-MATCH(Auto_Sales_data___Copy[[#This Row],[DAYS_SINCE_LAST_ORDER]],Table2[R-Cutoff],1)</f>
        <v>3</v>
      </c>
      <c r="X1285" s="2">
        <f>MATCH(Auto_Sales_data___Copy[[#This Row],[Total_Orders_Per_Customer]],Table2[F-Cutoff],1)</f>
        <v>4</v>
      </c>
      <c r="Y1285" s="2">
        <f>MATCH(Auto_Sales_data___Copy[[#This Row],[Total_Sales_Per_Customer]],Table2[M-Cutoff],1)</f>
        <v>4</v>
      </c>
      <c r="Z1285" s="2" t="str">
        <f>Auto_Sales_data___Copy[[#This Row],[R-Score(1-5)]]&amp;Auto_Sales_data___Copy[[#This Row],[F-Score(1-5)]]&amp;Auto_Sales_data___Copy[[#This Row],[M-Score(1-5)]]</f>
        <v>344</v>
      </c>
      <c r="AA1285" s="2" t="str" cm="1">
        <f t="array" ref="AA12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5" s="2" t="str">
        <f>VLOOKUP(Auto_Sales_data___Copy[[#This Row],[Segment Name]],Table3[],2,FALSE)</f>
        <v>Reward &amp; Upsell</v>
      </c>
    </row>
    <row r="1286" spans="1:28" x14ac:dyDescent="0.25">
      <c r="A1286">
        <v>10259</v>
      </c>
      <c r="B1286">
        <v>41</v>
      </c>
      <c r="C1286">
        <v>113.82</v>
      </c>
      <c r="D1286">
        <v>13</v>
      </c>
      <c r="E1286">
        <v>4666.62</v>
      </c>
      <c r="F1286" s="1">
        <v>43631</v>
      </c>
      <c r="G1286" s="2" t="s">
        <v>19</v>
      </c>
      <c r="H1286" s="2" t="s">
        <v>537</v>
      </c>
      <c r="I1286">
        <v>121</v>
      </c>
      <c r="J1286" s="2" t="s">
        <v>661</v>
      </c>
      <c r="K1286" s="2" t="s">
        <v>443</v>
      </c>
      <c r="L1286" s="2" t="s">
        <v>444</v>
      </c>
      <c r="M1286" s="2" t="s">
        <v>445</v>
      </c>
      <c r="N1286" s="2" t="s">
        <v>202</v>
      </c>
      <c r="O1286" s="2" t="s">
        <v>446</v>
      </c>
      <c r="P1286" s="2" t="s">
        <v>202</v>
      </c>
      <c r="Q1286" s="2" t="s">
        <v>447</v>
      </c>
      <c r="R1286" s="2" t="s">
        <v>448</v>
      </c>
      <c r="S1286" s="2" t="s">
        <v>46</v>
      </c>
      <c r="T1286">
        <v>1631</v>
      </c>
      <c r="U1286">
        <f>VLOOKUP(Auto_Sales_data___Copy[[#This Row],[CUSTOMER_NAME]],$AF$2:$AH$90,2,FALSE)</f>
        <v>36</v>
      </c>
      <c r="V1286">
        <f>VLOOKUP(Auto_Sales_data___Copy[[#This Row],[CUSTOMER_NAME]],$AF$2:$AH$90,3,FALSE)</f>
        <v>115498.72999999998</v>
      </c>
      <c r="W1286" s="2">
        <f>6-MATCH(Auto_Sales_data___Copy[[#This Row],[DAYS_SINCE_LAST_ORDER]],Table2[R-Cutoff],1)</f>
        <v>3</v>
      </c>
      <c r="X1286" s="2">
        <f>MATCH(Auto_Sales_data___Copy[[#This Row],[Total_Orders_Per_Customer]],Table2[F-Cutoff],1)</f>
        <v>4</v>
      </c>
      <c r="Y1286" s="2">
        <f>MATCH(Auto_Sales_data___Copy[[#This Row],[Total_Sales_Per_Customer]],Table2[M-Cutoff],1)</f>
        <v>4</v>
      </c>
      <c r="Z1286" s="2" t="str">
        <f>Auto_Sales_data___Copy[[#This Row],[R-Score(1-5)]]&amp;Auto_Sales_data___Copy[[#This Row],[F-Score(1-5)]]&amp;Auto_Sales_data___Copy[[#This Row],[M-Score(1-5)]]</f>
        <v>344</v>
      </c>
      <c r="AA1286" s="2" t="str" cm="1">
        <f t="array" ref="AA12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6" s="2" t="str">
        <f>VLOOKUP(Auto_Sales_data___Copy[[#This Row],[Segment Name]],Table3[],2,FALSE)</f>
        <v>Reward &amp; Upsell</v>
      </c>
    </row>
    <row r="1287" spans="1:28" x14ac:dyDescent="0.25">
      <c r="A1287">
        <v>10258</v>
      </c>
      <c r="B1287">
        <v>21</v>
      </c>
      <c r="C1287">
        <v>59.87</v>
      </c>
      <c r="D1287">
        <v>4</v>
      </c>
      <c r="E1287">
        <v>1257.27</v>
      </c>
      <c r="F1287" s="1">
        <v>43631</v>
      </c>
      <c r="G1287" s="2" t="s">
        <v>19</v>
      </c>
      <c r="H1287" s="2" t="s">
        <v>589</v>
      </c>
      <c r="I1287">
        <v>50</v>
      </c>
      <c r="J1287" s="2" t="s">
        <v>662</v>
      </c>
      <c r="K1287" s="2" t="s">
        <v>256</v>
      </c>
      <c r="L1287" s="2" t="s">
        <v>257</v>
      </c>
      <c r="M1287" s="2" t="s">
        <v>258</v>
      </c>
      <c r="N1287" s="2" t="s">
        <v>259</v>
      </c>
      <c r="O1287" s="2" t="s">
        <v>260</v>
      </c>
      <c r="P1287" s="2" t="s">
        <v>261</v>
      </c>
      <c r="Q1287" s="2" t="s">
        <v>262</v>
      </c>
      <c r="R1287" s="2" t="s">
        <v>263</v>
      </c>
      <c r="S1287" s="2" t="s">
        <v>30</v>
      </c>
      <c r="T1287">
        <v>1658</v>
      </c>
      <c r="U1287">
        <f>VLOOKUP(Auto_Sales_data___Copy[[#This Row],[CUSTOMER_NAME]],$AF$2:$AH$90,2,FALSE)</f>
        <v>32</v>
      </c>
      <c r="V1287">
        <f>VLOOKUP(Auto_Sales_data___Copy[[#This Row],[CUSTOMER_NAME]],$AF$2:$AH$90,3,FALSE)</f>
        <v>120562.74000000002</v>
      </c>
      <c r="W1287" s="2">
        <f>6-MATCH(Auto_Sales_data___Copy[[#This Row],[DAYS_SINCE_LAST_ORDER]],Table2[R-Cutoff],1)</f>
        <v>3</v>
      </c>
      <c r="X1287" s="2">
        <f>MATCH(Auto_Sales_data___Copy[[#This Row],[Total_Orders_Per_Customer]],Table2[F-Cutoff],1)</f>
        <v>4</v>
      </c>
      <c r="Y1287" s="2">
        <f>MATCH(Auto_Sales_data___Copy[[#This Row],[Total_Sales_Per_Customer]],Table2[M-Cutoff],1)</f>
        <v>4</v>
      </c>
      <c r="Z1287" s="2" t="str">
        <f>Auto_Sales_data___Copy[[#This Row],[R-Score(1-5)]]&amp;Auto_Sales_data___Copy[[#This Row],[F-Score(1-5)]]&amp;Auto_Sales_data___Copy[[#This Row],[M-Score(1-5)]]</f>
        <v>344</v>
      </c>
      <c r="AA1287" s="2" t="str" cm="1">
        <f t="array" ref="AA12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7" s="2" t="str">
        <f>VLOOKUP(Auto_Sales_data___Copy[[#This Row],[Segment Name]],Table3[],2,FALSE)</f>
        <v>Reward &amp; Upsell</v>
      </c>
    </row>
    <row r="1288" spans="1:28" x14ac:dyDescent="0.25">
      <c r="A1288">
        <v>10259</v>
      </c>
      <c r="B1288">
        <v>28</v>
      </c>
      <c r="C1288">
        <v>46.82</v>
      </c>
      <c r="D1288">
        <v>1</v>
      </c>
      <c r="E1288">
        <v>1310.96</v>
      </c>
      <c r="F1288" s="1">
        <v>43631</v>
      </c>
      <c r="G1288" s="2" t="s">
        <v>19</v>
      </c>
      <c r="H1288" s="2" t="s">
        <v>183</v>
      </c>
      <c r="I1288">
        <v>57</v>
      </c>
      <c r="J1288" s="2" t="s">
        <v>666</v>
      </c>
      <c r="K1288" s="2" t="s">
        <v>443</v>
      </c>
      <c r="L1288" s="2" t="s">
        <v>444</v>
      </c>
      <c r="M1288" s="2" t="s">
        <v>445</v>
      </c>
      <c r="N1288" s="2" t="s">
        <v>202</v>
      </c>
      <c r="O1288" s="2" t="s">
        <v>446</v>
      </c>
      <c r="P1288" s="2" t="s">
        <v>202</v>
      </c>
      <c r="Q1288" s="2" t="s">
        <v>447</v>
      </c>
      <c r="R1288" s="2" t="s">
        <v>448</v>
      </c>
      <c r="S1288" s="2" t="s">
        <v>30</v>
      </c>
      <c r="T1288">
        <v>1752</v>
      </c>
      <c r="U1288">
        <f>VLOOKUP(Auto_Sales_data___Copy[[#This Row],[CUSTOMER_NAME]],$AF$2:$AH$90,2,FALSE)</f>
        <v>36</v>
      </c>
      <c r="V1288">
        <f>VLOOKUP(Auto_Sales_data___Copy[[#This Row],[CUSTOMER_NAME]],$AF$2:$AH$90,3,FALSE)</f>
        <v>115498.72999999998</v>
      </c>
      <c r="W1288" s="2">
        <f>6-MATCH(Auto_Sales_data___Copy[[#This Row],[DAYS_SINCE_LAST_ORDER]],Table2[R-Cutoff],1)</f>
        <v>3</v>
      </c>
      <c r="X1288" s="2">
        <f>MATCH(Auto_Sales_data___Copy[[#This Row],[Total_Orders_Per_Customer]],Table2[F-Cutoff],1)</f>
        <v>4</v>
      </c>
      <c r="Y1288" s="2">
        <f>MATCH(Auto_Sales_data___Copy[[#This Row],[Total_Sales_Per_Customer]],Table2[M-Cutoff],1)</f>
        <v>4</v>
      </c>
      <c r="Z1288" s="2" t="str">
        <f>Auto_Sales_data___Copy[[#This Row],[R-Score(1-5)]]&amp;Auto_Sales_data___Copy[[#This Row],[F-Score(1-5)]]&amp;Auto_Sales_data___Copy[[#This Row],[M-Score(1-5)]]</f>
        <v>344</v>
      </c>
      <c r="AA1288" s="2" t="str" cm="1">
        <f t="array" ref="AA12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8" s="2" t="str">
        <f>VLOOKUP(Auto_Sales_data___Copy[[#This Row],[Segment Name]],Table3[],2,FALSE)</f>
        <v>Reward &amp; Upsell</v>
      </c>
    </row>
    <row r="1289" spans="1:28" x14ac:dyDescent="0.25">
      <c r="A1289">
        <v>10259</v>
      </c>
      <c r="B1289">
        <v>47</v>
      </c>
      <c r="C1289">
        <v>112.46</v>
      </c>
      <c r="D1289">
        <v>9</v>
      </c>
      <c r="E1289">
        <v>5285.62</v>
      </c>
      <c r="F1289" s="1">
        <v>43631</v>
      </c>
      <c r="G1289" s="2" t="s">
        <v>19</v>
      </c>
      <c r="H1289" s="2" t="s">
        <v>537</v>
      </c>
      <c r="I1289">
        <v>127</v>
      </c>
      <c r="J1289" s="2" t="s">
        <v>674</v>
      </c>
      <c r="K1289" s="2" t="s">
        <v>443</v>
      </c>
      <c r="L1289" s="2" t="s">
        <v>444</v>
      </c>
      <c r="M1289" s="2" t="s">
        <v>445</v>
      </c>
      <c r="N1289" s="2" t="s">
        <v>202</v>
      </c>
      <c r="O1289" s="2" t="s">
        <v>446</v>
      </c>
      <c r="P1289" s="2" t="s">
        <v>202</v>
      </c>
      <c r="Q1289" s="2" t="s">
        <v>447</v>
      </c>
      <c r="R1289" s="2" t="s">
        <v>448</v>
      </c>
      <c r="S1289" s="2" t="s">
        <v>46</v>
      </c>
      <c r="T1289">
        <v>1949</v>
      </c>
      <c r="U1289">
        <f>VLOOKUP(Auto_Sales_data___Copy[[#This Row],[CUSTOMER_NAME]],$AF$2:$AH$90,2,FALSE)</f>
        <v>36</v>
      </c>
      <c r="V1289">
        <f>VLOOKUP(Auto_Sales_data___Copy[[#This Row],[CUSTOMER_NAME]],$AF$2:$AH$90,3,FALSE)</f>
        <v>115498.72999999998</v>
      </c>
      <c r="W1289" s="2">
        <f>6-MATCH(Auto_Sales_data___Copy[[#This Row],[DAYS_SINCE_LAST_ORDER]],Table2[R-Cutoff],1)</f>
        <v>3</v>
      </c>
      <c r="X1289" s="2">
        <f>MATCH(Auto_Sales_data___Copy[[#This Row],[Total_Orders_Per_Customer]],Table2[F-Cutoff],1)</f>
        <v>4</v>
      </c>
      <c r="Y1289" s="2">
        <f>MATCH(Auto_Sales_data___Copy[[#This Row],[Total_Sales_Per_Customer]],Table2[M-Cutoff],1)</f>
        <v>4</v>
      </c>
      <c r="Z1289" s="2" t="str">
        <f>Auto_Sales_data___Copy[[#This Row],[R-Score(1-5)]]&amp;Auto_Sales_data___Copy[[#This Row],[F-Score(1-5)]]&amp;Auto_Sales_data___Copy[[#This Row],[M-Score(1-5)]]</f>
        <v>344</v>
      </c>
      <c r="AA1289" s="2" t="str" cm="1">
        <f t="array" ref="AA12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9" s="2" t="str">
        <f>VLOOKUP(Auto_Sales_data___Copy[[#This Row],[Segment Name]],Table3[],2,FALSE)</f>
        <v>Reward &amp; Upsell</v>
      </c>
    </row>
    <row r="1290" spans="1:28" x14ac:dyDescent="0.25">
      <c r="A1290">
        <v>10259</v>
      </c>
      <c r="B1290">
        <v>31</v>
      </c>
      <c r="C1290">
        <v>33.24</v>
      </c>
      <c r="D1290">
        <v>5</v>
      </c>
      <c r="E1290">
        <v>1030.44</v>
      </c>
      <c r="F1290" s="1">
        <v>43631</v>
      </c>
      <c r="G1290" s="2" t="s">
        <v>19</v>
      </c>
      <c r="H1290" s="2" t="s">
        <v>183</v>
      </c>
      <c r="I1290">
        <v>35</v>
      </c>
      <c r="J1290" s="2" t="s">
        <v>677</v>
      </c>
      <c r="K1290" s="2" t="s">
        <v>443</v>
      </c>
      <c r="L1290" s="2" t="s">
        <v>444</v>
      </c>
      <c r="M1290" s="2" t="s">
        <v>445</v>
      </c>
      <c r="N1290" s="2" t="s">
        <v>202</v>
      </c>
      <c r="O1290" s="2" t="s">
        <v>446</v>
      </c>
      <c r="P1290" s="2" t="s">
        <v>202</v>
      </c>
      <c r="Q1290" s="2" t="s">
        <v>447</v>
      </c>
      <c r="R1290" s="2" t="s">
        <v>448</v>
      </c>
      <c r="S1290" s="2" t="s">
        <v>30</v>
      </c>
      <c r="T1290">
        <v>2023</v>
      </c>
      <c r="U1290">
        <f>VLOOKUP(Auto_Sales_data___Copy[[#This Row],[CUSTOMER_NAME]],$AF$2:$AH$90,2,FALSE)</f>
        <v>36</v>
      </c>
      <c r="V1290">
        <f>VLOOKUP(Auto_Sales_data___Copy[[#This Row],[CUSTOMER_NAME]],$AF$2:$AH$90,3,FALSE)</f>
        <v>115498.72999999998</v>
      </c>
      <c r="W1290" s="2">
        <f>6-MATCH(Auto_Sales_data___Copy[[#This Row],[DAYS_SINCE_LAST_ORDER]],Table2[R-Cutoff],1)</f>
        <v>3</v>
      </c>
      <c r="X1290" s="2">
        <f>MATCH(Auto_Sales_data___Copy[[#This Row],[Total_Orders_Per_Customer]],Table2[F-Cutoff],1)</f>
        <v>4</v>
      </c>
      <c r="Y1290" s="2">
        <f>MATCH(Auto_Sales_data___Copy[[#This Row],[Total_Sales_Per_Customer]],Table2[M-Cutoff],1)</f>
        <v>4</v>
      </c>
      <c r="Z1290" s="2" t="str">
        <f>Auto_Sales_data___Copy[[#This Row],[R-Score(1-5)]]&amp;Auto_Sales_data___Copy[[#This Row],[F-Score(1-5)]]&amp;Auto_Sales_data___Copy[[#This Row],[M-Score(1-5)]]</f>
        <v>344</v>
      </c>
      <c r="AA1290" s="2" t="str" cm="1">
        <f t="array" ref="AA12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0" s="2" t="str">
        <f>VLOOKUP(Auto_Sales_data___Copy[[#This Row],[Segment Name]],Table3[],2,FALSE)</f>
        <v>Reward &amp; Upsell</v>
      </c>
    </row>
    <row r="1291" spans="1:28" x14ac:dyDescent="0.25">
      <c r="A1291">
        <v>10266</v>
      </c>
      <c r="B1291">
        <v>28</v>
      </c>
      <c r="C1291">
        <v>48.3</v>
      </c>
      <c r="D1291">
        <v>1</v>
      </c>
      <c r="E1291">
        <v>1352.4</v>
      </c>
      <c r="F1291" s="1">
        <v>43652</v>
      </c>
      <c r="G1291" s="2" t="s">
        <v>19</v>
      </c>
      <c r="H1291" s="2" t="s">
        <v>183</v>
      </c>
      <c r="I1291">
        <v>50</v>
      </c>
      <c r="J1291" s="2" t="s">
        <v>668</v>
      </c>
      <c r="K1291" s="2" t="s">
        <v>480</v>
      </c>
      <c r="L1291" s="2" t="s">
        <v>481</v>
      </c>
      <c r="M1291" s="2" t="s">
        <v>482</v>
      </c>
      <c r="N1291" s="2" t="s">
        <v>483</v>
      </c>
      <c r="O1291" s="2" t="s">
        <v>484</v>
      </c>
      <c r="P1291" s="2" t="s">
        <v>269</v>
      </c>
      <c r="Q1291" s="2" t="s">
        <v>485</v>
      </c>
      <c r="R1291" s="2" t="s">
        <v>486</v>
      </c>
      <c r="S1291" s="2" t="s">
        <v>30</v>
      </c>
      <c r="T1291">
        <v>1782</v>
      </c>
      <c r="U1291">
        <f>VLOOKUP(Auto_Sales_data___Copy[[#This Row],[CUSTOMER_NAME]],$AF$2:$AH$90,2,FALSE)</f>
        <v>39</v>
      </c>
      <c r="V1291">
        <f>VLOOKUP(Auto_Sales_data___Copy[[#This Row],[CUSTOMER_NAME]],$AF$2:$AH$90,3,FALSE)</f>
        <v>142601.33000000002</v>
      </c>
      <c r="W1291" s="2">
        <f>6-MATCH(Auto_Sales_data___Copy[[#This Row],[DAYS_SINCE_LAST_ORDER]],Table2[R-Cutoff],1)</f>
        <v>3</v>
      </c>
      <c r="X1291" s="2">
        <f>MATCH(Auto_Sales_data___Copy[[#This Row],[Total_Orders_Per_Customer]],Table2[F-Cutoff],1)</f>
        <v>4</v>
      </c>
      <c r="Y1291" s="2">
        <f>MATCH(Auto_Sales_data___Copy[[#This Row],[Total_Sales_Per_Customer]],Table2[M-Cutoff],1)</f>
        <v>4</v>
      </c>
      <c r="Z1291" s="2" t="str">
        <f>Auto_Sales_data___Copy[[#This Row],[R-Score(1-5)]]&amp;Auto_Sales_data___Copy[[#This Row],[F-Score(1-5)]]&amp;Auto_Sales_data___Copy[[#This Row],[M-Score(1-5)]]</f>
        <v>344</v>
      </c>
      <c r="AA1291" s="2" t="str" cm="1">
        <f t="array" ref="AA12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1" s="2" t="str">
        <f>VLOOKUP(Auto_Sales_data___Copy[[#This Row],[Segment Name]],Table3[],2,FALSE)</f>
        <v>Reward &amp; Upsell</v>
      </c>
    </row>
    <row r="1292" spans="1:28" x14ac:dyDescent="0.25">
      <c r="A1292">
        <v>10267</v>
      </c>
      <c r="B1292">
        <v>36</v>
      </c>
      <c r="C1292">
        <v>75.55</v>
      </c>
      <c r="D1292">
        <v>1</v>
      </c>
      <c r="E1292">
        <v>2719.8</v>
      </c>
      <c r="F1292" s="1">
        <v>43653</v>
      </c>
      <c r="G1292" s="2" t="s">
        <v>19</v>
      </c>
      <c r="H1292" s="2" t="s">
        <v>183</v>
      </c>
      <c r="I1292">
        <v>71</v>
      </c>
      <c r="J1292" s="2" t="s">
        <v>664</v>
      </c>
      <c r="K1292" s="2" t="s">
        <v>506</v>
      </c>
      <c r="L1292" s="2" t="s">
        <v>507</v>
      </c>
      <c r="M1292" s="2" t="s">
        <v>508</v>
      </c>
      <c r="N1292" s="2" t="s">
        <v>25</v>
      </c>
      <c r="O1292" s="2" t="s">
        <v>26</v>
      </c>
      <c r="P1292" s="2" t="s">
        <v>27</v>
      </c>
      <c r="Q1292" s="2" t="s">
        <v>52</v>
      </c>
      <c r="R1292" s="2" t="s">
        <v>509</v>
      </c>
      <c r="S1292" s="2" t="s">
        <v>30</v>
      </c>
      <c r="T1292">
        <v>1683</v>
      </c>
      <c r="U1292">
        <f>VLOOKUP(Auto_Sales_data___Copy[[#This Row],[CUSTOMER_NAME]],$AF$2:$AH$90,2,FALSE)</f>
        <v>48</v>
      </c>
      <c r="V1292">
        <f>VLOOKUP(Auto_Sales_data___Copy[[#This Row],[CUSTOMER_NAME]],$AF$2:$AH$90,3,FALSE)</f>
        <v>197736.93999999997</v>
      </c>
      <c r="W1292" s="2">
        <f>6-MATCH(Auto_Sales_data___Copy[[#This Row],[DAYS_SINCE_LAST_ORDER]],Table2[R-Cutoff],1)</f>
        <v>3</v>
      </c>
      <c r="X1292" s="2">
        <f>MATCH(Auto_Sales_data___Copy[[#This Row],[Total_Orders_Per_Customer]],Table2[F-Cutoff],1)</f>
        <v>4</v>
      </c>
      <c r="Y1292" s="2">
        <f>MATCH(Auto_Sales_data___Copy[[#This Row],[Total_Sales_Per_Customer]],Table2[M-Cutoff],1)</f>
        <v>4</v>
      </c>
      <c r="Z1292" s="2" t="str">
        <f>Auto_Sales_data___Copy[[#This Row],[R-Score(1-5)]]&amp;Auto_Sales_data___Copy[[#This Row],[F-Score(1-5)]]&amp;Auto_Sales_data___Copy[[#This Row],[M-Score(1-5)]]</f>
        <v>344</v>
      </c>
      <c r="AA1292" s="2" t="str" cm="1">
        <f t="array" ref="AA12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2" s="2" t="str">
        <f>VLOOKUP(Auto_Sales_data___Copy[[#This Row],[Segment Name]],Table3[],2,FALSE)</f>
        <v>Reward &amp; Upsell</v>
      </c>
    </row>
    <row r="1293" spans="1:28" x14ac:dyDescent="0.25">
      <c r="A1293">
        <v>10267</v>
      </c>
      <c r="B1293">
        <v>40</v>
      </c>
      <c r="C1293">
        <v>80.099999999999994</v>
      </c>
      <c r="D1293">
        <v>5</v>
      </c>
      <c r="E1293">
        <v>3204</v>
      </c>
      <c r="F1293" s="1">
        <v>43653</v>
      </c>
      <c r="G1293" s="2" t="s">
        <v>19</v>
      </c>
      <c r="H1293" s="2" t="s">
        <v>183</v>
      </c>
      <c r="I1293">
        <v>73</v>
      </c>
      <c r="J1293" s="2" t="s">
        <v>665</v>
      </c>
      <c r="K1293" s="2" t="s">
        <v>506</v>
      </c>
      <c r="L1293" s="2" t="s">
        <v>507</v>
      </c>
      <c r="M1293" s="2" t="s">
        <v>508</v>
      </c>
      <c r="N1293" s="2" t="s">
        <v>25</v>
      </c>
      <c r="O1293" s="2" t="s">
        <v>26</v>
      </c>
      <c r="P1293" s="2" t="s">
        <v>27</v>
      </c>
      <c r="Q1293" s="2" t="s">
        <v>52</v>
      </c>
      <c r="R1293" s="2" t="s">
        <v>509</v>
      </c>
      <c r="S1293" s="2" t="s">
        <v>46</v>
      </c>
      <c r="T1293">
        <v>1705</v>
      </c>
      <c r="U1293">
        <f>VLOOKUP(Auto_Sales_data___Copy[[#This Row],[CUSTOMER_NAME]],$AF$2:$AH$90,2,FALSE)</f>
        <v>48</v>
      </c>
      <c r="V1293">
        <f>VLOOKUP(Auto_Sales_data___Copy[[#This Row],[CUSTOMER_NAME]],$AF$2:$AH$90,3,FALSE)</f>
        <v>197736.93999999997</v>
      </c>
      <c r="W1293" s="2">
        <f>6-MATCH(Auto_Sales_data___Copy[[#This Row],[DAYS_SINCE_LAST_ORDER]],Table2[R-Cutoff],1)</f>
        <v>3</v>
      </c>
      <c r="X1293" s="2">
        <f>MATCH(Auto_Sales_data___Copy[[#This Row],[Total_Orders_Per_Customer]],Table2[F-Cutoff],1)</f>
        <v>4</v>
      </c>
      <c r="Y1293" s="2">
        <f>MATCH(Auto_Sales_data___Copy[[#This Row],[Total_Sales_Per_Customer]],Table2[M-Cutoff],1)</f>
        <v>4</v>
      </c>
      <c r="Z1293" s="2" t="str">
        <f>Auto_Sales_data___Copy[[#This Row],[R-Score(1-5)]]&amp;Auto_Sales_data___Copy[[#This Row],[F-Score(1-5)]]&amp;Auto_Sales_data___Copy[[#This Row],[M-Score(1-5)]]</f>
        <v>344</v>
      </c>
      <c r="AA1293" s="2" t="str" cm="1">
        <f t="array" ref="AA12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3" s="2" t="str">
        <f>VLOOKUP(Auto_Sales_data___Copy[[#This Row],[Segment Name]],Table3[],2,FALSE)</f>
        <v>Reward &amp; Upsell</v>
      </c>
    </row>
    <row r="1294" spans="1:28" x14ac:dyDescent="0.25">
      <c r="A1294">
        <v>10267</v>
      </c>
      <c r="B1294">
        <v>38</v>
      </c>
      <c r="C1294">
        <v>87.24</v>
      </c>
      <c r="D1294">
        <v>3</v>
      </c>
      <c r="E1294">
        <v>3315.12</v>
      </c>
      <c r="F1294" s="1">
        <v>43653</v>
      </c>
      <c r="G1294" s="2" t="s">
        <v>19</v>
      </c>
      <c r="H1294" s="2" t="s">
        <v>183</v>
      </c>
      <c r="I1294">
        <v>90</v>
      </c>
      <c r="J1294" s="2" t="s">
        <v>676</v>
      </c>
      <c r="K1294" s="2" t="s">
        <v>506</v>
      </c>
      <c r="L1294" s="2" t="s">
        <v>507</v>
      </c>
      <c r="M1294" s="2" t="s">
        <v>508</v>
      </c>
      <c r="N1294" s="2" t="s">
        <v>25</v>
      </c>
      <c r="O1294" s="2" t="s">
        <v>26</v>
      </c>
      <c r="P1294" s="2" t="s">
        <v>27</v>
      </c>
      <c r="Q1294" s="2" t="s">
        <v>52</v>
      </c>
      <c r="R1294" s="2" t="s">
        <v>509</v>
      </c>
      <c r="S1294" s="2" t="s">
        <v>46</v>
      </c>
      <c r="T1294">
        <v>1976</v>
      </c>
      <c r="U1294">
        <f>VLOOKUP(Auto_Sales_data___Copy[[#This Row],[CUSTOMER_NAME]],$AF$2:$AH$90,2,FALSE)</f>
        <v>48</v>
      </c>
      <c r="V1294">
        <f>VLOOKUP(Auto_Sales_data___Copy[[#This Row],[CUSTOMER_NAME]],$AF$2:$AH$90,3,FALSE)</f>
        <v>197736.93999999997</v>
      </c>
      <c r="W1294" s="2">
        <f>6-MATCH(Auto_Sales_data___Copy[[#This Row],[DAYS_SINCE_LAST_ORDER]],Table2[R-Cutoff],1)</f>
        <v>3</v>
      </c>
      <c r="X1294" s="2">
        <f>MATCH(Auto_Sales_data___Copy[[#This Row],[Total_Orders_Per_Customer]],Table2[F-Cutoff],1)</f>
        <v>4</v>
      </c>
      <c r="Y1294" s="2">
        <f>MATCH(Auto_Sales_data___Copy[[#This Row],[Total_Sales_Per_Customer]],Table2[M-Cutoff],1)</f>
        <v>4</v>
      </c>
      <c r="Z1294" s="2" t="str">
        <f>Auto_Sales_data___Copy[[#This Row],[R-Score(1-5)]]&amp;Auto_Sales_data___Copy[[#This Row],[F-Score(1-5)]]&amp;Auto_Sales_data___Copy[[#This Row],[M-Score(1-5)]]</f>
        <v>344</v>
      </c>
      <c r="AA1294" s="2" t="str" cm="1">
        <f t="array" ref="AA12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4" s="2" t="str">
        <f>VLOOKUP(Auto_Sales_data___Copy[[#This Row],[Segment Name]],Table3[],2,FALSE)</f>
        <v>Reward &amp; Upsell</v>
      </c>
    </row>
    <row r="1295" spans="1:28" x14ac:dyDescent="0.25">
      <c r="A1295">
        <v>10270</v>
      </c>
      <c r="B1295">
        <v>38</v>
      </c>
      <c r="C1295">
        <v>141.66</v>
      </c>
      <c r="D1295">
        <v>3</v>
      </c>
      <c r="E1295">
        <v>5383.08</v>
      </c>
      <c r="F1295" s="1">
        <v>43665</v>
      </c>
      <c r="G1295" s="2" t="s">
        <v>19</v>
      </c>
      <c r="H1295" s="2" t="s">
        <v>537</v>
      </c>
      <c r="I1295">
        <v>121</v>
      </c>
      <c r="J1295" s="2" t="s">
        <v>661</v>
      </c>
      <c r="K1295" s="2" t="s">
        <v>152</v>
      </c>
      <c r="L1295" s="2" t="s">
        <v>153</v>
      </c>
      <c r="M1295" s="2" t="s">
        <v>154</v>
      </c>
      <c r="N1295" s="2" t="s">
        <v>155</v>
      </c>
      <c r="O1295" s="2" t="s">
        <v>156</v>
      </c>
      <c r="P1295" s="2" t="s">
        <v>87</v>
      </c>
      <c r="Q1295" s="2" t="s">
        <v>157</v>
      </c>
      <c r="R1295" s="2" t="s">
        <v>158</v>
      </c>
      <c r="S1295" s="2" t="s">
        <v>46</v>
      </c>
      <c r="T1295">
        <v>1598</v>
      </c>
      <c r="U1295">
        <f>VLOOKUP(Auto_Sales_data___Copy[[#This Row],[CUSTOMER_NAME]],$AF$2:$AH$90,2,FALSE)</f>
        <v>46</v>
      </c>
      <c r="V1295">
        <f>VLOOKUP(Auto_Sales_data___Copy[[#This Row],[CUSTOMER_NAME]],$AF$2:$AH$90,3,FALSE)</f>
        <v>151570.98000000001</v>
      </c>
      <c r="W1295" s="2">
        <f>6-MATCH(Auto_Sales_data___Copy[[#This Row],[DAYS_SINCE_LAST_ORDER]],Table2[R-Cutoff],1)</f>
        <v>3</v>
      </c>
      <c r="X1295" s="2">
        <f>MATCH(Auto_Sales_data___Copy[[#This Row],[Total_Orders_Per_Customer]],Table2[F-Cutoff],1)</f>
        <v>4</v>
      </c>
      <c r="Y1295" s="2">
        <f>MATCH(Auto_Sales_data___Copy[[#This Row],[Total_Sales_Per_Customer]],Table2[M-Cutoff],1)</f>
        <v>4</v>
      </c>
      <c r="Z1295" s="2" t="str">
        <f>Auto_Sales_data___Copy[[#This Row],[R-Score(1-5)]]&amp;Auto_Sales_data___Copy[[#This Row],[F-Score(1-5)]]&amp;Auto_Sales_data___Copy[[#This Row],[M-Score(1-5)]]</f>
        <v>344</v>
      </c>
      <c r="AA1295" s="2" t="str" cm="1">
        <f t="array" ref="AA12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5" s="2" t="str">
        <f>VLOOKUP(Auto_Sales_data___Copy[[#This Row],[Segment Name]],Table3[],2,FALSE)</f>
        <v>Reward &amp; Upsell</v>
      </c>
    </row>
    <row r="1296" spans="1:28" x14ac:dyDescent="0.25">
      <c r="A1296">
        <v>10270</v>
      </c>
      <c r="B1296">
        <v>44</v>
      </c>
      <c r="C1296">
        <v>58.36</v>
      </c>
      <c r="D1296">
        <v>7</v>
      </c>
      <c r="E1296">
        <v>2567.84</v>
      </c>
      <c r="F1296" s="1">
        <v>43665</v>
      </c>
      <c r="G1296" s="2" t="s">
        <v>19</v>
      </c>
      <c r="H1296" s="2" t="s">
        <v>589</v>
      </c>
      <c r="I1296">
        <v>50</v>
      </c>
      <c r="J1296" s="2" t="s">
        <v>662</v>
      </c>
      <c r="K1296" s="2" t="s">
        <v>152</v>
      </c>
      <c r="L1296" s="2" t="s">
        <v>153</v>
      </c>
      <c r="M1296" s="2" t="s">
        <v>154</v>
      </c>
      <c r="N1296" s="2" t="s">
        <v>155</v>
      </c>
      <c r="O1296" s="2" t="s">
        <v>156</v>
      </c>
      <c r="P1296" s="2" t="s">
        <v>87</v>
      </c>
      <c r="Q1296" s="2" t="s">
        <v>157</v>
      </c>
      <c r="R1296" s="2" t="s">
        <v>158</v>
      </c>
      <c r="S1296" s="2" t="s">
        <v>30</v>
      </c>
      <c r="T1296">
        <v>1625</v>
      </c>
      <c r="U1296">
        <f>VLOOKUP(Auto_Sales_data___Copy[[#This Row],[CUSTOMER_NAME]],$AF$2:$AH$90,2,FALSE)</f>
        <v>46</v>
      </c>
      <c r="V1296">
        <f>VLOOKUP(Auto_Sales_data___Copy[[#This Row],[CUSTOMER_NAME]],$AF$2:$AH$90,3,FALSE)</f>
        <v>151570.98000000001</v>
      </c>
      <c r="W1296" s="2">
        <f>6-MATCH(Auto_Sales_data___Copy[[#This Row],[DAYS_SINCE_LAST_ORDER]],Table2[R-Cutoff],1)</f>
        <v>3</v>
      </c>
      <c r="X1296" s="2">
        <f>MATCH(Auto_Sales_data___Copy[[#This Row],[Total_Orders_Per_Customer]],Table2[F-Cutoff],1)</f>
        <v>4</v>
      </c>
      <c r="Y1296" s="2">
        <f>MATCH(Auto_Sales_data___Copy[[#This Row],[Total_Sales_Per_Customer]],Table2[M-Cutoff],1)</f>
        <v>4</v>
      </c>
      <c r="Z1296" s="2" t="str">
        <f>Auto_Sales_data___Copy[[#This Row],[R-Score(1-5)]]&amp;Auto_Sales_data___Copy[[#This Row],[F-Score(1-5)]]&amp;Auto_Sales_data___Copy[[#This Row],[M-Score(1-5)]]</f>
        <v>344</v>
      </c>
      <c r="AA1296" s="2" t="str" cm="1">
        <f t="array" ref="AA12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6" s="2" t="str">
        <f>VLOOKUP(Auto_Sales_data___Copy[[#This Row],[Segment Name]],Table3[],2,FALSE)</f>
        <v>Reward &amp; Upsell</v>
      </c>
    </row>
    <row r="1297" spans="1:28" x14ac:dyDescent="0.25">
      <c r="A1297">
        <v>10272</v>
      </c>
      <c r="B1297">
        <v>25</v>
      </c>
      <c r="C1297">
        <v>149.36000000000001</v>
      </c>
      <c r="D1297">
        <v>5</v>
      </c>
      <c r="E1297">
        <v>3734</v>
      </c>
      <c r="F1297" s="1">
        <v>43666</v>
      </c>
      <c r="G1297" s="2" t="s">
        <v>19</v>
      </c>
      <c r="H1297" s="2" t="s">
        <v>183</v>
      </c>
      <c r="I1297">
        <v>143</v>
      </c>
      <c r="J1297" s="2" t="s">
        <v>658</v>
      </c>
      <c r="K1297" s="2" t="s">
        <v>137</v>
      </c>
      <c r="L1297" s="2" t="s">
        <v>138</v>
      </c>
      <c r="M1297" s="2" t="s">
        <v>139</v>
      </c>
      <c r="N1297" s="2" t="s">
        <v>140</v>
      </c>
      <c r="O1297" s="2" t="s">
        <v>141</v>
      </c>
      <c r="P1297" s="2" t="s">
        <v>27</v>
      </c>
      <c r="Q1297" s="2" t="s">
        <v>28</v>
      </c>
      <c r="R1297" s="2" t="s">
        <v>142</v>
      </c>
      <c r="S1297" s="2" t="s">
        <v>46</v>
      </c>
      <c r="T1297">
        <v>1523</v>
      </c>
      <c r="U1297">
        <f>VLOOKUP(Auto_Sales_data___Copy[[#This Row],[CUSTOMER_NAME]],$AF$2:$AH$90,2,FALSE)</f>
        <v>31</v>
      </c>
      <c r="V1297">
        <f>VLOOKUP(Auto_Sales_data___Copy[[#This Row],[CUSTOMER_NAME]],$AF$2:$AH$90,3,FALSE)</f>
        <v>122138.14</v>
      </c>
      <c r="W1297" s="2">
        <f>6-MATCH(Auto_Sales_data___Copy[[#This Row],[DAYS_SINCE_LAST_ORDER]],Table2[R-Cutoff],1)</f>
        <v>3</v>
      </c>
      <c r="X1297" s="2">
        <f>MATCH(Auto_Sales_data___Copy[[#This Row],[Total_Orders_Per_Customer]],Table2[F-Cutoff],1)</f>
        <v>4</v>
      </c>
      <c r="Y1297" s="2">
        <f>MATCH(Auto_Sales_data___Copy[[#This Row],[Total_Sales_Per_Customer]],Table2[M-Cutoff],1)</f>
        <v>4</v>
      </c>
      <c r="Z1297" s="2" t="str">
        <f>Auto_Sales_data___Copy[[#This Row],[R-Score(1-5)]]&amp;Auto_Sales_data___Copy[[#This Row],[F-Score(1-5)]]&amp;Auto_Sales_data___Copy[[#This Row],[M-Score(1-5)]]</f>
        <v>344</v>
      </c>
      <c r="AA1297" s="2" t="str" cm="1">
        <f t="array" ref="AA12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7" s="2" t="str">
        <f>VLOOKUP(Auto_Sales_data___Copy[[#This Row],[Segment Name]],Table3[],2,FALSE)</f>
        <v>Reward &amp; Upsell</v>
      </c>
    </row>
    <row r="1298" spans="1:28" x14ac:dyDescent="0.25">
      <c r="A1298">
        <v>10271</v>
      </c>
      <c r="B1298">
        <v>45</v>
      </c>
      <c r="C1298">
        <v>64.739999999999995</v>
      </c>
      <c r="D1298">
        <v>2</v>
      </c>
      <c r="E1298">
        <v>2913.3</v>
      </c>
      <c r="F1298" s="1">
        <v>43666</v>
      </c>
      <c r="G1298" s="2" t="s">
        <v>19</v>
      </c>
      <c r="H1298" s="2" t="s">
        <v>183</v>
      </c>
      <c r="I1298">
        <v>57</v>
      </c>
      <c r="J1298" s="2" t="s">
        <v>666</v>
      </c>
      <c r="K1298" s="2" t="s">
        <v>284</v>
      </c>
      <c r="L1298" s="2" t="s">
        <v>285</v>
      </c>
      <c r="M1298" s="2" t="s">
        <v>286</v>
      </c>
      <c r="N1298" s="2" t="s">
        <v>287</v>
      </c>
      <c r="O1298" s="2" t="s">
        <v>106</v>
      </c>
      <c r="P1298" s="2" t="s">
        <v>27</v>
      </c>
      <c r="Q1298" s="2" t="s">
        <v>288</v>
      </c>
      <c r="R1298" s="2" t="s">
        <v>289</v>
      </c>
      <c r="S1298" s="2" t="s">
        <v>30</v>
      </c>
      <c r="T1298">
        <v>1718</v>
      </c>
      <c r="U1298">
        <f>VLOOKUP(Auto_Sales_data___Copy[[#This Row],[CUSTOMER_NAME]],$AF$2:$AH$90,2,FALSE)</f>
        <v>180</v>
      </c>
      <c r="V1298">
        <f>VLOOKUP(Auto_Sales_data___Copy[[#This Row],[CUSTOMER_NAME]],$AF$2:$AH$90,3,FALSE)</f>
        <v>654858.06000000017</v>
      </c>
      <c r="W1298" s="2">
        <f>6-MATCH(Auto_Sales_data___Copy[[#This Row],[DAYS_SINCE_LAST_ORDER]],Table2[R-Cutoff],1)</f>
        <v>3</v>
      </c>
      <c r="X1298" s="2">
        <f>MATCH(Auto_Sales_data___Copy[[#This Row],[Total_Orders_Per_Customer]],Table2[F-Cutoff],1)</f>
        <v>4</v>
      </c>
      <c r="Y1298" s="2">
        <f>MATCH(Auto_Sales_data___Copy[[#This Row],[Total_Sales_Per_Customer]],Table2[M-Cutoff],1)</f>
        <v>4</v>
      </c>
      <c r="Z1298" s="2" t="str">
        <f>Auto_Sales_data___Copy[[#This Row],[R-Score(1-5)]]&amp;Auto_Sales_data___Copy[[#This Row],[F-Score(1-5)]]&amp;Auto_Sales_data___Copy[[#This Row],[M-Score(1-5)]]</f>
        <v>344</v>
      </c>
      <c r="AA1298" s="2" t="str" cm="1">
        <f t="array" ref="AA12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8" s="2" t="str">
        <f>VLOOKUP(Auto_Sales_data___Copy[[#This Row],[Segment Name]],Table3[],2,FALSE)</f>
        <v>Reward &amp; Upsell</v>
      </c>
    </row>
    <row r="1299" spans="1:28" x14ac:dyDescent="0.25">
      <c r="A1299">
        <v>10271</v>
      </c>
      <c r="B1299">
        <v>43</v>
      </c>
      <c r="C1299">
        <v>130.35</v>
      </c>
      <c r="D1299">
        <v>10</v>
      </c>
      <c r="E1299">
        <v>5605.05</v>
      </c>
      <c r="F1299" s="1">
        <v>43666</v>
      </c>
      <c r="G1299" s="2" t="s">
        <v>19</v>
      </c>
      <c r="H1299" s="2" t="s">
        <v>537</v>
      </c>
      <c r="I1299">
        <v>127</v>
      </c>
      <c r="J1299" s="2" t="s">
        <v>674</v>
      </c>
      <c r="K1299" s="2" t="s">
        <v>284</v>
      </c>
      <c r="L1299" s="2" t="s">
        <v>285</v>
      </c>
      <c r="M1299" s="2" t="s">
        <v>286</v>
      </c>
      <c r="N1299" s="2" t="s">
        <v>287</v>
      </c>
      <c r="O1299" s="2" t="s">
        <v>106</v>
      </c>
      <c r="P1299" s="2" t="s">
        <v>27</v>
      </c>
      <c r="Q1299" s="2" t="s">
        <v>288</v>
      </c>
      <c r="R1299" s="2" t="s">
        <v>289</v>
      </c>
      <c r="S1299" s="2" t="s">
        <v>46</v>
      </c>
      <c r="T1299">
        <v>1915</v>
      </c>
      <c r="U1299">
        <f>VLOOKUP(Auto_Sales_data___Copy[[#This Row],[CUSTOMER_NAME]],$AF$2:$AH$90,2,FALSE)</f>
        <v>180</v>
      </c>
      <c r="V1299">
        <f>VLOOKUP(Auto_Sales_data___Copy[[#This Row],[CUSTOMER_NAME]],$AF$2:$AH$90,3,FALSE)</f>
        <v>654858.06000000017</v>
      </c>
      <c r="W1299" s="2">
        <f>6-MATCH(Auto_Sales_data___Copy[[#This Row],[DAYS_SINCE_LAST_ORDER]],Table2[R-Cutoff],1)</f>
        <v>3</v>
      </c>
      <c r="X1299" s="2">
        <f>MATCH(Auto_Sales_data___Copy[[#This Row],[Total_Orders_Per_Customer]],Table2[F-Cutoff],1)</f>
        <v>4</v>
      </c>
      <c r="Y1299" s="2">
        <f>MATCH(Auto_Sales_data___Copy[[#This Row],[Total_Sales_Per_Customer]],Table2[M-Cutoff],1)</f>
        <v>4</v>
      </c>
      <c r="Z1299" s="2" t="str">
        <f>Auto_Sales_data___Copy[[#This Row],[R-Score(1-5)]]&amp;Auto_Sales_data___Copy[[#This Row],[F-Score(1-5)]]&amp;Auto_Sales_data___Copy[[#This Row],[M-Score(1-5)]]</f>
        <v>344</v>
      </c>
      <c r="AA1299" s="2" t="str" cm="1">
        <f t="array" ref="AA12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9" s="2" t="str">
        <f>VLOOKUP(Auto_Sales_data___Copy[[#This Row],[Segment Name]],Table3[],2,FALSE)</f>
        <v>Reward &amp; Upsell</v>
      </c>
    </row>
    <row r="1300" spans="1:28" x14ac:dyDescent="0.25">
      <c r="A1300">
        <v>10271</v>
      </c>
      <c r="B1300">
        <v>38</v>
      </c>
      <c r="C1300">
        <v>41.72</v>
      </c>
      <c r="D1300">
        <v>6</v>
      </c>
      <c r="E1300">
        <v>1585.36</v>
      </c>
      <c r="F1300" s="1">
        <v>43666</v>
      </c>
      <c r="G1300" s="2" t="s">
        <v>19</v>
      </c>
      <c r="H1300" s="2" t="s">
        <v>183</v>
      </c>
      <c r="I1300">
        <v>35</v>
      </c>
      <c r="J1300" s="2" t="s">
        <v>677</v>
      </c>
      <c r="K1300" s="2" t="s">
        <v>284</v>
      </c>
      <c r="L1300" s="2" t="s">
        <v>285</v>
      </c>
      <c r="M1300" s="2" t="s">
        <v>286</v>
      </c>
      <c r="N1300" s="2" t="s">
        <v>287</v>
      </c>
      <c r="O1300" s="2" t="s">
        <v>106</v>
      </c>
      <c r="P1300" s="2" t="s">
        <v>27</v>
      </c>
      <c r="Q1300" s="2" t="s">
        <v>288</v>
      </c>
      <c r="R1300" s="2" t="s">
        <v>289</v>
      </c>
      <c r="S1300" s="2" t="s">
        <v>30</v>
      </c>
      <c r="T1300">
        <v>1989</v>
      </c>
      <c r="U1300">
        <f>VLOOKUP(Auto_Sales_data___Copy[[#This Row],[CUSTOMER_NAME]],$AF$2:$AH$90,2,FALSE)</f>
        <v>180</v>
      </c>
      <c r="V1300">
        <f>VLOOKUP(Auto_Sales_data___Copy[[#This Row],[CUSTOMER_NAME]],$AF$2:$AH$90,3,FALSE)</f>
        <v>654858.06000000017</v>
      </c>
      <c r="W1300" s="2">
        <f>6-MATCH(Auto_Sales_data___Copy[[#This Row],[DAYS_SINCE_LAST_ORDER]],Table2[R-Cutoff],1)</f>
        <v>3</v>
      </c>
      <c r="X1300" s="2">
        <f>MATCH(Auto_Sales_data___Copy[[#This Row],[Total_Orders_Per_Customer]],Table2[F-Cutoff],1)</f>
        <v>4</v>
      </c>
      <c r="Y1300" s="2">
        <f>MATCH(Auto_Sales_data___Copy[[#This Row],[Total_Sales_Per_Customer]],Table2[M-Cutoff],1)</f>
        <v>4</v>
      </c>
      <c r="Z1300" s="2" t="str">
        <f>Auto_Sales_data___Copy[[#This Row],[R-Score(1-5)]]&amp;Auto_Sales_data___Copy[[#This Row],[F-Score(1-5)]]&amp;Auto_Sales_data___Copy[[#This Row],[M-Score(1-5)]]</f>
        <v>344</v>
      </c>
      <c r="AA1300" s="2" t="str" cm="1">
        <f t="array" ref="AA13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0" s="2" t="str">
        <f>VLOOKUP(Auto_Sales_data___Copy[[#This Row],[Segment Name]],Table3[],2,FALSE)</f>
        <v>Reward &amp; Upsell</v>
      </c>
    </row>
    <row r="1301" spans="1:28" x14ac:dyDescent="0.25">
      <c r="A1301">
        <v>10275</v>
      </c>
      <c r="B1301">
        <v>21</v>
      </c>
      <c r="C1301">
        <v>102.56</v>
      </c>
      <c r="D1301">
        <v>2</v>
      </c>
      <c r="E1301">
        <v>2153.7600000000002</v>
      </c>
      <c r="F1301" s="1">
        <v>43669</v>
      </c>
      <c r="G1301" s="2" t="s">
        <v>19</v>
      </c>
      <c r="H1301" s="2" t="s">
        <v>20</v>
      </c>
      <c r="I1301">
        <v>112</v>
      </c>
      <c r="J1301" s="2" t="s">
        <v>667</v>
      </c>
      <c r="K1301" s="2" t="s">
        <v>108</v>
      </c>
      <c r="L1301" s="2" t="s">
        <v>109</v>
      </c>
      <c r="M1301" s="2" t="s">
        <v>110</v>
      </c>
      <c r="N1301" s="2" t="s">
        <v>111</v>
      </c>
      <c r="O1301" s="2" t="s">
        <v>112</v>
      </c>
      <c r="P1301" s="2" t="s">
        <v>36</v>
      </c>
      <c r="Q1301" s="2" t="s">
        <v>113</v>
      </c>
      <c r="R1301" s="2" t="s">
        <v>114</v>
      </c>
      <c r="S1301" s="2" t="s">
        <v>30</v>
      </c>
      <c r="T1301">
        <v>1741</v>
      </c>
      <c r="U1301">
        <f>VLOOKUP(Auto_Sales_data___Copy[[#This Row],[CUSTOMER_NAME]],$AF$2:$AH$90,2,FALSE)</f>
        <v>53</v>
      </c>
      <c r="V1301">
        <f>VLOOKUP(Auto_Sales_data___Copy[[#This Row],[CUSTOMER_NAME]],$AF$2:$AH$90,3,FALSE)</f>
        <v>180124.90000000008</v>
      </c>
      <c r="W1301" s="2">
        <f>6-MATCH(Auto_Sales_data___Copy[[#This Row],[DAYS_SINCE_LAST_ORDER]],Table2[R-Cutoff],1)</f>
        <v>3</v>
      </c>
      <c r="X1301" s="2">
        <f>MATCH(Auto_Sales_data___Copy[[#This Row],[Total_Orders_Per_Customer]],Table2[F-Cutoff],1)</f>
        <v>4</v>
      </c>
      <c r="Y1301" s="2">
        <f>MATCH(Auto_Sales_data___Copy[[#This Row],[Total_Sales_Per_Customer]],Table2[M-Cutoff],1)</f>
        <v>4</v>
      </c>
      <c r="Z1301" s="2" t="str">
        <f>Auto_Sales_data___Copy[[#This Row],[R-Score(1-5)]]&amp;Auto_Sales_data___Copy[[#This Row],[F-Score(1-5)]]&amp;Auto_Sales_data___Copy[[#This Row],[M-Score(1-5)]]</f>
        <v>344</v>
      </c>
      <c r="AA1301" s="2" t="str" cm="1">
        <f t="array" ref="AA13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1" s="2" t="str">
        <f>VLOOKUP(Auto_Sales_data___Copy[[#This Row],[Segment Name]],Table3[],2,FALSE)</f>
        <v>Reward &amp; Upsell</v>
      </c>
    </row>
    <row r="1302" spans="1:28" x14ac:dyDescent="0.25">
      <c r="A1302">
        <v>10275</v>
      </c>
      <c r="B1302">
        <v>25</v>
      </c>
      <c r="C1302">
        <v>95.2</v>
      </c>
      <c r="D1302">
        <v>11</v>
      </c>
      <c r="E1302">
        <v>2380</v>
      </c>
      <c r="F1302" s="1">
        <v>43669</v>
      </c>
      <c r="G1302" s="2" t="s">
        <v>19</v>
      </c>
      <c r="H1302" s="2" t="s">
        <v>607</v>
      </c>
      <c r="I1302">
        <v>109</v>
      </c>
      <c r="J1302" s="2" t="s">
        <v>669</v>
      </c>
      <c r="K1302" s="2" t="s">
        <v>108</v>
      </c>
      <c r="L1302" s="2" t="s">
        <v>109</v>
      </c>
      <c r="M1302" s="2" t="s">
        <v>110</v>
      </c>
      <c r="N1302" s="2" t="s">
        <v>111</v>
      </c>
      <c r="O1302" s="2" t="s">
        <v>112</v>
      </c>
      <c r="P1302" s="2" t="s">
        <v>36</v>
      </c>
      <c r="Q1302" s="2" t="s">
        <v>113</v>
      </c>
      <c r="R1302" s="2" t="s">
        <v>114</v>
      </c>
      <c r="S1302" s="2" t="s">
        <v>30</v>
      </c>
      <c r="T1302">
        <v>1787</v>
      </c>
      <c r="U1302">
        <f>VLOOKUP(Auto_Sales_data___Copy[[#This Row],[CUSTOMER_NAME]],$AF$2:$AH$90,2,FALSE)</f>
        <v>53</v>
      </c>
      <c r="V1302">
        <f>VLOOKUP(Auto_Sales_data___Copy[[#This Row],[CUSTOMER_NAME]],$AF$2:$AH$90,3,FALSE)</f>
        <v>180124.90000000008</v>
      </c>
      <c r="W1302" s="2">
        <f>6-MATCH(Auto_Sales_data___Copy[[#This Row],[DAYS_SINCE_LAST_ORDER]],Table2[R-Cutoff],1)</f>
        <v>3</v>
      </c>
      <c r="X1302" s="2">
        <f>MATCH(Auto_Sales_data___Copy[[#This Row],[Total_Orders_Per_Customer]],Table2[F-Cutoff],1)</f>
        <v>4</v>
      </c>
      <c r="Y1302" s="2">
        <f>MATCH(Auto_Sales_data___Copy[[#This Row],[Total_Sales_Per_Customer]],Table2[M-Cutoff],1)</f>
        <v>4</v>
      </c>
      <c r="Z1302" s="2" t="str">
        <f>Auto_Sales_data___Copy[[#This Row],[R-Score(1-5)]]&amp;Auto_Sales_data___Copy[[#This Row],[F-Score(1-5)]]&amp;Auto_Sales_data___Copy[[#This Row],[M-Score(1-5)]]</f>
        <v>344</v>
      </c>
      <c r="AA1302" s="2" t="str" cm="1">
        <f t="array" ref="AA13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2" s="2" t="str">
        <f>VLOOKUP(Auto_Sales_data___Copy[[#This Row],[Segment Name]],Table3[],2,FALSE)</f>
        <v>Reward &amp; Upsell</v>
      </c>
    </row>
    <row r="1303" spans="1:28" x14ac:dyDescent="0.25">
      <c r="A1303">
        <v>10275</v>
      </c>
      <c r="B1303">
        <v>30</v>
      </c>
      <c r="C1303">
        <v>79.98</v>
      </c>
      <c r="D1303">
        <v>6</v>
      </c>
      <c r="E1303">
        <v>2399.4</v>
      </c>
      <c r="F1303" s="1">
        <v>43669</v>
      </c>
      <c r="G1303" s="2" t="s">
        <v>19</v>
      </c>
      <c r="H1303" s="2" t="s">
        <v>20</v>
      </c>
      <c r="I1303">
        <v>76</v>
      </c>
      <c r="J1303" s="2" t="s">
        <v>671</v>
      </c>
      <c r="K1303" s="2" t="s">
        <v>108</v>
      </c>
      <c r="L1303" s="2" t="s">
        <v>109</v>
      </c>
      <c r="M1303" s="2" t="s">
        <v>110</v>
      </c>
      <c r="N1303" s="2" t="s">
        <v>111</v>
      </c>
      <c r="O1303" s="2" t="s">
        <v>112</v>
      </c>
      <c r="P1303" s="2" t="s">
        <v>36</v>
      </c>
      <c r="Q1303" s="2" t="s">
        <v>113</v>
      </c>
      <c r="R1303" s="2" t="s">
        <v>114</v>
      </c>
      <c r="S1303" s="2" t="s">
        <v>30</v>
      </c>
      <c r="T1303">
        <v>1837</v>
      </c>
      <c r="U1303">
        <f>VLOOKUP(Auto_Sales_data___Copy[[#This Row],[CUSTOMER_NAME]],$AF$2:$AH$90,2,FALSE)</f>
        <v>53</v>
      </c>
      <c r="V1303">
        <f>VLOOKUP(Auto_Sales_data___Copy[[#This Row],[CUSTOMER_NAME]],$AF$2:$AH$90,3,FALSE)</f>
        <v>180124.90000000008</v>
      </c>
      <c r="W1303" s="2">
        <f>6-MATCH(Auto_Sales_data___Copy[[#This Row],[DAYS_SINCE_LAST_ORDER]],Table2[R-Cutoff],1)</f>
        <v>3</v>
      </c>
      <c r="X1303" s="2">
        <f>MATCH(Auto_Sales_data___Copy[[#This Row],[Total_Orders_Per_Customer]],Table2[F-Cutoff],1)</f>
        <v>4</v>
      </c>
      <c r="Y1303" s="2">
        <f>MATCH(Auto_Sales_data___Copy[[#This Row],[Total_Sales_Per_Customer]],Table2[M-Cutoff],1)</f>
        <v>4</v>
      </c>
      <c r="Z1303" s="2" t="str">
        <f>Auto_Sales_data___Copy[[#This Row],[R-Score(1-5)]]&amp;Auto_Sales_data___Copy[[#This Row],[F-Score(1-5)]]&amp;Auto_Sales_data___Copy[[#This Row],[M-Score(1-5)]]</f>
        <v>344</v>
      </c>
      <c r="AA1303" s="2" t="str" cm="1">
        <f t="array" ref="AA13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3" s="2" t="str">
        <f>VLOOKUP(Auto_Sales_data___Copy[[#This Row],[Segment Name]],Table3[],2,FALSE)</f>
        <v>Reward &amp; Upsell</v>
      </c>
    </row>
    <row r="1304" spans="1:28" x14ac:dyDescent="0.25">
      <c r="A1304">
        <v>10281</v>
      </c>
      <c r="B1304">
        <v>25</v>
      </c>
      <c r="C1304">
        <v>99.29</v>
      </c>
      <c r="D1304">
        <v>10</v>
      </c>
      <c r="E1304">
        <v>2482.25</v>
      </c>
      <c r="F1304" s="1">
        <v>43696</v>
      </c>
      <c r="G1304" s="2" t="s">
        <v>19</v>
      </c>
      <c r="H1304" s="2" t="s">
        <v>537</v>
      </c>
      <c r="I1304">
        <v>121</v>
      </c>
      <c r="J1304" s="2" t="s">
        <v>661</v>
      </c>
      <c r="K1304" s="2" t="s">
        <v>137</v>
      </c>
      <c r="L1304" s="2" t="s">
        <v>138</v>
      </c>
      <c r="M1304" s="2" t="s">
        <v>139</v>
      </c>
      <c r="N1304" s="2" t="s">
        <v>140</v>
      </c>
      <c r="O1304" s="2" t="s">
        <v>141</v>
      </c>
      <c r="P1304" s="2" t="s">
        <v>27</v>
      </c>
      <c r="Q1304" s="2" t="s">
        <v>28</v>
      </c>
      <c r="R1304" s="2" t="s">
        <v>142</v>
      </c>
      <c r="S1304" s="2" t="s">
        <v>30</v>
      </c>
      <c r="T1304">
        <v>1568</v>
      </c>
      <c r="U1304">
        <f>VLOOKUP(Auto_Sales_data___Copy[[#This Row],[CUSTOMER_NAME]],$AF$2:$AH$90,2,FALSE)</f>
        <v>31</v>
      </c>
      <c r="V1304">
        <f>VLOOKUP(Auto_Sales_data___Copy[[#This Row],[CUSTOMER_NAME]],$AF$2:$AH$90,3,FALSE)</f>
        <v>122138.14</v>
      </c>
      <c r="W1304" s="2">
        <f>6-MATCH(Auto_Sales_data___Copy[[#This Row],[DAYS_SINCE_LAST_ORDER]],Table2[R-Cutoff],1)</f>
        <v>3</v>
      </c>
      <c r="X1304" s="2">
        <f>MATCH(Auto_Sales_data___Copy[[#This Row],[Total_Orders_Per_Customer]],Table2[F-Cutoff],1)</f>
        <v>4</v>
      </c>
      <c r="Y1304" s="2">
        <f>MATCH(Auto_Sales_data___Copy[[#This Row],[Total_Sales_Per_Customer]],Table2[M-Cutoff],1)</f>
        <v>4</v>
      </c>
      <c r="Z1304" s="2" t="str">
        <f>Auto_Sales_data___Copy[[#This Row],[R-Score(1-5)]]&amp;Auto_Sales_data___Copy[[#This Row],[F-Score(1-5)]]&amp;Auto_Sales_data___Copy[[#This Row],[M-Score(1-5)]]</f>
        <v>344</v>
      </c>
      <c r="AA1304" s="2" t="str" cm="1">
        <f t="array" ref="AA13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4" s="2" t="str">
        <f>VLOOKUP(Auto_Sales_data___Copy[[#This Row],[Segment Name]],Table3[],2,FALSE)</f>
        <v>Reward &amp; Upsell</v>
      </c>
    </row>
    <row r="1305" spans="1:28" x14ac:dyDescent="0.25">
      <c r="A1305">
        <v>10281</v>
      </c>
      <c r="B1305">
        <v>44</v>
      </c>
      <c r="C1305">
        <v>59.87</v>
      </c>
      <c r="D1305">
        <v>14</v>
      </c>
      <c r="E1305">
        <v>2634.28</v>
      </c>
      <c r="F1305" s="1">
        <v>43696</v>
      </c>
      <c r="G1305" s="2" t="s">
        <v>19</v>
      </c>
      <c r="H1305" s="2" t="s">
        <v>589</v>
      </c>
      <c r="I1305">
        <v>50</v>
      </c>
      <c r="J1305" s="2" t="s">
        <v>662</v>
      </c>
      <c r="K1305" s="2" t="s">
        <v>137</v>
      </c>
      <c r="L1305" s="2" t="s">
        <v>138</v>
      </c>
      <c r="M1305" s="2" t="s">
        <v>139</v>
      </c>
      <c r="N1305" s="2" t="s">
        <v>140</v>
      </c>
      <c r="O1305" s="2" t="s">
        <v>141</v>
      </c>
      <c r="P1305" s="2" t="s">
        <v>27</v>
      </c>
      <c r="Q1305" s="2" t="s">
        <v>28</v>
      </c>
      <c r="R1305" s="2" t="s">
        <v>142</v>
      </c>
      <c r="S1305" s="2" t="s">
        <v>30</v>
      </c>
      <c r="T1305">
        <v>1595</v>
      </c>
      <c r="U1305">
        <f>VLOOKUP(Auto_Sales_data___Copy[[#This Row],[CUSTOMER_NAME]],$AF$2:$AH$90,2,FALSE)</f>
        <v>31</v>
      </c>
      <c r="V1305">
        <f>VLOOKUP(Auto_Sales_data___Copy[[#This Row],[CUSTOMER_NAME]],$AF$2:$AH$90,3,FALSE)</f>
        <v>122138.14</v>
      </c>
      <c r="W1305" s="2">
        <f>6-MATCH(Auto_Sales_data___Copy[[#This Row],[DAYS_SINCE_LAST_ORDER]],Table2[R-Cutoff],1)</f>
        <v>3</v>
      </c>
      <c r="X1305" s="2">
        <f>MATCH(Auto_Sales_data___Copy[[#This Row],[Total_Orders_Per_Customer]],Table2[F-Cutoff],1)</f>
        <v>4</v>
      </c>
      <c r="Y1305" s="2">
        <f>MATCH(Auto_Sales_data___Copy[[#This Row],[Total_Sales_Per_Customer]],Table2[M-Cutoff],1)</f>
        <v>4</v>
      </c>
      <c r="Z1305" s="2" t="str">
        <f>Auto_Sales_data___Copy[[#This Row],[R-Score(1-5)]]&amp;Auto_Sales_data___Copy[[#This Row],[F-Score(1-5)]]&amp;Auto_Sales_data___Copy[[#This Row],[M-Score(1-5)]]</f>
        <v>344</v>
      </c>
      <c r="AA1305" s="2" t="str" cm="1">
        <f t="array" ref="AA13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5" s="2" t="str">
        <f>VLOOKUP(Auto_Sales_data___Copy[[#This Row],[Segment Name]],Table3[],2,FALSE)</f>
        <v>Reward &amp; Upsell</v>
      </c>
    </row>
    <row r="1306" spans="1:28" x14ac:dyDescent="0.25">
      <c r="A1306">
        <v>10281</v>
      </c>
      <c r="B1306">
        <v>25</v>
      </c>
      <c r="C1306">
        <v>111.18</v>
      </c>
      <c r="D1306">
        <v>6</v>
      </c>
      <c r="E1306">
        <v>2779.5</v>
      </c>
      <c r="F1306" s="1">
        <v>43696</v>
      </c>
      <c r="G1306" s="2" t="s">
        <v>19</v>
      </c>
      <c r="H1306" s="2" t="s">
        <v>537</v>
      </c>
      <c r="I1306">
        <v>127</v>
      </c>
      <c r="J1306" s="2" t="s">
        <v>674</v>
      </c>
      <c r="K1306" s="2" t="s">
        <v>137</v>
      </c>
      <c r="L1306" s="2" t="s">
        <v>138</v>
      </c>
      <c r="M1306" s="2" t="s">
        <v>139</v>
      </c>
      <c r="N1306" s="2" t="s">
        <v>140</v>
      </c>
      <c r="O1306" s="2" t="s">
        <v>141</v>
      </c>
      <c r="P1306" s="2" t="s">
        <v>27</v>
      </c>
      <c r="Q1306" s="2" t="s">
        <v>28</v>
      </c>
      <c r="R1306" s="2" t="s">
        <v>142</v>
      </c>
      <c r="S1306" s="2" t="s">
        <v>30</v>
      </c>
      <c r="T1306">
        <v>1886</v>
      </c>
      <c r="U1306">
        <f>VLOOKUP(Auto_Sales_data___Copy[[#This Row],[CUSTOMER_NAME]],$AF$2:$AH$90,2,FALSE)</f>
        <v>31</v>
      </c>
      <c r="V1306">
        <f>VLOOKUP(Auto_Sales_data___Copy[[#This Row],[CUSTOMER_NAME]],$AF$2:$AH$90,3,FALSE)</f>
        <v>122138.14</v>
      </c>
      <c r="W1306" s="2">
        <f>6-MATCH(Auto_Sales_data___Copy[[#This Row],[DAYS_SINCE_LAST_ORDER]],Table2[R-Cutoff],1)</f>
        <v>3</v>
      </c>
      <c r="X1306" s="2">
        <f>MATCH(Auto_Sales_data___Copy[[#This Row],[Total_Orders_Per_Customer]],Table2[F-Cutoff],1)</f>
        <v>4</v>
      </c>
      <c r="Y1306" s="2">
        <f>MATCH(Auto_Sales_data___Copy[[#This Row],[Total_Sales_Per_Customer]],Table2[M-Cutoff],1)</f>
        <v>4</v>
      </c>
      <c r="Z1306" s="2" t="str">
        <f>Auto_Sales_data___Copy[[#This Row],[R-Score(1-5)]]&amp;Auto_Sales_data___Copy[[#This Row],[F-Score(1-5)]]&amp;Auto_Sales_data___Copy[[#This Row],[M-Score(1-5)]]</f>
        <v>344</v>
      </c>
      <c r="AA1306" s="2" t="str" cm="1">
        <f t="array" ref="AA13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6" s="2" t="str">
        <f>VLOOKUP(Auto_Sales_data___Copy[[#This Row],[Segment Name]],Table3[],2,FALSE)</f>
        <v>Reward &amp; Upsell</v>
      </c>
    </row>
    <row r="1307" spans="1:28" x14ac:dyDescent="0.25">
      <c r="A1307">
        <v>10281</v>
      </c>
      <c r="B1307">
        <v>20</v>
      </c>
      <c r="C1307">
        <v>40.659999999999997</v>
      </c>
      <c r="D1307">
        <v>2</v>
      </c>
      <c r="E1307">
        <v>813.2</v>
      </c>
      <c r="F1307" s="1">
        <v>43696</v>
      </c>
      <c r="G1307" s="2" t="s">
        <v>19</v>
      </c>
      <c r="H1307" s="2" t="s">
        <v>183</v>
      </c>
      <c r="I1307">
        <v>35</v>
      </c>
      <c r="J1307" s="2" t="s">
        <v>677</v>
      </c>
      <c r="K1307" s="2" t="s">
        <v>137</v>
      </c>
      <c r="L1307" s="2" t="s">
        <v>138</v>
      </c>
      <c r="M1307" s="2" t="s">
        <v>139</v>
      </c>
      <c r="N1307" s="2" t="s">
        <v>140</v>
      </c>
      <c r="O1307" s="2" t="s">
        <v>141</v>
      </c>
      <c r="P1307" s="2" t="s">
        <v>27</v>
      </c>
      <c r="Q1307" s="2" t="s">
        <v>28</v>
      </c>
      <c r="R1307" s="2" t="s">
        <v>142</v>
      </c>
      <c r="S1307" s="2" t="s">
        <v>30</v>
      </c>
      <c r="T1307">
        <v>1960</v>
      </c>
      <c r="U1307">
        <f>VLOOKUP(Auto_Sales_data___Copy[[#This Row],[CUSTOMER_NAME]],$AF$2:$AH$90,2,FALSE)</f>
        <v>31</v>
      </c>
      <c r="V1307">
        <f>VLOOKUP(Auto_Sales_data___Copy[[#This Row],[CUSTOMER_NAME]],$AF$2:$AH$90,3,FALSE)</f>
        <v>122138.14</v>
      </c>
      <c r="W1307" s="2">
        <f>6-MATCH(Auto_Sales_data___Copy[[#This Row],[DAYS_SINCE_LAST_ORDER]],Table2[R-Cutoff],1)</f>
        <v>3</v>
      </c>
      <c r="X1307" s="2">
        <f>MATCH(Auto_Sales_data___Copy[[#This Row],[Total_Orders_Per_Customer]],Table2[F-Cutoff],1)</f>
        <v>4</v>
      </c>
      <c r="Y1307" s="2">
        <f>MATCH(Auto_Sales_data___Copy[[#This Row],[Total_Sales_Per_Customer]],Table2[M-Cutoff],1)</f>
        <v>4</v>
      </c>
      <c r="Z1307" s="2" t="str">
        <f>Auto_Sales_data___Copy[[#This Row],[R-Score(1-5)]]&amp;Auto_Sales_data___Copy[[#This Row],[F-Score(1-5)]]&amp;Auto_Sales_data___Copy[[#This Row],[M-Score(1-5)]]</f>
        <v>344</v>
      </c>
      <c r="AA1307" s="2" t="str" cm="1">
        <f t="array" ref="AA13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7" s="2" t="str">
        <f>VLOOKUP(Auto_Sales_data___Copy[[#This Row],[Segment Name]],Table3[],2,FALSE)</f>
        <v>Reward &amp; Upsell</v>
      </c>
    </row>
    <row r="1308" spans="1:28" x14ac:dyDescent="0.25">
      <c r="A1308">
        <v>10282</v>
      </c>
      <c r="B1308">
        <v>31</v>
      </c>
      <c r="C1308">
        <v>150.80000000000001</v>
      </c>
      <c r="D1308">
        <v>8</v>
      </c>
      <c r="E1308">
        <v>4674.8</v>
      </c>
      <c r="F1308" s="1">
        <v>43697</v>
      </c>
      <c r="G1308" s="2" t="s">
        <v>19</v>
      </c>
      <c r="H1308" s="2" t="s">
        <v>183</v>
      </c>
      <c r="I1308">
        <v>143</v>
      </c>
      <c r="J1308" s="2" t="s">
        <v>658</v>
      </c>
      <c r="K1308" s="2" t="s">
        <v>284</v>
      </c>
      <c r="L1308" s="2" t="s">
        <v>285</v>
      </c>
      <c r="M1308" s="2" t="s">
        <v>286</v>
      </c>
      <c r="N1308" s="2" t="s">
        <v>287</v>
      </c>
      <c r="O1308" s="2" t="s">
        <v>106</v>
      </c>
      <c r="P1308" s="2" t="s">
        <v>27</v>
      </c>
      <c r="Q1308" s="2" t="s">
        <v>288</v>
      </c>
      <c r="R1308" s="2" t="s">
        <v>289</v>
      </c>
      <c r="S1308" s="2" t="s">
        <v>46</v>
      </c>
      <c r="T1308">
        <v>1493</v>
      </c>
      <c r="U1308">
        <f>VLOOKUP(Auto_Sales_data___Copy[[#This Row],[CUSTOMER_NAME]],$AF$2:$AH$90,2,FALSE)</f>
        <v>180</v>
      </c>
      <c r="V1308">
        <f>VLOOKUP(Auto_Sales_data___Copy[[#This Row],[CUSTOMER_NAME]],$AF$2:$AH$90,3,FALSE)</f>
        <v>654858.06000000017</v>
      </c>
      <c r="W1308" s="2">
        <f>6-MATCH(Auto_Sales_data___Copy[[#This Row],[DAYS_SINCE_LAST_ORDER]],Table2[R-Cutoff],1)</f>
        <v>3</v>
      </c>
      <c r="X1308" s="2">
        <f>MATCH(Auto_Sales_data___Copy[[#This Row],[Total_Orders_Per_Customer]],Table2[F-Cutoff],1)</f>
        <v>4</v>
      </c>
      <c r="Y1308" s="2">
        <f>MATCH(Auto_Sales_data___Copy[[#This Row],[Total_Sales_Per_Customer]],Table2[M-Cutoff],1)</f>
        <v>4</v>
      </c>
      <c r="Z1308" s="2" t="str">
        <f>Auto_Sales_data___Copy[[#This Row],[R-Score(1-5)]]&amp;Auto_Sales_data___Copy[[#This Row],[F-Score(1-5)]]&amp;Auto_Sales_data___Copy[[#This Row],[M-Score(1-5)]]</f>
        <v>344</v>
      </c>
      <c r="AA1308" s="2" t="str" cm="1">
        <f t="array" ref="AA13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8" s="2" t="str">
        <f>VLOOKUP(Auto_Sales_data___Copy[[#This Row],[Segment Name]],Table3[],2,FALSE)</f>
        <v>Reward &amp; Upsell</v>
      </c>
    </row>
    <row r="1309" spans="1:28" x14ac:dyDescent="0.25">
      <c r="A1309">
        <v>10282</v>
      </c>
      <c r="B1309">
        <v>29</v>
      </c>
      <c r="C1309">
        <v>46.82</v>
      </c>
      <c r="D1309">
        <v>11</v>
      </c>
      <c r="E1309">
        <v>1357.78</v>
      </c>
      <c r="F1309" s="1">
        <v>43697</v>
      </c>
      <c r="G1309" s="2" t="s">
        <v>19</v>
      </c>
      <c r="H1309" s="2" t="s">
        <v>183</v>
      </c>
      <c r="I1309">
        <v>57</v>
      </c>
      <c r="J1309" s="2" t="s">
        <v>666</v>
      </c>
      <c r="K1309" s="2" t="s">
        <v>284</v>
      </c>
      <c r="L1309" s="2" t="s">
        <v>285</v>
      </c>
      <c r="M1309" s="2" t="s">
        <v>286</v>
      </c>
      <c r="N1309" s="2" t="s">
        <v>287</v>
      </c>
      <c r="O1309" s="2" t="s">
        <v>106</v>
      </c>
      <c r="P1309" s="2" t="s">
        <v>27</v>
      </c>
      <c r="Q1309" s="2" t="s">
        <v>288</v>
      </c>
      <c r="R1309" s="2" t="s">
        <v>289</v>
      </c>
      <c r="S1309" s="2" t="s">
        <v>30</v>
      </c>
      <c r="T1309">
        <v>1688</v>
      </c>
      <c r="U1309">
        <f>VLOOKUP(Auto_Sales_data___Copy[[#This Row],[CUSTOMER_NAME]],$AF$2:$AH$90,2,FALSE)</f>
        <v>180</v>
      </c>
      <c r="V1309">
        <f>VLOOKUP(Auto_Sales_data___Copy[[#This Row],[CUSTOMER_NAME]],$AF$2:$AH$90,3,FALSE)</f>
        <v>654858.06000000017</v>
      </c>
      <c r="W1309" s="2">
        <f>6-MATCH(Auto_Sales_data___Copy[[#This Row],[DAYS_SINCE_LAST_ORDER]],Table2[R-Cutoff],1)</f>
        <v>3</v>
      </c>
      <c r="X1309" s="2">
        <f>MATCH(Auto_Sales_data___Copy[[#This Row],[Total_Orders_Per_Customer]],Table2[F-Cutoff],1)</f>
        <v>4</v>
      </c>
      <c r="Y1309" s="2">
        <f>MATCH(Auto_Sales_data___Copy[[#This Row],[Total_Sales_Per_Customer]],Table2[M-Cutoff],1)</f>
        <v>4</v>
      </c>
      <c r="Z1309" s="2" t="str">
        <f>Auto_Sales_data___Copy[[#This Row],[R-Score(1-5)]]&amp;Auto_Sales_data___Copy[[#This Row],[F-Score(1-5)]]&amp;Auto_Sales_data___Copy[[#This Row],[M-Score(1-5)]]</f>
        <v>344</v>
      </c>
      <c r="AA1309" s="2" t="str" cm="1">
        <f t="array" ref="AA13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9" s="2" t="str">
        <f>VLOOKUP(Auto_Sales_data___Copy[[#This Row],[Segment Name]],Table3[],2,FALSE)</f>
        <v>Reward &amp; Upsell</v>
      </c>
    </row>
    <row r="1310" spans="1:28" x14ac:dyDescent="0.25">
      <c r="A1310">
        <v>10285</v>
      </c>
      <c r="B1310">
        <v>34</v>
      </c>
      <c r="C1310">
        <v>109.32</v>
      </c>
      <c r="D1310">
        <v>7</v>
      </c>
      <c r="E1310">
        <v>3716.88</v>
      </c>
      <c r="F1310" s="1">
        <v>43704</v>
      </c>
      <c r="G1310" s="2" t="s">
        <v>19</v>
      </c>
      <c r="H1310" s="2" t="s">
        <v>20</v>
      </c>
      <c r="I1310">
        <v>112</v>
      </c>
      <c r="J1310" s="2" t="s">
        <v>667</v>
      </c>
      <c r="K1310" s="2" t="s">
        <v>115</v>
      </c>
      <c r="L1310" s="2" t="s">
        <v>116</v>
      </c>
      <c r="M1310" s="2" t="s">
        <v>117</v>
      </c>
      <c r="N1310" s="2" t="s">
        <v>118</v>
      </c>
      <c r="O1310" s="2" t="s">
        <v>119</v>
      </c>
      <c r="P1310" s="2" t="s">
        <v>27</v>
      </c>
      <c r="Q1310" s="2" t="s">
        <v>120</v>
      </c>
      <c r="R1310" s="2" t="s">
        <v>121</v>
      </c>
      <c r="S1310" s="2" t="s">
        <v>46</v>
      </c>
      <c r="T1310">
        <v>1707</v>
      </c>
      <c r="U1310">
        <f>VLOOKUP(Auto_Sales_data___Copy[[#This Row],[CUSTOMER_NAME]],$AF$2:$AH$90,2,FALSE)</f>
        <v>27</v>
      </c>
      <c r="V1310">
        <f>VLOOKUP(Auto_Sales_data___Copy[[#This Row],[CUSTOMER_NAME]],$AF$2:$AH$90,3,FALSE)</f>
        <v>103080.37999999998</v>
      </c>
      <c r="W1310" s="2">
        <f>6-MATCH(Auto_Sales_data___Copy[[#This Row],[DAYS_SINCE_LAST_ORDER]],Table2[R-Cutoff],1)</f>
        <v>3</v>
      </c>
      <c r="X1310" s="2">
        <f>MATCH(Auto_Sales_data___Copy[[#This Row],[Total_Orders_Per_Customer]],Table2[F-Cutoff],1)</f>
        <v>4</v>
      </c>
      <c r="Y1310" s="2">
        <f>MATCH(Auto_Sales_data___Copy[[#This Row],[Total_Sales_Per_Customer]],Table2[M-Cutoff],1)</f>
        <v>4</v>
      </c>
      <c r="Z1310" s="2" t="str">
        <f>Auto_Sales_data___Copy[[#This Row],[R-Score(1-5)]]&amp;Auto_Sales_data___Copy[[#This Row],[F-Score(1-5)]]&amp;Auto_Sales_data___Copy[[#This Row],[M-Score(1-5)]]</f>
        <v>344</v>
      </c>
      <c r="AA1310" s="2" t="str" cm="1">
        <f t="array" ref="AA13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0" s="2" t="str">
        <f>VLOOKUP(Auto_Sales_data___Copy[[#This Row],[Segment Name]],Table3[],2,FALSE)</f>
        <v>Reward &amp; Upsell</v>
      </c>
    </row>
    <row r="1311" spans="1:28" x14ac:dyDescent="0.25">
      <c r="A1311">
        <v>10285</v>
      </c>
      <c r="B1311">
        <v>39</v>
      </c>
      <c r="C1311">
        <v>70.08</v>
      </c>
      <c r="D1311">
        <v>11</v>
      </c>
      <c r="E1311">
        <v>2733.12</v>
      </c>
      <c r="F1311" s="1">
        <v>43704</v>
      </c>
      <c r="G1311" s="2" t="s">
        <v>19</v>
      </c>
      <c r="H1311" s="2" t="s">
        <v>20</v>
      </c>
      <c r="I1311">
        <v>76</v>
      </c>
      <c r="J1311" s="2" t="s">
        <v>671</v>
      </c>
      <c r="K1311" s="2" t="s">
        <v>115</v>
      </c>
      <c r="L1311" s="2" t="s">
        <v>116</v>
      </c>
      <c r="M1311" s="2" t="s">
        <v>117</v>
      </c>
      <c r="N1311" s="2" t="s">
        <v>118</v>
      </c>
      <c r="O1311" s="2" t="s">
        <v>119</v>
      </c>
      <c r="P1311" s="2" t="s">
        <v>27</v>
      </c>
      <c r="Q1311" s="2" t="s">
        <v>120</v>
      </c>
      <c r="R1311" s="2" t="s">
        <v>121</v>
      </c>
      <c r="S1311" s="2" t="s">
        <v>30</v>
      </c>
      <c r="T1311">
        <v>1803</v>
      </c>
      <c r="U1311">
        <f>VLOOKUP(Auto_Sales_data___Copy[[#This Row],[CUSTOMER_NAME]],$AF$2:$AH$90,2,FALSE)</f>
        <v>27</v>
      </c>
      <c r="V1311">
        <f>VLOOKUP(Auto_Sales_data___Copy[[#This Row],[CUSTOMER_NAME]],$AF$2:$AH$90,3,FALSE)</f>
        <v>103080.37999999998</v>
      </c>
      <c r="W1311" s="2">
        <f>6-MATCH(Auto_Sales_data___Copy[[#This Row],[DAYS_SINCE_LAST_ORDER]],Table2[R-Cutoff],1)</f>
        <v>3</v>
      </c>
      <c r="X1311" s="2">
        <f>MATCH(Auto_Sales_data___Copy[[#This Row],[Total_Orders_Per_Customer]],Table2[F-Cutoff],1)</f>
        <v>4</v>
      </c>
      <c r="Y1311" s="2">
        <f>MATCH(Auto_Sales_data___Copy[[#This Row],[Total_Sales_Per_Customer]],Table2[M-Cutoff],1)</f>
        <v>4</v>
      </c>
      <c r="Z1311" s="2" t="str">
        <f>Auto_Sales_data___Copy[[#This Row],[R-Score(1-5)]]&amp;Auto_Sales_data___Copy[[#This Row],[F-Score(1-5)]]&amp;Auto_Sales_data___Copy[[#This Row],[M-Score(1-5)]]</f>
        <v>344</v>
      </c>
      <c r="AA1311" s="2" t="str" cm="1">
        <f t="array" ref="AA13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1" s="2" t="str">
        <f>VLOOKUP(Auto_Sales_data___Copy[[#This Row],[Segment Name]],Table3[],2,FALSE)</f>
        <v>Reward &amp; Upsell</v>
      </c>
    </row>
    <row r="1312" spans="1:28" x14ac:dyDescent="0.25">
      <c r="A1312">
        <v>10285</v>
      </c>
      <c r="B1312">
        <v>38</v>
      </c>
      <c r="C1312">
        <v>59.56</v>
      </c>
      <c r="D1312">
        <v>3</v>
      </c>
      <c r="E1312">
        <v>2263.2800000000002</v>
      </c>
      <c r="F1312" s="1">
        <v>43704</v>
      </c>
      <c r="G1312" s="2" t="s">
        <v>19</v>
      </c>
      <c r="H1312" s="2" t="s">
        <v>20</v>
      </c>
      <c r="I1312">
        <v>69</v>
      </c>
      <c r="J1312" s="2" t="s">
        <v>675</v>
      </c>
      <c r="K1312" s="2" t="s">
        <v>115</v>
      </c>
      <c r="L1312" s="2" t="s">
        <v>116</v>
      </c>
      <c r="M1312" s="2" t="s">
        <v>117</v>
      </c>
      <c r="N1312" s="2" t="s">
        <v>118</v>
      </c>
      <c r="O1312" s="2" t="s">
        <v>119</v>
      </c>
      <c r="P1312" s="2" t="s">
        <v>27</v>
      </c>
      <c r="Q1312" s="2" t="s">
        <v>120</v>
      </c>
      <c r="R1312" s="2" t="s">
        <v>121</v>
      </c>
      <c r="S1312" s="2" t="s">
        <v>30</v>
      </c>
      <c r="T1312">
        <v>1903</v>
      </c>
      <c r="U1312">
        <f>VLOOKUP(Auto_Sales_data___Copy[[#This Row],[CUSTOMER_NAME]],$AF$2:$AH$90,2,FALSE)</f>
        <v>27</v>
      </c>
      <c r="V1312">
        <f>VLOOKUP(Auto_Sales_data___Copy[[#This Row],[CUSTOMER_NAME]],$AF$2:$AH$90,3,FALSE)</f>
        <v>103080.37999999998</v>
      </c>
      <c r="W1312" s="2">
        <f>6-MATCH(Auto_Sales_data___Copy[[#This Row],[DAYS_SINCE_LAST_ORDER]],Table2[R-Cutoff],1)</f>
        <v>3</v>
      </c>
      <c r="X1312" s="2">
        <f>MATCH(Auto_Sales_data___Copy[[#This Row],[Total_Orders_Per_Customer]],Table2[F-Cutoff],1)</f>
        <v>4</v>
      </c>
      <c r="Y1312" s="2">
        <f>MATCH(Auto_Sales_data___Copy[[#This Row],[Total_Sales_Per_Customer]],Table2[M-Cutoff],1)</f>
        <v>4</v>
      </c>
      <c r="Z1312" s="2" t="str">
        <f>Auto_Sales_data___Copy[[#This Row],[R-Score(1-5)]]&amp;Auto_Sales_data___Copy[[#This Row],[F-Score(1-5)]]&amp;Auto_Sales_data___Copy[[#This Row],[M-Score(1-5)]]</f>
        <v>344</v>
      </c>
      <c r="AA1312" s="2" t="str" cm="1">
        <f t="array" ref="AA13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2" s="2" t="str">
        <f>VLOOKUP(Auto_Sales_data___Copy[[#This Row],[Segment Name]],Table3[],2,FALSE)</f>
        <v>Reward &amp; Upsell</v>
      </c>
    </row>
    <row r="1313" spans="1:28" x14ac:dyDescent="0.25">
      <c r="A1313">
        <v>10287</v>
      </c>
      <c r="B1313">
        <v>34</v>
      </c>
      <c r="C1313">
        <v>126.48</v>
      </c>
      <c r="D1313">
        <v>17</v>
      </c>
      <c r="E1313">
        <v>4300.32</v>
      </c>
      <c r="F1313" s="1">
        <v>43707</v>
      </c>
      <c r="G1313" s="2" t="s">
        <v>19</v>
      </c>
      <c r="H1313" s="2" t="s">
        <v>183</v>
      </c>
      <c r="I1313">
        <v>148</v>
      </c>
      <c r="J1313" s="2" t="s">
        <v>663</v>
      </c>
      <c r="K1313" s="2" t="s">
        <v>473</v>
      </c>
      <c r="L1313" s="2" t="s">
        <v>474</v>
      </c>
      <c r="M1313" s="2" t="s">
        <v>475</v>
      </c>
      <c r="N1313" s="2" t="s">
        <v>476</v>
      </c>
      <c r="O1313" s="2" t="s">
        <v>477</v>
      </c>
      <c r="P1313" s="2" t="s">
        <v>478</v>
      </c>
      <c r="Q1313" s="2" t="s">
        <v>479</v>
      </c>
      <c r="R1313" s="2" t="s">
        <v>94</v>
      </c>
      <c r="S1313" s="2" t="s">
        <v>46</v>
      </c>
      <c r="T1313">
        <v>1608</v>
      </c>
      <c r="U1313">
        <f>VLOOKUP(Auto_Sales_data___Copy[[#This Row],[CUSTOMER_NAME]],$AF$2:$AH$90,2,FALSE)</f>
        <v>31</v>
      </c>
      <c r="V1313">
        <f>VLOOKUP(Auto_Sales_data___Copy[[#This Row],[CUSTOMER_NAME]],$AF$2:$AH$90,3,FALSE)</f>
        <v>117713.56000000001</v>
      </c>
      <c r="W1313" s="2">
        <f>6-MATCH(Auto_Sales_data___Copy[[#This Row],[DAYS_SINCE_LAST_ORDER]],Table2[R-Cutoff],1)</f>
        <v>3</v>
      </c>
      <c r="X1313" s="2">
        <f>MATCH(Auto_Sales_data___Copy[[#This Row],[Total_Orders_Per_Customer]],Table2[F-Cutoff],1)</f>
        <v>4</v>
      </c>
      <c r="Y1313" s="2">
        <f>MATCH(Auto_Sales_data___Copy[[#This Row],[Total_Sales_Per_Customer]],Table2[M-Cutoff],1)</f>
        <v>4</v>
      </c>
      <c r="Z1313" s="2" t="str">
        <f>Auto_Sales_data___Copy[[#This Row],[R-Score(1-5)]]&amp;Auto_Sales_data___Copy[[#This Row],[F-Score(1-5)]]&amp;Auto_Sales_data___Copy[[#This Row],[M-Score(1-5)]]</f>
        <v>344</v>
      </c>
      <c r="AA1313" s="2" t="str" cm="1">
        <f t="array" ref="AA13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3" s="2" t="str">
        <f>VLOOKUP(Auto_Sales_data___Copy[[#This Row],[Segment Name]],Table3[],2,FALSE)</f>
        <v>Reward &amp; Upsell</v>
      </c>
    </row>
    <row r="1314" spans="1:28" x14ac:dyDescent="0.25">
      <c r="A1314">
        <v>10287</v>
      </c>
      <c r="B1314">
        <v>36</v>
      </c>
      <c r="C1314">
        <v>39.65</v>
      </c>
      <c r="D1314">
        <v>6</v>
      </c>
      <c r="E1314">
        <v>1427.4</v>
      </c>
      <c r="F1314" s="1">
        <v>43707</v>
      </c>
      <c r="G1314" s="2" t="s">
        <v>19</v>
      </c>
      <c r="H1314" s="2" t="s">
        <v>183</v>
      </c>
      <c r="I1314">
        <v>37</v>
      </c>
      <c r="J1314" s="2" t="s">
        <v>680</v>
      </c>
      <c r="K1314" s="2" t="s">
        <v>473</v>
      </c>
      <c r="L1314" s="2" t="s">
        <v>474</v>
      </c>
      <c r="M1314" s="2" t="s">
        <v>475</v>
      </c>
      <c r="N1314" s="2" t="s">
        <v>476</v>
      </c>
      <c r="O1314" s="2" t="s">
        <v>477</v>
      </c>
      <c r="P1314" s="2" t="s">
        <v>478</v>
      </c>
      <c r="Q1314" s="2" t="s">
        <v>479</v>
      </c>
      <c r="R1314" s="2" t="s">
        <v>94</v>
      </c>
      <c r="S1314" s="2" t="s">
        <v>30</v>
      </c>
      <c r="T1314">
        <v>2023</v>
      </c>
      <c r="U1314">
        <f>VLOOKUP(Auto_Sales_data___Copy[[#This Row],[CUSTOMER_NAME]],$AF$2:$AH$90,2,FALSE)</f>
        <v>31</v>
      </c>
      <c r="V1314">
        <f>VLOOKUP(Auto_Sales_data___Copy[[#This Row],[CUSTOMER_NAME]],$AF$2:$AH$90,3,FALSE)</f>
        <v>117713.56000000001</v>
      </c>
      <c r="W1314" s="2">
        <f>6-MATCH(Auto_Sales_data___Copy[[#This Row],[DAYS_SINCE_LAST_ORDER]],Table2[R-Cutoff],1)</f>
        <v>3</v>
      </c>
      <c r="X1314" s="2">
        <f>MATCH(Auto_Sales_data___Copy[[#This Row],[Total_Orders_Per_Customer]],Table2[F-Cutoff],1)</f>
        <v>4</v>
      </c>
      <c r="Y1314" s="2">
        <f>MATCH(Auto_Sales_data___Copy[[#This Row],[Total_Sales_Per_Customer]],Table2[M-Cutoff],1)</f>
        <v>4</v>
      </c>
      <c r="Z1314" s="2" t="str">
        <f>Auto_Sales_data___Copy[[#This Row],[R-Score(1-5)]]&amp;Auto_Sales_data___Copy[[#This Row],[F-Score(1-5)]]&amp;Auto_Sales_data___Copy[[#This Row],[M-Score(1-5)]]</f>
        <v>344</v>
      </c>
      <c r="AA1314" s="2" t="str" cm="1">
        <f t="array" ref="AA13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4" s="2" t="str">
        <f>VLOOKUP(Auto_Sales_data___Copy[[#This Row],[Segment Name]],Table3[],2,FALSE)</f>
        <v>Reward &amp; Upsell</v>
      </c>
    </row>
    <row r="1315" spans="1:28" x14ac:dyDescent="0.25">
      <c r="A1315">
        <v>10288</v>
      </c>
      <c r="B1315">
        <v>35</v>
      </c>
      <c r="C1315">
        <v>80.989999999999995</v>
      </c>
      <c r="D1315">
        <v>6</v>
      </c>
      <c r="E1315">
        <v>2834.65</v>
      </c>
      <c r="F1315" s="1">
        <v>43709</v>
      </c>
      <c r="G1315" s="2" t="s">
        <v>19</v>
      </c>
      <c r="H1315" s="2" t="s">
        <v>589</v>
      </c>
      <c r="I1315">
        <v>92</v>
      </c>
      <c r="J1315" s="2" t="s">
        <v>659</v>
      </c>
      <c r="K1315" s="2" t="s">
        <v>443</v>
      </c>
      <c r="L1315" s="2" t="s">
        <v>444</v>
      </c>
      <c r="M1315" s="2" t="s">
        <v>445</v>
      </c>
      <c r="N1315" s="2" t="s">
        <v>202</v>
      </c>
      <c r="O1315" s="2" t="s">
        <v>446</v>
      </c>
      <c r="P1315" s="2" t="s">
        <v>202</v>
      </c>
      <c r="Q1315" s="2" t="s">
        <v>447</v>
      </c>
      <c r="R1315" s="2" t="s">
        <v>448</v>
      </c>
      <c r="S1315" s="2" t="s">
        <v>30</v>
      </c>
      <c r="T1315">
        <v>1505</v>
      </c>
      <c r="U1315">
        <f>VLOOKUP(Auto_Sales_data___Copy[[#This Row],[CUSTOMER_NAME]],$AF$2:$AH$90,2,FALSE)</f>
        <v>36</v>
      </c>
      <c r="V1315">
        <f>VLOOKUP(Auto_Sales_data___Copy[[#This Row],[CUSTOMER_NAME]],$AF$2:$AH$90,3,FALSE)</f>
        <v>115498.72999999998</v>
      </c>
      <c r="W1315" s="2">
        <f>6-MATCH(Auto_Sales_data___Copy[[#This Row],[DAYS_SINCE_LAST_ORDER]],Table2[R-Cutoff],1)</f>
        <v>3</v>
      </c>
      <c r="X1315" s="2">
        <f>MATCH(Auto_Sales_data___Copy[[#This Row],[Total_Orders_Per_Customer]],Table2[F-Cutoff],1)</f>
        <v>4</v>
      </c>
      <c r="Y1315" s="2">
        <f>MATCH(Auto_Sales_data___Copy[[#This Row],[Total_Sales_Per_Customer]],Table2[M-Cutoff],1)</f>
        <v>4</v>
      </c>
      <c r="Z1315" s="2" t="str">
        <f>Auto_Sales_data___Copy[[#This Row],[R-Score(1-5)]]&amp;Auto_Sales_data___Copy[[#This Row],[F-Score(1-5)]]&amp;Auto_Sales_data___Copy[[#This Row],[M-Score(1-5)]]</f>
        <v>344</v>
      </c>
      <c r="AA1315" s="2" t="str" cm="1">
        <f t="array" ref="AA13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5" s="2" t="str">
        <f>VLOOKUP(Auto_Sales_data___Copy[[#This Row],[Segment Name]],Table3[],2,FALSE)</f>
        <v>Reward &amp; Upsell</v>
      </c>
    </row>
    <row r="1316" spans="1:28" x14ac:dyDescent="0.25">
      <c r="A1316">
        <v>10288</v>
      </c>
      <c r="B1316">
        <v>23</v>
      </c>
      <c r="C1316">
        <v>73.41</v>
      </c>
      <c r="D1316">
        <v>7</v>
      </c>
      <c r="E1316">
        <v>1688.43</v>
      </c>
      <c r="F1316" s="1">
        <v>43709</v>
      </c>
      <c r="G1316" s="2" t="s">
        <v>19</v>
      </c>
      <c r="H1316" s="2" t="s">
        <v>183</v>
      </c>
      <c r="I1316">
        <v>71</v>
      </c>
      <c r="J1316" s="2" t="s">
        <v>664</v>
      </c>
      <c r="K1316" s="2" t="s">
        <v>443</v>
      </c>
      <c r="L1316" s="2" t="s">
        <v>444</v>
      </c>
      <c r="M1316" s="2" t="s">
        <v>445</v>
      </c>
      <c r="N1316" s="2" t="s">
        <v>202</v>
      </c>
      <c r="O1316" s="2" t="s">
        <v>446</v>
      </c>
      <c r="P1316" s="2" t="s">
        <v>202</v>
      </c>
      <c r="Q1316" s="2" t="s">
        <v>447</v>
      </c>
      <c r="R1316" s="2" t="s">
        <v>448</v>
      </c>
      <c r="S1316" s="2" t="s">
        <v>30</v>
      </c>
      <c r="T1316">
        <v>1629</v>
      </c>
      <c r="U1316">
        <f>VLOOKUP(Auto_Sales_data___Copy[[#This Row],[CUSTOMER_NAME]],$AF$2:$AH$90,2,FALSE)</f>
        <v>36</v>
      </c>
      <c r="V1316">
        <f>VLOOKUP(Auto_Sales_data___Copy[[#This Row],[CUSTOMER_NAME]],$AF$2:$AH$90,3,FALSE)</f>
        <v>115498.72999999998</v>
      </c>
      <c r="W1316" s="2">
        <f>6-MATCH(Auto_Sales_data___Copy[[#This Row],[DAYS_SINCE_LAST_ORDER]],Table2[R-Cutoff],1)</f>
        <v>3</v>
      </c>
      <c r="X1316" s="2">
        <f>MATCH(Auto_Sales_data___Copy[[#This Row],[Total_Orders_Per_Customer]],Table2[F-Cutoff],1)</f>
        <v>4</v>
      </c>
      <c r="Y1316" s="2">
        <f>MATCH(Auto_Sales_data___Copy[[#This Row],[Total_Sales_Per_Customer]],Table2[M-Cutoff],1)</f>
        <v>4</v>
      </c>
      <c r="Z1316" s="2" t="str">
        <f>Auto_Sales_data___Copy[[#This Row],[R-Score(1-5)]]&amp;Auto_Sales_data___Copy[[#This Row],[F-Score(1-5)]]&amp;Auto_Sales_data___Copy[[#This Row],[M-Score(1-5)]]</f>
        <v>344</v>
      </c>
      <c r="AA1316" s="2" t="str" cm="1">
        <f t="array" ref="AA13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6" s="2" t="str">
        <f>VLOOKUP(Auto_Sales_data___Copy[[#This Row],[Segment Name]],Table3[],2,FALSE)</f>
        <v>Reward &amp; Upsell</v>
      </c>
    </row>
    <row r="1317" spans="1:28" x14ac:dyDescent="0.25">
      <c r="A1317">
        <v>10288</v>
      </c>
      <c r="B1317">
        <v>36</v>
      </c>
      <c r="C1317">
        <v>66.14</v>
      </c>
      <c r="D1317">
        <v>11</v>
      </c>
      <c r="E1317">
        <v>2381.04</v>
      </c>
      <c r="F1317" s="1">
        <v>43709</v>
      </c>
      <c r="G1317" s="2" t="s">
        <v>19</v>
      </c>
      <c r="H1317" s="2" t="s">
        <v>183</v>
      </c>
      <c r="I1317">
        <v>73</v>
      </c>
      <c r="J1317" s="2" t="s">
        <v>665</v>
      </c>
      <c r="K1317" s="2" t="s">
        <v>443</v>
      </c>
      <c r="L1317" s="2" t="s">
        <v>444</v>
      </c>
      <c r="M1317" s="2" t="s">
        <v>445</v>
      </c>
      <c r="N1317" s="2" t="s">
        <v>202</v>
      </c>
      <c r="O1317" s="2" t="s">
        <v>446</v>
      </c>
      <c r="P1317" s="2" t="s">
        <v>202</v>
      </c>
      <c r="Q1317" s="2" t="s">
        <v>447</v>
      </c>
      <c r="R1317" s="2" t="s">
        <v>448</v>
      </c>
      <c r="S1317" s="2" t="s">
        <v>30</v>
      </c>
      <c r="T1317">
        <v>1651</v>
      </c>
      <c r="U1317">
        <f>VLOOKUP(Auto_Sales_data___Copy[[#This Row],[CUSTOMER_NAME]],$AF$2:$AH$90,2,FALSE)</f>
        <v>36</v>
      </c>
      <c r="V1317">
        <f>VLOOKUP(Auto_Sales_data___Copy[[#This Row],[CUSTOMER_NAME]],$AF$2:$AH$90,3,FALSE)</f>
        <v>115498.72999999998</v>
      </c>
      <c r="W1317" s="2">
        <f>6-MATCH(Auto_Sales_data___Copy[[#This Row],[DAYS_SINCE_LAST_ORDER]],Table2[R-Cutoff],1)</f>
        <v>3</v>
      </c>
      <c r="X1317" s="2">
        <f>MATCH(Auto_Sales_data___Copy[[#This Row],[Total_Orders_Per_Customer]],Table2[F-Cutoff],1)</f>
        <v>4</v>
      </c>
      <c r="Y1317" s="2">
        <f>MATCH(Auto_Sales_data___Copy[[#This Row],[Total_Sales_Per_Customer]],Table2[M-Cutoff],1)</f>
        <v>4</v>
      </c>
      <c r="Z1317" s="2" t="str">
        <f>Auto_Sales_data___Copy[[#This Row],[R-Score(1-5)]]&amp;Auto_Sales_data___Copy[[#This Row],[F-Score(1-5)]]&amp;Auto_Sales_data___Copy[[#This Row],[M-Score(1-5)]]</f>
        <v>344</v>
      </c>
      <c r="AA1317" s="2" t="str" cm="1">
        <f t="array" ref="AA13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7" s="2" t="str">
        <f>VLOOKUP(Auto_Sales_data___Copy[[#This Row],[Segment Name]],Table3[],2,FALSE)</f>
        <v>Reward &amp; Upsell</v>
      </c>
    </row>
    <row r="1318" spans="1:28" x14ac:dyDescent="0.25">
      <c r="A1318">
        <v>10288</v>
      </c>
      <c r="B1318">
        <v>50</v>
      </c>
      <c r="C1318">
        <v>52.32</v>
      </c>
      <c r="D1318">
        <v>13</v>
      </c>
      <c r="E1318">
        <v>2616</v>
      </c>
      <c r="F1318" s="1">
        <v>43709</v>
      </c>
      <c r="G1318" s="2" t="s">
        <v>19</v>
      </c>
      <c r="H1318" s="2" t="s">
        <v>183</v>
      </c>
      <c r="I1318">
        <v>50</v>
      </c>
      <c r="J1318" s="2" t="s">
        <v>668</v>
      </c>
      <c r="K1318" s="2" t="s">
        <v>443</v>
      </c>
      <c r="L1318" s="2" t="s">
        <v>444</v>
      </c>
      <c r="M1318" s="2" t="s">
        <v>445</v>
      </c>
      <c r="N1318" s="2" t="s">
        <v>202</v>
      </c>
      <c r="O1318" s="2" t="s">
        <v>446</v>
      </c>
      <c r="P1318" s="2" t="s">
        <v>202</v>
      </c>
      <c r="Q1318" s="2" t="s">
        <v>447</v>
      </c>
      <c r="R1318" s="2" t="s">
        <v>448</v>
      </c>
      <c r="S1318" s="2" t="s">
        <v>30</v>
      </c>
      <c r="T1318">
        <v>1727</v>
      </c>
      <c r="U1318">
        <f>VLOOKUP(Auto_Sales_data___Copy[[#This Row],[CUSTOMER_NAME]],$AF$2:$AH$90,2,FALSE)</f>
        <v>36</v>
      </c>
      <c r="V1318">
        <f>VLOOKUP(Auto_Sales_data___Copy[[#This Row],[CUSTOMER_NAME]],$AF$2:$AH$90,3,FALSE)</f>
        <v>115498.72999999998</v>
      </c>
      <c r="W1318" s="2">
        <f>6-MATCH(Auto_Sales_data___Copy[[#This Row],[DAYS_SINCE_LAST_ORDER]],Table2[R-Cutoff],1)</f>
        <v>3</v>
      </c>
      <c r="X1318" s="2">
        <f>MATCH(Auto_Sales_data___Copy[[#This Row],[Total_Orders_Per_Customer]],Table2[F-Cutoff],1)</f>
        <v>4</v>
      </c>
      <c r="Y1318" s="2">
        <f>MATCH(Auto_Sales_data___Copy[[#This Row],[Total_Sales_Per_Customer]],Table2[M-Cutoff],1)</f>
        <v>4</v>
      </c>
      <c r="Z1318" s="2" t="str">
        <f>Auto_Sales_data___Copy[[#This Row],[R-Score(1-5)]]&amp;Auto_Sales_data___Copy[[#This Row],[F-Score(1-5)]]&amp;Auto_Sales_data___Copy[[#This Row],[M-Score(1-5)]]</f>
        <v>344</v>
      </c>
      <c r="AA1318" s="2" t="str" cm="1">
        <f t="array" ref="AA13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8" s="2" t="str">
        <f>VLOOKUP(Auto_Sales_data___Copy[[#This Row],[Segment Name]],Table3[],2,FALSE)</f>
        <v>Reward &amp; Upsell</v>
      </c>
    </row>
    <row r="1319" spans="1:28" x14ac:dyDescent="0.25">
      <c r="A1319">
        <v>10288</v>
      </c>
      <c r="B1319">
        <v>29</v>
      </c>
      <c r="C1319">
        <v>38.17</v>
      </c>
      <c r="D1319">
        <v>1</v>
      </c>
      <c r="E1319">
        <v>1106.93</v>
      </c>
      <c r="F1319" s="1">
        <v>43709</v>
      </c>
      <c r="G1319" s="2" t="s">
        <v>19</v>
      </c>
      <c r="H1319" s="2" t="s">
        <v>589</v>
      </c>
      <c r="I1319">
        <v>33</v>
      </c>
      <c r="J1319" s="2" t="s">
        <v>670</v>
      </c>
      <c r="K1319" s="2" t="s">
        <v>443</v>
      </c>
      <c r="L1319" s="2" t="s">
        <v>444</v>
      </c>
      <c r="M1319" s="2" t="s">
        <v>445</v>
      </c>
      <c r="N1319" s="2" t="s">
        <v>202</v>
      </c>
      <c r="O1319" s="2" t="s">
        <v>446</v>
      </c>
      <c r="P1319" s="2" t="s">
        <v>202</v>
      </c>
      <c r="Q1319" s="2" t="s">
        <v>447</v>
      </c>
      <c r="R1319" s="2" t="s">
        <v>448</v>
      </c>
      <c r="S1319" s="2" t="s">
        <v>30</v>
      </c>
      <c r="T1319">
        <v>1772</v>
      </c>
      <c r="U1319">
        <f>VLOOKUP(Auto_Sales_data___Copy[[#This Row],[CUSTOMER_NAME]],$AF$2:$AH$90,2,FALSE)</f>
        <v>36</v>
      </c>
      <c r="V1319">
        <f>VLOOKUP(Auto_Sales_data___Copy[[#This Row],[CUSTOMER_NAME]],$AF$2:$AH$90,3,FALSE)</f>
        <v>115498.72999999998</v>
      </c>
      <c r="W1319" s="2">
        <f>6-MATCH(Auto_Sales_data___Copy[[#This Row],[DAYS_SINCE_LAST_ORDER]],Table2[R-Cutoff],1)</f>
        <v>3</v>
      </c>
      <c r="X1319" s="2">
        <f>MATCH(Auto_Sales_data___Copy[[#This Row],[Total_Orders_Per_Customer]],Table2[F-Cutoff],1)</f>
        <v>4</v>
      </c>
      <c r="Y1319" s="2">
        <f>MATCH(Auto_Sales_data___Copy[[#This Row],[Total_Sales_Per_Customer]],Table2[M-Cutoff],1)</f>
        <v>4</v>
      </c>
      <c r="Z1319" s="2" t="str">
        <f>Auto_Sales_data___Copy[[#This Row],[R-Score(1-5)]]&amp;Auto_Sales_data___Copy[[#This Row],[F-Score(1-5)]]&amp;Auto_Sales_data___Copy[[#This Row],[M-Score(1-5)]]</f>
        <v>344</v>
      </c>
      <c r="AA1319" s="2" t="str" cm="1">
        <f t="array" ref="AA13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9" s="2" t="str">
        <f>VLOOKUP(Auto_Sales_data___Copy[[#This Row],[Segment Name]],Table3[],2,FALSE)</f>
        <v>Reward &amp; Upsell</v>
      </c>
    </row>
    <row r="1320" spans="1:28" x14ac:dyDescent="0.25">
      <c r="A1320">
        <v>10288</v>
      </c>
      <c r="B1320">
        <v>35</v>
      </c>
      <c r="C1320">
        <v>80.87</v>
      </c>
      <c r="D1320">
        <v>9</v>
      </c>
      <c r="E1320">
        <v>2830.45</v>
      </c>
      <c r="F1320" s="1">
        <v>43709</v>
      </c>
      <c r="G1320" s="2" t="s">
        <v>19</v>
      </c>
      <c r="H1320" s="2" t="s">
        <v>183</v>
      </c>
      <c r="I1320">
        <v>90</v>
      </c>
      <c r="J1320" s="2" t="s">
        <v>676</v>
      </c>
      <c r="K1320" s="2" t="s">
        <v>443</v>
      </c>
      <c r="L1320" s="2" t="s">
        <v>444</v>
      </c>
      <c r="M1320" s="2" t="s">
        <v>445</v>
      </c>
      <c r="N1320" s="2" t="s">
        <v>202</v>
      </c>
      <c r="O1320" s="2" t="s">
        <v>446</v>
      </c>
      <c r="P1320" s="2" t="s">
        <v>202</v>
      </c>
      <c r="Q1320" s="2" t="s">
        <v>447</v>
      </c>
      <c r="R1320" s="2" t="s">
        <v>448</v>
      </c>
      <c r="S1320" s="2" t="s">
        <v>30</v>
      </c>
      <c r="T1320">
        <v>1922</v>
      </c>
      <c r="U1320">
        <f>VLOOKUP(Auto_Sales_data___Copy[[#This Row],[CUSTOMER_NAME]],$AF$2:$AH$90,2,FALSE)</f>
        <v>36</v>
      </c>
      <c r="V1320">
        <f>VLOOKUP(Auto_Sales_data___Copy[[#This Row],[CUSTOMER_NAME]],$AF$2:$AH$90,3,FALSE)</f>
        <v>115498.72999999998</v>
      </c>
      <c r="W1320" s="2">
        <f>6-MATCH(Auto_Sales_data___Copy[[#This Row],[DAYS_SINCE_LAST_ORDER]],Table2[R-Cutoff],1)</f>
        <v>3</v>
      </c>
      <c r="X1320" s="2">
        <f>MATCH(Auto_Sales_data___Copy[[#This Row],[Total_Orders_Per_Customer]],Table2[F-Cutoff],1)</f>
        <v>4</v>
      </c>
      <c r="Y1320" s="2">
        <f>MATCH(Auto_Sales_data___Copy[[#This Row],[Total_Sales_Per_Customer]],Table2[M-Cutoff],1)</f>
        <v>4</v>
      </c>
      <c r="Z1320" s="2" t="str">
        <f>Auto_Sales_data___Copy[[#This Row],[R-Score(1-5)]]&amp;Auto_Sales_data___Copy[[#This Row],[F-Score(1-5)]]&amp;Auto_Sales_data___Copy[[#This Row],[M-Score(1-5)]]</f>
        <v>344</v>
      </c>
      <c r="AA1320" s="2" t="str" cm="1">
        <f t="array" ref="AA13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0" s="2" t="str">
        <f>VLOOKUP(Auto_Sales_data___Copy[[#This Row],[Segment Name]],Table3[],2,FALSE)</f>
        <v>Reward &amp; Upsell</v>
      </c>
    </row>
    <row r="1321" spans="1:28" x14ac:dyDescent="0.25">
      <c r="A1321">
        <v>10288</v>
      </c>
      <c r="B1321">
        <v>48</v>
      </c>
      <c r="C1321">
        <v>136.22999999999999</v>
      </c>
      <c r="D1321">
        <v>8</v>
      </c>
      <c r="E1321">
        <v>6539.04</v>
      </c>
      <c r="F1321" s="1">
        <v>43709</v>
      </c>
      <c r="G1321" s="2" t="s">
        <v>19</v>
      </c>
      <c r="H1321" s="2" t="s">
        <v>183</v>
      </c>
      <c r="I1321">
        <v>117</v>
      </c>
      <c r="J1321" s="2" t="s">
        <v>679</v>
      </c>
      <c r="K1321" s="2" t="s">
        <v>443</v>
      </c>
      <c r="L1321" s="2" t="s">
        <v>444</v>
      </c>
      <c r="M1321" s="2" t="s">
        <v>445</v>
      </c>
      <c r="N1321" s="2" t="s">
        <v>202</v>
      </c>
      <c r="O1321" s="2" t="s">
        <v>446</v>
      </c>
      <c r="P1321" s="2" t="s">
        <v>202</v>
      </c>
      <c r="Q1321" s="2" t="s">
        <v>447</v>
      </c>
      <c r="R1321" s="2" t="s">
        <v>448</v>
      </c>
      <c r="S1321" s="2" t="s">
        <v>46</v>
      </c>
      <c r="T1321">
        <v>1998</v>
      </c>
      <c r="U1321">
        <f>VLOOKUP(Auto_Sales_data___Copy[[#This Row],[CUSTOMER_NAME]],$AF$2:$AH$90,2,FALSE)</f>
        <v>36</v>
      </c>
      <c r="V1321">
        <f>VLOOKUP(Auto_Sales_data___Copy[[#This Row],[CUSTOMER_NAME]],$AF$2:$AH$90,3,FALSE)</f>
        <v>115498.72999999998</v>
      </c>
      <c r="W1321" s="2">
        <f>6-MATCH(Auto_Sales_data___Copy[[#This Row],[DAYS_SINCE_LAST_ORDER]],Table2[R-Cutoff],1)</f>
        <v>3</v>
      </c>
      <c r="X1321" s="2">
        <f>MATCH(Auto_Sales_data___Copy[[#This Row],[Total_Orders_Per_Customer]],Table2[F-Cutoff],1)</f>
        <v>4</v>
      </c>
      <c r="Y1321" s="2">
        <f>MATCH(Auto_Sales_data___Copy[[#This Row],[Total_Sales_Per_Customer]],Table2[M-Cutoff],1)</f>
        <v>4</v>
      </c>
      <c r="Z1321" s="2" t="str">
        <f>Auto_Sales_data___Copy[[#This Row],[R-Score(1-5)]]&amp;Auto_Sales_data___Copy[[#This Row],[F-Score(1-5)]]&amp;Auto_Sales_data___Copy[[#This Row],[M-Score(1-5)]]</f>
        <v>344</v>
      </c>
      <c r="AA1321" s="2" t="str" cm="1">
        <f t="array" ref="AA13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1" s="2" t="str">
        <f>VLOOKUP(Auto_Sales_data___Copy[[#This Row],[Segment Name]],Table3[],2,FALSE)</f>
        <v>Reward &amp; Upsell</v>
      </c>
    </row>
    <row r="1322" spans="1:28" x14ac:dyDescent="0.25">
      <c r="A1322">
        <v>10289</v>
      </c>
      <c r="B1322">
        <v>45</v>
      </c>
      <c r="C1322">
        <v>48.38</v>
      </c>
      <c r="D1322">
        <v>4</v>
      </c>
      <c r="E1322">
        <v>2177.1</v>
      </c>
      <c r="F1322" s="1">
        <v>43711</v>
      </c>
      <c r="G1322" s="2" t="s">
        <v>19</v>
      </c>
      <c r="H1322" s="2" t="s">
        <v>589</v>
      </c>
      <c r="I1322">
        <v>44</v>
      </c>
      <c r="J1322" s="2" t="s">
        <v>673</v>
      </c>
      <c r="K1322" s="2" t="s">
        <v>68</v>
      </c>
      <c r="L1322" s="2" t="s">
        <v>69</v>
      </c>
      <c r="M1322" s="2" t="s">
        <v>70</v>
      </c>
      <c r="N1322" s="2" t="s">
        <v>71</v>
      </c>
      <c r="O1322" s="2" t="s">
        <v>72</v>
      </c>
      <c r="P1322" s="2" t="s">
        <v>73</v>
      </c>
      <c r="Q1322" s="2" t="s">
        <v>74</v>
      </c>
      <c r="R1322" s="2" t="s">
        <v>75</v>
      </c>
      <c r="S1322" s="2" t="s">
        <v>30</v>
      </c>
      <c r="T1322">
        <v>1845</v>
      </c>
      <c r="U1322">
        <f>VLOOKUP(Auto_Sales_data___Copy[[#This Row],[CUSTOMER_NAME]],$AF$2:$AH$90,2,FALSE)</f>
        <v>29</v>
      </c>
      <c r="V1322">
        <f>VLOOKUP(Auto_Sales_data___Copy[[#This Row],[CUSTOMER_NAME]],$AF$2:$AH$90,3,FALSE)</f>
        <v>111640.28</v>
      </c>
      <c r="W1322" s="2">
        <f>6-MATCH(Auto_Sales_data___Copy[[#This Row],[DAYS_SINCE_LAST_ORDER]],Table2[R-Cutoff],1)</f>
        <v>3</v>
      </c>
      <c r="X1322" s="2">
        <f>MATCH(Auto_Sales_data___Copy[[#This Row],[Total_Orders_Per_Customer]],Table2[F-Cutoff],1)</f>
        <v>4</v>
      </c>
      <c r="Y1322" s="2">
        <f>MATCH(Auto_Sales_data___Copy[[#This Row],[Total_Sales_Per_Customer]],Table2[M-Cutoff],1)</f>
        <v>4</v>
      </c>
      <c r="Z1322" s="2" t="str">
        <f>Auto_Sales_data___Copy[[#This Row],[R-Score(1-5)]]&amp;Auto_Sales_data___Copy[[#This Row],[F-Score(1-5)]]&amp;Auto_Sales_data___Copy[[#This Row],[M-Score(1-5)]]</f>
        <v>344</v>
      </c>
      <c r="AA1322" s="2" t="str" cm="1">
        <f t="array" ref="AA13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2" s="2" t="str">
        <f>VLOOKUP(Auto_Sales_data___Copy[[#This Row],[Segment Name]],Table3[],2,FALSE)</f>
        <v>Reward &amp; Upsell</v>
      </c>
    </row>
    <row r="1323" spans="1:28" x14ac:dyDescent="0.25">
      <c r="A1323">
        <v>10291</v>
      </c>
      <c r="B1323">
        <v>48</v>
      </c>
      <c r="C1323">
        <v>110.18</v>
      </c>
      <c r="D1323">
        <v>5</v>
      </c>
      <c r="E1323">
        <v>5288.64</v>
      </c>
      <c r="F1323" s="1">
        <v>43716</v>
      </c>
      <c r="G1323" s="2" t="s">
        <v>19</v>
      </c>
      <c r="H1323" s="2" t="s">
        <v>537</v>
      </c>
      <c r="I1323">
        <v>121</v>
      </c>
      <c r="J1323" s="2" t="s">
        <v>661</v>
      </c>
      <c r="K1323" s="2" t="s">
        <v>272</v>
      </c>
      <c r="L1323" s="2" t="s">
        <v>273</v>
      </c>
      <c r="M1323" s="2" t="s">
        <v>274</v>
      </c>
      <c r="N1323" s="2" t="s">
        <v>275</v>
      </c>
      <c r="O1323" s="2" t="s">
        <v>276</v>
      </c>
      <c r="P1323" s="2" t="s">
        <v>190</v>
      </c>
      <c r="Q1323" s="2" t="s">
        <v>277</v>
      </c>
      <c r="R1323" s="2" t="s">
        <v>209</v>
      </c>
      <c r="S1323" s="2" t="s">
        <v>46</v>
      </c>
      <c r="T1323">
        <v>1549</v>
      </c>
      <c r="U1323">
        <f>VLOOKUP(Auto_Sales_data___Copy[[#This Row],[CUSTOMER_NAME]],$AF$2:$AH$90,2,FALSE)</f>
        <v>38</v>
      </c>
      <c r="V1323">
        <f>VLOOKUP(Auto_Sales_data___Copy[[#This Row],[CUSTOMER_NAME]],$AF$2:$AH$90,3,FALSE)</f>
        <v>134259.32999999996</v>
      </c>
      <c r="W1323" s="2">
        <f>6-MATCH(Auto_Sales_data___Copy[[#This Row],[DAYS_SINCE_LAST_ORDER]],Table2[R-Cutoff],1)</f>
        <v>3</v>
      </c>
      <c r="X1323" s="2">
        <f>MATCH(Auto_Sales_data___Copy[[#This Row],[Total_Orders_Per_Customer]],Table2[F-Cutoff],1)</f>
        <v>4</v>
      </c>
      <c r="Y1323" s="2">
        <f>MATCH(Auto_Sales_data___Copy[[#This Row],[Total_Sales_Per_Customer]],Table2[M-Cutoff],1)</f>
        <v>4</v>
      </c>
      <c r="Z1323" s="2" t="str">
        <f>Auto_Sales_data___Copy[[#This Row],[R-Score(1-5)]]&amp;Auto_Sales_data___Copy[[#This Row],[F-Score(1-5)]]&amp;Auto_Sales_data___Copy[[#This Row],[M-Score(1-5)]]</f>
        <v>344</v>
      </c>
      <c r="AA1323" s="2" t="str" cm="1">
        <f t="array" ref="AA13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3" s="2" t="str">
        <f>VLOOKUP(Auto_Sales_data___Copy[[#This Row],[Segment Name]],Table3[],2,FALSE)</f>
        <v>Reward &amp; Upsell</v>
      </c>
    </row>
    <row r="1324" spans="1:28" x14ac:dyDescent="0.25">
      <c r="A1324">
        <v>10291</v>
      </c>
      <c r="B1324">
        <v>29</v>
      </c>
      <c r="C1324">
        <v>51.82</v>
      </c>
      <c r="D1324">
        <v>9</v>
      </c>
      <c r="E1324">
        <v>1502.78</v>
      </c>
      <c r="F1324" s="1">
        <v>43716</v>
      </c>
      <c r="G1324" s="2" t="s">
        <v>19</v>
      </c>
      <c r="H1324" s="2" t="s">
        <v>589</v>
      </c>
      <c r="I1324">
        <v>50</v>
      </c>
      <c r="J1324" s="2" t="s">
        <v>662</v>
      </c>
      <c r="K1324" s="2" t="s">
        <v>272</v>
      </c>
      <c r="L1324" s="2" t="s">
        <v>273</v>
      </c>
      <c r="M1324" s="2" t="s">
        <v>274</v>
      </c>
      <c r="N1324" s="2" t="s">
        <v>275</v>
      </c>
      <c r="O1324" s="2" t="s">
        <v>276</v>
      </c>
      <c r="P1324" s="2" t="s">
        <v>190</v>
      </c>
      <c r="Q1324" s="2" t="s">
        <v>277</v>
      </c>
      <c r="R1324" s="2" t="s">
        <v>209</v>
      </c>
      <c r="S1324" s="2" t="s">
        <v>30</v>
      </c>
      <c r="T1324">
        <v>1576</v>
      </c>
      <c r="U1324">
        <f>VLOOKUP(Auto_Sales_data___Copy[[#This Row],[CUSTOMER_NAME]],$AF$2:$AH$90,2,FALSE)</f>
        <v>38</v>
      </c>
      <c r="V1324">
        <f>VLOOKUP(Auto_Sales_data___Copy[[#This Row],[CUSTOMER_NAME]],$AF$2:$AH$90,3,FALSE)</f>
        <v>134259.32999999996</v>
      </c>
      <c r="W1324" s="2">
        <f>6-MATCH(Auto_Sales_data___Copy[[#This Row],[DAYS_SINCE_LAST_ORDER]],Table2[R-Cutoff],1)</f>
        <v>3</v>
      </c>
      <c r="X1324" s="2">
        <f>MATCH(Auto_Sales_data___Copy[[#This Row],[Total_Orders_Per_Customer]],Table2[F-Cutoff],1)</f>
        <v>4</v>
      </c>
      <c r="Y1324" s="2">
        <f>MATCH(Auto_Sales_data___Copy[[#This Row],[Total_Sales_Per_Customer]],Table2[M-Cutoff],1)</f>
        <v>4</v>
      </c>
      <c r="Z1324" s="2" t="str">
        <f>Auto_Sales_data___Copy[[#This Row],[R-Score(1-5)]]&amp;Auto_Sales_data___Copy[[#This Row],[F-Score(1-5)]]&amp;Auto_Sales_data___Copy[[#This Row],[M-Score(1-5)]]</f>
        <v>344</v>
      </c>
      <c r="AA1324" s="2" t="str" cm="1">
        <f t="array" ref="AA13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4" s="2" t="str">
        <f>VLOOKUP(Auto_Sales_data___Copy[[#This Row],[Segment Name]],Table3[],2,FALSE)</f>
        <v>Reward &amp; Upsell</v>
      </c>
    </row>
    <row r="1325" spans="1:28" x14ac:dyDescent="0.25">
      <c r="A1325">
        <v>10292</v>
      </c>
      <c r="B1325">
        <v>40</v>
      </c>
      <c r="C1325">
        <v>53.75</v>
      </c>
      <c r="D1325">
        <v>5</v>
      </c>
      <c r="E1325">
        <v>2150</v>
      </c>
      <c r="F1325" s="1">
        <v>43716</v>
      </c>
      <c r="G1325" s="2" t="s">
        <v>19</v>
      </c>
      <c r="H1325" s="2" t="s">
        <v>183</v>
      </c>
      <c r="I1325">
        <v>57</v>
      </c>
      <c r="J1325" s="2" t="s">
        <v>666</v>
      </c>
      <c r="K1325" s="2" t="s">
        <v>22</v>
      </c>
      <c r="L1325" s="2" t="s">
        <v>23</v>
      </c>
      <c r="M1325" s="2" t="s">
        <v>24</v>
      </c>
      <c r="N1325" s="2" t="s">
        <v>25</v>
      </c>
      <c r="O1325" s="2" t="s">
        <v>26</v>
      </c>
      <c r="P1325" s="2" t="s">
        <v>27</v>
      </c>
      <c r="Q1325" s="2" t="s">
        <v>28</v>
      </c>
      <c r="R1325" s="2" t="s">
        <v>29</v>
      </c>
      <c r="S1325" s="2" t="s">
        <v>30</v>
      </c>
      <c r="T1325">
        <v>1670</v>
      </c>
      <c r="U1325">
        <f>VLOOKUP(Auto_Sales_data___Copy[[#This Row],[CUSTOMER_NAME]],$AF$2:$AH$90,2,FALSE)</f>
        <v>49</v>
      </c>
      <c r="V1325">
        <f>VLOOKUP(Auto_Sales_data___Copy[[#This Row],[CUSTOMER_NAME]],$AF$2:$AH$90,3,FALSE)</f>
        <v>164069.43999999997</v>
      </c>
      <c r="W1325" s="2">
        <f>6-MATCH(Auto_Sales_data___Copy[[#This Row],[DAYS_SINCE_LAST_ORDER]],Table2[R-Cutoff],1)</f>
        <v>3</v>
      </c>
      <c r="X1325" s="2">
        <f>MATCH(Auto_Sales_data___Copy[[#This Row],[Total_Orders_Per_Customer]],Table2[F-Cutoff],1)</f>
        <v>4</v>
      </c>
      <c r="Y1325" s="2">
        <f>MATCH(Auto_Sales_data___Copy[[#This Row],[Total_Sales_Per_Customer]],Table2[M-Cutoff],1)</f>
        <v>4</v>
      </c>
      <c r="Z1325" s="2" t="str">
        <f>Auto_Sales_data___Copy[[#This Row],[R-Score(1-5)]]&amp;Auto_Sales_data___Copy[[#This Row],[F-Score(1-5)]]&amp;Auto_Sales_data___Copy[[#This Row],[M-Score(1-5)]]</f>
        <v>344</v>
      </c>
      <c r="AA1325" s="2" t="str" cm="1">
        <f t="array" ref="AA13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5" s="2" t="str">
        <f>VLOOKUP(Auto_Sales_data___Copy[[#This Row],[Segment Name]],Table3[],2,FALSE)</f>
        <v>Reward &amp; Upsell</v>
      </c>
    </row>
    <row r="1326" spans="1:28" x14ac:dyDescent="0.25">
      <c r="A1326">
        <v>10291</v>
      </c>
      <c r="B1326">
        <v>48</v>
      </c>
      <c r="C1326">
        <v>112.46</v>
      </c>
      <c r="D1326">
        <v>1</v>
      </c>
      <c r="E1326">
        <v>5398.08</v>
      </c>
      <c r="F1326" s="1">
        <v>43716</v>
      </c>
      <c r="G1326" s="2" t="s">
        <v>19</v>
      </c>
      <c r="H1326" s="2" t="s">
        <v>537</v>
      </c>
      <c r="I1326">
        <v>127</v>
      </c>
      <c r="J1326" s="2" t="s">
        <v>674</v>
      </c>
      <c r="K1326" s="2" t="s">
        <v>272</v>
      </c>
      <c r="L1326" s="2" t="s">
        <v>273</v>
      </c>
      <c r="M1326" s="2" t="s">
        <v>274</v>
      </c>
      <c r="N1326" s="2" t="s">
        <v>275</v>
      </c>
      <c r="O1326" s="2" t="s">
        <v>276</v>
      </c>
      <c r="P1326" s="2" t="s">
        <v>190</v>
      </c>
      <c r="Q1326" s="2" t="s">
        <v>277</v>
      </c>
      <c r="R1326" s="2" t="s">
        <v>209</v>
      </c>
      <c r="S1326" s="2" t="s">
        <v>46</v>
      </c>
      <c r="T1326">
        <v>1867</v>
      </c>
      <c r="U1326">
        <f>VLOOKUP(Auto_Sales_data___Copy[[#This Row],[CUSTOMER_NAME]],$AF$2:$AH$90,2,FALSE)</f>
        <v>38</v>
      </c>
      <c r="V1326">
        <f>VLOOKUP(Auto_Sales_data___Copy[[#This Row],[CUSTOMER_NAME]],$AF$2:$AH$90,3,FALSE)</f>
        <v>134259.32999999996</v>
      </c>
      <c r="W1326" s="2">
        <f>6-MATCH(Auto_Sales_data___Copy[[#This Row],[DAYS_SINCE_LAST_ORDER]],Table2[R-Cutoff],1)</f>
        <v>3</v>
      </c>
      <c r="X1326" s="2">
        <f>MATCH(Auto_Sales_data___Copy[[#This Row],[Total_Orders_Per_Customer]],Table2[F-Cutoff],1)</f>
        <v>4</v>
      </c>
      <c r="Y1326" s="2">
        <f>MATCH(Auto_Sales_data___Copy[[#This Row],[Total_Sales_Per_Customer]],Table2[M-Cutoff],1)</f>
        <v>4</v>
      </c>
      <c r="Z1326" s="2" t="str">
        <f>Auto_Sales_data___Copy[[#This Row],[R-Score(1-5)]]&amp;Auto_Sales_data___Copy[[#This Row],[F-Score(1-5)]]&amp;Auto_Sales_data___Copy[[#This Row],[M-Score(1-5)]]</f>
        <v>344</v>
      </c>
      <c r="AA1326" s="2" t="str" cm="1">
        <f t="array" ref="AA13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6" s="2" t="str">
        <f>VLOOKUP(Auto_Sales_data___Copy[[#This Row],[Segment Name]],Table3[],2,FALSE)</f>
        <v>Reward &amp; Upsell</v>
      </c>
    </row>
    <row r="1327" spans="1:28" x14ac:dyDescent="0.25">
      <c r="A1327">
        <v>10292</v>
      </c>
      <c r="B1327">
        <v>39</v>
      </c>
      <c r="C1327">
        <v>30.06</v>
      </c>
      <c r="D1327">
        <v>9</v>
      </c>
      <c r="E1327">
        <v>1172.3399999999999</v>
      </c>
      <c r="F1327" s="1">
        <v>43716</v>
      </c>
      <c r="G1327" s="2" t="s">
        <v>19</v>
      </c>
      <c r="H1327" s="2" t="s">
        <v>183</v>
      </c>
      <c r="I1327">
        <v>35</v>
      </c>
      <c r="J1327" s="2" t="s">
        <v>677</v>
      </c>
      <c r="K1327" s="2" t="s">
        <v>22</v>
      </c>
      <c r="L1327" s="2" t="s">
        <v>23</v>
      </c>
      <c r="M1327" s="2" t="s">
        <v>24</v>
      </c>
      <c r="N1327" s="2" t="s">
        <v>25</v>
      </c>
      <c r="O1327" s="2" t="s">
        <v>26</v>
      </c>
      <c r="P1327" s="2" t="s">
        <v>27</v>
      </c>
      <c r="Q1327" s="2" t="s">
        <v>28</v>
      </c>
      <c r="R1327" s="2" t="s">
        <v>29</v>
      </c>
      <c r="S1327" s="2" t="s">
        <v>30</v>
      </c>
      <c r="T1327">
        <v>1941</v>
      </c>
      <c r="U1327">
        <f>VLOOKUP(Auto_Sales_data___Copy[[#This Row],[CUSTOMER_NAME]],$AF$2:$AH$90,2,FALSE)</f>
        <v>49</v>
      </c>
      <c r="V1327">
        <f>VLOOKUP(Auto_Sales_data___Copy[[#This Row],[CUSTOMER_NAME]],$AF$2:$AH$90,3,FALSE)</f>
        <v>164069.43999999997</v>
      </c>
      <c r="W1327" s="2">
        <f>6-MATCH(Auto_Sales_data___Copy[[#This Row],[DAYS_SINCE_LAST_ORDER]],Table2[R-Cutoff],1)</f>
        <v>3</v>
      </c>
      <c r="X1327" s="2">
        <f>MATCH(Auto_Sales_data___Copy[[#This Row],[Total_Orders_Per_Customer]],Table2[F-Cutoff],1)</f>
        <v>4</v>
      </c>
      <c r="Y1327" s="2">
        <f>MATCH(Auto_Sales_data___Copy[[#This Row],[Total_Sales_Per_Customer]],Table2[M-Cutoff],1)</f>
        <v>4</v>
      </c>
      <c r="Z1327" s="2" t="str">
        <f>Auto_Sales_data___Copy[[#This Row],[R-Score(1-5)]]&amp;Auto_Sales_data___Copy[[#This Row],[F-Score(1-5)]]&amp;Auto_Sales_data___Copy[[#This Row],[M-Score(1-5)]]</f>
        <v>344</v>
      </c>
      <c r="AA1327" s="2" t="str" cm="1">
        <f t="array" ref="AA13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7" s="2" t="str">
        <f>VLOOKUP(Auto_Sales_data___Copy[[#This Row],[Segment Name]],Table3[],2,FALSE)</f>
        <v>Reward &amp; Upsell</v>
      </c>
    </row>
    <row r="1328" spans="1:28" x14ac:dyDescent="0.25">
      <c r="A1328">
        <v>10299</v>
      </c>
      <c r="B1328">
        <v>49</v>
      </c>
      <c r="C1328">
        <v>162.19</v>
      </c>
      <c r="D1328">
        <v>2</v>
      </c>
      <c r="E1328">
        <v>7947.31</v>
      </c>
      <c r="F1328" s="1">
        <v>43738</v>
      </c>
      <c r="G1328" s="2" t="s">
        <v>19</v>
      </c>
      <c r="H1328" s="2" t="s">
        <v>183</v>
      </c>
      <c r="I1328">
        <v>148</v>
      </c>
      <c r="J1328" s="2" t="s">
        <v>663</v>
      </c>
      <c r="K1328" s="2" t="s">
        <v>122</v>
      </c>
      <c r="L1328" s="2" t="s">
        <v>123</v>
      </c>
      <c r="M1328" s="2" t="s">
        <v>124</v>
      </c>
      <c r="N1328" s="2" t="s">
        <v>125</v>
      </c>
      <c r="O1328" s="2" t="s">
        <v>126</v>
      </c>
      <c r="P1328" s="2" t="s">
        <v>127</v>
      </c>
      <c r="Q1328" s="2" t="s">
        <v>128</v>
      </c>
      <c r="R1328" s="2" t="s">
        <v>129</v>
      </c>
      <c r="S1328" s="2" t="s">
        <v>151</v>
      </c>
      <c r="T1328">
        <v>1578</v>
      </c>
      <c r="U1328">
        <f>VLOOKUP(Auto_Sales_data___Copy[[#This Row],[CUSTOMER_NAME]],$AF$2:$AH$90,2,FALSE)</f>
        <v>30</v>
      </c>
      <c r="V1328">
        <f>VLOOKUP(Auto_Sales_data___Copy[[#This Row],[CUSTOMER_NAME]],$AF$2:$AH$90,3,FALSE)</f>
        <v>111250.37999999999</v>
      </c>
      <c r="W1328" s="2">
        <f>6-MATCH(Auto_Sales_data___Copy[[#This Row],[DAYS_SINCE_LAST_ORDER]],Table2[R-Cutoff],1)</f>
        <v>3</v>
      </c>
      <c r="X1328" s="2">
        <f>MATCH(Auto_Sales_data___Copy[[#This Row],[Total_Orders_Per_Customer]],Table2[F-Cutoff],1)</f>
        <v>4</v>
      </c>
      <c r="Y1328" s="2">
        <f>MATCH(Auto_Sales_data___Copy[[#This Row],[Total_Sales_Per_Customer]],Table2[M-Cutoff],1)</f>
        <v>4</v>
      </c>
      <c r="Z1328" s="2" t="str">
        <f>Auto_Sales_data___Copy[[#This Row],[R-Score(1-5)]]&amp;Auto_Sales_data___Copy[[#This Row],[F-Score(1-5)]]&amp;Auto_Sales_data___Copy[[#This Row],[M-Score(1-5)]]</f>
        <v>344</v>
      </c>
      <c r="AA1328" s="2" t="str" cm="1">
        <f t="array" ref="AA13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8" s="2" t="str">
        <f>VLOOKUP(Auto_Sales_data___Copy[[#This Row],[Segment Name]],Table3[],2,FALSE)</f>
        <v>Reward &amp; Upsell</v>
      </c>
    </row>
    <row r="1329" spans="1:28" x14ac:dyDescent="0.25">
      <c r="A1329">
        <v>10299</v>
      </c>
      <c r="B1329">
        <v>47</v>
      </c>
      <c r="C1329">
        <v>116.08</v>
      </c>
      <c r="D1329">
        <v>10</v>
      </c>
      <c r="E1329">
        <v>5455.76</v>
      </c>
      <c r="F1329" s="1">
        <v>43738</v>
      </c>
      <c r="G1329" s="2" t="s">
        <v>19</v>
      </c>
      <c r="H1329" s="2" t="s">
        <v>20</v>
      </c>
      <c r="I1329">
        <v>112</v>
      </c>
      <c r="J1329" s="2" t="s">
        <v>667</v>
      </c>
      <c r="K1329" s="2" t="s">
        <v>122</v>
      </c>
      <c r="L1329" s="2" t="s">
        <v>123</v>
      </c>
      <c r="M1329" s="2" t="s">
        <v>124</v>
      </c>
      <c r="N1329" s="2" t="s">
        <v>125</v>
      </c>
      <c r="O1329" s="2" t="s">
        <v>126</v>
      </c>
      <c r="P1329" s="2" t="s">
        <v>127</v>
      </c>
      <c r="Q1329" s="2" t="s">
        <v>128</v>
      </c>
      <c r="R1329" s="2" t="s">
        <v>129</v>
      </c>
      <c r="S1329" s="2" t="s">
        <v>46</v>
      </c>
      <c r="T1329">
        <v>1674</v>
      </c>
      <c r="U1329">
        <f>VLOOKUP(Auto_Sales_data___Copy[[#This Row],[CUSTOMER_NAME]],$AF$2:$AH$90,2,FALSE)</f>
        <v>30</v>
      </c>
      <c r="V1329">
        <f>VLOOKUP(Auto_Sales_data___Copy[[#This Row],[CUSTOMER_NAME]],$AF$2:$AH$90,3,FALSE)</f>
        <v>111250.37999999999</v>
      </c>
      <c r="W1329" s="2">
        <f>6-MATCH(Auto_Sales_data___Copy[[#This Row],[DAYS_SINCE_LAST_ORDER]],Table2[R-Cutoff],1)</f>
        <v>3</v>
      </c>
      <c r="X1329" s="2">
        <f>MATCH(Auto_Sales_data___Copy[[#This Row],[Total_Orders_Per_Customer]],Table2[F-Cutoff],1)</f>
        <v>4</v>
      </c>
      <c r="Y1329" s="2">
        <f>MATCH(Auto_Sales_data___Copy[[#This Row],[Total_Sales_Per_Customer]],Table2[M-Cutoff],1)</f>
        <v>4</v>
      </c>
      <c r="Z1329" s="2" t="str">
        <f>Auto_Sales_data___Copy[[#This Row],[R-Score(1-5)]]&amp;Auto_Sales_data___Copy[[#This Row],[F-Score(1-5)]]&amp;Auto_Sales_data___Copy[[#This Row],[M-Score(1-5)]]</f>
        <v>344</v>
      </c>
      <c r="AA1329" s="2" t="str" cm="1">
        <f t="array" ref="AA13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9" s="2" t="str">
        <f>VLOOKUP(Auto_Sales_data___Copy[[#This Row],[Segment Name]],Table3[],2,FALSE)</f>
        <v>Reward &amp; Upsell</v>
      </c>
    </row>
    <row r="1330" spans="1:28" x14ac:dyDescent="0.25">
      <c r="A1330">
        <v>10299</v>
      </c>
      <c r="B1330">
        <v>33</v>
      </c>
      <c r="C1330">
        <v>66.489999999999995</v>
      </c>
      <c r="D1330">
        <v>6</v>
      </c>
      <c r="E1330">
        <v>2194.17</v>
      </c>
      <c r="F1330" s="1">
        <v>43738</v>
      </c>
      <c r="G1330" s="2" t="s">
        <v>19</v>
      </c>
      <c r="H1330" s="2" t="s">
        <v>20</v>
      </c>
      <c r="I1330">
        <v>69</v>
      </c>
      <c r="J1330" s="2" t="s">
        <v>675</v>
      </c>
      <c r="K1330" s="2" t="s">
        <v>122</v>
      </c>
      <c r="L1330" s="2" t="s">
        <v>123</v>
      </c>
      <c r="M1330" s="2" t="s">
        <v>124</v>
      </c>
      <c r="N1330" s="2" t="s">
        <v>125</v>
      </c>
      <c r="O1330" s="2" t="s">
        <v>126</v>
      </c>
      <c r="P1330" s="2" t="s">
        <v>127</v>
      </c>
      <c r="Q1330" s="2" t="s">
        <v>128</v>
      </c>
      <c r="R1330" s="2" t="s">
        <v>129</v>
      </c>
      <c r="S1330" s="2" t="s">
        <v>30</v>
      </c>
      <c r="T1330">
        <v>1870</v>
      </c>
      <c r="U1330">
        <f>VLOOKUP(Auto_Sales_data___Copy[[#This Row],[CUSTOMER_NAME]],$AF$2:$AH$90,2,FALSE)</f>
        <v>30</v>
      </c>
      <c r="V1330">
        <f>VLOOKUP(Auto_Sales_data___Copy[[#This Row],[CUSTOMER_NAME]],$AF$2:$AH$90,3,FALSE)</f>
        <v>111250.37999999999</v>
      </c>
      <c r="W1330" s="2">
        <f>6-MATCH(Auto_Sales_data___Copy[[#This Row],[DAYS_SINCE_LAST_ORDER]],Table2[R-Cutoff],1)</f>
        <v>3</v>
      </c>
      <c r="X1330" s="2">
        <f>MATCH(Auto_Sales_data___Copy[[#This Row],[Total_Orders_Per_Customer]],Table2[F-Cutoff],1)</f>
        <v>4</v>
      </c>
      <c r="Y1330" s="2">
        <f>MATCH(Auto_Sales_data___Copy[[#This Row],[Total_Sales_Per_Customer]],Table2[M-Cutoff],1)</f>
        <v>4</v>
      </c>
      <c r="Z1330" s="2" t="str">
        <f>Auto_Sales_data___Copy[[#This Row],[R-Score(1-5)]]&amp;Auto_Sales_data___Copy[[#This Row],[F-Score(1-5)]]&amp;Auto_Sales_data___Copy[[#This Row],[M-Score(1-5)]]</f>
        <v>344</v>
      </c>
      <c r="AA1330" s="2" t="str" cm="1">
        <f t="array" ref="AA13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0" s="2" t="str">
        <f>VLOOKUP(Auto_Sales_data___Copy[[#This Row],[Segment Name]],Table3[],2,FALSE)</f>
        <v>Reward &amp; Upsell</v>
      </c>
    </row>
    <row r="1331" spans="1:28" x14ac:dyDescent="0.25">
      <c r="A1331">
        <v>10305</v>
      </c>
      <c r="B1331">
        <v>22</v>
      </c>
      <c r="C1331">
        <v>99.29</v>
      </c>
      <c r="D1331">
        <v>14</v>
      </c>
      <c r="E1331">
        <v>2184.38</v>
      </c>
      <c r="F1331" s="1">
        <v>43751</v>
      </c>
      <c r="G1331" s="2" t="s">
        <v>19</v>
      </c>
      <c r="H1331" s="2" t="s">
        <v>537</v>
      </c>
      <c r="I1331">
        <v>121</v>
      </c>
      <c r="J1331" s="2" t="s">
        <v>661</v>
      </c>
      <c r="K1331" s="2" t="s">
        <v>115</v>
      </c>
      <c r="L1331" s="2" t="s">
        <v>116</v>
      </c>
      <c r="M1331" s="2" t="s">
        <v>117</v>
      </c>
      <c r="N1331" s="2" t="s">
        <v>118</v>
      </c>
      <c r="O1331" s="2" t="s">
        <v>119</v>
      </c>
      <c r="P1331" s="2" t="s">
        <v>27</v>
      </c>
      <c r="Q1331" s="2" t="s">
        <v>120</v>
      </c>
      <c r="R1331" s="2" t="s">
        <v>121</v>
      </c>
      <c r="S1331" s="2" t="s">
        <v>30</v>
      </c>
      <c r="T1331">
        <v>1515</v>
      </c>
      <c r="U1331">
        <f>VLOOKUP(Auto_Sales_data___Copy[[#This Row],[CUSTOMER_NAME]],$AF$2:$AH$90,2,FALSE)</f>
        <v>27</v>
      </c>
      <c r="V1331">
        <f>VLOOKUP(Auto_Sales_data___Copy[[#This Row],[CUSTOMER_NAME]],$AF$2:$AH$90,3,FALSE)</f>
        <v>103080.37999999998</v>
      </c>
      <c r="W1331" s="2">
        <f>6-MATCH(Auto_Sales_data___Copy[[#This Row],[DAYS_SINCE_LAST_ORDER]],Table2[R-Cutoff],1)</f>
        <v>3</v>
      </c>
      <c r="X1331" s="2">
        <f>MATCH(Auto_Sales_data___Copy[[#This Row],[Total_Orders_Per_Customer]],Table2[F-Cutoff],1)</f>
        <v>4</v>
      </c>
      <c r="Y1331" s="2">
        <f>MATCH(Auto_Sales_data___Copy[[#This Row],[Total_Sales_Per_Customer]],Table2[M-Cutoff],1)</f>
        <v>4</v>
      </c>
      <c r="Z1331" s="2" t="str">
        <f>Auto_Sales_data___Copy[[#This Row],[R-Score(1-5)]]&amp;Auto_Sales_data___Copy[[#This Row],[F-Score(1-5)]]&amp;Auto_Sales_data___Copy[[#This Row],[M-Score(1-5)]]</f>
        <v>344</v>
      </c>
      <c r="AA1331" s="2" t="str" cm="1">
        <f t="array" ref="AA13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1" s="2" t="str">
        <f>VLOOKUP(Auto_Sales_data___Copy[[#This Row],[Segment Name]],Table3[],2,FALSE)</f>
        <v>Reward &amp; Upsell</v>
      </c>
    </row>
    <row r="1332" spans="1:28" x14ac:dyDescent="0.25">
      <c r="A1332">
        <v>10305</v>
      </c>
      <c r="B1332">
        <v>45</v>
      </c>
      <c r="C1332">
        <v>61.85</v>
      </c>
      <c r="D1332">
        <v>2</v>
      </c>
      <c r="E1332">
        <v>2783.25</v>
      </c>
      <c r="F1332" s="1">
        <v>43751</v>
      </c>
      <c r="G1332" s="2" t="s">
        <v>19</v>
      </c>
      <c r="H1332" s="2" t="s">
        <v>183</v>
      </c>
      <c r="I1332">
        <v>57</v>
      </c>
      <c r="J1332" s="2" t="s">
        <v>666</v>
      </c>
      <c r="K1332" s="2" t="s">
        <v>115</v>
      </c>
      <c r="L1332" s="2" t="s">
        <v>116</v>
      </c>
      <c r="M1332" s="2" t="s">
        <v>117</v>
      </c>
      <c r="N1332" s="2" t="s">
        <v>118</v>
      </c>
      <c r="O1332" s="2" t="s">
        <v>119</v>
      </c>
      <c r="P1332" s="2" t="s">
        <v>27</v>
      </c>
      <c r="Q1332" s="2" t="s">
        <v>120</v>
      </c>
      <c r="R1332" s="2" t="s">
        <v>121</v>
      </c>
      <c r="S1332" s="2" t="s">
        <v>30</v>
      </c>
      <c r="T1332">
        <v>1636</v>
      </c>
      <c r="U1332">
        <f>VLOOKUP(Auto_Sales_data___Copy[[#This Row],[CUSTOMER_NAME]],$AF$2:$AH$90,2,FALSE)</f>
        <v>27</v>
      </c>
      <c r="V1332">
        <f>VLOOKUP(Auto_Sales_data___Copy[[#This Row],[CUSTOMER_NAME]],$AF$2:$AH$90,3,FALSE)</f>
        <v>103080.37999999998</v>
      </c>
      <c r="W1332" s="2">
        <f>6-MATCH(Auto_Sales_data___Copy[[#This Row],[DAYS_SINCE_LAST_ORDER]],Table2[R-Cutoff],1)</f>
        <v>3</v>
      </c>
      <c r="X1332" s="2">
        <f>MATCH(Auto_Sales_data___Copy[[#This Row],[Total_Orders_Per_Customer]],Table2[F-Cutoff],1)</f>
        <v>4</v>
      </c>
      <c r="Y1332" s="2">
        <f>MATCH(Auto_Sales_data___Copy[[#This Row],[Total_Sales_Per_Customer]],Table2[M-Cutoff],1)</f>
        <v>4</v>
      </c>
      <c r="Z1332" s="2" t="str">
        <f>Auto_Sales_data___Copy[[#This Row],[R-Score(1-5)]]&amp;Auto_Sales_data___Copy[[#This Row],[F-Score(1-5)]]&amp;Auto_Sales_data___Copy[[#This Row],[M-Score(1-5)]]</f>
        <v>344</v>
      </c>
      <c r="AA1332" s="2" t="str" cm="1">
        <f t="array" ref="AA13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2" s="2" t="str">
        <f>VLOOKUP(Auto_Sales_data___Copy[[#This Row],[Segment Name]],Table3[],2,FALSE)</f>
        <v>Reward &amp; Upsell</v>
      </c>
    </row>
    <row r="1333" spans="1:28" x14ac:dyDescent="0.25">
      <c r="A1333">
        <v>10305</v>
      </c>
      <c r="B1333">
        <v>24</v>
      </c>
      <c r="C1333">
        <v>132.9</v>
      </c>
      <c r="D1333">
        <v>10</v>
      </c>
      <c r="E1333">
        <v>3189.6</v>
      </c>
      <c r="F1333" s="1">
        <v>43751</v>
      </c>
      <c r="G1333" s="2" t="s">
        <v>19</v>
      </c>
      <c r="H1333" s="2" t="s">
        <v>537</v>
      </c>
      <c r="I1333">
        <v>127</v>
      </c>
      <c r="J1333" s="2" t="s">
        <v>674</v>
      </c>
      <c r="K1333" s="2" t="s">
        <v>115</v>
      </c>
      <c r="L1333" s="2" t="s">
        <v>116</v>
      </c>
      <c r="M1333" s="2" t="s">
        <v>117</v>
      </c>
      <c r="N1333" s="2" t="s">
        <v>118</v>
      </c>
      <c r="O1333" s="2" t="s">
        <v>119</v>
      </c>
      <c r="P1333" s="2" t="s">
        <v>27</v>
      </c>
      <c r="Q1333" s="2" t="s">
        <v>120</v>
      </c>
      <c r="R1333" s="2" t="s">
        <v>121</v>
      </c>
      <c r="S1333" s="2" t="s">
        <v>46</v>
      </c>
      <c r="T1333">
        <v>1833</v>
      </c>
      <c r="U1333">
        <f>VLOOKUP(Auto_Sales_data___Copy[[#This Row],[CUSTOMER_NAME]],$AF$2:$AH$90,2,FALSE)</f>
        <v>27</v>
      </c>
      <c r="V1333">
        <f>VLOOKUP(Auto_Sales_data___Copy[[#This Row],[CUSTOMER_NAME]],$AF$2:$AH$90,3,FALSE)</f>
        <v>103080.37999999998</v>
      </c>
      <c r="W1333" s="2">
        <f>6-MATCH(Auto_Sales_data___Copy[[#This Row],[DAYS_SINCE_LAST_ORDER]],Table2[R-Cutoff],1)</f>
        <v>3</v>
      </c>
      <c r="X1333" s="2">
        <f>MATCH(Auto_Sales_data___Copy[[#This Row],[Total_Orders_Per_Customer]],Table2[F-Cutoff],1)</f>
        <v>4</v>
      </c>
      <c r="Y1333" s="2">
        <f>MATCH(Auto_Sales_data___Copy[[#This Row],[Total_Sales_Per_Customer]],Table2[M-Cutoff],1)</f>
        <v>4</v>
      </c>
      <c r="Z1333" s="2" t="str">
        <f>Auto_Sales_data___Copy[[#This Row],[R-Score(1-5)]]&amp;Auto_Sales_data___Copy[[#This Row],[F-Score(1-5)]]&amp;Auto_Sales_data___Copy[[#This Row],[M-Score(1-5)]]</f>
        <v>344</v>
      </c>
      <c r="AA1333" s="2" t="str" cm="1">
        <f t="array" ref="AA13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3" s="2" t="str">
        <f>VLOOKUP(Auto_Sales_data___Copy[[#This Row],[Segment Name]],Table3[],2,FALSE)</f>
        <v>Reward &amp; Upsell</v>
      </c>
    </row>
    <row r="1334" spans="1:28" x14ac:dyDescent="0.25">
      <c r="A1334">
        <v>10305</v>
      </c>
      <c r="B1334">
        <v>48</v>
      </c>
      <c r="C1334">
        <v>31.47</v>
      </c>
      <c r="D1334">
        <v>6</v>
      </c>
      <c r="E1334">
        <v>1510.56</v>
      </c>
      <c r="F1334" s="1">
        <v>43751</v>
      </c>
      <c r="G1334" s="2" t="s">
        <v>19</v>
      </c>
      <c r="H1334" s="2" t="s">
        <v>183</v>
      </c>
      <c r="I1334">
        <v>35</v>
      </c>
      <c r="J1334" s="2" t="s">
        <v>677</v>
      </c>
      <c r="K1334" s="2" t="s">
        <v>115</v>
      </c>
      <c r="L1334" s="2" t="s">
        <v>116</v>
      </c>
      <c r="M1334" s="2" t="s">
        <v>117</v>
      </c>
      <c r="N1334" s="2" t="s">
        <v>118</v>
      </c>
      <c r="O1334" s="2" t="s">
        <v>119</v>
      </c>
      <c r="P1334" s="2" t="s">
        <v>27</v>
      </c>
      <c r="Q1334" s="2" t="s">
        <v>120</v>
      </c>
      <c r="R1334" s="2" t="s">
        <v>121</v>
      </c>
      <c r="S1334" s="2" t="s">
        <v>30</v>
      </c>
      <c r="T1334">
        <v>1907</v>
      </c>
      <c r="U1334">
        <f>VLOOKUP(Auto_Sales_data___Copy[[#This Row],[CUSTOMER_NAME]],$AF$2:$AH$90,2,FALSE)</f>
        <v>27</v>
      </c>
      <c r="V1334">
        <f>VLOOKUP(Auto_Sales_data___Copy[[#This Row],[CUSTOMER_NAME]],$AF$2:$AH$90,3,FALSE)</f>
        <v>103080.37999999998</v>
      </c>
      <c r="W1334" s="2">
        <f>6-MATCH(Auto_Sales_data___Copy[[#This Row],[DAYS_SINCE_LAST_ORDER]],Table2[R-Cutoff],1)</f>
        <v>3</v>
      </c>
      <c r="X1334" s="2">
        <f>MATCH(Auto_Sales_data___Copy[[#This Row],[Total_Orders_Per_Customer]],Table2[F-Cutoff],1)</f>
        <v>4</v>
      </c>
      <c r="Y1334" s="2">
        <f>MATCH(Auto_Sales_data___Copy[[#This Row],[Total_Sales_Per_Customer]],Table2[M-Cutoff],1)</f>
        <v>4</v>
      </c>
      <c r="Z1334" s="2" t="str">
        <f>Auto_Sales_data___Copy[[#This Row],[R-Score(1-5)]]&amp;Auto_Sales_data___Copy[[#This Row],[F-Score(1-5)]]&amp;Auto_Sales_data___Copy[[#This Row],[M-Score(1-5)]]</f>
        <v>344</v>
      </c>
      <c r="AA1334" s="2" t="str" cm="1">
        <f t="array" ref="AA13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4" s="2" t="str">
        <f>VLOOKUP(Auto_Sales_data___Copy[[#This Row],[Segment Name]],Table3[],2,FALSE)</f>
        <v>Reward &amp; Upsell</v>
      </c>
    </row>
    <row r="1335" spans="1:28" x14ac:dyDescent="0.25">
      <c r="A1335">
        <v>10306</v>
      </c>
      <c r="B1335">
        <v>29</v>
      </c>
      <c r="C1335">
        <v>110.6</v>
      </c>
      <c r="D1335">
        <v>7</v>
      </c>
      <c r="E1335">
        <v>3207.4</v>
      </c>
      <c r="F1335" s="1">
        <v>43752</v>
      </c>
      <c r="G1335" s="2" t="s">
        <v>19</v>
      </c>
      <c r="H1335" s="2" t="s">
        <v>642</v>
      </c>
      <c r="I1335">
        <v>122</v>
      </c>
      <c r="J1335" s="2" t="s">
        <v>672</v>
      </c>
      <c r="K1335" s="2" t="s">
        <v>523</v>
      </c>
      <c r="L1335" s="2" t="s">
        <v>524</v>
      </c>
      <c r="M1335" s="2" t="s">
        <v>525</v>
      </c>
      <c r="N1335" s="2" t="s">
        <v>526</v>
      </c>
      <c r="O1335" s="2" t="s">
        <v>527</v>
      </c>
      <c r="P1335" s="2" t="s">
        <v>171</v>
      </c>
      <c r="Q1335" s="2" t="s">
        <v>528</v>
      </c>
      <c r="R1335" s="2" t="s">
        <v>529</v>
      </c>
      <c r="S1335" s="2" t="s">
        <v>46</v>
      </c>
      <c r="T1335">
        <v>1783</v>
      </c>
      <c r="U1335">
        <f>VLOOKUP(Auto_Sales_data___Copy[[#This Row],[CUSTOMER_NAME]],$AF$2:$AH$90,2,FALSE)</f>
        <v>51</v>
      </c>
      <c r="V1335">
        <f>VLOOKUP(Auto_Sales_data___Copy[[#This Row],[CUSTOMER_NAME]],$AF$2:$AH$90,3,FALSE)</f>
        <v>157807.80999999994</v>
      </c>
      <c r="W1335" s="2">
        <f>6-MATCH(Auto_Sales_data___Copy[[#This Row],[DAYS_SINCE_LAST_ORDER]],Table2[R-Cutoff],1)</f>
        <v>3</v>
      </c>
      <c r="X1335" s="2">
        <f>MATCH(Auto_Sales_data___Copy[[#This Row],[Total_Orders_Per_Customer]],Table2[F-Cutoff],1)</f>
        <v>4</v>
      </c>
      <c r="Y1335" s="2">
        <f>MATCH(Auto_Sales_data___Copy[[#This Row],[Total_Sales_Per_Customer]],Table2[M-Cutoff],1)</f>
        <v>4</v>
      </c>
      <c r="Z1335" s="2" t="str">
        <f>Auto_Sales_data___Copy[[#This Row],[R-Score(1-5)]]&amp;Auto_Sales_data___Copy[[#This Row],[F-Score(1-5)]]&amp;Auto_Sales_data___Copy[[#This Row],[M-Score(1-5)]]</f>
        <v>344</v>
      </c>
      <c r="AA1335" s="2" t="str" cm="1">
        <f t="array" ref="AA13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5" s="2" t="str">
        <f>VLOOKUP(Auto_Sales_data___Copy[[#This Row],[Segment Name]],Table3[],2,FALSE)</f>
        <v>Reward &amp; Upsell</v>
      </c>
    </row>
    <row r="1336" spans="1:28" x14ac:dyDescent="0.25">
      <c r="A1336">
        <v>10306</v>
      </c>
      <c r="B1336">
        <v>31</v>
      </c>
      <c r="C1336">
        <v>84.08</v>
      </c>
      <c r="D1336">
        <v>2</v>
      </c>
      <c r="E1336">
        <v>2606.48</v>
      </c>
      <c r="F1336" s="1">
        <v>43752</v>
      </c>
      <c r="G1336" s="2" t="s">
        <v>19</v>
      </c>
      <c r="H1336" s="2" t="s">
        <v>589</v>
      </c>
      <c r="I1336">
        <v>88</v>
      </c>
      <c r="J1336" s="2" t="s">
        <v>681</v>
      </c>
      <c r="K1336" s="2" t="s">
        <v>523</v>
      </c>
      <c r="L1336" s="2" t="s">
        <v>524</v>
      </c>
      <c r="M1336" s="2" t="s">
        <v>525</v>
      </c>
      <c r="N1336" s="2" t="s">
        <v>526</v>
      </c>
      <c r="O1336" s="2" t="s">
        <v>527</v>
      </c>
      <c r="P1336" s="2" t="s">
        <v>171</v>
      </c>
      <c r="Q1336" s="2" t="s">
        <v>528</v>
      </c>
      <c r="R1336" s="2" t="s">
        <v>529</v>
      </c>
      <c r="S1336" s="2" t="s">
        <v>30</v>
      </c>
      <c r="T1336">
        <v>2007</v>
      </c>
      <c r="U1336">
        <f>VLOOKUP(Auto_Sales_data___Copy[[#This Row],[CUSTOMER_NAME]],$AF$2:$AH$90,2,FALSE)</f>
        <v>51</v>
      </c>
      <c r="V1336">
        <f>VLOOKUP(Auto_Sales_data___Copy[[#This Row],[CUSTOMER_NAME]],$AF$2:$AH$90,3,FALSE)</f>
        <v>157807.80999999994</v>
      </c>
      <c r="W1336" s="2">
        <f>6-MATCH(Auto_Sales_data___Copy[[#This Row],[DAYS_SINCE_LAST_ORDER]],Table2[R-Cutoff],1)</f>
        <v>3</v>
      </c>
      <c r="X1336" s="2">
        <f>MATCH(Auto_Sales_data___Copy[[#This Row],[Total_Orders_Per_Customer]],Table2[F-Cutoff],1)</f>
        <v>4</v>
      </c>
      <c r="Y1336" s="2">
        <f>MATCH(Auto_Sales_data___Copy[[#This Row],[Total_Sales_Per_Customer]],Table2[M-Cutoff],1)</f>
        <v>4</v>
      </c>
      <c r="Z1336" s="2" t="str">
        <f>Auto_Sales_data___Copy[[#This Row],[R-Score(1-5)]]&amp;Auto_Sales_data___Copy[[#This Row],[F-Score(1-5)]]&amp;Auto_Sales_data___Copy[[#This Row],[M-Score(1-5)]]</f>
        <v>344</v>
      </c>
      <c r="AA1336" s="2" t="str" cm="1">
        <f t="array" ref="AA13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6" s="2" t="str">
        <f>VLOOKUP(Auto_Sales_data___Copy[[#This Row],[Segment Name]],Table3[],2,FALSE)</f>
        <v>Reward &amp; Upsell</v>
      </c>
    </row>
    <row r="1337" spans="1:28" x14ac:dyDescent="0.25">
      <c r="A1337">
        <v>10309</v>
      </c>
      <c r="B1337">
        <v>21</v>
      </c>
      <c r="C1337">
        <v>126.22</v>
      </c>
      <c r="D1337">
        <v>6</v>
      </c>
      <c r="E1337">
        <v>2650.62</v>
      </c>
      <c r="F1337" s="1">
        <v>43753</v>
      </c>
      <c r="G1337" s="2" t="s">
        <v>19</v>
      </c>
      <c r="H1337" s="2" t="s">
        <v>20</v>
      </c>
      <c r="I1337">
        <v>112</v>
      </c>
      <c r="J1337" s="2" t="s">
        <v>667</v>
      </c>
      <c r="K1337" s="2" t="s">
        <v>130</v>
      </c>
      <c r="L1337" s="2" t="s">
        <v>131</v>
      </c>
      <c r="M1337" s="2" t="s">
        <v>132</v>
      </c>
      <c r="N1337" s="2" t="s">
        <v>133</v>
      </c>
      <c r="O1337" s="2" t="s">
        <v>134</v>
      </c>
      <c r="P1337" s="2" t="s">
        <v>73</v>
      </c>
      <c r="Q1337" s="2" t="s">
        <v>135</v>
      </c>
      <c r="R1337" s="2" t="s">
        <v>136</v>
      </c>
      <c r="S1337" s="2" t="s">
        <v>30</v>
      </c>
      <c r="T1337">
        <v>1660</v>
      </c>
      <c r="U1337">
        <f>VLOOKUP(Auto_Sales_data___Copy[[#This Row],[CUSTOMER_NAME]],$AF$2:$AH$90,2,FALSE)</f>
        <v>32</v>
      </c>
      <c r="V1337">
        <f>VLOOKUP(Auto_Sales_data___Copy[[#This Row],[CUSTOMER_NAME]],$AF$2:$AH$90,3,FALSE)</f>
        <v>116599.18999999999</v>
      </c>
      <c r="W1337" s="2">
        <f>6-MATCH(Auto_Sales_data___Copy[[#This Row],[DAYS_SINCE_LAST_ORDER]],Table2[R-Cutoff],1)</f>
        <v>3</v>
      </c>
      <c r="X1337" s="2">
        <f>MATCH(Auto_Sales_data___Copy[[#This Row],[Total_Orders_Per_Customer]],Table2[F-Cutoff],1)</f>
        <v>4</v>
      </c>
      <c r="Y1337" s="2">
        <f>MATCH(Auto_Sales_data___Copy[[#This Row],[Total_Sales_Per_Customer]],Table2[M-Cutoff],1)</f>
        <v>4</v>
      </c>
      <c r="Z1337" s="2" t="str">
        <f>Auto_Sales_data___Copy[[#This Row],[R-Score(1-5)]]&amp;Auto_Sales_data___Copy[[#This Row],[F-Score(1-5)]]&amp;Auto_Sales_data___Copy[[#This Row],[M-Score(1-5)]]</f>
        <v>344</v>
      </c>
      <c r="AA1337" s="2" t="str" cm="1">
        <f t="array" ref="AA13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7" s="2" t="str">
        <f>VLOOKUP(Auto_Sales_data___Copy[[#This Row],[Segment Name]],Table3[],2,FALSE)</f>
        <v>Reward &amp; Upsell</v>
      </c>
    </row>
    <row r="1338" spans="1:28" x14ac:dyDescent="0.25">
      <c r="A1338">
        <v>10309</v>
      </c>
      <c r="B1338">
        <v>24</v>
      </c>
      <c r="C1338">
        <v>56.1</v>
      </c>
      <c r="D1338">
        <v>2</v>
      </c>
      <c r="E1338">
        <v>1346.4</v>
      </c>
      <c r="F1338" s="1">
        <v>43753</v>
      </c>
      <c r="G1338" s="2" t="s">
        <v>19</v>
      </c>
      <c r="H1338" s="2" t="s">
        <v>20</v>
      </c>
      <c r="I1338">
        <v>69</v>
      </c>
      <c r="J1338" s="2" t="s">
        <v>675</v>
      </c>
      <c r="K1338" s="2" t="s">
        <v>130</v>
      </c>
      <c r="L1338" s="2" t="s">
        <v>131</v>
      </c>
      <c r="M1338" s="2" t="s">
        <v>132</v>
      </c>
      <c r="N1338" s="2" t="s">
        <v>133</v>
      </c>
      <c r="O1338" s="2" t="s">
        <v>134</v>
      </c>
      <c r="P1338" s="2" t="s">
        <v>73</v>
      </c>
      <c r="Q1338" s="2" t="s">
        <v>135</v>
      </c>
      <c r="R1338" s="2" t="s">
        <v>136</v>
      </c>
      <c r="S1338" s="2" t="s">
        <v>30</v>
      </c>
      <c r="T1338">
        <v>1856</v>
      </c>
      <c r="U1338">
        <f>VLOOKUP(Auto_Sales_data___Copy[[#This Row],[CUSTOMER_NAME]],$AF$2:$AH$90,2,FALSE)</f>
        <v>32</v>
      </c>
      <c r="V1338">
        <f>VLOOKUP(Auto_Sales_data___Copy[[#This Row],[CUSTOMER_NAME]],$AF$2:$AH$90,3,FALSE)</f>
        <v>116599.18999999999</v>
      </c>
      <c r="W1338" s="2">
        <f>6-MATCH(Auto_Sales_data___Copy[[#This Row],[DAYS_SINCE_LAST_ORDER]],Table2[R-Cutoff],1)</f>
        <v>3</v>
      </c>
      <c r="X1338" s="2">
        <f>MATCH(Auto_Sales_data___Copy[[#This Row],[Total_Orders_Per_Customer]],Table2[F-Cutoff],1)</f>
        <v>4</v>
      </c>
      <c r="Y1338" s="2">
        <f>MATCH(Auto_Sales_data___Copy[[#This Row],[Total_Sales_Per_Customer]],Table2[M-Cutoff],1)</f>
        <v>4</v>
      </c>
      <c r="Z1338" s="2" t="str">
        <f>Auto_Sales_data___Copy[[#This Row],[R-Score(1-5)]]&amp;Auto_Sales_data___Copy[[#This Row],[F-Score(1-5)]]&amp;Auto_Sales_data___Copy[[#This Row],[M-Score(1-5)]]</f>
        <v>344</v>
      </c>
      <c r="AA1338" s="2" t="str" cm="1">
        <f t="array" ref="AA13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8" s="2" t="str">
        <f>VLOOKUP(Auto_Sales_data___Copy[[#This Row],[Segment Name]],Table3[],2,FALSE)</f>
        <v>Reward &amp; Upsell</v>
      </c>
    </row>
    <row r="1339" spans="1:28" x14ac:dyDescent="0.25">
      <c r="A1339">
        <v>10312</v>
      </c>
      <c r="B1339">
        <v>39</v>
      </c>
      <c r="C1339">
        <v>56.85</v>
      </c>
      <c r="D1339">
        <v>1</v>
      </c>
      <c r="E1339">
        <v>2217.15</v>
      </c>
      <c r="F1339" s="1">
        <v>43759</v>
      </c>
      <c r="G1339" s="2" t="s">
        <v>19</v>
      </c>
      <c r="H1339" s="2" t="s">
        <v>589</v>
      </c>
      <c r="I1339">
        <v>50</v>
      </c>
      <c r="J1339" s="2" t="s">
        <v>662</v>
      </c>
      <c r="K1339" s="2" t="s">
        <v>284</v>
      </c>
      <c r="L1339" s="2" t="s">
        <v>285</v>
      </c>
      <c r="M1339" s="2" t="s">
        <v>286</v>
      </c>
      <c r="N1339" s="2" t="s">
        <v>287</v>
      </c>
      <c r="O1339" s="2" t="s">
        <v>106</v>
      </c>
      <c r="P1339" s="2" t="s">
        <v>27</v>
      </c>
      <c r="Q1339" s="2" t="s">
        <v>288</v>
      </c>
      <c r="R1339" s="2" t="s">
        <v>289</v>
      </c>
      <c r="S1339" s="2" t="s">
        <v>30</v>
      </c>
      <c r="T1339">
        <v>1535</v>
      </c>
      <c r="U1339">
        <f>VLOOKUP(Auto_Sales_data___Copy[[#This Row],[CUSTOMER_NAME]],$AF$2:$AH$90,2,FALSE)</f>
        <v>180</v>
      </c>
      <c r="V1339">
        <f>VLOOKUP(Auto_Sales_data___Copy[[#This Row],[CUSTOMER_NAME]],$AF$2:$AH$90,3,FALSE)</f>
        <v>654858.06000000017</v>
      </c>
      <c r="W1339" s="2">
        <f>6-MATCH(Auto_Sales_data___Copy[[#This Row],[DAYS_SINCE_LAST_ORDER]],Table2[R-Cutoff],1)</f>
        <v>3</v>
      </c>
      <c r="X1339" s="2">
        <f>MATCH(Auto_Sales_data___Copy[[#This Row],[Total_Orders_Per_Customer]],Table2[F-Cutoff],1)</f>
        <v>4</v>
      </c>
      <c r="Y1339" s="2">
        <f>MATCH(Auto_Sales_data___Copy[[#This Row],[Total_Sales_Per_Customer]],Table2[M-Cutoff],1)</f>
        <v>4</v>
      </c>
      <c r="Z1339" s="2" t="str">
        <f>Auto_Sales_data___Copy[[#This Row],[R-Score(1-5)]]&amp;Auto_Sales_data___Copy[[#This Row],[F-Score(1-5)]]&amp;Auto_Sales_data___Copy[[#This Row],[M-Score(1-5)]]</f>
        <v>344</v>
      </c>
      <c r="AA1339" s="2" t="str" cm="1">
        <f t="array" ref="AA13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9" s="2" t="str">
        <f>VLOOKUP(Auto_Sales_data___Copy[[#This Row],[Segment Name]],Table3[],2,FALSE)</f>
        <v>Reward &amp; Upsell</v>
      </c>
    </row>
    <row r="1340" spans="1:28" x14ac:dyDescent="0.25">
      <c r="A1340">
        <v>10312</v>
      </c>
      <c r="B1340">
        <v>39</v>
      </c>
      <c r="C1340">
        <v>29.54</v>
      </c>
      <c r="D1340">
        <v>13</v>
      </c>
      <c r="E1340">
        <v>1152.06</v>
      </c>
      <c r="F1340" s="1">
        <v>43759</v>
      </c>
      <c r="G1340" s="2" t="s">
        <v>19</v>
      </c>
      <c r="H1340" s="2" t="s">
        <v>589</v>
      </c>
      <c r="I1340">
        <v>33</v>
      </c>
      <c r="J1340" s="2" t="s">
        <v>670</v>
      </c>
      <c r="K1340" s="2" t="s">
        <v>284</v>
      </c>
      <c r="L1340" s="2" t="s">
        <v>285</v>
      </c>
      <c r="M1340" s="2" t="s">
        <v>286</v>
      </c>
      <c r="N1340" s="2" t="s">
        <v>287</v>
      </c>
      <c r="O1340" s="2" t="s">
        <v>106</v>
      </c>
      <c r="P1340" s="2" t="s">
        <v>27</v>
      </c>
      <c r="Q1340" s="2" t="s">
        <v>288</v>
      </c>
      <c r="R1340" s="2" t="s">
        <v>289</v>
      </c>
      <c r="S1340" s="2" t="s">
        <v>30</v>
      </c>
      <c r="T1340">
        <v>1724</v>
      </c>
      <c r="U1340">
        <f>VLOOKUP(Auto_Sales_data___Copy[[#This Row],[CUSTOMER_NAME]],$AF$2:$AH$90,2,FALSE)</f>
        <v>180</v>
      </c>
      <c r="V1340">
        <f>VLOOKUP(Auto_Sales_data___Copy[[#This Row],[CUSTOMER_NAME]],$AF$2:$AH$90,3,FALSE)</f>
        <v>654858.06000000017</v>
      </c>
      <c r="W1340" s="2">
        <f>6-MATCH(Auto_Sales_data___Copy[[#This Row],[DAYS_SINCE_LAST_ORDER]],Table2[R-Cutoff],1)</f>
        <v>3</v>
      </c>
      <c r="X1340" s="2">
        <f>MATCH(Auto_Sales_data___Copy[[#This Row],[Total_Orders_Per_Customer]],Table2[F-Cutoff],1)</f>
        <v>4</v>
      </c>
      <c r="Y1340" s="2">
        <f>MATCH(Auto_Sales_data___Copy[[#This Row],[Total_Sales_Per_Customer]],Table2[M-Cutoff],1)</f>
        <v>4</v>
      </c>
      <c r="Z1340" s="2" t="str">
        <f>Auto_Sales_data___Copy[[#This Row],[R-Score(1-5)]]&amp;Auto_Sales_data___Copy[[#This Row],[F-Score(1-5)]]&amp;Auto_Sales_data___Copy[[#This Row],[M-Score(1-5)]]</f>
        <v>344</v>
      </c>
      <c r="AA1340" s="2" t="str" cm="1">
        <f t="array" ref="AA13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0" s="2" t="str">
        <f>VLOOKUP(Auto_Sales_data___Copy[[#This Row],[Segment Name]],Table3[],2,FALSE)</f>
        <v>Reward &amp; Upsell</v>
      </c>
    </row>
    <row r="1341" spans="1:28" x14ac:dyDescent="0.25">
      <c r="A1341">
        <v>10312</v>
      </c>
      <c r="B1341">
        <v>23</v>
      </c>
      <c r="C1341">
        <v>37.630000000000003</v>
      </c>
      <c r="D1341">
        <v>12</v>
      </c>
      <c r="E1341">
        <v>865.49</v>
      </c>
      <c r="F1341" s="1">
        <v>43759</v>
      </c>
      <c r="G1341" s="2" t="s">
        <v>19</v>
      </c>
      <c r="H1341" s="2" t="s">
        <v>589</v>
      </c>
      <c r="I1341">
        <v>44</v>
      </c>
      <c r="J1341" s="2" t="s">
        <v>673</v>
      </c>
      <c r="K1341" s="2" t="s">
        <v>284</v>
      </c>
      <c r="L1341" s="2" t="s">
        <v>285</v>
      </c>
      <c r="M1341" s="2" t="s">
        <v>286</v>
      </c>
      <c r="N1341" s="2" t="s">
        <v>287</v>
      </c>
      <c r="O1341" s="2" t="s">
        <v>106</v>
      </c>
      <c r="P1341" s="2" t="s">
        <v>27</v>
      </c>
      <c r="Q1341" s="2" t="s">
        <v>288</v>
      </c>
      <c r="R1341" s="2" t="s">
        <v>289</v>
      </c>
      <c r="S1341" s="2" t="s">
        <v>30</v>
      </c>
      <c r="T1341">
        <v>1799</v>
      </c>
      <c r="U1341">
        <f>VLOOKUP(Auto_Sales_data___Copy[[#This Row],[CUSTOMER_NAME]],$AF$2:$AH$90,2,FALSE)</f>
        <v>180</v>
      </c>
      <c r="V1341">
        <f>VLOOKUP(Auto_Sales_data___Copy[[#This Row],[CUSTOMER_NAME]],$AF$2:$AH$90,3,FALSE)</f>
        <v>654858.06000000017</v>
      </c>
      <c r="W1341" s="2">
        <f>6-MATCH(Auto_Sales_data___Copy[[#This Row],[DAYS_SINCE_LAST_ORDER]],Table2[R-Cutoff],1)</f>
        <v>3</v>
      </c>
      <c r="X1341" s="2">
        <f>MATCH(Auto_Sales_data___Copy[[#This Row],[Total_Orders_Per_Customer]],Table2[F-Cutoff],1)</f>
        <v>4</v>
      </c>
      <c r="Y1341" s="2">
        <f>MATCH(Auto_Sales_data___Copy[[#This Row],[Total_Sales_Per_Customer]],Table2[M-Cutoff],1)</f>
        <v>4</v>
      </c>
      <c r="Z1341" s="2" t="str">
        <f>Auto_Sales_data___Copy[[#This Row],[R-Score(1-5)]]&amp;Auto_Sales_data___Copy[[#This Row],[F-Score(1-5)]]&amp;Auto_Sales_data___Copy[[#This Row],[M-Score(1-5)]]</f>
        <v>344</v>
      </c>
      <c r="AA1341" s="2" t="str" cm="1">
        <f t="array" ref="AA13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1" s="2" t="str">
        <f>VLOOKUP(Auto_Sales_data___Copy[[#This Row],[Segment Name]],Table3[],2,FALSE)</f>
        <v>Reward &amp; Upsell</v>
      </c>
    </row>
    <row r="1342" spans="1:28" x14ac:dyDescent="0.25">
      <c r="A1342">
        <v>10314</v>
      </c>
      <c r="B1342">
        <v>44</v>
      </c>
      <c r="C1342">
        <v>53.18</v>
      </c>
      <c r="D1342">
        <v>11</v>
      </c>
      <c r="E1342">
        <v>2339.92</v>
      </c>
      <c r="F1342" s="1">
        <v>43760</v>
      </c>
      <c r="G1342" s="2" t="s">
        <v>19</v>
      </c>
      <c r="H1342" s="2" t="s">
        <v>183</v>
      </c>
      <c r="I1342">
        <v>57</v>
      </c>
      <c r="J1342" s="2" t="s">
        <v>666</v>
      </c>
      <c r="K1342" s="2" t="s">
        <v>530</v>
      </c>
      <c r="L1342" s="2" t="s">
        <v>531</v>
      </c>
      <c r="M1342" s="2" t="s">
        <v>532</v>
      </c>
      <c r="N1342" s="2" t="s">
        <v>533</v>
      </c>
      <c r="O1342" s="2" t="s">
        <v>534</v>
      </c>
      <c r="P1342" s="2" t="s">
        <v>344</v>
      </c>
      <c r="Q1342" s="2" t="s">
        <v>535</v>
      </c>
      <c r="R1342" s="2" t="s">
        <v>536</v>
      </c>
      <c r="S1342" s="2" t="s">
        <v>30</v>
      </c>
      <c r="T1342">
        <v>1628</v>
      </c>
      <c r="U1342">
        <f>VLOOKUP(Auto_Sales_data___Copy[[#This Row],[CUSTOMER_NAME]],$AF$2:$AH$90,2,FALSE)</f>
        <v>27</v>
      </c>
      <c r="V1342">
        <f>VLOOKUP(Auto_Sales_data___Copy[[#This Row],[CUSTOMER_NAME]],$AF$2:$AH$90,3,FALSE)</f>
        <v>100595.54999999999</v>
      </c>
      <c r="W1342" s="2">
        <f>6-MATCH(Auto_Sales_data___Copy[[#This Row],[DAYS_SINCE_LAST_ORDER]],Table2[R-Cutoff],1)</f>
        <v>3</v>
      </c>
      <c r="X1342" s="2">
        <f>MATCH(Auto_Sales_data___Copy[[#This Row],[Total_Orders_Per_Customer]],Table2[F-Cutoff],1)</f>
        <v>4</v>
      </c>
      <c r="Y1342" s="2">
        <f>MATCH(Auto_Sales_data___Copy[[#This Row],[Total_Sales_Per_Customer]],Table2[M-Cutoff],1)</f>
        <v>4</v>
      </c>
      <c r="Z1342" s="2" t="str">
        <f>Auto_Sales_data___Copy[[#This Row],[R-Score(1-5)]]&amp;Auto_Sales_data___Copy[[#This Row],[F-Score(1-5)]]&amp;Auto_Sales_data___Copy[[#This Row],[M-Score(1-5)]]</f>
        <v>344</v>
      </c>
      <c r="AA1342" s="2" t="str" cm="1">
        <f t="array" ref="AA13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2" s="2" t="str">
        <f>VLOOKUP(Auto_Sales_data___Copy[[#This Row],[Segment Name]],Table3[],2,FALSE)</f>
        <v>Reward &amp; Upsell</v>
      </c>
    </row>
    <row r="1343" spans="1:28" x14ac:dyDescent="0.25">
      <c r="A1343">
        <v>10314</v>
      </c>
      <c r="B1343">
        <v>39</v>
      </c>
      <c r="C1343">
        <v>37.130000000000003</v>
      </c>
      <c r="D1343">
        <v>15</v>
      </c>
      <c r="E1343">
        <v>1448.07</v>
      </c>
      <c r="F1343" s="1">
        <v>43760</v>
      </c>
      <c r="G1343" s="2" t="s">
        <v>19</v>
      </c>
      <c r="H1343" s="2" t="s">
        <v>183</v>
      </c>
      <c r="I1343">
        <v>35</v>
      </c>
      <c r="J1343" s="2" t="s">
        <v>677</v>
      </c>
      <c r="K1343" s="2" t="s">
        <v>530</v>
      </c>
      <c r="L1343" s="2" t="s">
        <v>531</v>
      </c>
      <c r="M1343" s="2" t="s">
        <v>532</v>
      </c>
      <c r="N1343" s="2" t="s">
        <v>533</v>
      </c>
      <c r="O1343" s="2" t="s">
        <v>534</v>
      </c>
      <c r="P1343" s="2" t="s">
        <v>344</v>
      </c>
      <c r="Q1343" s="2" t="s">
        <v>535</v>
      </c>
      <c r="R1343" s="2" t="s">
        <v>536</v>
      </c>
      <c r="S1343" s="2" t="s">
        <v>30</v>
      </c>
      <c r="T1343">
        <v>1899</v>
      </c>
      <c r="U1343">
        <f>VLOOKUP(Auto_Sales_data___Copy[[#This Row],[CUSTOMER_NAME]],$AF$2:$AH$90,2,FALSE)</f>
        <v>27</v>
      </c>
      <c r="V1343">
        <f>VLOOKUP(Auto_Sales_data___Copy[[#This Row],[CUSTOMER_NAME]],$AF$2:$AH$90,3,FALSE)</f>
        <v>100595.54999999999</v>
      </c>
      <c r="W1343" s="2">
        <f>6-MATCH(Auto_Sales_data___Copy[[#This Row],[DAYS_SINCE_LAST_ORDER]],Table2[R-Cutoff],1)</f>
        <v>3</v>
      </c>
      <c r="X1343" s="2">
        <f>MATCH(Auto_Sales_data___Copy[[#This Row],[Total_Orders_Per_Customer]],Table2[F-Cutoff],1)</f>
        <v>4</v>
      </c>
      <c r="Y1343" s="2">
        <f>MATCH(Auto_Sales_data___Copy[[#This Row],[Total_Sales_Per_Customer]],Table2[M-Cutoff],1)</f>
        <v>4</v>
      </c>
      <c r="Z1343" s="2" t="str">
        <f>Auto_Sales_data___Copy[[#This Row],[R-Score(1-5)]]&amp;Auto_Sales_data___Copy[[#This Row],[F-Score(1-5)]]&amp;Auto_Sales_data___Copy[[#This Row],[M-Score(1-5)]]</f>
        <v>344</v>
      </c>
      <c r="AA1343" s="2" t="str" cm="1">
        <f t="array" ref="AA13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3" s="2" t="str">
        <f>VLOOKUP(Auto_Sales_data___Copy[[#This Row],[Segment Name]],Table3[],2,FALSE)</f>
        <v>Reward &amp; Upsell</v>
      </c>
    </row>
    <row r="1344" spans="1:28" x14ac:dyDescent="0.25">
      <c r="A1344">
        <v>10315</v>
      </c>
      <c r="B1344">
        <v>35</v>
      </c>
      <c r="C1344">
        <v>120.43</v>
      </c>
      <c r="D1344">
        <v>6</v>
      </c>
      <c r="E1344">
        <v>4215.05</v>
      </c>
      <c r="F1344" s="1">
        <v>43767</v>
      </c>
      <c r="G1344" s="2" t="s">
        <v>19</v>
      </c>
      <c r="H1344" s="2" t="s">
        <v>642</v>
      </c>
      <c r="I1344">
        <v>122</v>
      </c>
      <c r="J1344" s="2" t="s">
        <v>672</v>
      </c>
      <c r="K1344" s="2" t="s">
        <v>108</v>
      </c>
      <c r="L1344" s="2" t="s">
        <v>109</v>
      </c>
      <c r="M1344" s="2" t="s">
        <v>110</v>
      </c>
      <c r="N1344" s="2" t="s">
        <v>111</v>
      </c>
      <c r="O1344" s="2" t="s">
        <v>112</v>
      </c>
      <c r="P1344" s="2" t="s">
        <v>36</v>
      </c>
      <c r="Q1344" s="2" t="s">
        <v>113</v>
      </c>
      <c r="R1344" s="2" t="s">
        <v>114</v>
      </c>
      <c r="S1344" s="2" t="s">
        <v>46</v>
      </c>
      <c r="T1344">
        <v>1769</v>
      </c>
      <c r="U1344">
        <f>VLOOKUP(Auto_Sales_data___Copy[[#This Row],[CUSTOMER_NAME]],$AF$2:$AH$90,2,FALSE)</f>
        <v>53</v>
      </c>
      <c r="V1344">
        <f>VLOOKUP(Auto_Sales_data___Copy[[#This Row],[CUSTOMER_NAME]],$AF$2:$AH$90,3,FALSE)</f>
        <v>180124.90000000008</v>
      </c>
      <c r="W1344" s="2">
        <f>6-MATCH(Auto_Sales_data___Copy[[#This Row],[DAYS_SINCE_LAST_ORDER]],Table2[R-Cutoff],1)</f>
        <v>3</v>
      </c>
      <c r="X1344" s="2">
        <f>MATCH(Auto_Sales_data___Copy[[#This Row],[Total_Orders_Per_Customer]],Table2[F-Cutoff],1)</f>
        <v>4</v>
      </c>
      <c r="Y1344" s="2">
        <f>MATCH(Auto_Sales_data___Copy[[#This Row],[Total_Sales_Per_Customer]],Table2[M-Cutoff],1)</f>
        <v>4</v>
      </c>
      <c r="Z1344" s="2" t="str">
        <f>Auto_Sales_data___Copy[[#This Row],[R-Score(1-5)]]&amp;Auto_Sales_data___Copy[[#This Row],[F-Score(1-5)]]&amp;Auto_Sales_data___Copy[[#This Row],[M-Score(1-5)]]</f>
        <v>344</v>
      </c>
      <c r="AA1344" s="2" t="str" cm="1">
        <f t="array" ref="AA13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4" s="2" t="str">
        <f>VLOOKUP(Auto_Sales_data___Copy[[#This Row],[Segment Name]],Table3[],2,FALSE)</f>
        <v>Reward &amp; Upsell</v>
      </c>
    </row>
    <row r="1345" spans="1:28" x14ac:dyDescent="0.25">
      <c r="A1345">
        <v>10315</v>
      </c>
      <c r="B1345">
        <v>24</v>
      </c>
      <c r="C1345">
        <v>86.74</v>
      </c>
      <c r="D1345">
        <v>1</v>
      </c>
      <c r="E1345">
        <v>2081.7600000000002</v>
      </c>
      <c r="F1345" s="1">
        <v>43767</v>
      </c>
      <c r="G1345" s="2" t="s">
        <v>19</v>
      </c>
      <c r="H1345" s="2" t="s">
        <v>589</v>
      </c>
      <c r="I1345">
        <v>88</v>
      </c>
      <c r="J1345" s="2" t="s">
        <v>681</v>
      </c>
      <c r="K1345" s="2" t="s">
        <v>108</v>
      </c>
      <c r="L1345" s="2" t="s">
        <v>109</v>
      </c>
      <c r="M1345" s="2" t="s">
        <v>110</v>
      </c>
      <c r="N1345" s="2" t="s">
        <v>111</v>
      </c>
      <c r="O1345" s="2" t="s">
        <v>112</v>
      </c>
      <c r="P1345" s="2" t="s">
        <v>36</v>
      </c>
      <c r="Q1345" s="2" t="s">
        <v>113</v>
      </c>
      <c r="R1345" s="2" t="s">
        <v>114</v>
      </c>
      <c r="S1345" s="2" t="s">
        <v>30</v>
      </c>
      <c r="T1345">
        <v>1993</v>
      </c>
      <c r="U1345">
        <f>VLOOKUP(Auto_Sales_data___Copy[[#This Row],[CUSTOMER_NAME]],$AF$2:$AH$90,2,FALSE)</f>
        <v>53</v>
      </c>
      <c r="V1345">
        <f>VLOOKUP(Auto_Sales_data___Copy[[#This Row],[CUSTOMER_NAME]],$AF$2:$AH$90,3,FALSE)</f>
        <v>180124.90000000008</v>
      </c>
      <c r="W1345" s="2">
        <f>6-MATCH(Auto_Sales_data___Copy[[#This Row],[DAYS_SINCE_LAST_ORDER]],Table2[R-Cutoff],1)</f>
        <v>3</v>
      </c>
      <c r="X1345" s="2">
        <f>MATCH(Auto_Sales_data___Copy[[#This Row],[Total_Orders_Per_Customer]],Table2[F-Cutoff],1)</f>
        <v>4</v>
      </c>
      <c r="Y1345" s="2">
        <f>MATCH(Auto_Sales_data___Copy[[#This Row],[Total_Sales_Per_Customer]],Table2[M-Cutoff],1)</f>
        <v>4</v>
      </c>
      <c r="Z1345" s="2" t="str">
        <f>Auto_Sales_data___Copy[[#This Row],[R-Score(1-5)]]&amp;Auto_Sales_data___Copy[[#This Row],[F-Score(1-5)]]&amp;Auto_Sales_data___Copy[[#This Row],[M-Score(1-5)]]</f>
        <v>344</v>
      </c>
      <c r="AA1345" s="2" t="str" cm="1">
        <f t="array" ref="AA13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5" s="2" t="str">
        <f>VLOOKUP(Auto_Sales_data___Copy[[#This Row],[Segment Name]],Table3[],2,FALSE)</f>
        <v>Reward &amp; Upsell</v>
      </c>
    </row>
    <row r="1346" spans="1:28" x14ac:dyDescent="0.25">
      <c r="A1346">
        <v>10348</v>
      </c>
      <c r="B1346">
        <v>29</v>
      </c>
      <c r="C1346">
        <v>245.2</v>
      </c>
      <c r="D1346">
        <v>6</v>
      </c>
      <c r="E1346">
        <v>7110.8</v>
      </c>
      <c r="F1346" s="1">
        <v>43770</v>
      </c>
      <c r="G1346" s="2" t="s">
        <v>19</v>
      </c>
      <c r="H1346" s="2" t="s">
        <v>589</v>
      </c>
      <c r="I1346">
        <v>50</v>
      </c>
      <c r="J1346" s="2" t="s">
        <v>662</v>
      </c>
      <c r="K1346" s="2" t="s">
        <v>193</v>
      </c>
      <c r="L1346" s="2" t="s">
        <v>194</v>
      </c>
      <c r="M1346" s="2" t="s">
        <v>195</v>
      </c>
      <c r="N1346" s="2" t="s">
        <v>178</v>
      </c>
      <c r="O1346" s="2" t="s">
        <v>196</v>
      </c>
      <c r="P1346" s="2" t="s">
        <v>180</v>
      </c>
      <c r="Q1346" s="2" t="s">
        <v>197</v>
      </c>
      <c r="R1346" s="2" t="s">
        <v>198</v>
      </c>
      <c r="S1346" s="2" t="s">
        <v>151</v>
      </c>
      <c r="T1346">
        <v>1526</v>
      </c>
      <c r="U1346">
        <f>VLOOKUP(Auto_Sales_data___Copy[[#This Row],[CUSTOMER_NAME]],$AF$2:$AH$90,2,FALSE)</f>
        <v>32</v>
      </c>
      <c r="V1346">
        <f>VLOOKUP(Auto_Sales_data___Copy[[#This Row],[CUSTOMER_NAME]],$AF$2:$AH$90,3,FALSE)</f>
        <v>120615.28</v>
      </c>
      <c r="W1346" s="2">
        <f>6-MATCH(Auto_Sales_data___Copy[[#This Row],[DAYS_SINCE_LAST_ORDER]],Table2[R-Cutoff],1)</f>
        <v>3</v>
      </c>
      <c r="X1346" s="2">
        <f>MATCH(Auto_Sales_data___Copy[[#This Row],[Total_Orders_Per_Customer]],Table2[F-Cutoff],1)</f>
        <v>4</v>
      </c>
      <c r="Y1346" s="2">
        <f>MATCH(Auto_Sales_data___Copy[[#This Row],[Total_Sales_Per_Customer]],Table2[M-Cutoff],1)</f>
        <v>4</v>
      </c>
      <c r="Z1346" s="2" t="str">
        <f>Auto_Sales_data___Copy[[#This Row],[R-Score(1-5)]]&amp;Auto_Sales_data___Copy[[#This Row],[F-Score(1-5)]]&amp;Auto_Sales_data___Copy[[#This Row],[M-Score(1-5)]]</f>
        <v>344</v>
      </c>
      <c r="AA1346" s="2" t="str" cm="1">
        <f t="array" ref="AA13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6" s="2" t="str">
        <f>VLOOKUP(Auto_Sales_data___Copy[[#This Row],[Segment Name]],Table3[],2,FALSE)</f>
        <v>Reward &amp; Upsell</v>
      </c>
    </row>
    <row r="1347" spans="1:28" x14ac:dyDescent="0.25">
      <c r="A1347">
        <v>10348</v>
      </c>
      <c r="B1347">
        <v>37</v>
      </c>
      <c r="C1347">
        <v>161.66</v>
      </c>
      <c r="D1347">
        <v>1</v>
      </c>
      <c r="E1347">
        <v>5981.42</v>
      </c>
      <c r="F1347" s="1">
        <v>43770</v>
      </c>
      <c r="G1347" s="2" t="s">
        <v>19</v>
      </c>
      <c r="H1347" s="2" t="s">
        <v>537</v>
      </c>
      <c r="I1347">
        <v>127</v>
      </c>
      <c r="J1347" s="2" t="s">
        <v>674</v>
      </c>
      <c r="K1347" s="2" t="s">
        <v>193</v>
      </c>
      <c r="L1347" s="2" t="s">
        <v>194</v>
      </c>
      <c r="M1347" s="2" t="s">
        <v>195</v>
      </c>
      <c r="N1347" s="2" t="s">
        <v>178</v>
      </c>
      <c r="O1347" s="2" t="s">
        <v>196</v>
      </c>
      <c r="P1347" s="2" t="s">
        <v>180</v>
      </c>
      <c r="Q1347" s="2" t="s">
        <v>197</v>
      </c>
      <c r="R1347" s="2" t="s">
        <v>198</v>
      </c>
      <c r="S1347" s="2" t="s">
        <v>46</v>
      </c>
      <c r="T1347">
        <v>1818</v>
      </c>
      <c r="U1347">
        <f>VLOOKUP(Auto_Sales_data___Copy[[#This Row],[CUSTOMER_NAME]],$AF$2:$AH$90,2,FALSE)</f>
        <v>32</v>
      </c>
      <c r="V1347">
        <f>VLOOKUP(Auto_Sales_data___Copy[[#This Row],[CUSTOMER_NAME]],$AF$2:$AH$90,3,FALSE)</f>
        <v>120615.28</v>
      </c>
      <c r="W1347" s="2">
        <f>6-MATCH(Auto_Sales_data___Copy[[#This Row],[DAYS_SINCE_LAST_ORDER]],Table2[R-Cutoff],1)</f>
        <v>3</v>
      </c>
      <c r="X1347" s="2">
        <f>MATCH(Auto_Sales_data___Copy[[#This Row],[Total_Orders_Per_Customer]],Table2[F-Cutoff],1)</f>
        <v>4</v>
      </c>
      <c r="Y1347" s="2">
        <f>MATCH(Auto_Sales_data___Copy[[#This Row],[Total_Sales_Per_Customer]],Table2[M-Cutoff],1)</f>
        <v>4</v>
      </c>
      <c r="Z1347" s="2" t="str">
        <f>Auto_Sales_data___Copy[[#This Row],[R-Score(1-5)]]&amp;Auto_Sales_data___Copy[[#This Row],[F-Score(1-5)]]&amp;Auto_Sales_data___Copy[[#This Row],[M-Score(1-5)]]</f>
        <v>344</v>
      </c>
      <c r="AA1347" s="2" t="str" cm="1">
        <f t="array" ref="AA13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7" s="2" t="str">
        <f>VLOOKUP(Auto_Sales_data___Copy[[#This Row],[Segment Name]],Table3[],2,FALSE)</f>
        <v>Reward &amp; Upsell</v>
      </c>
    </row>
    <row r="1348" spans="1:28" x14ac:dyDescent="0.25">
      <c r="A1348">
        <v>10318</v>
      </c>
      <c r="B1348">
        <v>48</v>
      </c>
      <c r="C1348">
        <v>134.11000000000001</v>
      </c>
      <c r="D1348">
        <v>2</v>
      </c>
      <c r="E1348">
        <v>6437.28</v>
      </c>
      <c r="F1348" s="1">
        <v>43771</v>
      </c>
      <c r="G1348" s="2" t="s">
        <v>19</v>
      </c>
      <c r="H1348" s="2" t="s">
        <v>20</v>
      </c>
      <c r="I1348">
        <v>112</v>
      </c>
      <c r="J1348" s="2" t="s">
        <v>667</v>
      </c>
      <c r="K1348" s="2" t="s">
        <v>137</v>
      </c>
      <c r="L1348" s="2" t="s">
        <v>138</v>
      </c>
      <c r="M1348" s="2" t="s">
        <v>139</v>
      </c>
      <c r="N1348" s="2" t="s">
        <v>140</v>
      </c>
      <c r="O1348" s="2" t="s">
        <v>141</v>
      </c>
      <c r="P1348" s="2" t="s">
        <v>27</v>
      </c>
      <c r="Q1348" s="2" t="s">
        <v>28</v>
      </c>
      <c r="R1348" s="2" t="s">
        <v>142</v>
      </c>
      <c r="S1348" s="2" t="s">
        <v>46</v>
      </c>
      <c r="T1348">
        <v>1643</v>
      </c>
      <c r="U1348">
        <f>VLOOKUP(Auto_Sales_data___Copy[[#This Row],[CUSTOMER_NAME]],$AF$2:$AH$90,2,FALSE)</f>
        <v>31</v>
      </c>
      <c r="V1348">
        <f>VLOOKUP(Auto_Sales_data___Copy[[#This Row],[CUSTOMER_NAME]],$AF$2:$AH$90,3,FALSE)</f>
        <v>122138.14</v>
      </c>
      <c r="W1348" s="2">
        <f>6-MATCH(Auto_Sales_data___Copy[[#This Row],[DAYS_SINCE_LAST_ORDER]],Table2[R-Cutoff],1)</f>
        <v>3</v>
      </c>
      <c r="X1348" s="2">
        <f>MATCH(Auto_Sales_data___Copy[[#This Row],[Total_Orders_Per_Customer]],Table2[F-Cutoff],1)</f>
        <v>4</v>
      </c>
      <c r="Y1348" s="2">
        <f>MATCH(Auto_Sales_data___Copy[[#This Row],[Total_Sales_Per_Customer]],Table2[M-Cutoff],1)</f>
        <v>4</v>
      </c>
      <c r="Z1348" s="2" t="str">
        <f>Auto_Sales_data___Copy[[#This Row],[R-Score(1-5)]]&amp;Auto_Sales_data___Copy[[#This Row],[F-Score(1-5)]]&amp;Auto_Sales_data___Copy[[#This Row],[M-Score(1-5)]]</f>
        <v>344</v>
      </c>
      <c r="AA1348" s="2" t="str" cm="1">
        <f t="array" ref="AA13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8" s="2" t="str">
        <f>VLOOKUP(Auto_Sales_data___Copy[[#This Row],[Segment Name]],Table3[],2,FALSE)</f>
        <v>Reward &amp; Upsell</v>
      </c>
    </row>
    <row r="1349" spans="1:28" x14ac:dyDescent="0.25">
      <c r="A1349">
        <v>10318</v>
      </c>
      <c r="B1349">
        <v>26</v>
      </c>
      <c r="C1349">
        <v>86.83</v>
      </c>
      <c r="D1349">
        <v>6</v>
      </c>
      <c r="E1349">
        <v>2257.58</v>
      </c>
      <c r="F1349" s="1">
        <v>43771</v>
      </c>
      <c r="G1349" s="2" t="s">
        <v>19</v>
      </c>
      <c r="H1349" s="2" t="s">
        <v>20</v>
      </c>
      <c r="I1349">
        <v>76</v>
      </c>
      <c r="J1349" s="2" t="s">
        <v>671</v>
      </c>
      <c r="K1349" s="2" t="s">
        <v>137</v>
      </c>
      <c r="L1349" s="2" t="s">
        <v>138</v>
      </c>
      <c r="M1349" s="2" t="s">
        <v>139</v>
      </c>
      <c r="N1349" s="2" t="s">
        <v>140</v>
      </c>
      <c r="O1349" s="2" t="s">
        <v>141</v>
      </c>
      <c r="P1349" s="2" t="s">
        <v>27</v>
      </c>
      <c r="Q1349" s="2" t="s">
        <v>28</v>
      </c>
      <c r="R1349" s="2" t="s">
        <v>142</v>
      </c>
      <c r="S1349" s="2" t="s">
        <v>30</v>
      </c>
      <c r="T1349">
        <v>1739</v>
      </c>
      <c r="U1349">
        <f>VLOOKUP(Auto_Sales_data___Copy[[#This Row],[CUSTOMER_NAME]],$AF$2:$AH$90,2,FALSE)</f>
        <v>31</v>
      </c>
      <c r="V1349">
        <f>VLOOKUP(Auto_Sales_data___Copy[[#This Row],[CUSTOMER_NAME]],$AF$2:$AH$90,3,FALSE)</f>
        <v>122138.14</v>
      </c>
      <c r="W1349" s="2">
        <f>6-MATCH(Auto_Sales_data___Copy[[#This Row],[DAYS_SINCE_LAST_ORDER]],Table2[R-Cutoff],1)</f>
        <v>3</v>
      </c>
      <c r="X1349" s="2">
        <f>MATCH(Auto_Sales_data___Copy[[#This Row],[Total_Orders_Per_Customer]],Table2[F-Cutoff],1)</f>
        <v>4</v>
      </c>
      <c r="Y1349" s="2">
        <f>MATCH(Auto_Sales_data___Copy[[#This Row],[Total_Sales_Per_Customer]],Table2[M-Cutoff],1)</f>
        <v>4</v>
      </c>
      <c r="Z1349" s="2" t="str">
        <f>Auto_Sales_data___Copy[[#This Row],[R-Score(1-5)]]&amp;Auto_Sales_data___Copy[[#This Row],[F-Score(1-5)]]&amp;Auto_Sales_data___Copy[[#This Row],[M-Score(1-5)]]</f>
        <v>344</v>
      </c>
      <c r="AA1349" s="2" t="str" cm="1">
        <f t="array" ref="AA13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9" s="2" t="str">
        <f>VLOOKUP(Auto_Sales_data___Copy[[#This Row],[Segment Name]],Table3[],2,FALSE)</f>
        <v>Reward &amp; Upsell</v>
      </c>
    </row>
    <row r="1350" spans="1:28" x14ac:dyDescent="0.25">
      <c r="A1350">
        <v>10322</v>
      </c>
      <c r="B1350">
        <v>20</v>
      </c>
      <c r="C1350">
        <v>131.19999999999999</v>
      </c>
      <c r="D1350">
        <v>3</v>
      </c>
      <c r="E1350">
        <v>2624</v>
      </c>
      <c r="F1350" s="1">
        <v>43773</v>
      </c>
      <c r="G1350" s="2" t="s">
        <v>19</v>
      </c>
      <c r="H1350" s="2" t="s">
        <v>589</v>
      </c>
      <c r="I1350">
        <v>33</v>
      </c>
      <c r="J1350" s="2" t="s">
        <v>670</v>
      </c>
      <c r="K1350" s="2" t="s">
        <v>290</v>
      </c>
      <c r="L1350" s="2" t="s">
        <v>291</v>
      </c>
      <c r="M1350" s="2" t="s">
        <v>292</v>
      </c>
      <c r="N1350" s="2" t="s">
        <v>293</v>
      </c>
      <c r="O1350" s="2" t="s">
        <v>294</v>
      </c>
      <c r="P1350" s="2" t="s">
        <v>27</v>
      </c>
      <c r="Q1350" s="2" t="s">
        <v>52</v>
      </c>
      <c r="R1350" s="2" t="s">
        <v>289</v>
      </c>
      <c r="S1350" s="2" t="s">
        <v>30</v>
      </c>
      <c r="T1350">
        <v>1711</v>
      </c>
      <c r="U1350">
        <f>VLOOKUP(Auto_Sales_data___Copy[[#This Row],[CUSTOMER_NAME]],$AF$2:$AH$90,2,FALSE)</f>
        <v>34</v>
      </c>
      <c r="V1350">
        <f>VLOOKUP(Auto_Sales_data___Copy[[#This Row],[CUSTOMER_NAME]],$AF$2:$AH$90,3,FALSE)</f>
        <v>131685.29999999999</v>
      </c>
      <c r="W1350" s="2">
        <f>6-MATCH(Auto_Sales_data___Copy[[#This Row],[DAYS_SINCE_LAST_ORDER]],Table2[R-Cutoff],1)</f>
        <v>3</v>
      </c>
      <c r="X1350" s="2">
        <f>MATCH(Auto_Sales_data___Copy[[#This Row],[Total_Orders_Per_Customer]],Table2[F-Cutoff],1)</f>
        <v>4</v>
      </c>
      <c r="Y1350" s="2">
        <f>MATCH(Auto_Sales_data___Copy[[#This Row],[Total_Sales_Per_Customer]],Table2[M-Cutoff],1)</f>
        <v>4</v>
      </c>
      <c r="Z1350" s="2" t="str">
        <f>Auto_Sales_data___Copy[[#This Row],[R-Score(1-5)]]&amp;Auto_Sales_data___Copy[[#This Row],[F-Score(1-5)]]&amp;Auto_Sales_data___Copy[[#This Row],[M-Score(1-5)]]</f>
        <v>344</v>
      </c>
      <c r="AA1350" s="2" t="str" cm="1">
        <f t="array" ref="AA13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0" s="2" t="str">
        <f>VLOOKUP(Auto_Sales_data___Copy[[#This Row],[Segment Name]],Table3[],2,FALSE)</f>
        <v>Reward &amp; Upsell</v>
      </c>
    </row>
    <row r="1351" spans="1:28" x14ac:dyDescent="0.25">
      <c r="A1351">
        <v>10322</v>
      </c>
      <c r="B1351">
        <v>30</v>
      </c>
      <c r="C1351">
        <v>116.67</v>
      </c>
      <c r="D1351">
        <v>4</v>
      </c>
      <c r="E1351">
        <v>3500.1</v>
      </c>
      <c r="F1351" s="1">
        <v>43773</v>
      </c>
      <c r="G1351" s="2" t="s">
        <v>19</v>
      </c>
      <c r="H1351" s="2" t="s">
        <v>589</v>
      </c>
      <c r="I1351">
        <v>44</v>
      </c>
      <c r="J1351" s="2" t="s">
        <v>673</v>
      </c>
      <c r="K1351" s="2" t="s">
        <v>290</v>
      </c>
      <c r="L1351" s="2" t="s">
        <v>291</v>
      </c>
      <c r="M1351" s="2" t="s">
        <v>292</v>
      </c>
      <c r="N1351" s="2" t="s">
        <v>293</v>
      </c>
      <c r="O1351" s="2" t="s">
        <v>294</v>
      </c>
      <c r="P1351" s="2" t="s">
        <v>27</v>
      </c>
      <c r="Q1351" s="2" t="s">
        <v>52</v>
      </c>
      <c r="R1351" s="2" t="s">
        <v>289</v>
      </c>
      <c r="S1351" s="2" t="s">
        <v>46</v>
      </c>
      <c r="T1351">
        <v>1786</v>
      </c>
      <c r="U1351">
        <f>VLOOKUP(Auto_Sales_data___Copy[[#This Row],[CUSTOMER_NAME]],$AF$2:$AH$90,2,FALSE)</f>
        <v>34</v>
      </c>
      <c r="V1351">
        <f>VLOOKUP(Auto_Sales_data___Copy[[#This Row],[CUSTOMER_NAME]],$AF$2:$AH$90,3,FALSE)</f>
        <v>131685.29999999999</v>
      </c>
      <c r="W1351" s="2">
        <f>6-MATCH(Auto_Sales_data___Copy[[#This Row],[DAYS_SINCE_LAST_ORDER]],Table2[R-Cutoff],1)</f>
        <v>3</v>
      </c>
      <c r="X1351" s="2">
        <f>MATCH(Auto_Sales_data___Copy[[#This Row],[Total_Orders_Per_Customer]],Table2[F-Cutoff],1)</f>
        <v>4</v>
      </c>
      <c r="Y1351" s="2">
        <f>MATCH(Auto_Sales_data___Copy[[#This Row],[Total_Sales_Per_Customer]],Table2[M-Cutoff],1)</f>
        <v>4</v>
      </c>
      <c r="Z1351" s="2" t="str">
        <f>Auto_Sales_data___Copy[[#This Row],[R-Score(1-5)]]&amp;Auto_Sales_data___Copy[[#This Row],[F-Score(1-5)]]&amp;Auto_Sales_data___Copy[[#This Row],[M-Score(1-5)]]</f>
        <v>344</v>
      </c>
      <c r="AA1351" s="2" t="str" cm="1">
        <f t="array" ref="AA13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1" s="2" t="str">
        <f>VLOOKUP(Auto_Sales_data___Copy[[#This Row],[Segment Name]],Table3[],2,FALSE)</f>
        <v>Reward &amp; Upsell</v>
      </c>
    </row>
    <row r="1352" spans="1:28" x14ac:dyDescent="0.25">
      <c r="A1352">
        <v>10328</v>
      </c>
      <c r="B1352">
        <v>47</v>
      </c>
      <c r="C1352">
        <v>87.54</v>
      </c>
      <c r="D1352">
        <v>14</v>
      </c>
      <c r="E1352">
        <v>4114.38</v>
      </c>
      <c r="F1352" s="1">
        <v>43781</v>
      </c>
      <c r="G1352" s="2" t="s">
        <v>19</v>
      </c>
      <c r="H1352" s="2" t="s">
        <v>607</v>
      </c>
      <c r="I1352">
        <v>109</v>
      </c>
      <c r="J1352" s="2" t="s">
        <v>669</v>
      </c>
      <c r="K1352" s="2" t="s">
        <v>591</v>
      </c>
      <c r="L1352" s="2" t="s">
        <v>592</v>
      </c>
      <c r="M1352" s="2" t="s">
        <v>593</v>
      </c>
      <c r="N1352" s="2" t="s">
        <v>594</v>
      </c>
      <c r="O1352" s="2" t="s">
        <v>595</v>
      </c>
      <c r="P1352" s="2" t="s">
        <v>269</v>
      </c>
      <c r="Q1352" s="2" t="s">
        <v>596</v>
      </c>
      <c r="R1352" s="2" t="s">
        <v>597</v>
      </c>
      <c r="S1352" s="2" t="s">
        <v>46</v>
      </c>
      <c r="T1352">
        <v>1680</v>
      </c>
      <c r="U1352">
        <f>VLOOKUP(Auto_Sales_data___Copy[[#This Row],[CUSTOMER_NAME]],$AF$2:$AH$90,2,FALSE)</f>
        <v>48</v>
      </c>
      <c r="V1352">
        <f>VLOOKUP(Auto_Sales_data___Copy[[#This Row],[CUSTOMER_NAME]],$AF$2:$AH$90,3,FALSE)</f>
        <v>137955.72</v>
      </c>
      <c r="W1352" s="2">
        <f>6-MATCH(Auto_Sales_data___Copy[[#This Row],[DAYS_SINCE_LAST_ORDER]],Table2[R-Cutoff],1)</f>
        <v>3</v>
      </c>
      <c r="X1352" s="2">
        <f>MATCH(Auto_Sales_data___Copy[[#This Row],[Total_Orders_Per_Customer]],Table2[F-Cutoff],1)</f>
        <v>4</v>
      </c>
      <c r="Y1352" s="2">
        <f>MATCH(Auto_Sales_data___Copy[[#This Row],[Total_Sales_Per_Customer]],Table2[M-Cutoff],1)</f>
        <v>4</v>
      </c>
      <c r="Z1352" s="2" t="str">
        <f>Auto_Sales_data___Copy[[#This Row],[R-Score(1-5)]]&amp;Auto_Sales_data___Copy[[#This Row],[F-Score(1-5)]]&amp;Auto_Sales_data___Copy[[#This Row],[M-Score(1-5)]]</f>
        <v>344</v>
      </c>
      <c r="AA1352" s="2" t="str" cm="1">
        <f t="array" ref="AA13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2" s="2" t="str">
        <f>VLOOKUP(Auto_Sales_data___Copy[[#This Row],[Segment Name]],Table3[],2,FALSE)</f>
        <v>Reward &amp; Upsell</v>
      </c>
    </row>
    <row r="1353" spans="1:28" x14ac:dyDescent="0.25">
      <c r="A1353">
        <v>10328</v>
      </c>
      <c r="B1353">
        <v>48</v>
      </c>
      <c r="C1353">
        <v>58.92</v>
      </c>
      <c r="D1353">
        <v>1</v>
      </c>
      <c r="E1353">
        <v>2828.16</v>
      </c>
      <c r="F1353" s="1">
        <v>43781</v>
      </c>
      <c r="G1353" s="2" t="s">
        <v>19</v>
      </c>
      <c r="H1353" s="2" t="s">
        <v>607</v>
      </c>
      <c r="I1353">
        <v>68</v>
      </c>
      <c r="J1353" s="2" t="s">
        <v>678</v>
      </c>
      <c r="K1353" s="2" t="s">
        <v>591</v>
      </c>
      <c r="L1353" s="2" t="s">
        <v>592</v>
      </c>
      <c r="M1353" s="2" t="s">
        <v>593</v>
      </c>
      <c r="N1353" s="2" t="s">
        <v>594</v>
      </c>
      <c r="O1353" s="2" t="s">
        <v>595</v>
      </c>
      <c r="P1353" s="2" t="s">
        <v>269</v>
      </c>
      <c r="Q1353" s="2" t="s">
        <v>596</v>
      </c>
      <c r="R1353" s="2" t="s">
        <v>597</v>
      </c>
      <c r="S1353" s="2" t="s">
        <v>30</v>
      </c>
      <c r="T1353">
        <v>1905</v>
      </c>
      <c r="U1353">
        <f>VLOOKUP(Auto_Sales_data___Copy[[#This Row],[CUSTOMER_NAME]],$AF$2:$AH$90,2,FALSE)</f>
        <v>48</v>
      </c>
      <c r="V1353">
        <f>VLOOKUP(Auto_Sales_data___Copy[[#This Row],[CUSTOMER_NAME]],$AF$2:$AH$90,3,FALSE)</f>
        <v>137955.72</v>
      </c>
      <c r="W1353" s="2">
        <f>6-MATCH(Auto_Sales_data___Copy[[#This Row],[DAYS_SINCE_LAST_ORDER]],Table2[R-Cutoff],1)</f>
        <v>3</v>
      </c>
      <c r="X1353" s="2">
        <f>MATCH(Auto_Sales_data___Copy[[#This Row],[Total_Orders_Per_Customer]],Table2[F-Cutoff],1)</f>
        <v>4</v>
      </c>
      <c r="Y1353" s="2">
        <f>MATCH(Auto_Sales_data___Copy[[#This Row],[Total_Sales_Per_Customer]],Table2[M-Cutoff],1)</f>
        <v>4</v>
      </c>
      <c r="Z1353" s="2" t="str">
        <f>Auto_Sales_data___Copy[[#This Row],[R-Score(1-5)]]&amp;Auto_Sales_data___Copy[[#This Row],[F-Score(1-5)]]&amp;Auto_Sales_data___Copy[[#This Row],[M-Score(1-5)]]</f>
        <v>344</v>
      </c>
      <c r="AA1353" s="2" t="str" cm="1">
        <f t="array" ref="AA13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3" s="2" t="str">
        <f>VLOOKUP(Auto_Sales_data___Copy[[#This Row],[Segment Name]],Table3[],2,FALSE)</f>
        <v>Reward &amp; Upsell</v>
      </c>
    </row>
    <row r="1354" spans="1:28" x14ac:dyDescent="0.25">
      <c r="A1354">
        <v>10329</v>
      </c>
      <c r="B1354">
        <v>30</v>
      </c>
      <c r="C1354">
        <v>87.78</v>
      </c>
      <c r="D1354">
        <v>7</v>
      </c>
      <c r="E1354">
        <v>2633.4</v>
      </c>
      <c r="F1354" s="1">
        <v>43784</v>
      </c>
      <c r="G1354" s="2" t="s">
        <v>19</v>
      </c>
      <c r="H1354" s="2" t="s">
        <v>20</v>
      </c>
      <c r="I1354">
        <v>112</v>
      </c>
      <c r="J1354" s="2" t="s">
        <v>667</v>
      </c>
      <c r="K1354" s="2" t="s">
        <v>22</v>
      </c>
      <c r="L1354" s="2" t="s">
        <v>23</v>
      </c>
      <c r="M1354" s="2" t="s">
        <v>24</v>
      </c>
      <c r="N1354" s="2" t="s">
        <v>25</v>
      </c>
      <c r="O1354" s="2" t="s">
        <v>26</v>
      </c>
      <c r="P1354" s="2" t="s">
        <v>27</v>
      </c>
      <c r="Q1354" s="2" t="s">
        <v>28</v>
      </c>
      <c r="R1354" s="2" t="s">
        <v>29</v>
      </c>
      <c r="S1354" s="2" t="s">
        <v>30</v>
      </c>
      <c r="T1354">
        <v>1631</v>
      </c>
      <c r="U1354">
        <f>VLOOKUP(Auto_Sales_data___Copy[[#This Row],[CUSTOMER_NAME]],$AF$2:$AH$90,2,FALSE)</f>
        <v>49</v>
      </c>
      <c r="V1354">
        <f>VLOOKUP(Auto_Sales_data___Copy[[#This Row],[CUSTOMER_NAME]],$AF$2:$AH$90,3,FALSE)</f>
        <v>164069.43999999997</v>
      </c>
      <c r="W1354" s="2">
        <f>6-MATCH(Auto_Sales_data___Copy[[#This Row],[DAYS_SINCE_LAST_ORDER]],Table2[R-Cutoff],1)</f>
        <v>3</v>
      </c>
      <c r="X1354" s="2">
        <f>MATCH(Auto_Sales_data___Copy[[#This Row],[Total_Orders_Per_Customer]],Table2[F-Cutoff],1)</f>
        <v>4</v>
      </c>
      <c r="Y1354" s="2">
        <f>MATCH(Auto_Sales_data___Copy[[#This Row],[Total_Sales_Per_Customer]],Table2[M-Cutoff],1)</f>
        <v>4</v>
      </c>
      <c r="Z1354" s="2" t="str">
        <f>Auto_Sales_data___Copy[[#This Row],[R-Score(1-5)]]&amp;Auto_Sales_data___Copy[[#This Row],[F-Score(1-5)]]&amp;Auto_Sales_data___Copy[[#This Row],[M-Score(1-5)]]</f>
        <v>344</v>
      </c>
      <c r="AA1354" s="2" t="str" cm="1">
        <f t="array" ref="AA13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4" s="2" t="str">
        <f>VLOOKUP(Auto_Sales_data___Copy[[#This Row],[Segment Name]],Table3[],2,FALSE)</f>
        <v>Reward &amp; Upsell</v>
      </c>
    </row>
    <row r="1355" spans="1:28" x14ac:dyDescent="0.25">
      <c r="A1355">
        <v>10329</v>
      </c>
      <c r="B1355">
        <v>37</v>
      </c>
      <c r="C1355">
        <v>94.43</v>
      </c>
      <c r="D1355">
        <v>4</v>
      </c>
      <c r="E1355">
        <v>3493.91</v>
      </c>
      <c r="F1355" s="1">
        <v>43784</v>
      </c>
      <c r="G1355" s="2" t="s">
        <v>19</v>
      </c>
      <c r="H1355" s="2" t="s">
        <v>20</v>
      </c>
      <c r="I1355">
        <v>76</v>
      </c>
      <c r="J1355" s="2" t="s">
        <v>671</v>
      </c>
      <c r="K1355" s="2" t="s">
        <v>22</v>
      </c>
      <c r="L1355" s="2" t="s">
        <v>23</v>
      </c>
      <c r="M1355" s="2" t="s">
        <v>24</v>
      </c>
      <c r="N1355" s="2" t="s">
        <v>25</v>
      </c>
      <c r="O1355" s="2" t="s">
        <v>26</v>
      </c>
      <c r="P1355" s="2" t="s">
        <v>27</v>
      </c>
      <c r="Q1355" s="2" t="s">
        <v>28</v>
      </c>
      <c r="R1355" s="2" t="s">
        <v>29</v>
      </c>
      <c r="S1355" s="2" t="s">
        <v>46</v>
      </c>
      <c r="T1355">
        <v>1727</v>
      </c>
      <c r="U1355">
        <f>VLOOKUP(Auto_Sales_data___Copy[[#This Row],[CUSTOMER_NAME]],$AF$2:$AH$90,2,FALSE)</f>
        <v>49</v>
      </c>
      <c r="V1355">
        <f>VLOOKUP(Auto_Sales_data___Copy[[#This Row],[CUSTOMER_NAME]],$AF$2:$AH$90,3,FALSE)</f>
        <v>164069.43999999997</v>
      </c>
      <c r="W1355" s="2">
        <f>6-MATCH(Auto_Sales_data___Copy[[#This Row],[DAYS_SINCE_LAST_ORDER]],Table2[R-Cutoff],1)</f>
        <v>3</v>
      </c>
      <c r="X1355" s="2">
        <f>MATCH(Auto_Sales_data___Copy[[#This Row],[Total_Orders_Per_Customer]],Table2[F-Cutoff],1)</f>
        <v>4</v>
      </c>
      <c r="Y1355" s="2">
        <f>MATCH(Auto_Sales_data___Copy[[#This Row],[Total_Sales_Per_Customer]],Table2[M-Cutoff],1)</f>
        <v>4</v>
      </c>
      <c r="Z1355" s="2" t="str">
        <f>Auto_Sales_data___Copy[[#This Row],[R-Score(1-5)]]&amp;Auto_Sales_data___Copy[[#This Row],[F-Score(1-5)]]&amp;Auto_Sales_data___Copy[[#This Row],[M-Score(1-5)]]</f>
        <v>344</v>
      </c>
      <c r="AA1355" s="2" t="str" cm="1">
        <f t="array" ref="AA13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5" s="2" t="str">
        <f>VLOOKUP(Auto_Sales_data___Copy[[#This Row],[Segment Name]],Table3[],2,FALSE)</f>
        <v>Reward &amp; Upsell</v>
      </c>
    </row>
    <row r="1356" spans="1:28" x14ac:dyDescent="0.25">
      <c r="A1356">
        <v>10332</v>
      </c>
      <c r="B1356">
        <v>21</v>
      </c>
      <c r="C1356">
        <v>165.38</v>
      </c>
      <c r="D1356">
        <v>3</v>
      </c>
      <c r="E1356">
        <v>3472.98</v>
      </c>
      <c r="F1356" s="1">
        <v>43786</v>
      </c>
      <c r="G1356" s="2" t="s">
        <v>19</v>
      </c>
      <c r="H1356" s="2" t="s">
        <v>183</v>
      </c>
      <c r="I1356">
        <v>71</v>
      </c>
      <c r="J1356" s="2" t="s">
        <v>664</v>
      </c>
      <c r="K1356" s="2" t="s">
        <v>523</v>
      </c>
      <c r="L1356" s="2" t="s">
        <v>524</v>
      </c>
      <c r="M1356" s="2" t="s">
        <v>525</v>
      </c>
      <c r="N1356" s="2" t="s">
        <v>526</v>
      </c>
      <c r="O1356" s="2" t="s">
        <v>527</v>
      </c>
      <c r="P1356" s="2" t="s">
        <v>171</v>
      </c>
      <c r="Q1356" s="2" t="s">
        <v>528</v>
      </c>
      <c r="R1356" s="2" t="s">
        <v>529</v>
      </c>
      <c r="S1356" s="2" t="s">
        <v>46</v>
      </c>
      <c r="T1356">
        <v>1555</v>
      </c>
      <c r="U1356">
        <f>VLOOKUP(Auto_Sales_data___Copy[[#This Row],[CUSTOMER_NAME]],$AF$2:$AH$90,2,FALSE)</f>
        <v>51</v>
      </c>
      <c r="V1356">
        <f>VLOOKUP(Auto_Sales_data___Copy[[#This Row],[CUSTOMER_NAME]],$AF$2:$AH$90,3,FALSE)</f>
        <v>157807.80999999994</v>
      </c>
      <c r="W1356" s="2">
        <f>6-MATCH(Auto_Sales_data___Copy[[#This Row],[DAYS_SINCE_LAST_ORDER]],Table2[R-Cutoff],1)</f>
        <v>3</v>
      </c>
      <c r="X1356" s="2">
        <f>MATCH(Auto_Sales_data___Copy[[#This Row],[Total_Orders_Per_Customer]],Table2[F-Cutoff],1)</f>
        <v>4</v>
      </c>
      <c r="Y1356" s="2">
        <f>MATCH(Auto_Sales_data___Copy[[#This Row],[Total_Sales_Per_Customer]],Table2[M-Cutoff],1)</f>
        <v>4</v>
      </c>
      <c r="Z1356" s="2" t="str">
        <f>Auto_Sales_data___Copy[[#This Row],[R-Score(1-5)]]&amp;Auto_Sales_data___Copy[[#This Row],[F-Score(1-5)]]&amp;Auto_Sales_data___Copy[[#This Row],[M-Score(1-5)]]</f>
        <v>344</v>
      </c>
      <c r="AA1356" s="2" t="str" cm="1">
        <f t="array" ref="AA13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6" s="2" t="str">
        <f>VLOOKUP(Auto_Sales_data___Copy[[#This Row],[Segment Name]],Table3[],2,FALSE)</f>
        <v>Reward &amp; Upsell</v>
      </c>
    </row>
    <row r="1357" spans="1:28" x14ac:dyDescent="0.25">
      <c r="A1357">
        <v>10332</v>
      </c>
      <c r="B1357">
        <v>23</v>
      </c>
      <c r="C1357">
        <v>56.84</v>
      </c>
      <c r="D1357">
        <v>4</v>
      </c>
      <c r="E1357">
        <v>1307.32</v>
      </c>
      <c r="F1357" s="1">
        <v>43786</v>
      </c>
      <c r="G1357" s="2" t="s">
        <v>19</v>
      </c>
      <c r="H1357" s="2" t="s">
        <v>183</v>
      </c>
      <c r="I1357">
        <v>73</v>
      </c>
      <c r="J1357" s="2" t="s">
        <v>665</v>
      </c>
      <c r="K1357" s="2" t="s">
        <v>523</v>
      </c>
      <c r="L1357" s="2" t="s">
        <v>524</v>
      </c>
      <c r="M1357" s="2" t="s">
        <v>525</v>
      </c>
      <c r="N1357" s="2" t="s">
        <v>526</v>
      </c>
      <c r="O1357" s="2" t="s">
        <v>527</v>
      </c>
      <c r="P1357" s="2" t="s">
        <v>171</v>
      </c>
      <c r="Q1357" s="2" t="s">
        <v>528</v>
      </c>
      <c r="R1357" s="2" t="s">
        <v>529</v>
      </c>
      <c r="S1357" s="2" t="s">
        <v>30</v>
      </c>
      <c r="T1357">
        <v>1578</v>
      </c>
      <c r="U1357">
        <f>VLOOKUP(Auto_Sales_data___Copy[[#This Row],[CUSTOMER_NAME]],$AF$2:$AH$90,2,FALSE)</f>
        <v>51</v>
      </c>
      <c r="V1357">
        <f>VLOOKUP(Auto_Sales_data___Copy[[#This Row],[CUSTOMER_NAME]],$AF$2:$AH$90,3,FALSE)</f>
        <v>157807.80999999994</v>
      </c>
      <c r="W1357" s="2">
        <f>6-MATCH(Auto_Sales_data___Copy[[#This Row],[DAYS_SINCE_LAST_ORDER]],Table2[R-Cutoff],1)</f>
        <v>3</v>
      </c>
      <c r="X1357" s="2">
        <f>MATCH(Auto_Sales_data___Copy[[#This Row],[Total_Orders_Per_Customer]],Table2[F-Cutoff],1)</f>
        <v>4</v>
      </c>
      <c r="Y1357" s="2">
        <f>MATCH(Auto_Sales_data___Copy[[#This Row],[Total_Sales_Per_Customer]],Table2[M-Cutoff],1)</f>
        <v>4</v>
      </c>
      <c r="Z1357" s="2" t="str">
        <f>Auto_Sales_data___Copy[[#This Row],[R-Score(1-5)]]&amp;Auto_Sales_data___Copy[[#This Row],[F-Score(1-5)]]&amp;Auto_Sales_data___Copy[[#This Row],[M-Score(1-5)]]</f>
        <v>344</v>
      </c>
      <c r="AA1357" s="2" t="str" cm="1">
        <f t="array" ref="AA13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7" s="2" t="str">
        <f>VLOOKUP(Auto_Sales_data___Copy[[#This Row],[Segment Name]],Table3[],2,FALSE)</f>
        <v>Reward &amp; Upsell</v>
      </c>
    </row>
    <row r="1358" spans="1:28" x14ac:dyDescent="0.25">
      <c r="A1358">
        <v>10332</v>
      </c>
      <c r="B1358">
        <v>20</v>
      </c>
      <c r="C1358">
        <v>87.96</v>
      </c>
      <c r="D1358">
        <v>5</v>
      </c>
      <c r="E1358">
        <v>1759.2</v>
      </c>
      <c r="F1358" s="1">
        <v>43786</v>
      </c>
      <c r="G1358" s="2" t="s">
        <v>19</v>
      </c>
      <c r="H1358" s="2" t="s">
        <v>183</v>
      </c>
      <c r="I1358">
        <v>50</v>
      </c>
      <c r="J1358" s="2" t="s">
        <v>668</v>
      </c>
      <c r="K1358" s="2" t="s">
        <v>523</v>
      </c>
      <c r="L1358" s="2" t="s">
        <v>524</v>
      </c>
      <c r="M1358" s="2" t="s">
        <v>525</v>
      </c>
      <c r="N1358" s="2" t="s">
        <v>526</v>
      </c>
      <c r="O1358" s="2" t="s">
        <v>527</v>
      </c>
      <c r="P1358" s="2" t="s">
        <v>171</v>
      </c>
      <c r="Q1358" s="2" t="s">
        <v>528</v>
      </c>
      <c r="R1358" s="2" t="s">
        <v>529</v>
      </c>
      <c r="S1358" s="2" t="s">
        <v>30</v>
      </c>
      <c r="T1358">
        <v>1654</v>
      </c>
      <c r="U1358">
        <f>VLOOKUP(Auto_Sales_data___Copy[[#This Row],[CUSTOMER_NAME]],$AF$2:$AH$90,2,FALSE)</f>
        <v>51</v>
      </c>
      <c r="V1358">
        <f>VLOOKUP(Auto_Sales_data___Copy[[#This Row],[CUSTOMER_NAME]],$AF$2:$AH$90,3,FALSE)</f>
        <v>157807.80999999994</v>
      </c>
      <c r="W1358" s="2">
        <f>6-MATCH(Auto_Sales_data___Copy[[#This Row],[DAYS_SINCE_LAST_ORDER]],Table2[R-Cutoff],1)</f>
        <v>3</v>
      </c>
      <c r="X1358" s="2">
        <f>MATCH(Auto_Sales_data___Copy[[#This Row],[Total_Orders_Per_Customer]],Table2[F-Cutoff],1)</f>
        <v>4</v>
      </c>
      <c r="Y1358" s="2">
        <f>MATCH(Auto_Sales_data___Copy[[#This Row],[Total_Sales_Per_Customer]],Table2[M-Cutoff],1)</f>
        <v>4</v>
      </c>
      <c r="Z1358" s="2" t="str">
        <f>Auto_Sales_data___Copy[[#This Row],[R-Score(1-5)]]&amp;Auto_Sales_data___Copy[[#This Row],[F-Score(1-5)]]&amp;Auto_Sales_data___Copy[[#This Row],[M-Score(1-5)]]</f>
        <v>344</v>
      </c>
      <c r="AA1358" s="2" t="str" cm="1">
        <f t="array" ref="AA13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8" s="2" t="str">
        <f>VLOOKUP(Auto_Sales_data___Copy[[#This Row],[Segment Name]],Table3[],2,FALSE)</f>
        <v>Reward &amp; Upsell</v>
      </c>
    </row>
    <row r="1359" spans="1:28" x14ac:dyDescent="0.25">
      <c r="A1359">
        <v>10332</v>
      </c>
      <c r="B1359">
        <v>45</v>
      </c>
      <c r="C1359">
        <v>81.91</v>
      </c>
      <c r="D1359">
        <v>6</v>
      </c>
      <c r="E1359">
        <v>3685.95</v>
      </c>
      <c r="F1359" s="1">
        <v>43786</v>
      </c>
      <c r="G1359" s="2" t="s">
        <v>19</v>
      </c>
      <c r="H1359" s="2" t="s">
        <v>589</v>
      </c>
      <c r="I1359">
        <v>33</v>
      </c>
      <c r="J1359" s="2" t="s">
        <v>670</v>
      </c>
      <c r="K1359" s="2" t="s">
        <v>523</v>
      </c>
      <c r="L1359" s="2" t="s">
        <v>524</v>
      </c>
      <c r="M1359" s="2" t="s">
        <v>525</v>
      </c>
      <c r="N1359" s="2" t="s">
        <v>526</v>
      </c>
      <c r="O1359" s="2" t="s">
        <v>527</v>
      </c>
      <c r="P1359" s="2" t="s">
        <v>171</v>
      </c>
      <c r="Q1359" s="2" t="s">
        <v>528</v>
      </c>
      <c r="R1359" s="2" t="s">
        <v>529</v>
      </c>
      <c r="S1359" s="2" t="s">
        <v>46</v>
      </c>
      <c r="T1359">
        <v>1699</v>
      </c>
      <c r="U1359">
        <f>VLOOKUP(Auto_Sales_data___Copy[[#This Row],[CUSTOMER_NAME]],$AF$2:$AH$90,2,FALSE)</f>
        <v>51</v>
      </c>
      <c r="V1359">
        <f>VLOOKUP(Auto_Sales_data___Copy[[#This Row],[CUSTOMER_NAME]],$AF$2:$AH$90,3,FALSE)</f>
        <v>157807.80999999994</v>
      </c>
      <c r="W1359" s="2">
        <f>6-MATCH(Auto_Sales_data___Copy[[#This Row],[DAYS_SINCE_LAST_ORDER]],Table2[R-Cutoff],1)</f>
        <v>3</v>
      </c>
      <c r="X1359" s="2">
        <f>MATCH(Auto_Sales_data___Copy[[#This Row],[Total_Orders_Per_Customer]],Table2[F-Cutoff],1)</f>
        <v>4</v>
      </c>
      <c r="Y1359" s="2">
        <f>MATCH(Auto_Sales_data___Copy[[#This Row],[Total_Sales_Per_Customer]],Table2[M-Cutoff],1)</f>
        <v>4</v>
      </c>
      <c r="Z1359" s="2" t="str">
        <f>Auto_Sales_data___Copy[[#This Row],[R-Score(1-5)]]&amp;Auto_Sales_data___Copy[[#This Row],[F-Score(1-5)]]&amp;Auto_Sales_data___Copy[[#This Row],[M-Score(1-5)]]</f>
        <v>344</v>
      </c>
      <c r="AA1359" s="2" t="str" cm="1">
        <f t="array" ref="AA13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9" s="2" t="str">
        <f>VLOOKUP(Auto_Sales_data___Copy[[#This Row],[Segment Name]],Table3[],2,FALSE)</f>
        <v>Reward &amp; Upsell</v>
      </c>
    </row>
    <row r="1360" spans="1:28" x14ac:dyDescent="0.25">
      <c r="A1360">
        <v>10332</v>
      </c>
      <c r="B1360">
        <v>26</v>
      </c>
      <c r="C1360">
        <v>85.52</v>
      </c>
      <c r="D1360">
        <v>10</v>
      </c>
      <c r="E1360">
        <v>2223.52</v>
      </c>
      <c r="F1360" s="1">
        <v>43786</v>
      </c>
      <c r="G1360" s="2" t="s">
        <v>19</v>
      </c>
      <c r="H1360" s="2" t="s">
        <v>589</v>
      </c>
      <c r="I1360">
        <v>44</v>
      </c>
      <c r="J1360" s="2" t="s">
        <v>673</v>
      </c>
      <c r="K1360" s="2" t="s">
        <v>523</v>
      </c>
      <c r="L1360" s="2" t="s">
        <v>524</v>
      </c>
      <c r="M1360" s="2" t="s">
        <v>525</v>
      </c>
      <c r="N1360" s="2" t="s">
        <v>526</v>
      </c>
      <c r="O1360" s="2" t="s">
        <v>527</v>
      </c>
      <c r="P1360" s="2" t="s">
        <v>171</v>
      </c>
      <c r="Q1360" s="2" t="s">
        <v>528</v>
      </c>
      <c r="R1360" s="2" t="s">
        <v>529</v>
      </c>
      <c r="S1360" s="2" t="s">
        <v>30</v>
      </c>
      <c r="T1360">
        <v>1774</v>
      </c>
      <c r="U1360">
        <f>VLOOKUP(Auto_Sales_data___Copy[[#This Row],[CUSTOMER_NAME]],$AF$2:$AH$90,2,FALSE)</f>
        <v>51</v>
      </c>
      <c r="V1360">
        <f>VLOOKUP(Auto_Sales_data___Copy[[#This Row],[CUSTOMER_NAME]],$AF$2:$AH$90,3,FALSE)</f>
        <v>157807.80999999994</v>
      </c>
      <c r="W1360" s="2">
        <f>6-MATCH(Auto_Sales_data___Copy[[#This Row],[DAYS_SINCE_LAST_ORDER]],Table2[R-Cutoff],1)</f>
        <v>3</v>
      </c>
      <c r="X1360" s="2">
        <f>MATCH(Auto_Sales_data___Copy[[#This Row],[Total_Orders_Per_Customer]],Table2[F-Cutoff],1)</f>
        <v>4</v>
      </c>
      <c r="Y1360" s="2">
        <f>MATCH(Auto_Sales_data___Copy[[#This Row],[Total_Sales_Per_Customer]],Table2[M-Cutoff],1)</f>
        <v>4</v>
      </c>
      <c r="Z1360" s="2" t="str">
        <f>Auto_Sales_data___Copy[[#This Row],[R-Score(1-5)]]&amp;Auto_Sales_data___Copy[[#This Row],[F-Score(1-5)]]&amp;Auto_Sales_data___Copy[[#This Row],[M-Score(1-5)]]</f>
        <v>344</v>
      </c>
      <c r="AA1360" s="2" t="str" cm="1">
        <f t="array" ref="AA13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0" s="2" t="str">
        <f>VLOOKUP(Auto_Sales_data___Copy[[#This Row],[Segment Name]],Table3[],2,FALSE)</f>
        <v>Reward &amp; Upsell</v>
      </c>
    </row>
    <row r="1361" spans="1:28" x14ac:dyDescent="0.25">
      <c r="A1361">
        <v>10332</v>
      </c>
      <c r="B1361">
        <v>39</v>
      </c>
      <c r="C1361">
        <v>86.72</v>
      </c>
      <c r="D1361">
        <v>7</v>
      </c>
      <c r="E1361">
        <v>3382.08</v>
      </c>
      <c r="F1361" s="1">
        <v>43786</v>
      </c>
      <c r="G1361" s="2" t="s">
        <v>19</v>
      </c>
      <c r="H1361" s="2" t="s">
        <v>183</v>
      </c>
      <c r="I1361">
        <v>90</v>
      </c>
      <c r="J1361" s="2" t="s">
        <v>676</v>
      </c>
      <c r="K1361" s="2" t="s">
        <v>523</v>
      </c>
      <c r="L1361" s="2" t="s">
        <v>524</v>
      </c>
      <c r="M1361" s="2" t="s">
        <v>525</v>
      </c>
      <c r="N1361" s="2" t="s">
        <v>526</v>
      </c>
      <c r="O1361" s="2" t="s">
        <v>527</v>
      </c>
      <c r="P1361" s="2" t="s">
        <v>171</v>
      </c>
      <c r="Q1361" s="2" t="s">
        <v>528</v>
      </c>
      <c r="R1361" s="2" t="s">
        <v>529</v>
      </c>
      <c r="S1361" s="2" t="s">
        <v>46</v>
      </c>
      <c r="T1361">
        <v>1849</v>
      </c>
      <c r="U1361">
        <f>VLOOKUP(Auto_Sales_data___Copy[[#This Row],[CUSTOMER_NAME]],$AF$2:$AH$90,2,FALSE)</f>
        <v>51</v>
      </c>
      <c r="V1361">
        <f>VLOOKUP(Auto_Sales_data___Copy[[#This Row],[CUSTOMER_NAME]],$AF$2:$AH$90,3,FALSE)</f>
        <v>157807.80999999994</v>
      </c>
      <c r="W1361" s="2">
        <f>6-MATCH(Auto_Sales_data___Copy[[#This Row],[DAYS_SINCE_LAST_ORDER]],Table2[R-Cutoff],1)</f>
        <v>3</v>
      </c>
      <c r="X1361" s="2">
        <f>MATCH(Auto_Sales_data___Copy[[#This Row],[Total_Orders_Per_Customer]],Table2[F-Cutoff],1)</f>
        <v>4</v>
      </c>
      <c r="Y1361" s="2">
        <f>MATCH(Auto_Sales_data___Copy[[#This Row],[Total_Sales_Per_Customer]],Table2[M-Cutoff],1)</f>
        <v>4</v>
      </c>
      <c r="Z1361" s="2" t="str">
        <f>Auto_Sales_data___Copy[[#This Row],[R-Score(1-5)]]&amp;Auto_Sales_data___Copy[[#This Row],[F-Score(1-5)]]&amp;Auto_Sales_data___Copy[[#This Row],[M-Score(1-5)]]</f>
        <v>344</v>
      </c>
      <c r="AA1361" s="2" t="str" cm="1">
        <f t="array" ref="AA13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1" s="2" t="str">
        <f>VLOOKUP(Auto_Sales_data___Copy[[#This Row],[Segment Name]],Table3[],2,FALSE)</f>
        <v>Reward &amp; Upsell</v>
      </c>
    </row>
    <row r="1362" spans="1:28" x14ac:dyDescent="0.25">
      <c r="A1362">
        <v>10332</v>
      </c>
      <c r="B1362">
        <v>44</v>
      </c>
      <c r="C1362">
        <v>42.26</v>
      </c>
      <c r="D1362">
        <v>11</v>
      </c>
      <c r="E1362">
        <v>1859.44</v>
      </c>
      <c r="F1362" s="1">
        <v>43786</v>
      </c>
      <c r="G1362" s="2" t="s">
        <v>19</v>
      </c>
      <c r="H1362" s="2" t="s">
        <v>183</v>
      </c>
      <c r="I1362">
        <v>117</v>
      </c>
      <c r="J1362" s="2" t="s">
        <v>679</v>
      </c>
      <c r="K1362" s="2" t="s">
        <v>523</v>
      </c>
      <c r="L1362" s="2" t="s">
        <v>524</v>
      </c>
      <c r="M1362" s="2" t="s">
        <v>525</v>
      </c>
      <c r="N1362" s="2" t="s">
        <v>526</v>
      </c>
      <c r="O1362" s="2" t="s">
        <v>527</v>
      </c>
      <c r="P1362" s="2" t="s">
        <v>171</v>
      </c>
      <c r="Q1362" s="2" t="s">
        <v>528</v>
      </c>
      <c r="R1362" s="2" t="s">
        <v>529</v>
      </c>
      <c r="S1362" s="2" t="s">
        <v>30</v>
      </c>
      <c r="T1362">
        <v>1924</v>
      </c>
      <c r="U1362">
        <f>VLOOKUP(Auto_Sales_data___Copy[[#This Row],[CUSTOMER_NAME]],$AF$2:$AH$90,2,FALSE)</f>
        <v>51</v>
      </c>
      <c r="V1362">
        <f>VLOOKUP(Auto_Sales_data___Copy[[#This Row],[CUSTOMER_NAME]],$AF$2:$AH$90,3,FALSE)</f>
        <v>157807.80999999994</v>
      </c>
      <c r="W1362" s="2">
        <f>6-MATCH(Auto_Sales_data___Copy[[#This Row],[DAYS_SINCE_LAST_ORDER]],Table2[R-Cutoff],1)</f>
        <v>3</v>
      </c>
      <c r="X1362" s="2">
        <f>MATCH(Auto_Sales_data___Copy[[#This Row],[Total_Orders_Per_Customer]],Table2[F-Cutoff],1)</f>
        <v>4</v>
      </c>
      <c r="Y1362" s="2">
        <f>MATCH(Auto_Sales_data___Copy[[#This Row],[Total_Sales_Per_Customer]],Table2[M-Cutoff],1)</f>
        <v>4</v>
      </c>
      <c r="Z1362" s="2" t="str">
        <f>Auto_Sales_data___Copy[[#This Row],[R-Score(1-5)]]&amp;Auto_Sales_data___Copy[[#This Row],[F-Score(1-5)]]&amp;Auto_Sales_data___Copy[[#This Row],[M-Score(1-5)]]</f>
        <v>344</v>
      </c>
      <c r="AA1362" s="2" t="str" cm="1">
        <f t="array" ref="AA13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2" s="2" t="str">
        <f>VLOOKUP(Auto_Sales_data___Copy[[#This Row],[Segment Name]],Table3[],2,FALSE)</f>
        <v>Reward &amp; Upsell</v>
      </c>
    </row>
    <row r="1363" spans="1:28" x14ac:dyDescent="0.25">
      <c r="A1363">
        <v>10332</v>
      </c>
      <c r="B1363">
        <v>45</v>
      </c>
      <c r="C1363">
        <v>34.19</v>
      </c>
      <c r="D1363">
        <v>12</v>
      </c>
      <c r="E1363">
        <v>1538.55</v>
      </c>
      <c r="F1363" s="1">
        <v>43786</v>
      </c>
      <c r="G1363" s="2" t="s">
        <v>19</v>
      </c>
      <c r="H1363" s="2" t="s">
        <v>183</v>
      </c>
      <c r="I1363">
        <v>85</v>
      </c>
      <c r="J1363" s="2" t="s">
        <v>682</v>
      </c>
      <c r="K1363" s="2" t="s">
        <v>523</v>
      </c>
      <c r="L1363" s="2" t="s">
        <v>524</v>
      </c>
      <c r="M1363" s="2" t="s">
        <v>525</v>
      </c>
      <c r="N1363" s="2" t="s">
        <v>526</v>
      </c>
      <c r="O1363" s="2" t="s">
        <v>527</v>
      </c>
      <c r="P1363" s="2" t="s">
        <v>171</v>
      </c>
      <c r="Q1363" s="2" t="s">
        <v>528</v>
      </c>
      <c r="R1363" s="2" t="s">
        <v>529</v>
      </c>
      <c r="S1363" s="2" t="s">
        <v>30</v>
      </c>
      <c r="T1363">
        <v>1998</v>
      </c>
      <c r="U1363">
        <f>VLOOKUP(Auto_Sales_data___Copy[[#This Row],[CUSTOMER_NAME]],$AF$2:$AH$90,2,FALSE)</f>
        <v>51</v>
      </c>
      <c r="V1363">
        <f>VLOOKUP(Auto_Sales_data___Copy[[#This Row],[CUSTOMER_NAME]],$AF$2:$AH$90,3,FALSE)</f>
        <v>157807.80999999994</v>
      </c>
      <c r="W1363" s="2">
        <f>6-MATCH(Auto_Sales_data___Copy[[#This Row],[DAYS_SINCE_LAST_ORDER]],Table2[R-Cutoff],1)</f>
        <v>3</v>
      </c>
      <c r="X1363" s="2">
        <f>MATCH(Auto_Sales_data___Copy[[#This Row],[Total_Orders_Per_Customer]],Table2[F-Cutoff],1)</f>
        <v>4</v>
      </c>
      <c r="Y1363" s="2">
        <f>MATCH(Auto_Sales_data___Copy[[#This Row],[Total_Sales_Per_Customer]],Table2[M-Cutoff],1)</f>
        <v>4</v>
      </c>
      <c r="Z1363" s="2" t="str">
        <f>Auto_Sales_data___Copy[[#This Row],[R-Score(1-5)]]&amp;Auto_Sales_data___Copy[[#This Row],[F-Score(1-5)]]&amp;Auto_Sales_data___Copy[[#This Row],[M-Score(1-5)]]</f>
        <v>344</v>
      </c>
      <c r="AA1363" s="2" t="str" cm="1">
        <f t="array" ref="AA13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3" s="2" t="str">
        <f>VLOOKUP(Auto_Sales_data___Copy[[#This Row],[Segment Name]],Table3[],2,FALSE)</f>
        <v>Reward &amp; Upsell</v>
      </c>
    </row>
    <row r="1364" spans="1:28" x14ac:dyDescent="0.25">
      <c r="A1364">
        <v>10335</v>
      </c>
      <c r="B1364">
        <v>33</v>
      </c>
      <c r="C1364">
        <v>37.130000000000003</v>
      </c>
      <c r="D1364">
        <v>2</v>
      </c>
      <c r="E1364">
        <v>1225.29</v>
      </c>
      <c r="F1364" s="1">
        <v>43788</v>
      </c>
      <c r="G1364" s="2" t="s">
        <v>19</v>
      </c>
      <c r="H1364" s="2" t="s">
        <v>183</v>
      </c>
      <c r="I1364">
        <v>35</v>
      </c>
      <c r="J1364" s="2" t="s">
        <v>677</v>
      </c>
      <c r="K1364" s="2" t="s">
        <v>284</v>
      </c>
      <c r="L1364" s="2" t="s">
        <v>285</v>
      </c>
      <c r="M1364" s="2" t="s">
        <v>286</v>
      </c>
      <c r="N1364" s="2" t="s">
        <v>287</v>
      </c>
      <c r="O1364" s="2" t="s">
        <v>106</v>
      </c>
      <c r="P1364" s="2" t="s">
        <v>27</v>
      </c>
      <c r="Q1364" s="2" t="s">
        <v>288</v>
      </c>
      <c r="R1364" s="2" t="s">
        <v>289</v>
      </c>
      <c r="S1364" s="2" t="s">
        <v>30</v>
      </c>
      <c r="T1364">
        <v>1873</v>
      </c>
      <c r="U1364">
        <f>VLOOKUP(Auto_Sales_data___Copy[[#This Row],[CUSTOMER_NAME]],$AF$2:$AH$90,2,FALSE)</f>
        <v>180</v>
      </c>
      <c r="V1364">
        <f>VLOOKUP(Auto_Sales_data___Copy[[#This Row],[CUSTOMER_NAME]],$AF$2:$AH$90,3,FALSE)</f>
        <v>654858.06000000017</v>
      </c>
      <c r="W1364" s="2">
        <f>6-MATCH(Auto_Sales_data___Copy[[#This Row],[DAYS_SINCE_LAST_ORDER]],Table2[R-Cutoff],1)</f>
        <v>3</v>
      </c>
      <c r="X1364" s="2">
        <f>MATCH(Auto_Sales_data___Copy[[#This Row],[Total_Orders_Per_Customer]],Table2[F-Cutoff],1)</f>
        <v>4</v>
      </c>
      <c r="Y1364" s="2">
        <f>MATCH(Auto_Sales_data___Copy[[#This Row],[Total_Sales_Per_Customer]],Table2[M-Cutoff],1)</f>
        <v>4</v>
      </c>
      <c r="Z1364" s="2" t="str">
        <f>Auto_Sales_data___Copy[[#This Row],[R-Score(1-5)]]&amp;Auto_Sales_data___Copy[[#This Row],[F-Score(1-5)]]&amp;Auto_Sales_data___Copy[[#This Row],[M-Score(1-5)]]</f>
        <v>344</v>
      </c>
      <c r="AA1364" s="2" t="str" cm="1">
        <f t="array" ref="AA13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4" s="2" t="str">
        <f>VLOOKUP(Auto_Sales_data___Copy[[#This Row],[Segment Name]],Table3[],2,FALSE)</f>
        <v>Reward &amp; Upsell</v>
      </c>
    </row>
    <row r="1365" spans="1:28" x14ac:dyDescent="0.25">
      <c r="A1365">
        <v>10339</v>
      </c>
      <c r="B1365">
        <v>27</v>
      </c>
      <c r="C1365">
        <v>84.39</v>
      </c>
      <c r="D1365">
        <v>10</v>
      </c>
      <c r="E1365">
        <v>2278.5300000000002</v>
      </c>
      <c r="F1365" s="1">
        <v>43792</v>
      </c>
      <c r="G1365" s="2" t="s">
        <v>19</v>
      </c>
      <c r="H1365" s="2" t="s">
        <v>20</v>
      </c>
      <c r="I1365">
        <v>112</v>
      </c>
      <c r="J1365" s="2" t="s">
        <v>667</v>
      </c>
      <c r="K1365" s="2" t="s">
        <v>256</v>
      </c>
      <c r="L1365" s="2" t="s">
        <v>257</v>
      </c>
      <c r="M1365" s="2" t="s">
        <v>258</v>
      </c>
      <c r="N1365" s="2" t="s">
        <v>259</v>
      </c>
      <c r="O1365" s="2" t="s">
        <v>260</v>
      </c>
      <c r="P1365" s="2" t="s">
        <v>261</v>
      </c>
      <c r="Q1365" s="2" t="s">
        <v>262</v>
      </c>
      <c r="R1365" s="2" t="s">
        <v>263</v>
      </c>
      <c r="S1365" s="2" t="s">
        <v>30</v>
      </c>
      <c r="T1365">
        <v>1624</v>
      </c>
      <c r="U1365">
        <f>VLOOKUP(Auto_Sales_data___Copy[[#This Row],[CUSTOMER_NAME]],$AF$2:$AH$90,2,FALSE)</f>
        <v>32</v>
      </c>
      <c r="V1365">
        <f>VLOOKUP(Auto_Sales_data___Copy[[#This Row],[CUSTOMER_NAME]],$AF$2:$AH$90,3,FALSE)</f>
        <v>120562.74000000002</v>
      </c>
      <c r="W1365" s="2">
        <f>6-MATCH(Auto_Sales_data___Copy[[#This Row],[DAYS_SINCE_LAST_ORDER]],Table2[R-Cutoff],1)</f>
        <v>3</v>
      </c>
      <c r="X1365" s="2">
        <f>MATCH(Auto_Sales_data___Copy[[#This Row],[Total_Orders_Per_Customer]],Table2[F-Cutoff],1)</f>
        <v>4</v>
      </c>
      <c r="Y1365" s="2">
        <f>MATCH(Auto_Sales_data___Copy[[#This Row],[Total_Sales_Per_Customer]],Table2[M-Cutoff],1)</f>
        <v>4</v>
      </c>
      <c r="Z1365" s="2" t="str">
        <f>Auto_Sales_data___Copy[[#This Row],[R-Score(1-5)]]&amp;Auto_Sales_data___Copy[[#This Row],[F-Score(1-5)]]&amp;Auto_Sales_data___Copy[[#This Row],[M-Score(1-5)]]</f>
        <v>344</v>
      </c>
      <c r="AA1365" s="2" t="str" cm="1">
        <f t="array" ref="AA13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5" s="2" t="str">
        <f>VLOOKUP(Auto_Sales_data___Copy[[#This Row],[Segment Name]],Table3[],2,FALSE)</f>
        <v>Reward &amp; Upsell</v>
      </c>
    </row>
    <row r="1366" spans="1:28" x14ac:dyDescent="0.25">
      <c r="A1366">
        <v>10339</v>
      </c>
      <c r="B1366">
        <v>21</v>
      </c>
      <c r="C1366">
        <v>50.65</v>
      </c>
      <c r="D1366">
        <v>7</v>
      </c>
      <c r="E1366">
        <v>1063.6500000000001</v>
      </c>
      <c r="F1366" s="1">
        <v>43792</v>
      </c>
      <c r="G1366" s="2" t="s">
        <v>19</v>
      </c>
      <c r="H1366" s="2" t="s">
        <v>607</v>
      </c>
      <c r="I1366">
        <v>109</v>
      </c>
      <c r="J1366" s="2" t="s">
        <v>669</v>
      </c>
      <c r="K1366" s="2" t="s">
        <v>256</v>
      </c>
      <c r="L1366" s="2" t="s">
        <v>257</v>
      </c>
      <c r="M1366" s="2" t="s">
        <v>258</v>
      </c>
      <c r="N1366" s="2" t="s">
        <v>259</v>
      </c>
      <c r="O1366" s="2" t="s">
        <v>260</v>
      </c>
      <c r="P1366" s="2" t="s">
        <v>261</v>
      </c>
      <c r="Q1366" s="2" t="s">
        <v>262</v>
      </c>
      <c r="R1366" s="2" t="s">
        <v>263</v>
      </c>
      <c r="S1366" s="2" t="s">
        <v>30</v>
      </c>
      <c r="T1366">
        <v>1670</v>
      </c>
      <c r="U1366">
        <f>VLOOKUP(Auto_Sales_data___Copy[[#This Row],[CUSTOMER_NAME]],$AF$2:$AH$90,2,FALSE)</f>
        <v>32</v>
      </c>
      <c r="V1366">
        <f>VLOOKUP(Auto_Sales_data___Copy[[#This Row],[CUSTOMER_NAME]],$AF$2:$AH$90,3,FALSE)</f>
        <v>120562.74000000002</v>
      </c>
      <c r="W1366" s="2">
        <f>6-MATCH(Auto_Sales_data___Copy[[#This Row],[DAYS_SINCE_LAST_ORDER]],Table2[R-Cutoff],1)</f>
        <v>3</v>
      </c>
      <c r="X1366" s="2">
        <f>MATCH(Auto_Sales_data___Copy[[#This Row],[Total_Orders_Per_Customer]],Table2[F-Cutoff],1)</f>
        <v>4</v>
      </c>
      <c r="Y1366" s="2">
        <f>MATCH(Auto_Sales_data___Copy[[#This Row],[Total_Sales_Per_Customer]],Table2[M-Cutoff],1)</f>
        <v>4</v>
      </c>
      <c r="Z1366" s="2" t="str">
        <f>Auto_Sales_data___Copy[[#This Row],[R-Score(1-5)]]&amp;Auto_Sales_data___Copy[[#This Row],[F-Score(1-5)]]&amp;Auto_Sales_data___Copy[[#This Row],[M-Score(1-5)]]</f>
        <v>344</v>
      </c>
      <c r="AA1366" s="2" t="str" cm="1">
        <f t="array" ref="AA13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6" s="2" t="str">
        <f>VLOOKUP(Auto_Sales_data___Copy[[#This Row],[Segment Name]],Table3[],2,FALSE)</f>
        <v>Reward &amp; Upsell</v>
      </c>
    </row>
    <row r="1367" spans="1:28" x14ac:dyDescent="0.25">
      <c r="A1367">
        <v>10339</v>
      </c>
      <c r="B1367">
        <v>55</v>
      </c>
      <c r="C1367">
        <v>112.99</v>
      </c>
      <c r="D1367">
        <v>12</v>
      </c>
      <c r="E1367">
        <v>6214.45</v>
      </c>
      <c r="F1367" s="1">
        <v>43792</v>
      </c>
      <c r="G1367" s="2" t="s">
        <v>19</v>
      </c>
      <c r="H1367" s="2" t="s">
        <v>607</v>
      </c>
      <c r="I1367">
        <v>68</v>
      </c>
      <c r="J1367" s="2" t="s">
        <v>678</v>
      </c>
      <c r="K1367" s="2" t="s">
        <v>256</v>
      </c>
      <c r="L1367" s="2" t="s">
        <v>257</v>
      </c>
      <c r="M1367" s="2" t="s">
        <v>258</v>
      </c>
      <c r="N1367" s="2" t="s">
        <v>259</v>
      </c>
      <c r="O1367" s="2" t="s">
        <v>260</v>
      </c>
      <c r="P1367" s="2" t="s">
        <v>261</v>
      </c>
      <c r="Q1367" s="2" t="s">
        <v>262</v>
      </c>
      <c r="R1367" s="2" t="s">
        <v>263</v>
      </c>
      <c r="S1367" s="2" t="s">
        <v>46</v>
      </c>
      <c r="T1367">
        <v>1895</v>
      </c>
      <c r="U1367">
        <f>VLOOKUP(Auto_Sales_data___Copy[[#This Row],[CUSTOMER_NAME]],$AF$2:$AH$90,2,FALSE)</f>
        <v>32</v>
      </c>
      <c r="V1367">
        <f>VLOOKUP(Auto_Sales_data___Copy[[#This Row],[CUSTOMER_NAME]],$AF$2:$AH$90,3,FALSE)</f>
        <v>120562.74000000002</v>
      </c>
      <c r="W1367" s="2">
        <f>6-MATCH(Auto_Sales_data___Copy[[#This Row],[DAYS_SINCE_LAST_ORDER]],Table2[R-Cutoff],1)</f>
        <v>3</v>
      </c>
      <c r="X1367" s="2">
        <f>MATCH(Auto_Sales_data___Copy[[#This Row],[Total_Orders_Per_Customer]],Table2[F-Cutoff],1)</f>
        <v>4</v>
      </c>
      <c r="Y1367" s="2">
        <f>MATCH(Auto_Sales_data___Copy[[#This Row],[Total_Sales_Per_Customer]],Table2[M-Cutoff],1)</f>
        <v>4</v>
      </c>
      <c r="Z1367" s="2" t="str">
        <f>Auto_Sales_data___Copy[[#This Row],[R-Score(1-5)]]&amp;Auto_Sales_data___Copy[[#This Row],[F-Score(1-5)]]&amp;Auto_Sales_data___Copy[[#This Row],[M-Score(1-5)]]</f>
        <v>344</v>
      </c>
      <c r="AA1367" s="2" t="str" cm="1">
        <f t="array" ref="AA13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7" s="2" t="str">
        <f>VLOOKUP(Auto_Sales_data___Copy[[#This Row],[Segment Name]],Table3[],2,FALSE)</f>
        <v>Reward &amp; Upsell</v>
      </c>
    </row>
    <row r="1368" spans="1:28" x14ac:dyDescent="0.25">
      <c r="A1368">
        <v>10339</v>
      </c>
      <c r="B1368">
        <v>55</v>
      </c>
      <c r="C1368">
        <v>195.6</v>
      </c>
      <c r="D1368">
        <v>13</v>
      </c>
      <c r="E1368">
        <v>10758</v>
      </c>
      <c r="F1368" s="1">
        <v>43792</v>
      </c>
      <c r="G1368" s="2" t="s">
        <v>19</v>
      </c>
      <c r="H1368" s="2" t="s">
        <v>589</v>
      </c>
      <c r="I1368">
        <v>88</v>
      </c>
      <c r="J1368" s="2" t="s">
        <v>681</v>
      </c>
      <c r="K1368" s="2" t="s">
        <v>256</v>
      </c>
      <c r="L1368" s="2" t="s">
        <v>257</v>
      </c>
      <c r="M1368" s="2" t="s">
        <v>258</v>
      </c>
      <c r="N1368" s="2" t="s">
        <v>259</v>
      </c>
      <c r="O1368" s="2" t="s">
        <v>260</v>
      </c>
      <c r="P1368" s="2" t="s">
        <v>261</v>
      </c>
      <c r="Q1368" s="2" t="s">
        <v>262</v>
      </c>
      <c r="R1368" s="2" t="s">
        <v>263</v>
      </c>
      <c r="S1368" s="2" t="s">
        <v>151</v>
      </c>
      <c r="T1368">
        <v>1970</v>
      </c>
      <c r="U1368">
        <f>VLOOKUP(Auto_Sales_data___Copy[[#This Row],[CUSTOMER_NAME]],$AF$2:$AH$90,2,FALSE)</f>
        <v>32</v>
      </c>
      <c r="V1368">
        <f>VLOOKUP(Auto_Sales_data___Copy[[#This Row],[CUSTOMER_NAME]],$AF$2:$AH$90,3,FALSE)</f>
        <v>120562.74000000002</v>
      </c>
      <c r="W1368" s="2">
        <f>6-MATCH(Auto_Sales_data___Copy[[#This Row],[DAYS_SINCE_LAST_ORDER]],Table2[R-Cutoff],1)</f>
        <v>3</v>
      </c>
      <c r="X1368" s="2">
        <f>MATCH(Auto_Sales_data___Copy[[#This Row],[Total_Orders_Per_Customer]],Table2[F-Cutoff],1)</f>
        <v>4</v>
      </c>
      <c r="Y1368" s="2">
        <f>MATCH(Auto_Sales_data___Copy[[#This Row],[Total_Sales_Per_Customer]],Table2[M-Cutoff],1)</f>
        <v>4</v>
      </c>
      <c r="Z1368" s="2" t="str">
        <f>Auto_Sales_data___Copy[[#This Row],[R-Score(1-5)]]&amp;Auto_Sales_data___Copy[[#This Row],[F-Score(1-5)]]&amp;Auto_Sales_data___Copy[[#This Row],[M-Score(1-5)]]</f>
        <v>344</v>
      </c>
      <c r="AA1368" s="2" t="str" cm="1">
        <f t="array" ref="AA13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8" s="2" t="str">
        <f>VLOOKUP(Auto_Sales_data___Copy[[#This Row],[Segment Name]],Table3[],2,FALSE)</f>
        <v>Reward &amp; Upsell</v>
      </c>
    </row>
    <row r="1369" spans="1:28" x14ac:dyDescent="0.25">
      <c r="A1369">
        <v>10342</v>
      </c>
      <c r="B1369">
        <v>38</v>
      </c>
      <c r="C1369">
        <v>165.17</v>
      </c>
      <c r="D1369">
        <v>11</v>
      </c>
      <c r="E1369">
        <v>6276.46</v>
      </c>
      <c r="F1369" s="1">
        <v>43793</v>
      </c>
      <c r="G1369" s="2" t="s">
        <v>19</v>
      </c>
      <c r="H1369" s="2" t="s">
        <v>183</v>
      </c>
      <c r="I1369">
        <v>148</v>
      </c>
      <c r="J1369" s="2" t="s">
        <v>663</v>
      </c>
      <c r="K1369" s="2" t="s">
        <v>82</v>
      </c>
      <c r="L1369" s="2" t="s">
        <v>83</v>
      </c>
      <c r="M1369" s="2" t="s">
        <v>84</v>
      </c>
      <c r="N1369" s="2" t="s">
        <v>85</v>
      </c>
      <c r="O1369" s="2" t="s">
        <v>86</v>
      </c>
      <c r="P1369" s="2" t="s">
        <v>87</v>
      </c>
      <c r="Q1369" s="2" t="s">
        <v>88</v>
      </c>
      <c r="R1369" s="2" t="s">
        <v>89</v>
      </c>
      <c r="S1369" s="2" t="s">
        <v>46</v>
      </c>
      <c r="T1369">
        <v>1527</v>
      </c>
      <c r="U1369">
        <f>VLOOKUP(Auto_Sales_data___Copy[[#This Row],[CUSTOMER_NAME]],$AF$2:$AH$90,2,FALSE)</f>
        <v>55</v>
      </c>
      <c r="V1369">
        <f>VLOOKUP(Auto_Sales_data___Copy[[#This Row],[CUSTOMER_NAME]],$AF$2:$AH$90,3,FALSE)</f>
        <v>200995.41000000006</v>
      </c>
      <c r="W1369" s="2">
        <f>6-MATCH(Auto_Sales_data___Copy[[#This Row],[DAYS_SINCE_LAST_ORDER]],Table2[R-Cutoff],1)</f>
        <v>3</v>
      </c>
      <c r="X1369" s="2">
        <f>MATCH(Auto_Sales_data___Copy[[#This Row],[Total_Orders_Per_Customer]],Table2[F-Cutoff],1)</f>
        <v>4</v>
      </c>
      <c r="Y1369" s="2">
        <f>MATCH(Auto_Sales_data___Copy[[#This Row],[Total_Sales_Per_Customer]],Table2[M-Cutoff],1)</f>
        <v>4</v>
      </c>
      <c r="Z1369" s="2" t="str">
        <f>Auto_Sales_data___Copy[[#This Row],[R-Score(1-5)]]&amp;Auto_Sales_data___Copy[[#This Row],[F-Score(1-5)]]&amp;Auto_Sales_data___Copy[[#This Row],[M-Score(1-5)]]</f>
        <v>344</v>
      </c>
      <c r="AA1369" s="2" t="str" cm="1">
        <f t="array" ref="AA13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9" s="2" t="str">
        <f>VLOOKUP(Auto_Sales_data___Copy[[#This Row],[Segment Name]],Table3[],2,FALSE)</f>
        <v>Reward &amp; Upsell</v>
      </c>
    </row>
    <row r="1370" spans="1:28" x14ac:dyDescent="0.25">
      <c r="A1370">
        <v>10343</v>
      </c>
      <c r="B1370">
        <v>27</v>
      </c>
      <c r="C1370">
        <v>36.21</v>
      </c>
      <c r="D1370">
        <v>6</v>
      </c>
      <c r="E1370">
        <v>977.67</v>
      </c>
      <c r="F1370" s="1">
        <v>43793</v>
      </c>
      <c r="G1370" s="2" t="s">
        <v>19</v>
      </c>
      <c r="H1370" s="2" t="s">
        <v>183</v>
      </c>
      <c r="I1370">
        <v>50</v>
      </c>
      <c r="J1370" s="2" t="s">
        <v>668</v>
      </c>
      <c r="K1370" s="2" t="s">
        <v>31</v>
      </c>
      <c r="L1370" s="2" t="s">
        <v>32</v>
      </c>
      <c r="M1370" s="2" t="s">
        <v>33</v>
      </c>
      <c r="N1370" s="2" t="s">
        <v>34</v>
      </c>
      <c r="O1370" s="2" t="s">
        <v>35</v>
      </c>
      <c r="P1370" s="2" t="s">
        <v>36</v>
      </c>
      <c r="Q1370" s="2" t="s">
        <v>37</v>
      </c>
      <c r="R1370" s="2" t="s">
        <v>38</v>
      </c>
      <c r="S1370" s="2" t="s">
        <v>30</v>
      </c>
      <c r="T1370">
        <v>1648</v>
      </c>
      <c r="U1370">
        <f>VLOOKUP(Auto_Sales_data___Copy[[#This Row],[CUSTOMER_NAME]],$AF$2:$AH$90,2,FALSE)</f>
        <v>41</v>
      </c>
      <c r="V1370">
        <f>VLOOKUP(Auto_Sales_data___Copy[[#This Row],[CUSTOMER_NAME]],$AF$2:$AH$90,3,FALSE)</f>
        <v>135042.94</v>
      </c>
      <c r="W1370" s="2">
        <f>6-MATCH(Auto_Sales_data___Copy[[#This Row],[DAYS_SINCE_LAST_ORDER]],Table2[R-Cutoff],1)</f>
        <v>3</v>
      </c>
      <c r="X1370" s="2">
        <f>MATCH(Auto_Sales_data___Copy[[#This Row],[Total_Orders_Per_Customer]],Table2[F-Cutoff],1)</f>
        <v>4</v>
      </c>
      <c r="Y1370" s="2">
        <f>MATCH(Auto_Sales_data___Copy[[#This Row],[Total_Sales_Per_Customer]],Table2[M-Cutoff],1)</f>
        <v>4</v>
      </c>
      <c r="Z1370" s="2" t="str">
        <f>Auto_Sales_data___Copy[[#This Row],[R-Score(1-5)]]&amp;Auto_Sales_data___Copy[[#This Row],[F-Score(1-5)]]&amp;Auto_Sales_data___Copy[[#This Row],[M-Score(1-5)]]</f>
        <v>344</v>
      </c>
      <c r="AA1370" s="2" t="str" cm="1">
        <f t="array" ref="AA13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0" s="2" t="str">
        <f>VLOOKUP(Auto_Sales_data___Copy[[#This Row],[Segment Name]],Table3[],2,FALSE)</f>
        <v>Reward &amp; Upsell</v>
      </c>
    </row>
    <row r="1371" spans="1:28" x14ac:dyDescent="0.25">
      <c r="A1371">
        <v>10341</v>
      </c>
      <c r="B1371">
        <v>32</v>
      </c>
      <c r="C1371">
        <v>103.35</v>
      </c>
      <c r="D1371">
        <v>6</v>
      </c>
      <c r="E1371">
        <v>3307.2</v>
      </c>
      <c r="F1371" s="1">
        <v>43793</v>
      </c>
      <c r="G1371" s="2" t="s">
        <v>19</v>
      </c>
      <c r="H1371" s="2" t="s">
        <v>20</v>
      </c>
      <c r="I1371">
        <v>69</v>
      </c>
      <c r="J1371" s="2" t="s">
        <v>675</v>
      </c>
      <c r="K1371" s="2" t="s">
        <v>143</v>
      </c>
      <c r="L1371" s="2" t="s">
        <v>144</v>
      </c>
      <c r="M1371" s="2" t="s">
        <v>145</v>
      </c>
      <c r="N1371" s="2" t="s">
        <v>146</v>
      </c>
      <c r="O1371" s="2" t="s">
        <v>147</v>
      </c>
      <c r="P1371" s="2" t="s">
        <v>148</v>
      </c>
      <c r="Q1371" s="2" t="s">
        <v>149</v>
      </c>
      <c r="R1371" s="2" t="s">
        <v>150</v>
      </c>
      <c r="S1371" s="2" t="s">
        <v>46</v>
      </c>
      <c r="T1371">
        <v>1819</v>
      </c>
      <c r="U1371">
        <f>VLOOKUP(Auto_Sales_data___Copy[[#This Row],[CUSTOMER_NAME]],$AF$2:$AH$90,2,FALSE)</f>
        <v>40</v>
      </c>
      <c r="V1371">
        <f>VLOOKUP(Auto_Sales_data___Copy[[#This Row],[CUSTOMER_NAME]],$AF$2:$AH$90,3,FALSE)</f>
        <v>149798.63</v>
      </c>
      <c r="W1371" s="2">
        <f>6-MATCH(Auto_Sales_data___Copy[[#This Row],[DAYS_SINCE_LAST_ORDER]],Table2[R-Cutoff],1)</f>
        <v>3</v>
      </c>
      <c r="X1371" s="2">
        <f>MATCH(Auto_Sales_data___Copy[[#This Row],[Total_Orders_Per_Customer]],Table2[F-Cutoff],1)</f>
        <v>4</v>
      </c>
      <c r="Y1371" s="2">
        <f>MATCH(Auto_Sales_data___Copy[[#This Row],[Total_Sales_Per_Customer]],Table2[M-Cutoff],1)</f>
        <v>4</v>
      </c>
      <c r="Z1371" s="2" t="str">
        <f>Auto_Sales_data___Copy[[#This Row],[R-Score(1-5)]]&amp;Auto_Sales_data___Copy[[#This Row],[F-Score(1-5)]]&amp;Auto_Sales_data___Copy[[#This Row],[M-Score(1-5)]]</f>
        <v>344</v>
      </c>
      <c r="AA1371" s="2" t="str" cm="1">
        <f t="array" ref="AA13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1" s="2" t="str">
        <f>VLOOKUP(Auto_Sales_data___Copy[[#This Row],[Segment Name]],Table3[],2,FALSE)</f>
        <v>Reward &amp; Upsell</v>
      </c>
    </row>
    <row r="1372" spans="1:28" x14ac:dyDescent="0.25">
      <c r="A1372">
        <v>10342</v>
      </c>
      <c r="B1372">
        <v>39</v>
      </c>
      <c r="C1372">
        <v>40.4</v>
      </c>
      <c r="D1372">
        <v>9</v>
      </c>
      <c r="E1372">
        <v>1575.6</v>
      </c>
      <c r="F1372" s="1">
        <v>43793</v>
      </c>
      <c r="G1372" s="2" t="s">
        <v>19</v>
      </c>
      <c r="H1372" s="2" t="s">
        <v>183</v>
      </c>
      <c r="I1372">
        <v>37</v>
      </c>
      <c r="J1372" s="2" t="s">
        <v>680</v>
      </c>
      <c r="K1372" s="2" t="s">
        <v>82</v>
      </c>
      <c r="L1372" s="2" t="s">
        <v>83</v>
      </c>
      <c r="M1372" s="2" t="s">
        <v>84</v>
      </c>
      <c r="N1372" s="2" t="s">
        <v>85</v>
      </c>
      <c r="O1372" s="2" t="s">
        <v>86</v>
      </c>
      <c r="P1372" s="2" t="s">
        <v>87</v>
      </c>
      <c r="Q1372" s="2" t="s">
        <v>88</v>
      </c>
      <c r="R1372" s="2" t="s">
        <v>89</v>
      </c>
      <c r="S1372" s="2" t="s">
        <v>30</v>
      </c>
      <c r="T1372">
        <v>1942</v>
      </c>
      <c r="U1372">
        <f>VLOOKUP(Auto_Sales_data___Copy[[#This Row],[CUSTOMER_NAME]],$AF$2:$AH$90,2,FALSE)</f>
        <v>55</v>
      </c>
      <c r="V1372">
        <f>VLOOKUP(Auto_Sales_data___Copy[[#This Row],[CUSTOMER_NAME]],$AF$2:$AH$90,3,FALSE)</f>
        <v>200995.41000000006</v>
      </c>
      <c r="W1372" s="2">
        <f>6-MATCH(Auto_Sales_data___Copy[[#This Row],[DAYS_SINCE_LAST_ORDER]],Table2[R-Cutoff],1)</f>
        <v>3</v>
      </c>
      <c r="X1372" s="2">
        <f>MATCH(Auto_Sales_data___Copy[[#This Row],[Total_Orders_Per_Customer]],Table2[F-Cutoff],1)</f>
        <v>4</v>
      </c>
      <c r="Y1372" s="2">
        <f>MATCH(Auto_Sales_data___Copy[[#This Row],[Total_Sales_Per_Customer]],Table2[M-Cutoff],1)</f>
        <v>4</v>
      </c>
      <c r="Z1372" s="2" t="str">
        <f>Auto_Sales_data___Copy[[#This Row],[R-Score(1-5)]]&amp;Auto_Sales_data___Copy[[#This Row],[F-Score(1-5)]]&amp;Auto_Sales_data___Copy[[#This Row],[M-Score(1-5)]]</f>
        <v>344</v>
      </c>
      <c r="AA1372" s="2" t="str" cm="1">
        <f t="array" ref="AA13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2" s="2" t="str">
        <f>VLOOKUP(Auto_Sales_data___Copy[[#This Row],[Segment Name]],Table3[],2,FALSE)</f>
        <v>Reward &amp; Upsell</v>
      </c>
    </row>
    <row r="1373" spans="1:28" x14ac:dyDescent="0.25">
      <c r="A1373">
        <v>10342</v>
      </c>
      <c r="B1373">
        <v>48</v>
      </c>
      <c r="C1373">
        <v>62.45</v>
      </c>
      <c r="D1373">
        <v>10</v>
      </c>
      <c r="E1373">
        <v>2997.6</v>
      </c>
      <c r="F1373" s="1">
        <v>43793</v>
      </c>
      <c r="G1373" s="2" t="s">
        <v>19</v>
      </c>
      <c r="H1373" s="2" t="s">
        <v>183</v>
      </c>
      <c r="I1373">
        <v>61</v>
      </c>
      <c r="J1373" s="2" t="s">
        <v>683</v>
      </c>
      <c r="K1373" s="2" t="s">
        <v>82</v>
      </c>
      <c r="L1373" s="2" t="s">
        <v>83</v>
      </c>
      <c r="M1373" s="2" t="s">
        <v>84</v>
      </c>
      <c r="N1373" s="2" t="s">
        <v>85</v>
      </c>
      <c r="O1373" s="2" t="s">
        <v>86</v>
      </c>
      <c r="P1373" s="2" t="s">
        <v>87</v>
      </c>
      <c r="Q1373" s="2" t="s">
        <v>88</v>
      </c>
      <c r="R1373" s="2" t="s">
        <v>89</v>
      </c>
      <c r="S1373" s="2" t="s">
        <v>30</v>
      </c>
      <c r="T1373">
        <v>2016</v>
      </c>
      <c r="U1373">
        <f>VLOOKUP(Auto_Sales_data___Copy[[#This Row],[CUSTOMER_NAME]],$AF$2:$AH$90,2,FALSE)</f>
        <v>55</v>
      </c>
      <c r="V1373">
        <f>VLOOKUP(Auto_Sales_data___Copy[[#This Row],[CUSTOMER_NAME]],$AF$2:$AH$90,3,FALSE)</f>
        <v>200995.41000000006</v>
      </c>
      <c r="W1373" s="2">
        <f>6-MATCH(Auto_Sales_data___Copy[[#This Row],[DAYS_SINCE_LAST_ORDER]],Table2[R-Cutoff],1)</f>
        <v>3</v>
      </c>
      <c r="X1373" s="2">
        <f>MATCH(Auto_Sales_data___Copy[[#This Row],[Total_Orders_Per_Customer]],Table2[F-Cutoff],1)</f>
        <v>4</v>
      </c>
      <c r="Y1373" s="2">
        <f>MATCH(Auto_Sales_data___Copy[[#This Row],[Total_Sales_Per_Customer]],Table2[M-Cutoff],1)</f>
        <v>4</v>
      </c>
      <c r="Z1373" s="2" t="str">
        <f>Auto_Sales_data___Copy[[#This Row],[R-Score(1-5)]]&amp;Auto_Sales_data___Copy[[#This Row],[F-Score(1-5)]]&amp;Auto_Sales_data___Copy[[#This Row],[M-Score(1-5)]]</f>
        <v>344</v>
      </c>
      <c r="AA1373" s="2" t="str" cm="1">
        <f t="array" ref="AA13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3" s="2" t="str">
        <f>VLOOKUP(Auto_Sales_data___Copy[[#This Row],[Segment Name]],Table3[],2,FALSE)</f>
        <v>Reward &amp; Upsell</v>
      </c>
    </row>
    <row r="1374" spans="1:28" x14ac:dyDescent="0.25">
      <c r="A1374">
        <v>10349</v>
      </c>
      <c r="B1374">
        <v>48</v>
      </c>
      <c r="C1374">
        <v>47.4</v>
      </c>
      <c r="D1374">
        <v>4</v>
      </c>
      <c r="E1374">
        <v>2275.1999999999998</v>
      </c>
      <c r="F1374" s="1">
        <v>43800</v>
      </c>
      <c r="G1374" s="2" t="s">
        <v>19</v>
      </c>
      <c r="H1374" s="2" t="s">
        <v>183</v>
      </c>
      <c r="I1374">
        <v>57</v>
      </c>
      <c r="J1374" s="2" t="s">
        <v>666</v>
      </c>
      <c r="K1374" s="2" t="s">
        <v>506</v>
      </c>
      <c r="L1374" s="2" t="s">
        <v>507</v>
      </c>
      <c r="M1374" s="2" t="s">
        <v>508</v>
      </c>
      <c r="N1374" s="2" t="s">
        <v>25</v>
      </c>
      <c r="O1374" s="2" t="s">
        <v>26</v>
      </c>
      <c r="P1374" s="2" t="s">
        <v>27</v>
      </c>
      <c r="Q1374" s="2" t="s">
        <v>52</v>
      </c>
      <c r="R1374" s="2" t="s">
        <v>509</v>
      </c>
      <c r="S1374" s="2" t="s">
        <v>30</v>
      </c>
      <c r="T1374">
        <v>1591</v>
      </c>
      <c r="U1374">
        <f>VLOOKUP(Auto_Sales_data___Copy[[#This Row],[CUSTOMER_NAME]],$AF$2:$AH$90,2,FALSE)</f>
        <v>48</v>
      </c>
      <c r="V1374">
        <f>VLOOKUP(Auto_Sales_data___Copy[[#This Row],[CUSTOMER_NAME]],$AF$2:$AH$90,3,FALSE)</f>
        <v>197736.93999999997</v>
      </c>
      <c r="W1374" s="2">
        <f>6-MATCH(Auto_Sales_data___Copy[[#This Row],[DAYS_SINCE_LAST_ORDER]],Table2[R-Cutoff],1)</f>
        <v>3</v>
      </c>
      <c r="X1374" s="2">
        <f>MATCH(Auto_Sales_data___Copy[[#This Row],[Total_Orders_Per_Customer]],Table2[F-Cutoff],1)</f>
        <v>4</v>
      </c>
      <c r="Y1374" s="2">
        <f>MATCH(Auto_Sales_data___Copy[[#This Row],[Total_Sales_Per_Customer]],Table2[M-Cutoff],1)</f>
        <v>4</v>
      </c>
      <c r="Z1374" s="2" t="str">
        <f>Auto_Sales_data___Copy[[#This Row],[R-Score(1-5)]]&amp;Auto_Sales_data___Copy[[#This Row],[F-Score(1-5)]]&amp;Auto_Sales_data___Copy[[#This Row],[M-Score(1-5)]]</f>
        <v>344</v>
      </c>
      <c r="AA1374" s="2" t="str" cm="1">
        <f t="array" ref="AA13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4" s="2" t="str">
        <f>VLOOKUP(Auto_Sales_data___Copy[[#This Row],[Segment Name]],Table3[],2,FALSE)</f>
        <v>Reward &amp; Upsell</v>
      </c>
    </row>
    <row r="1375" spans="1:28" x14ac:dyDescent="0.25">
      <c r="A1375">
        <v>10349</v>
      </c>
      <c r="B1375">
        <v>36</v>
      </c>
      <c r="C1375">
        <v>37.130000000000003</v>
      </c>
      <c r="D1375">
        <v>3</v>
      </c>
      <c r="E1375">
        <v>1336.68</v>
      </c>
      <c r="F1375" s="1">
        <v>43800</v>
      </c>
      <c r="G1375" s="2" t="s">
        <v>19</v>
      </c>
      <c r="H1375" s="2" t="s">
        <v>183</v>
      </c>
      <c r="I1375">
        <v>35</v>
      </c>
      <c r="J1375" s="2" t="s">
        <v>677</v>
      </c>
      <c r="K1375" s="2" t="s">
        <v>506</v>
      </c>
      <c r="L1375" s="2" t="s">
        <v>507</v>
      </c>
      <c r="M1375" s="2" t="s">
        <v>508</v>
      </c>
      <c r="N1375" s="2" t="s">
        <v>25</v>
      </c>
      <c r="O1375" s="2" t="s">
        <v>26</v>
      </c>
      <c r="P1375" s="2" t="s">
        <v>27</v>
      </c>
      <c r="Q1375" s="2" t="s">
        <v>52</v>
      </c>
      <c r="R1375" s="2" t="s">
        <v>509</v>
      </c>
      <c r="S1375" s="2" t="s">
        <v>30</v>
      </c>
      <c r="T1375">
        <v>1862</v>
      </c>
      <c r="U1375">
        <f>VLOOKUP(Auto_Sales_data___Copy[[#This Row],[CUSTOMER_NAME]],$AF$2:$AH$90,2,FALSE)</f>
        <v>48</v>
      </c>
      <c r="V1375">
        <f>VLOOKUP(Auto_Sales_data___Copy[[#This Row],[CUSTOMER_NAME]],$AF$2:$AH$90,3,FALSE)</f>
        <v>197736.93999999997</v>
      </c>
      <c r="W1375" s="2">
        <f>6-MATCH(Auto_Sales_data___Copy[[#This Row],[DAYS_SINCE_LAST_ORDER]],Table2[R-Cutoff],1)</f>
        <v>3</v>
      </c>
      <c r="X1375" s="2">
        <f>MATCH(Auto_Sales_data___Copy[[#This Row],[Total_Orders_Per_Customer]],Table2[F-Cutoff],1)</f>
        <v>4</v>
      </c>
      <c r="Y1375" s="2">
        <f>MATCH(Auto_Sales_data___Copy[[#This Row],[Total_Sales_Per_Customer]],Table2[M-Cutoff],1)</f>
        <v>4</v>
      </c>
      <c r="Z1375" s="2" t="str">
        <f>Auto_Sales_data___Copy[[#This Row],[R-Score(1-5)]]&amp;Auto_Sales_data___Copy[[#This Row],[F-Score(1-5)]]&amp;Auto_Sales_data___Copy[[#This Row],[M-Score(1-5)]]</f>
        <v>344</v>
      </c>
      <c r="AA1375" s="2" t="str" cm="1">
        <f t="array" ref="AA13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5" s="2" t="str">
        <f>VLOOKUP(Auto_Sales_data___Copy[[#This Row],[Segment Name]],Table3[],2,FALSE)</f>
        <v>Reward &amp; Upsell</v>
      </c>
    </row>
    <row r="1376" spans="1:28" x14ac:dyDescent="0.25">
      <c r="A1376">
        <v>10361</v>
      </c>
      <c r="B1376">
        <v>34</v>
      </c>
      <c r="C1376">
        <v>113.88</v>
      </c>
      <c r="D1376">
        <v>6</v>
      </c>
      <c r="E1376">
        <v>3871.92</v>
      </c>
      <c r="F1376" s="1">
        <v>43816</v>
      </c>
      <c r="G1376" s="2" t="s">
        <v>19</v>
      </c>
      <c r="H1376" s="2" t="s">
        <v>589</v>
      </c>
      <c r="I1376">
        <v>65</v>
      </c>
      <c r="J1376" s="2" t="s">
        <v>684</v>
      </c>
      <c r="K1376" s="2" t="s">
        <v>152</v>
      </c>
      <c r="L1376" s="2" t="s">
        <v>153</v>
      </c>
      <c r="M1376" s="2" t="s">
        <v>154</v>
      </c>
      <c r="N1376" s="2" t="s">
        <v>155</v>
      </c>
      <c r="O1376" s="2" t="s">
        <v>156</v>
      </c>
      <c r="P1376" s="2" t="s">
        <v>87</v>
      </c>
      <c r="Q1376" s="2" t="s">
        <v>157</v>
      </c>
      <c r="R1376" s="2" t="s">
        <v>158</v>
      </c>
      <c r="S1376" s="2" t="s">
        <v>46</v>
      </c>
      <c r="T1376">
        <v>2019</v>
      </c>
      <c r="U1376">
        <f>VLOOKUP(Auto_Sales_data___Copy[[#This Row],[CUSTOMER_NAME]],$AF$2:$AH$90,2,FALSE)</f>
        <v>46</v>
      </c>
      <c r="V1376">
        <f>VLOOKUP(Auto_Sales_data___Copy[[#This Row],[CUSTOMER_NAME]],$AF$2:$AH$90,3,FALSE)</f>
        <v>151570.98000000001</v>
      </c>
      <c r="W1376" s="2">
        <f>6-MATCH(Auto_Sales_data___Copy[[#This Row],[DAYS_SINCE_LAST_ORDER]],Table2[R-Cutoff],1)</f>
        <v>3</v>
      </c>
      <c r="X1376" s="2">
        <f>MATCH(Auto_Sales_data___Copy[[#This Row],[Total_Orders_Per_Customer]],Table2[F-Cutoff],1)</f>
        <v>4</v>
      </c>
      <c r="Y1376" s="2">
        <f>MATCH(Auto_Sales_data___Copy[[#This Row],[Total_Sales_Per_Customer]],Table2[M-Cutoff],1)</f>
        <v>4</v>
      </c>
      <c r="Z1376" s="2" t="str">
        <f>Auto_Sales_data___Copy[[#This Row],[R-Score(1-5)]]&amp;Auto_Sales_data___Copy[[#This Row],[F-Score(1-5)]]&amp;Auto_Sales_data___Copy[[#This Row],[M-Score(1-5)]]</f>
        <v>344</v>
      </c>
      <c r="AA1376" s="2" t="str" cm="1">
        <f t="array" ref="AA13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6" s="2" t="str">
        <f>VLOOKUP(Auto_Sales_data___Copy[[#This Row],[Segment Name]],Table3[],2,FALSE)</f>
        <v>Reward &amp; Upsell</v>
      </c>
    </row>
    <row r="1377" spans="1:28" x14ac:dyDescent="0.25">
      <c r="A1377">
        <v>10362</v>
      </c>
      <c r="B1377">
        <v>50</v>
      </c>
      <c r="C1377">
        <v>96.92</v>
      </c>
      <c r="D1377">
        <v>2</v>
      </c>
      <c r="E1377">
        <v>4846</v>
      </c>
      <c r="F1377" s="1">
        <v>43835</v>
      </c>
      <c r="G1377" s="2" t="s">
        <v>19</v>
      </c>
      <c r="H1377" s="2" t="s">
        <v>20</v>
      </c>
      <c r="I1377">
        <v>112</v>
      </c>
      <c r="J1377" s="2" t="s">
        <v>667</v>
      </c>
      <c r="K1377" s="2" t="s">
        <v>54</v>
      </c>
      <c r="L1377" s="2" t="s">
        <v>55</v>
      </c>
      <c r="M1377" s="2" t="s">
        <v>56</v>
      </c>
      <c r="N1377" s="2" t="s">
        <v>57</v>
      </c>
      <c r="O1377" s="2" t="s">
        <v>58</v>
      </c>
      <c r="P1377" s="2" t="s">
        <v>27</v>
      </c>
      <c r="Q1377" s="2" t="s">
        <v>59</v>
      </c>
      <c r="R1377" s="2" t="s">
        <v>60</v>
      </c>
      <c r="S1377" s="2" t="s">
        <v>46</v>
      </c>
      <c r="T1377">
        <v>1582</v>
      </c>
      <c r="U1377">
        <f>VLOOKUP(Auto_Sales_data___Copy[[#This Row],[CUSTOMER_NAME]],$AF$2:$AH$90,2,FALSE)</f>
        <v>34</v>
      </c>
      <c r="V1377">
        <f>VLOOKUP(Auto_Sales_data___Copy[[#This Row],[CUSTOMER_NAME]],$AF$2:$AH$90,3,FALSE)</f>
        <v>120783.07</v>
      </c>
      <c r="W1377" s="2">
        <f>6-MATCH(Auto_Sales_data___Copy[[#This Row],[DAYS_SINCE_LAST_ORDER]],Table2[R-Cutoff],1)</f>
        <v>3</v>
      </c>
      <c r="X1377" s="2">
        <f>MATCH(Auto_Sales_data___Copy[[#This Row],[Total_Orders_Per_Customer]],Table2[F-Cutoff],1)</f>
        <v>4</v>
      </c>
      <c r="Y1377" s="2">
        <f>MATCH(Auto_Sales_data___Copy[[#This Row],[Total_Sales_Per_Customer]],Table2[M-Cutoff],1)</f>
        <v>4</v>
      </c>
      <c r="Z1377" s="2" t="str">
        <f>Auto_Sales_data___Copy[[#This Row],[R-Score(1-5)]]&amp;Auto_Sales_data___Copy[[#This Row],[F-Score(1-5)]]&amp;Auto_Sales_data___Copy[[#This Row],[M-Score(1-5)]]</f>
        <v>344</v>
      </c>
      <c r="AA1377" s="2" t="str" cm="1">
        <f t="array" ref="AA13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7" s="2" t="str">
        <f>VLOOKUP(Auto_Sales_data___Copy[[#This Row],[Segment Name]],Table3[],2,FALSE)</f>
        <v>Reward &amp; Upsell</v>
      </c>
    </row>
    <row r="1378" spans="1:28" x14ac:dyDescent="0.25">
      <c r="A1378">
        <v>10363</v>
      </c>
      <c r="B1378">
        <v>21</v>
      </c>
      <c r="C1378">
        <v>171.22</v>
      </c>
      <c r="D1378">
        <v>8</v>
      </c>
      <c r="E1378">
        <v>3595.62</v>
      </c>
      <c r="F1378" s="1">
        <v>43836</v>
      </c>
      <c r="G1378" s="2" t="s">
        <v>19</v>
      </c>
      <c r="H1378" s="2" t="s">
        <v>20</v>
      </c>
      <c r="I1378">
        <v>76</v>
      </c>
      <c r="J1378" s="2" t="s">
        <v>671</v>
      </c>
      <c r="K1378" s="2" t="s">
        <v>498</v>
      </c>
      <c r="L1378" s="2" t="s">
        <v>499</v>
      </c>
      <c r="M1378" s="2" t="s">
        <v>500</v>
      </c>
      <c r="N1378" s="2" t="s">
        <v>501</v>
      </c>
      <c r="O1378" s="2" t="s">
        <v>502</v>
      </c>
      <c r="P1378" s="2" t="s">
        <v>127</v>
      </c>
      <c r="Q1378" s="2" t="s">
        <v>503</v>
      </c>
      <c r="R1378" s="2" t="s">
        <v>504</v>
      </c>
      <c r="S1378" s="2" t="s">
        <v>46</v>
      </c>
      <c r="T1378">
        <v>1677</v>
      </c>
      <c r="U1378">
        <f>VLOOKUP(Auto_Sales_data___Copy[[#This Row],[CUSTOMER_NAME]],$AF$2:$AH$90,2,FALSE)</f>
        <v>30</v>
      </c>
      <c r="V1378">
        <f>VLOOKUP(Auto_Sales_data___Copy[[#This Row],[CUSTOMER_NAME]],$AF$2:$AH$90,3,FALSE)</f>
        <v>113961.14999999997</v>
      </c>
      <c r="W1378" s="2">
        <f>6-MATCH(Auto_Sales_data___Copy[[#This Row],[DAYS_SINCE_LAST_ORDER]],Table2[R-Cutoff],1)</f>
        <v>3</v>
      </c>
      <c r="X1378" s="2">
        <f>MATCH(Auto_Sales_data___Copy[[#This Row],[Total_Orders_Per_Customer]],Table2[F-Cutoff],1)</f>
        <v>4</v>
      </c>
      <c r="Y1378" s="2">
        <f>MATCH(Auto_Sales_data___Copy[[#This Row],[Total_Sales_Per_Customer]],Table2[M-Cutoff],1)</f>
        <v>4</v>
      </c>
      <c r="Z1378" s="2" t="str">
        <f>Auto_Sales_data___Copy[[#This Row],[R-Score(1-5)]]&amp;Auto_Sales_data___Copy[[#This Row],[F-Score(1-5)]]&amp;Auto_Sales_data___Copy[[#This Row],[M-Score(1-5)]]</f>
        <v>344</v>
      </c>
      <c r="AA1378" s="2" t="str" cm="1">
        <f t="array" ref="AA13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8" s="2" t="str">
        <f>VLOOKUP(Auto_Sales_data___Copy[[#This Row],[Segment Name]],Table3[],2,FALSE)</f>
        <v>Reward &amp; Upsell</v>
      </c>
    </row>
    <row r="1379" spans="1:28" x14ac:dyDescent="0.25">
      <c r="A1379">
        <v>10363</v>
      </c>
      <c r="B1379">
        <v>43</v>
      </c>
      <c r="C1379">
        <v>61.23</v>
      </c>
      <c r="D1379">
        <v>14</v>
      </c>
      <c r="E1379">
        <v>2632.89</v>
      </c>
      <c r="F1379" s="1">
        <v>43836</v>
      </c>
      <c r="G1379" s="2" t="s">
        <v>19</v>
      </c>
      <c r="H1379" s="2" t="s">
        <v>20</v>
      </c>
      <c r="I1379">
        <v>69</v>
      </c>
      <c r="J1379" s="2" t="s">
        <v>675</v>
      </c>
      <c r="K1379" s="2" t="s">
        <v>498</v>
      </c>
      <c r="L1379" s="2" t="s">
        <v>499</v>
      </c>
      <c r="M1379" s="2" t="s">
        <v>500</v>
      </c>
      <c r="N1379" s="2" t="s">
        <v>501</v>
      </c>
      <c r="O1379" s="2" t="s">
        <v>502</v>
      </c>
      <c r="P1379" s="2" t="s">
        <v>127</v>
      </c>
      <c r="Q1379" s="2" t="s">
        <v>503</v>
      </c>
      <c r="R1379" s="2" t="s">
        <v>504</v>
      </c>
      <c r="S1379" s="2" t="s">
        <v>30</v>
      </c>
      <c r="T1379">
        <v>1778</v>
      </c>
      <c r="U1379">
        <f>VLOOKUP(Auto_Sales_data___Copy[[#This Row],[CUSTOMER_NAME]],$AF$2:$AH$90,2,FALSE)</f>
        <v>30</v>
      </c>
      <c r="V1379">
        <f>VLOOKUP(Auto_Sales_data___Copy[[#This Row],[CUSTOMER_NAME]],$AF$2:$AH$90,3,FALSE)</f>
        <v>113961.14999999997</v>
      </c>
      <c r="W1379" s="2">
        <f>6-MATCH(Auto_Sales_data___Copy[[#This Row],[DAYS_SINCE_LAST_ORDER]],Table2[R-Cutoff],1)</f>
        <v>3</v>
      </c>
      <c r="X1379" s="2">
        <f>MATCH(Auto_Sales_data___Copy[[#This Row],[Total_Orders_Per_Customer]],Table2[F-Cutoff],1)</f>
        <v>4</v>
      </c>
      <c r="Y1379" s="2">
        <f>MATCH(Auto_Sales_data___Copy[[#This Row],[Total_Sales_Per_Customer]],Table2[M-Cutoff],1)</f>
        <v>4</v>
      </c>
      <c r="Z1379" s="2" t="str">
        <f>Auto_Sales_data___Copy[[#This Row],[R-Score(1-5)]]&amp;Auto_Sales_data___Copy[[#This Row],[F-Score(1-5)]]&amp;Auto_Sales_data___Copy[[#This Row],[M-Score(1-5)]]</f>
        <v>344</v>
      </c>
      <c r="AA1379" s="2" t="str" cm="1">
        <f t="array" ref="AA13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9" s="2" t="str">
        <f>VLOOKUP(Auto_Sales_data___Copy[[#This Row],[Segment Name]],Table3[],2,FALSE)</f>
        <v>Reward &amp; Upsell</v>
      </c>
    </row>
    <row r="1380" spans="1:28" x14ac:dyDescent="0.25">
      <c r="A1380">
        <v>10363</v>
      </c>
      <c r="B1380">
        <v>21</v>
      </c>
      <c r="C1380">
        <v>116.56</v>
      </c>
      <c r="D1380">
        <v>15</v>
      </c>
      <c r="E1380">
        <v>2447.7600000000002</v>
      </c>
      <c r="F1380" s="1">
        <v>43836</v>
      </c>
      <c r="G1380" s="2" t="s">
        <v>19</v>
      </c>
      <c r="H1380" s="2" t="s">
        <v>183</v>
      </c>
      <c r="I1380">
        <v>61</v>
      </c>
      <c r="J1380" s="2" t="s">
        <v>683</v>
      </c>
      <c r="K1380" s="2" t="s">
        <v>498</v>
      </c>
      <c r="L1380" s="2" t="s">
        <v>499</v>
      </c>
      <c r="M1380" s="2" t="s">
        <v>500</v>
      </c>
      <c r="N1380" s="2" t="s">
        <v>501</v>
      </c>
      <c r="O1380" s="2" t="s">
        <v>502</v>
      </c>
      <c r="P1380" s="2" t="s">
        <v>127</v>
      </c>
      <c r="Q1380" s="2" t="s">
        <v>503</v>
      </c>
      <c r="R1380" s="2" t="s">
        <v>504</v>
      </c>
      <c r="S1380" s="2" t="s">
        <v>30</v>
      </c>
      <c r="T1380">
        <v>1975</v>
      </c>
      <c r="U1380">
        <f>VLOOKUP(Auto_Sales_data___Copy[[#This Row],[CUSTOMER_NAME]],$AF$2:$AH$90,2,FALSE)</f>
        <v>30</v>
      </c>
      <c r="V1380">
        <f>VLOOKUP(Auto_Sales_data___Copy[[#This Row],[CUSTOMER_NAME]],$AF$2:$AH$90,3,FALSE)</f>
        <v>113961.14999999997</v>
      </c>
      <c r="W1380" s="2">
        <f>6-MATCH(Auto_Sales_data___Copy[[#This Row],[DAYS_SINCE_LAST_ORDER]],Table2[R-Cutoff],1)</f>
        <v>3</v>
      </c>
      <c r="X1380" s="2">
        <f>MATCH(Auto_Sales_data___Copy[[#This Row],[Total_Orders_Per_Customer]],Table2[F-Cutoff],1)</f>
        <v>4</v>
      </c>
      <c r="Y1380" s="2">
        <f>MATCH(Auto_Sales_data___Copy[[#This Row],[Total_Sales_Per_Customer]],Table2[M-Cutoff],1)</f>
        <v>4</v>
      </c>
      <c r="Z1380" s="2" t="str">
        <f>Auto_Sales_data___Copy[[#This Row],[R-Score(1-5)]]&amp;Auto_Sales_data___Copy[[#This Row],[F-Score(1-5)]]&amp;Auto_Sales_data___Copy[[#This Row],[M-Score(1-5)]]</f>
        <v>344</v>
      </c>
      <c r="AA1380" s="2" t="str" cm="1">
        <f t="array" ref="AA13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0" s="2" t="str">
        <f>VLOOKUP(Auto_Sales_data___Copy[[#This Row],[Segment Name]],Table3[],2,FALSE)</f>
        <v>Reward &amp; Upsell</v>
      </c>
    </row>
    <row r="1381" spans="1:28" x14ac:dyDescent="0.25">
      <c r="A1381">
        <v>10367</v>
      </c>
      <c r="B1381">
        <v>44</v>
      </c>
      <c r="C1381">
        <v>85.25</v>
      </c>
      <c r="D1381">
        <v>9</v>
      </c>
      <c r="E1381">
        <v>3751</v>
      </c>
      <c r="F1381" s="1">
        <v>43842</v>
      </c>
      <c r="G1381" s="2" t="s">
        <v>431</v>
      </c>
      <c r="H1381" s="2" t="s">
        <v>183</v>
      </c>
      <c r="I1381">
        <v>71</v>
      </c>
      <c r="J1381" s="2" t="s">
        <v>664</v>
      </c>
      <c r="K1381" s="2" t="s">
        <v>47</v>
      </c>
      <c r="L1381" s="2" t="s">
        <v>48</v>
      </c>
      <c r="M1381" s="2" t="s">
        <v>49</v>
      </c>
      <c r="N1381" s="2" t="s">
        <v>50</v>
      </c>
      <c r="O1381" s="2" t="s">
        <v>51</v>
      </c>
      <c r="P1381" s="2" t="s">
        <v>27</v>
      </c>
      <c r="Q1381" s="2" t="s">
        <v>52</v>
      </c>
      <c r="R1381" s="2" t="s">
        <v>53</v>
      </c>
      <c r="S1381" s="2" t="s">
        <v>46</v>
      </c>
      <c r="T1381">
        <v>1501</v>
      </c>
      <c r="U1381">
        <f>VLOOKUP(Auto_Sales_data___Copy[[#This Row],[CUSTOMER_NAME]],$AF$2:$AH$90,2,FALSE)</f>
        <v>30</v>
      </c>
      <c r="V1381">
        <f>VLOOKUP(Auto_Sales_data___Copy[[#This Row],[CUSTOMER_NAME]],$AF$2:$AH$90,3,FALSE)</f>
        <v>104561.95999999999</v>
      </c>
      <c r="W1381" s="2">
        <f>6-MATCH(Auto_Sales_data___Copy[[#This Row],[DAYS_SINCE_LAST_ORDER]],Table2[R-Cutoff],1)</f>
        <v>3</v>
      </c>
      <c r="X1381" s="2">
        <f>MATCH(Auto_Sales_data___Copy[[#This Row],[Total_Orders_Per_Customer]],Table2[F-Cutoff],1)</f>
        <v>4</v>
      </c>
      <c r="Y1381" s="2">
        <f>MATCH(Auto_Sales_data___Copy[[#This Row],[Total_Sales_Per_Customer]],Table2[M-Cutoff],1)</f>
        <v>4</v>
      </c>
      <c r="Z1381" s="2" t="str">
        <f>Auto_Sales_data___Copy[[#This Row],[R-Score(1-5)]]&amp;Auto_Sales_data___Copy[[#This Row],[F-Score(1-5)]]&amp;Auto_Sales_data___Copy[[#This Row],[M-Score(1-5)]]</f>
        <v>344</v>
      </c>
      <c r="AA1381" s="2" t="str" cm="1">
        <f t="array" ref="AA13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1" s="2" t="str">
        <f>VLOOKUP(Auto_Sales_data___Copy[[#This Row],[Segment Name]],Table3[],2,FALSE)</f>
        <v>Reward &amp; Upsell</v>
      </c>
    </row>
    <row r="1382" spans="1:28" x14ac:dyDescent="0.25">
      <c r="A1382">
        <v>10367</v>
      </c>
      <c r="B1382">
        <v>21</v>
      </c>
      <c r="C1382">
        <v>60.37</v>
      </c>
      <c r="D1382">
        <v>10</v>
      </c>
      <c r="E1382">
        <v>1267.77</v>
      </c>
      <c r="F1382" s="1">
        <v>43842</v>
      </c>
      <c r="G1382" s="2" t="s">
        <v>431</v>
      </c>
      <c r="H1382" s="2" t="s">
        <v>183</v>
      </c>
      <c r="I1382">
        <v>73</v>
      </c>
      <c r="J1382" s="2" t="s">
        <v>665</v>
      </c>
      <c r="K1382" s="2" t="s">
        <v>47</v>
      </c>
      <c r="L1382" s="2" t="s">
        <v>48</v>
      </c>
      <c r="M1382" s="2" t="s">
        <v>49</v>
      </c>
      <c r="N1382" s="2" t="s">
        <v>50</v>
      </c>
      <c r="O1382" s="2" t="s">
        <v>51</v>
      </c>
      <c r="P1382" s="2" t="s">
        <v>27</v>
      </c>
      <c r="Q1382" s="2" t="s">
        <v>52</v>
      </c>
      <c r="R1382" s="2" t="s">
        <v>53</v>
      </c>
      <c r="S1382" s="2" t="s">
        <v>30</v>
      </c>
      <c r="T1382">
        <v>1524</v>
      </c>
      <c r="U1382">
        <f>VLOOKUP(Auto_Sales_data___Copy[[#This Row],[CUSTOMER_NAME]],$AF$2:$AH$90,2,FALSE)</f>
        <v>30</v>
      </c>
      <c r="V1382">
        <f>VLOOKUP(Auto_Sales_data___Copy[[#This Row],[CUSTOMER_NAME]],$AF$2:$AH$90,3,FALSE)</f>
        <v>104561.95999999999</v>
      </c>
      <c r="W1382" s="2">
        <f>6-MATCH(Auto_Sales_data___Copy[[#This Row],[DAYS_SINCE_LAST_ORDER]],Table2[R-Cutoff],1)</f>
        <v>3</v>
      </c>
      <c r="X1382" s="2">
        <f>MATCH(Auto_Sales_data___Copy[[#This Row],[Total_Orders_Per_Customer]],Table2[F-Cutoff],1)</f>
        <v>4</v>
      </c>
      <c r="Y1382" s="2">
        <f>MATCH(Auto_Sales_data___Copy[[#This Row],[Total_Sales_Per_Customer]],Table2[M-Cutoff],1)</f>
        <v>4</v>
      </c>
      <c r="Z1382" s="2" t="str">
        <f>Auto_Sales_data___Copy[[#This Row],[R-Score(1-5)]]&amp;Auto_Sales_data___Copy[[#This Row],[F-Score(1-5)]]&amp;Auto_Sales_data___Copy[[#This Row],[M-Score(1-5)]]</f>
        <v>344</v>
      </c>
      <c r="AA1382" s="2" t="str" cm="1">
        <f t="array" ref="AA13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2" s="2" t="str">
        <f>VLOOKUP(Auto_Sales_data___Copy[[#This Row],[Segment Name]],Table3[],2,FALSE)</f>
        <v>Reward &amp; Upsell</v>
      </c>
    </row>
    <row r="1383" spans="1:28" x14ac:dyDescent="0.25">
      <c r="A1383">
        <v>10367</v>
      </c>
      <c r="B1383">
        <v>38</v>
      </c>
      <c r="C1383">
        <v>38.5</v>
      </c>
      <c r="D1383">
        <v>11</v>
      </c>
      <c r="E1383">
        <v>1463</v>
      </c>
      <c r="F1383" s="1">
        <v>43842</v>
      </c>
      <c r="G1383" s="2" t="s">
        <v>431</v>
      </c>
      <c r="H1383" s="2" t="s">
        <v>183</v>
      </c>
      <c r="I1383">
        <v>50</v>
      </c>
      <c r="J1383" s="2" t="s">
        <v>668</v>
      </c>
      <c r="K1383" s="2" t="s">
        <v>47</v>
      </c>
      <c r="L1383" s="2" t="s">
        <v>48</v>
      </c>
      <c r="M1383" s="2" t="s">
        <v>49</v>
      </c>
      <c r="N1383" s="2" t="s">
        <v>50</v>
      </c>
      <c r="O1383" s="2" t="s">
        <v>51</v>
      </c>
      <c r="P1383" s="2" t="s">
        <v>27</v>
      </c>
      <c r="Q1383" s="2" t="s">
        <v>52</v>
      </c>
      <c r="R1383" s="2" t="s">
        <v>53</v>
      </c>
      <c r="S1383" s="2" t="s">
        <v>30</v>
      </c>
      <c r="T1383">
        <v>1600</v>
      </c>
      <c r="U1383">
        <f>VLOOKUP(Auto_Sales_data___Copy[[#This Row],[CUSTOMER_NAME]],$AF$2:$AH$90,2,FALSE)</f>
        <v>30</v>
      </c>
      <c r="V1383">
        <f>VLOOKUP(Auto_Sales_data___Copy[[#This Row],[CUSTOMER_NAME]],$AF$2:$AH$90,3,FALSE)</f>
        <v>104561.95999999999</v>
      </c>
      <c r="W1383" s="2">
        <f>6-MATCH(Auto_Sales_data___Copy[[#This Row],[DAYS_SINCE_LAST_ORDER]],Table2[R-Cutoff],1)</f>
        <v>3</v>
      </c>
      <c r="X1383" s="2">
        <f>MATCH(Auto_Sales_data___Copy[[#This Row],[Total_Orders_Per_Customer]],Table2[F-Cutoff],1)</f>
        <v>4</v>
      </c>
      <c r="Y1383" s="2">
        <f>MATCH(Auto_Sales_data___Copy[[#This Row],[Total_Sales_Per_Customer]],Table2[M-Cutoff],1)</f>
        <v>4</v>
      </c>
      <c r="Z1383" s="2" t="str">
        <f>Auto_Sales_data___Copy[[#This Row],[R-Score(1-5)]]&amp;Auto_Sales_data___Copy[[#This Row],[F-Score(1-5)]]&amp;Auto_Sales_data___Copy[[#This Row],[M-Score(1-5)]]</f>
        <v>344</v>
      </c>
      <c r="AA1383" s="2" t="str" cm="1">
        <f t="array" ref="AA13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3" s="2" t="str">
        <f>VLOOKUP(Auto_Sales_data___Copy[[#This Row],[Segment Name]],Table3[],2,FALSE)</f>
        <v>Reward &amp; Upsell</v>
      </c>
    </row>
    <row r="1384" spans="1:28" x14ac:dyDescent="0.25">
      <c r="A1384">
        <v>10367</v>
      </c>
      <c r="B1384">
        <v>23</v>
      </c>
      <c r="C1384">
        <v>36.29</v>
      </c>
      <c r="D1384">
        <v>13</v>
      </c>
      <c r="E1384">
        <v>834.67</v>
      </c>
      <c r="F1384" s="1">
        <v>43842</v>
      </c>
      <c r="G1384" s="2" t="s">
        <v>431</v>
      </c>
      <c r="H1384" s="2" t="s">
        <v>589</v>
      </c>
      <c r="I1384">
        <v>33</v>
      </c>
      <c r="J1384" s="2" t="s">
        <v>670</v>
      </c>
      <c r="K1384" s="2" t="s">
        <v>47</v>
      </c>
      <c r="L1384" s="2" t="s">
        <v>48</v>
      </c>
      <c r="M1384" s="2" t="s">
        <v>49</v>
      </c>
      <c r="N1384" s="2" t="s">
        <v>50</v>
      </c>
      <c r="O1384" s="2" t="s">
        <v>51</v>
      </c>
      <c r="P1384" s="2" t="s">
        <v>27</v>
      </c>
      <c r="Q1384" s="2" t="s">
        <v>52</v>
      </c>
      <c r="R1384" s="2" t="s">
        <v>53</v>
      </c>
      <c r="S1384" s="2" t="s">
        <v>30</v>
      </c>
      <c r="T1384">
        <v>1646</v>
      </c>
      <c r="U1384">
        <f>VLOOKUP(Auto_Sales_data___Copy[[#This Row],[CUSTOMER_NAME]],$AF$2:$AH$90,2,FALSE)</f>
        <v>30</v>
      </c>
      <c r="V1384">
        <f>VLOOKUP(Auto_Sales_data___Copy[[#This Row],[CUSTOMER_NAME]],$AF$2:$AH$90,3,FALSE)</f>
        <v>104561.95999999999</v>
      </c>
      <c r="W1384" s="2">
        <f>6-MATCH(Auto_Sales_data___Copy[[#This Row],[DAYS_SINCE_LAST_ORDER]],Table2[R-Cutoff],1)</f>
        <v>3</v>
      </c>
      <c r="X1384" s="2">
        <f>MATCH(Auto_Sales_data___Copy[[#This Row],[Total_Orders_Per_Customer]],Table2[F-Cutoff],1)</f>
        <v>4</v>
      </c>
      <c r="Y1384" s="2">
        <f>MATCH(Auto_Sales_data___Copy[[#This Row],[Total_Sales_Per_Customer]],Table2[M-Cutoff],1)</f>
        <v>4</v>
      </c>
      <c r="Z1384" s="2" t="str">
        <f>Auto_Sales_data___Copy[[#This Row],[R-Score(1-5)]]&amp;Auto_Sales_data___Copy[[#This Row],[F-Score(1-5)]]&amp;Auto_Sales_data___Copy[[#This Row],[M-Score(1-5)]]</f>
        <v>344</v>
      </c>
      <c r="AA1384" s="2" t="str" cm="1">
        <f t="array" ref="AA13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4" s="2" t="str">
        <f>VLOOKUP(Auto_Sales_data___Copy[[#This Row],[Segment Name]],Table3[],2,FALSE)</f>
        <v>Reward &amp; Upsell</v>
      </c>
    </row>
    <row r="1385" spans="1:28" x14ac:dyDescent="0.25">
      <c r="A1385">
        <v>10367</v>
      </c>
      <c r="B1385">
        <v>28</v>
      </c>
      <c r="C1385">
        <v>30.59</v>
      </c>
      <c r="D1385">
        <v>12</v>
      </c>
      <c r="E1385">
        <v>856.52</v>
      </c>
      <c r="F1385" s="1">
        <v>43842</v>
      </c>
      <c r="G1385" s="2" t="s">
        <v>431</v>
      </c>
      <c r="H1385" s="2" t="s">
        <v>589</v>
      </c>
      <c r="I1385">
        <v>44</v>
      </c>
      <c r="J1385" s="2" t="s">
        <v>673</v>
      </c>
      <c r="K1385" s="2" t="s">
        <v>47</v>
      </c>
      <c r="L1385" s="2" t="s">
        <v>48</v>
      </c>
      <c r="M1385" s="2" t="s">
        <v>49</v>
      </c>
      <c r="N1385" s="2" t="s">
        <v>50</v>
      </c>
      <c r="O1385" s="2" t="s">
        <v>51</v>
      </c>
      <c r="P1385" s="2" t="s">
        <v>27</v>
      </c>
      <c r="Q1385" s="2" t="s">
        <v>52</v>
      </c>
      <c r="R1385" s="2" t="s">
        <v>53</v>
      </c>
      <c r="S1385" s="2" t="s">
        <v>30</v>
      </c>
      <c r="T1385">
        <v>1721</v>
      </c>
      <c r="U1385">
        <f>VLOOKUP(Auto_Sales_data___Copy[[#This Row],[CUSTOMER_NAME]],$AF$2:$AH$90,2,FALSE)</f>
        <v>30</v>
      </c>
      <c r="V1385">
        <f>VLOOKUP(Auto_Sales_data___Copy[[#This Row],[CUSTOMER_NAME]],$AF$2:$AH$90,3,FALSE)</f>
        <v>104561.95999999999</v>
      </c>
      <c r="W1385" s="2">
        <f>6-MATCH(Auto_Sales_data___Copy[[#This Row],[DAYS_SINCE_LAST_ORDER]],Table2[R-Cutoff],1)</f>
        <v>3</v>
      </c>
      <c r="X1385" s="2">
        <f>MATCH(Auto_Sales_data___Copy[[#This Row],[Total_Orders_Per_Customer]],Table2[F-Cutoff],1)</f>
        <v>4</v>
      </c>
      <c r="Y1385" s="2">
        <f>MATCH(Auto_Sales_data___Copy[[#This Row],[Total_Sales_Per_Customer]],Table2[M-Cutoff],1)</f>
        <v>4</v>
      </c>
      <c r="Z1385" s="2" t="str">
        <f>Auto_Sales_data___Copy[[#This Row],[R-Score(1-5)]]&amp;Auto_Sales_data___Copy[[#This Row],[F-Score(1-5)]]&amp;Auto_Sales_data___Copy[[#This Row],[M-Score(1-5)]]</f>
        <v>344</v>
      </c>
      <c r="AA1385" s="2" t="str" cm="1">
        <f t="array" ref="AA13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5" s="2" t="str">
        <f>VLOOKUP(Auto_Sales_data___Copy[[#This Row],[Segment Name]],Table3[],2,FALSE)</f>
        <v>Reward &amp; Upsell</v>
      </c>
    </row>
    <row r="1386" spans="1:28" x14ac:dyDescent="0.25">
      <c r="A1386">
        <v>10367</v>
      </c>
      <c r="B1386">
        <v>36</v>
      </c>
      <c r="C1386">
        <v>139.4</v>
      </c>
      <c r="D1386">
        <v>2</v>
      </c>
      <c r="E1386">
        <v>5018.3999999999996</v>
      </c>
      <c r="F1386" s="1">
        <v>43842</v>
      </c>
      <c r="G1386" s="2" t="s">
        <v>431</v>
      </c>
      <c r="H1386" s="2" t="s">
        <v>183</v>
      </c>
      <c r="I1386">
        <v>37</v>
      </c>
      <c r="J1386" s="2" t="s">
        <v>680</v>
      </c>
      <c r="K1386" s="2" t="s">
        <v>47</v>
      </c>
      <c r="L1386" s="2" t="s">
        <v>48</v>
      </c>
      <c r="M1386" s="2" t="s">
        <v>49</v>
      </c>
      <c r="N1386" s="2" t="s">
        <v>50</v>
      </c>
      <c r="O1386" s="2" t="s">
        <v>51</v>
      </c>
      <c r="P1386" s="2" t="s">
        <v>27</v>
      </c>
      <c r="Q1386" s="2" t="s">
        <v>52</v>
      </c>
      <c r="R1386" s="2" t="s">
        <v>53</v>
      </c>
      <c r="S1386" s="2" t="s">
        <v>46</v>
      </c>
      <c r="T1386">
        <v>1895</v>
      </c>
      <c r="U1386">
        <f>VLOOKUP(Auto_Sales_data___Copy[[#This Row],[CUSTOMER_NAME]],$AF$2:$AH$90,2,FALSE)</f>
        <v>30</v>
      </c>
      <c r="V1386">
        <f>VLOOKUP(Auto_Sales_data___Copy[[#This Row],[CUSTOMER_NAME]],$AF$2:$AH$90,3,FALSE)</f>
        <v>104561.95999999999</v>
      </c>
      <c r="W1386" s="2">
        <f>6-MATCH(Auto_Sales_data___Copy[[#This Row],[DAYS_SINCE_LAST_ORDER]],Table2[R-Cutoff],1)</f>
        <v>3</v>
      </c>
      <c r="X1386" s="2">
        <f>MATCH(Auto_Sales_data___Copy[[#This Row],[Total_Orders_Per_Customer]],Table2[F-Cutoff],1)</f>
        <v>4</v>
      </c>
      <c r="Y1386" s="2">
        <f>MATCH(Auto_Sales_data___Copy[[#This Row],[Total_Sales_Per_Customer]],Table2[M-Cutoff],1)</f>
        <v>4</v>
      </c>
      <c r="Z1386" s="2" t="str">
        <f>Auto_Sales_data___Copy[[#This Row],[R-Score(1-5)]]&amp;Auto_Sales_data___Copy[[#This Row],[F-Score(1-5)]]&amp;Auto_Sales_data___Copy[[#This Row],[M-Score(1-5)]]</f>
        <v>344</v>
      </c>
      <c r="AA1386" s="2" t="str" cm="1">
        <f t="array" ref="AA13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6" s="2" t="str">
        <f>VLOOKUP(Auto_Sales_data___Copy[[#This Row],[Segment Name]],Table3[],2,FALSE)</f>
        <v>Reward &amp; Upsell</v>
      </c>
    </row>
    <row r="1387" spans="1:28" x14ac:dyDescent="0.25">
      <c r="A1387">
        <v>10368</v>
      </c>
      <c r="B1387">
        <v>40</v>
      </c>
      <c r="C1387">
        <v>102.68</v>
      </c>
      <c r="D1387">
        <v>2</v>
      </c>
      <c r="E1387">
        <v>4107.2</v>
      </c>
      <c r="F1387" s="1">
        <v>43849</v>
      </c>
      <c r="G1387" s="2" t="s">
        <v>19</v>
      </c>
      <c r="H1387" s="2" t="s">
        <v>183</v>
      </c>
      <c r="I1387">
        <v>90</v>
      </c>
      <c r="J1387" s="2" t="s">
        <v>676</v>
      </c>
      <c r="K1387" s="2" t="s">
        <v>284</v>
      </c>
      <c r="L1387" s="2" t="s">
        <v>285</v>
      </c>
      <c r="M1387" s="2" t="s">
        <v>286</v>
      </c>
      <c r="N1387" s="2" t="s">
        <v>287</v>
      </c>
      <c r="O1387" s="2" t="s">
        <v>106</v>
      </c>
      <c r="P1387" s="2" t="s">
        <v>27</v>
      </c>
      <c r="Q1387" s="2" t="s">
        <v>288</v>
      </c>
      <c r="R1387" s="2" t="s">
        <v>289</v>
      </c>
      <c r="S1387" s="2" t="s">
        <v>46</v>
      </c>
      <c r="T1387">
        <v>1788</v>
      </c>
      <c r="U1387">
        <f>VLOOKUP(Auto_Sales_data___Copy[[#This Row],[CUSTOMER_NAME]],$AF$2:$AH$90,2,FALSE)</f>
        <v>180</v>
      </c>
      <c r="V1387">
        <f>VLOOKUP(Auto_Sales_data___Copy[[#This Row],[CUSTOMER_NAME]],$AF$2:$AH$90,3,FALSE)</f>
        <v>654858.06000000017</v>
      </c>
      <c r="W1387" s="2">
        <f>6-MATCH(Auto_Sales_data___Copy[[#This Row],[DAYS_SINCE_LAST_ORDER]],Table2[R-Cutoff],1)</f>
        <v>3</v>
      </c>
      <c r="X1387" s="2">
        <f>MATCH(Auto_Sales_data___Copy[[#This Row],[Total_Orders_Per_Customer]],Table2[F-Cutoff],1)</f>
        <v>4</v>
      </c>
      <c r="Y1387" s="2">
        <f>MATCH(Auto_Sales_data___Copy[[#This Row],[Total_Sales_Per_Customer]],Table2[M-Cutoff],1)</f>
        <v>4</v>
      </c>
      <c r="Z1387" s="2" t="str">
        <f>Auto_Sales_data___Copy[[#This Row],[R-Score(1-5)]]&amp;Auto_Sales_data___Copy[[#This Row],[F-Score(1-5)]]&amp;Auto_Sales_data___Copy[[#This Row],[M-Score(1-5)]]</f>
        <v>344</v>
      </c>
      <c r="AA1387" s="2" t="str" cm="1">
        <f t="array" ref="AA13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7" s="2" t="str">
        <f>VLOOKUP(Auto_Sales_data___Copy[[#This Row],[Segment Name]],Table3[],2,FALSE)</f>
        <v>Reward &amp; Upsell</v>
      </c>
    </row>
    <row r="1388" spans="1:28" x14ac:dyDescent="0.25">
      <c r="A1388">
        <v>10368</v>
      </c>
      <c r="B1388">
        <v>31</v>
      </c>
      <c r="C1388">
        <v>136.22999999999999</v>
      </c>
      <c r="D1388">
        <v>5</v>
      </c>
      <c r="E1388">
        <v>4223.13</v>
      </c>
      <c r="F1388" s="1">
        <v>43849</v>
      </c>
      <c r="G1388" s="2" t="s">
        <v>19</v>
      </c>
      <c r="H1388" s="2" t="s">
        <v>183</v>
      </c>
      <c r="I1388">
        <v>117</v>
      </c>
      <c r="J1388" s="2" t="s">
        <v>679</v>
      </c>
      <c r="K1388" s="2" t="s">
        <v>284</v>
      </c>
      <c r="L1388" s="2" t="s">
        <v>285</v>
      </c>
      <c r="M1388" s="2" t="s">
        <v>286</v>
      </c>
      <c r="N1388" s="2" t="s">
        <v>287</v>
      </c>
      <c r="O1388" s="2" t="s">
        <v>106</v>
      </c>
      <c r="P1388" s="2" t="s">
        <v>27</v>
      </c>
      <c r="Q1388" s="2" t="s">
        <v>288</v>
      </c>
      <c r="R1388" s="2" t="s">
        <v>289</v>
      </c>
      <c r="S1388" s="2" t="s">
        <v>46</v>
      </c>
      <c r="T1388">
        <v>1863</v>
      </c>
      <c r="U1388">
        <f>VLOOKUP(Auto_Sales_data___Copy[[#This Row],[CUSTOMER_NAME]],$AF$2:$AH$90,2,FALSE)</f>
        <v>180</v>
      </c>
      <c r="V1388">
        <f>VLOOKUP(Auto_Sales_data___Copy[[#This Row],[CUSTOMER_NAME]],$AF$2:$AH$90,3,FALSE)</f>
        <v>654858.06000000017</v>
      </c>
      <c r="W1388" s="2">
        <f>6-MATCH(Auto_Sales_data___Copy[[#This Row],[DAYS_SINCE_LAST_ORDER]],Table2[R-Cutoff],1)</f>
        <v>3</v>
      </c>
      <c r="X1388" s="2">
        <f>MATCH(Auto_Sales_data___Copy[[#This Row],[Total_Orders_Per_Customer]],Table2[F-Cutoff],1)</f>
        <v>4</v>
      </c>
      <c r="Y1388" s="2">
        <f>MATCH(Auto_Sales_data___Copy[[#This Row],[Total_Sales_Per_Customer]],Table2[M-Cutoff],1)</f>
        <v>4</v>
      </c>
      <c r="Z1388" s="2" t="str">
        <f>Auto_Sales_data___Copy[[#This Row],[R-Score(1-5)]]&amp;Auto_Sales_data___Copy[[#This Row],[F-Score(1-5)]]&amp;Auto_Sales_data___Copy[[#This Row],[M-Score(1-5)]]</f>
        <v>344</v>
      </c>
      <c r="AA1388" s="2" t="str" cm="1">
        <f t="array" ref="AA13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8" s="2" t="str">
        <f>VLOOKUP(Auto_Sales_data___Copy[[#This Row],[Segment Name]],Table3[],2,FALSE)</f>
        <v>Reward &amp; Upsell</v>
      </c>
    </row>
    <row r="1389" spans="1:28" x14ac:dyDescent="0.25">
      <c r="A1389">
        <v>10368</v>
      </c>
      <c r="B1389">
        <v>46</v>
      </c>
      <c r="C1389">
        <v>79.62</v>
      </c>
      <c r="D1389">
        <v>1</v>
      </c>
      <c r="E1389">
        <v>3662.52</v>
      </c>
      <c r="F1389" s="1">
        <v>43849</v>
      </c>
      <c r="G1389" s="2" t="s">
        <v>19</v>
      </c>
      <c r="H1389" s="2" t="s">
        <v>183</v>
      </c>
      <c r="I1389">
        <v>85</v>
      </c>
      <c r="J1389" s="2" t="s">
        <v>682</v>
      </c>
      <c r="K1389" s="2" t="s">
        <v>284</v>
      </c>
      <c r="L1389" s="2" t="s">
        <v>285</v>
      </c>
      <c r="M1389" s="2" t="s">
        <v>286</v>
      </c>
      <c r="N1389" s="2" t="s">
        <v>287</v>
      </c>
      <c r="O1389" s="2" t="s">
        <v>106</v>
      </c>
      <c r="P1389" s="2" t="s">
        <v>27</v>
      </c>
      <c r="Q1389" s="2" t="s">
        <v>288</v>
      </c>
      <c r="R1389" s="2" t="s">
        <v>289</v>
      </c>
      <c r="S1389" s="2" t="s">
        <v>46</v>
      </c>
      <c r="T1389">
        <v>1937</v>
      </c>
      <c r="U1389">
        <f>VLOOKUP(Auto_Sales_data___Copy[[#This Row],[CUSTOMER_NAME]],$AF$2:$AH$90,2,FALSE)</f>
        <v>180</v>
      </c>
      <c r="V1389">
        <f>VLOOKUP(Auto_Sales_data___Copy[[#This Row],[CUSTOMER_NAME]],$AF$2:$AH$90,3,FALSE)</f>
        <v>654858.06000000017</v>
      </c>
      <c r="W1389" s="2">
        <f>6-MATCH(Auto_Sales_data___Copy[[#This Row],[DAYS_SINCE_LAST_ORDER]],Table2[R-Cutoff],1)</f>
        <v>3</v>
      </c>
      <c r="X1389" s="2">
        <f>MATCH(Auto_Sales_data___Copy[[#This Row],[Total_Orders_Per_Customer]],Table2[F-Cutoff],1)</f>
        <v>4</v>
      </c>
      <c r="Y1389" s="2">
        <f>MATCH(Auto_Sales_data___Copy[[#This Row],[Total_Sales_Per_Customer]],Table2[M-Cutoff],1)</f>
        <v>4</v>
      </c>
      <c r="Z1389" s="2" t="str">
        <f>Auto_Sales_data___Copy[[#This Row],[R-Score(1-5)]]&amp;Auto_Sales_data___Copy[[#This Row],[F-Score(1-5)]]&amp;Auto_Sales_data___Copy[[#This Row],[M-Score(1-5)]]</f>
        <v>344</v>
      </c>
      <c r="AA1389" s="2" t="str" cm="1">
        <f t="array" ref="AA13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9" s="2" t="str">
        <f>VLOOKUP(Auto_Sales_data___Copy[[#This Row],[Segment Name]],Table3[],2,FALSE)</f>
        <v>Reward &amp; Upsell</v>
      </c>
    </row>
    <row r="1390" spans="1:28" x14ac:dyDescent="0.25">
      <c r="A1390">
        <v>10368</v>
      </c>
      <c r="B1390">
        <v>20</v>
      </c>
      <c r="C1390">
        <v>99.58</v>
      </c>
      <c r="D1390">
        <v>4</v>
      </c>
      <c r="E1390">
        <v>1991.6</v>
      </c>
      <c r="F1390" s="1">
        <v>43849</v>
      </c>
      <c r="G1390" s="2" t="s">
        <v>19</v>
      </c>
      <c r="H1390" s="2" t="s">
        <v>183</v>
      </c>
      <c r="I1390">
        <v>107</v>
      </c>
      <c r="J1390" s="2" t="s">
        <v>685</v>
      </c>
      <c r="K1390" s="2" t="s">
        <v>284</v>
      </c>
      <c r="L1390" s="2" t="s">
        <v>285</v>
      </c>
      <c r="M1390" s="2" t="s">
        <v>286</v>
      </c>
      <c r="N1390" s="2" t="s">
        <v>287</v>
      </c>
      <c r="O1390" s="2" t="s">
        <v>106</v>
      </c>
      <c r="P1390" s="2" t="s">
        <v>27</v>
      </c>
      <c r="Q1390" s="2" t="s">
        <v>288</v>
      </c>
      <c r="R1390" s="2" t="s">
        <v>289</v>
      </c>
      <c r="S1390" s="2" t="s">
        <v>30</v>
      </c>
      <c r="T1390">
        <v>2011</v>
      </c>
      <c r="U1390">
        <f>VLOOKUP(Auto_Sales_data___Copy[[#This Row],[CUSTOMER_NAME]],$AF$2:$AH$90,2,FALSE)</f>
        <v>180</v>
      </c>
      <c r="V1390">
        <f>VLOOKUP(Auto_Sales_data___Copy[[#This Row],[CUSTOMER_NAME]],$AF$2:$AH$90,3,FALSE)</f>
        <v>654858.06000000017</v>
      </c>
      <c r="W1390" s="2">
        <f>6-MATCH(Auto_Sales_data___Copy[[#This Row],[DAYS_SINCE_LAST_ORDER]],Table2[R-Cutoff],1)</f>
        <v>3</v>
      </c>
      <c r="X1390" s="2">
        <f>MATCH(Auto_Sales_data___Copy[[#This Row],[Total_Orders_Per_Customer]],Table2[F-Cutoff],1)</f>
        <v>4</v>
      </c>
      <c r="Y1390" s="2">
        <f>MATCH(Auto_Sales_data___Copy[[#This Row],[Total_Sales_Per_Customer]],Table2[M-Cutoff],1)</f>
        <v>4</v>
      </c>
      <c r="Z1390" s="2" t="str">
        <f>Auto_Sales_data___Copy[[#This Row],[R-Score(1-5)]]&amp;Auto_Sales_data___Copy[[#This Row],[F-Score(1-5)]]&amp;Auto_Sales_data___Copy[[#This Row],[M-Score(1-5)]]</f>
        <v>344</v>
      </c>
      <c r="AA1390" s="2" t="str" cm="1">
        <f t="array" ref="AA13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0" s="2" t="str">
        <f>VLOOKUP(Auto_Sales_data___Copy[[#This Row],[Segment Name]],Table3[],2,FALSE)</f>
        <v>Reward &amp; Upsell</v>
      </c>
    </row>
    <row r="1391" spans="1:28" x14ac:dyDescent="0.25">
      <c r="A1391">
        <v>10371</v>
      </c>
      <c r="B1391">
        <v>25</v>
      </c>
      <c r="C1391">
        <v>97.27</v>
      </c>
      <c r="D1391">
        <v>12</v>
      </c>
      <c r="E1391">
        <v>2431.75</v>
      </c>
      <c r="F1391" s="1">
        <v>43853</v>
      </c>
      <c r="G1391" s="2" t="s">
        <v>19</v>
      </c>
      <c r="H1391" s="2" t="s">
        <v>183</v>
      </c>
      <c r="I1391">
        <v>57</v>
      </c>
      <c r="J1391" s="2" t="s">
        <v>666</v>
      </c>
      <c r="K1391" s="2" t="s">
        <v>284</v>
      </c>
      <c r="L1391" s="2" t="s">
        <v>285</v>
      </c>
      <c r="M1391" s="2" t="s">
        <v>286</v>
      </c>
      <c r="N1391" s="2" t="s">
        <v>287</v>
      </c>
      <c r="O1391" s="2" t="s">
        <v>106</v>
      </c>
      <c r="P1391" s="2" t="s">
        <v>27</v>
      </c>
      <c r="Q1391" s="2" t="s">
        <v>288</v>
      </c>
      <c r="R1391" s="2" t="s">
        <v>289</v>
      </c>
      <c r="S1391" s="2" t="s">
        <v>30</v>
      </c>
      <c r="T1391">
        <v>1540</v>
      </c>
      <c r="U1391">
        <f>VLOOKUP(Auto_Sales_data___Copy[[#This Row],[CUSTOMER_NAME]],$AF$2:$AH$90,2,FALSE)</f>
        <v>180</v>
      </c>
      <c r="V1391">
        <f>VLOOKUP(Auto_Sales_data___Copy[[#This Row],[CUSTOMER_NAME]],$AF$2:$AH$90,3,FALSE)</f>
        <v>654858.06000000017</v>
      </c>
      <c r="W1391" s="2">
        <f>6-MATCH(Auto_Sales_data___Copy[[#This Row],[DAYS_SINCE_LAST_ORDER]],Table2[R-Cutoff],1)</f>
        <v>3</v>
      </c>
      <c r="X1391" s="2">
        <f>MATCH(Auto_Sales_data___Copy[[#This Row],[Total_Orders_Per_Customer]],Table2[F-Cutoff],1)</f>
        <v>4</v>
      </c>
      <c r="Y1391" s="2">
        <f>MATCH(Auto_Sales_data___Copy[[#This Row],[Total_Sales_Per_Customer]],Table2[M-Cutoff],1)</f>
        <v>4</v>
      </c>
      <c r="Z1391" s="2" t="str">
        <f>Auto_Sales_data___Copy[[#This Row],[R-Score(1-5)]]&amp;Auto_Sales_data___Copy[[#This Row],[F-Score(1-5)]]&amp;Auto_Sales_data___Copy[[#This Row],[M-Score(1-5)]]</f>
        <v>344</v>
      </c>
      <c r="AA1391" s="2" t="str" cm="1">
        <f t="array" ref="AA13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1" s="2" t="str">
        <f>VLOOKUP(Auto_Sales_data___Copy[[#This Row],[Segment Name]],Table3[],2,FALSE)</f>
        <v>Reward &amp; Upsell</v>
      </c>
    </row>
    <row r="1392" spans="1:28" x14ac:dyDescent="0.25">
      <c r="A1392">
        <v>10371</v>
      </c>
      <c r="B1392">
        <v>20</v>
      </c>
      <c r="C1392">
        <v>172.47</v>
      </c>
      <c r="D1392">
        <v>5</v>
      </c>
      <c r="E1392">
        <v>3449.4</v>
      </c>
      <c r="F1392" s="1">
        <v>43853</v>
      </c>
      <c r="G1392" s="2" t="s">
        <v>19</v>
      </c>
      <c r="H1392" s="2" t="s">
        <v>537</v>
      </c>
      <c r="I1392">
        <v>127</v>
      </c>
      <c r="J1392" s="2" t="s">
        <v>674</v>
      </c>
      <c r="K1392" s="2" t="s">
        <v>284</v>
      </c>
      <c r="L1392" s="2" t="s">
        <v>285</v>
      </c>
      <c r="M1392" s="2" t="s">
        <v>286</v>
      </c>
      <c r="N1392" s="2" t="s">
        <v>287</v>
      </c>
      <c r="O1392" s="2" t="s">
        <v>106</v>
      </c>
      <c r="P1392" s="2" t="s">
        <v>27</v>
      </c>
      <c r="Q1392" s="2" t="s">
        <v>288</v>
      </c>
      <c r="R1392" s="2" t="s">
        <v>289</v>
      </c>
      <c r="S1392" s="2" t="s">
        <v>46</v>
      </c>
      <c r="T1392">
        <v>1737</v>
      </c>
      <c r="U1392">
        <f>VLOOKUP(Auto_Sales_data___Copy[[#This Row],[CUSTOMER_NAME]],$AF$2:$AH$90,2,FALSE)</f>
        <v>180</v>
      </c>
      <c r="V1392">
        <f>VLOOKUP(Auto_Sales_data___Copy[[#This Row],[CUSTOMER_NAME]],$AF$2:$AH$90,3,FALSE)</f>
        <v>654858.06000000017</v>
      </c>
      <c r="W1392" s="2">
        <f>6-MATCH(Auto_Sales_data___Copy[[#This Row],[DAYS_SINCE_LAST_ORDER]],Table2[R-Cutoff],1)</f>
        <v>3</v>
      </c>
      <c r="X1392" s="2">
        <f>MATCH(Auto_Sales_data___Copy[[#This Row],[Total_Orders_Per_Customer]],Table2[F-Cutoff],1)</f>
        <v>4</v>
      </c>
      <c r="Y1392" s="2">
        <f>MATCH(Auto_Sales_data___Copy[[#This Row],[Total_Sales_Per_Customer]],Table2[M-Cutoff],1)</f>
        <v>4</v>
      </c>
      <c r="Z1392" s="2" t="str">
        <f>Auto_Sales_data___Copy[[#This Row],[R-Score(1-5)]]&amp;Auto_Sales_data___Copy[[#This Row],[F-Score(1-5)]]&amp;Auto_Sales_data___Copy[[#This Row],[M-Score(1-5)]]</f>
        <v>344</v>
      </c>
      <c r="AA1392" s="2" t="str" cm="1">
        <f t="array" ref="AA13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2" s="2" t="str">
        <f>VLOOKUP(Auto_Sales_data___Copy[[#This Row],[Segment Name]],Table3[],2,FALSE)</f>
        <v>Reward &amp; Upsell</v>
      </c>
    </row>
    <row r="1393" spans="1:28" x14ac:dyDescent="0.25">
      <c r="A1393">
        <v>10371</v>
      </c>
      <c r="B1393">
        <v>45</v>
      </c>
      <c r="C1393">
        <v>123.24</v>
      </c>
      <c r="D1393">
        <v>8</v>
      </c>
      <c r="E1393">
        <v>5545.8</v>
      </c>
      <c r="F1393" s="1">
        <v>43853</v>
      </c>
      <c r="G1393" s="2" t="s">
        <v>19</v>
      </c>
      <c r="H1393" s="2" t="s">
        <v>183</v>
      </c>
      <c r="I1393">
        <v>35</v>
      </c>
      <c r="J1393" s="2" t="s">
        <v>677</v>
      </c>
      <c r="K1393" s="2" t="s">
        <v>284</v>
      </c>
      <c r="L1393" s="2" t="s">
        <v>285</v>
      </c>
      <c r="M1393" s="2" t="s">
        <v>286</v>
      </c>
      <c r="N1393" s="2" t="s">
        <v>287</v>
      </c>
      <c r="O1393" s="2" t="s">
        <v>106</v>
      </c>
      <c r="P1393" s="2" t="s">
        <v>27</v>
      </c>
      <c r="Q1393" s="2" t="s">
        <v>288</v>
      </c>
      <c r="R1393" s="2" t="s">
        <v>289</v>
      </c>
      <c r="S1393" s="2" t="s">
        <v>46</v>
      </c>
      <c r="T1393">
        <v>1811</v>
      </c>
      <c r="U1393">
        <f>VLOOKUP(Auto_Sales_data___Copy[[#This Row],[CUSTOMER_NAME]],$AF$2:$AH$90,2,FALSE)</f>
        <v>180</v>
      </c>
      <c r="V1393">
        <f>VLOOKUP(Auto_Sales_data___Copy[[#This Row],[CUSTOMER_NAME]],$AF$2:$AH$90,3,FALSE)</f>
        <v>654858.06000000017</v>
      </c>
      <c r="W1393" s="2">
        <f>6-MATCH(Auto_Sales_data___Copy[[#This Row],[DAYS_SINCE_LAST_ORDER]],Table2[R-Cutoff],1)</f>
        <v>3</v>
      </c>
      <c r="X1393" s="2">
        <f>MATCH(Auto_Sales_data___Copy[[#This Row],[Total_Orders_Per_Customer]],Table2[F-Cutoff],1)</f>
        <v>4</v>
      </c>
      <c r="Y1393" s="2">
        <f>MATCH(Auto_Sales_data___Copy[[#This Row],[Total_Sales_Per_Customer]],Table2[M-Cutoff],1)</f>
        <v>4</v>
      </c>
      <c r="Z1393" s="2" t="str">
        <f>Auto_Sales_data___Copy[[#This Row],[R-Score(1-5)]]&amp;Auto_Sales_data___Copy[[#This Row],[F-Score(1-5)]]&amp;Auto_Sales_data___Copy[[#This Row],[M-Score(1-5)]]</f>
        <v>344</v>
      </c>
      <c r="AA1393" s="2" t="str" cm="1">
        <f t="array" ref="AA13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3" s="2" t="str">
        <f>VLOOKUP(Auto_Sales_data___Copy[[#This Row],[Segment Name]],Table3[],2,FALSE)</f>
        <v>Reward &amp; Upsell</v>
      </c>
    </row>
    <row r="1394" spans="1:28" x14ac:dyDescent="0.25">
      <c r="A1394">
        <v>10372</v>
      </c>
      <c r="B1394">
        <v>37</v>
      </c>
      <c r="C1394">
        <v>105.69</v>
      </c>
      <c r="D1394">
        <v>8</v>
      </c>
      <c r="E1394">
        <v>3910.53</v>
      </c>
      <c r="F1394" s="1">
        <v>43856</v>
      </c>
      <c r="G1394" s="2" t="s">
        <v>19</v>
      </c>
      <c r="H1394" s="2" t="s">
        <v>642</v>
      </c>
      <c r="I1394">
        <v>122</v>
      </c>
      <c r="J1394" s="2" t="s">
        <v>672</v>
      </c>
      <c r="K1394" s="2" t="s">
        <v>256</v>
      </c>
      <c r="L1394" s="2" t="s">
        <v>257</v>
      </c>
      <c r="M1394" s="2" t="s">
        <v>258</v>
      </c>
      <c r="N1394" s="2" t="s">
        <v>259</v>
      </c>
      <c r="O1394" s="2" t="s">
        <v>260</v>
      </c>
      <c r="P1394" s="2" t="s">
        <v>261</v>
      </c>
      <c r="Q1394" s="2" t="s">
        <v>262</v>
      </c>
      <c r="R1394" s="2" t="s">
        <v>263</v>
      </c>
      <c r="S1394" s="2" t="s">
        <v>46</v>
      </c>
      <c r="T1394">
        <v>1684</v>
      </c>
      <c r="U1394">
        <f>VLOOKUP(Auto_Sales_data___Copy[[#This Row],[CUSTOMER_NAME]],$AF$2:$AH$90,2,FALSE)</f>
        <v>32</v>
      </c>
      <c r="V1394">
        <f>VLOOKUP(Auto_Sales_data___Copy[[#This Row],[CUSTOMER_NAME]],$AF$2:$AH$90,3,FALSE)</f>
        <v>120562.74000000002</v>
      </c>
      <c r="W1394" s="2">
        <f>6-MATCH(Auto_Sales_data___Copy[[#This Row],[DAYS_SINCE_LAST_ORDER]],Table2[R-Cutoff],1)</f>
        <v>3</v>
      </c>
      <c r="X1394" s="2">
        <f>MATCH(Auto_Sales_data___Copy[[#This Row],[Total_Orders_Per_Customer]],Table2[F-Cutoff],1)</f>
        <v>4</v>
      </c>
      <c r="Y1394" s="2">
        <f>MATCH(Auto_Sales_data___Copy[[#This Row],[Total_Sales_Per_Customer]],Table2[M-Cutoff],1)</f>
        <v>4</v>
      </c>
      <c r="Z1394" s="2" t="str">
        <f>Auto_Sales_data___Copy[[#This Row],[R-Score(1-5)]]&amp;Auto_Sales_data___Copy[[#This Row],[F-Score(1-5)]]&amp;Auto_Sales_data___Copy[[#This Row],[M-Score(1-5)]]</f>
        <v>344</v>
      </c>
      <c r="AA1394" s="2" t="str" cm="1">
        <f t="array" ref="AA13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4" s="2" t="str">
        <f>VLOOKUP(Auto_Sales_data___Copy[[#This Row],[Segment Name]],Table3[],2,FALSE)</f>
        <v>Reward &amp; Upsell</v>
      </c>
    </row>
    <row r="1395" spans="1:28" x14ac:dyDescent="0.25">
      <c r="A1395">
        <v>10373</v>
      </c>
      <c r="B1395">
        <v>38</v>
      </c>
      <c r="C1395">
        <v>70.44</v>
      </c>
      <c r="D1395">
        <v>7</v>
      </c>
      <c r="E1395">
        <v>2676.72</v>
      </c>
      <c r="F1395" s="1">
        <v>43861</v>
      </c>
      <c r="G1395" s="2" t="s">
        <v>19</v>
      </c>
      <c r="H1395" s="2" t="s">
        <v>607</v>
      </c>
      <c r="I1395">
        <v>68</v>
      </c>
      <c r="J1395" s="2" t="s">
        <v>678</v>
      </c>
      <c r="K1395" s="2" t="s">
        <v>411</v>
      </c>
      <c r="L1395" s="2" t="s">
        <v>412</v>
      </c>
      <c r="M1395" s="2" t="s">
        <v>413</v>
      </c>
      <c r="N1395" s="2" t="s">
        <v>414</v>
      </c>
      <c r="O1395" s="2" t="s">
        <v>415</v>
      </c>
      <c r="P1395" s="2" t="s">
        <v>127</v>
      </c>
      <c r="Q1395" s="2" t="s">
        <v>416</v>
      </c>
      <c r="R1395" s="2" t="s">
        <v>417</v>
      </c>
      <c r="S1395" s="2" t="s">
        <v>30</v>
      </c>
      <c r="T1395">
        <v>1828</v>
      </c>
      <c r="U1395">
        <f>VLOOKUP(Auto_Sales_data___Copy[[#This Row],[CUSTOMER_NAME]],$AF$2:$AH$90,2,FALSE)</f>
        <v>32</v>
      </c>
      <c r="V1395">
        <f>VLOOKUP(Auto_Sales_data___Copy[[#This Row],[CUSTOMER_NAME]],$AF$2:$AH$90,3,FALSE)</f>
        <v>104370.37999999999</v>
      </c>
      <c r="W1395" s="2">
        <f>6-MATCH(Auto_Sales_data___Copy[[#This Row],[DAYS_SINCE_LAST_ORDER]],Table2[R-Cutoff],1)</f>
        <v>3</v>
      </c>
      <c r="X1395" s="2">
        <f>MATCH(Auto_Sales_data___Copy[[#This Row],[Total_Orders_Per_Customer]],Table2[F-Cutoff],1)</f>
        <v>4</v>
      </c>
      <c r="Y1395" s="2">
        <f>MATCH(Auto_Sales_data___Copy[[#This Row],[Total_Sales_Per_Customer]],Table2[M-Cutoff],1)</f>
        <v>4</v>
      </c>
      <c r="Z1395" s="2" t="str">
        <f>Auto_Sales_data___Copy[[#This Row],[R-Score(1-5)]]&amp;Auto_Sales_data___Copy[[#This Row],[F-Score(1-5)]]&amp;Auto_Sales_data___Copy[[#This Row],[M-Score(1-5)]]</f>
        <v>344</v>
      </c>
      <c r="AA1395" s="2" t="str" cm="1">
        <f t="array" ref="AA13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5" s="2" t="str">
        <f>VLOOKUP(Auto_Sales_data___Copy[[#This Row],[Segment Name]],Table3[],2,FALSE)</f>
        <v>Reward &amp; Upsell</v>
      </c>
    </row>
    <row r="1396" spans="1:28" x14ac:dyDescent="0.25">
      <c r="A1396">
        <v>10373</v>
      </c>
      <c r="B1396">
        <v>33</v>
      </c>
      <c r="C1396">
        <v>57.32</v>
      </c>
      <c r="D1396">
        <v>12</v>
      </c>
      <c r="E1396">
        <v>1891.56</v>
      </c>
      <c r="F1396" s="1">
        <v>43861</v>
      </c>
      <c r="G1396" s="2" t="s">
        <v>19</v>
      </c>
      <c r="H1396" s="2" t="s">
        <v>589</v>
      </c>
      <c r="I1396">
        <v>88</v>
      </c>
      <c r="J1396" s="2" t="s">
        <v>681</v>
      </c>
      <c r="K1396" s="2" t="s">
        <v>411</v>
      </c>
      <c r="L1396" s="2" t="s">
        <v>412</v>
      </c>
      <c r="M1396" s="2" t="s">
        <v>413</v>
      </c>
      <c r="N1396" s="2" t="s">
        <v>414</v>
      </c>
      <c r="O1396" s="2" t="s">
        <v>415</v>
      </c>
      <c r="P1396" s="2" t="s">
        <v>127</v>
      </c>
      <c r="Q1396" s="2" t="s">
        <v>416</v>
      </c>
      <c r="R1396" s="2" t="s">
        <v>417</v>
      </c>
      <c r="S1396" s="2" t="s">
        <v>30</v>
      </c>
      <c r="T1396">
        <v>1903</v>
      </c>
      <c r="U1396">
        <f>VLOOKUP(Auto_Sales_data___Copy[[#This Row],[CUSTOMER_NAME]],$AF$2:$AH$90,2,FALSE)</f>
        <v>32</v>
      </c>
      <c r="V1396">
        <f>VLOOKUP(Auto_Sales_data___Copy[[#This Row],[CUSTOMER_NAME]],$AF$2:$AH$90,3,FALSE)</f>
        <v>104370.37999999999</v>
      </c>
      <c r="W1396" s="2">
        <f>6-MATCH(Auto_Sales_data___Copy[[#This Row],[DAYS_SINCE_LAST_ORDER]],Table2[R-Cutoff],1)</f>
        <v>3</v>
      </c>
      <c r="X1396" s="2">
        <f>MATCH(Auto_Sales_data___Copy[[#This Row],[Total_Orders_Per_Customer]],Table2[F-Cutoff],1)</f>
        <v>4</v>
      </c>
      <c r="Y1396" s="2">
        <f>MATCH(Auto_Sales_data___Copy[[#This Row],[Total_Sales_Per_Customer]],Table2[M-Cutoff],1)</f>
        <v>4</v>
      </c>
      <c r="Z1396" s="2" t="str">
        <f>Auto_Sales_data___Copy[[#This Row],[R-Score(1-5)]]&amp;Auto_Sales_data___Copy[[#This Row],[F-Score(1-5)]]&amp;Auto_Sales_data___Copy[[#This Row],[M-Score(1-5)]]</f>
        <v>344</v>
      </c>
      <c r="AA1396" s="2" t="str" cm="1">
        <f t="array" ref="AA13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6" s="2" t="str">
        <f>VLOOKUP(Auto_Sales_data___Copy[[#This Row],[Segment Name]],Table3[],2,FALSE)</f>
        <v>Reward &amp; Upsell</v>
      </c>
    </row>
    <row r="1397" spans="1:28" x14ac:dyDescent="0.25">
      <c r="A1397">
        <v>10373</v>
      </c>
      <c r="B1397">
        <v>46</v>
      </c>
      <c r="C1397">
        <v>66</v>
      </c>
      <c r="D1397">
        <v>11</v>
      </c>
      <c r="E1397">
        <v>3036</v>
      </c>
      <c r="F1397" s="1">
        <v>43861</v>
      </c>
      <c r="G1397" s="2" t="s">
        <v>19</v>
      </c>
      <c r="H1397" s="2" t="s">
        <v>589</v>
      </c>
      <c r="I1397">
        <v>65</v>
      </c>
      <c r="J1397" s="2" t="s">
        <v>684</v>
      </c>
      <c r="K1397" s="2" t="s">
        <v>411</v>
      </c>
      <c r="L1397" s="2" t="s">
        <v>412</v>
      </c>
      <c r="M1397" s="2" t="s">
        <v>413</v>
      </c>
      <c r="N1397" s="2" t="s">
        <v>414</v>
      </c>
      <c r="O1397" s="2" t="s">
        <v>415</v>
      </c>
      <c r="P1397" s="2" t="s">
        <v>127</v>
      </c>
      <c r="Q1397" s="2" t="s">
        <v>416</v>
      </c>
      <c r="R1397" s="2" t="s">
        <v>417</v>
      </c>
      <c r="S1397" s="2" t="s">
        <v>46</v>
      </c>
      <c r="T1397">
        <v>1975</v>
      </c>
      <c r="U1397">
        <f>VLOOKUP(Auto_Sales_data___Copy[[#This Row],[CUSTOMER_NAME]],$AF$2:$AH$90,2,FALSE)</f>
        <v>32</v>
      </c>
      <c r="V1397">
        <f>VLOOKUP(Auto_Sales_data___Copy[[#This Row],[CUSTOMER_NAME]],$AF$2:$AH$90,3,FALSE)</f>
        <v>104370.37999999999</v>
      </c>
      <c r="W1397" s="2">
        <f>6-MATCH(Auto_Sales_data___Copy[[#This Row],[DAYS_SINCE_LAST_ORDER]],Table2[R-Cutoff],1)</f>
        <v>3</v>
      </c>
      <c r="X1397" s="2">
        <f>MATCH(Auto_Sales_data___Copy[[#This Row],[Total_Orders_Per_Customer]],Table2[F-Cutoff],1)</f>
        <v>4</v>
      </c>
      <c r="Y1397" s="2">
        <f>MATCH(Auto_Sales_data___Copy[[#This Row],[Total_Sales_Per_Customer]],Table2[M-Cutoff],1)</f>
        <v>4</v>
      </c>
      <c r="Z1397" s="2" t="str">
        <f>Auto_Sales_data___Copy[[#This Row],[R-Score(1-5)]]&amp;Auto_Sales_data___Copy[[#This Row],[F-Score(1-5)]]&amp;Auto_Sales_data___Copy[[#This Row],[M-Score(1-5)]]</f>
        <v>344</v>
      </c>
      <c r="AA1397" s="2" t="str" cm="1">
        <f t="array" ref="AA13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7" s="2" t="str">
        <f>VLOOKUP(Auto_Sales_data___Copy[[#This Row],[Segment Name]],Table3[],2,FALSE)</f>
        <v>Reward &amp; Upsell</v>
      </c>
    </row>
    <row r="1398" spans="1:28" x14ac:dyDescent="0.25">
      <c r="A1398">
        <v>10373</v>
      </c>
      <c r="B1398">
        <v>23</v>
      </c>
      <c r="C1398">
        <v>104.1</v>
      </c>
      <c r="D1398">
        <v>10</v>
      </c>
      <c r="E1398">
        <v>2394.3000000000002</v>
      </c>
      <c r="F1398" s="1">
        <v>43861</v>
      </c>
      <c r="G1398" s="2" t="s">
        <v>19</v>
      </c>
      <c r="H1398" s="2" t="s">
        <v>589</v>
      </c>
      <c r="I1398">
        <v>83</v>
      </c>
      <c r="J1398" s="2" t="s">
        <v>686</v>
      </c>
      <c r="K1398" s="2" t="s">
        <v>411</v>
      </c>
      <c r="L1398" s="2" t="s">
        <v>412</v>
      </c>
      <c r="M1398" s="2" t="s">
        <v>413</v>
      </c>
      <c r="N1398" s="2" t="s">
        <v>414</v>
      </c>
      <c r="O1398" s="2" t="s">
        <v>415</v>
      </c>
      <c r="P1398" s="2" t="s">
        <v>127</v>
      </c>
      <c r="Q1398" s="2" t="s">
        <v>416</v>
      </c>
      <c r="R1398" s="2" t="s">
        <v>417</v>
      </c>
      <c r="S1398" s="2" t="s">
        <v>30</v>
      </c>
      <c r="T1398">
        <v>2023</v>
      </c>
      <c r="U1398">
        <f>VLOOKUP(Auto_Sales_data___Copy[[#This Row],[CUSTOMER_NAME]],$AF$2:$AH$90,2,FALSE)</f>
        <v>32</v>
      </c>
      <c r="V1398">
        <f>VLOOKUP(Auto_Sales_data___Copy[[#This Row],[CUSTOMER_NAME]],$AF$2:$AH$90,3,FALSE)</f>
        <v>104370.37999999999</v>
      </c>
      <c r="W1398" s="2">
        <f>6-MATCH(Auto_Sales_data___Copy[[#This Row],[DAYS_SINCE_LAST_ORDER]],Table2[R-Cutoff],1)</f>
        <v>3</v>
      </c>
      <c r="X1398" s="2">
        <f>MATCH(Auto_Sales_data___Copy[[#This Row],[Total_Orders_Per_Customer]],Table2[F-Cutoff],1)</f>
        <v>4</v>
      </c>
      <c r="Y1398" s="2">
        <f>MATCH(Auto_Sales_data___Copy[[#This Row],[Total_Sales_Per_Customer]],Table2[M-Cutoff],1)</f>
        <v>4</v>
      </c>
      <c r="Z1398" s="2" t="str">
        <f>Auto_Sales_data___Copy[[#This Row],[R-Score(1-5)]]&amp;Auto_Sales_data___Copy[[#This Row],[F-Score(1-5)]]&amp;Auto_Sales_data___Copy[[#This Row],[M-Score(1-5)]]</f>
        <v>344</v>
      </c>
      <c r="AA1398" s="2" t="str" cm="1">
        <f t="array" ref="AA13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8" s="2" t="str">
        <f>VLOOKUP(Auto_Sales_data___Copy[[#This Row],[Segment Name]],Table3[],2,FALSE)</f>
        <v>Reward &amp; Upsell</v>
      </c>
    </row>
    <row r="1399" spans="1:28" x14ac:dyDescent="0.25">
      <c r="A1399">
        <v>10375</v>
      </c>
      <c r="B1399">
        <v>23</v>
      </c>
      <c r="C1399">
        <v>106.23</v>
      </c>
      <c r="D1399">
        <v>9</v>
      </c>
      <c r="E1399">
        <v>2443.29</v>
      </c>
      <c r="F1399" s="1">
        <v>43864</v>
      </c>
      <c r="G1399" s="2" t="s">
        <v>19</v>
      </c>
      <c r="H1399" s="2" t="s">
        <v>20</v>
      </c>
      <c r="I1399">
        <v>76</v>
      </c>
      <c r="J1399" s="2" t="s">
        <v>671</v>
      </c>
      <c r="K1399" s="2" t="s">
        <v>108</v>
      </c>
      <c r="L1399" s="2" t="s">
        <v>109</v>
      </c>
      <c r="M1399" s="2" t="s">
        <v>110</v>
      </c>
      <c r="N1399" s="2" t="s">
        <v>111</v>
      </c>
      <c r="O1399" s="2" t="s">
        <v>112</v>
      </c>
      <c r="P1399" s="2" t="s">
        <v>36</v>
      </c>
      <c r="Q1399" s="2" t="s">
        <v>113</v>
      </c>
      <c r="R1399" s="2" t="s">
        <v>114</v>
      </c>
      <c r="S1399" s="2" t="s">
        <v>30</v>
      </c>
      <c r="T1399">
        <v>1650</v>
      </c>
      <c r="U1399">
        <f>VLOOKUP(Auto_Sales_data___Copy[[#This Row],[CUSTOMER_NAME]],$AF$2:$AH$90,2,FALSE)</f>
        <v>53</v>
      </c>
      <c r="V1399">
        <f>VLOOKUP(Auto_Sales_data___Copy[[#This Row],[CUSTOMER_NAME]],$AF$2:$AH$90,3,FALSE)</f>
        <v>180124.90000000008</v>
      </c>
      <c r="W1399" s="2">
        <f>6-MATCH(Auto_Sales_data___Copy[[#This Row],[DAYS_SINCE_LAST_ORDER]],Table2[R-Cutoff],1)</f>
        <v>3</v>
      </c>
      <c r="X1399" s="2">
        <f>MATCH(Auto_Sales_data___Copy[[#This Row],[Total_Orders_Per_Customer]],Table2[F-Cutoff],1)</f>
        <v>4</v>
      </c>
      <c r="Y1399" s="2">
        <f>MATCH(Auto_Sales_data___Copy[[#This Row],[Total_Sales_Per_Customer]],Table2[M-Cutoff],1)</f>
        <v>4</v>
      </c>
      <c r="Z1399" s="2" t="str">
        <f>Auto_Sales_data___Copy[[#This Row],[R-Score(1-5)]]&amp;Auto_Sales_data___Copy[[#This Row],[F-Score(1-5)]]&amp;Auto_Sales_data___Copy[[#This Row],[M-Score(1-5)]]</f>
        <v>344</v>
      </c>
      <c r="AA1399" s="2" t="str" cm="1">
        <f t="array" ref="AA13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9" s="2" t="str">
        <f>VLOOKUP(Auto_Sales_data___Copy[[#This Row],[Segment Name]],Table3[],2,FALSE)</f>
        <v>Reward &amp; Upsell</v>
      </c>
    </row>
    <row r="1400" spans="1:28" x14ac:dyDescent="0.25">
      <c r="A1400">
        <v>10375</v>
      </c>
      <c r="B1400">
        <v>20</v>
      </c>
      <c r="C1400">
        <v>102.3</v>
      </c>
      <c r="D1400">
        <v>14</v>
      </c>
      <c r="E1400">
        <v>2046</v>
      </c>
      <c r="F1400" s="1">
        <v>43864</v>
      </c>
      <c r="G1400" s="2" t="s">
        <v>19</v>
      </c>
      <c r="H1400" s="2" t="s">
        <v>20</v>
      </c>
      <c r="I1400">
        <v>69</v>
      </c>
      <c r="J1400" s="2" t="s">
        <v>675</v>
      </c>
      <c r="K1400" s="2" t="s">
        <v>108</v>
      </c>
      <c r="L1400" s="2" t="s">
        <v>109</v>
      </c>
      <c r="M1400" s="2" t="s">
        <v>110</v>
      </c>
      <c r="N1400" s="2" t="s">
        <v>111</v>
      </c>
      <c r="O1400" s="2" t="s">
        <v>112</v>
      </c>
      <c r="P1400" s="2" t="s">
        <v>36</v>
      </c>
      <c r="Q1400" s="2" t="s">
        <v>113</v>
      </c>
      <c r="R1400" s="2" t="s">
        <v>114</v>
      </c>
      <c r="S1400" s="2" t="s">
        <v>30</v>
      </c>
      <c r="T1400">
        <v>1751</v>
      </c>
      <c r="U1400">
        <f>VLOOKUP(Auto_Sales_data___Copy[[#This Row],[CUSTOMER_NAME]],$AF$2:$AH$90,2,FALSE)</f>
        <v>53</v>
      </c>
      <c r="V1400">
        <f>VLOOKUP(Auto_Sales_data___Copy[[#This Row],[CUSTOMER_NAME]],$AF$2:$AH$90,3,FALSE)</f>
        <v>180124.90000000008</v>
      </c>
      <c r="W1400" s="2">
        <f>6-MATCH(Auto_Sales_data___Copy[[#This Row],[DAYS_SINCE_LAST_ORDER]],Table2[R-Cutoff],1)</f>
        <v>3</v>
      </c>
      <c r="X1400" s="2">
        <f>MATCH(Auto_Sales_data___Copy[[#This Row],[Total_Orders_Per_Customer]],Table2[F-Cutoff],1)</f>
        <v>4</v>
      </c>
      <c r="Y1400" s="2">
        <f>MATCH(Auto_Sales_data___Copy[[#This Row],[Total_Sales_Per_Customer]],Table2[M-Cutoff],1)</f>
        <v>4</v>
      </c>
      <c r="Z1400" s="2" t="str">
        <f>Auto_Sales_data___Copy[[#This Row],[R-Score(1-5)]]&amp;Auto_Sales_data___Copy[[#This Row],[F-Score(1-5)]]&amp;Auto_Sales_data___Copy[[#This Row],[M-Score(1-5)]]</f>
        <v>344</v>
      </c>
      <c r="AA1400" s="2" t="str" cm="1">
        <f t="array" ref="AA14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0" s="2" t="str">
        <f>VLOOKUP(Auto_Sales_data___Copy[[#This Row],[Segment Name]],Table3[],2,FALSE)</f>
        <v>Reward &amp; Upsell</v>
      </c>
    </row>
    <row r="1401" spans="1:28" x14ac:dyDescent="0.25">
      <c r="A1401">
        <v>10382</v>
      </c>
      <c r="B1401">
        <v>20</v>
      </c>
      <c r="C1401">
        <v>132.72</v>
      </c>
      <c r="D1401">
        <v>3</v>
      </c>
      <c r="E1401">
        <v>2654.4</v>
      </c>
      <c r="F1401" s="1">
        <v>43878</v>
      </c>
      <c r="G1401" s="2" t="s">
        <v>19</v>
      </c>
      <c r="H1401" s="2" t="s">
        <v>537</v>
      </c>
      <c r="I1401">
        <v>127</v>
      </c>
      <c r="J1401" s="2" t="s">
        <v>674</v>
      </c>
      <c r="K1401" s="2" t="s">
        <v>284</v>
      </c>
      <c r="L1401" s="2" t="s">
        <v>285</v>
      </c>
      <c r="M1401" s="2" t="s">
        <v>286</v>
      </c>
      <c r="N1401" s="2" t="s">
        <v>287</v>
      </c>
      <c r="O1401" s="2" t="s">
        <v>106</v>
      </c>
      <c r="P1401" s="2" t="s">
        <v>27</v>
      </c>
      <c r="Q1401" s="2" t="s">
        <v>288</v>
      </c>
      <c r="R1401" s="2" t="s">
        <v>289</v>
      </c>
      <c r="S1401" s="2" t="s">
        <v>30</v>
      </c>
      <c r="T1401">
        <v>1713</v>
      </c>
      <c r="U1401">
        <f>VLOOKUP(Auto_Sales_data___Copy[[#This Row],[CUSTOMER_NAME]],$AF$2:$AH$90,2,FALSE)</f>
        <v>180</v>
      </c>
      <c r="V1401">
        <f>VLOOKUP(Auto_Sales_data___Copy[[#This Row],[CUSTOMER_NAME]],$AF$2:$AH$90,3,FALSE)</f>
        <v>654858.06000000017</v>
      </c>
      <c r="W1401" s="2">
        <f>6-MATCH(Auto_Sales_data___Copy[[#This Row],[DAYS_SINCE_LAST_ORDER]],Table2[R-Cutoff],1)</f>
        <v>3</v>
      </c>
      <c r="X1401" s="2">
        <f>MATCH(Auto_Sales_data___Copy[[#This Row],[Total_Orders_Per_Customer]],Table2[F-Cutoff],1)</f>
        <v>4</v>
      </c>
      <c r="Y1401" s="2">
        <f>MATCH(Auto_Sales_data___Copy[[#This Row],[Total_Sales_Per_Customer]],Table2[M-Cutoff],1)</f>
        <v>4</v>
      </c>
      <c r="Z1401" s="2" t="str">
        <f>Auto_Sales_data___Copy[[#This Row],[R-Score(1-5)]]&amp;Auto_Sales_data___Copy[[#This Row],[F-Score(1-5)]]&amp;Auto_Sales_data___Copy[[#This Row],[M-Score(1-5)]]</f>
        <v>344</v>
      </c>
      <c r="AA1401" s="2" t="str" cm="1">
        <f t="array" ref="AA14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1" s="2" t="str">
        <f>VLOOKUP(Auto_Sales_data___Copy[[#This Row],[Segment Name]],Table3[],2,FALSE)</f>
        <v>Reward &amp; Upsell</v>
      </c>
    </row>
    <row r="1402" spans="1:28" x14ac:dyDescent="0.25">
      <c r="A1402">
        <v>10385</v>
      </c>
      <c r="B1402">
        <v>37</v>
      </c>
      <c r="C1402">
        <v>85.54</v>
      </c>
      <c r="D1402">
        <v>2</v>
      </c>
      <c r="E1402">
        <v>3164.98</v>
      </c>
      <c r="F1402" s="1">
        <v>43889</v>
      </c>
      <c r="G1402" s="2" t="s">
        <v>19</v>
      </c>
      <c r="H1402" s="2" t="s">
        <v>589</v>
      </c>
      <c r="I1402">
        <v>83</v>
      </c>
      <c r="J1402" s="2" t="s">
        <v>686</v>
      </c>
      <c r="K1402" s="2" t="s">
        <v>284</v>
      </c>
      <c r="L1402" s="2" t="s">
        <v>285</v>
      </c>
      <c r="M1402" s="2" t="s">
        <v>286</v>
      </c>
      <c r="N1402" s="2" t="s">
        <v>287</v>
      </c>
      <c r="O1402" s="2" t="s">
        <v>106</v>
      </c>
      <c r="P1402" s="2" t="s">
        <v>27</v>
      </c>
      <c r="Q1402" s="2" t="s">
        <v>288</v>
      </c>
      <c r="R1402" s="2" t="s">
        <v>289</v>
      </c>
      <c r="S1402" s="2" t="s">
        <v>46</v>
      </c>
      <c r="T1402">
        <v>1996</v>
      </c>
      <c r="U1402">
        <f>VLOOKUP(Auto_Sales_data___Copy[[#This Row],[CUSTOMER_NAME]],$AF$2:$AH$90,2,FALSE)</f>
        <v>180</v>
      </c>
      <c r="V1402">
        <f>VLOOKUP(Auto_Sales_data___Copy[[#This Row],[CUSTOMER_NAME]],$AF$2:$AH$90,3,FALSE)</f>
        <v>654858.06000000017</v>
      </c>
      <c r="W1402" s="2">
        <f>6-MATCH(Auto_Sales_data___Copy[[#This Row],[DAYS_SINCE_LAST_ORDER]],Table2[R-Cutoff],1)</f>
        <v>3</v>
      </c>
      <c r="X1402" s="2">
        <f>MATCH(Auto_Sales_data___Copy[[#This Row],[Total_Orders_Per_Customer]],Table2[F-Cutoff],1)</f>
        <v>4</v>
      </c>
      <c r="Y1402" s="2">
        <f>MATCH(Auto_Sales_data___Copy[[#This Row],[Total_Sales_Per_Customer]],Table2[M-Cutoff],1)</f>
        <v>4</v>
      </c>
      <c r="Z1402" s="2" t="str">
        <f>Auto_Sales_data___Copy[[#This Row],[R-Score(1-5)]]&amp;Auto_Sales_data___Copy[[#This Row],[F-Score(1-5)]]&amp;Auto_Sales_data___Copy[[#This Row],[M-Score(1-5)]]</f>
        <v>344</v>
      </c>
      <c r="AA1402" s="2" t="str" cm="1">
        <f t="array" ref="AA14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2" s="2" t="str">
        <f>VLOOKUP(Auto_Sales_data___Copy[[#This Row],[Segment Name]],Table3[],2,FALSE)</f>
        <v>Reward &amp; Upsell</v>
      </c>
    </row>
    <row r="1403" spans="1:28" x14ac:dyDescent="0.25">
      <c r="A1403">
        <v>10389</v>
      </c>
      <c r="B1403">
        <v>45</v>
      </c>
      <c r="C1403">
        <v>102.17</v>
      </c>
      <c r="D1403">
        <v>1</v>
      </c>
      <c r="E1403">
        <v>4597.6499999999996</v>
      </c>
      <c r="F1403" s="1">
        <v>43893</v>
      </c>
      <c r="G1403" s="2" t="s">
        <v>19</v>
      </c>
      <c r="H1403" s="2" t="s">
        <v>20</v>
      </c>
      <c r="I1403">
        <v>112</v>
      </c>
      <c r="J1403" s="2" t="s">
        <v>667</v>
      </c>
      <c r="K1403" s="2" t="s">
        <v>272</v>
      </c>
      <c r="L1403" s="2" t="s">
        <v>273</v>
      </c>
      <c r="M1403" s="2" t="s">
        <v>274</v>
      </c>
      <c r="N1403" s="2" t="s">
        <v>275</v>
      </c>
      <c r="O1403" s="2" t="s">
        <v>276</v>
      </c>
      <c r="P1403" s="2" t="s">
        <v>190</v>
      </c>
      <c r="Q1403" s="2" t="s">
        <v>277</v>
      </c>
      <c r="R1403" s="2" t="s">
        <v>209</v>
      </c>
      <c r="S1403" s="2" t="s">
        <v>46</v>
      </c>
      <c r="T1403">
        <v>1526</v>
      </c>
      <c r="U1403">
        <f>VLOOKUP(Auto_Sales_data___Copy[[#This Row],[CUSTOMER_NAME]],$AF$2:$AH$90,2,FALSE)</f>
        <v>38</v>
      </c>
      <c r="V1403">
        <f>VLOOKUP(Auto_Sales_data___Copy[[#This Row],[CUSTOMER_NAME]],$AF$2:$AH$90,3,FALSE)</f>
        <v>134259.32999999996</v>
      </c>
      <c r="W1403" s="2">
        <f>6-MATCH(Auto_Sales_data___Copy[[#This Row],[DAYS_SINCE_LAST_ORDER]],Table2[R-Cutoff],1)</f>
        <v>3</v>
      </c>
      <c r="X1403" s="2">
        <f>MATCH(Auto_Sales_data___Copy[[#This Row],[Total_Orders_Per_Customer]],Table2[F-Cutoff],1)</f>
        <v>4</v>
      </c>
      <c r="Y1403" s="2">
        <f>MATCH(Auto_Sales_data___Copy[[#This Row],[Total_Sales_Per_Customer]],Table2[M-Cutoff],1)</f>
        <v>4</v>
      </c>
      <c r="Z1403" s="2" t="str">
        <f>Auto_Sales_data___Copy[[#This Row],[R-Score(1-5)]]&amp;Auto_Sales_data___Copy[[#This Row],[F-Score(1-5)]]&amp;Auto_Sales_data___Copy[[#This Row],[M-Score(1-5)]]</f>
        <v>344</v>
      </c>
      <c r="AA1403" s="2" t="str" cm="1">
        <f t="array" ref="AA14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3" s="2" t="str">
        <f>VLOOKUP(Auto_Sales_data___Copy[[#This Row],[Segment Name]],Table3[],2,FALSE)</f>
        <v>Reward &amp; Upsell</v>
      </c>
    </row>
    <row r="1404" spans="1:28" x14ac:dyDescent="0.25">
      <c r="A1404">
        <v>10389</v>
      </c>
      <c r="B1404">
        <v>49</v>
      </c>
      <c r="C1404">
        <v>81.400000000000006</v>
      </c>
      <c r="D1404">
        <v>2</v>
      </c>
      <c r="E1404">
        <v>3988.6</v>
      </c>
      <c r="F1404" s="1">
        <v>43893</v>
      </c>
      <c r="G1404" s="2" t="s">
        <v>19</v>
      </c>
      <c r="H1404" s="2" t="s">
        <v>20</v>
      </c>
      <c r="I1404">
        <v>76</v>
      </c>
      <c r="J1404" s="2" t="s">
        <v>671</v>
      </c>
      <c r="K1404" s="2" t="s">
        <v>272</v>
      </c>
      <c r="L1404" s="2" t="s">
        <v>273</v>
      </c>
      <c r="M1404" s="2" t="s">
        <v>274</v>
      </c>
      <c r="N1404" s="2" t="s">
        <v>275</v>
      </c>
      <c r="O1404" s="2" t="s">
        <v>276</v>
      </c>
      <c r="P1404" s="2" t="s">
        <v>190</v>
      </c>
      <c r="Q1404" s="2" t="s">
        <v>277</v>
      </c>
      <c r="R1404" s="2" t="s">
        <v>209</v>
      </c>
      <c r="S1404" s="2" t="s">
        <v>46</v>
      </c>
      <c r="T1404">
        <v>1622</v>
      </c>
      <c r="U1404">
        <f>VLOOKUP(Auto_Sales_data___Copy[[#This Row],[CUSTOMER_NAME]],$AF$2:$AH$90,2,FALSE)</f>
        <v>38</v>
      </c>
      <c r="V1404">
        <f>VLOOKUP(Auto_Sales_data___Copy[[#This Row],[CUSTOMER_NAME]],$AF$2:$AH$90,3,FALSE)</f>
        <v>134259.32999999996</v>
      </c>
      <c r="W1404" s="2">
        <f>6-MATCH(Auto_Sales_data___Copy[[#This Row],[DAYS_SINCE_LAST_ORDER]],Table2[R-Cutoff],1)</f>
        <v>3</v>
      </c>
      <c r="X1404" s="2">
        <f>MATCH(Auto_Sales_data___Copy[[#This Row],[Total_Orders_Per_Customer]],Table2[F-Cutoff],1)</f>
        <v>4</v>
      </c>
      <c r="Y1404" s="2">
        <f>MATCH(Auto_Sales_data___Copy[[#This Row],[Total_Sales_Per_Customer]],Table2[M-Cutoff],1)</f>
        <v>4</v>
      </c>
      <c r="Z1404" s="2" t="str">
        <f>Auto_Sales_data___Copy[[#This Row],[R-Score(1-5)]]&amp;Auto_Sales_data___Copy[[#This Row],[F-Score(1-5)]]&amp;Auto_Sales_data___Copy[[#This Row],[M-Score(1-5)]]</f>
        <v>344</v>
      </c>
      <c r="AA1404" s="2" t="str" cm="1">
        <f t="array" ref="AA14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4" s="2" t="str">
        <f>VLOOKUP(Auto_Sales_data___Copy[[#This Row],[Segment Name]],Table3[],2,FALSE)</f>
        <v>Reward &amp; Upsell</v>
      </c>
    </row>
    <row r="1405" spans="1:28" x14ac:dyDescent="0.25">
      <c r="A1405">
        <v>10390</v>
      </c>
      <c r="B1405">
        <v>35</v>
      </c>
      <c r="C1405">
        <v>65.13</v>
      </c>
      <c r="D1405">
        <v>4</v>
      </c>
      <c r="E1405">
        <v>2279.5500000000002</v>
      </c>
      <c r="F1405" s="1">
        <v>43894</v>
      </c>
      <c r="G1405" s="2" t="s">
        <v>19</v>
      </c>
      <c r="H1405" s="2" t="s">
        <v>20</v>
      </c>
      <c r="I1405">
        <v>69</v>
      </c>
      <c r="J1405" s="2" t="s">
        <v>675</v>
      </c>
      <c r="K1405" s="2" t="s">
        <v>284</v>
      </c>
      <c r="L1405" s="2" t="s">
        <v>285</v>
      </c>
      <c r="M1405" s="2" t="s">
        <v>286</v>
      </c>
      <c r="N1405" s="2" t="s">
        <v>287</v>
      </c>
      <c r="O1405" s="2" t="s">
        <v>106</v>
      </c>
      <c r="P1405" s="2" t="s">
        <v>27</v>
      </c>
      <c r="Q1405" s="2" t="s">
        <v>288</v>
      </c>
      <c r="R1405" s="2" t="s">
        <v>289</v>
      </c>
      <c r="S1405" s="2" t="s">
        <v>30</v>
      </c>
      <c r="T1405">
        <v>1722</v>
      </c>
      <c r="U1405">
        <f>VLOOKUP(Auto_Sales_data___Copy[[#This Row],[CUSTOMER_NAME]],$AF$2:$AH$90,2,FALSE)</f>
        <v>180</v>
      </c>
      <c r="V1405">
        <f>VLOOKUP(Auto_Sales_data___Copy[[#This Row],[CUSTOMER_NAME]],$AF$2:$AH$90,3,FALSE)</f>
        <v>654858.06000000017</v>
      </c>
      <c r="W1405" s="2">
        <f>6-MATCH(Auto_Sales_data___Copy[[#This Row],[DAYS_SINCE_LAST_ORDER]],Table2[R-Cutoff],1)</f>
        <v>3</v>
      </c>
      <c r="X1405" s="2">
        <f>MATCH(Auto_Sales_data___Copy[[#This Row],[Total_Orders_Per_Customer]],Table2[F-Cutoff],1)</f>
        <v>4</v>
      </c>
      <c r="Y1405" s="2">
        <f>MATCH(Auto_Sales_data___Copy[[#This Row],[Total_Sales_Per_Customer]],Table2[M-Cutoff],1)</f>
        <v>4</v>
      </c>
      <c r="Z1405" s="2" t="str">
        <f>Auto_Sales_data___Copy[[#This Row],[R-Score(1-5)]]&amp;Auto_Sales_data___Copy[[#This Row],[F-Score(1-5)]]&amp;Auto_Sales_data___Copy[[#This Row],[M-Score(1-5)]]</f>
        <v>344</v>
      </c>
      <c r="AA1405" s="2" t="str" cm="1">
        <f t="array" ref="AA14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5" s="2" t="str">
        <f>VLOOKUP(Auto_Sales_data___Copy[[#This Row],[Segment Name]],Table3[],2,FALSE)</f>
        <v>Reward &amp; Upsell</v>
      </c>
    </row>
    <row r="1406" spans="1:28" x14ac:dyDescent="0.25">
      <c r="A1406">
        <v>10390</v>
      </c>
      <c r="B1406">
        <v>37</v>
      </c>
      <c r="C1406">
        <v>132.29</v>
      </c>
      <c r="D1406">
        <v>5</v>
      </c>
      <c r="E1406">
        <v>4894.7299999999996</v>
      </c>
      <c r="F1406" s="1">
        <v>43894</v>
      </c>
      <c r="G1406" s="2" t="s">
        <v>19</v>
      </c>
      <c r="H1406" s="2" t="s">
        <v>183</v>
      </c>
      <c r="I1406">
        <v>37</v>
      </c>
      <c r="J1406" s="2" t="s">
        <v>680</v>
      </c>
      <c r="K1406" s="2" t="s">
        <v>284</v>
      </c>
      <c r="L1406" s="2" t="s">
        <v>285</v>
      </c>
      <c r="M1406" s="2" t="s">
        <v>286</v>
      </c>
      <c r="N1406" s="2" t="s">
        <v>287</v>
      </c>
      <c r="O1406" s="2" t="s">
        <v>106</v>
      </c>
      <c r="P1406" s="2" t="s">
        <v>27</v>
      </c>
      <c r="Q1406" s="2" t="s">
        <v>288</v>
      </c>
      <c r="R1406" s="2" t="s">
        <v>289</v>
      </c>
      <c r="S1406" s="2" t="s">
        <v>46</v>
      </c>
      <c r="T1406">
        <v>1845</v>
      </c>
      <c r="U1406">
        <f>VLOOKUP(Auto_Sales_data___Copy[[#This Row],[CUSTOMER_NAME]],$AF$2:$AH$90,2,FALSE)</f>
        <v>180</v>
      </c>
      <c r="V1406">
        <f>VLOOKUP(Auto_Sales_data___Copy[[#This Row],[CUSTOMER_NAME]],$AF$2:$AH$90,3,FALSE)</f>
        <v>654858.06000000017</v>
      </c>
      <c r="W1406" s="2">
        <f>6-MATCH(Auto_Sales_data___Copy[[#This Row],[DAYS_SINCE_LAST_ORDER]],Table2[R-Cutoff],1)</f>
        <v>3</v>
      </c>
      <c r="X1406" s="2">
        <f>MATCH(Auto_Sales_data___Copy[[#This Row],[Total_Orders_Per_Customer]],Table2[F-Cutoff],1)</f>
        <v>4</v>
      </c>
      <c r="Y1406" s="2">
        <f>MATCH(Auto_Sales_data___Copy[[#This Row],[Total_Sales_Per_Customer]],Table2[M-Cutoff],1)</f>
        <v>4</v>
      </c>
      <c r="Z1406" s="2" t="str">
        <f>Auto_Sales_data___Copy[[#This Row],[R-Score(1-5)]]&amp;Auto_Sales_data___Copy[[#This Row],[F-Score(1-5)]]&amp;Auto_Sales_data___Copy[[#This Row],[M-Score(1-5)]]</f>
        <v>344</v>
      </c>
      <c r="AA1406" s="2" t="str" cm="1">
        <f t="array" ref="AA14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6" s="2" t="str">
        <f>VLOOKUP(Auto_Sales_data___Copy[[#This Row],[Segment Name]],Table3[],2,FALSE)</f>
        <v>Reward &amp; Upsell</v>
      </c>
    </row>
    <row r="1407" spans="1:28" x14ac:dyDescent="0.25">
      <c r="A1407">
        <v>10390</v>
      </c>
      <c r="B1407">
        <v>46</v>
      </c>
      <c r="C1407">
        <v>52.84</v>
      </c>
      <c r="D1407">
        <v>6</v>
      </c>
      <c r="E1407">
        <v>2430.64</v>
      </c>
      <c r="F1407" s="1">
        <v>43894</v>
      </c>
      <c r="G1407" s="2" t="s">
        <v>19</v>
      </c>
      <c r="H1407" s="2" t="s">
        <v>183</v>
      </c>
      <c r="I1407">
        <v>61</v>
      </c>
      <c r="J1407" s="2" t="s">
        <v>683</v>
      </c>
      <c r="K1407" s="2" t="s">
        <v>284</v>
      </c>
      <c r="L1407" s="2" t="s">
        <v>285</v>
      </c>
      <c r="M1407" s="2" t="s">
        <v>286</v>
      </c>
      <c r="N1407" s="2" t="s">
        <v>287</v>
      </c>
      <c r="O1407" s="2" t="s">
        <v>106</v>
      </c>
      <c r="P1407" s="2" t="s">
        <v>27</v>
      </c>
      <c r="Q1407" s="2" t="s">
        <v>288</v>
      </c>
      <c r="R1407" s="2" t="s">
        <v>289</v>
      </c>
      <c r="S1407" s="2" t="s">
        <v>30</v>
      </c>
      <c r="T1407">
        <v>1919</v>
      </c>
      <c r="U1407">
        <f>VLOOKUP(Auto_Sales_data___Copy[[#This Row],[CUSTOMER_NAME]],$AF$2:$AH$90,2,FALSE)</f>
        <v>180</v>
      </c>
      <c r="V1407">
        <f>VLOOKUP(Auto_Sales_data___Copy[[#This Row],[CUSTOMER_NAME]],$AF$2:$AH$90,3,FALSE)</f>
        <v>654858.06000000017</v>
      </c>
      <c r="W1407" s="2">
        <f>6-MATCH(Auto_Sales_data___Copy[[#This Row],[DAYS_SINCE_LAST_ORDER]],Table2[R-Cutoff],1)</f>
        <v>3</v>
      </c>
      <c r="X1407" s="2">
        <f>MATCH(Auto_Sales_data___Copy[[#This Row],[Total_Orders_Per_Customer]],Table2[F-Cutoff],1)</f>
        <v>4</v>
      </c>
      <c r="Y1407" s="2">
        <f>MATCH(Auto_Sales_data___Copy[[#This Row],[Total_Sales_Per_Customer]],Table2[M-Cutoff],1)</f>
        <v>4</v>
      </c>
      <c r="Z1407" s="2" t="str">
        <f>Auto_Sales_data___Copy[[#This Row],[R-Score(1-5)]]&amp;Auto_Sales_data___Copy[[#This Row],[F-Score(1-5)]]&amp;Auto_Sales_data___Copy[[#This Row],[M-Score(1-5)]]</f>
        <v>344</v>
      </c>
      <c r="AA1407" s="2" t="str" cm="1">
        <f t="array" ref="AA14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7" s="2" t="str">
        <f>VLOOKUP(Auto_Sales_data___Copy[[#This Row],[Segment Name]],Table3[],2,FALSE)</f>
        <v>Reward &amp; Upsell</v>
      </c>
    </row>
    <row r="1408" spans="1:28" x14ac:dyDescent="0.25">
      <c r="A1408">
        <v>10390</v>
      </c>
      <c r="B1408">
        <v>45</v>
      </c>
      <c r="C1408">
        <v>150.29</v>
      </c>
      <c r="D1408">
        <v>8</v>
      </c>
      <c r="E1408">
        <v>6763.05</v>
      </c>
      <c r="F1408" s="1">
        <v>43894</v>
      </c>
      <c r="G1408" s="2" t="s">
        <v>19</v>
      </c>
      <c r="H1408" s="2" t="s">
        <v>183</v>
      </c>
      <c r="I1408">
        <v>140</v>
      </c>
      <c r="J1408" s="2" t="s">
        <v>687</v>
      </c>
      <c r="K1408" s="2" t="s">
        <v>284</v>
      </c>
      <c r="L1408" s="2" t="s">
        <v>285</v>
      </c>
      <c r="M1408" s="2" t="s">
        <v>286</v>
      </c>
      <c r="N1408" s="2" t="s">
        <v>287</v>
      </c>
      <c r="O1408" s="2" t="s">
        <v>106</v>
      </c>
      <c r="P1408" s="2" t="s">
        <v>27</v>
      </c>
      <c r="Q1408" s="2" t="s">
        <v>288</v>
      </c>
      <c r="R1408" s="2" t="s">
        <v>289</v>
      </c>
      <c r="S1408" s="2" t="s">
        <v>46</v>
      </c>
      <c r="T1408">
        <v>2018</v>
      </c>
      <c r="U1408">
        <f>VLOOKUP(Auto_Sales_data___Copy[[#This Row],[CUSTOMER_NAME]],$AF$2:$AH$90,2,FALSE)</f>
        <v>180</v>
      </c>
      <c r="V1408">
        <f>VLOOKUP(Auto_Sales_data___Copy[[#This Row],[CUSTOMER_NAME]],$AF$2:$AH$90,3,FALSE)</f>
        <v>654858.06000000017</v>
      </c>
      <c r="W1408" s="2">
        <f>6-MATCH(Auto_Sales_data___Copy[[#This Row],[DAYS_SINCE_LAST_ORDER]],Table2[R-Cutoff],1)</f>
        <v>3</v>
      </c>
      <c r="X1408" s="2">
        <f>MATCH(Auto_Sales_data___Copy[[#This Row],[Total_Orders_Per_Customer]],Table2[F-Cutoff],1)</f>
        <v>4</v>
      </c>
      <c r="Y1408" s="2">
        <f>MATCH(Auto_Sales_data___Copy[[#This Row],[Total_Sales_Per_Customer]],Table2[M-Cutoff],1)</f>
        <v>4</v>
      </c>
      <c r="Z1408" s="2" t="str">
        <f>Auto_Sales_data___Copy[[#This Row],[R-Score(1-5)]]&amp;Auto_Sales_data___Copy[[#This Row],[F-Score(1-5)]]&amp;Auto_Sales_data___Copy[[#This Row],[M-Score(1-5)]]</f>
        <v>344</v>
      </c>
      <c r="AA1408" s="2" t="str" cm="1">
        <f t="array" ref="AA14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8" s="2" t="str">
        <f>VLOOKUP(Auto_Sales_data___Copy[[#This Row],[Segment Name]],Table3[],2,FALSE)</f>
        <v>Reward &amp; Upsell</v>
      </c>
    </row>
    <row r="1409" spans="1:28" x14ac:dyDescent="0.25">
      <c r="A1409">
        <v>10391</v>
      </c>
      <c r="B1409">
        <v>33</v>
      </c>
      <c r="C1409">
        <v>252.87</v>
      </c>
      <c r="D1409">
        <v>8</v>
      </c>
      <c r="E1409">
        <v>8344.7099999999991</v>
      </c>
      <c r="F1409" s="1">
        <v>43899</v>
      </c>
      <c r="G1409" s="2" t="s">
        <v>19</v>
      </c>
      <c r="H1409" s="2" t="s">
        <v>589</v>
      </c>
      <c r="I1409">
        <v>33</v>
      </c>
      <c r="J1409" s="2" t="s">
        <v>670</v>
      </c>
      <c r="K1409" s="2" t="s">
        <v>300</v>
      </c>
      <c r="L1409" s="2" t="s">
        <v>301</v>
      </c>
      <c r="M1409" s="2" t="s">
        <v>302</v>
      </c>
      <c r="N1409" s="2" t="s">
        <v>303</v>
      </c>
      <c r="O1409" s="2" t="s">
        <v>304</v>
      </c>
      <c r="P1409" s="2" t="s">
        <v>87</v>
      </c>
      <c r="Q1409" s="2" t="s">
        <v>305</v>
      </c>
      <c r="R1409" s="2" t="s">
        <v>306</v>
      </c>
      <c r="S1409" s="2" t="s">
        <v>151</v>
      </c>
      <c r="T1409">
        <v>1591</v>
      </c>
      <c r="U1409">
        <f>VLOOKUP(Auto_Sales_data___Copy[[#This Row],[CUSTOMER_NAME]],$AF$2:$AH$90,2,FALSE)</f>
        <v>46</v>
      </c>
      <c r="V1409">
        <f>VLOOKUP(Auto_Sales_data___Copy[[#This Row],[CUSTOMER_NAME]],$AF$2:$AH$90,3,FALSE)</f>
        <v>153996.12999999998</v>
      </c>
      <c r="W1409" s="2">
        <f>6-MATCH(Auto_Sales_data___Copy[[#This Row],[DAYS_SINCE_LAST_ORDER]],Table2[R-Cutoff],1)</f>
        <v>3</v>
      </c>
      <c r="X1409" s="2">
        <f>MATCH(Auto_Sales_data___Copy[[#This Row],[Total_Orders_Per_Customer]],Table2[F-Cutoff],1)</f>
        <v>4</v>
      </c>
      <c r="Y1409" s="2">
        <f>MATCH(Auto_Sales_data___Copy[[#This Row],[Total_Sales_Per_Customer]],Table2[M-Cutoff],1)</f>
        <v>4</v>
      </c>
      <c r="Z1409" s="2" t="str">
        <f>Auto_Sales_data___Copy[[#This Row],[R-Score(1-5)]]&amp;Auto_Sales_data___Copy[[#This Row],[F-Score(1-5)]]&amp;Auto_Sales_data___Copy[[#This Row],[M-Score(1-5)]]</f>
        <v>344</v>
      </c>
      <c r="AA1409" s="2" t="str" cm="1">
        <f t="array" ref="AA14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9" s="2" t="str">
        <f>VLOOKUP(Auto_Sales_data___Copy[[#This Row],[Segment Name]],Table3[],2,FALSE)</f>
        <v>Reward &amp; Upsell</v>
      </c>
    </row>
    <row r="1410" spans="1:28" x14ac:dyDescent="0.25">
      <c r="A1410">
        <v>10391</v>
      </c>
      <c r="B1410">
        <v>24</v>
      </c>
      <c r="C1410">
        <v>168.42</v>
      </c>
      <c r="D1410">
        <v>1</v>
      </c>
      <c r="E1410">
        <v>4042.08</v>
      </c>
      <c r="F1410" s="1">
        <v>43899</v>
      </c>
      <c r="G1410" s="2" t="s">
        <v>19</v>
      </c>
      <c r="H1410" s="2" t="s">
        <v>589</v>
      </c>
      <c r="I1410">
        <v>44</v>
      </c>
      <c r="J1410" s="2" t="s">
        <v>673</v>
      </c>
      <c r="K1410" s="2" t="s">
        <v>300</v>
      </c>
      <c r="L1410" s="2" t="s">
        <v>301</v>
      </c>
      <c r="M1410" s="2" t="s">
        <v>302</v>
      </c>
      <c r="N1410" s="2" t="s">
        <v>303</v>
      </c>
      <c r="O1410" s="2" t="s">
        <v>304</v>
      </c>
      <c r="P1410" s="2" t="s">
        <v>87</v>
      </c>
      <c r="Q1410" s="2" t="s">
        <v>305</v>
      </c>
      <c r="R1410" s="2" t="s">
        <v>306</v>
      </c>
      <c r="S1410" s="2" t="s">
        <v>46</v>
      </c>
      <c r="T1410">
        <v>1666</v>
      </c>
      <c r="U1410">
        <f>VLOOKUP(Auto_Sales_data___Copy[[#This Row],[CUSTOMER_NAME]],$AF$2:$AH$90,2,FALSE)</f>
        <v>46</v>
      </c>
      <c r="V1410">
        <f>VLOOKUP(Auto_Sales_data___Copy[[#This Row],[CUSTOMER_NAME]],$AF$2:$AH$90,3,FALSE)</f>
        <v>153996.12999999998</v>
      </c>
      <c r="W1410" s="2">
        <f>6-MATCH(Auto_Sales_data___Copy[[#This Row],[DAYS_SINCE_LAST_ORDER]],Table2[R-Cutoff],1)</f>
        <v>3</v>
      </c>
      <c r="X1410" s="2">
        <f>MATCH(Auto_Sales_data___Copy[[#This Row],[Total_Orders_Per_Customer]],Table2[F-Cutoff],1)</f>
        <v>4</v>
      </c>
      <c r="Y1410" s="2">
        <f>MATCH(Auto_Sales_data___Copy[[#This Row],[Total_Sales_Per_Customer]],Table2[M-Cutoff],1)</f>
        <v>4</v>
      </c>
      <c r="Z1410" s="2" t="str">
        <f>Auto_Sales_data___Copy[[#This Row],[R-Score(1-5)]]&amp;Auto_Sales_data___Copy[[#This Row],[F-Score(1-5)]]&amp;Auto_Sales_data___Copy[[#This Row],[M-Score(1-5)]]</f>
        <v>344</v>
      </c>
      <c r="AA1410" s="2" t="str" cm="1">
        <f t="array" ref="AA14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0" s="2" t="str">
        <f>VLOOKUP(Auto_Sales_data___Copy[[#This Row],[Segment Name]],Table3[],2,FALSE)</f>
        <v>Reward &amp; Upsell</v>
      </c>
    </row>
    <row r="1411" spans="1:28" x14ac:dyDescent="0.25">
      <c r="A1411">
        <v>10396</v>
      </c>
      <c r="B1411">
        <v>49</v>
      </c>
      <c r="C1411">
        <v>116.75</v>
      </c>
      <c r="D1411">
        <v>6</v>
      </c>
      <c r="E1411">
        <v>5720.75</v>
      </c>
      <c r="F1411" s="1">
        <v>43913</v>
      </c>
      <c r="G1411" s="2" t="s">
        <v>19</v>
      </c>
      <c r="H1411" s="2" t="s">
        <v>642</v>
      </c>
      <c r="I1411">
        <v>122</v>
      </c>
      <c r="J1411" s="2" t="s">
        <v>672</v>
      </c>
      <c r="K1411" s="2" t="s">
        <v>284</v>
      </c>
      <c r="L1411" s="2" t="s">
        <v>285</v>
      </c>
      <c r="M1411" s="2" t="s">
        <v>286</v>
      </c>
      <c r="N1411" s="2" t="s">
        <v>287</v>
      </c>
      <c r="O1411" s="2" t="s">
        <v>106</v>
      </c>
      <c r="P1411" s="2" t="s">
        <v>27</v>
      </c>
      <c r="Q1411" s="2" t="s">
        <v>288</v>
      </c>
      <c r="R1411" s="2" t="s">
        <v>289</v>
      </c>
      <c r="S1411" s="2" t="s">
        <v>46</v>
      </c>
      <c r="T1411">
        <v>1628</v>
      </c>
      <c r="U1411">
        <f>VLOOKUP(Auto_Sales_data___Copy[[#This Row],[CUSTOMER_NAME]],$AF$2:$AH$90,2,FALSE)</f>
        <v>180</v>
      </c>
      <c r="V1411">
        <f>VLOOKUP(Auto_Sales_data___Copy[[#This Row],[CUSTOMER_NAME]],$AF$2:$AH$90,3,FALSE)</f>
        <v>654858.06000000017</v>
      </c>
      <c r="W1411" s="2">
        <f>6-MATCH(Auto_Sales_data___Copy[[#This Row],[DAYS_SINCE_LAST_ORDER]],Table2[R-Cutoff],1)</f>
        <v>3</v>
      </c>
      <c r="X1411" s="2">
        <f>MATCH(Auto_Sales_data___Copy[[#This Row],[Total_Orders_Per_Customer]],Table2[F-Cutoff],1)</f>
        <v>4</v>
      </c>
      <c r="Y1411" s="2">
        <f>MATCH(Auto_Sales_data___Copy[[#This Row],[Total_Sales_Per_Customer]],Table2[M-Cutoff],1)</f>
        <v>4</v>
      </c>
      <c r="Z1411" s="2" t="str">
        <f>Auto_Sales_data___Copy[[#This Row],[R-Score(1-5)]]&amp;Auto_Sales_data___Copy[[#This Row],[F-Score(1-5)]]&amp;Auto_Sales_data___Copy[[#This Row],[M-Score(1-5)]]</f>
        <v>344</v>
      </c>
      <c r="AA1411" s="2" t="str" cm="1">
        <f t="array" ref="AA14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1" s="2" t="str">
        <f>VLOOKUP(Auto_Sales_data___Copy[[#This Row],[Segment Name]],Table3[],2,FALSE)</f>
        <v>Reward &amp; Upsell</v>
      </c>
    </row>
    <row r="1412" spans="1:28" x14ac:dyDescent="0.25">
      <c r="A1412">
        <v>10396</v>
      </c>
      <c r="B1412">
        <v>27</v>
      </c>
      <c r="C1412">
        <v>83.2</v>
      </c>
      <c r="D1412">
        <v>7</v>
      </c>
      <c r="E1412">
        <v>2246.4</v>
      </c>
      <c r="F1412" s="1">
        <v>43913</v>
      </c>
      <c r="G1412" s="2" t="s">
        <v>19</v>
      </c>
      <c r="H1412" s="2" t="s">
        <v>589</v>
      </c>
      <c r="I1412">
        <v>88</v>
      </c>
      <c r="J1412" s="2" t="s">
        <v>681</v>
      </c>
      <c r="K1412" s="2" t="s">
        <v>284</v>
      </c>
      <c r="L1412" s="2" t="s">
        <v>285</v>
      </c>
      <c r="M1412" s="2" t="s">
        <v>286</v>
      </c>
      <c r="N1412" s="2" t="s">
        <v>287</v>
      </c>
      <c r="O1412" s="2" t="s">
        <v>106</v>
      </c>
      <c r="P1412" s="2" t="s">
        <v>27</v>
      </c>
      <c r="Q1412" s="2" t="s">
        <v>288</v>
      </c>
      <c r="R1412" s="2" t="s">
        <v>289</v>
      </c>
      <c r="S1412" s="2" t="s">
        <v>30</v>
      </c>
      <c r="T1412">
        <v>1852</v>
      </c>
      <c r="U1412">
        <f>VLOOKUP(Auto_Sales_data___Copy[[#This Row],[CUSTOMER_NAME]],$AF$2:$AH$90,2,FALSE)</f>
        <v>180</v>
      </c>
      <c r="V1412">
        <f>VLOOKUP(Auto_Sales_data___Copy[[#This Row],[CUSTOMER_NAME]],$AF$2:$AH$90,3,FALSE)</f>
        <v>654858.06000000017</v>
      </c>
      <c r="W1412" s="2">
        <f>6-MATCH(Auto_Sales_data___Copy[[#This Row],[DAYS_SINCE_LAST_ORDER]],Table2[R-Cutoff],1)</f>
        <v>3</v>
      </c>
      <c r="X1412" s="2">
        <f>MATCH(Auto_Sales_data___Copy[[#This Row],[Total_Orders_Per_Customer]],Table2[F-Cutoff],1)</f>
        <v>4</v>
      </c>
      <c r="Y1412" s="2">
        <f>MATCH(Auto_Sales_data___Copy[[#This Row],[Total_Sales_Per_Customer]],Table2[M-Cutoff],1)</f>
        <v>4</v>
      </c>
      <c r="Z1412" s="2" t="str">
        <f>Auto_Sales_data___Copy[[#This Row],[R-Score(1-5)]]&amp;Auto_Sales_data___Copy[[#This Row],[F-Score(1-5)]]&amp;Auto_Sales_data___Copy[[#This Row],[M-Score(1-5)]]</f>
        <v>344</v>
      </c>
      <c r="AA1412" s="2" t="str" cm="1">
        <f t="array" ref="AA14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2" s="2" t="str">
        <f>VLOOKUP(Auto_Sales_data___Copy[[#This Row],[Segment Name]],Table3[],2,FALSE)</f>
        <v>Reward &amp; Upsell</v>
      </c>
    </row>
    <row r="1413" spans="1:28" x14ac:dyDescent="0.25">
      <c r="A1413">
        <v>10396</v>
      </c>
      <c r="B1413">
        <v>37</v>
      </c>
      <c r="C1413">
        <v>90.57</v>
      </c>
      <c r="D1413">
        <v>8</v>
      </c>
      <c r="E1413">
        <v>3351.09</v>
      </c>
      <c r="F1413" s="1">
        <v>43913</v>
      </c>
      <c r="G1413" s="2" t="s">
        <v>19</v>
      </c>
      <c r="H1413" s="2" t="s">
        <v>589</v>
      </c>
      <c r="I1413">
        <v>83</v>
      </c>
      <c r="J1413" s="2" t="s">
        <v>686</v>
      </c>
      <c r="K1413" s="2" t="s">
        <v>284</v>
      </c>
      <c r="L1413" s="2" t="s">
        <v>285</v>
      </c>
      <c r="M1413" s="2" t="s">
        <v>286</v>
      </c>
      <c r="N1413" s="2" t="s">
        <v>287</v>
      </c>
      <c r="O1413" s="2" t="s">
        <v>106</v>
      </c>
      <c r="P1413" s="2" t="s">
        <v>27</v>
      </c>
      <c r="Q1413" s="2" t="s">
        <v>288</v>
      </c>
      <c r="R1413" s="2" t="s">
        <v>289</v>
      </c>
      <c r="S1413" s="2" t="s">
        <v>46</v>
      </c>
      <c r="T1413">
        <v>1973</v>
      </c>
      <c r="U1413">
        <f>VLOOKUP(Auto_Sales_data___Copy[[#This Row],[CUSTOMER_NAME]],$AF$2:$AH$90,2,FALSE)</f>
        <v>180</v>
      </c>
      <c r="V1413">
        <f>VLOOKUP(Auto_Sales_data___Copy[[#This Row],[CUSTOMER_NAME]],$AF$2:$AH$90,3,FALSE)</f>
        <v>654858.06000000017</v>
      </c>
      <c r="W1413" s="2">
        <f>6-MATCH(Auto_Sales_data___Copy[[#This Row],[DAYS_SINCE_LAST_ORDER]],Table2[R-Cutoff],1)</f>
        <v>3</v>
      </c>
      <c r="X1413" s="2">
        <f>MATCH(Auto_Sales_data___Copy[[#This Row],[Total_Orders_Per_Customer]],Table2[F-Cutoff],1)</f>
        <v>4</v>
      </c>
      <c r="Y1413" s="2">
        <f>MATCH(Auto_Sales_data___Copy[[#This Row],[Total_Sales_Per_Customer]],Table2[M-Cutoff],1)</f>
        <v>4</v>
      </c>
      <c r="Z1413" s="2" t="str">
        <f>Auto_Sales_data___Copy[[#This Row],[R-Score(1-5)]]&amp;Auto_Sales_data___Copy[[#This Row],[F-Score(1-5)]]&amp;Auto_Sales_data___Copy[[#This Row],[M-Score(1-5)]]</f>
        <v>344</v>
      </c>
      <c r="AA1413" s="2" t="str" cm="1">
        <f t="array" ref="AA14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3" s="2" t="str">
        <f>VLOOKUP(Auto_Sales_data___Copy[[#This Row],[Segment Name]],Table3[],2,FALSE)</f>
        <v>Reward &amp; Upsell</v>
      </c>
    </row>
    <row r="1414" spans="1:28" x14ac:dyDescent="0.25">
      <c r="A1414">
        <v>10398</v>
      </c>
      <c r="B1414">
        <v>43</v>
      </c>
      <c r="C1414">
        <v>129.12</v>
      </c>
      <c r="D1414">
        <v>16</v>
      </c>
      <c r="E1414">
        <v>5552.16</v>
      </c>
      <c r="F1414" s="1">
        <v>43920</v>
      </c>
      <c r="G1414" s="2" t="s">
        <v>19</v>
      </c>
      <c r="H1414" s="2" t="s">
        <v>607</v>
      </c>
      <c r="I1414">
        <v>109</v>
      </c>
      <c r="J1414" s="2" t="s">
        <v>669</v>
      </c>
      <c r="K1414" s="2" t="s">
        <v>31</v>
      </c>
      <c r="L1414" s="2" t="s">
        <v>32</v>
      </c>
      <c r="M1414" s="2" t="s">
        <v>33</v>
      </c>
      <c r="N1414" s="2" t="s">
        <v>34</v>
      </c>
      <c r="O1414" s="2" t="s">
        <v>35</v>
      </c>
      <c r="P1414" s="2" t="s">
        <v>36</v>
      </c>
      <c r="Q1414" s="2" t="s">
        <v>37</v>
      </c>
      <c r="R1414" s="2" t="s">
        <v>38</v>
      </c>
      <c r="S1414" s="2" t="s">
        <v>46</v>
      </c>
      <c r="T1414">
        <v>1546</v>
      </c>
      <c r="U1414">
        <f>VLOOKUP(Auto_Sales_data___Copy[[#This Row],[CUSTOMER_NAME]],$AF$2:$AH$90,2,FALSE)</f>
        <v>41</v>
      </c>
      <c r="V1414">
        <f>VLOOKUP(Auto_Sales_data___Copy[[#This Row],[CUSTOMER_NAME]],$AF$2:$AH$90,3,FALSE)</f>
        <v>135042.94</v>
      </c>
      <c r="W1414" s="2">
        <f>6-MATCH(Auto_Sales_data___Copy[[#This Row],[DAYS_SINCE_LAST_ORDER]],Table2[R-Cutoff],1)</f>
        <v>3</v>
      </c>
      <c r="X1414" s="2">
        <f>MATCH(Auto_Sales_data___Copy[[#This Row],[Total_Orders_Per_Customer]],Table2[F-Cutoff],1)</f>
        <v>4</v>
      </c>
      <c r="Y1414" s="2">
        <f>MATCH(Auto_Sales_data___Copy[[#This Row],[Total_Sales_Per_Customer]],Table2[M-Cutoff],1)</f>
        <v>4</v>
      </c>
      <c r="Z1414" s="2" t="str">
        <f>Auto_Sales_data___Copy[[#This Row],[R-Score(1-5)]]&amp;Auto_Sales_data___Copy[[#This Row],[F-Score(1-5)]]&amp;Auto_Sales_data___Copy[[#This Row],[M-Score(1-5)]]</f>
        <v>344</v>
      </c>
      <c r="AA1414" s="2" t="str" cm="1">
        <f t="array" ref="AA14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4" s="2" t="str">
        <f>VLOOKUP(Auto_Sales_data___Copy[[#This Row],[Segment Name]],Table3[],2,FALSE)</f>
        <v>Reward &amp; Upsell</v>
      </c>
    </row>
    <row r="1415" spans="1:28" x14ac:dyDescent="0.25">
      <c r="A1415">
        <v>10398</v>
      </c>
      <c r="B1415">
        <v>28</v>
      </c>
      <c r="C1415">
        <v>57.55</v>
      </c>
      <c r="D1415">
        <v>3</v>
      </c>
      <c r="E1415">
        <v>1611.4</v>
      </c>
      <c r="F1415" s="1">
        <v>43920</v>
      </c>
      <c r="G1415" s="2" t="s">
        <v>19</v>
      </c>
      <c r="H1415" s="2" t="s">
        <v>607</v>
      </c>
      <c r="I1415">
        <v>68</v>
      </c>
      <c r="J1415" s="2" t="s">
        <v>678</v>
      </c>
      <c r="K1415" s="2" t="s">
        <v>31</v>
      </c>
      <c r="L1415" s="2" t="s">
        <v>32</v>
      </c>
      <c r="M1415" s="2" t="s">
        <v>33</v>
      </c>
      <c r="N1415" s="2" t="s">
        <v>34</v>
      </c>
      <c r="O1415" s="2" t="s">
        <v>35</v>
      </c>
      <c r="P1415" s="2" t="s">
        <v>36</v>
      </c>
      <c r="Q1415" s="2" t="s">
        <v>37</v>
      </c>
      <c r="R1415" s="2" t="s">
        <v>38</v>
      </c>
      <c r="S1415" s="2" t="s">
        <v>30</v>
      </c>
      <c r="T1415">
        <v>1771</v>
      </c>
      <c r="U1415">
        <f>VLOOKUP(Auto_Sales_data___Copy[[#This Row],[CUSTOMER_NAME]],$AF$2:$AH$90,2,FALSE)</f>
        <v>41</v>
      </c>
      <c r="V1415">
        <f>VLOOKUP(Auto_Sales_data___Copy[[#This Row],[CUSTOMER_NAME]],$AF$2:$AH$90,3,FALSE)</f>
        <v>135042.94</v>
      </c>
      <c r="W1415" s="2">
        <f>6-MATCH(Auto_Sales_data___Copy[[#This Row],[DAYS_SINCE_LAST_ORDER]],Table2[R-Cutoff],1)</f>
        <v>3</v>
      </c>
      <c r="X1415" s="2">
        <f>MATCH(Auto_Sales_data___Copy[[#This Row],[Total_Orders_Per_Customer]],Table2[F-Cutoff],1)</f>
        <v>4</v>
      </c>
      <c r="Y1415" s="2">
        <f>MATCH(Auto_Sales_data___Copy[[#This Row],[Total_Sales_Per_Customer]],Table2[M-Cutoff],1)</f>
        <v>4</v>
      </c>
      <c r="Z1415" s="2" t="str">
        <f>Auto_Sales_data___Copy[[#This Row],[R-Score(1-5)]]&amp;Auto_Sales_data___Copy[[#This Row],[F-Score(1-5)]]&amp;Auto_Sales_data___Copy[[#This Row],[M-Score(1-5)]]</f>
        <v>344</v>
      </c>
      <c r="AA1415" s="2" t="str" cm="1">
        <f t="array" ref="AA14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5" s="2" t="str">
        <f>VLOOKUP(Auto_Sales_data___Copy[[#This Row],[Segment Name]],Table3[],2,FALSE)</f>
        <v>Reward &amp; Upsell</v>
      </c>
    </row>
    <row r="1416" spans="1:28" x14ac:dyDescent="0.25">
      <c r="A1416">
        <v>10398</v>
      </c>
      <c r="B1416">
        <v>34</v>
      </c>
      <c r="C1416">
        <v>71.67</v>
      </c>
      <c r="D1416">
        <v>13</v>
      </c>
      <c r="E1416">
        <v>2436.7800000000002</v>
      </c>
      <c r="F1416" s="1">
        <v>43920</v>
      </c>
      <c r="G1416" s="2" t="s">
        <v>19</v>
      </c>
      <c r="H1416" s="2" t="s">
        <v>589</v>
      </c>
      <c r="I1416">
        <v>65</v>
      </c>
      <c r="J1416" s="2" t="s">
        <v>684</v>
      </c>
      <c r="K1416" s="2" t="s">
        <v>31</v>
      </c>
      <c r="L1416" s="2" t="s">
        <v>32</v>
      </c>
      <c r="M1416" s="2" t="s">
        <v>33</v>
      </c>
      <c r="N1416" s="2" t="s">
        <v>34</v>
      </c>
      <c r="O1416" s="2" t="s">
        <v>35</v>
      </c>
      <c r="P1416" s="2" t="s">
        <v>36</v>
      </c>
      <c r="Q1416" s="2" t="s">
        <v>37</v>
      </c>
      <c r="R1416" s="2" t="s">
        <v>38</v>
      </c>
      <c r="S1416" s="2" t="s">
        <v>30</v>
      </c>
      <c r="T1416">
        <v>1918</v>
      </c>
      <c r="U1416">
        <f>VLOOKUP(Auto_Sales_data___Copy[[#This Row],[CUSTOMER_NAME]],$AF$2:$AH$90,2,FALSE)</f>
        <v>41</v>
      </c>
      <c r="V1416">
        <f>VLOOKUP(Auto_Sales_data___Copy[[#This Row],[CUSTOMER_NAME]],$AF$2:$AH$90,3,FALSE)</f>
        <v>135042.94</v>
      </c>
      <c r="W1416" s="2">
        <f>6-MATCH(Auto_Sales_data___Copy[[#This Row],[DAYS_SINCE_LAST_ORDER]],Table2[R-Cutoff],1)</f>
        <v>3</v>
      </c>
      <c r="X1416" s="2">
        <f>MATCH(Auto_Sales_data___Copy[[#This Row],[Total_Orders_Per_Customer]],Table2[F-Cutoff],1)</f>
        <v>4</v>
      </c>
      <c r="Y1416" s="2">
        <f>MATCH(Auto_Sales_data___Copy[[#This Row],[Total_Sales_Per_Customer]],Table2[M-Cutoff],1)</f>
        <v>4</v>
      </c>
      <c r="Z1416" s="2" t="str">
        <f>Auto_Sales_data___Copy[[#This Row],[R-Score(1-5)]]&amp;Auto_Sales_data___Copy[[#This Row],[F-Score(1-5)]]&amp;Auto_Sales_data___Copy[[#This Row],[M-Score(1-5)]]</f>
        <v>344</v>
      </c>
      <c r="AA1416" s="2" t="str" cm="1">
        <f t="array" ref="AA14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6" s="2" t="str">
        <f>VLOOKUP(Auto_Sales_data___Copy[[#This Row],[Segment Name]],Table3[],2,FALSE)</f>
        <v>Reward &amp; Upsell</v>
      </c>
    </row>
    <row r="1417" spans="1:28" x14ac:dyDescent="0.25">
      <c r="A1417">
        <v>10398</v>
      </c>
      <c r="B1417">
        <v>41</v>
      </c>
      <c r="C1417">
        <v>68.239999999999995</v>
      </c>
      <c r="D1417">
        <v>2</v>
      </c>
      <c r="E1417">
        <v>2797.84</v>
      </c>
      <c r="F1417" s="1">
        <v>43920</v>
      </c>
      <c r="G1417" s="2" t="s">
        <v>19</v>
      </c>
      <c r="H1417" s="2" t="s">
        <v>607</v>
      </c>
      <c r="I1417">
        <v>68</v>
      </c>
      <c r="J1417" s="2" t="s">
        <v>688</v>
      </c>
      <c r="K1417" s="2" t="s">
        <v>31</v>
      </c>
      <c r="L1417" s="2" t="s">
        <v>32</v>
      </c>
      <c r="M1417" s="2" t="s">
        <v>33</v>
      </c>
      <c r="N1417" s="2" t="s">
        <v>34</v>
      </c>
      <c r="O1417" s="2" t="s">
        <v>35</v>
      </c>
      <c r="P1417" s="2" t="s">
        <v>36</v>
      </c>
      <c r="Q1417" s="2" t="s">
        <v>37</v>
      </c>
      <c r="R1417" s="2" t="s">
        <v>38</v>
      </c>
      <c r="S1417" s="2" t="s">
        <v>30</v>
      </c>
      <c r="T1417">
        <v>2019</v>
      </c>
      <c r="U1417">
        <f>VLOOKUP(Auto_Sales_data___Copy[[#This Row],[CUSTOMER_NAME]],$AF$2:$AH$90,2,FALSE)</f>
        <v>41</v>
      </c>
      <c r="V1417">
        <f>VLOOKUP(Auto_Sales_data___Copy[[#This Row],[CUSTOMER_NAME]],$AF$2:$AH$90,3,FALSE)</f>
        <v>135042.94</v>
      </c>
      <c r="W1417" s="2">
        <f>6-MATCH(Auto_Sales_data___Copy[[#This Row],[DAYS_SINCE_LAST_ORDER]],Table2[R-Cutoff],1)</f>
        <v>3</v>
      </c>
      <c r="X1417" s="2">
        <f>MATCH(Auto_Sales_data___Copy[[#This Row],[Total_Orders_Per_Customer]],Table2[F-Cutoff],1)</f>
        <v>4</v>
      </c>
      <c r="Y1417" s="2">
        <f>MATCH(Auto_Sales_data___Copy[[#This Row],[Total_Sales_Per_Customer]],Table2[M-Cutoff],1)</f>
        <v>4</v>
      </c>
      <c r="Z1417" s="2" t="str">
        <f>Auto_Sales_data___Copy[[#This Row],[R-Score(1-5)]]&amp;Auto_Sales_data___Copy[[#This Row],[F-Score(1-5)]]&amp;Auto_Sales_data___Copy[[#This Row],[M-Score(1-5)]]</f>
        <v>344</v>
      </c>
      <c r="AA1417" s="2" t="str" cm="1">
        <f t="array" ref="AA14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7" s="2" t="str">
        <f>VLOOKUP(Auto_Sales_data___Copy[[#This Row],[Segment Name]],Table3[],2,FALSE)</f>
        <v>Reward &amp; Upsell</v>
      </c>
    </row>
    <row r="1418" spans="1:28" x14ac:dyDescent="0.25">
      <c r="A1418">
        <v>10400</v>
      </c>
      <c r="B1418">
        <v>24</v>
      </c>
      <c r="C1418">
        <v>61.66</v>
      </c>
      <c r="D1418">
        <v>2</v>
      </c>
      <c r="E1418">
        <v>1479.84</v>
      </c>
      <c r="F1418" s="1">
        <v>43922</v>
      </c>
      <c r="G1418" s="2" t="s">
        <v>19</v>
      </c>
      <c r="H1418" s="2" t="s">
        <v>607</v>
      </c>
      <c r="I1418">
        <v>68</v>
      </c>
      <c r="J1418" s="2" t="s">
        <v>678</v>
      </c>
      <c r="K1418" s="2" t="s">
        <v>418</v>
      </c>
      <c r="L1418" s="2" t="s">
        <v>419</v>
      </c>
      <c r="M1418" s="2" t="s">
        <v>420</v>
      </c>
      <c r="N1418" s="2" t="s">
        <v>421</v>
      </c>
      <c r="O1418" s="2" t="s">
        <v>58</v>
      </c>
      <c r="P1418" s="2" t="s">
        <v>27</v>
      </c>
      <c r="Q1418" s="2" t="s">
        <v>93</v>
      </c>
      <c r="R1418" s="2" t="s">
        <v>422</v>
      </c>
      <c r="S1418" s="2" t="s">
        <v>30</v>
      </c>
      <c r="T1418">
        <v>1770</v>
      </c>
      <c r="U1418">
        <f>VLOOKUP(Auto_Sales_data___Copy[[#This Row],[CUSTOMER_NAME]],$AF$2:$AH$90,2,FALSE)</f>
        <v>40</v>
      </c>
      <c r="V1418">
        <f>VLOOKUP(Auto_Sales_data___Copy[[#This Row],[CUSTOMER_NAME]],$AF$2:$AH$90,3,FALSE)</f>
        <v>160010.27000000005</v>
      </c>
      <c r="W1418" s="2">
        <f>6-MATCH(Auto_Sales_data___Copy[[#This Row],[DAYS_SINCE_LAST_ORDER]],Table2[R-Cutoff],1)</f>
        <v>3</v>
      </c>
      <c r="X1418" s="2">
        <f>MATCH(Auto_Sales_data___Copy[[#This Row],[Total_Orders_Per_Customer]],Table2[F-Cutoff],1)</f>
        <v>4</v>
      </c>
      <c r="Y1418" s="2">
        <f>MATCH(Auto_Sales_data___Copy[[#This Row],[Total_Sales_Per_Customer]],Table2[M-Cutoff],1)</f>
        <v>4</v>
      </c>
      <c r="Z1418" s="2" t="str">
        <f>Auto_Sales_data___Copy[[#This Row],[R-Score(1-5)]]&amp;Auto_Sales_data___Copy[[#This Row],[F-Score(1-5)]]&amp;Auto_Sales_data___Copy[[#This Row],[M-Score(1-5)]]</f>
        <v>344</v>
      </c>
      <c r="AA1418" s="2" t="str" cm="1">
        <f t="array" ref="AA14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8" s="2" t="str">
        <f>VLOOKUP(Auto_Sales_data___Copy[[#This Row],[Segment Name]],Table3[],2,FALSE)</f>
        <v>Reward &amp; Upsell</v>
      </c>
    </row>
    <row r="1419" spans="1:28" x14ac:dyDescent="0.25">
      <c r="A1419">
        <v>10400</v>
      </c>
      <c r="B1419">
        <v>38</v>
      </c>
      <c r="C1419">
        <v>57.2</v>
      </c>
      <c r="D1419">
        <v>3</v>
      </c>
      <c r="E1419">
        <v>2173.6</v>
      </c>
      <c r="F1419" s="1">
        <v>43922</v>
      </c>
      <c r="G1419" s="2" t="s">
        <v>19</v>
      </c>
      <c r="H1419" s="2" t="s">
        <v>589</v>
      </c>
      <c r="I1419">
        <v>65</v>
      </c>
      <c r="J1419" s="2" t="s">
        <v>684</v>
      </c>
      <c r="K1419" s="2" t="s">
        <v>418</v>
      </c>
      <c r="L1419" s="2" t="s">
        <v>419</v>
      </c>
      <c r="M1419" s="2" t="s">
        <v>420</v>
      </c>
      <c r="N1419" s="2" t="s">
        <v>421</v>
      </c>
      <c r="O1419" s="2" t="s">
        <v>58</v>
      </c>
      <c r="P1419" s="2" t="s">
        <v>27</v>
      </c>
      <c r="Q1419" s="2" t="s">
        <v>93</v>
      </c>
      <c r="R1419" s="2" t="s">
        <v>422</v>
      </c>
      <c r="S1419" s="2" t="s">
        <v>30</v>
      </c>
      <c r="T1419">
        <v>1917</v>
      </c>
      <c r="U1419">
        <f>VLOOKUP(Auto_Sales_data___Copy[[#This Row],[CUSTOMER_NAME]],$AF$2:$AH$90,2,FALSE)</f>
        <v>40</v>
      </c>
      <c r="V1419">
        <f>VLOOKUP(Auto_Sales_data___Copy[[#This Row],[CUSTOMER_NAME]],$AF$2:$AH$90,3,FALSE)</f>
        <v>160010.27000000005</v>
      </c>
      <c r="W1419" s="2">
        <f>6-MATCH(Auto_Sales_data___Copy[[#This Row],[DAYS_SINCE_LAST_ORDER]],Table2[R-Cutoff],1)</f>
        <v>3</v>
      </c>
      <c r="X1419" s="2">
        <f>MATCH(Auto_Sales_data___Copy[[#This Row],[Total_Orders_Per_Customer]],Table2[F-Cutoff],1)</f>
        <v>4</v>
      </c>
      <c r="Y1419" s="2">
        <f>MATCH(Auto_Sales_data___Copy[[#This Row],[Total_Sales_Per_Customer]],Table2[M-Cutoff],1)</f>
        <v>4</v>
      </c>
      <c r="Z1419" s="2" t="str">
        <f>Auto_Sales_data___Copy[[#This Row],[R-Score(1-5)]]&amp;Auto_Sales_data___Copy[[#This Row],[F-Score(1-5)]]&amp;Auto_Sales_data___Copy[[#This Row],[M-Score(1-5)]]</f>
        <v>344</v>
      </c>
      <c r="AA1419" s="2" t="str" cm="1">
        <f t="array" ref="AA14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9" s="2" t="str">
        <f>VLOOKUP(Auto_Sales_data___Copy[[#This Row],[Segment Name]],Table3[],2,FALSE)</f>
        <v>Reward &amp; Upsell</v>
      </c>
    </row>
    <row r="1420" spans="1:28" x14ac:dyDescent="0.25">
      <c r="A1420">
        <v>10400</v>
      </c>
      <c r="B1420">
        <v>42</v>
      </c>
      <c r="C1420">
        <v>72.959999999999994</v>
      </c>
      <c r="D1420">
        <v>8</v>
      </c>
      <c r="E1420">
        <v>3064.32</v>
      </c>
      <c r="F1420" s="1">
        <v>43922</v>
      </c>
      <c r="G1420" s="2" t="s">
        <v>19</v>
      </c>
      <c r="H1420" s="2" t="s">
        <v>589</v>
      </c>
      <c r="I1420">
        <v>83</v>
      </c>
      <c r="J1420" s="2" t="s">
        <v>686</v>
      </c>
      <c r="K1420" s="2" t="s">
        <v>418</v>
      </c>
      <c r="L1420" s="2" t="s">
        <v>419</v>
      </c>
      <c r="M1420" s="2" t="s">
        <v>420</v>
      </c>
      <c r="N1420" s="2" t="s">
        <v>421</v>
      </c>
      <c r="O1420" s="2" t="s">
        <v>58</v>
      </c>
      <c r="P1420" s="2" t="s">
        <v>27</v>
      </c>
      <c r="Q1420" s="2" t="s">
        <v>93</v>
      </c>
      <c r="R1420" s="2" t="s">
        <v>422</v>
      </c>
      <c r="S1420" s="2" t="s">
        <v>46</v>
      </c>
      <c r="T1420">
        <v>1965</v>
      </c>
      <c r="U1420">
        <f>VLOOKUP(Auto_Sales_data___Copy[[#This Row],[CUSTOMER_NAME]],$AF$2:$AH$90,2,FALSE)</f>
        <v>40</v>
      </c>
      <c r="V1420">
        <f>VLOOKUP(Auto_Sales_data___Copy[[#This Row],[CUSTOMER_NAME]],$AF$2:$AH$90,3,FALSE)</f>
        <v>160010.27000000005</v>
      </c>
      <c r="W1420" s="2">
        <f>6-MATCH(Auto_Sales_data___Copy[[#This Row],[DAYS_SINCE_LAST_ORDER]],Table2[R-Cutoff],1)</f>
        <v>3</v>
      </c>
      <c r="X1420" s="2">
        <f>MATCH(Auto_Sales_data___Copy[[#This Row],[Total_Orders_Per_Customer]],Table2[F-Cutoff],1)</f>
        <v>4</v>
      </c>
      <c r="Y1420" s="2">
        <f>MATCH(Auto_Sales_data___Copy[[#This Row],[Total_Sales_Per_Customer]],Table2[M-Cutoff],1)</f>
        <v>4</v>
      </c>
      <c r="Z1420" s="2" t="str">
        <f>Auto_Sales_data___Copy[[#This Row],[R-Score(1-5)]]&amp;Auto_Sales_data___Copy[[#This Row],[F-Score(1-5)]]&amp;Auto_Sales_data___Copy[[#This Row],[M-Score(1-5)]]</f>
        <v>344</v>
      </c>
      <c r="AA1420" s="2" t="str" cm="1">
        <f t="array" ref="AA14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0" s="2" t="str">
        <f>VLOOKUP(Auto_Sales_data___Copy[[#This Row],[Segment Name]],Table3[],2,FALSE)</f>
        <v>Reward &amp; Upsell</v>
      </c>
    </row>
    <row r="1421" spans="1:28" x14ac:dyDescent="0.25">
      <c r="A1421">
        <v>10403</v>
      </c>
      <c r="B1421">
        <v>27</v>
      </c>
      <c r="C1421">
        <v>79.650000000000006</v>
      </c>
      <c r="D1421">
        <v>4</v>
      </c>
      <c r="E1421">
        <v>2150.5500000000002</v>
      </c>
      <c r="F1421" s="1">
        <v>43929</v>
      </c>
      <c r="G1421" s="2" t="s">
        <v>19</v>
      </c>
      <c r="H1421" s="2" t="s">
        <v>20</v>
      </c>
      <c r="I1421">
        <v>69</v>
      </c>
      <c r="J1421" s="2" t="s">
        <v>675</v>
      </c>
      <c r="K1421" s="2" t="s">
        <v>166</v>
      </c>
      <c r="L1421" s="2" t="s">
        <v>167</v>
      </c>
      <c r="M1421" s="2" t="s">
        <v>168</v>
      </c>
      <c r="N1421" s="2" t="s">
        <v>169</v>
      </c>
      <c r="O1421" s="2" t="s">
        <v>170</v>
      </c>
      <c r="P1421" s="2" t="s">
        <v>171</v>
      </c>
      <c r="Q1421" s="2" t="s">
        <v>172</v>
      </c>
      <c r="R1421" s="2" t="s">
        <v>173</v>
      </c>
      <c r="S1421" s="2" t="s">
        <v>30</v>
      </c>
      <c r="T1421">
        <v>1688</v>
      </c>
      <c r="U1421">
        <f>VLOOKUP(Auto_Sales_data___Copy[[#This Row],[CUSTOMER_NAME]],$AF$2:$AH$90,2,FALSE)</f>
        <v>29</v>
      </c>
      <c r="V1421">
        <f>VLOOKUP(Auto_Sales_data___Copy[[#This Row],[CUSTOMER_NAME]],$AF$2:$AH$90,3,FALSE)</f>
        <v>118008.26999999999</v>
      </c>
      <c r="W1421" s="2">
        <f>6-MATCH(Auto_Sales_data___Copy[[#This Row],[DAYS_SINCE_LAST_ORDER]],Table2[R-Cutoff],1)</f>
        <v>3</v>
      </c>
      <c r="X1421" s="2">
        <f>MATCH(Auto_Sales_data___Copy[[#This Row],[Total_Orders_Per_Customer]],Table2[F-Cutoff],1)</f>
        <v>4</v>
      </c>
      <c r="Y1421" s="2">
        <f>MATCH(Auto_Sales_data___Copy[[#This Row],[Total_Sales_Per_Customer]],Table2[M-Cutoff],1)</f>
        <v>4</v>
      </c>
      <c r="Z1421" s="2" t="str">
        <f>Auto_Sales_data___Copy[[#This Row],[R-Score(1-5)]]&amp;Auto_Sales_data___Copy[[#This Row],[F-Score(1-5)]]&amp;Auto_Sales_data___Copy[[#This Row],[M-Score(1-5)]]</f>
        <v>344</v>
      </c>
      <c r="AA1421" s="2" t="str" cm="1">
        <f t="array" ref="AA14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1" s="2" t="str">
        <f>VLOOKUP(Auto_Sales_data___Copy[[#This Row],[Segment Name]],Table3[],2,FALSE)</f>
        <v>Reward &amp; Upsell</v>
      </c>
    </row>
    <row r="1422" spans="1:28" x14ac:dyDescent="0.25">
      <c r="A1422">
        <v>10407</v>
      </c>
      <c r="B1422">
        <v>64</v>
      </c>
      <c r="C1422">
        <v>40.25</v>
      </c>
      <c r="D1422">
        <v>10</v>
      </c>
      <c r="E1422">
        <v>2576</v>
      </c>
      <c r="F1422" s="1">
        <v>43943</v>
      </c>
      <c r="G1422" s="2" t="s">
        <v>423</v>
      </c>
      <c r="H1422" s="2" t="s">
        <v>183</v>
      </c>
      <c r="I1422">
        <v>50</v>
      </c>
      <c r="J1422" s="2" t="s">
        <v>668</v>
      </c>
      <c r="K1422" s="2" t="s">
        <v>418</v>
      </c>
      <c r="L1422" s="2" t="s">
        <v>419</v>
      </c>
      <c r="M1422" s="2" t="s">
        <v>420</v>
      </c>
      <c r="N1422" s="2" t="s">
        <v>421</v>
      </c>
      <c r="O1422" s="2" t="s">
        <v>58</v>
      </c>
      <c r="P1422" s="2" t="s">
        <v>27</v>
      </c>
      <c r="Q1422" s="2" t="s">
        <v>93</v>
      </c>
      <c r="R1422" s="2" t="s">
        <v>422</v>
      </c>
      <c r="S1422" s="2" t="s">
        <v>30</v>
      </c>
      <c r="T1422">
        <v>1501</v>
      </c>
      <c r="U1422">
        <f>VLOOKUP(Auto_Sales_data___Copy[[#This Row],[CUSTOMER_NAME]],$AF$2:$AH$90,2,FALSE)</f>
        <v>40</v>
      </c>
      <c r="V1422">
        <f>VLOOKUP(Auto_Sales_data___Copy[[#This Row],[CUSTOMER_NAME]],$AF$2:$AH$90,3,FALSE)</f>
        <v>160010.27000000005</v>
      </c>
      <c r="W1422" s="2">
        <f>6-MATCH(Auto_Sales_data___Copy[[#This Row],[DAYS_SINCE_LAST_ORDER]],Table2[R-Cutoff],1)</f>
        <v>3</v>
      </c>
      <c r="X1422" s="2">
        <f>MATCH(Auto_Sales_data___Copy[[#This Row],[Total_Orders_Per_Customer]],Table2[F-Cutoff],1)</f>
        <v>4</v>
      </c>
      <c r="Y1422" s="2">
        <f>MATCH(Auto_Sales_data___Copy[[#This Row],[Total_Sales_Per_Customer]],Table2[M-Cutoff],1)</f>
        <v>4</v>
      </c>
      <c r="Z1422" s="2" t="str">
        <f>Auto_Sales_data___Copy[[#This Row],[R-Score(1-5)]]&amp;Auto_Sales_data___Copy[[#This Row],[F-Score(1-5)]]&amp;Auto_Sales_data___Copy[[#This Row],[M-Score(1-5)]]</f>
        <v>344</v>
      </c>
      <c r="AA1422" s="2" t="str" cm="1">
        <f t="array" ref="AA14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2" s="2" t="str">
        <f>VLOOKUP(Auto_Sales_data___Copy[[#This Row],[Segment Name]],Table3[],2,FALSE)</f>
        <v>Reward &amp; Upsell</v>
      </c>
    </row>
    <row r="1423" spans="1:28" x14ac:dyDescent="0.25">
      <c r="A1423">
        <v>10407</v>
      </c>
      <c r="B1423">
        <v>76</v>
      </c>
      <c r="C1423">
        <v>94.5</v>
      </c>
      <c r="D1423">
        <v>6</v>
      </c>
      <c r="E1423">
        <v>7182</v>
      </c>
      <c r="F1423" s="1">
        <v>43943</v>
      </c>
      <c r="G1423" s="2" t="s">
        <v>423</v>
      </c>
      <c r="H1423" s="2" t="s">
        <v>183</v>
      </c>
      <c r="I1423">
        <v>90</v>
      </c>
      <c r="J1423" s="2" t="s">
        <v>676</v>
      </c>
      <c r="K1423" s="2" t="s">
        <v>418</v>
      </c>
      <c r="L1423" s="2" t="s">
        <v>419</v>
      </c>
      <c r="M1423" s="2" t="s">
        <v>420</v>
      </c>
      <c r="N1423" s="2" t="s">
        <v>421</v>
      </c>
      <c r="O1423" s="2" t="s">
        <v>58</v>
      </c>
      <c r="P1423" s="2" t="s">
        <v>27</v>
      </c>
      <c r="Q1423" s="2" t="s">
        <v>93</v>
      </c>
      <c r="R1423" s="2" t="s">
        <v>422</v>
      </c>
      <c r="S1423" s="2" t="s">
        <v>151</v>
      </c>
      <c r="T1423">
        <v>1696</v>
      </c>
      <c r="U1423">
        <f>VLOOKUP(Auto_Sales_data___Copy[[#This Row],[CUSTOMER_NAME]],$AF$2:$AH$90,2,FALSE)</f>
        <v>40</v>
      </c>
      <c r="V1423">
        <f>VLOOKUP(Auto_Sales_data___Copy[[#This Row],[CUSTOMER_NAME]],$AF$2:$AH$90,3,FALSE)</f>
        <v>160010.27000000005</v>
      </c>
      <c r="W1423" s="2">
        <f>6-MATCH(Auto_Sales_data___Copy[[#This Row],[DAYS_SINCE_LAST_ORDER]],Table2[R-Cutoff],1)</f>
        <v>3</v>
      </c>
      <c r="X1423" s="2">
        <f>MATCH(Auto_Sales_data___Copy[[#This Row],[Total_Orders_Per_Customer]],Table2[F-Cutoff],1)</f>
        <v>4</v>
      </c>
      <c r="Y1423" s="2">
        <f>MATCH(Auto_Sales_data___Copy[[#This Row],[Total_Sales_Per_Customer]],Table2[M-Cutoff],1)</f>
        <v>4</v>
      </c>
      <c r="Z1423" s="2" t="str">
        <f>Auto_Sales_data___Copy[[#This Row],[R-Score(1-5)]]&amp;Auto_Sales_data___Copy[[#This Row],[F-Score(1-5)]]&amp;Auto_Sales_data___Copy[[#This Row],[M-Score(1-5)]]</f>
        <v>344</v>
      </c>
      <c r="AA1423" s="2" t="str" cm="1">
        <f t="array" ref="AA14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3" s="2" t="str">
        <f>VLOOKUP(Auto_Sales_data___Copy[[#This Row],[Segment Name]],Table3[],2,FALSE)</f>
        <v>Reward &amp; Upsell</v>
      </c>
    </row>
    <row r="1424" spans="1:28" x14ac:dyDescent="0.25">
      <c r="A1424">
        <v>10407</v>
      </c>
      <c r="B1424">
        <v>59</v>
      </c>
      <c r="C1424">
        <v>98.65</v>
      </c>
      <c r="D1424">
        <v>5</v>
      </c>
      <c r="E1424">
        <v>5820.35</v>
      </c>
      <c r="F1424" s="1">
        <v>43943</v>
      </c>
      <c r="G1424" s="2" t="s">
        <v>423</v>
      </c>
      <c r="H1424" s="2" t="s">
        <v>183</v>
      </c>
      <c r="I1424">
        <v>117</v>
      </c>
      <c r="J1424" s="2" t="s">
        <v>679</v>
      </c>
      <c r="K1424" s="2" t="s">
        <v>418</v>
      </c>
      <c r="L1424" s="2" t="s">
        <v>419</v>
      </c>
      <c r="M1424" s="2" t="s">
        <v>420</v>
      </c>
      <c r="N1424" s="2" t="s">
        <v>421</v>
      </c>
      <c r="O1424" s="2" t="s">
        <v>58</v>
      </c>
      <c r="P1424" s="2" t="s">
        <v>27</v>
      </c>
      <c r="Q1424" s="2" t="s">
        <v>93</v>
      </c>
      <c r="R1424" s="2" t="s">
        <v>422</v>
      </c>
      <c r="S1424" s="2" t="s">
        <v>46</v>
      </c>
      <c r="T1424">
        <v>1771</v>
      </c>
      <c r="U1424">
        <f>VLOOKUP(Auto_Sales_data___Copy[[#This Row],[CUSTOMER_NAME]],$AF$2:$AH$90,2,FALSE)</f>
        <v>40</v>
      </c>
      <c r="V1424">
        <f>VLOOKUP(Auto_Sales_data___Copy[[#This Row],[CUSTOMER_NAME]],$AF$2:$AH$90,3,FALSE)</f>
        <v>160010.27000000005</v>
      </c>
      <c r="W1424" s="2">
        <f>6-MATCH(Auto_Sales_data___Copy[[#This Row],[DAYS_SINCE_LAST_ORDER]],Table2[R-Cutoff],1)</f>
        <v>3</v>
      </c>
      <c r="X1424" s="2">
        <f>MATCH(Auto_Sales_data___Copy[[#This Row],[Total_Orders_Per_Customer]],Table2[F-Cutoff],1)</f>
        <v>4</v>
      </c>
      <c r="Y1424" s="2">
        <f>MATCH(Auto_Sales_data___Copy[[#This Row],[Total_Sales_Per_Customer]],Table2[M-Cutoff],1)</f>
        <v>4</v>
      </c>
      <c r="Z1424" s="2" t="str">
        <f>Auto_Sales_data___Copy[[#This Row],[R-Score(1-5)]]&amp;Auto_Sales_data___Copy[[#This Row],[F-Score(1-5)]]&amp;Auto_Sales_data___Copy[[#This Row],[M-Score(1-5)]]</f>
        <v>344</v>
      </c>
      <c r="AA1424" s="2" t="str" cm="1">
        <f t="array" ref="AA14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4" s="2" t="str">
        <f>VLOOKUP(Auto_Sales_data___Copy[[#This Row],[Segment Name]],Table3[],2,FALSE)</f>
        <v>Reward &amp; Upsell</v>
      </c>
    </row>
    <row r="1425" spans="1:28" x14ac:dyDescent="0.25">
      <c r="A1425">
        <v>10407</v>
      </c>
      <c r="B1425">
        <v>13</v>
      </c>
      <c r="C1425">
        <v>81.33</v>
      </c>
      <c r="D1425">
        <v>7</v>
      </c>
      <c r="E1425">
        <v>1057.29</v>
      </c>
      <c r="F1425" s="1">
        <v>43943</v>
      </c>
      <c r="G1425" s="2" t="s">
        <v>423</v>
      </c>
      <c r="H1425" s="2" t="s">
        <v>183</v>
      </c>
      <c r="I1425">
        <v>85</v>
      </c>
      <c r="J1425" s="2" t="s">
        <v>682</v>
      </c>
      <c r="K1425" s="2" t="s">
        <v>418</v>
      </c>
      <c r="L1425" s="2" t="s">
        <v>419</v>
      </c>
      <c r="M1425" s="2" t="s">
        <v>420</v>
      </c>
      <c r="N1425" s="2" t="s">
        <v>421</v>
      </c>
      <c r="O1425" s="2" t="s">
        <v>58</v>
      </c>
      <c r="P1425" s="2" t="s">
        <v>27</v>
      </c>
      <c r="Q1425" s="2" t="s">
        <v>93</v>
      </c>
      <c r="R1425" s="2" t="s">
        <v>422</v>
      </c>
      <c r="S1425" s="2" t="s">
        <v>30</v>
      </c>
      <c r="T1425">
        <v>1845</v>
      </c>
      <c r="U1425">
        <f>VLOOKUP(Auto_Sales_data___Copy[[#This Row],[CUSTOMER_NAME]],$AF$2:$AH$90,2,FALSE)</f>
        <v>40</v>
      </c>
      <c r="V1425">
        <f>VLOOKUP(Auto_Sales_data___Copy[[#This Row],[CUSTOMER_NAME]],$AF$2:$AH$90,3,FALSE)</f>
        <v>160010.27000000005</v>
      </c>
      <c r="W1425" s="2">
        <f>6-MATCH(Auto_Sales_data___Copy[[#This Row],[DAYS_SINCE_LAST_ORDER]],Table2[R-Cutoff],1)</f>
        <v>3</v>
      </c>
      <c r="X1425" s="2">
        <f>MATCH(Auto_Sales_data___Copy[[#This Row],[Total_Orders_Per_Customer]],Table2[F-Cutoff],1)</f>
        <v>4</v>
      </c>
      <c r="Y1425" s="2">
        <f>MATCH(Auto_Sales_data___Copy[[#This Row],[Total_Sales_Per_Customer]],Table2[M-Cutoff],1)</f>
        <v>4</v>
      </c>
      <c r="Z1425" s="2" t="str">
        <f>Auto_Sales_data___Copy[[#This Row],[R-Score(1-5)]]&amp;Auto_Sales_data___Copy[[#This Row],[F-Score(1-5)]]&amp;Auto_Sales_data___Copy[[#This Row],[M-Score(1-5)]]</f>
        <v>344</v>
      </c>
      <c r="AA1425" s="2" t="str" cm="1">
        <f t="array" ref="AA14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5" s="2" t="str">
        <f>VLOOKUP(Auto_Sales_data___Copy[[#This Row],[Segment Name]],Table3[],2,FALSE)</f>
        <v>Reward &amp; Upsell</v>
      </c>
    </row>
    <row r="1426" spans="1:28" x14ac:dyDescent="0.25">
      <c r="A1426">
        <v>10407</v>
      </c>
      <c r="B1426">
        <v>43</v>
      </c>
      <c r="C1426">
        <v>86.73</v>
      </c>
      <c r="D1426">
        <v>9</v>
      </c>
      <c r="E1426">
        <v>3729.39</v>
      </c>
      <c r="F1426" s="1">
        <v>43943</v>
      </c>
      <c r="G1426" s="2" t="s">
        <v>423</v>
      </c>
      <c r="H1426" s="2" t="s">
        <v>183</v>
      </c>
      <c r="I1426">
        <v>107</v>
      </c>
      <c r="J1426" s="2" t="s">
        <v>685</v>
      </c>
      <c r="K1426" s="2" t="s">
        <v>418</v>
      </c>
      <c r="L1426" s="2" t="s">
        <v>419</v>
      </c>
      <c r="M1426" s="2" t="s">
        <v>420</v>
      </c>
      <c r="N1426" s="2" t="s">
        <v>421</v>
      </c>
      <c r="O1426" s="2" t="s">
        <v>58</v>
      </c>
      <c r="P1426" s="2" t="s">
        <v>27</v>
      </c>
      <c r="Q1426" s="2" t="s">
        <v>93</v>
      </c>
      <c r="R1426" s="2" t="s">
        <v>422</v>
      </c>
      <c r="S1426" s="2" t="s">
        <v>46</v>
      </c>
      <c r="T1426">
        <v>1919</v>
      </c>
      <c r="U1426">
        <f>VLOOKUP(Auto_Sales_data___Copy[[#This Row],[CUSTOMER_NAME]],$AF$2:$AH$90,2,FALSE)</f>
        <v>40</v>
      </c>
      <c r="V1426">
        <f>VLOOKUP(Auto_Sales_data___Copy[[#This Row],[CUSTOMER_NAME]],$AF$2:$AH$90,3,FALSE)</f>
        <v>160010.27000000005</v>
      </c>
      <c r="W1426" s="2">
        <f>6-MATCH(Auto_Sales_data___Copy[[#This Row],[DAYS_SINCE_LAST_ORDER]],Table2[R-Cutoff],1)</f>
        <v>3</v>
      </c>
      <c r="X1426" s="2">
        <f>MATCH(Auto_Sales_data___Copy[[#This Row],[Total_Orders_Per_Customer]],Table2[F-Cutoff],1)</f>
        <v>4</v>
      </c>
      <c r="Y1426" s="2">
        <f>MATCH(Auto_Sales_data___Copy[[#This Row],[Total_Sales_Per_Customer]],Table2[M-Cutoff],1)</f>
        <v>4</v>
      </c>
      <c r="Z1426" s="2" t="str">
        <f>Auto_Sales_data___Copy[[#This Row],[R-Score(1-5)]]&amp;Auto_Sales_data___Copy[[#This Row],[F-Score(1-5)]]&amp;Auto_Sales_data___Copy[[#This Row],[M-Score(1-5)]]</f>
        <v>344</v>
      </c>
      <c r="AA1426" s="2" t="str" cm="1">
        <f t="array" ref="AA14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6" s="2" t="str">
        <f>VLOOKUP(Auto_Sales_data___Copy[[#This Row],[Segment Name]],Table3[],2,FALSE)</f>
        <v>Reward &amp; Upsell</v>
      </c>
    </row>
    <row r="1427" spans="1:28" x14ac:dyDescent="0.25">
      <c r="A1427">
        <v>10408</v>
      </c>
      <c r="B1427">
        <v>15</v>
      </c>
      <c r="C1427">
        <v>36.93</v>
      </c>
      <c r="D1427">
        <v>1</v>
      </c>
      <c r="E1427">
        <v>553.95000000000005</v>
      </c>
      <c r="F1427" s="1">
        <v>43943</v>
      </c>
      <c r="G1427" s="2" t="s">
        <v>19</v>
      </c>
      <c r="H1427" s="2" t="s">
        <v>589</v>
      </c>
      <c r="I1427">
        <v>41</v>
      </c>
      <c r="J1427" s="2" t="s">
        <v>689</v>
      </c>
      <c r="K1427" s="2" t="s">
        <v>256</v>
      </c>
      <c r="L1427" s="2" t="s">
        <v>257</v>
      </c>
      <c r="M1427" s="2" t="s">
        <v>258</v>
      </c>
      <c r="N1427" s="2" t="s">
        <v>259</v>
      </c>
      <c r="O1427" s="2" t="s">
        <v>260</v>
      </c>
      <c r="P1427" s="2" t="s">
        <v>261</v>
      </c>
      <c r="Q1427" s="2" t="s">
        <v>262</v>
      </c>
      <c r="R1427" s="2" t="s">
        <v>263</v>
      </c>
      <c r="S1427" s="2" t="s">
        <v>30</v>
      </c>
      <c r="T1427">
        <v>2018</v>
      </c>
      <c r="U1427">
        <f>VLOOKUP(Auto_Sales_data___Copy[[#This Row],[CUSTOMER_NAME]],$AF$2:$AH$90,2,FALSE)</f>
        <v>32</v>
      </c>
      <c r="V1427">
        <f>VLOOKUP(Auto_Sales_data___Copy[[#This Row],[CUSTOMER_NAME]],$AF$2:$AH$90,3,FALSE)</f>
        <v>120562.74000000002</v>
      </c>
      <c r="W1427" s="2">
        <f>6-MATCH(Auto_Sales_data___Copy[[#This Row],[DAYS_SINCE_LAST_ORDER]],Table2[R-Cutoff],1)</f>
        <v>3</v>
      </c>
      <c r="X1427" s="2">
        <f>MATCH(Auto_Sales_data___Copy[[#This Row],[Total_Orders_Per_Customer]],Table2[F-Cutoff],1)</f>
        <v>4</v>
      </c>
      <c r="Y1427" s="2">
        <f>MATCH(Auto_Sales_data___Copy[[#This Row],[Total_Sales_Per_Customer]],Table2[M-Cutoff],1)</f>
        <v>4</v>
      </c>
      <c r="Z1427" s="2" t="str">
        <f>Auto_Sales_data___Copy[[#This Row],[R-Score(1-5)]]&amp;Auto_Sales_data___Copy[[#This Row],[F-Score(1-5)]]&amp;Auto_Sales_data___Copy[[#This Row],[M-Score(1-5)]]</f>
        <v>344</v>
      </c>
      <c r="AA1427" s="2" t="str" cm="1">
        <f t="array" ref="AA14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7" s="2" t="str">
        <f>VLOOKUP(Auto_Sales_data___Copy[[#This Row],[Segment Name]],Table3[],2,FALSE)</f>
        <v>Reward &amp; Upsell</v>
      </c>
    </row>
    <row r="1428" spans="1:28" x14ac:dyDescent="0.25">
      <c r="A1428">
        <v>10409</v>
      </c>
      <c r="B1428">
        <v>61</v>
      </c>
      <c r="C1428">
        <v>29.54</v>
      </c>
      <c r="D1428">
        <v>1</v>
      </c>
      <c r="E1428">
        <v>1801.94</v>
      </c>
      <c r="F1428" s="1">
        <v>43944</v>
      </c>
      <c r="G1428" s="2" t="s">
        <v>19</v>
      </c>
      <c r="H1428" s="2" t="s">
        <v>589</v>
      </c>
      <c r="I1428">
        <v>33</v>
      </c>
      <c r="J1428" s="2" t="s">
        <v>670</v>
      </c>
      <c r="K1428" s="2" t="s">
        <v>443</v>
      </c>
      <c r="L1428" s="2" t="s">
        <v>444</v>
      </c>
      <c r="M1428" s="2" t="s">
        <v>445</v>
      </c>
      <c r="N1428" s="2" t="s">
        <v>202</v>
      </c>
      <c r="O1428" s="2" t="s">
        <v>446</v>
      </c>
      <c r="P1428" s="2" t="s">
        <v>202</v>
      </c>
      <c r="Q1428" s="2" t="s">
        <v>447</v>
      </c>
      <c r="R1428" s="2" t="s">
        <v>448</v>
      </c>
      <c r="S1428" s="2" t="s">
        <v>30</v>
      </c>
      <c r="T1428">
        <v>1547</v>
      </c>
      <c r="U1428">
        <f>VLOOKUP(Auto_Sales_data___Copy[[#This Row],[CUSTOMER_NAME]],$AF$2:$AH$90,2,FALSE)</f>
        <v>36</v>
      </c>
      <c r="V1428">
        <f>VLOOKUP(Auto_Sales_data___Copy[[#This Row],[CUSTOMER_NAME]],$AF$2:$AH$90,3,FALSE)</f>
        <v>115498.72999999998</v>
      </c>
      <c r="W1428" s="2">
        <f>6-MATCH(Auto_Sales_data___Copy[[#This Row],[DAYS_SINCE_LAST_ORDER]],Table2[R-Cutoff],1)</f>
        <v>3</v>
      </c>
      <c r="X1428" s="2">
        <f>MATCH(Auto_Sales_data___Copy[[#This Row],[Total_Orders_Per_Customer]],Table2[F-Cutoff],1)</f>
        <v>4</v>
      </c>
      <c r="Y1428" s="2">
        <f>MATCH(Auto_Sales_data___Copy[[#This Row],[Total_Sales_Per_Customer]],Table2[M-Cutoff],1)</f>
        <v>4</v>
      </c>
      <c r="Z1428" s="2" t="str">
        <f>Auto_Sales_data___Copy[[#This Row],[R-Score(1-5)]]&amp;Auto_Sales_data___Copy[[#This Row],[F-Score(1-5)]]&amp;Auto_Sales_data___Copy[[#This Row],[M-Score(1-5)]]</f>
        <v>344</v>
      </c>
      <c r="AA1428" s="2" t="str" cm="1">
        <f t="array" ref="AA14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8" s="2" t="str">
        <f>VLOOKUP(Auto_Sales_data___Copy[[#This Row],[Segment Name]],Table3[],2,FALSE)</f>
        <v>Reward &amp; Upsell</v>
      </c>
    </row>
    <row r="1429" spans="1:28" x14ac:dyDescent="0.25">
      <c r="A1429">
        <v>10416</v>
      </c>
      <c r="B1429">
        <v>47</v>
      </c>
      <c r="C1429">
        <v>88.63</v>
      </c>
      <c r="D1429">
        <v>6</v>
      </c>
      <c r="E1429">
        <v>4165.6099999999997</v>
      </c>
      <c r="F1429" s="1">
        <v>43961</v>
      </c>
      <c r="G1429" s="2" t="s">
        <v>19</v>
      </c>
      <c r="H1429" s="2" t="s">
        <v>607</v>
      </c>
      <c r="I1429">
        <v>109</v>
      </c>
      <c r="J1429" s="2" t="s">
        <v>669</v>
      </c>
      <c r="K1429" s="2" t="s">
        <v>480</v>
      </c>
      <c r="L1429" s="2" t="s">
        <v>481</v>
      </c>
      <c r="M1429" s="2" t="s">
        <v>482</v>
      </c>
      <c r="N1429" s="2" t="s">
        <v>483</v>
      </c>
      <c r="O1429" s="2" t="s">
        <v>484</v>
      </c>
      <c r="P1429" s="2" t="s">
        <v>269</v>
      </c>
      <c r="Q1429" s="2" t="s">
        <v>485</v>
      </c>
      <c r="R1429" s="2" t="s">
        <v>486</v>
      </c>
      <c r="S1429" s="2" t="s">
        <v>46</v>
      </c>
      <c r="T1429">
        <v>1507</v>
      </c>
      <c r="U1429">
        <f>VLOOKUP(Auto_Sales_data___Copy[[#This Row],[CUSTOMER_NAME]],$AF$2:$AH$90,2,FALSE)</f>
        <v>39</v>
      </c>
      <c r="V1429">
        <f>VLOOKUP(Auto_Sales_data___Copy[[#This Row],[CUSTOMER_NAME]],$AF$2:$AH$90,3,FALSE)</f>
        <v>142601.33000000002</v>
      </c>
      <c r="W1429" s="2">
        <f>6-MATCH(Auto_Sales_data___Copy[[#This Row],[DAYS_SINCE_LAST_ORDER]],Table2[R-Cutoff],1)</f>
        <v>3</v>
      </c>
      <c r="X1429" s="2">
        <f>MATCH(Auto_Sales_data___Copy[[#This Row],[Total_Orders_Per_Customer]],Table2[F-Cutoff],1)</f>
        <v>4</v>
      </c>
      <c r="Y1429" s="2">
        <f>MATCH(Auto_Sales_data___Copy[[#This Row],[Total_Sales_Per_Customer]],Table2[M-Cutoff],1)</f>
        <v>4</v>
      </c>
      <c r="Z1429" s="2" t="str">
        <f>Auto_Sales_data___Copy[[#This Row],[R-Score(1-5)]]&amp;Auto_Sales_data___Copy[[#This Row],[F-Score(1-5)]]&amp;Auto_Sales_data___Copy[[#This Row],[M-Score(1-5)]]</f>
        <v>344</v>
      </c>
      <c r="AA1429" s="2" t="str" cm="1">
        <f t="array" ref="AA14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9" s="2" t="str">
        <f>VLOOKUP(Auto_Sales_data___Copy[[#This Row],[Segment Name]],Table3[],2,FALSE)</f>
        <v>Reward &amp; Upsell</v>
      </c>
    </row>
    <row r="1430" spans="1:28" x14ac:dyDescent="0.25">
      <c r="A1430">
        <v>10416</v>
      </c>
      <c r="B1430">
        <v>32</v>
      </c>
      <c r="C1430">
        <v>87.6</v>
      </c>
      <c r="D1430">
        <v>1</v>
      </c>
      <c r="E1430">
        <v>2803.2</v>
      </c>
      <c r="F1430" s="1">
        <v>43961</v>
      </c>
      <c r="G1430" s="2" t="s">
        <v>19</v>
      </c>
      <c r="H1430" s="2" t="s">
        <v>20</v>
      </c>
      <c r="I1430">
        <v>76</v>
      </c>
      <c r="J1430" s="2" t="s">
        <v>671</v>
      </c>
      <c r="K1430" s="2" t="s">
        <v>480</v>
      </c>
      <c r="L1430" s="2" t="s">
        <v>481</v>
      </c>
      <c r="M1430" s="2" t="s">
        <v>482</v>
      </c>
      <c r="N1430" s="2" t="s">
        <v>483</v>
      </c>
      <c r="O1430" s="2" t="s">
        <v>484</v>
      </c>
      <c r="P1430" s="2" t="s">
        <v>269</v>
      </c>
      <c r="Q1430" s="2" t="s">
        <v>485</v>
      </c>
      <c r="R1430" s="2" t="s">
        <v>486</v>
      </c>
      <c r="S1430" s="2" t="s">
        <v>30</v>
      </c>
      <c r="T1430">
        <v>1556</v>
      </c>
      <c r="U1430">
        <f>VLOOKUP(Auto_Sales_data___Copy[[#This Row],[CUSTOMER_NAME]],$AF$2:$AH$90,2,FALSE)</f>
        <v>39</v>
      </c>
      <c r="V1430">
        <f>VLOOKUP(Auto_Sales_data___Copy[[#This Row],[CUSTOMER_NAME]],$AF$2:$AH$90,3,FALSE)</f>
        <v>142601.33000000002</v>
      </c>
      <c r="W1430" s="2">
        <f>6-MATCH(Auto_Sales_data___Copy[[#This Row],[DAYS_SINCE_LAST_ORDER]],Table2[R-Cutoff],1)</f>
        <v>3</v>
      </c>
      <c r="X1430" s="2">
        <f>MATCH(Auto_Sales_data___Copy[[#This Row],[Total_Orders_Per_Customer]],Table2[F-Cutoff],1)</f>
        <v>4</v>
      </c>
      <c r="Y1430" s="2">
        <f>MATCH(Auto_Sales_data___Copy[[#This Row],[Total_Sales_Per_Customer]],Table2[M-Cutoff],1)</f>
        <v>4</v>
      </c>
      <c r="Z1430" s="2" t="str">
        <f>Auto_Sales_data___Copy[[#This Row],[R-Score(1-5)]]&amp;Auto_Sales_data___Copy[[#This Row],[F-Score(1-5)]]&amp;Auto_Sales_data___Copy[[#This Row],[M-Score(1-5)]]</f>
        <v>344</v>
      </c>
      <c r="AA1430" s="2" t="str" cm="1">
        <f t="array" ref="AA14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0" s="2" t="str">
        <f>VLOOKUP(Auto_Sales_data___Copy[[#This Row],[Segment Name]],Table3[],2,FALSE)</f>
        <v>Reward &amp; Upsell</v>
      </c>
    </row>
    <row r="1431" spans="1:28" x14ac:dyDescent="0.25">
      <c r="A1431">
        <v>10416</v>
      </c>
      <c r="B1431">
        <v>18</v>
      </c>
      <c r="C1431">
        <v>75.06</v>
      </c>
      <c r="D1431">
        <v>13</v>
      </c>
      <c r="E1431">
        <v>1351.08</v>
      </c>
      <c r="F1431" s="1">
        <v>43961</v>
      </c>
      <c r="G1431" s="2" t="s">
        <v>19</v>
      </c>
      <c r="H1431" s="2" t="s">
        <v>607</v>
      </c>
      <c r="I1431">
        <v>68</v>
      </c>
      <c r="J1431" s="2" t="s">
        <v>688</v>
      </c>
      <c r="K1431" s="2" t="s">
        <v>480</v>
      </c>
      <c r="L1431" s="2" t="s">
        <v>481</v>
      </c>
      <c r="M1431" s="2" t="s">
        <v>482</v>
      </c>
      <c r="N1431" s="2" t="s">
        <v>483</v>
      </c>
      <c r="O1431" s="2" t="s">
        <v>484</v>
      </c>
      <c r="P1431" s="2" t="s">
        <v>269</v>
      </c>
      <c r="Q1431" s="2" t="s">
        <v>485</v>
      </c>
      <c r="R1431" s="2" t="s">
        <v>486</v>
      </c>
      <c r="S1431" s="2" t="s">
        <v>30</v>
      </c>
      <c r="T1431">
        <v>1980</v>
      </c>
      <c r="U1431">
        <f>VLOOKUP(Auto_Sales_data___Copy[[#This Row],[CUSTOMER_NAME]],$AF$2:$AH$90,2,FALSE)</f>
        <v>39</v>
      </c>
      <c r="V1431">
        <f>VLOOKUP(Auto_Sales_data___Copy[[#This Row],[CUSTOMER_NAME]],$AF$2:$AH$90,3,FALSE)</f>
        <v>142601.33000000002</v>
      </c>
      <c r="W1431" s="2">
        <f>6-MATCH(Auto_Sales_data___Copy[[#This Row],[DAYS_SINCE_LAST_ORDER]],Table2[R-Cutoff],1)</f>
        <v>3</v>
      </c>
      <c r="X1431" s="2">
        <f>MATCH(Auto_Sales_data___Copy[[#This Row],[Total_Orders_Per_Customer]],Table2[F-Cutoff],1)</f>
        <v>4</v>
      </c>
      <c r="Y1431" s="2">
        <f>MATCH(Auto_Sales_data___Copy[[#This Row],[Total_Sales_Per_Customer]],Table2[M-Cutoff],1)</f>
        <v>4</v>
      </c>
      <c r="Z1431" s="2" t="str">
        <f>Auto_Sales_data___Copy[[#This Row],[R-Score(1-5)]]&amp;Auto_Sales_data___Copy[[#This Row],[F-Score(1-5)]]&amp;Auto_Sales_data___Copy[[#This Row],[M-Score(1-5)]]</f>
        <v>344</v>
      </c>
      <c r="AA1431" s="2" t="str" cm="1">
        <f t="array" ref="AA14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1" s="2" t="str">
        <f>VLOOKUP(Auto_Sales_data___Copy[[#This Row],[Segment Name]],Table3[],2,FALSE)</f>
        <v>Reward &amp; Upsell</v>
      </c>
    </row>
    <row r="1432" spans="1:28" x14ac:dyDescent="0.25">
      <c r="A1432">
        <v>10419</v>
      </c>
      <c r="B1432">
        <v>15</v>
      </c>
      <c r="C1432">
        <v>42.67</v>
      </c>
      <c r="D1432">
        <v>7</v>
      </c>
      <c r="E1432">
        <v>640.04999999999995</v>
      </c>
      <c r="F1432" s="1">
        <v>43968</v>
      </c>
      <c r="G1432" s="2" t="s">
        <v>19</v>
      </c>
      <c r="H1432" s="2" t="s">
        <v>183</v>
      </c>
      <c r="I1432">
        <v>37</v>
      </c>
      <c r="J1432" s="2" t="s">
        <v>680</v>
      </c>
      <c r="K1432" s="2" t="s">
        <v>143</v>
      </c>
      <c r="L1432" s="2" t="s">
        <v>144</v>
      </c>
      <c r="M1432" s="2" t="s">
        <v>145</v>
      </c>
      <c r="N1432" s="2" t="s">
        <v>146</v>
      </c>
      <c r="O1432" s="2" t="s">
        <v>147</v>
      </c>
      <c r="P1432" s="2" t="s">
        <v>148</v>
      </c>
      <c r="Q1432" s="2" t="s">
        <v>149</v>
      </c>
      <c r="R1432" s="2" t="s">
        <v>150</v>
      </c>
      <c r="S1432" s="2" t="s">
        <v>30</v>
      </c>
      <c r="T1432">
        <v>1773</v>
      </c>
      <c r="U1432">
        <f>VLOOKUP(Auto_Sales_data___Copy[[#This Row],[CUSTOMER_NAME]],$AF$2:$AH$90,2,FALSE)</f>
        <v>40</v>
      </c>
      <c r="V1432">
        <f>VLOOKUP(Auto_Sales_data___Copy[[#This Row],[CUSTOMER_NAME]],$AF$2:$AH$90,3,FALSE)</f>
        <v>149798.63</v>
      </c>
      <c r="W1432" s="2">
        <f>6-MATCH(Auto_Sales_data___Copy[[#This Row],[DAYS_SINCE_LAST_ORDER]],Table2[R-Cutoff],1)</f>
        <v>3</v>
      </c>
      <c r="X1432" s="2">
        <f>MATCH(Auto_Sales_data___Copy[[#This Row],[Total_Orders_Per_Customer]],Table2[F-Cutoff],1)</f>
        <v>4</v>
      </c>
      <c r="Y1432" s="2">
        <f>MATCH(Auto_Sales_data___Copy[[#This Row],[Total_Sales_Per_Customer]],Table2[M-Cutoff],1)</f>
        <v>4</v>
      </c>
      <c r="Z1432" s="2" t="str">
        <f>Auto_Sales_data___Copy[[#This Row],[R-Score(1-5)]]&amp;Auto_Sales_data___Copy[[#This Row],[F-Score(1-5)]]&amp;Auto_Sales_data___Copy[[#This Row],[M-Score(1-5)]]</f>
        <v>344</v>
      </c>
      <c r="AA1432" s="2" t="str" cm="1">
        <f t="array" ref="AA14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2" s="2" t="str">
        <f>VLOOKUP(Auto_Sales_data___Copy[[#This Row],[Segment Name]],Table3[],2,FALSE)</f>
        <v>Reward &amp; Upsell</v>
      </c>
    </row>
    <row r="1433" spans="1:28" x14ac:dyDescent="0.25">
      <c r="A1433">
        <v>10419</v>
      </c>
      <c r="B1433">
        <v>55</v>
      </c>
      <c r="C1433">
        <v>52.66</v>
      </c>
      <c r="D1433">
        <v>12</v>
      </c>
      <c r="E1433">
        <v>2896.3</v>
      </c>
      <c r="F1433" s="1">
        <v>43968</v>
      </c>
      <c r="G1433" s="2" t="s">
        <v>19</v>
      </c>
      <c r="H1433" s="2" t="s">
        <v>183</v>
      </c>
      <c r="I1433">
        <v>61</v>
      </c>
      <c r="J1433" s="2" t="s">
        <v>683</v>
      </c>
      <c r="K1433" s="2" t="s">
        <v>143</v>
      </c>
      <c r="L1433" s="2" t="s">
        <v>144</v>
      </c>
      <c r="M1433" s="2" t="s">
        <v>145</v>
      </c>
      <c r="N1433" s="2" t="s">
        <v>146</v>
      </c>
      <c r="O1433" s="2" t="s">
        <v>147</v>
      </c>
      <c r="P1433" s="2" t="s">
        <v>148</v>
      </c>
      <c r="Q1433" s="2" t="s">
        <v>149</v>
      </c>
      <c r="R1433" s="2" t="s">
        <v>150</v>
      </c>
      <c r="S1433" s="2" t="s">
        <v>30</v>
      </c>
      <c r="T1433">
        <v>1846</v>
      </c>
      <c r="U1433">
        <f>VLOOKUP(Auto_Sales_data___Copy[[#This Row],[CUSTOMER_NAME]],$AF$2:$AH$90,2,FALSE)</f>
        <v>40</v>
      </c>
      <c r="V1433">
        <f>VLOOKUP(Auto_Sales_data___Copy[[#This Row],[CUSTOMER_NAME]],$AF$2:$AH$90,3,FALSE)</f>
        <v>149798.63</v>
      </c>
      <c r="W1433" s="2">
        <f>6-MATCH(Auto_Sales_data___Copy[[#This Row],[DAYS_SINCE_LAST_ORDER]],Table2[R-Cutoff],1)</f>
        <v>3</v>
      </c>
      <c r="X1433" s="2">
        <f>MATCH(Auto_Sales_data___Copy[[#This Row],[Total_Orders_Per_Customer]],Table2[F-Cutoff],1)</f>
        <v>4</v>
      </c>
      <c r="Y1433" s="2">
        <f>MATCH(Auto_Sales_data___Copy[[#This Row],[Total_Sales_Per_Customer]],Table2[M-Cutoff],1)</f>
        <v>4</v>
      </c>
      <c r="Z1433" s="2" t="str">
        <f>Auto_Sales_data___Copy[[#This Row],[R-Score(1-5)]]&amp;Auto_Sales_data___Copy[[#This Row],[F-Score(1-5)]]&amp;Auto_Sales_data___Copy[[#This Row],[M-Score(1-5)]]</f>
        <v>344</v>
      </c>
      <c r="AA1433" s="2" t="str" cm="1">
        <f t="array" ref="AA14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3" s="2" t="str">
        <f>VLOOKUP(Auto_Sales_data___Copy[[#This Row],[Segment Name]],Table3[],2,FALSE)</f>
        <v>Reward &amp; Upsell</v>
      </c>
    </row>
    <row r="1434" spans="1:28" x14ac:dyDescent="0.25">
      <c r="A1434">
        <v>10419</v>
      </c>
      <c r="B1434">
        <v>70</v>
      </c>
      <c r="C1434">
        <v>132</v>
      </c>
      <c r="D1434">
        <v>8</v>
      </c>
      <c r="E1434">
        <v>9240</v>
      </c>
      <c r="F1434" s="1">
        <v>43968</v>
      </c>
      <c r="G1434" s="2" t="s">
        <v>19</v>
      </c>
      <c r="H1434" s="2" t="s">
        <v>183</v>
      </c>
      <c r="I1434">
        <v>140</v>
      </c>
      <c r="J1434" s="2" t="s">
        <v>687</v>
      </c>
      <c r="K1434" s="2" t="s">
        <v>143</v>
      </c>
      <c r="L1434" s="2" t="s">
        <v>144</v>
      </c>
      <c r="M1434" s="2" t="s">
        <v>145</v>
      </c>
      <c r="N1434" s="2" t="s">
        <v>146</v>
      </c>
      <c r="O1434" s="2" t="s">
        <v>147</v>
      </c>
      <c r="P1434" s="2" t="s">
        <v>148</v>
      </c>
      <c r="Q1434" s="2" t="s">
        <v>149</v>
      </c>
      <c r="R1434" s="2" t="s">
        <v>150</v>
      </c>
      <c r="S1434" s="2" t="s">
        <v>151</v>
      </c>
      <c r="T1434">
        <v>1946</v>
      </c>
      <c r="U1434">
        <f>VLOOKUP(Auto_Sales_data___Copy[[#This Row],[CUSTOMER_NAME]],$AF$2:$AH$90,2,FALSE)</f>
        <v>40</v>
      </c>
      <c r="V1434">
        <f>VLOOKUP(Auto_Sales_data___Copy[[#This Row],[CUSTOMER_NAME]],$AF$2:$AH$90,3,FALSE)</f>
        <v>149798.63</v>
      </c>
      <c r="W1434" s="2">
        <f>6-MATCH(Auto_Sales_data___Copy[[#This Row],[DAYS_SINCE_LAST_ORDER]],Table2[R-Cutoff],1)</f>
        <v>3</v>
      </c>
      <c r="X1434" s="2">
        <f>MATCH(Auto_Sales_data___Copy[[#This Row],[Total_Orders_Per_Customer]],Table2[F-Cutoff],1)</f>
        <v>4</v>
      </c>
      <c r="Y1434" s="2">
        <f>MATCH(Auto_Sales_data___Copy[[#This Row],[Total_Sales_Per_Customer]],Table2[M-Cutoff],1)</f>
        <v>4</v>
      </c>
      <c r="Z1434" s="2" t="str">
        <f>Auto_Sales_data___Copy[[#This Row],[R-Score(1-5)]]&amp;Auto_Sales_data___Copy[[#This Row],[F-Score(1-5)]]&amp;Auto_Sales_data___Copy[[#This Row],[M-Score(1-5)]]</f>
        <v>344</v>
      </c>
      <c r="AA1434" s="2" t="str" cm="1">
        <f t="array" ref="AA14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4" s="2" t="str">
        <f>VLOOKUP(Auto_Sales_data___Copy[[#This Row],[Segment Name]],Table3[],2,FALSE)</f>
        <v>Reward &amp; Upsell</v>
      </c>
    </row>
    <row r="1435" spans="1:28" x14ac:dyDescent="0.25">
      <c r="A1435">
        <v>10420</v>
      </c>
      <c r="B1435">
        <v>45</v>
      </c>
      <c r="C1435">
        <v>26.88</v>
      </c>
      <c r="D1435">
        <v>1</v>
      </c>
      <c r="E1435">
        <v>1209.5999999999999</v>
      </c>
      <c r="F1435" s="1">
        <v>43980</v>
      </c>
      <c r="G1435" s="2" t="s">
        <v>314</v>
      </c>
      <c r="H1435" s="2" t="s">
        <v>589</v>
      </c>
      <c r="I1435">
        <v>33</v>
      </c>
      <c r="J1435" s="2" t="s">
        <v>670</v>
      </c>
      <c r="K1435" s="2" t="s">
        <v>152</v>
      </c>
      <c r="L1435" s="2" t="s">
        <v>153</v>
      </c>
      <c r="M1435" s="2" t="s">
        <v>154</v>
      </c>
      <c r="N1435" s="2" t="s">
        <v>155</v>
      </c>
      <c r="O1435" s="2" t="s">
        <v>156</v>
      </c>
      <c r="P1435" s="2" t="s">
        <v>87</v>
      </c>
      <c r="Q1435" s="2" t="s">
        <v>157</v>
      </c>
      <c r="R1435" s="2" t="s">
        <v>158</v>
      </c>
      <c r="S1435" s="2" t="s">
        <v>30</v>
      </c>
      <c r="T1435">
        <v>1512</v>
      </c>
      <c r="U1435">
        <f>VLOOKUP(Auto_Sales_data___Copy[[#This Row],[CUSTOMER_NAME]],$AF$2:$AH$90,2,FALSE)</f>
        <v>46</v>
      </c>
      <c r="V1435">
        <f>VLOOKUP(Auto_Sales_data___Copy[[#This Row],[CUSTOMER_NAME]],$AF$2:$AH$90,3,FALSE)</f>
        <v>151570.98000000001</v>
      </c>
      <c r="W1435" s="2">
        <f>6-MATCH(Auto_Sales_data___Copy[[#This Row],[DAYS_SINCE_LAST_ORDER]],Table2[R-Cutoff],1)</f>
        <v>3</v>
      </c>
      <c r="X1435" s="2">
        <f>MATCH(Auto_Sales_data___Copy[[#This Row],[Total_Orders_Per_Customer]],Table2[F-Cutoff],1)</f>
        <v>4</v>
      </c>
      <c r="Y1435" s="2">
        <f>MATCH(Auto_Sales_data___Copy[[#This Row],[Total_Sales_Per_Customer]],Table2[M-Cutoff],1)</f>
        <v>4</v>
      </c>
      <c r="Z1435" s="2" t="str">
        <f>Auto_Sales_data___Copy[[#This Row],[R-Score(1-5)]]&amp;Auto_Sales_data___Copy[[#This Row],[F-Score(1-5)]]&amp;Auto_Sales_data___Copy[[#This Row],[M-Score(1-5)]]</f>
        <v>344</v>
      </c>
      <c r="AA1435" s="2" t="str" cm="1">
        <f t="array" ref="AA14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5" s="2" t="str">
        <f>VLOOKUP(Auto_Sales_data___Copy[[#This Row],[Segment Name]],Table3[],2,FALSE)</f>
        <v>Reward &amp; Upsell</v>
      </c>
    </row>
    <row r="1436" spans="1:28" x14ac:dyDescent="0.25">
      <c r="A1436">
        <v>10421</v>
      </c>
      <c r="B1436">
        <v>40</v>
      </c>
      <c r="C1436">
        <v>45.7</v>
      </c>
      <c r="D1436">
        <v>2</v>
      </c>
      <c r="E1436">
        <v>1828</v>
      </c>
      <c r="F1436" s="1">
        <v>43980</v>
      </c>
      <c r="G1436" s="2" t="s">
        <v>314</v>
      </c>
      <c r="H1436" s="2" t="s">
        <v>589</v>
      </c>
      <c r="I1436">
        <v>44</v>
      </c>
      <c r="J1436" s="2" t="s">
        <v>673</v>
      </c>
      <c r="K1436" s="2" t="s">
        <v>284</v>
      </c>
      <c r="L1436" s="2" t="s">
        <v>285</v>
      </c>
      <c r="M1436" s="2" t="s">
        <v>286</v>
      </c>
      <c r="N1436" s="2" t="s">
        <v>287</v>
      </c>
      <c r="O1436" s="2" t="s">
        <v>106</v>
      </c>
      <c r="P1436" s="2" t="s">
        <v>27</v>
      </c>
      <c r="Q1436" s="2" t="s">
        <v>288</v>
      </c>
      <c r="R1436" s="2" t="s">
        <v>289</v>
      </c>
      <c r="S1436" s="2" t="s">
        <v>30</v>
      </c>
      <c r="T1436">
        <v>1586</v>
      </c>
      <c r="U1436">
        <f>VLOOKUP(Auto_Sales_data___Copy[[#This Row],[CUSTOMER_NAME]],$AF$2:$AH$90,2,FALSE)</f>
        <v>180</v>
      </c>
      <c r="V1436">
        <f>VLOOKUP(Auto_Sales_data___Copy[[#This Row],[CUSTOMER_NAME]],$AF$2:$AH$90,3,FALSE)</f>
        <v>654858.06000000017</v>
      </c>
      <c r="W1436" s="2">
        <f>6-MATCH(Auto_Sales_data___Copy[[#This Row],[DAYS_SINCE_LAST_ORDER]],Table2[R-Cutoff],1)</f>
        <v>3</v>
      </c>
      <c r="X1436" s="2">
        <f>MATCH(Auto_Sales_data___Copy[[#This Row],[Total_Orders_Per_Customer]],Table2[F-Cutoff],1)</f>
        <v>4</v>
      </c>
      <c r="Y1436" s="2">
        <f>MATCH(Auto_Sales_data___Copy[[#This Row],[Total_Sales_Per_Customer]],Table2[M-Cutoff],1)</f>
        <v>4</v>
      </c>
      <c r="Z1436" s="2" t="str">
        <f>Auto_Sales_data___Copy[[#This Row],[R-Score(1-5)]]&amp;Auto_Sales_data___Copy[[#This Row],[F-Score(1-5)]]&amp;Auto_Sales_data___Copy[[#This Row],[M-Score(1-5)]]</f>
        <v>344</v>
      </c>
      <c r="AA1436" s="2" t="str" cm="1">
        <f t="array" ref="AA14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6" s="2" t="str">
        <f>VLOOKUP(Auto_Sales_data___Copy[[#This Row],[Segment Name]],Table3[],2,FALSE)</f>
        <v>Reward &amp; Upsell</v>
      </c>
    </row>
    <row r="1437" spans="1:28" x14ac:dyDescent="0.25">
      <c r="A1437">
        <v>10420</v>
      </c>
      <c r="B1437">
        <v>39</v>
      </c>
      <c r="C1437">
        <v>100.87</v>
      </c>
      <c r="D1437">
        <v>9</v>
      </c>
      <c r="E1437">
        <v>3933.93</v>
      </c>
      <c r="F1437" s="1">
        <v>43980</v>
      </c>
      <c r="G1437" s="2" t="s">
        <v>314</v>
      </c>
      <c r="H1437" s="2" t="s">
        <v>183</v>
      </c>
      <c r="I1437">
        <v>90</v>
      </c>
      <c r="J1437" s="2" t="s">
        <v>676</v>
      </c>
      <c r="K1437" s="2" t="s">
        <v>152</v>
      </c>
      <c r="L1437" s="2" t="s">
        <v>153</v>
      </c>
      <c r="M1437" s="2" t="s">
        <v>154</v>
      </c>
      <c r="N1437" s="2" t="s">
        <v>155</v>
      </c>
      <c r="O1437" s="2" t="s">
        <v>156</v>
      </c>
      <c r="P1437" s="2" t="s">
        <v>87</v>
      </c>
      <c r="Q1437" s="2" t="s">
        <v>157</v>
      </c>
      <c r="R1437" s="2" t="s">
        <v>158</v>
      </c>
      <c r="S1437" s="2" t="s">
        <v>46</v>
      </c>
      <c r="T1437">
        <v>1660</v>
      </c>
      <c r="U1437">
        <f>VLOOKUP(Auto_Sales_data___Copy[[#This Row],[CUSTOMER_NAME]],$AF$2:$AH$90,2,FALSE)</f>
        <v>46</v>
      </c>
      <c r="V1437">
        <f>VLOOKUP(Auto_Sales_data___Copy[[#This Row],[CUSTOMER_NAME]],$AF$2:$AH$90,3,FALSE)</f>
        <v>151570.98000000001</v>
      </c>
      <c r="W1437" s="2">
        <f>6-MATCH(Auto_Sales_data___Copy[[#This Row],[DAYS_SINCE_LAST_ORDER]],Table2[R-Cutoff],1)</f>
        <v>3</v>
      </c>
      <c r="X1437" s="2">
        <f>MATCH(Auto_Sales_data___Copy[[#This Row],[Total_Orders_Per_Customer]],Table2[F-Cutoff],1)</f>
        <v>4</v>
      </c>
      <c r="Y1437" s="2">
        <f>MATCH(Auto_Sales_data___Copy[[#This Row],[Total_Sales_Per_Customer]],Table2[M-Cutoff],1)</f>
        <v>4</v>
      </c>
      <c r="Z1437" s="2" t="str">
        <f>Auto_Sales_data___Copy[[#This Row],[R-Score(1-5)]]&amp;Auto_Sales_data___Copy[[#This Row],[F-Score(1-5)]]&amp;Auto_Sales_data___Copy[[#This Row],[M-Score(1-5)]]</f>
        <v>344</v>
      </c>
      <c r="AA1437" s="2" t="str" cm="1">
        <f t="array" ref="AA14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7" s="2" t="str">
        <f>VLOOKUP(Auto_Sales_data___Copy[[#This Row],[Segment Name]],Table3[],2,FALSE)</f>
        <v>Reward &amp; Upsell</v>
      </c>
    </row>
    <row r="1438" spans="1:28" x14ac:dyDescent="0.25">
      <c r="A1438">
        <v>10420</v>
      </c>
      <c r="B1438">
        <v>55</v>
      </c>
      <c r="C1438">
        <v>96.3</v>
      </c>
      <c r="D1438">
        <v>8</v>
      </c>
      <c r="E1438">
        <v>5296.5</v>
      </c>
      <c r="F1438" s="1">
        <v>43980</v>
      </c>
      <c r="G1438" s="2" t="s">
        <v>314</v>
      </c>
      <c r="H1438" s="2" t="s">
        <v>183</v>
      </c>
      <c r="I1438">
        <v>117</v>
      </c>
      <c r="J1438" s="2" t="s">
        <v>679</v>
      </c>
      <c r="K1438" s="2" t="s">
        <v>152</v>
      </c>
      <c r="L1438" s="2" t="s">
        <v>153</v>
      </c>
      <c r="M1438" s="2" t="s">
        <v>154</v>
      </c>
      <c r="N1438" s="2" t="s">
        <v>155</v>
      </c>
      <c r="O1438" s="2" t="s">
        <v>156</v>
      </c>
      <c r="P1438" s="2" t="s">
        <v>87</v>
      </c>
      <c r="Q1438" s="2" t="s">
        <v>157</v>
      </c>
      <c r="R1438" s="2" t="s">
        <v>158</v>
      </c>
      <c r="S1438" s="2" t="s">
        <v>46</v>
      </c>
      <c r="T1438">
        <v>1735</v>
      </c>
      <c r="U1438">
        <f>VLOOKUP(Auto_Sales_data___Copy[[#This Row],[CUSTOMER_NAME]],$AF$2:$AH$90,2,FALSE)</f>
        <v>46</v>
      </c>
      <c r="V1438">
        <f>VLOOKUP(Auto_Sales_data___Copy[[#This Row],[CUSTOMER_NAME]],$AF$2:$AH$90,3,FALSE)</f>
        <v>151570.98000000001</v>
      </c>
      <c r="W1438" s="2">
        <f>6-MATCH(Auto_Sales_data___Copy[[#This Row],[DAYS_SINCE_LAST_ORDER]],Table2[R-Cutoff],1)</f>
        <v>3</v>
      </c>
      <c r="X1438" s="2">
        <f>MATCH(Auto_Sales_data___Copy[[#This Row],[Total_Orders_Per_Customer]],Table2[F-Cutoff],1)</f>
        <v>4</v>
      </c>
      <c r="Y1438" s="2">
        <f>MATCH(Auto_Sales_data___Copy[[#This Row],[Total_Sales_Per_Customer]],Table2[M-Cutoff],1)</f>
        <v>4</v>
      </c>
      <c r="Z1438" s="2" t="str">
        <f>Auto_Sales_data___Copy[[#This Row],[R-Score(1-5)]]&amp;Auto_Sales_data___Copy[[#This Row],[F-Score(1-5)]]&amp;Auto_Sales_data___Copy[[#This Row],[M-Score(1-5)]]</f>
        <v>344</v>
      </c>
      <c r="AA1438" s="2" t="str" cm="1">
        <f t="array" ref="AA14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8" s="2" t="str">
        <f>VLOOKUP(Auto_Sales_data___Copy[[#This Row],[Segment Name]],Table3[],2,FALSE)</f>
        <v>Reward &amp; Upsell</v>
      </c>
    </row>
    <row r="1439" spans="1:28" x14ac:dyDescent="0.25">
      <c r="A1439">
        <v>10420</v>
      </c>
      <c r="B1439">
        <v>35</v>
      </c>
      <c r="C1439">
        <v>96.74</v>
      </c>
      <c r="D1439">
        <v>10</v>
      </c>
      <c r="E1439">
        <v>3385.9</v>
      </c>
      <c r="F1439" s="1">
        <v>43980</v>
      </c>
      <c r="G1439" s="2" t="s">
        <v>314</v>
      </c>
      <c r="H1439" s="2" t="s">
        <v>183</v>
      </c>
      <c r="I1439">
        <v>85</v>
      </c>
      <c r="J1439" s="2" t="s">
        <v>682</v>
      </c>
      <c r="K1439" s="2" t="s">
        <v>152</v>
      </c>
      <c r="L1439" s="2" t="s">
        <v>153</v>
      </c>
      <c r="M1439" s="2" t="s">
        <v>154</v>
      </c>
      <c r="N1439" s="2" t="s">
        <v>155</v>
      </c>
      <c r="O1439" s="2" t="s">
        <v>156</v>
      </c>
      <c r="P1439" s="2" t="s">
        <v>87</v>
      </c>
      <c r="Q1439" s="2" t="s">
        <v>157</v>
      </c>
      <c r="R1439" s="2" t="s">
        <v>158</v>
      </c>
      <c r="S1439" s="2" t="s">
        <v>46</v>
      </c>
      <c r="T1439">
        <v>1809</v>
      </c>
      <c r="U1439">
        <f>VLOOKUP(Auto_Sales_data___Copy[[#This Row],[CUSTOMER_NAME]],$AF$2:$AH$90,2,FALSE)</f>
        <v>46</v>
      </c>
      <c r="V1439">
        <f>VLOOKUP(Auto_Sales_data___Copy[[#This Row],[CUSTOMER_NAME]],$AF$2:$AH$90,3,FALSE)</f>
        <v>151570.98000000001</v>
      </c>
      <c r="W1439" s="2">
        <f>6-MATCH(Auto_Sales_data___Copy[[#This Row],[DAYS_SINCE_LAST_ORDER]],Table2[R-Cutoff],1)</f>
        <v>3</v>
      </c>
      <c r="X1439" s="2">
        <f>MATCH(Auto_Sales_data___Copy[[#This Row],[Total_Orders_Per_Customer]],Table2[F-Cutoff],1)</f>
        <v>4</v>
      </c>
      <c r="Y1439" s="2">
        <f>MATCH(Auto_Sales_data___Copy[[#This Row],[Total_Sales_Per_Customer]],Table2[M-Cutoff],1)</f>
        <v>4</v>
      </c>
      <c r="Z1439" s="2" t="str">
        <f>Auto_Sales_data___Copy[[#This Row],[R-Score(1-5)]]&amp;Auto_Sales_data___Copy[[#This Row],[F-Score(1-5)]]&amp;Auto_Sales_data___Copy[[#This Row],[M-Score(1-5)]]</f>
        <v>344</v>
      </c>
      <c r="AA1439" s="2" t="str" cm="1">
        <f t="array" ref="AA14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9" s="2" t="str">
        <f>VLOOKUP(Auto_Sales_data___Copy[[#This Row],[Segment Name]],Table3[],2,FALSE)</f>
        <v>Reward &amp; Upsell</v>
      </c>
    </row>
    <row r="1440" spans="1:28" x14ac:dyDescent="0.25">
      <c r="A1440">
        <v>10420</v>
      </c>
      <c r="B1440">
        <v>26</v>
      </c>
      <c r="C1440">
        <v>100.66</v>
      </c>
      <c r="D1440">
        <v>12</v>
      </c>
      <c r="E1440">
        <v>2617.16</v>
      </c>
      <c r="F1440" s="1">
        <v>43980</v>
      </c>
      <c r="G1440" s="2" t="s">
        <v>314</v>
      </c>
      <c r="H1440" s="2" t="s">
        <v>183</v>
      </c>
      <c r="I1440">
        <v>107</v>
      </c>
      <c r="J1440" s="2" t="s">
        <v>685</v>
      </c>
      <c r="K1440" s="2" t="s">
        <v>152</v>
      </c>
      <c r="L1440" s="2" t="s">
        <v>153</v>
      </c>
      <c r="M1440" s="2" t="s">
        <v>154</v>
      </c>
      <c r="N1440" s="2" t="s">
        <v>155</v>
      </c>
      <c r="O1440" s="2" t="s">
        <v>156</v>
      </c>
      <c r="P1440" s="2" t="s">
        <v>87</v>
      </c>
      <c r="Q1440" s="2" t="s">
        <v>157</v>
      </c>
      <c r="R1440" s="2" t="s">
        <v>158</v>
      </c>
      <c r="S1440" s="2" t="s">
        <v>30</v>
      </c>
      <c r="T1440">
        <v>1883</v>
      </c>
      <c r="U1440">
        <f>VLOOKUP(Auto_Sales_data___Copy[[#This Row],[CUSTOMER_NAME]],$AF$2:$AH$90,2,FALSE)</f>
        <v>46</v>
      </c>
      <c r="V1440">
        <f>VLOOKUP(Auto_Sales_data___Copy[[#This Row],[CUSTOMER_NAME]],$AF$2:$AH$90,3,FALSE)</f>
        <v>151570.98000000001</v>
      </c>
      <c r="W1440" s="2">
        <f>6-MATCH(Auto_Sales_data___Copy[[#This Row],[DAYS_SINCE_LAST_ORDER]],Table2[R-Cutoff],1)</f>
        <v>3</v>
      </c>
      <c r="X1440" s="2">
        <f>MATCH(Auto_Sales_data___Copy[[#This Row],[Total_Orders_Per_Customer]],Table2[F-Cutoff],1)</f>
        <v>4</v>
      </c>
      <c r="Y1440" s="2">
        <f>MATCH(Auto_Sales_data___Copy[[#This Row],[Total_Sales_Per_Customer]],Table2[M-Cutoff],1)</f>
        <v>4</v>
      </c>
      <c r="Z1440" s="2" t="str">
        <f>Auto_Sales_data___Copy[[#This Row],[R-Score(1-5)]]&amp;Auto_Sales_data___Copy[[#This Row],[F-Score(1-5)]]&amp;Auto_Sales_data___Copy[[#This Row],[M-Score(1-5)]]</f>
        <v>344</v>
      </c>
      <c r="AA1440" s="2" t="str" cm="1">
        <f t="array" ref="AA14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40" s="2" t="str">
        <f>VLOOKUP(Auto_Sales_data___Copy[[#This Row],[Segment Name]],Table3[],2,FALSE)</f>
        <v>Reward &amp; Upsell</v>
      </c>
    </row>
    <row r="1441" spans="1:28" x14ac:dyDescent="0.25">
      <c r="A1441">
        <v>10420</v>
      </c>
      <c r="B1441">
        <v>15</v>
      </c>
      <c r="C1441">
        <v>43.49</v>
      </c>
      <c r="D1441">
        <v>3</v>
      </c>
      <c r="E1441">
        <v>652.35</v>
      </c>
      <c r="F1441" s="1">
        <v>43980</v>
      </c>
      <c r="G1441" s="2" t="s">
        <v>314</v>
      </c>
      <c r="H1441" s="2" t="s">
        <v>589</v>
      </c>
      <c r="I1441">
        <v>41</v>
      </c>
      <c r="J1441" s="2" t="s">
        <v>689</v>
      </c>
      <c r="K1441" s="2" t="s">
        <v>152</v>
      </c>
      <c r="L1441" s="2" t="s">
        <v>153</v>
      </c>
      <c r="M1441" s="2" t="s">
        <v>154</v>
      </c>
      <c r="N1441" s="2" t="s">
        <v>155</v>
      </c>
      <c r="O1441" s="2" t="s">
        <v>156</v>
      </c>
      <c r="P1441" s="2" t="s">
        <v>87</v>
      </c>
      <c r="Q1441" s="2" t="s">
        <v>157</v>
      </c>
      <c r="R1441" s="2" t="s">
        <v>158</v>
      </c>
      <c r="S1441" s="2" t="s">
        <v>30</v>
      </c>
      <c r="T1441">
        <v>1982</v>
      </c>
      <c r="U1441">
        <f>VLOOKUP(Auto_Sales_data___Copy[[#This Row],[CUSTOMER_NAME]],$AF$2:$AH$90,2,FALSE)</f>
        <v>46</v>
      </c>
      <c r="V1441">
        <f>VLOOKUP(Auto_Sales_data___Copy[[#This Row],[CUSTOMER_NAME]],$AF$2:$AH$90,3,FALSE)</f>
        <v>151570.98000000001</v>
      </c>
      <c r="W1441" s="2">
        <f>6-MATCH(Auto_Sales_data___Copy[[#This Row],[DAYS_SINCE_LAST_ORDER]],Table2[R-Cutoff],1)</f>
        <v>3</v>
      </c>
      <c r="X1441" s="2">
        <f>MATCH(Auto_Sales_data___Copy[[#This Row],[Total_Orders_Per_Customer]],Table2[F-Cutoff],1)</f>
        <v>4</v>
      </c>
      <c r="Y1441" s="2">
        <f>MATCH(Auto_Sales_data___Copy[[#This Row],[Total_Sales_Per_Customer]],Table2[M-Cutoff],1)</f>
        <v>4</v>
      </c>
      <c r="Z1441" s="2" t="str">
        <f>Auto_Sales_data___Copy[[#This Row],[R-Score(1-5)]]&amp;Auto_Sales_data___Copy[[#This Row],[F-Score(1-5)]]&amp;Auto_Sales_data___Copy[[#This Row],[M-Score(1-5)]]</f>
        <v>344</v>
      </c>
      <c r="AA1441" s="2" t="str" cm="1">
        <f t="array" ref="AA14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41" s="2" t="str">
        <f>VLOOKUP(Auto_Sales_data___Copy[[#This Row],[Segment Name]],Table3[],2,FALSE)</f>
        <v>Reward &amp; Upsell</v>
      </c>
    </row>
    <row r="1442" spans="1:28" x14ac:dyDescent="0.25">
      <c r="A1442">
        <v>10425</v>
      </c>
      <c r="B1442">
        <v>49</v>
      </c>
      <c r="C1442">
        <v>112.46</v>
      </c>
      <c r="D1442">
        <v>9</v>
      </c>
      <c r="E1442">
        <v>5510.54</v>
      </c>
      <c r="F1442" s="1">
        <v>43982</v>
      </c>
      <c r="G1442" s="2" t="s">
        <v>314</v>
      </c>
      <c r="H1442" s="2" t="s">
        <v>537</v>
      </c>
      <c r="I1442">
        <v>127</v>
      </c>
      <c r="J1442" s="2" t="s">
        <v>674</v>
      </c>
      <c r="K1442" s="2" t="s">
        <v>108</v>
      </c>
      <c r="L1442" s="2" t="s">
        <v>109</v>
      </c>
      <c r="M1442" s="2" t="s">
        <v>110</v>
      </c>
      <c r="N1442" s="2" t="s">
        <v>111</v>
      </c>
      <c r="O1442" s="2" t="s">
        <v>112</v>
      </c>
      <c r="P1442" s="2" t="s">
        <v>36</v>
      </c>
      <c r="Q1442" s="2" t="s">
        <v>113</v>
      </c>
      <c r="R1442" s="2" t="s">
        <v>114</v>
      </c>
      <c r="S1442" s="2" t="s">
        <v>46</v>
      </c>
      <c r="T1442">
        <v>1611</v>
      </c>
      <c r="U1442">
        <f>VLOOKUP(Auto_Sales_data___Copy[[#This Row],[CUSTOMER_NAME]],$AF$2:$AH$90,2,FALSE)</f>
        <v>53</v>
      </c>
      <c r="V1442">
        <f>VLOOKUP(Auto_Sales_data___Copy[[#This Row],[CUSTOMER_NAME]],$AF$2:$AH$90,3,FALSE)</f>
        <v>180124.90000000008</v>
      </c>
      <c r="W1442" s="2">
        <f>6-MATCH(Auto_Sales_data___Copy[[#This Row],[DAYS_SINCE_LAST_ORDER]],Table2[R-Cutoff],1)</f>
        <v>3</v>
      </c>
      <c r="X1442" s="2">
        <f>MATCH(Auto_Sales_data___Copy[[#This Row],[Total_Orders_Per_Customer]],Table2[F-Cutoff],1)</f>
        <v>4</v>
      </c>
      <c r="Y1442" s="2">
        <f>MATCH(Auto_Sales_data___Copy[[#This Row],[Total_Sales_Per_Customer]],Table2[M-Cutoff],1)</f>
        <v>4</v>
      </c>
      <c r="Z1442" s="2" t="str">
        <f>Auto_Sales_data___Copy[[#This Row],[R-Score(1-5)]]&amp;Auto_Sales_data___Copy[[#This Row],[F-Score(1-5)]]&amp;Auto_Sales_data___Copy[[#This Row],[M-Score(1-5)]]</f>
        <v>344</v>
      </c>
      <c r="AA1442" s="2" t="str" cm="1">
        <f t="array" ref="AA14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42" s="2" t="str">
        <f>VLOOKUP(Auto_Sales_data___Copy[[#This Row],[Segment Name]],Table3[],2,FALSE)</f>
        <v>Reward &amp; Upsell</v>
      </c>
    </row>
    <row r="1443" spans="1:28" x14ac:dyDescent="0.25">
      <c r="A1443">
        <v>10425</v>
      </c>
      <c r="B1443">
        <v>31</v>
      </c>
      <c r="C1443">
        <v>33.24</v>
      </c>
      <c r="D1443">
        <v>5</v>
      </c>
      <c r="E1443">
        <v>1030.44</v>
      </c>
      <c r="F1443" s="1">
        <v>43982</v>
      </c>
      <c r="G1443" s="2" t="s">
        <v>314</v>
      </c>
      <c r="H1443" s="2" t="s">
        <v>183</v>
      </c>
      <c r="I1443">
        <v>35</v>
      </c>
      <c r="J1443" s="2" t="s">
        <v>677</v>
      </c>
      <c r="K1443" s="2" t="s">
        <v>108</v>
      </c>
      <c r="L1443" s="2" t="s">
        <v>109</v>
      </c>
      <c r="M1443" s="2" t="s">
        <v>110</v>
      </c>
      <c r="N1443" s="2" t="s">
        <v>111</v>
      </c>
      <c r="O1443" s="2" t="s">
        <v>112</v>
      </c>
      <c r="P1443" s="2" t="s">
        <v>36</v>
      </c>
      <c r="Q1443" s="2" t="s">
        <v>113</v>
      </c>
      <c r="R1443" s="2" t="s">
        <v>114</v>
      </c>
      <c r="S1443" s="2" t="s">
        <v>30</v>
      </c>
      <c r="T1443">
        <v>1686</v>
      </c>
      <c r="U1443">
        <f>VLOOKUP(Auto_Sales_data___Copy[[#This Row],[CUSTOMER_NAME]],$AF$2:$AH$90,2,FALSE)</f>
        <v>53</v>
      </c>
      <c r="V1443">
        <f>VLOOKUP(Auto_Sales_data___Copy[[#This Row],[CUSTOMER_NAME]],$AF$2:$AH$90,3,FALSE)</f>
        <v>180124.90000000008</v>
      </c>
      <c r="W1443" s="2">
        <f>6-MATCH(Auto_Sales_data___Copy[[#This Row],[DAYS_SINCE_LAST_ORDER]],Table2[R-Cutoff],1)</f>
        <v>3</v>
      </c>
      <c r="X1443" s="2">
        <f>MATCH(Auto_Sales_data___Copy[[#This Row],[Total_Orders_Per_Customer]],Table2[F-Cutoff],1)</f>
        <v>4</v>
      </c>
      <c r="Y1443" s="2">
        <f>MATCH(Auto_Sales_data___Copy[[#This Row],[Total_Sales_Per_Customer]],Table2[M-Cutoff],1)</f>
        <v>4</v>
      </c>
      <c r="Z1443" s="2" t="str">
        <f>Auto_Sales_data___Copy[[#This Row],[R-Score(1-5)]]&amp;Auto_Sales_data___Copy[[#This Row],[F-Score(1-5)]]&amp;Auto_Sales_data___Copy[[#This Row],[M-Score(1-5)]]</f>
        <v>344</v>
      </c>
      <c r="AA1443" s="2" t="str" cm="1">
        <f t="array" ref="AA14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43" s="2" t="str">
        <f>VLOOKUP(Auto_Sales_data___Copy[[#This Row],[Segment Name]],Table3[],2,FALSE)</f>
        <v>Reward &amp; Upsell</v>
      </c>
    </row>
    <row r="1444" spans="1:28" x14ac:dyDescent="0.25">
      <c r="A1444">
        <v>10124</v>
      </c>
      <c r="B1444">
        <v>36</v>
      </c>
      <c r="C1444">
        <v>85.59</v>
      </c>
      <c r="D1444">
        <v>7</v>
      </c>
      <c r="E1444">
        <v>3081.24</v>
      </c>
      <c r="F1444" s="1">
        <v>43241</v>
      </c>
      <c r="G1444" s="2" t="s">
        <v>19</v>
      </c>
      <c r="H1444" s="2" t="s">
        <v>589</v>
      </c>
      <c r="I1444">
        <v>92</v>
      </c>
      <c r="J1444" s="2" t="s">
        <v>659</v>
      </c>
      <c r="K1444" s="2" t="s">
        <v>577</v>
      </c>
      <c r="L1444" s="2" t="s">
        <v>578</v>
      </c>
      <c r="M1444" s="2" t="s">
        <v>579</v>
      </c>
      <c r="N1444" s="2" t="s">
        <v>580</v>
      </c>
      <c r="O1444" s="2" t="s">
        <v>581</v>
      </c>
      <c r="P1444" s="2" t="s">
        <v>27</v>
      </c>
      <c r="Q1444" s="2" t="s">
        <v>107</v>
      </c>
      <c r="R1444" s="2" t="s">
        <v>422</v>
      </c>
      <c r="S1444" s="2" t="s">
        <v>46</v>
      </c>
      <c r="T1444">
        <v>1963</v>
      </c>
      <c r="U1444">
        <f>VLOOKUP(Auto_Sales_data___Copy[[#This Row],[CUSTOMER_NAME]],$AF$2:$AH$90,2,FALSE)</f>
        <v>29</v>
      </c>
      <c r="V1444">
        <f>VLOOKUP(Auto_Sales_data___Copy[[#This Row],[CUSTOMER_NAME]],$AF$2:$AH$90,3,FALSE)</f>
        <v>82751.079999999987</v>
      </c>
      <c r="W1444" s="2">
        <f>6-MATCH(Auto_Sales_data___Copy[[#This Row],[DAYS_SINCE_LAST_ORDER]],Table2[R-Cutoff],1)</f>
        <v>3</v>
      </c>
      <c r="X1444" s="2">
        <f>MATCH(Auto_Sales_data___Copy[[#This Row],[Total_Orders_Per_Customer]],Table2[F-Cutoff],1)</f>
        <v>4</v>
      </c>
      <c r="Y1444" s="2">
        <f>MATCH(Auto_Sales_data___Copy[[#This Row],[Total_Sales_Per_Customer]],Table2[M-Cutoff],1)</f>
        <v>3</v>
      </c>
      <c r="Z1444" s="2" t="str">
        <f>Auto_Sales_data___Copy[[#This Row],[R-Score(1-5)]]&amp;Auto_Sales_data___Copy[[#This Row],[F-Score(1-5)]]&amp;Auto_Sales_data___Copy[[#This Row],[M-Score(1-5)]]</f>
        <v>343</v>
      </c>
      <c r="AA1444" s="2" t="str" cm="1">
        <f t="array" ref="AA14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4" s="2" t="str">
        <f>VLOOKUP(Auto_Sales_data___Copy[[#This Row],[Segment Name]],Table3[],2,FALSE)</f>
        <v>Brand Awareness &amp; Value Proposition</v>
      </c>
    </row>
    <row r="1445" spans="1:28" x14ac:dyDescent="0.25">
      <c r="A1445">
        <v>10211</v>
      </c>
      <c r="B1445">
        <v>35</v>
      </c>
      <c r="C1445">
        <v>78</v>
      </c>
      <c r="D1445">
        <v>5</v>
      </c>
      <c r="E1445">
        <v>2730</v>
      </c>
      <c r="F1445" s="1">
        <v>43480</v>
      </c>
      <c r="G1445" s="2" t="s">
        <v>19</v>
      </c>
      <c r="H1445" s="2" t="s">
        <v>183</v>
      </c>
      <c r="I1445">
        <v>80</v>
      </c>
      <c r="J1445" s="2" t="s">
        <v>652</v>
      </c>
      <c r="K1445" s="2" t="s">
        <v>76</v>
      </c>
      <c r="L1445" s="2" t="s">
        <v>77</v>
      </c>
      <c r="M1445" s="2" t="s">
        <v>78</v>
      </c>
      <c r="N1445" s="2" t="s">
        <v>42</v>
      </c>
      <c r="O1445" s="2" t="s">
        <v>79</v>
      </c>
      <c r="P1445" s="2" t="s">
        <v>36</v>
      </c>
      <c r="Q1445" s="2" t="s">
        <v>80</v>
      </c>
      <c r="R1445" s="2" t="s">
        <v>81</v>
      </c>
      <c r="S1445" s="2" t="s">
        <v>30</v>
      </c>
      <c r="T1445">
        <v>1559</v>
      </c>
      <c r="U1445">
        <f>VLOOKUP(Auto_Sales_data___Copy[[#This Row],[CUSTOMER_NAME]],$AF$2:$AH$90,2,FALSE)</f>
        <v>27</v>
      </c>
      <c r="V1445">
        <f>VLOOKUP(Auto_Sales_data___Copy[[#This Row],[CUSTOMER_NAME]],$AF$2:$AH$90,3,FALSE)</f>
        <v>93170.66</v>
      </c>
      <c r="W1445" s="2">
        <f>6-MATCH(Auto_Sales_data___Copy[[#This Row],[DAYS_SINCE_LAST_ORDER]],Table2[R-Cutoff],1)</f>
        <v>3</v>
      </c>
      <c r="X1445" s="2">
        <f>MATCH(Auto_Sales_data___Copy[[#This Row],[Total_Orders_Per_Customer]],Table2[F-Cutoff],1)</f>
        <v>4</v>
      </c>
      <c r="Y1445" s="2">
        <f>MATCH(Auto_Sales_data___Copy[[#This Row],[Total_Sales_Per_Customer]],Table2[M-Cutoff],1)</f>
        <v>3</v>
      </c>
      <c r="Z1445" s="2" t="str">
        <f>Auto_Sales_data___Copy[[#This Row],[R-Score(1-5)]]&amp;Auto_Sales_data___Copy[[#This Row],[F-Score(1-5)]]&amp;Auto_Sales_data___Copy[[#This Row],[M-Score(1-5)]]</f>
        <v>343</v>
      </c>
      <c r="AA1445" s="2" t="str" cm="1">
        <f t="array" ref="AA14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5" s="2" t="str">
        <f>VLOOKUP(Auto_Sales_data___Copy[[#This Row],[Segment Name]],Table3[],2,FALSE)</f>
        <v>Brand Awareness &amp; Value Proposition</v>
      </c>
    </row>
    <row r="1446" spans="1:28" x14ac:dyDescent="0.25">
      <c r="A1446">
        <v>10211</v>
      </c>
      <c r="B1446">
        <v>28</v>
      </c>
      <c r="C1446">
        <v>133.76</v>
      </c>
      <c r="D1446">
        <v>4</v>
      </c>
      <c r="E1446">
        <v>3745.28</v>
      </c>
      <c r="F1446" s="1">
        <v>43480</v>
      </c>
      <c r="G1446" s="2" t="s">
        <v>19</v>
      </c>
      <c r="H1446" s="2" t="s">
        <v>183</v>
      </c>
      <c r="I1446">
        <v>146</v>
      </c>
      <c r="J1446" s="2" t="s">
        <v>654</v>
      </c>
      <c r="K1446" s="2" t="s">
        <v>76</v>
      </c>
      <c r="L1446" s="2" t="s">
        <v>77</v>
      </c>
      <c r="M1446" s="2" t="s">
        <v>78</v>
      </c>
      <c r="N1446" s="2" t="s">
        <v>42</v>
      </c>
      <c r="O1446" s="2" t="s">
        <v>79</v>
      </c>
      <c r="P1446" s="2" t="s">
        <v>36</v>
      </c>
      <c r="Q1446" s="2" t="s">
        <v>80</v>
      </c>
      <c r="R1446" s="2" t="s">
        <v>81</v>
      </c>
      <c r="S1446" s="2" t="s">
        <v>46</v>
      </c>
      <c r="T1446">
        <v>1606</v>
      </c>
      <c r="U1446">
        <f>VLOOKUP(Auto_Sales_data___Copy[[#This Row],[CUSTOMER_NAME]],$AF$2:$AH$90,2,FALSE)</f>
        <v>27</v>
      </c>
      <c r="V1446">
        <f>VLOOKUP(Auto_Sales_data___Copy[[#This Row],[CUSTOMER_NAME]],$AF$2:$AH$90,3,FALSE)</f>
        <v>93170.66</v>
      </c>
      <c r="W1446" s="2">
        <f>6-MATCH(Auto_Sales_data___Copy[[#This Row],[DAYS_SINCE_LAST_ORDER]],Table2[R-Cutoff],1)</f>
        <v>3</v>
      </c>
      <c r="X1446" s="2">
        <f>MATCH(Auto_Sales_data___Copy[[#This Row],[Total_Orders_Per_Customer]],Table2[F-Cutoff],1)</f>
        <v>4</v>
      </c>
      <c r="Y1446" s="2">
        <f>MATCH(Auto_Sales_data___Copy[[#This Row],[Total_Sales_Per_Customer]],Table2[M-Cutoff],1)</f>
        <v>3</v>
      </c>
      <c r="Z1446" s="2" t="str">
        <f>Auto_Sales_data___Copy[[#This Row],[R-Score(1-5)]]&amp;Auto_Sales_data___Copy[[#This Row],[F-Score(1-5)]]&amp;Auto_Sales_data___Copy[[#This Row],[M-Score(1-5)]]</f>
        <v>343</v>
      </c>
      <c r="AA1446" s="2" t="str" cm="1">
        <f t="array" ref="AA14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6" s="2" t="str">
        <f>VLOOKUP(Auto_Sales_data___Copy[[#This Row],[Segment Name]],Table3[],2,FALSE)</f>
        <v>Brand Awareness &amp; Value Proposition</v>
      </c>
    </row>
    <row r="1447" spans="1:28" x14ac:dyDescent="0.25">
      <c r="A1447">
        <v>10211</v>
      </c>
      <c r="B1447">
        <v>46</v>
      </c>
      <c r="C1447">
        <v>54.09</v>
      </c>
      <c r="D1447">
        <v>8</v>
      </c>
      <c r="E1447">
        <v>2488.14</v>
      </c>
      <c r="F1447" s="1">
        <v>43480</v>
      </c>
      <c r="G1447" s="2" t="s">
        <v>19</v>
      </c>
      <c r="H1447" s="2" t="s">
        <v>20</v>
      </c>
      <c r="I1447">
        <v>62</v>
      </c>
      <c r="J1447" s="2" t="s">
        <v>656</v>
      </c>
      <c r="K1447" s="2" t="s">
        <v>76</v>
      </c>
      <c r="L1447" s="2" t="s">
        <v>77</v>
      </c>
      <c r="M1447" s="2" t="s">
        <v>78</v>
      </c>
      <c r="N1447" s="2" t="s">
        <v>42</v>
      </c>
      <c r="O1447" s="2" t="s">
        <v>79</v>
      </c>
      <c r="P1447" s="2" t="s">
        <v>36</v>
      </c>
      <c r="Q1447" s="2" t="s">
        <v>80</v>
      </c>
      <c r="R1447" s="2" t="s">
        <v>81</v>
      </c>
      <c r="S1447" s="2" t="s">
        <v>30</v>
      </c>
      <c r="T1447">
        <v>1654</v>
      </c>
      <c r="U1447">
        <f>VLOOKUP(Auto_Sales_data___Copy[[#This Row],[CUSTOMER_NAME]],$AF$2:$AH$90,2,FALSE)</f>
        <v>27</v>
      </c>
      <c r="V1447">
        <f>VLOOKUP(Auto_Sales_data___Copy[[#This Row],[CUSTOMER_NAME]],$AF$2:$AH$90,3,FALSE)</f>
        <v>93170.66</v>
      </c>
      <c r="W1447" s="2">
        <f>6-MATCH(Auto_Sales_data___Copy[[#This Row],[DAYS_SINCE_LAST_ORDER]],Table2[R-Cutoff],1)</f>
        <v>3</v>
      </c>
      <c r="X1447" s="2">
        <f>MATCH(Auto_Sales_data___Copy[[#This Row],[Total_Orders_Per_Customer]],Table2[F-Cutoff],1)</f>
        <v>4</v>
      </c>
      <c r="Y1447" s="2">
        <f>MATCH(Auto_Sales_data___Copy[[#This Row],[Total_Sales_Per_Customer]],Table2[M-Cutoff],1)</f>
        <v>3</v>
      </c>
      <c r="Z1447" s="2" t="str">
        <f>Auto_Sales_data___Copy[[#This Row],[R-Score(1-5)]]&amp;Auto_Sales_data___Copy[[#This Row],[F-Score(1-5)]]&amp;Auto_Sales_data___Copy[[#This Row],[M-Score(1-5)]]</f>
        <v>343</v>
      </c>
      <c r="AA1447" s="2" t="str" cm="1">
        <f t="array" ref="AA14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7" s="2" t="str">
        <f>VLOOKUP(Auto_Sales_data___Copy[[#This Row],[Segment Name]],Table3[],2,FALSE)</f>
        <v>Brand Awareness &amp; Value Proposition</v>
      </c>
    </row>
    <row r="1448" spans="1:28" x14ac:dyDescent="0.25">
      <c r="A1448">
        <v>10211</v>
      </c>
      <c r="B1448">
        <v>41</v>
      </c>
      <c r="C1448">
        <v>138.38</v>
      </c>
      <c r="D1448">
        <v>7</v>
      </c>
      <c r="E1448">
        <v>5673.58</v>
      </c>
      <c r="F1448" s="1">
        <v>43480</v>
      </c>
      <c r="G1448" s="2" t="s">
        <v>19</v>
      </c>
      <c r="H1448" s="2" t="s">
        <v>183</v>
      </c>
      <c r="I1448">
        <v>148</v>
      </c>
      <c r="J1448" s="2" t="s">
        <v>663</v>
      </c>
      <c r="K1448" s="2" t="s">
        <v>76</v>
      </c>
      <c r="L1448" s="2" t="s">
        <v>77</v>
      </c>
      <c r="M1448" s="2" t="s">
        <v>78</v>
      </c>
      <c r="N1448" s="2" t="s">
        <v>42</v>
      </c>
      <c r="O1448" s="2" t="s">
        <v>79</v>
      </c>
      <c r="P1448" s="2" t="s">
        <v>36</v>
      </c>
      <c r="Q1448" s="2" t="s">
        <v>80</v>
      </c>
      <c r="R1448" s="2" t="s">
        <v>81</v>
      </c>
      <c r="S1448" s="2" t="s">
        <v>46</v>
      </c>
      <c r="T1448">
        <v>1829</v>
      </c>
      <c r="U1448">
        <f>VLOOKUP(Auto_Sales_data___Copy[[#This Row],[CUSTOMER_NAME]],$AF$2:$AH$90,2,FALSE)</f>
        <v>27</v>
      </c>
      <c r="V1448">
        <f>VLOOKUP(Auto_Sales_data___Copy[[#This Row],[CUSTOMER_NAME]],$AF$2:$AH$90,3,FALSE)</f>
        <v>93170.66</v>
      </c>
      <c r="W1448" s="2">
        <f>6-MATCH(Auto_Sales_data___Copy[[#This Row],[DAYS_SINCE_LAST_ORDER]],Table2[R-Cutoff],1)</f>
        <v>3</v>
      </c>
      <c r="X1448" s="2">
        <f>MATCH(Auto_Sales_data___Copy[[#This Row],[Total_Orders_Per_Customer]],Table2[F-Cutoff],1)</f>
        <v>4</v>
      </c>
      <c r="Y1448" s="2">
        <f>MATCH(Auto_Sales_data___Copy[[#This Row],[Total_Sales_Per_Customer]],Table2[M-Cutoff],1)</f>
        <v>3</v>
      </c>
      <c r="Z1448" s="2" t="str">
        <f>Auto_Sales_data___Copy[[#This Row],[R-Score(1-5)]]&amp;Auto_Sales_data___Copy[[#This Row],[F-Score(1-5)]]&amp;Auto_Sales_data___Copy[[#This Row],[M-Score(1-5)]]</f>
        <v>343</v>
      </c>
      <c r="AA1448" s="2" t="str" cm="1">
        <f t="array" ref="AA14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8" s="2" t="str">
        <f>VLOOKUP(Auto_Sales_data___Copy[[#This Row],[Segment Name]],Table3[],2,FALSE)</f>
        <v>Brand Awareness &amp; Value Proposition</v>
      </c>
    </row>
    <row r="1449" spans="1:28" x14ac:dyDescent="0.25">
      <c r="A1449">
        <v>10211</v>
      </c>
      <c r="B1449">
        <v>25</v>
      </c>
      <c r="C1449">
        <v>90.16</v>
      </c>
      <c r="D1449">
        <v>15</v>
      </c>
      <c r="E1449">
        <v>2254</v>
      </c>
      <c r="F1449" s="1">
        <v>43480</v>
      </c>
      <c r="G1449" s="2" t="s">
        <v>19</v>
      </c>
      <c r="H1449" s="2" t="s">
        <v>20</v>
      </c>
      <c r="I1449">
        <v>112</v>
      </c>
      <c r="J1449" s="2" t="s">
        <v>667</v>
      </c>
      <c r="K1449" s="2" t="s">
        <v>76</v>
      </c>
      <c r="L1449" s="2" t="s">
        <v>77</v>
      </c>
      <c r="M1449" s="2" t="s">
        <v>78</v>
      </c>
      <c r="N1449" s="2" t="s">
        <v>42</v>
      </c>
      <c r="O1449" s="2" t="s">
        <v>79</v>
      </c>
      <c r="P1449" s="2" t="s">
        <v>36</v>
      </c>
      <c r="Q1449" s="2" t="s">
        <v>80</v>
      </c>
      <c r="R1449" s="2" t="s">
        <v>81</v>
      </c>
      <c r="S1449" s="2" t="s">
        <v>30</v>
      </c>
      <c r="T1449">
        <v>1925</v>
      </c>
      <c r="U1449">
        <f>VLOOKUP(Auto_Sales_data___Copy[[#This Row],[CUSTOMER_NAME]],$AF$2:$AH$90,2,FALSE)</f>
        <v>27</v>
      </c>
      <c r="V1449">
        <f>VLOOKUP(Auto_Sales_data___Copy[[#This Row],[CUSTOMER_NAME]],$AF$2:$AH$90,3,FALSE)</f>
        <v>93170.66</v>
      </c>
      <c r="W1449" s="2">
        <f>6-MATCH(Auto_Sales_data___Copy[[#This Row],[DAYS_SINCE_LAST_ORDER]],Table2[R-Cutoff],1)</f>
        <v>3</v>
      </c>
      <c r="X1449" s="2">
        <f>MATCH(Auto_Sales_data___Copy[[#This Row],[Total_Orders_Per_Customer]],Table2[F-Cutoff],1)</f>
        <v>4</v>
      </c>
      <c r="Y1449" s="2">
        <f>MATCH(Auto_Sales_data___Copy[[#This Row],[Total_Sales_Per_Customer]],Table2[M-Cutoff],1)</f>
        <v>3</v>
      </c>
      <c r="Z1449" s="2" t="str">
        <f>Auto_Sales_data___Copy[[#This Row],[R-Score(1-5)]]&amp;Auto_Sales_data___Copy[[#This Row],[F-Score(1-5)]]&amp;Auto_Sales_data___Copy[[#This Row],[M-Score(1-5)]]</f>
        <v>343</v>
      </c>
      <c r="AA1449" s="2" t="str" cm="1">
        <f t="array" ref="AA14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9" s="2" t="str">
        <f>VLOOKUP(Auto_Sales_data___Copy[[#This Row],[Segment Name]],Table3[],2,FALSE)</f>
        <v>Brand Awareness &amp; Value Proposition</v>
      </c>
    </row>
    <row r="1450" spans="1:28" x14ac:dyDescent="0.25">
      <c r="A1450">
        <v>10252</v>
      </c>
      <c r="B1450">
        <v>31</v>
      </c>
      <c r="C1450">
        <v>52.84</v>
      </c>
      <c r="D1450">
        <v>5</v>
      </c>
      <c r="E1450">
        <v>1638.04</v>
      </c>
      <c r="F1450" s="1">
        <v>43611</v>
      </c>
      <c r="G1450" s="2" t="s">
        <v>19</v>
      </c>
      <c r="H1450" s="2" t="s">
        <v>20</v>
      </c>
      <c r="I1450">
        <v>62</v>
      </c>
      <c r="J1450" s="2" t="s">
        <v>656</v>
      </c>
      <c r="K1450" s="2" t="s">
        <v>76</v>
      </c>
      <c r="L1450" s="2" t="s">
        <v>77</v>
      </c>
      <c r="M1450" s="2" t="s">
        <v>78</v>
      </c>
      <c r="N1450" s="2" t="s">
        <v>42</v>
      </c>
      <c r="O1450" s="2" t="s">
        <v>79</v>
      </c>
      <c r="P1450" s="2" t="s">
        <v>36</v>
      </c>
      <c r="Q1450" s="2" t="s">
        <v>80</v>
      </c>
      <c r="R1450" s="2" t="s">
        <v>81</v>
      </c>
      <c r="S1450" s="2" t="s">
        <v>30</v>
      </c>
      <c r="T1450">
        <v>1526</v>
      </c>
      <c r="U1450">
        <f>VLOOKUP(Auto_Sales_data___Copy[[#This Row],[CUSTOMER_NAME]],$AF$2:$AH$90,2,FALSE)</f>
        <v>27</v>
      </c>
      <c r="V1450">
        <f>VLOOKUP(Auto_Sales_data___Copy[[#This Row],[CUSTOMER_NAME]],$AF$2:$AH$90,3,FALSE)</f>
        <v>93170.66</v>
      </c>
      <c r="W1450" s="2">
        <f>6-MATCH(Auto_Sales_data___Copy[[#This Row],[DAYS_SINCE_LAST_ORDER]],Table2[R-Cutoff],1)</f>
        <v>3</v>
      </c>
      <c r="X1450" s="2">
        <f>MATCH(Auto_Sales_data___Copy[[#This Row],[Total_Orders_Per_Customer]],Table2[F-Cutoff],1)</f>
        <v>4</v>
      </c>
      <c r="Y1450" s="2">
        <f>MATCH(Auto_Sales_data___Copy[[#This Row],[Total_Sales_Per_Customer]],Table2[M-Cutoff],1)</f>
        <v>3</v>
      </c>
      <c r="Z1450" s="2" t="str">
        <f>Auto_Sales_data___Copy[[#This Row],[R-Score(1-5)]]&amp;Auto_Sales_data___Copy[[#This Row],[F-Score(1-5)]]&amp;Auto_Sales_data___Copy[[#This Row],[M-Score(1-5)]]</f>
        <v>343</v>
      </c>
      <c r="AA1450" s="2" t="str" cm="1">
        <f t="array" ref="AA14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0" s="2" t="str">
        <f>VLOOKUP(Auto_Sales_data___Copy[[#This Row],[Segment Name]],Table3[],2,FALSE)</f>
        <v>Brand Awareness &amp; Value Proposition</v>
      </c>
    </row>
    <row r="1451" spans="1:28" x14ac:dyDescent="0.25">
      <c r="A1451">
        <v>10252</v>
      </c>
      <c r="B1451">
        <v>26</v>
      </c>
      <c r="C1451">
        <v>136.9</v>
      </c>
      <c r="D1451">
        <v>4</v>
      </c>
      <c r="E1451">
        <v>3559.4</v>
      </c>
      <c r="F1451" s="1">
        <v>43611</v>
      </c>
      <c r="G1451" s="2" t="s">
        <v>19</v>
      </c>
      <c r="H1451" s="2" t="s">
        <v>183</v>
      </c>
      <c r="I1451">
        <v>148</v>
      </c>
      <c r="J1451" s="2" t="s">
        <v>663</v>
      </c>
      <c r="K1451" s="2" t="s">
        <v>76</v>
      </c>
      <c r="L1451" s="2" t="s">
        <v>77</v>
      </c>
      <c r="M1451" s="2" t="s">
        <v>78</v>
      </c>
      <c r="N1451" s="2" t="s">
        <v>42</v>
      </c>
      <c r="O1451" s="2" t="s">
        <v>79</v>
      </c>
      <c r="P1451" s="2" t="s">
        <v>36</v>
      </c>
      <c r="Q1451" s="2" t="s">
        <v>80</v>
      </c>
      <c r="R1451" s="2" t="s">
        <v>81</v>
      </c>
      <c r="S1451" s="2" t="s">
        <v>46</v>
      </c>
      <c r="T1451">
        <v>1701</v>
      </c>
      <c r="U1451">
        <f>VLOOKUP(Auto_Sales_data___Copy[[#This Row],[CUSTOMER_NAME]],$AF$2:$AH$90,2,FALSE)</f>
        <v>27</v>
      </c>
      <c r="V1451">
        <f>VLOOKUP(Auto_Sales_data___Copy[[#This Row],[CUSTOMER_NAME]],$AF$2:$AH$90,3,FALSE)</f>
        <v>93170.66</v>
      </c>
      <c r="W1451" s="2">
        <f>6-MATCH(Auto_Sales_data___Copy[[#This Row],[DAYS_SINCE_LAST_ORDER]],Table2[R-Cutoff],1)</f>
        <v>3</v>
      </c>
      <c r="X1451" s="2">
        <f>MATCH(Auto_Sales_data___Copy[[#This Row],[Total_Orders_Per_Customer]],Table2[F-Cutoff],1)</f>
        <v>4</v>
      </c>
      <c r="Y1451" s="2">
        <f>MATCH(Auto_Sales_data___Copy[[#This Row],[Total_Sales_Per_Customer]],Table2[M-Cutoff],1)</f>
        <v>3</v>
      </c>
      <c r="Z1451" s="2" t="str">
        <f>Auto_Sales_data___Copy[[#This Row],[R-Score(1-5)]]&amp;Auto_Sales_data___Copy[[#This Row],[F-Score(1-5)]]&amp;Auto_Sales_data___Copy[[#This Row],[M-Score(1-5)]]</f>
        <v>343</v>
      </c>
      <c r="AA1451" s="2" t="str" cm="1">
        <f t="array" ref="AA14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1" s="2" t="str">
        <f>VLOOKUP(Auto_Sales_data___Copy[[#This Row],[Segment Name]],Table3[],2,FALSE)</f>
        <v>Brand Awareness &amp; Value Proposition</v>
      </c>
    </row>
    <row r="1452" spans="1:28" x14ac:dyDescent="0.25">
      <c r="A1452">
        <v>10252</v>
      </c>
      <c r="B1452">
        <v>47</v>
      </c>
      <c r="C1452">
        <v>65.8</v>
      </c>
      <c r="D1452">
        <v>8</v>
      </c>
      <c r="E1452">
        <v>3092.6</v>
      </c>
      <c r="F1452" s="1">
        <v>43611</v>
      </c>
      <c r="G1452" s="2" t="s">
        <v>19</v>
      </c>
      <c r="H1452" s="2" t="s">
        <v>20</v>
      </c>
      <c r="I1452">
        <v>69</v>
      </c>
      <c r="J1452" s="2" t="s">
        <v>675</v>
      </c>
      <c r="K1452" s="2" t="s">
        <v>76</v>
      </c>
      <c r="L1452" s="2" t="s">
        <v>77</v>
      </c>
      <c r="M1452" s="2" t="s">
        <v>78</v>
      </c>
      <c r="N1452" s="2" t="s">
        <v>42</v>
      </c>
      <c r="O1452" s="2" t="s">
        <v>79</v>
      </c>
      <c r="P1452" s="2" t="s">
        <v>36</v>
      </c>
      <c r="Q1452" s="2" t="s">
        <v>80</v>
      </c>
      <c r="R1452" s="2" t="s">
        <v>81</v>
      </c>
      <c r="S1452" s="2" t="s">
        <v>46</v>
      </c>
      <c r="T1452">
        <v>1993</v>
      </c>
      <c r="U1452">
        <f>VLOOKUP(Auto_Sales_data___Copy[[#This Row],[CUSTOMER_NAME]],$AF$2:$AH$90,2,FALSE)</f>
        <v>27</v>
      </c>
      <c r="V1452">
        <f>VLOOKUP(Auto_Sales_data___Copy[[#This Row],[CUSTOMER_NAME]],$AF$2:$AH$90,3,FALSE)</f>
        <v>93170.66</v>
      </c>
      <c r="W1452" s="2">
        <f>6-MATCH(Auto_Sales_data___Copy[[#This Row],[DAYS_SINCE_LAST_ORDER]],Table2[R-Cutoff],1)</f>
        <v>3</v>
      </c>
      <c r="X1452" s="2">
        <f>MATCH(Auto_Sales_data___Copy[[#This Row],[Total_Orders_Per_Customer]],Table2[F-Cutoff],1)</f>
        <v>4</v>
      </c>
      <c r="Y1452" s="2">
        <f>MATCH(Auto_Sales_data___Copy[[#This Row],[Total_Sales_Per_Customer]],Table2[M-Cutoff],1)</f>
        <v>3</v>
      </c>
      <c r="Z1452" s="2" t="str">
        <f>Auto_Sales_data___Copy[[#This Row],[R-Score(1-5)]]&amp;Auto_Sales_data___Copy[[#This Row],[F-Score(1-5)]]&amp;Auto_Sales_data___Copy[[#This Row],[M-Score(1-5)]]</f>
        <v>343</v>
      </c>
      <c r="AA1452" s="2" t="str" cm="1">
        <f t="array" ref="AA14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2" s="2" t="str">
        <f>VLOOKUP(Auto_Sales_data___Copy[[#This Row],[Segment Name]],Table3[],2,FALSE)</f>
        <v>Brand Awareness &amp; Value Proposition</v>
      </c>
    </row>
    <row r="1453" spans="1:28" x14ac:dyDescent="0.25">
      <c r="A1453">
        <v>10278</v>
      </c>
      <c r="B1453">
        <v>35</v>
      </c>
      <c r="C1453">
        <v>45.28</v>
      </c>
      <c r="D1453">
        <v>1</v>
      </c>
      <c r="E1453">
        <v>1584.8</v>
      </c>
      <c r="F1453" s="1">
        <v>43683</v>
      </c>
      <c r="G1453" s="2" t="s">
        <v>19</v>
      </c>
      <c r="H1453" s="2" t="s">
        <v>183</v>
      </c>
      <c r="I1453">
        <v>50</v>
      </c>
      <c r="J1453" s="2" t="s">
        <v>668</v>
      </c>
      <c r="K1453" s="2" t="s">
        <v>577</v>
      </c>
      <c r="L1453" s="2" t="s">
        <v>578</v>
      </c>
      <c r="M1453" s="2" t="s">
        <v>579</v>
      </c>
      <c r="N1453" s="2" t="s">
        <v>580</v>
      </c>
      <c r="O1453" s="2" t="s">
        <v>581</v>
      </c>
      <c r="P1453" s="2" t="s">
        <v>27</v>
      </c>
      <c r="Q1453" s="2" t="s">
        <v>107</v>
      </c>
      <c r="R1453" s="2" t="s">
        <v>422</v>
      </c>
      <c r="S1453" s="2" t="s">
        <v>30</v>
      </c>
      <c r="T1453">
        <v>1752</v>
      </c>
      <c r="U1453">
        <f>VLOOKUP(Auto_Sales_data___Copy[[#This Row],[CUSTOMER_NAME]],$AF$2:$AH$90,2,FALSE)</f>
        <v>29</v>
      </c>
      <c r="V1453">
        <f>VLOOKUP(Auto_Sales_data___Copy[[#This Row],[CUSTOMER_NAME]],$AF$2:$AH$90,3,FALSE)</f>
        <v>82751.079999999987</v>
      </c>
      <c r="W1453" s="2">
        <f>6-MATCH(Auto_Sales_data___Copy[[#This Row],[DAYS_SINCE_LAST_ORDER]],Table2[R-Cutoff],1)</f>
        <v>3</v>
      </c>
      <c r="X1453" s="2">
        <f>MATCH(Auto_Sales_data___Copy[[#This Row],[Total_Orders_Per_Customer]],Table2[F-Cutoff],1)</f>
        <v>4</v>
      </c>
      <c r="Y1453" s="2">
        <f>MATCH(Auto_Sales_data___Copy[[#This Row],[Total_Sales_Per_Customer]],Table2[M-Cutoff],1)</f>
        <v>3</v>
      </c>
      <c r="Z1453" s="2" t="str">
        <f>Auto_Sales_data___Copy[[#This Row],[R-Score(1-5)]]&amp;Auto_Sales_data___Copy[[#This Row],[F-Score(1-5)]]&amp;Auto_Sales_data___Copy[[#This Row],[M-Score(1-5)]]</f>
        <v>343</v>
      </c>
      <c r="AA1453" s="2" t="str" cm="1">
        <f t="array" ref="AA14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3" s="2" t="str">
        <f>VLOOKUP(Auto_Sales_data___Copy[[#This Row],[Segment Name]],Table3[],2,FALSE)</f>
        <v>Brand Awareness &amp; Value Proposition</v>
      </c>
    </row>
    <row r="1454" spans="1:28" x14ac:dyDescent="0.25">
      <c r="A1454">
        <v>10346</v>
      </c>
      <c r="B1454">
        <v>25</v>
      </c>
      <c r="C1454">
        <v>115.07</v>
      </c>
      <c r="D1454">
        <v>1</v>
      </c>
      <c r="E1454">
        <v>2876.75</v>
      </c>
      <c r="F1454" s="1">
        <v>43798</v>
      </c>
      <c r="G1454" s="2" t="s">
        <v>19</v>
      </c>
      <c r="H1454" s="2" t="s">
        <v>183</v>
      </c>
      <c r="I1454">
        <v>90</v>
      </c>
      <c r="J1454" s="2" t="s">
        <v>676</v>
      </c>
      <c r="K1454" s="2" t="s">
        <v>577</v>
      </c>
      <c r="L1454" s="2" t="s">
        <v>578</v>
      </c>
      <c r="M1454" s="2" t="s">
        <v>579</v>
      </c>
      <c r="N1454" s="2" t="s">
        <v>580</v>
      </c>
      <c r="O1454" s="2" t="s">
        <v>581</v>
      </c>
      <c r="P1454" s="2" t="s">
        <v>27</v>
      </c>
      <c r="Q1454" s="2" t="s">
        <v>107</v>
      </c>
      <c r="R1454" s="2" t="s">
        <v>422</v>
      </c>
      <c r="S1454" s="2" t="s">
        <v>30</v>
      </c>
      <c r="T1454">
        <v>1838</v>
      </c>
      <c r="U1454">
        <f>VLOOKUP(Auto_Sales_data___Copy[[#This Row],[CUSTOMER_NAME]],$AF$2:$AH$90,2,FALSE)</f>
        <v>29</v>
      </c>
      <c r="V1454">
        <f>VLOOKUP(Auto_Sales_data___Copy[[#This Row],[CUSTOMER_NAME]],$AF$2:$AH$90,3,FALSE)</f>
        <v>82751.079999999987</v>
      </c>
      <c r="W1454" s="2">
        <f>6-MATCH(Auto_Sales_data___Copy[[#This Row],[DAYS_SINCE_LAST_ORDER]],Table2[R-Cutoff],1)</f>
        <v>3</v>
      </c>
      <c r="X1454" s="2">
        <f>MATCH(Auto_Sales_data___Copy[[#This Row],[Total_Orders_Per_Customer]],Table2[F-Cutoff],1)</f>
        <v>4</v>
      </c>
      <c r="Y1454" s="2">
        <f>MATCH(Auto_Sales_data___Copy[[#This Row],[Total_Sales_Per_Customer]],Table2[M-Cutoff],1)</f>
        <v>3</v>
      </c>
      <c r="Z1454" s="2" t="str">
        <f>Auto_Sales_data___Copy[[#This Row],[R-Score(1-5)]]&amp;Auto_Sales_data___Copy[[#This Row],[F-Score(1-5)]]&amp;Auto_Sales_data___Copy[[#This Row],[M-Score(1-5)]]</f>
        <v>343</v>
      </c>
      <c r="AA1454" s="2" t="str" cm="1">
        <f t="array" ref="AA14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4" s="2" t="str">
        <f>VLOOKUP(Auto_Sales_data___Copy[[#This Row],[Segment Name]],Table3[],2,FALSE)</f>
        <v>Brand Awareness &amp; Value Proposition</v>
      </c>
    </row>
    <row r="1455" spans="1:28" x14ac:dyDescent="0.25">
      <c r="A1455">
        <v>10346</v>
      </c>
      <c r="B1455">
        <v>24</v>
      </c>
      <c r="C1455">
        <v>87.24</v>
      </c>
      <c r="D1455">
        <v>5</v>
      </c>
      <c r="E1455">
        <v>2093.7600000000002</v>
      </c>
      <c r="F1455" s="1">
        <v>43798</v>
      </c>
      <c r="G1455" s="2" t="s">
        <v>19</v>
      </c>
      <c r="H1455" s="2" t="s">
        <v>183</v>
      </c>
      <c r="I1455">
        <v>117</v>
      </c>
      <c r="J1455" s="2" t="s">
        <v>679</v>
      </c>
      <c r="K1455" s="2" t="s">
        <v>577</v>
      </c>
      <c r="L1455" s="2" t="s">
        <v>578</v>
      </c>
      <c r="M1455" s="2" t="s">
        <v>579</v>
      </c>
      <c r="N1455" s="2" t="s">
        <v>580</v>
      </c>
      <c r="O1455" s="2" t="s">
        <v>581</v>
      </c>
      <c r="P1455" s="2" t="s">
        <v>27</v>
      </c>
      <c r="Q1455" s="2" t="s">
        <v>107</v>
      </c>
      <c r="R1455" s="2" t="s">
        <v>422</v>
      </c>
      <c r="S1455" s="2" t="s">
        <v>30</v>
      </c>
      <c r="T1455">
        <v>1913</v>
      </c>
      <c r="U1455">
        <f>VLOOKUP(Auto_Sales_data___Copy[[#This Row],[CUSTOMER_NAME]],$AF$2:$AH$90,2,FALSE)</f>
        <v>29</v>
      </c>
      <c r="V1455">
        <f>VLOOKUP(Auto_Sales_data___Copy[[#This Row],[CUSTOMER_NAME]],$AF$2:$AH$90,3,FALSE)</f>
        <v>82751.079999999987</v>
      </c>
      <c r="W1455" s="2">
        <f>6-MATCH(Auto_Sales_data___Copy[[#This Row],[DAYS_SINCE_LAST_ORDER]],Table2[R-Cutoff],1)</f>
        <v>3</v>
      </c>
      <c r="X1455" s="2">
        <f>MATCH(Auto_Sales_data___Copy[[#This Row],[Total_Orders_Per_Customer]],Table2[F-Cutoff],1)</f>
        <v>4</v>
      </c>
      <c r="Y1455" s="2">
        <f>MATCH(Auto_Sales_data___Copy[[#This Row],[Total_Sales_Per_Customer]],Table2[M-Cutoff],1)</f>
        <v>3</v>
      </c>
      <c r="Z1455" s="2" t="str">
        <f>Auto_Sales_data___Copy[[#This Row],[R-Score(1-5)]]&amp;Auto_Sales_data___Copy[[#This Row],[F-Score(1-5)]]&amp;Auto_Sales_data___Copy[[#This Row],[M-Score(1-5)]]</f>
        <v>343</v>
      </c>
      <c r="AA1455" s="2" t="str" cm="1">
        <f t="array" ref="AA14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5" s="2" t="str">
        <f>VLOOKUP(Auto_Sales_data___Copy[[#This Row],[Segment Name]],Table3[],2,FALSE)</f>
        <v>Brand Awareness &amp; Value Proposition</v>
      </c>
    </row>
    <row r="1456" spans="1:28" x14ac:dyDescent="0.25">
      <c r="A1456">
        <v>10346</v>
      </c>
      <c r="B1456">
        <v>24</v>
      </c>
      <c r="C1456">
        <v>138.58000000000001</v>
      </c>
      <c r="D1456">
        <v>2</v>
      </c>
      <c r="E1456">
        <v>3325.92</v>
      </c>
      <c r="F1456" s="1">
        <v>43798</v>
      </c>
      <c r="G1456" s="2" t="s">
        <v>19</v>
      </c>
      <c r="H1456" s="2" t="s">
        <v>183</v>
      </c>
      <c r="I1456">
        <v>85</v>
      </c>
      <c r="J1456" s="2" t="s">
        <v>682</v>
      </c>
      <c r="K1456" s="2" t="s">
        <v>577</v>
      </c>
      <c r="L1456" s="2" t="s">
        <v>578</v>
      </c>
      <c r="M1456" s="2" t="s">
        <v>579</v>
      </c>
      <c r="N1456" s="2" t="s">
        <v>580</v>
      </c>
      <c r="O1456" s="2" t="s">
        <v>581</v>
      </c>
      <c r="P1456" s="2" t="s">
        <v>27</v>
      </c>
      <c r="Q1456" s="2" t="s">
        <v>107</v>
      </c>
      <c r="R1456" s="2" t="s">
        <v>422</v>
      </c>
      <c r="S1456" s="2" t="s">
        <v>46</v>
      </c>
      <c r="T1456">
        <v>1987</v>
      </c>
      <c r="U1456">
        <f>VLOOKUP(Auto_Sales_data___Copy[[#This Row],[CUSTOMER_NAME]],$AF$2:$AH$90,2,FALSE)</f>
        <v>29</v>
      </c>
      <c r="V1456">
        <f>VLOOKUP(Auto_Sales_data___Copy[[#This Row],[CUSTOMER_NAME]],$AF$2:$AH$90,3,FALSE)</f>
        <v>82751.079999999987</v>
      </c>
      <c r="W1456" s="2">
        <f>6-MATCH(Auto_Sales_data___Copy[[#This Row],[DAYS_SINCE_LAST_ORDER]],Table2[R-Cutoff],1)</f>
        <v>3</v>
      </c>
      <c r="X1456" s="2">
        <f>MATCH(Auto_Sales_data___Copy[[#This Row],[Total_Orders_Per_Customer]],Table2[F-Cutoff],1)</f>
        <v>4</v>
      </c>
      <c r="Y1456" s="2">
        <f>MATCH(Auto_Sales_data___Copy[[#This Row],[Total_Sales_Per_Customer]],Table2[M-Cutoff],1)</f>
        <v>3</v>
      </c>
      <c r="Z1456" s="2" t="str">
        <f>Auto_Sales_data___Copy[[#This Row],[R-Score(1-5)]]&amp;Auto_Sales_data___Copy[[#This Row],[F-Score(1-5)]]&amp;Auto_Sales_data___Copy[[#This Row],[M-Score(1-5)]]</f>
        <v>343</v>
      </c>
      <c r="AA1456" s="2" t="str" cm="1">
        <f t="array" ref="AA14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6" s="2" t="str">
        <f>VLOOKUP(Auto_Sales_data___Copy[[#This Row],[Segment Name]],Table3[],2,FALSE)</f>
        <v>Brand Awareness &amp; Value Proposition</v>
      </c>
    </row>
    <row r="1457" spans="1:28" x14ac:dyDescent="0.25">
      <c r="A1457">
        <v>10402</v>
      </c>
      <c r="B1457">
        <v>59</v>
      </c>
      <c r="C1457">
        <v>87.6</v>
      </c>
      <c r="D1457">
        <v>3</v>
      </c>
      <c r="E1457">
        <v>5168.3999999999996</v>
      </c>
      <c r="F1457" s="1">
        <v>43928</v>
      </c>
      <c r="G1457" s="2" t="s">
        <v>19</v>
      </c>
      <c r="H1457" s="2" t="s">
        <v>20</v>
      </c>
      <c r="I1457">
        <v>76</v>
      </c>
      <c r="J1457" s="2" t="s">
        <v>671</v>
      </c>
      <c r="K1457" s="2" t="s">
        <v>76</v>
      </c>
      <c r="L1457" s="2" t="s">
        <v>77</v>
      </c>
      <c r="M1457" s="2" t="s">
        <v>78</v>
      </c>
      <c r="N1457" s="2" t="s">
        <v>42</v>
      </c>
      <c r="O1457" s="2" t="s">
        <v>79</v>
      </c>
      <c r="P1457" s="2" t="s">
        <v>36</v>
      </c>
      <c r="Q1457" s="2" t="s">
        <v>80</v>
      </c>
      <c r="R1457" s="2" t="s">
        <v>81</v>
      </c>
      <c r="S1457" s="2" t="s">
        <v>46</v>
      </c>
      <c r="T1457">
        <v>1588</v>
      </c>
      <c r="U1457">
        <f>VLOOKUP(Auto_Sales_data___Copy[[#This Row],[CUSTOMER_NAME]],$AF$2:$AH$90,2,FALSE)</f>
        <v>27</v>
      </c>
      <c r="V1457">
        <f>VLOOKUP(Auto_Sales_data___Copy[[#This Row],[CUSTOMER_NAME]],$AF$2:$AH$90,3,FALSE)</f>
        <v>93170.66</v>
      </c>
      <c r="W1457" s="2">
        <f>6-MATCH(Auto_Sales_data___Copy[[#This Row],[DAYS_SINCE_LAST_ORDER]],Table2[R-Cutoff],1)</f>
        <v>3</v>
      </c>
      <c r="X1457" s="2">
        <f>MATCH(Auto_Sales_data___Copy[[#This Row],[Total_Orders_Per_Customer]],Table2[F-Cutoff],1)</f>
        <v>4</v>
      </c>
      <c r="Y1457" s="2">
        <f>MATCH(Auto_Sales_data___Copy[[#This Row],[Total_Sales_Per_Customer]],Table2[M-Cutoff],1)</f>
        <v>3</v>
      </c>
      <c r="Z1457" s="2" t="str">
        <f>Auto_Sales_data___Copy[[#This Row],[R-Score(1-5)]]&amp;Auto_Sales_data___Copy[[#This Row],[F-Score(1-5)]]&amp;Auto_Sales_data___Copy[[#This Row],[M-Score(1-5)]]</f>
        <v>343</v>
      </c>
      <c r="AA1457" s="2" t="str" cm="1">
        <f t="array" ref="AA14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7" s="2" t="str">
        <f>VLOOKUP(Auto_Sales_data___Copy[[#This Row],[Segment Name]],Table3[],2,FALSE)</f>
        <v>Brand Awareness &amp; Value Proposition</v>
      </c>
    </row>
    <row r="1458" spans="1:28" x14ac:dyDescent="0.25">
      <c r="A1458">
        <v>10172</v>
      </c>
      <c r="B1458">
        <v>48</v>
      </c>
      <c r="C1458">
        <v>114.44</v>
      </c>
      <c r="D1458">
        <v>8</v>
      </c>
      <c r="E1458">
        <v>5493.12</v>
      </c>
      <c r="F1458" s="1">
        <v>43409</v>
      </c>
      <c r="G1458" s="2" t="s">
        <v>19</v>
      </c>
      <c r="H1458" s="2" t="s">
        <v>183</v>
      </c>
      <c r="I1458">
        <v>141</v>
      </c>
      <c r="J1458" s="2" t="s">
        <v>655</v>
      </c>
      <c r="K1458" s="2" t="s">
        <v>102</v>
      </c>
      <c r="L1458" s="2" t="s">
        <v>103</v>
      </c>
      <c r="M1458" s="2" t="s">
        <v>104</v>
      </c>
      <c r="N1458" s="2" t="s">
        <v>105</v>
      </c>
      <c r="O1458" s="2" t="s">
        <v>106</v>
      </c>
      <c r="P1458" s="2" t="s">
        <v>27</v>
      </c>
      <c r="Q1458" s="2" t="s">
        <v>107</v>
      </c>
      <c r="R1458" s="2" t="s">
        <v>53</v>
      </c>
      <c r="S1458" s="2" t="s">
        <v>46</v>
      </c>
      <c r="T1458">
        <v>1698</v>
      </c>
      <c r="U1458">
        <f>VLOOKUP(Auto_Sales_data___Copy[[#This Row],[CUSTOMER_NAME]],$AF$2:$AH$90,2,FALSE)</f>
        <v>25</v>
      </c>
      <c r="V1458">
        <f>VLOOKUP(Auto_Sales_data___Copy[[#This Row],[CUSTOMER_NAME]],$AF$2:$AH$90,3,FALSE)</f>
        <v>101894.79000000001</v>
      </c>
      <c r="W1458" s="2">
        <f>6-MATCH(Auto_Sales_data___Copy[[#This Row],[DAYS_SINCE_LAST_ORDER]],Table2[R-Cutoff],1)</f>
        <v>3</v>
      </c>
      <c r="X1458" s="2">
        <f>MATCH(Auto_Sales_data___Copy[[#This Row],[Total_Orders_Per_Customer]],Table2[F-Cutoff],1)</f>
        <v>3</v>
      </c>
      <c r="Y1458" s="2">
        <f>MATCH(Auto_Sales_data___Copy[[#This Row],[Total_Sales_Per_Customer]],Table2[M-Cutoff],1)</f>
        <v>4</v>
      </c>
      <c r="Z1458" s="2" t="str">
        <f>Auto_Sales_data___Copy[[#This Row],[R-Score(1-5)]]&amp;Auto_Sales_data___Copy[[#This Row],[F-Score(1-5)]]&amp;Auto_Sales_data___Copy[[#This Row],[M-Score(1-5)]]</f>
        <v>334</v>
      </c>
      <c r="AA1458" s="2" t="str" cm="1">
        <f t="array" ref="AA14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8" s="2" t="str">
        <f>VLOOKUP(Auto_Sales_data___Copy[[#This Row],[Segment Name]],Table3[],2,FALSE)</f>
        <v>Brand Awareness &amp; Value Proposition</v>
      </c>
    </row>
    <row r="1459" spans="1:28" x14ac:dyDescent="0.25">
      <c r="A1459">
        <v>10172</v>
      </c>
      <c r="B1459">
        <v>32</v>
      </c>
      <c r="C1459">
        <v>75.69</v>
      </c>
      <c r="D1459">
        <v>3</v>
      </c>
      <c r="E1459">
        <v>2422.08</v>
      </c>
      <c r="F1459" s="1">
        <v>43409</v>
      </c>
      <c r="G1459" s="2" t="s">
        <v>19</v>
      </c>
      <c r="H1459" s="2" t="s">
        <v>183</v>
      </c>
      <c r="I1459">
        <v>73</v>
      </c>
      <c r="J1459" s="2" t="s">
        <v>665</v>
      </c>
      <c r="K1459" s="2" t="s">
        <v>102</v>
      </c>
      <c r="L1459" s="2" t="s">
        <v>103</v>
      </c>
      <c r="M1459" s="2" t="s">
        <v>104</v>
      </c>
      <c r="N1459" s="2" t="s">
        <v>105</v>
      </c>
      <c r="O1459" s="2" t="s">
        <v>106</v>
      </c>
      <c r="P1459" s="2" t="s">
        <v>27</v>
      </c>
      <c r="Q1459" s="2" t="s">
        <v>107</v>
      </c>
      <c r="R1459" s="2" t="s">
        <v>53</v>
      </c>
      <c r="S1459" s="2" t="s">
        <v>30</v>
      </c>
      <c r="T1459">
        <v>1942</v>
      </c>
      <c r="U1459">
        <f>VLOOKUP(Auto_Sales_data___Copy[[#This Row],[CUSTOMER_NAME]],$AF$2:$AH$90,2,FALSE)</f>
        <v>25</v>
      </c>
      <c r="V1459">
        <f>VLOOKUP(Auto_Sales_data___Copy[[#This Row],[CUSTOMER_NAME]],$AF$2:$AH$90,3,FALSE)</f>
        <v>101894.79000000001</v>
      </c>
      <c r="W1459" s="2">
        <f>6-MATCH(Auto_Sales_data___Copy[[#This Row],[DAYS_SINCE_LAST_ORDER]],Table2[R-Cutoff],1)</f>
        <v>3</v>
      </c>
      <c r="X1459" s="2">
        <f>MATCH(Auto_Sales_data___Copy[[#This Row],[Total_Orders_Per_Customer]],Table2[F-Cutoff],1)</f>
        <v>3</v>
      </c>
      <c r="Y1459" s="2">
        <f>MATCH(Auto_Sales_data___Copy[[#This Row],[Total_Sales_Per_Customer]],Table2[M-Cutoff],1)</f>
        <v>4</v>
      </c>
      <c r="Z1459" s="2" t="str">
        <f>Auto_Sales_data___Copy[[#This Row],[R-Score(1-5)]]&amp;Auto_Sales_data___Copy[[#This Row],[F-Score(1-5)]]&amp;Auto_Sales_data___Copy[[#This Row],[M-Score(1-5)]]</f>
        <v>334</v>
      </c>
      <c r="AA1459" s="2" t="str" cm="1">
        <f t="array" ref="AA14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9" s="2" t="str">
        <f>VLOOKUP(Auto_Sales_data___Copy[[#This Row],[Segment Name]],Table3[],2,FALSE)</f>
        <v>Brand Awareness &amp; Value Proposition</v>
      </c>
    </row>
    <row r="1460" spans="1:28" x14ac:dyDescent="0.25">
      <c r="A1460">
        <v>10172</v>
      </c>
      <c r="B1460">
        <v>34</v>
      </c>
      <c r="C1460">
        <v>42.76</v>
      </c>
      <c r="D1460">
        <v>5</v>
      </c>
      <c r="E1460">
        <v>1453.84</v>
      </c>
      <c r="F1460" s="1">
        <v>43409</v>
      </c>
      <c r="G1460" s="2" t="s">
        <v>19</v>
      </c>
      <c r="H1460" s="2" t="s">
        <v>183</v>
      </c>
      <c r="I1460">
        <v>50</v>
      </c>
      <c r="J1460" s="2" t="s">
        <v>668</v>
      </c>
      <c r="K1460" s="2" t="s">
        <v>102</v>
      </c>
      <c r="L1460" s="2" t="s">
        <v>103</v>
      </c>
      <c r="M1460" s="2" t="s">
        <v>104</v>
      </c>
      <c r="N1460" s="2" t="s">
        <v>105</v>
      </c>
      <c r="O1460" s="2" t="s">
        <v>106</v>
      </c>
      <c r="P1460" s="2" t="s">
        <v>27</v>
      </c>
      <c r="Q1460" s="2" t="s">
        <v>107</v>
      </c>
      <c r="R1460" s="2" t="s">
        <v>53</v>
      </c>
      <c r="S1460" s="2" t="s">
        <v>30</v>
      </c>
      <c r="T1460">
        <v>2018</v>
      </c>
      <c r="U1460">
        <f>VLOOKUP(Auto_Sales_data___Copy[[#This Row],[CUSTOMER_NAME]],$AF$2:$AH$90,2,FALSE)</f>
        <v>25</v>
      </c>
      <c r="V1460">
        <f>VLOOKUP(Auto_Sales_data___Copy[[#This Row],[CUSTOMER_NAME]],$AF$2:$AH$90,3,FALSE)</f>
        <v>101894.79000000001</v>
      </c>
      <c r="W1460" s="2">
        <f>6-MATCH(Auto_Sales_data___Copy[[#This Row],[DAYS_SINCE_LAST_ORDER]],Table2[R-Cutoff],1)</f>
        <v>3</v>
      </c>
      <c r="X1460" s="2">
        <f>MATCH(Auto_Sales_data___Copy[[#This Row],[Total_Orders_Per_Customer]],Table2[F-Cutoff],1)</f>
        <v>3</v>
      </c>
      <c r="Y1460" s="2">
        <f>MATCH(Auto_Sales_data___Copy[[#This Row],[Total_Sales_Per_Customer]],Table2[M-Cutoff],1)</f>
        <v>4</v>
      </c>
      <c r="Z1460" s="2" t="str">
        <f>Auto_Sales_data___Copy[[#This Row],[R-Score(1-5)]]&amp;Auto_Sales_data___Copy[[#This Row],[F-Score(1-5)]]&amp;Auto_Sales_data___Copy[[#This Row],[M-Score(1-5)]]</f>
        <v>334</v>
      </c>
      <c r="AA1460" s="2" t="str" cm="1">
        <f t="array" ref="AA14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0" s="2" t="str">
        <f>VLOOKUP(Auto_Sales_data___Copy[[#This Row],[Segment Name]],Table3[],2,FALSE)</f>
        <v>Brand Awareness &amp; Value Proposition</v>
      </c>
    </row>
    <row r="1461" spans="1:28" x14ac:dyDescent="0.25">
      <c r="A1461">
        <v>10263</v>
      </c>
      <c r="B1461">
        <v>42</v>
      </c>
      <c r="C1461">
        <v>102.56</v>
      </c>
      <c r="D1461">
        <v>3</v>
      </c>
      <c r="E1461">
        <v>4307.5200000000004</v>
      </c>
      <c r="F1461" s="1">
        <v>43644</v>
      </c>
      <c r="G1461" s="2" t="s">
        <v>19</v>
      </c>
      <c r="H1461" s="2" t="s">
        <v>20</v>
      </c>
      <c r="I1461">
        <v>112</v>
      </c>
      <c r="J1461" s="2" t="s">
        <v>667</v>
      </c>
      <c r="K1461" s="2" t="s">
        <v>102</v>
      </c>
      <c r="L1461" s="2" t="s">
        <v>103</v>
      </c>
      <c r="M1461" s="2" t="s">
        <v>104</v>
      </c>
      <c r="N1461" s="2" t="s">
        <v>105</v>
      </c>
      <c r="O1461" s="2" t="s">
        <v>106</v>
      </c>
      <c r="P1461" s="2" t="s">
        <v>27</v>
      </c>
      <c r="Q1461" s="2" t="s">
        <v>107</v>
      </c>
      <c r="R1461" s="2" t="s">
        <v>53</v>
      </c>
      <c r="S1461" s="2" t="s">
        <v>46</v>
      </c>
      <c r="T1461">
        <v>1765</v>
      </c>
      <c r="U1461">
        <f>VLOOKUP(Auto_Sales_data___Copy[[#This Row],[CUSTOMER_NAME]],$AF$2:$AH$90,2,FALSE)</f>
        <v>25</v>
      </c>
      <c r="V1461">
        <f>VLOOKUP(Auto_Sales_data___Copy[[#This Row],[CUSTOMER_NAME]],$AF$2:$AH$90,3,FALSE)</f>
        <v>101894.79000000001</v>
      </c>
      <c r="W1461" s="2">
        <f>6-MATCH(Auto_Sales_data___Copy[[#This Row],[DAYS_SINCE_LAST_ORDER]],Table2[R-Cutoff],1)</f>
        <v>3</v>
      </c>
      <c r="X1461" s="2">
        <f>MATCH(Auto_Sales_data___Copy[[#This Row],[Total_Orders_Per_Customer]],Table2[F-Cutoff],1)</f>
        <v>3</v>
      </c>
      <c r="Y1461" s="2">
        <f>MATCH(Auto_Sales_data___Copy[[#This Row],[Total_Sales_Per_Customer]],Table2[M-Cutoff],1)</f>
        <v>4</v>
      </c>
      <c r="Z1461" s="2" t="str">
        <f>Auto_Sales_data___Copy[[#This Row],[R-Score(1-5)]]&amp;Auto_Sales_data___Copy[[#This Row],[F-Score(1-5)]]&amp;Auto_Sales_data___Copy[[#This Row],[M-Score(1-5)]]</f>
        <v>334</v>
      </c>
      <c r="AA1461" s="2" t="str" cm="1">
        <f t="array" ref="AA14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1" s="2" t="str">
        <f>VLOOKUP(Auto_Sales_data___Copy[[#This Row],[Segment Name]],Table3[],2,FALSE)</f>
        <v>Brand Awareness &amp; Value Proposition</v>
      </c>
    </row>
    <row r="1462" spans="1:28" x14ac:dyDescent="0.25">
      <c r="A1462">
        <v>10263</v>
      </c>
      <c r="B1462">
        <v>37</v>
      </c>
      <c r="C1462">
        <v>62.46</v>
      </c>
      <c r="D1462">
        <v>7</v>
      </c>
      <c r="E1462">
        <v>2311.02</v>
      </c>
      <c r="F1462" s="1">
        <v>43644</v>
      </c>
      <c r="G1462" s="2" t="s">
        <v>19</v>
      </c>
      <c r="H1462" s="2" t="s">
        <v>20</v>
      </c>
      <c r="I1462">
        <v>76</v>
      </c>
      <c r="J1462" s="2" t="s">
        <v>671</v>
      </c>
      <c r="K1462" s="2" t="s">
        <v>102</v>
      </c>
      <c r="L1462" s="2" t="s">
        <v>103</v>
      </c>
      <c r="M1462" s="2" t="s">
        <v>104</v>
      </c>
      <c r="N1462" s="2" t="s">
        <v>105</v>
      </c>
      <c r="O1462" s="2" t="s">
        <v>106</v>
      </c>
      <c r="P1462" s="2" t="s">
        <v>27</v>
      </c>
      <c r="Q1462" s="2" t="s">
        <v>107</v>
      </c>
      <c r="R1462" s="2" t="s">
        <v>53</v>
      </c>
      <c r="S1462" s="2" t="s">
        <v>30</v>
      </c>
      <c r="T1462">
        <v>1861</v>
      </c>
      <c r="U1462">
        <f>VLOOKUP(Auto_Sales_data___Copy[[#This Row],[CUSTOMER_NAME]],$AF$2:$AH$90,2,FALSE)</f>
        <v>25</v>
      </c>
      <c r="V1462">
        <f>VLOOKUP(Auto_Sales_data___Copy[[#This Row],[CUSTOMER_NAME]],$AF$2:$AH$90,3,FALSE)</f>
        <v>101894.79000000001</v>
      </c>
      <c r="W1462" s="2">
        <f>6-MATCH(Auto_Sales_data___Copy[[#This Row],[DAYS_SINCE_LAST_ORDER]],Table2[R-Cutoff],1)</f>
        <v>3</v>
      </c>
      <c r="X1462" s="2">
        <f>MATCH(Auto_Sales_data___Copy[[#This Row],[Total_Orders_Per_Customer]],Table2[F-Cutoff],1)</f>
        <v>3</v>
      </c>
      <c r="Y1462" s="2">
        <f>MATCH(Auto_Sales_data___Copy[[#This Row],[Total_Sales_Per_Customer]],Table2[M-Cutoff],1)</f>
        <v>4</v>
      </c>
      <c r="Z1462" s="2" t="str">
        <f>Auto_Sales_data___Copy[[#This Row],[R-Score(1-5)]]&amp;Auto_Sales_data___Copy[[#This Row],[F-Score(1-5)]]&amp;Auto_Sales_data___Copy[[#This Row],[M-Score(1-5)]]</f>
        <v>334</v>
      </c>
      <c r="AA1462" s="2" t="str" cm="1">
        <f t="array" ref="AA14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2" s="2" t="str">
        <f>VLOOKUP(Auto_Sales_data___Copy[[#This Row],[Segment Name]],Table3[],2,FALSE)</f>
        <v>Brand Awareness &amp; Value Proposition</v>
      </c>
    </row>
    <row r="1463" spans="1:28" x14ac:dyDescent="0.25">
      <c r="A1463">
        <v>10108</v>
      </c>
      <c r="B1463">
        <v>26</v>
      </c>
      <c r="C1463">
        <v>68.349999999999994</v>
      </c>
      <c r="D1463">
        <v>9</v>
      </c>
      <c r="E1463">
        <v>1777.1</v>
      </c>
      <c r="F1463" s="1">
        <v>43162</v>
      </c>
      <c r="G1463" s="2" t="s">
        <v>19</v>
      </c>
      <c r="H1463" s="2" t="s">
        <v>183</v>
      </c>
      <c r="I1463">
        <v>80</v>
      </c>
      <c r="J1463" s="2" t="s">
        <v>652</v>
      </c>
      <c r="K1463" s="2" t="s">
        <v>450</v>
      </c>
      <c r="L1463" s="2" t="s">
        <v>451</v>
      </c>
      <c r="M1463" s="2" t="s">
        <v>452</v>
      </c>
      <c r="N1463" s="2" t="s">
        <v>453</v>
      </c>
      <c r="O1463" s="2" t="s">
        <v>454</v>
      </c>
      <c r="P1463" s="2" t="s">
        <v>455</v>
      </c>
      <c r="Q1463" s="2" t="s">
        <v>456</v>
      </c>
      <c r="R1463" s="2" t="s">
        <v>457</v>
      </c>
      <c r="S1463" s="2" t="s">
        <v>30</v>
      </c>
      <c r="T1463">
        <v>1869</v>
      </c>
      <c r="U1463">
        <f>VLOOKUP(Auto_Sales_data___Copy[[#This Row],[CUSTOMER_NAME]],$AF$2:$AH$90,2,FALSE)</f>
        <v>26</v>
      </c>
      <c r="V1463">
        <f>VLOOKUP(Auto_Sales_data___Copy[[#This Row],[CUSTOMER_NAME]],$AF$2:$AH$90,3,FALSE)</f>
        <v>94015.73</v>
      </c>
      <c r="W1463" s="2">
        <f>6-MATCH(Auto_Sales_data___Copy[[#This Row],[DAYS_SINCE_LAST_ORDER]],Table2[R-Cutoff],1)</f>
        <v>3</v>
      </c>
      <c r="X1463" s="2">
        <f>MATCH(Auto_Sales_data___Copy[[#This Row],[Total_Orders_Per_Customer]],Table2[F-Cutoff],1)</f>
        <v>3</v>
      </c>
      <c r="Y1463" s="2">
        <f>MATCH(Auto_Sales_data___Copy[[#This Row],[Total_Sales_Per_Customer]],Table2[M-Cutoff],1)</f>
        <v>3</v>
      </c>
      <c r="Z1463" s="2" t="str">
        <f>Auto_Sales_data___Copy[[#This Row],[R-Score(1-5)]]&amp;Auto_Sales_data___Copy[[#This Row],[F-Score(1-5)]]&amp;Auto_Sales_data___Copy[[#This Row],[M-Score(1-5)]]</f>
        <v>333</v>
      </c>
      <c r="AA1463" s="2" t="str" cm="1">
        <f t="array" ref="AA14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3" s="2" t="str">
        <f>VLOOKUP(Auto_Sales_data___Copy[[#This Row],[Segment Name]],Table3[],2,FALSE)</f>
        <v>Brand Awareness &amp; Value Proposition</v>
      </c>
    </row>
    <row r="1464" spans="1:28" x14ac:dyDescent="0.25">
      <c r="A1464">
        <v>10108</v>
      </c>
      <c r="B1464">
        <v>29</v>
      </c>
      <c r="C1464">
        <v>139.63999999999999</v>
      </c>
      <c r="D1464">
        <v>8</v>
      </c>
      <c r="E1464">
        <v>4049.56</v>
      </c>
      <c r="F1464" s="1">
        <v>43162</v>
      </c>
      <c r="G1464" s="2" t="s">
        <v>19</v>
      </c>
      <c r="H1464" s="2" t="s">
        <v>183</v>
      </c>
      <c r="I1464">
        <v>146</v>
      </c>
      <c r="J1464" s="2" t="s">
        <v>654</v>
      </c>
      <c r="K1464" s="2" t="s">
        <v>450</v>
      </c>
      <c r="L1464" s="2" t="s">
        <v>451</v>
      </c>
      <c r="M1464" s="2" t="s">
        <v>452</v>
      </c>
      <c r="N1464" s="2" t="s">
        <v>453</v>
      </c>
      <c r="O1464" s="2" t="s">
        <v>454</v>
      </c>
      <c r="P1464" s="2" t="s">
        <v>455</v>
      </c>
      <c r="Q1464" s="2" t="s">
        <v>456</v>
      </c>
      <c r="R1464" s="2" t="s">
        <v>457</v>
      </c>
      <c r="S1464" s="2" t="s">
        <v>46</v>
      </c>
      <c r="T1464">
        <v>1916</v>
      </c>
      <c r="U1464">
        <f>VLOOKUP(Auto_Sales_data___Copy[[#This Row],[CUSTOMER_NAME]],$AF$2:$AH$90,2,FALSE)</f>
        <v>26</v>
      </c>
      <c r="V1464">
        <f>VLOOKUP(Auto_Sales_data___Copy[[#This Row],[CUSTOMER_NAME]],$AF$2:$AH$90,3,FALSE)</f>
        <v>94015.73</v>
      </c>
      <c r="W1464" s="2">
        <f>6-MATCH(Auto_Sales_data___Copy[[#This Row],[DAYS_SINCE_LAST_ORDER]],Table2[R-Cutoff],1)</f>
        <v>3</v>
      </c>
      <c r="X1464" s="2">
        <f>MATCH(Auto_Sales_data___Copy[[#This Row],[Total_Orders_Per_Customer]],Table2[F-Cutoff],1)</f>
        <v>3</v>
      </c>
      <c r="Y1464" s="2">
        <f>MATCH(Auto_Sales_data___Copy[[#This Row],[Total_Sales_Per_Customer]],Table2[M-Cutoff],1)</f>
        <v>3</v>
      </c>
      <c r="Z1464" s="2" t="str">
        <f>Auto_Sales_data___Copy[[#This Row],[R-Score(1-5)]]&amp;Auto_Sales_data___Copy[[#This Row],[F-Score(1-5)]]&amp;Auto_Sales_data___Copy[[#This Row],[M-Score(1-5)]]</f>
        <v>333</v>
      </c>
      <c r="AA1464" s="2" t="str" cm="1">
        <f t="array" ref="AA14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4" s="2" t="str">
        <f>VLOOKUP(Auto_Sales_data___Copy[[#This Row],[Segment Name]],Table3[],2,FALSE)</f>
        <v>Brand Awareness &amp; Value Proposition</v>
      </c>
    </row>
    <row r="1465" spans="1:28" x14ac:dyDescent="0.25">
      <c r="A1465">
        <v>10108</v>
      </c>
      <c r="B1465">
        <v>43</v>
      </c>
      <c r="C1465">
        <v>67.77</v>
      </c>
      <c r="D1465">
        <v>12</v>
      </c>
      <c r="E1465">
        <v>2914.11</v>
      </c>
      <c r="F1465" s="1">
        <v>43162</v>
      </c>
      <c r="G1465" s="2" t="s">
        <v>19</v>
      </c>
      <c r="H1465" s="2" t="s">
        <v>20</v>
      </c>
      <c r="I1465">
        <v>62</v>
      </c>
      <c r="J1465" s="2" t="s">
        <v>656</v>
      </c>
      <c r="K1465" s="2" t="s">
        <v>450</v>
      </c>
      <c r="L1465" s="2" t="s">
        <v>451</v>
      </c>
      <c r="M1465" s="2" t="s">
        <v>452</v>
      </c>
      <c r="N1465" s="2" t="s">
        <v>453</v>
      </c>
      <c r="O1465" s="2" t="s">
        <v>454</v>
      </c>
      <c r="P1465" s="2" t="s">
        <v>455</v>
      </c>
      <c r="Q1465" s="2" t="s">
        <v>456</v>
      </c>
      <c r="R1465" s="2" t="s">
        <v>457</v>
      </c>
      <c r="S1465" s="2" t="s">
        <v>30</v>
      </c>
      <c r="T1465">
        <v>1965</v>
      </c>
      <c r="U1465">
        <f>VLOOKUP(Auto_Sales_data___Copy[[#This Row],[CUSTOMER_NAME]],$AF$2:$AH$90,2,FALSE)</f>
        <v>26</v>
      </c>
      <c r="V1465">
        <f>VLOOKUP(Auto_Sales_data___Copy[[#This Row],[CUSTOMER_NAME]],$AF$2:$AH$90,3,FALSE)</f>
        <v>94015.73</v>
      </c>
      <c r="W1465" s="2">
        <f>6-MATCH(Auto_Sales_data___Copy[[#This Row],[DAYS_SINCE_LAST_ORDER]],Table2[R-Cutoff],1)</f>
        <v>3</v>
      </c>
      <c r="X1465" s="2">
        <f>MATCH(Auto_Sales_data___Copy[[#This Row],[Total_Orders_Per_Customer]],Table2[F-Cutoff],1)</f>
        <v>3</v>
      </c>
      <c r="Y1465" s="2">
        <f>MATCH(Auto_Sales_data___Copy[[#This Row],[Total_Sales_Per_Customer]],Table2[M-Cutoff],1)</f>
        <v>3</v>
      </c>
      <c r="Z1465" s="2" t="str">
        <f>Auto_Sales_data___Copy[[#This Row],[R-Score(1-5)]]&amp;Auto_Sales_data___Copy[[#This Row],[F-Score(1-5)]]&amp;Auto_Sales_data___Copy[[#This Row],[M-Score(1-5)]]</f>
        <v>333</v>
      </c>
      <c r="AA1465" s="2" t="str" cm="1">
        <f t="array" ref="AA14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5" s="2" t="str">
        <f>VLOOKUP(Auto_Sales_data___Copy[[#This Row],[Segment Name]],Table3[],2,FALSE)</f>
        <v>Brand Awareness &amp; Value Proposition</v>
      </c>
    </row>
    <row r="1466" spans="1:28" x14ac:dyDescent="0.25">
      <c r="A1466">
        <v>10147</v>
      </c>
      <c r="B1466">
        <v>36</v>
      </c>
      <c r="C1466">
        <v>86.04</v>
      </c>
      <c r="D1466">
        <v>10</v>
      </c>
      <c r="E1466">
        <v>3097.44</v>
      </c>
      <c r="F1466" s="1">
        <v>43348</v>
      </c>
      <c r="G1466" s="2" t="s">
        <v>19</v>
      </c>
      <c r="H1466" s="2" t="s">
        <v>183</v>
      </c>
      <c r="I1466">
        <v>80</v>
      </c>
      <c r="J1466" s="2" t="s">
        <v>652</v>
      </c>
      <c r="K1466" s="2" t="s">
        <v>295</v>
      </c>
      <c r="L1466" s="2" t="s">
        <v>116</v>
      </c>
      <c r="M1466" s="2" t="s">
        <v>296</v>
      </c>
      <c r="N1466" s="2" t="s">
        <v>297</v>
      </c>
      <c r="O1466" s="2" t="s">
        <v>298</v>
      </c>
      <c r="P1466" s="2" t="s">
        <v>27</v>
      </c>
      <c r="Q1466" s="2" t="s">
        <v>288</v>
      </c>
      <c r="R1466" s="2" t="s">
        <v>299</v>
      </c>
      <c r="S1466" s="2" t="s">
        <v>46</v>
      </c>
      <c r="T1466">
        <v>1686</v>
      </c>
      <c r="U1466">
        <f>VLOOKUP(Auto_Sales_data___Copy[[#This Row],[CUSTOMER_NAME]],$AF$2:$AH$90,2,FALSE)</f>
        <v>24</v>
      </c>
      <c r="V1466">
        <f>VLOOKUP(Auto_Sales_data___Copy[[#This Row],[CUSTOMER_NAME]],$AF$2:$AH$90,3,FALSE)</f>
        <v>81577.98</v>
      </c>
      <c r="W1466" s="2">
        <f>6-MATCH(Auto_Sales_data___Copy[[#This Row],[DAYS_SINCE_LAST_ORDER]],Table2[R-Cutoff],1)</f>
        <v>3</v>
      </c>
      <c r="X1466" s="2">
        <f>MATCH(Auto_Sales_data___Copy[[#This Row],[Total_Orders_Per_Customer]],Table2[F-Cutoff],1)</f>
        <v>3</v>
      </c>
      <c r="Y1466" s="2">
        <f>MATCH(Auto_Sales_data___Copy[[#This Row],[Total_Sales_Per_Customer]],Table2[M-Cutoff],1)</f>
        <v>3</v>
      </c>
      <c r="Z1466" s="2" t="str">
        <f>Auto_Sales_data___Copy[[#This Row],[R-Score(1-5)]]&amp;Auto_Sales_data___Copy[[#This Row],[F-Score(1-5)]]&amp;Auto_Sales_data___Copy[[#This Row],[M-Score(1-5)]]</f>
        <v>333</v>
      </c>
      <c r="AA1466" s="2" t="str" cm="1">
        <f t="array" ref="AA14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6" s="2" t="str">
        <f>VLOOKUP(Auto_Sales_data___Copy[[#This Row],[Segment Name]],Table3[],2,FALSE)</f>
        <v>Brand Awareness &amp; Value Proposition</v>
      </c>
    </row>
    <row r="1467" spans="1:28" x14ac:dyDescent="0.25">
      <c r="A1467">
        <v>10147</v>
      </c>
      <c r="B1467">
        <v>37</v>
      </c>
      <c r="C1467">
        <v>119.06</v>
      </c>
      <c r="D1467">
        <v>9</v>
      </c>
      <c r="E1467">
        <v>4405.22</v>
      </c>
      <c r="F1467" s="1">
        <v>43348</v>
      </c>
      <c r="G1467" s="2" t="s">
        <v>19</v>
      </c>
      <c r="H1467" s="2" t="s">
        <v>183</v>
      </c>
      <c r="I1467">
        <v>146</v>
      </c>
      <c r="J1467" s="2" t="s">
        <v>654</v>
      </c>
      <c r="K1467" s="2" t="s">
        <v>295</v>
      </c>
      <c r="L1467" s="2" t="s">
        <v>116</v>
      </c>
      <c r="M1467" s="2" t="s">
        <v>296</v>
      </c>
      <c r="N1467" s="2" t="s">
        <v>297</v>
      </c>
      <c r="O1467" s="2" t="s">
        <v>298</v>
      </c>
      <c r="P1467" s="2" t="s">
        <v>27</v>
      </c>
      <c r="Q1467" s="2" t="s">
        <v>288</v>
      </c>
      <c r="R1467" s="2" t="s">
        <v>299</v>
      </c>
      <c r="S1467" s="2" t="s">
        <v>46</v>
      </c>
      <c r="T1467">
        <v>1733</v>
      </c>
      <c r="U1467">
        <f>VLOOKUP(Auto_Sales_data___Copy[[#This Row],[CUSTOMER_NAME]],$AF$2:$AH$90,2,FALSE)</f>
        <v>24</v>
      </c>
      <c r="V1467">
        <f>VLOOKUP(Auto_Sales_data___Copy[[#This Row],[CUSTOMER_NAME]],$AF$2:$AH$90,3,FALSE)</f>
        <v>81577.98</v>
      </c>
      <c r="W1467" s="2">
        <f>6-MATCH(Auto_Sales_data___Copy[[#This Row],[DAYS_SINCE_LAST_ORDER]],Table2[R-Cutoff],1)</f>
        <v>3</v>
      </c>
      <c r="X1467" s="2">
        <f>MATCH(Auto_Sales_data___Copy[[#This Row],[Total_Orders_Per_Customer]],Table2[F-Cutoff],1)</f>
        <v>3</v>
      </c>
      <c r="Y1467" s="2">
        <f>MATCH(Auto_Sales_data___Copy[[#This Row],[Total_Sales_Per_Customer]],Table2[M-Cutoff],1)</f>
        <v>3</v>
      </c>
      <c r="Z1467" s="2" t="str">
        <f>Auto_Sales_data___Copy[[#This Row],[R-Score(1-5)]]&amp;Auto_Sales_data___Copy[[#This Row],[F-Score(1-5)]]&amp;Auto_Sales_data___Copy[[#This Row],[M-Score(1-5)]]</f>
        <v>333</v>
      </c>
      <c r="AA1467" s="2" t="str" cm="1">
        <f t="array" ref="AA14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7" s="2" t="str">
        <f>VLOOKUP(Auto_Sales_data___Copy[[#This Row],[Segment Name]],Table3[],2,FALSE)</f>
        <v>Brand Awareness &amp; Value Proposition</v>
      </c>
    </row>
    <row r="1468" spans="1:28" x14ac:dyDescent="0.25">
      <c r="A1468">
        <v>10166</v>
      </c>
      <c r="B1468">
        <v>43</v>
      </c>
      <c r="C1468">
        <v>161.18</v>
      </c>
      <c r="D1468">
        <v>2</v>
      </c>
      <c r="E1468">
        <v>6930.74</v>
      </c>
      <c r="F1468" s="1">
        <v>43394</v>
      </c>
      <c r="G1468" s="2" t="s">
        <v>19</v>
      </c>
      <c r="H1468" s="2" t="s">
        <v>589</v>
      </c>
      <c r="I1468">
        <v>136</v>
      </c>
      <c r="J1468" s="2" t="s">
        <v>648</v>
      </c>
      <c r="K1468" s="2" t="s">
        <v>159</v>
      </c>
      <c r="L1468" s="2" t="s">
        <v>160</v>
      </c>
      <c r="M1468" s="2" t="s">
        <v>161</v>
      </c>
      <c r="N1468" s="2" t="s">
        <v>162</v>
      </c>
      <c r="O1468" s="2" t="s">
        <v>163</v>
      </c>
      <c r="P1468" s="2" t="s">
        <v>27</v>
      </c>
      <c r="Q1468" s="2" t="s">
        <v>164</v>
      </c>
      <c r="R1468" s="2" t="s">
        <v>165</v>
      </c>
      <c r="S1468" s="2" t="s">
        <v>46</v>
      </c>
      <c r="T1468">
        <v>1541</v>
      </c>
      <c r="U1468">
        <f>VLOOKUP(Auto_Sales_data___Copy[[#This Row],[CUSTOMER_NAME]],$AF$2:$AH$90,2,FALSE)</f>
        <v>26</v>
      </c>
      <c r="V1468">
        <f>VLOOKUP(Auto_Sales_data___Copy[[#This Row],[CUSTOMER_NAME]],$AF$2:$AH$90,3,FALSE)</f>
        <v>98923.73000000001</v>
      </c>
      <c r="W1468" s="2">
        <f>6-MATCH(Auto_Sales_data___Copy[[#This Row],[DAYS_SINCE_LAST_ORDER]],Table2[R-Cutoff],1)</f>
        <v>3</v>
      </c>
      <c r="X1468" s="2">
        <f>MATCH(Auto_Sales_data___Copy[[#This Row],[Total_Orders_Per_Customer]],Table2[F-Cutoff],1)</f>
        <v>3</v>
      </c>
      <c r="Y1468" s="2">
        <f>MATCH(Auto_Sales_data___Copy[[#This Row],[Total_Sales_Per_Customer]],Table2[M-Cutoff],1)</f>
        <v>3</v>
      </c>
      <c r="Z1468" s="2" t="str">
        <f>Auto_Sales_data___Copy[[#This Row],[R-Score(1-5)]]&amp;Auto_Sales_data___Copy[[#This Row],[F-Score(1-5)]]&amp;Auto_Sales_data___Copy[[#This Row],[M-Score(1-5)]]</f>
        <v>333</v>
      </c>
      <c r="AA1468" s="2" t="str" cm="1">
        <f t="array" ref="AA14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8" s="2" t="str">
        <f>VLOOKUP(Auto_Sales_data___Copy[[#This Row],[Segment Name]],Table3[],2,FALSE)</f>
        <v>Brand Awareness &amp; Value Proposition</v>
      </c>
    </row>
    <row r="1469" spans="1:28" x14ac:dyDescent="0.25">
      <c r="A1469">
        <v>10166</v>
      </c>
      <c r="B1469">
        <v>26</v>
      </c>
      <c r="C1469">
        <v>73.73</v>
      </c>
      <c r="D1469">
        <v>1</v>
      </c>
      <c r="E1469">
        <v>1916.98</v>
      </c>
      <c r="F1469" s="1">
        <v>43394</v>
      </c>
      <c r="G1469" s="2" t="s">
        <v>19</v>
      </c>
      <c r="H1469" s="2" t="s">
        <v>589</v>
      </c>
      <c r="I1469">
        <v>87</v>
      </c>
      <c r="J1469" s="2" t="s">
        <v>660</v>
      </c>
      <c r="K1469" s="2" t="s">
        <v>159</v>
      </c>
      <c r="L1469" s="2" t="s">
        <v>160</v>
      </c>
      <c r="M1469" s="2" t="s">
        <v>161</v>
      </c>
      <c r="N1469" s="2" t="s">
        <v>162</v>
      </c>
      <c r="O1469" s="2" t="s">
        <v>163</v>
      </c>
      <c r="P1469" s="2" t="s">
        <v>27</v>
      </c>
      <c r="Q1469" s="2" t="s">
        <v>164</v>
      </c>
      <c r="R1469" s="2" t="s">
        <v>165</v>
      </c>
      <c r="S1469" s="2" t="s">
        <v>30</v>
      </c>
      <c r="T1469">
        <v>1834</v>
      </c>
      <c r="U1469">
        <f>VLOOKUP(Auto_Sales_data___Copy[[#This Row],[CUSTOMER_NAME]],$AF$2:$AH$90,2,FALSE)</f>
        <v>26</v>
      </c>
      <c r="V1469">
        <f>VLOOKUP(Auto_Sales_data___Copy[[#This Row],[CUSTOMER_NAME]],$AF$2:$AH$90,3,FALSE)</f>
        <v>98923.73000000001</v>
      </c>
      <c r="W1469" s="2">
        <f>6-MATCH(Auto_Sales_data___Copy[[#This Row],[DAYS_SINCE_LAST_ORDER]],Table2[R-Cutoff],1)</f>
        <v>3</v>
      </c>
      <c r="X1469" s="2">
        <f>MATCH(Auto_Sales_data___Copy[[#This Row],[Total_Orders_Per_Customer]],Table2[F-Cutoff],1)</f>
        <v>3</v>
      </c>
      <c r="Y1469" s="2">
        <f>MATCH(Auto_Sales_data___Copy[[#This Row],[Total_Sales_Per_Customer]],Table2[M-Cutoff],1)</f>
        <v>3</v>
      </c>
      <c r="Z1469" s="2" t="str">
        <f>Auto_Sales_data___Copy[[#This Row],[R-Score(1-5)]]&amp;Auto_Sales_data___Copy[[#This Row],[F-Score(1-5)]]&amp;Auto_Sales_data___Copy[[#This Row],[M-Score(1-5)]]</f>
        <v>333</v>
      </c>
      <c r="AA1469" s="2" t="str" cm="1">
        <f t="array" ref="AA14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9" s="2" t="str">
        <f>VLOOKUP(Auto_Sales_data___Copy[[#This Row],[Segment Name]],Table3[],2,FALSE)</f>
        <v>Brand Awareness &amp; Value Proposition</v>
      </c>
    </row>
    <row r="1470" spans="1:28" x14ac:dyDescent="0.25">
      <c r="A1470">
        <v>10175</v>
      </c>
      <c r="B1470">
        <v>29</v>
      </c>
      <c r="C1470">
        <v>152.41</v>
      </c>
      <c r="D1470">
        <v>5</v>
      </c>
      <c r="E1470">
        <v>4419.8900000000003</v>
      </c>
      <c r="F1470" s="1">
        <v>43410</v>
      </c>
      <c r="G1470" s="2" t="s">
        <v>19</v>
      </c>
      <c r="H1470" s="2" t="s">
        <v>183</v>
      </c>
      <c r="I1470">
        <v>169</v>
      </c>
      <c r="J1470" s="2" t="s">
        <v>649</v>
      </c>
      <c r="K1470" s="2" t="s">
        <v>347</v>
      </c>
      <c r="L1470" s="2" t="s">
        <v>348</v>
      </c>
      <c r="M1470" s="2" t="s">
        <v>349</v>
      </c>
      <c r="N1470" s="2" t="s">
        <v>350</v>
      </c>
      <c r="O1470" s="2" t="s">
        <v>351</v>
      </c>
      <c r="P1470" s="2" t="s">
        <v>171</v>
      </c>
      <c r="Q1470" s="2" t="s">
        <v>100</v>
      </c>
      <c r="R1470" s="2" t="s">
        <v>352</v>
      </c>
      <c r="S1470" s="2" t="s">
        <v>46</v>
      </c>
      <c r="T1470">
        <v>1556</v>
      </c>
      <c r="U1470">
        <f>VLOOKUP(Auto_Sales_data___Copy[[#This Row],[CUSTOMER_NAME]],$AF$2:$AH$90,2,FALSE)</f>
        <v>26</v>
      </c>
      <c r="V1470">
        <f>VLOOKUP(Auto_Sales_data___Copy[[#This Row],[CUSTOMER_NAME]],$AF$2:$AH$90,3,FALSE)</f>
        <v>88804.5</v>
      </c>
      <c r="W1470" s="2">
        <f>6-MATCH(Auto_Sales_data___Copy[[#This Row],[DAYS_SINCE_LAST_ORDER]],Table2[R-Cutoff],1)</f>
        <v>3</v>
      </c>
      <c r="X1470" s="2">
        <f>MATCH(Auto_Sales_data___Copy[[#This Row],[Total_Orders_Per_Customer]],Table2[F-Cutoff],1)</f>
        <v>3</v>
      </c>
      <c r="Y1470" s="2">
        <f>MATCH(Auto_Sales_data___Copy[[#This Row],[Total_Sales_Per_Customer]],Table2[M-Cutoff],1)</f>
        <v>3</v>
      </c>
      <c r="Z1470" s="2" t="str">
        <f>Auto_Sales_data___Copy[[#This Row],[R-Score(1-5)]]&amp;Auto_Sales_data___Copy[[#This Row],[F-Score(1-5)]]&amp;Auto_Sales_data___Copy[[#This Row],[M-Score(1-5)]]</f>
        <v>333</v>
      </c>
      <c r="AA1470" s="2" t="str" cm="1">
        <f t="array" ref="AA14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0" s="2" t="str">
        <f>VLOOKUP(Auto_Sales_data___Copy[[#This Row],[Segment Name]],Table3[],2,FALSE)</f>
        <v>Brand Awareness &amp; Value Proposition</v>
      </c>
    </row>
    <row r="1471" spans="1:28" x14ac:dyDescent="0.25">
      <c r="A1471">
        <v>10175</v>
      </c>
      <c r="B1471">
        <v>47</v>
      </c>
      <c r="C1471">
        <v>108.97</v>
      </c>
      <c r="D1471">
        <v>10</v>
      </c>
      <c r="E1471">
        <v>5121.59</v>
      </c>
      <c r="F1471" s="1">
        <v>43410</v>
      </c>
      <c r="G1471" s="2" t="s">
        <v>19</v>
      </c>
      <c r="H1471" s="2" t="s">
        <v>537</v>
      </c>
      <c r="I1471">
        <v>121</v>
      </c>
      <c r="J1471" s="2" t="s">
        <v>661</v>
      </c>
      <c r="K1471" s="2" t="s">
        <v>347</v>
      </c>
      <c r="L1471" s="2" t="s">
        <v>348</v>
      </c>
      <c r="M1471" s="2" t="s">
        <v>349</v>
      </c>
      <c r="N1471" s="2" t="s">
        <v>350</v>
      </c>
      <c r="O1471" s="2" t="s">
        <v>351</v>
      </c>
      <c r="P1471" s="2" t="s">
        <v>171</v>
      </c>
      <c r="Q1471" s="2" t="s">
        <v>100</v>
      </c>
      <c r="R1471" s="2" t="s">
        <v>352</v>
      </c>
      <c r="S1471" s="2" t="s">
        <v>46</v>
      </c>
      <c r="T1471">
        <v>1845</v>
      </c>
      <c r="U1471">
        <f>VLOOKUP(Auto_Sales_data___Copy[[#This Row],[CUSTOMER_NAME]],$AF$2:$AH$90,2,FALSE)</f>
        <v>26</v>
      </c>
      <c r="V1471">
        <f>VLOOKUP(Auto_Sales_data___Copy[[#This Row],[CUSTOMER_NAME]],$AF$2:$AH$90,3,FALSE)</f>
        <v>88804.5</v>
      </c>
      <c r="W1471" s="2">
        <f>6-MATCH(Auto_Sales_data___Copy[[#This Row],[DAYS_SINCE_LAST_ORDER]],Table2[R-Cutoff],1)</f>
        <v>3</v>
      </c>
      <c r="X1471" s="2">
        <f>MATCH(Auto_Sales_data___Copy[[#This Row],[Total_Orders_Per_Customer]],Table2[F-Cutoff],1)</f>
        <v>3</v>
      </c>
      <c r="Y1471" s="2">
        <f>MATCH(Auto_Sales_data___Copy[[#This Row],[Total_Sales_Per_Customer]],Table2[M-Cutoff],1)</f>
        <v>3</v>
      </c>
      <c r="Z1471" s="2" t="str">
        <f>Auto_Sales_data___Copy[[#This Row],[R-Score(1-5)]]&amp;Auto_Sales_data___Copy[[#This Row],[F-Score(1-5)]]&amp;Auto_Sales_data___Copy[[#This Row],[M-Score(1-5)]]</f>
        <v>333</v>
      </c>
      <c r="AA1471" s="2" t="str" cm="1">
        <f t="array" ref="AA14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1" s="2" t="str">
        <f>VLOOKUP(Auto_Sales_data___Copy[[#This Row],[Segment Name]],Table3[],2,FALSE)</f>
        <v>Brand Awareness &amp; Value Proposition</v>
      </c>
    </row>
    <row r="1472" spans="1:28" x14ac:dyDescent="0.25">
      <c r="A1472">
        <v>10191</v>
      </c>
      <c r="B1472">
        <v>36</v>
      </c>
      <c r="C1472">
        <v>94.88</v>
      </c>
      <c r="D1472">
        <v>6</v>
      </c>
      <c r="E1472">
        <v>3415.68</v>
      </c>
      <c r="F1472" s="1">
        <v>43424</v>
      </c>
      <c r="G1472" s="2" t="s">
        <v>19</v>
      </c>
      <c r="H1472" s="2" t="s">
        <v>183</v>
      </c>
      <c r="I1472">
        <v>80</v>
      </c>
      <c r="J1472" s="2" t="s">
        <v>652</v>
      </c>
      <c r="K1472" s="2" t="s">
        <v>465</v>
      </c>
      <c r="L1472" s="2" t="s">
        <v>466</v>
      </c>
      <c r="M1472" s="2" t="s">
        <v>467</v>
      </c>
      <c r="N1472" s="2" t="s">
        <v>468</v>
      </c>
      <c r="O1472" s="2" t="s">
        <v>469</v>
      </c>
      <c r="P1472" s="2" t="s">
        <v>470</v>
      </c>
      <c r="Q1472" s="2" t="s">
        <v>471</v>
      </c>
      <c r="R1472" s="2" t="s">
        <v>472</v>
      </c>
      <c r="S1472" s="2" t="s">
        <v>46</v>
      </c>
      <c r="T1472">
        <v>1613</v>
      </c>
      <c r="U1472">
        <f>VLOOKUP(Auto_Sales_data___Copy[[#This Row],[CUSTOMER_NAME]],$AF$2:$AH$90,2,FALSE)</f>
        <v>26</v>
      </c>
      <c r="V1472">
        <f>VLOOKUP(Auto_Sales_data___Copy[[#This Row],[CUSTOMER_NAME]],$AF$2:$AH$90,3,FALSE)</f>
        <v>100306.58000000002</v>
      </c>
      <c r="W1472" s="2">
        <f>6-MATCH(Auto_Sales_data___Copy[[#This Row],[DAYS_SINCE_LAST_ORDER]],Table2[R-Cutoff],1)</f>
        <v>3</v>
      </c>
      <c r="X1472" s="2">
        <f>MATCH(Auto_Sales_data___Copy[[#This Row],[Total_Orders_Per_Customer]],Table2[F-Cutoff],1)</f>
        <v>3</v>
      </c>
      <c r="Y1472" s="2">
        <f>MATCH(Auto_Sales_data___Copy[[#This Row],[Total_Sales_Per_Customer]],Table2[M-Cutoff],1)</f>
        <v>3</v>
      </c>
      <c r="Z1472" s="2" t="str">
        <f>Auto_Sales_data___Copy[[#This Row],[R-Score(1-5)]]&amp;Auto_Sales_data___Copy[[#This Row],[F-Score(1-5)]]&amp;Auto_Sales_data___Copy[[#This Row],[M-Score(1-5)]]</f>
        <v>333</v>
      </c>
      <c r="AA1472" s="2" t="str" cm="1">
        <f t="array" ref="AA14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2" s="2" t="str">
        <f>VLOOKUP(Auto_Sales_data___Copy[[#This Row],[Segment Name]],Table3[],2,FALSE)</f>
        <v>Brand Awareness &amp; Value Proposition</v>
      </c>
    </row>
    <row r="1473" spans="1:28" x14ac:dyDescent="0.25">
      <c r="A1473">
        <v>10191</v>
      </c>
      <c r="B1473">
        <v>23</v>
      </c>
      <c r="C1473">
        <v>148.46</v>
      </c>
      <c r="D1473">
        <v>5</v>
      </c>
      <c r="E1473">
        <v>3414.58</v>
      </c>
      <c r="F1473" s="1">
        <v>43424</v>
      </c>
      <c r="G1473" s="2" t="s">
        <v>19</v>
      </c>
      <c r="H1473" s="2" t="s">
        <v>183</v>
      </c>
      <c r="I1473">
        <v>146</v>
      </c>
      <c r="J1473" s="2" t="s">
        <v>654</v>
      </c>
      <c r="K1473" s="2" t="s">
        <v>465</v>
      </c>
      <c r="L1473" s="2" t="s">
        <v>466</v>
      </c>
      <c r="M1473" s="2" t="s">
        <v>467</v>
      </c>
      <c r="N1473" s="2" t="s">
        <v>468</v>
      </c>
      <c r="O1473" s="2" t="s">
        <v>469</v>
      </c>
      <c r="P1473" s="2" t="s">
        <v>470</v>
      </c>
      <c r="Q1473" s="2" t="s">
        <v>471</v>
      </c>
      <c r="R1473" s="2" t="s">
        <v>472</v>
      </c>
      <c r="S1473" s="2" t="s">
        <v>46</v>
      </c>
      <c r="T1473">
        <v>1660</v>
      </c>
      <c r="U1473">
        <f>VLOOKUP(Auto_Sales_data___Copy[[#This Row],[CUSTOMER_NAME]],$AF$2:$AH$90,2,FALSE)</f>
        <v>26</v>
      </c>
      <c r="V1473">
        <f>VLOOKUP(Auto_Sales_data___Copy[[#This Row],[CUSTOMER_NAME]],$AF$2:$AH$90,3,FALSE)</f>
        <v>100306.58000000002</v>
      </c>
      <c r="W1473" s="2">
        <f>6-MATCH(Auto_Sales_data___Copy[[#This Row],[DAYS_SINCE_LAST_ORDER]],Table2[R-Cutoff],1)</f>
        <v>3</v>
      </c>
      <c r="X1473" s="2">
        <f>MATCH(Auto_Sales_data___Copy[[#This Row],[Total_Orders_Per_Customer]],Table2[F-Cutoff],1)</f>
        <v>3</v>
      </c>
      <c r="Y1473" s="2">
        <f>MATCH(Auto_Sales_data___Copy[[#This Row],[Total_Sales_Per_Customer]],Table2[M-Cutoff],1)</f>
        <v>3</v>
      </c>
      <c r="Z1473" s="2" t="str">
        <f>Auto_Sales_data___Copy[[#This Row],[R-Score(1-5)]]&amp;Auto_Sales_data___Copy[[#This Row],[F-Score(1-5)]]&amp;Auto_Sales_data___Copy[[#This Row],[M-Score(1-5)]]</f>
        <v>333</v>
      </c>
      <c r="AA1473" s="2" t="str" cm="1">
        <f t="array" ref="AA14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3" s="2" t="str">
        <f>VLOOKUP(Auto_Sales_data___Copy[[#This Row],[Segment Name]],Table3[],2,FALSE)</f>
        <v>Brand Awareness &amp; Value Proposition</v>
      </c>
    </row>
    <row r="1474" spans="1:28" x14ac:dyDescent="0.25">
      <c r="A1474">
        <v>10191</v>
      </c>
      <c r="B1474">
        <v>43</v>
      </c>
      <c r="C1474">
        <v>72.739999999999995</v>
      </c>
      <c r="D1474">
        <v>9</v>
      </c>
      <c r="E1474">
        <v>3127.82</v>
      </c>
      <c r="F1474" s="1">
        <v>43424</v>
      </c>
      <c r="G1474" s="2" t="s">
        <v>19</v>
      </c>
      <c r="H1474" s="2" t="s">
        <v>20</v>
      </c>
      <c r="I1474">
        <v>62</v>
      </c>
      <c r="J1474" s="2" t="s">
        <v>656</v>
      </c>
      <c r="K1474" s="2" t="s">
        <v>465</v>
      </c>
      <c r="L1474" s="2" t="s">
        <v>466</v>
      </c>
      <c r="M1474" s="2" t="s">
        <v>467</v>
      </c>
      <c r="N1474" s="2" t="s">
        <v>468</v>
      </c>
      <c r="O1474" s="2" t="s">
        <v>469</v>
      </c>
      <c r="P1474" s="2" t="s">
        <v>470</v>
      </c>
      <c r="Q1474" s="2" t="s">
        <v>471</v>
      </c>
      <c r="R1474" s="2" t="s">
        <v>472</v>
      </c>
      <c r="S1474" s="2" t="s">
        <v>46</v>
      </c>
      <c r="T1474">
        <v>1709</v>
      </c>
      <c r="U1474">
        <f>VLOOKUP(Auto_Sales_data___Copy[[#This Row],[CUSTOMER_NAME]],$AF$2:$AH$90,2,FALSE)</f>
        <v>26</v>
      </c>
      <c r="V1474">
        <f>VLOOKUP(Auto_Sales_data___Copy[[#This Row],[CUSTOMER_NAME]],$AF$2:$AH$90,3,FALSE)</f>
        <v>100306.58000000002</v>
      </c>
      <c r="W1474" s="2">
        <f>6-MATCH(Auto_Sales_data___Copy[[#This Row],[DAYS_SINCE_LAST_ORDER]],Table2[R-Cutoff],1)</f>
        <v>3</v>
      </c>
      <c r="X1474" s="2">
        <f>MATCH(Auto_Sales_data___Copy[[#This Row],[Total_Orders_Per_Customer]],Table2[F-Cutoff],1)</f>
        <v>3</v>
      </c>
      <c r="Y1474" s="2">
        <f>MATCH(Auto_Sales_data___Copy[[#This Row],[Total_Sales_Per_Customer]],Table2[M-Cutoff],1)</f>
        <v>3</v>
      </c>
      <c r="Z1474" s="2" t="str">
        <f>Auto_Sales_data___Copy[[#This Row],[R-Score(1-5)]]&amp;Auto_Sales_data___Copy[[#This Row],[F-Score(1-5)]]&amp;Auto_Sales_data___Copy[[#This Row],[M-Score(1-5)]]</f>
        <v>333</v>
      </c>
      <c r="AA1474" s="2" t="str" cm="1">
        <f t="array" ref="AA14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4" s="2" t="str">
        <f>VLOOKUP(Auto_Sales_data___Copy[[#This Row],[Segment Name]],Table3[],2,FALSE)</f>
        <v>Brand Awareness &amp; Value Proposition</v>
      </c>
    </row>
    <row r="1475" spans="1:28" x14ac:dyDescent="0.25">
      <c r="A1475">
        <v>10191</v>
      </c>
      <c r="B1475">
        <v>32</v>
      </c>
      <c r="C1475">
        <v>132.43</v>
      </c>
      <c r="D1475">
        <v>8</v>
      </c>
      <c r="E1475">
        <v>4237.76</v>
      </c>
      <c r="F1475" s="1">
        <v>43424</v>
      </c>
      <c r="G1475" s="2" t="s">
        <v>19</v>
      </c>
      <c r="H1475" s="2" t="s">
        <v>183</v>
      </c>
      <c r="I1475">
        <v>148</v>
      </c>
      <c r="J1475" s="2" t="s">
        <v>663</v>
      </c>
      <c r="K1475" s="2" t="s">
        <v>465</v>
      </c>
      <c r="L1475" s="2" t="s">
        <v>466</v>
      </c>
      <c r="M1475" s="2" t="s">
        <v>467</v>
      </c>
      <c r="N1475" s="2" t="s">
        <v>468</v>
      </c>
      <c r="O1475" s="2" t="s">
        <v>469</v>
      </c>
      <c r="P1475" s="2" t="s">
        <v>470</v>
      </c>
      <c r="Q1475" s="2" t="s">
        <v>471</v>
      </c>
      <c r="R1475" s="2" t="s">
        <v>472</v>
      </c>
      <c r="S1475" s="2" t="s">
        <v>46</v>
      </c>
      <c r="T1475">
        <v>1884</v>
      </c>
      <c r="U1475">
        <f>VLOOKUP(Auto_Sales_data___Copy[[#This Row],[CUSTOMER_NAME]],$AF$2:$AH$90,2,FALSE)</f>
        <v>26</v>
      </c>
      <c r="V1475">
        <f>VLOOKUP(Auto_Sales_data___Copy[[#This Row],[CUSTOMER_NAME]],$AF$2:$AH$90,3,FALSE)</f>
        <v>100306.58000000002</v>
      </c>
      <c r="W1475" s="2">
        <f>6-MATCH(Auto_Sales_data___Copy[[#This Row],[DAYS_SINCE_LAST_ORDER]],Table2[R-Cutoff],1)</f>
        <v>3</v>
      </c>
      <c r="X1475" s="2">
        <f>MATCH(Auto_Sales_data___Copy[[#This Row],[Total_Orders_Per_Customer]],Table2[F-Cutoff],1)</f>
        <v>3</v>
      </c>
      <c r="Y1475" s="2">
        <f>MATCH(Auto_Sales_data___Copy[[#This Row],[Total_Sales_Per_Customer]],Table2[M-Cutoff],1)</f>
        <v>3</v>
      </c>
      <c r="Z1475" s="2" t="str">
        <f>Auto_Sales_data___Copy[[#This Row],[R-Score(1-5)]]&amp;Auto_Sales_data___Copy[[#This Row],[F-Score(1-5)]]&amp;Auto_Sales_data___Copy[[#This Row],[M-Score(1-5)]]</f>
        <v>333</v>
      </c>
      <c r="AA1475" s="2" t="str" cm="1">
        <f t="array" ref="AA14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5" s="2" t="str">
        <f>VLOOKUP(Auto_Sales_data___Copy[[#This Row],[Segment Name]],Table3[],2,FALSE)</f>
        <v>Brand Awareness &amp; Value Proposition</v>
      </c>
    </row>
    <row r="1476" spans="1:28" x14ac:dyDescent="0.25">
      <c r="A1476">
        <v>10195</v>
      </c>
      <c r="B1476">
        <v>50</v>
      </c>
      <c r="C1476">
        <v>152.41</v>
      </c>
      <c r="D1476">
        <v>10</v>
      </c>
      <c r="E1476">
        <v>7620.5</v>
      </c>
      <c r="F1476" s="1">
        <v>43429</v>
      </c>
      <c r="G1476" s="2" t="s">
        <v>19</v>
      </c>
      <c r="H1476" s="2" t="s">
        <v>183</v>
      </c>
      <c r="I1476">
        <v>169</v>
      </c>
      <c r="J1476" s="2" t="s">
        <v>649</v>
      </c>
      <c r="K1476" s="2" t="s">
        <v>332</v>
      </c>
      <c r="L1476" s="2" t="s">
        <v>333</v>
      </c>
      <c r="M1476" s="2" t="s">
        <v>334</v>
      </c>
      <c r="N1476" s="2" t="s">
        <v>335</v>
      </c>
      <c r="O1476" s="2" t="s">
        <v>336</v>
      </c>
      <c r="P1476" s="2" t="s">
        <v>27</v>
      </c>
      <c r="Q1476" s="2" t="s">
        <v>93</v>
      </c>
      <c r="R1476" s="2" t="s">
        <v>244</v>
      </c>
      <c r="S1476" s="2" t="s">
        <v>151</v>
      </c>
      <c r="T1476">
        <v>1541</v>
      </c>
      <c r="U1476">
        <f>VLOOKUP(Auto_Sales_data___Copy[[#This Row],[CUSTOMER_NAME]],$AF$2:$AH$90,2,FALSE)</f>
        <v>26</v>
      </c>
      <c r="V1476">
        <f>VLOOKUP(Auto_Sales_data___Copy[[#This Row],[CUSTOMER_NAME]],$AF$2:$AH$90,3,FALSE)</f>
        <v>85555.989999999976</v>
      </c>
      <c r="W1476" s="2">
        <f>6-MATCH(Auto_Sales_data___Copy[[#This Row],[DAYS_SINCE_LAST_ORDER]],Table2[R-Cutoff],1)</f>
        <v>3</v>
      </c>
      <c r="X1476" s="2">
        <f>MATCH(Auto_Sales_data___Copy[[#This Row],[Total_Orders_Per_Customer]],Table2[F-Cutoff],1)</f>
        <v>3</v>
      </c>
      <c r="Y1476" s="2">
        <f>MATCH(Auto_Sales_data___Copy[[#This Row],[Total_Sales_Per_Customer]],Table2[M-Cutoff],1)</f>
        <v>3</v>
      </c>
      <c r="Z1476" s="2" t="str">
        <f>Auto_Sales_data___Copy[[#This Row],[R-Score(1-5)]]&amp;Auto_Sales_data___Copy[[#This Row],[F-Score(1-5)]]&amp;Auto_Sales_data___Copy[[#This Row],[M-Score(1-5)]]</f>
        <v>333</v>
      </c>
      <c r="AA1476" s="2" t="str" cm="1">
        <f t="array" ref="AA14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6" s="2" t="str">
        <f>VLOOKUP(Auto_Sales_data___Copy[[#This Row],[Segment Name]],Table3[],2,FALSE)</f>
        <v>Brand Awareness &amp; Value Proposition</v>
      </c>
    </row>
    <row r="1477" spans="1:28" x14ac:dyDescent="0.25">
      <c r="A1477">
        <v>10195</v>
      </c>
      <c r="B1477">
        <v>44</v>
      </c>
      <c r="C1477">
        <v>66.47</v>
      </c>
      <c r="D1477">
        <v>3</v>
      </c>
      <c r="E1477">
        <v>2924.68</v>
      </c>
      <c r="F1477" s="1">
        <v>43429</v>
      </c>
      <c r="G1477" s="2" t="s">
        <v>19</v>
      </c>
      <c r="H1477" s="2" t="s">
        <v>183</v>
      </c>
      <c r="I1477">
        <v>57</v>
      </c>
      <c r="J1477" s="2" t="s">
        <v>666</v>
      </c>
      <c r="K1477" s="2" t="s">
        <v>332</v>
      </c>
      <c r="L1477" s="2" t="s">
        <v>333</v>
      </c>
      <c r="M1477" s="2" t="s">
        <v>334</v>
      </c>
      <c r="N1477" s="2" t="s">
        <v>335</v>
      </c>
      <c r="O1477" s="2" t="s">
        <v>336</v>
      </c>
      <c r="P1477" s="2" t="s">
        <v>27</v>
      </c>
      <c r="Q1477" s="2" t="s">
        <v>93</v>
      </c>
      <c r="R1477" s="2" t="s">
        <v>244</v>
      </c>
      <c r="S1477" s="2" t="s">
        <v>30</v>
      </c>
      <c r="T1477">
        <v>1949</v>
      </c>
      <c r="U1477">
        <f>VLOOKUP(Auto_Sales_data___Copy[[#This Row],[CUSTOMER_NAME]],$AF$2:$AH$90,2,FALSE)</f>
        <v>26</v>
      </c>
      <c r="V1477">
        <f>VLOOKUP(Auto_Sales_data___Copy[[#This Row],[CUSTOMER_NAME]],$AF$2:$AH$90,3,FALSE)</f>
        <v>85555.989999999976</v>
      </c>
      <c r="W1477" s="2">
        <f>6-MATCH(Auto_Sales_data___Copy[[#This Row],[DAYS_SINCE_LAST_ORDER]],Table2[R-Cutoff],1)</f>
        <v>3</v>
      </c>
      <c r="X1477" s="2">
        <f>MATCH(Auto_Sales_data___Copy[[#This Row],[Total_Orders_Per_Customer]],Table2[F-Cutoff],1)</f>
        <v>3</v>
      </c>
      <c r="Y1477" s="2">
        <f>MATCH(Auto_Sales_data___Copy[[#This Row],[Total_Sales_Per_Customer]],Table2[M-Cutoff],1)</f>
        <v>3</v>
      </c>
      <c r="Z1477" s="2" t="str">
        <f>Auto_Sales_data___Copy[[#This Row],[R-Score(1-5)]]&amp;Auto_Sales_data___Copy[[#This Row],[F-Score(1-5)]]&amp;Auto_Sales_data___Copy[[#This Row],[M-Score(1-5)]]</f>
        <v>333</v>
      </c>
      <c r="AA1477" s="2" t="str" cm="1">
        <f t="array" ref="AA14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7" s="2" t="str">
        <f>VLOOKUP(Auto_Sales_data___Copy[[#This Row],[Segment Name]],Table3[],2,FALSE)</f>
        <v>Brand Awareness &amp; Value Proposition</v>
      </c>
    </row>
    <row r="1478" spans="1:28" x14ac:dyDescent="0.25">
      <c r="A1478">
        <v>10222</v>
      </c>
      <c r="B1478">
        <v>45</v>
      </c>
      <c r="C1478">
        <v>85.75</v>
      </c>
      <c r="D1478">
        <v>9</v>
      </c>
      <c r="E1478">
        <v>3858.75</v>
      </c>
      <c r="F1478" s="1">
        <v>43515</v>
      </c>
      <c r="G1478" s="2" t="s">
        <v>19</v>
      </c>
      <c r="H1478" s="2" t="s">
        <v>589</v>
      </c>
      <c r="I1478">
        <v>105</v>
      </c>
      <c r="J1478" s="2" t="s">
        <v>657</v>
      </c>
      <c r="K1478" s="2" t="s">
        <v>379</v>
      </c>
      <c r="L1478" s="2" t="s">
        <v>380</v>
      </c>
      <c r="M1478" s="2" t="s">
        <v>381</v>
      </c>
      <c r="N1478" s="2" t="s">
        <v>382</v>
      </c>
      <c r="O1478" s="2" t="s">
        <v>383</v>
      </c>
      <c r="P1478" s="2" t="s">
        <v>27</v>
      </c>
      <c r="Q1478" s="2" t="s">
        <v>243</v>
      </c>
      <c r="R1478" s="2" t="s">
        <v>289</v>
      </c>
      <c r="S1478" s="2" t="s">
        <v>46</v>
      </c>
      <c r="T1478">
        <v>1645</v>
      </c>
      <c r="U1478">
        <f>VLOOKUP(Auto_Sales_data___Copy[[#This Row],[CUSTOMER_NAME]],$AF$2:$AH$90,2,FALSE)</f>
        <v>25</v>
      </c>
      <c r="V1478">
        <f>VLOOKUP(Auto_Sales_data___Copy[[#This Row],[CUSTOMER_NAME]],$AF$2:$AH$90,3,FALSE)</f>
        <v>87489.23000000001</v>
      </c>
      <c r="W1478" s="2">
        <f>6-MATCH(Auto_Sales_data___Copy[[#This Row],[DAYS_SINCE_LAST_ORDER]],Table2[R-Cutoff],1)</f>
        <v>3</v>
      </c>
      <c r="X1478" s="2">
        <f>MATCH(Auto_Sales_data___Copy[[#This Row],[Total_Orders_Per_Customer]],Table2[F-Cutoff],1)</f>
        <v>3</v>
      </c>
      <c r="Y1478" s="2">
        <f>MATCH(Auto_Sales_data___Copy[[#This Row],[Total_Sales_Per_Customer]],Table2[M-Cutoff],1)</f>
        <v>3</v>
      </c>
      <c r="Z1478" s="2" t="str">
        <f>Auto_Sales_data___Copy[[#This Row],[R-Score(1-5)]]&amp;Auto_Sales_data___Copy[[#This Row],[F-Score(1-5)]]&amp;Auto_Sales_data___Copy[[#This Row],[M-Score(1-5)]]</f>
        <v>333</v>
      </c>
      <c r="AA1478" s="2" t="str" cm="1">
        <f t="array" ref="AA14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8" s="2" t="str">
        <f>VLOOKUP(Auto_Sales_data___Copy[[#This Row],[Segment Name]],Table3[],2,FALSE)</f>
        <v>Brand Awareness &amp; Value Proposition</v>
      </c>
    </row>
    <row r="1479" spans="1:28" x14ac:dyDescent="0.25">
      <c r="A1479">
        <v>10226</v>
      </c>
      <c r="B1479">
        <v>46</v>
      </c>
      <c r="C1479">
        <v>159.65</v>
      </c>
      <c r="D1479">
        <v>6</v>
      </c>
      <c r="E1479">
        <v>7343.9</v>
      </c>
      <c r="F1479" s="1">
        <v>43522</v>
      </c>
      <c r="G1479" s="2" t="s">
        <v>19</v>
      </c>
      <c r="H1479" s="2" t="s">
        <v>183</v>
      </c>
      <c r="I1479">
        <v>141</v>
      </c>
      <c r="J1479" s="2" t="s">
        <v>655</v>
      </c>
      <c r="K1479" s="2" t="s">
        <v>379</v>
      </c>
      <c r="L1479" s="2" t="s">
        <v>380</v>
      </c>
      <c r="M1479" s="2" t="s">
        <v>381</v>
      </c>
      <c r="N1479" s="2" t="s">
        <v>382</v>
      </c>
      <c r="O1479" s="2" t="s">
        <v>383</v>
      </c>
      <c r="P1479" s="2" t="s">
        <v>27</v>
      </c>
      <c r="Q1479" s="2" t="s">
        <v>243</v>
      </c>
      <c r="R1479" s="2" t="s">
        <v>289</v>
      </c>
      <c r="S1479" s="2" t="s">
        <v>151</v>
      </c>
      <c r="T1479">
        <v>1590</v>
      </c>
      <c r="U1479">
        <f>VLOOKUP(Auto_Sales_data___Copy[[#This Row],[CUSTOMER_NAME]],$AF$2:$AH$90,2,FALSE)</f>
        <v>25</v>
      </c>
      <c r="V1479">
        <f>VLOOKUP(Auto_Sales_data___Copy[[#This Row],[CUSTOMER_NAME]],$AF$2:$AH$90,3,FALSE)</f>
        <v>87489.23000000001</v>
      </c>
      <c r="W1479" s="2">
        <f>6-MATCH(Auto_Sales_data___Copy[[#This Row],[DAYS_SINCE_LAST_ORDER]],Table2[R-Cutoff],1)</f>
        <v>3</v>
      </c>
      <c r="X1479" s="2">
        <f>MATCH(Auto_Sales_data___Copy[[#This Row],[Total_Orders_Per_Customer]],Table2[F-Cutoff],1)</f>
        <v>3</v>
      </c>
      <c r="Y1479" s="2">
        <f>MATCH(Auto_Sales_data___Copy[[#This Row],[Total_Sales_Per_Customer]],Table2[M-Cutoff],1)</f>
        <v>3</v>
      </c>
      <c r="Z1479" s="2" t="str">
        <f>Auto_Sales_data___Copy[[#This Row],[R-Score(1-5)]]&amp;Auto_Sales_data___Copy[[#This Row],[F-Score(1-5)]]&amp;Auto_Sales_data___Copy[[#This Row],[M-Score(1-5)]]</f>
        <v>333</v>
      </c>
      <c r="AA1479" s="2" t="str" cm="1">
        <f t="array" ref="AA14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9" s="2" t="str">
        <f>VLOOKUP(Auto_Sales_data___Copy[[#This Row],[Segment Name]],Table3[],2,FALSE)</f>
        <v>Brand Awareness &amp; Value Proposition</v>
      </c>
    </row>
    <row r="1480" spans="1:28" x14ac:dyDescent="0.25">
      <c r="A1480">
        <v>10226</v>
      </c>
      <c r="B1480">
        <v>21</v>
      </c>
      <c r="C1480">
        <v>60.26</v>
      </c>
      <c r="D1480">
        <v>1</v>
      </c>
      <c r="E1480">
        <v>1265.46</v>
      </c>
      <c r="F1480" s="1">
        <v>43522</v>
      </c>
      <c r="G1480" s="2" t="s">
        <v>19</v>
      </c>
      <c r="H1480" s="2" t="s">
        <v>183</v>
      </c>
      <c r="I1480">
        <v>73</v>
      </c>
      <c r="J1480" s="2" t="s">
        <v>665</v>
      </c>
      <c r="K1480" s="2" t="s">
        <v>379</v>
      </c>
      <c r="L1480" s="2" t="s">
        <v>380</v>
      </c>
      <c r="M1480" s="2" t="s">
        <v>381</v>
      </c>
      <c r="N1480" s="2" t="s">
        <v>382</v>
      </c>
      <c r="O1480" s="2" t="s">
        <v>383</v>
      </c>
      <c r="P1480" s="2" t="s">
        <v>27</v>
      </c>
      <c r="Q1480" s="2" t="s">
        <v>243</v>
      </c>
      <c r="R1480" s="2" t="s">
        <v>289</v>
      </c>
      <c r="S1480" s="2" t="s">
        <v>30</v>
      </c>
      <c r="T1480">
        <v>1834</v>
      </c>
      <c r="U1480">
        <f>VLOOKUP(Auto_Sales_data___Copy[[#This Row],[CUSTOMER_NAME]],$AF$2:$AH$90,2,FALSE)</f>
        <v>25</v>
      </c>
      <c r="V1480">
        <f>VLOOKUP(Auto_Sales_data___Copy[[#This Row],[CUSTOMER_NAME]],$AF$2:$AH$90,3,FALSE)</f>
        <v>87489.23000000001</v>
      </c>
      <c r="W1480" s="2">
        <f>6-MATCH(Auto_Sales_data___Copy[[#This Row],[DAYS_SINCE_LAST_ORDER]],Table2[R-Cutoff],1)</f>
        <v>3</v>
      </c>
      <c r="X1480" s="2">
        <f>MATCH(Auto_Sales_data___Copy[[#This Row],[Total_Orders_Per_Customer]],Table2[F-Cutoff],1)</f>
        <v>3</v>
      </c>
      <c r="Y1480" s="2">
        <f>MATCH(Auto_Sales_data___Copy[[#This Row],[Total_Sales_Per_Customer]],Table2[M-Cutoff],1)</f>
        <v>3</v>
      </c>
      <c r="Z1480" s="2" t="str">
        <f>Auto_Sales_data___Copy[[#This Row],[R-Score(1-5)]]&amp;Auto_Sales_data___Copy[[#This Row],[F-Score(1-5)]]&amp;Auto_Sales_data___Copy[[#This Row],[M-Score(1-5)]]</f>
        <v>333</v>
      </c>
      <c r="AA1480" s="2" t="str" cm="1">
        <f t="array" ref="AA14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0" s="2" t="str">
        <f>VLOOKUP(Auto_Sales_data___Copy[[#This Row],[Segment Name]],Table3[],2,FALSE)</f>
        <v>Brand Awareness &amp; Value Proposition</v>
      </c>
    </row>
    <row r="1481" spans="1:28" x14ac:dyDescent="0.25">
      <c r="A1481">
        <v>10226</v>
      </c>
      <c r="B1481">
        <v>36</v>
      </c>
      <c r="C1481">
        <v>43.27</v>
      </c>
      <c r="D1481">
        <v>3</v>
      </c>
      <c r="E1481">
        <v>1557.72</v>
      </c>
      <c r="F1481" s="1">
        <v>43522</v>
      </c>
      <c r="G1481" s="2" t="s">
        <v>19</v>
      </c>
      <c r="H1481" s="2" t="s">
        <v>183</v>
      </c>
      <c r="I1481">
        <v>50</v>
      </c>
      <c r="J1481" s="2" t="s">
        <v>668</v>
      </c>
      <c r="K1481" s="2" t="s">
        <v>379</v>
      </c>
      <c r="L1481" s="2" t="s">
        <v>380</v>
      </c>
      <c r="M1481" s="2" t="s">
        <v>381</v>
      </c>
      <c r="N1481" s="2" t="s">
        <v>382</v>
      </c>
      <c r="O1481" s="2" t="s">
        <v>383</v>
      </c>
      <c r="P1481" s="2" t="s">
        <v>27</v>
      </c>
      <c r="Q1481" s="2" t="s">
        <v>243</v>
      </c>
      <c r="R1481" s="2" t="s">
        <v>289</v>
      </c>
      <c r="S1481" s="2" t="s">
        <v>30</v>
      </c>
      <c r="T1481">
        <v>1910</v>
      </c>
      <c r="U1481">
        <f>VLOOKUP(Auto_Sales_data___Copy[[#This Row],[CUSTOMER_NAME]],$AF$2:$AH$90,2,FALSE)</f>
        <v>25</v>
      </c>
      <c r="V1481">
        <f>VLOOKUP(Auto_Sales_data___Copy[[#This Row],[CUSTOMER_NAME]],$AF$2:$AH$90,3,FALSE)</f>
        <v>87489.23000000001</v>
      </c>
      <c r="W1481" s="2">
        <f>6-MATCH(Auto_Sales_data___Copy[[#This Row],[DAYS_SINCE_LAST_ORDER]],Table2[R-Cutoff],1)</f>
        <v>3</v>
      </c>
      <c r="X1481" s="2">
        <f>MATCH(Auto_Sales_data___Copy[[#This Row],[Total_Orders_Per_Customer]],Table2[F-Cutoff],1)</f>
        <v>3</v>
      </c>
      <c r="Y1481" s="2">
        <f>MATCH(Auto_Sales_data___Copy[[#This Row],[Total_Sales_Per_Customer]],Table2[M-Cutoff],1)</f>
        <v>3</v>
      </c>
      <c r="Z1481" s="2" t="str">
        <f>Auto_Sales_data___Copy[[#This Row],[R-Score(1-5)]]&amp;Auto_Sales_data___Copy[[#This Row],[F-Score(1-5)]]&amp;Auto_Sales_data___Copy[[#This Row],[M-Score(1-5)]]</f>
        <v>333</v>
      </c>
      <c r="AA1481" s="2" t="str" cm="1">
        <f t="array" ref="AA14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1" s="2" t="str">
        <f>VLOOKUP(Auto_Sales_data___Copy[[#This Row],[Segment Name]],Table3[],2,FALSE)</f>
        <v>Brand Awareness &amp; Value Proposition</v>
      </c>
    </row>
    <row r="1482" spans="1:28" x14ac:dyDescent="0.25">
      <c r="A1482">
        <v>10237</v>
      </c>
      <c r="B1482">
        <v>26</v>
      </c>
      <c r="C1482">
        <v>52.22</v>
      </c>
      <c r="D1482">
        <v>1</v>
      </c>
      <c r="E1482">
        <v>1357.72</v>
      </c>
      <c r="F1482" s="1">
        <v>43560</v>
      </c>
      <c r="G1482" s="2" t="s">
        <v>19</v>
      </c>
      <c r="H1482" s="2" t="s">
        <v>20</v>
      </c>
      <c r="I1482">
        <v>62</v>
      </c>
      <c r="J1482" s="2" t="s">
        <v>656</v>
      </c>
      <c r="K1482" s="2" t="s">
        <v>90</v>
      </c>
      <c r="L1482" s="2" t="s">
        <v>91</v>
      </c>
      <c r="M1482" s="2" t="s">
        <v>92</v>
      </c>
      <c r="N1482" s="2" t="s">
        <v>25</v>
      </c>
      <c r="O1482" s="2" t="s">
        <v>26</v>
      </c>
      <c r="P1482" s="2" t="s">
        <v>27</v>
      </c>
      <c r="Q1482" s="2" t="s">
        <v>93</v>
      </c>
      <c r="R1482" s="2" t="s">
        <v>94</v>
      </c>
      <c r="S1482" s="2" t="s">
        <v>30</v>
      </c>
      <c r="T1482">
        <v>1576</v>
      </c>
      <c r="U1482">
        <f>VLOOKUP(Auto_Sales_data___Copy[[#This Row],[CUSTOMER_NAME]],$AF$2:$AH$90,2,FALSE)</f>
        <v>25</v>
      </c>
      <c r="V1482">
        <f>VLOOKUP(Auto_Sales_data___Copy[[#This Row],[CUSTOMER_NAME]],$AF$2:$AH$90,3,FALSE)</f>
        <v>88041.260000000009</v>
      </c>
      <c r="W1482" s="2">
        <f>6-MATCH(Auto_Sales_data___Copy[[#This Row],[DAYS_SINCE_LAST_ORDER]],Table2[R-Cutoff],1)</f>
        <v>3</v>
      </c>
      <c r="X1482" s="2">
        <f>MATCH(Auto_Sales_data___Copy[[#This Row],[Total_Orders_Per_Customer]],Table2[F-Cutoff],1)</f>
        <v>3</v>
      </c>
      <c r="Y1482" s="2">
        <f>MATCH(Auto_Sales_data___Copy[[#This Row],[Total_Sales_Per_Customer]],Table2[M-Cutoff],1)</f>
        <v>3</v>
      </c>
      <c r="Z1482" s="2" t="str">
        <f>Auto_Sales_data___Copy[[#This Row],[R-Score(1-5)]]&amp;Auto_Sales_data___Copy[[#This Row],[F-Score(1-5)]]&amp;Auto_Sales_data___Copy[[#This Row],[M-Score(1-5)]]</f>
        <v>333</v>
      </c>
      <c r="AA1482" s="2" t="str" cm="1">
        <f t="array" ref="AA14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2" s="2" t="str">
        <f>VLOOKUP(Auto_Sales_data___Copy[[#This Row],[Segment Name]],Table3[],2,FALSE)</f>
        <v>Brand Awareness &amp; Value Proposition</v>
      </c>
    </row>
    <row r="1483" spans="1:28" x14ac:dyDescent="0.25">
      <c r="A1483">
        <v>10237</v>
      </c>
      <c r="B1483">
        <v>20</v>
      </c>
      <c r="C1483">
        <v>114.95</v>
      </c>
      <c r="D1483">
        <v>8</v>
      </c>
      <c r="E1483">
        <v>2299</v>
      </c>
      <c r="F1483" s="1">
        <v>43560</v>
      </c>
      <c r="G1483" s="2" t="s">
        <v>19</v>
      </c>
      <c r="H1483" s="2" t="s">
        <v>20</v>
      </c>
      <c r="I1483">
        <v>112</v>
      </c>
      <c r="J1483" s="2" t="s">
        <v>667</v>
      </c>
      <c r="K1483" s="2" t="s">
        <v>90</v>
      </c>
      <c r="L1483" s="2" t="s">
        <v>91</v>
      </c>
      <c r="M1483" s="2" t="s">
        <v>92</v>
      </c>
      <c r="N1483" s="2" t="s">
        <v>25</v>
      </c>
      <c r="O1483" s="2" t="s">
        <v>26</v>
      </c>
      <c r="P1483" s="2" t="s">
        <v>27</v>
      </c>
      <c r="Q1483" s="2" t="s">
        <v>93</v>
      </c>
      <c r="R1483" s="2" t="s">
        <v>94</v>
      </c>
      <c r="S1483" s="2" t="s">
        <v>30</v>
      </c>
      <c r="T1483">
        <v>1847</v>
      </c>
      <c r="U1483">
        <f>VLOOKUP(Auto_Sales_data___Copy[[#This Row],[CUSTOMER_NAME]],$AF$2:$AH$90,2,FALSE)</f>
        <v>25</v>
      </c>
      <c r="V1483">
        <f>VLOOKUP(Auto_Sales_data___Copy[[#This Row],[CUSTOMER_NAME]],$AF$2:$AH$90,3,FALSE)</f>
        <v>88041.260000000009</v>
      </c>
      <c r="W1483" s="2">
        <f>6-MATCH(Auto_Sales_data___Copy[[#This Row],[DAYS_SINCE_LAST_ORDER]],Table2[R-Cutoff],1)</f>
        <v>3</v>
      </c>
      <c r="X1483" s="2">
        <f>MATCH(Auto_Sales_data___Copy[[#This Row],[Total_Orders_Per_Customer]],Table2[F-Cutoff],1)</f>
        <v>3</v>
      </c>
      <c r="Y1483" s="2">
        <f>MATCH(Auto_Sales_data___Copy[[#This Row],[Total_Sales_Per_Customer]],Table2[M-Cutoff],1)</f>
        <v>3</v>
      </c>
      <c r="Z1483" s="2" t="str">
        <f>Auto_Sales_data___Copy[[#This Row],[R-Score(1-5)]]&amp;Auto_Sales_data___Copy[[#This Row],[F-Score(1-5)]]&amp;Auto_Sales_data___Copy[[#This Row],[M-Score(1-5)]]</f>
        <v>333</v>
      </c>
      <c r="AA1483" s="2" t="str" cm="1">
        <f t="array" ref="AA14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3" s="2" t="str">
        <f>VLOOKUP(Auto_Sales_data___Copy[[#This Row],[Segment Name]],Table3[],2,FALSE)</f>
        <v>Brand Awareness &amp; Value Proposition</v>
      </c>
    </row>
    <row r="1484" spans="1:28" x14ac:dyDescent="0.25">
      <c r="A1484">
        <v>10264</v>
      </c>
      <c r="B1484">
        <v>48</v>
      </c>
      <c r="C1484">
        <v>54.71</v>
      </c>
      <c r="D1484">
        <v>3</v>
      </c>
      <c r="E1484">
        <v>2626.08</v>
      </c>
      <c r="F1484" s="1">
        <v>43646</v>
      </c>
      <c r="G1484" s="2" t="s">
        <v>19</v>
      </c>
      <c r="H1484" s="2" t="s">
        <v>20</v>
      </c>
      <c r="I1484">
        <v>62</v>
      </c>
      <c r="J1484" s="2" t="s">
        <v>656</v>
      </c>
      <c r="K1484" s="2" t="s">
        <v>398</v>
      </c>
      <c r="L1484" s="2" t="s">
        <v>399</v>
      </c>
      <c r="M1484" s="2" t="s">
        <v>400</v>
      </c>
      <c r="N1484" s="2" t="s">
        <v>401</v>
      </c>
      <c r="O1484" s="2" t="s">
        <v>402</v>
      </c>
      <c r="P1484" s="2" t="s">
        <v>27</v>
      </c>
      <c r="Q1484" s="2" t="s">
        <v>403</v>
      </c>
      <c r="R1484" s="2" t="s">
        <v>60</v>
      </c>
      <c r="S1484" s="2" t="s">
        <v>30</v>
      </c>
      <c r="T1484">
        <v>1492</v>
      </c>
      <c r="U1484">
        <f>VLOOKUP(Auto_Sales_data___Copy[[#This Row],[CUSTOMER_NAME]],$AF$2:$AH$90,2,FALSE)</f>
        <v>26</v>
      </c>
      <c r="V1484">
        <f>VLOOKUP(Auto_Sales_data___Copy[[#This Row],[CUSTOMER_NAME]],$AF$2:$AH$90,3,FALSE)</f>
        <v>83209.88</v>
      </c>
      <c r="W1484" s="2">
        <f>6-MATCH(Auto_Sales_data___Copy[[#This Row],[DAYS_SINCE_LAST_ORDER]],Table2[R-Cutoff],1)</f>
        <v>3</v>
      </c>
      <c r="X1484" s="2">
        <f>MATCH(Auto_Sales_data___Copy[[#This Row],[Total_Orders_Per_Customer]],Table2[F-Cutoff],1)</f>
        <v>3</v>
      </c>
      <c r="Y1484" s="2">
        <f>MATCH(Auto_Sales_data___Copy[[#This Row],[Total_Sales_Per_Customer]],Table2[M-Cutoff],1)</f>
        <v>3</v>
      </c>
      <c r="Z1484" s="2" t="str">
        <f>Auto_Sales_data___Copy[[#This Row],[R-Score(1-5)]]&amp;Auto_Sales_data___Copy[[#This Row],[F-Score(1-5)]]&amp;Auto_Sales_data___Copy[[#This Row],[M-Score(1-5)]]</f>
        <v>333</v>
      </c>
      <c r="AA1484" s="2" t="str" cm="1">
        <f t="array" ref="AA14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4" s="2" t="str">
        <f>VLOOKUP(Auto_Sales_data___Copy[[#This Row],[Segment Name]],Table3[],2,FALSE)</f>
        <v>Brand Awareness &amp; Value Proposition</v>
      </c>
    </row>
    <row r="1485" spans="1:28" x14ac:dyDescent="0.25">
      <c r="A1485">
        <v>10264</v>
      </c>
      <c r="B1485">
        <v>20</v>
      </c>
      <c r="C1485">
        <v>120.53</v>
      </c>
      <c r="D1485">
        <v>2</v>
      </c>
      <c r="E1485">
        <v>2410.6</v>
      </c>
      <c r="F1485" s="1">
        <v>43646</v>
      </c>
      <c r="G1485" s="2" t="s">
        <v>19</v>
      </c>
      <c r="H1485" s="2" t="s">
        <v>183</v>
      </c>
      <c r="I1485">
        <v>148</v>
      </c>
      <c r="J1485" s="2" t="s">
        <v>663</v>
      </c>
      <c r="K1485" s="2" t="s">
        <v>398</v>
      </c>
      <c r="L1485" s="2" t="s">
        <v>399</v>
      </c>
      <c r="M1485" s="2" t="s">
        <v>400</v>
      </c>
      <c r="N1485" s="2" t="s">
        <v>401</v>
      </c>
      <c r="O1485" s="2" t="s">
        <v>402</v>
      </c>
      <c r="P1485" s="2" t="s">
        <v>27</v>
      </c>
      <c r="Q1485" s="2" t="s">
        <v>403</v>
      </c>
      <c r="R1485" s="2" t="s">
        <v>60</v>
      </c>
      <c r="S1485" s="2" t="s">
        <v>30</v>
      </c>
      <c r="T1485">
        <v>1667</v>
      </c>
      <c r="U1485">
        <f>VLOOKUP(Auto_Sales_data___Copy[[#This Row],[CUSTOMER_NAME]],$AF$2:$AH$90,2,FALSE)</f>
        <v>26</v>
      </c>
      <c r="V1485">
        <f>VLOOKUP(Auto_Sales_data___Copy[[#This Row],[CUSTOMER_NAME]],$AF$2:$AH$90,3,FALSE)</f>
        <v>83209.88</v>
      </c>
      <c r="W1485" s="2">
        <f>6-MATCH(Auto_Sales_data___Copy[[#This Row],[DAYS_SINCE_LAST_ORDER]],Table2[R-Cutoff],1)</f>
        <v>3</v>
      </c>
      <c r="X1485" s="2">
        <f>MATCH(Auto_Sales_data___Copy[[#This Row],[Total_Orders_Per_Customer]],Table2[F-Cutoff],1)</f>
        <v>3</v>
      </c>
      <c r="Y1485" s="2">
        <f>MATCH(Auto_Sales_data___Copy[[#This Row],[Total_Sales_Per_Customer]],Table2[M-Cutoff],1)</f>
        <v>3</v>
      </c>
      <c r="Z1485" s="2" t="str">
        <f>Auto_Sales_data___Copy[[#This Row],[R-Score(1-5)]]&amp;Auto_Sales_data___Copy[[#This Row],[F-Score(1-5)]]&amp;Auto_Sales_data___Copy[[#This Row],[M-Score(1-5)]]</f>
        <v>333</v>
      </c>
      <c r="AA1485" s="2" t="str" cm="1">
        <f t="array" ref="AA14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5" s="2" t="str">
        <f>VLOOKUP(Auto_Sales_data___Copy[[#This Row],[Segment Name]],Table3[],2,FALSE)</f>
        <v>Brand Awareness &amp; Value Proposition</v>
      </c>
    </row>
    <row r="1486" spans="1:28" x14ac:dyDescent="0.25">
      <c r="A1486">
        <v>10264</v>
      </c>
      <c r="B1486">
        <v>37</v>
      </c>
      <c r="C1486">
        <v>65.099999999999994</v>
      </c>
      <c r="D1486">
        <v>6</v>
      </c>
      <c r="E1486">
        <v>2408.6999999999998</v>
      </c>
      <c r="F1486" s="1">
        <v>43646</v>
      </c>
      <c r="G1486" s="2" t="s">
        <v>19</v>
      </c>
      <c r="H1486" s="2" t="s">
        <v>20</v>
      </c>
      <c r="I1486">
        <v>69</v>
      </c>
      <c r="J1486" s="2" t="s">
        <v>675</v>
      </c>
      <c r="K1486" s="2" t="s">
        <v>398</v>
      </c>
      <c r="L1486" s="2" t="s">
        <v>399</v>
      </c>
      <c r="M1486" s="2" t="s">
        <v>400</v>
      </c>
      <c r="N1486" s="2" t="s">
        <v>401</v>
      </c>
      <c r="O1486" s="2" t="s">
        <v>402</v>
      </c>
      <c r="P1486" s="2" t="s">
        <v>27</v>
      </c>
      <c r="Q1486" s="2" t="s">
        <v>403</v>
      </c>
      <c r="R1486" s="2" t="s">
        <v>60</v>
      </c>
      <c r="S1486" s="2" t="s">
        <v>30</v>
      </c>
      <c r="T1486">
        <v>1959</v>
      </c>
      <c r="U1486">
        <f>VLOOKUP(Auto_Sales_data___Copy[[#This Row],[CUSTOMER_NAME]],$AF$2:$AH$90,2,FALSE)</f>
        <v>26</v>
      </c>
      <c r="V1486">
        <f>VLOOKUP(Auto_Sales_data___Copy[[#This Row],[CUSTOMER_NAME]],$AF$2:$AH$90,3,FALSE)</f>
        <v>83209.88</v>
      </c>
      <c r="W1486" s="2">
        <f>6-MATCH(Auto_Sales_data___Copy[[#This Row],[DAYS_SINCE_LAST_ORDER]],Table2[R-Cutoff],1)</f>
        <v>3</v>
      </c>
      <c r="X1486" s="2">
        <f>MATCH(Auto_Sales_data___Copy[[#This Row],[Total_Orders_Per_Customer]],Table2[F-Cutoff],1)</f>
        <v>3</v>
      </c>
      <c r="Y1486" s="2">
        <f>MATCH(Auto_Sales_data___Copy[[#This Row],[Total_Sales_Per_Customer]],Table2[M-Cutoff],1)</f>
        <v>3</v>
      </c>
      <c r="Z1486" s="2" t="str">
        <f>Auto_Sales_data___Copy[[#This Row],[R-Score(1-5)]]&amp;Auto_Sales_data___Copy[[#This Row],[F-Score(1-5)]]&amp;Auto_Sales_data___Copy[[#This Row],[M-Score(1-5)]]</f>
        <v>333</v>
      </c>
      <c r="AA1486" s="2" t="str" cm="1">
        <f t="array" ref="AA14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6" s="2" t="str">
        <f>VLOOKUP(Auto_Sales_data___Copy[[#This Row],[Segment Name]],Table3[],2,FALSE)</f>
        <v>Brand Awareness &amp; Value Proposition</v>
      </c>
    </row>
    <row r="1487" spans="1:28" x14ac:dyDescent="0.25">
      <c r="A1487">
        <v>10274</v>
      </c>
      <c r="B1487">
        <v>40</v>
      </c>
      <c r="C1487">
        <v>65.08</v>
      </c>
      <c r="D1487">
        <v>2</v>
      </c>
      <c r="E1487">
        <v>2603.1999999999998</v>
      </c>
      <c r="F1487" s="1">
        <v>43667</v>
      </c>
      <c r="G1487" s="2" t="s">
        <v>19</v>
      </c>
      <c r="H1487" s="2" t="s">
        <v>607</v>
      </c>
      <c r="I1487">
        <v>68</v>
      </c>
      <c r="J1487" s="2" t="s">
        <v>678</v>
      </c>
      <c r="K1487" s="2" t="s">
        <v>295</v>
      </c>
      <c r="L1487" s="2" t="s">
        <v>116</v>
      </c>
      <c r="M1487" s="2" t="s">
        <v>296</v>
      </c>
      <c r="N1487" s="2" t="s">
        <v>297</v>
      </c>
      <c r="O1487" s="2" t="s">
        <v>298</v>
      </c>
      <c r="P1487" s="2" t="s">
        <v>27</v>
      </c>
      <c r="Q1487" s="2" t="s">
        <v>288</v>
      </c>
      <c r="R1487" s="2" t="s">
        <v>299</v>
      </c>
      <c r="S1487" s="2" t="s">
        <v>30</v>
      </c>
      <c r="T1487">
        <v>2014</v>
      </c>
      <c r="U1487">
        <f>VLOOKUP(Auto_Sales_data___Copy[[#This Row],[CUSTOMER_NAME]],$AF$2:$AH$90,2,FALSE)</f>
        <v>24</v>
      </c>
      <c r="V1487">
        <f>VLOOKUP(Auto_Sales_data___Copy[[#This Row],[CUSTOMER_NAME]],$AF$2:$AH$90,3,FALSE)</f>
        <v>81577.98</v>
      </c>
      <c r="W1487" s="2">
        <f>6-MATCH(Auto_Sales_data___Copy[[#This Row],[DAYS_SINCE_LAST_ORDER]],Table2[R-Cutoff],1)</f>
        <v>3</v>
      </c>
      <c r="X1487" s="2">
        <f>MATCH(Auto_Sales_data___Copy[[#This Row],[Total_Orders_Per_Customer]],Table2[F-Cutoff],1)</f>
        <v>3</v>
      </c>
      <c r="Y1487" s="2">
        <f>MATCH(Auto_Sales_data___Copy[[#This Row],[Total_Sales_Per_Customer]],Table2[M-Cutoff],1)</f>
        <v>3</v>
      </c>
      <c r="Z1487" s="2" t="str">
        <f>Auto_Sales_data___Copy[[#This Row],[R-Score(1-5)]]&amp;Auto_Sales_data___Copy[[#This Row],[F-Score(1-5)]]&amp;Auto_Sales_data___Copy[[#This Row],[M-Score(1-5)]]</f>
        <v>333</v>
      </c>
      <c r="AA1487" s="2" t="str" cm="1">
        <f t="array" ref="AA14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7" s="2" t="str">
        <f>VLOOKUP(Auto_Sales_data___Copy[[#This Row],[Segment Name]],Table3[],2,FALSE)</f>
        <v>Brand Awareness &amp; Value Proposition</v>
      </c>
    </row>
    <row r="1488" spans="1:28" x14ac:dyDescent="0.25">
      <c r="A1488">
        <v>10280</v>
      </c>
      <c r="B1488">
        <v>35</v>
      </c>
      <c r="C1488">
        <v>105.83</v>
      </c>
      <c r="D1488">
        <v>17</v>
      </c>
      <c r="E1488">
        <v>3704.05</v>
      </c>
      <c r="F1488" s="1">
        <v>43694</v>
      </c>
      <c r="G1488" s="2" t="s">
        <v>19</v>
      </c>
      <c r="H1488" s="2" t="s">
        <v>589</v>
      </c>
      <c r="I1488">
        <v>92</v>
      </c>
      <c r="J1488" s="2" t="s">
        <v>659</v>
      </c>
      <c r="K1488" s="2" t="s">
        <v>264</v>
      </c>
      <c r="L1488" s="2" t="s">
        <v>265</v>
      </c>
      <c r="M1488" s="2" t="s">
        <v>266</v>
      </c>
      <c r="N1488" s="2" t="s">
        <v>267</v>
      </c>
      <c r="O1488" s="2" t="s">
        <v>268</v>
      </c>
      <c r="P1488" s="2" t="s">
        <v>269</v>
      </c>
      <c r="Q1488" s="2" t="s">
        <v>270</v>
      </c>
      <c r="R1488" s="2" t="s">
        <v>271</v>
      </c>
      <c r="S1488" s="2" t="s">
        <v>46</v>
      </c>
      <c r="T1488">
        <v>1519</v>
      </c>
      <c r="U1488">
        <f>VLOOKUP(Auto_Sales_data___Copy[[#This Row],[CUSTOMER_NAME]],$AF$2:$AH$90,2,FALSE)</f>
        <v>26</v>
      </c>
      <c r="V1488">
        <f>VLOOKUP(Auto_Sales_data___Copy[[#This Row],[CUSTOMER_NAME]],$AF$2:$AH$90,3,FALSE)</f>
        <v>94117.26</v>
      </c>
      <c r="W1488" s="2">
        <f>6-MATCH(Auto_Sales_data___Copy[[#This Row],[DAYS_SINCE_LAST_ORDER]],Table2[R-Cutoff],1)</f>
        <v>3</v>
      </c>
      <c r="X1488" s="2">
        <f>MATCH(Auto_Sales_data___Copy[[#This Row],[Total_Orders_Per_Customer]],Table2[F-Cutoff],1)</f>
        <v>3</v>
      </c>
      <c r="Y1488" s="2">
        <f>MATCH(Auto_Sales_data___Copy[[#This Row],[Total_Sales_Per_Customer]],Table2[M-Cutoff],1)</f>
        <v>3</v>
      </c>
      <c r="Z1488" s="2" t="str">
        <f>Auto_Sales_data___Copy[[#This Row],[R-Score(1-5)]]&amp;Auto_Sales_data___Copy[[#This Row],[F-Score(1-5)]]&amp;Auto_Sales_data___Copy[[#This Row],[M-Score(1-5)]]</f>
        <v>333</v>
      </c>
      <c r="AA1488" s="2" t="str" cm="1">
        <f t="array" ref="AA14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8" s="2" t="str">
        <f>VLOOKUP(Auto_Sales_data___Copy[[#This Row],[Segment Name]],Table3[],2,FALSE)</f>
        <v>Brand Awareness &amp; Value Proposition</v>
      </c>
    </row>
    <row r="1489" spans="1:28" x14ac:dyDescent="0.25">
      <c r="A1489">
        <v>10280</v>
      </c>
      <c r="B1489">
        <v>20</v>
      </c>
      <c r="C1489">
        <v>28.88</v>
      </c>
      <c r="D1489">
        <v>12</v>
      </c>
      <c r="E1489">
        <v>577.6</v>
      </c>
      <c r="F1489" s="1">
        <v>43694</v>
      </c>
      <c r="G1489" s="2" t="s">
        <v>19</v>
      </c>
      <c r="H1489" s="2" t="s">
        <v>589</v>
      </c>
      <c r="I1489">
        <v>33</v>
      </c>
      <c r="J1489" s="2" t="s">
        <v>670</v>
      </c>
      <c r="K1489" s="2" t="s">
        <v>264</v>
      </c>
      <c r="L1489" s="2" t="s">
        <v>265</v>
      </c>
      <c r="M1489" s="2" t="s">
        <v>266</v>
      </c>
      <c r="N1489" s="2" t="s">
        <v>267</v>
      </c>
      <c r="O1489" s="2" t="s">
        <v>268</v>
      </c>
      <c r="P1489" s="2" t="s">
        <v>269</v>
      </c>
      <c r="Q1489" s="2" t="s">
        <v>270</v>
      </c>
      <c r="R1489" s="2" t="s">
        <v>271</v>
      </c>
      <c r="S1489" s="2" t="s">
        <v>30</v>
      </c>
      <c r="T1489">
        <v>1786</v>
      </c>
      <c r="U1489">
        <f>VLOOKUP(Auto_Sales_data___Copy[[#This Row],[CUSTOMER_NAME]],$AF$2:$AH$90,2,FALSE)</f>
        <v>26</v>
      </c>
      <c r="V1489">
        <f>VLOOKUP(Auto_Sales_data___Copy[[#This Row],[CUSTOMER_NAME]],$AF$2:$AH$90,3,FALSE)</f>
        <v>94117.26</v>
      </c>
      <c r="W1489" s="2">
        <f>6-MATCH(Auto_Sales_data___Copy[[#This Row],[DAYS_SINCE_LAST_ORDER]],Table2[R-Cutoff],1)</f>
        <v>3</v>
      </c>
      <c r="X1489" s="2">
        <f>MATCH(Auto_Sales_data___Copy[[#This Row],[Total_Orders_Per_Customer]],Table2[F-Cutoff],1)</f>
        <v>3</v>
      </c>
      <c r="Y1489" s="2">
        <f>MATCH(Auto_Sales_data___Copy[[#This Row],[Total_Sales_Per_Customer]],Table2[M-Cutoff],1)</f>
        <v>3</v>
      </c>
      <c r="Z1489" s="2" t="str">
        <f>Auto_Sales_data___Copy[[#This Row],[R-Score(1-5)]]&amp;Auto_Sales_data___Copy[[#This Row],[F-Score(1-5)]]&amp;Auto_Sales_data___Copy[[#This Row],[M-Score(1-5)]]</f>
        <v>333</v>
      </c>
      <c r="AA1489" s="2" t="str" cm="1">
        <f t="array" ref="AA14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9" s="2" t="str">
        <f>VLOOKUP(Auto_Sales_data___Copy[[#This Row],[Segment Name]],Table3[],2,FALSE)</f>
        <v>Brand Awareness &amp; Value Proposition</v>
      </c>
    </row>
    <row r="1490" spans="1:28" x14ac:dyDescent="0.25">
      <c r="A1490">
        <v>10280</v>
      </c>
      <c r="B1490">
        <v>45</v>
      </c>
      <c r="C1490">
        <v>47.49</v>
      </c>
      <c r="D1490">
        <v>11</v>
      </c>
      <c r="E1490">
        <v>2137.0500000000002</v>
      </c>
      <c r="F1490" s="1">
        <v>43694</v>
      </c>
      <c r="G1490" s="2" t="s">
        <v>19</v>
      </c>
      <c r="H1490" s="2" t="s">
        <v>589</v>
      </c>
      <c r="I1490">
        <v>44</v>
      </c>
      <c r="J1490" s="2" t="s">
        <v>673</v>
      </c>
      <c r="K1490" s="2" t="s">
        <v>264</v>
      </c>
      <c r="L1490" s="2" t="s">
        <v>265</v>
      </c>
      <c r="M1490" s="2" t="s">
        <v>266</v>
      </c>
      <c r="N1490" s="2" t="s">
        <v>267</v>
      </c>
      <c r="O1490" s="2" t="s">
        <v>268</v>
      </c>
      <c r="P1490" s="2" t="s">
        <v>269</v>
      </c>
      <c r="Q1490" s="2" t="s">
        <v>270</v>
      </c>
      <c r="R1490" s="2" t="s">
        <v>271</v>
      </c>
      <c r="S1490" s="2" t="s">
        <v>30</v>
      </c>
      <c r="T1490">
        <v>1861</v>
      </c>
      <c r="U1490">
        <f>VLOOKUP(Auto_Sales_data___Copy[[#This Row],[CUSTOMER_NAME]],$AF$2:$AH$90,2,FALSE)</f>
        <v>26</v>
      </c>
      <c r="V1490">
        <f>VLOOKUP(Auto_Sales_data___Copy[[#This Row],[CUSTOMER_NAME]],$AF$2:$AH$90,3,FALSE)</f>
        <v>94117.26</v>
      </c>
      <c r="W1490" s="2">
        <f>6-MATCH(Auto_Sales_data___Copy[[#This Row],[DAYS_SINCE_LAST_ORDER]],Table2[R-Cutoff],1)</f>
        <v>3</v>
      </c>
      <c r="X1490" s="2">
        <f>MATCH(Auto_Sales_data___Copy[[#This Row],[Total_Orders_Per_Customer]],Table2[F-Cutoff],1)</f>
        <v>3</v>
      </c>
      <c r="Y1490" s="2">
        <f>MATCH(Auto_Sales_data___Copy[[#This Row],[Total_Sales_Per_Customer]],Table2[M-Cutoff],1)</f>
        <v>3</v>
      </c>
      <c r="Z1490" s="2" t="str">
        <f>Auto_Sales_data___Copy[[#This Row],[R-Score(1-5)]]&amp;Auto_Sales_data___Copy[[#This Row],[F-Score(1-5)]]&amp;Auto_Sales_data___Copy[[#This Row],[M-Score(1-5)]]</f>
        <v>333</v>
      </c>
      <c r="AA1490" s="2" t="str" cm="1">
        <f t="array" ref="AA14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0" s="2" t="str">
        <f>VLOOKUP(Auto_Sales_data___Copy[[#This Row],[Segment Name]],Table3[],2,FALSE)</f>
        <v>Brand Awareness &amp; Value Proposition</v>
      </c>
    </row>
    <row r="1491" spans="1:28" x14ac:dyDescent="0.25">
      <c r="A1491">
        <v>10293</v>
      </c>
      <c r="B1491">
        <v>49</v>
      </c>
      <c r="C1491">
        <v>100.94</v>
      </c>
      <c r="D1491">
        <v>3</v>
      </c>
      <c r="E1491">
        <v>4946.0600000000004</v>
      </c>
      <c r="F1491" s="1">
        <v>43717</v>
      </c>
      <c r="G1491" s="2" t="s">
        <v>19</v>
      </c>
      <c r="H1491" s="2" t="s">
        <v>589</v>
      </c>
      <c r="I1491">
        <v>87</v>
      </c>
      <c r="J1491" s="2" t="s">
        <v>660</v>
      </c>
      <c r="K1491" s="2" t="s">
        <v>264</v>
      </c>
      <c r="L1491" s="2" t="s">
        <v>265</v>
      </c>
      <c r="M1491" s="2" t="s">
        <v>266</v>
      </c>
      <c r="N1491" s="2" t="s">
        <v>267</v>
      </c>
      <c r="O1491" s="2" t="s">
        <v>268</v>
      </c>
      <c r="P1491" s="2" t="s">
        <v>269</v>
      </c>
      <c r="Q1491" s="2" t="s">
        <v>270</v>
      </c>
      <c r="R1491" s="2" t="s">
        <v>271</v>
      </c>
      <c r="S1491" s="2" t="s">
        <v>46</v>
      </c>
      <c r="T1491">
        <v>1522</v>
      </c>
      <c r="U1491">
        <f>VLOOKUP(Auto_Sales_data___Copy[[#This Row],[CUSTOMER_NAME]],$AF$2:$AH$90,2,FALSE)</f>
        <v>26</v>
      </c>
      <c r="V1491">
        <f>VLOOKUP(Auto_Sales_data___Copy[[#This Row],[CUSTOMER_NAME]],$AF$2:$AH$90,3,FALSE)</f>
        <v>94117.26</v>
      </c>
      <c r="W1491" s="2">
        <f>6-MATCH(Auto_Sales_data___Copy[[#This Row],[DAYS_SINCE_LAST_ORDER]],Table2[R-Cutoff],1)</f>
        <v>3</v>
      </c>
      <c r="X1491" s="2">
        <f>MATCH(Auto_Sales_data___Copy[[#This Row],[Total_Orders_Per_Customer]],Table2[F-Cutoff],1)</f>
        <v>3</v>
      </c>
      <c r="Y1491" s="2">
        <f>MATCH(Auto_Sales_data___Copy[[#This Row],[Total_Sales_Per_Customer]],Table2[M-Cutoff],1)</f>
        <v>3</v>
      </c>
      <c r="Z1491" s="2" t="str">
        <f>Auto_Sales_data___Copy[[#This Row],[R-Score(1-5)]]&amp;Auto_Sales_data___Copy[[#This Row],[F-Score(1-5)]]&amp;Auto_Sales_data___Copy[[#This Row],[M-Score(1-5)]]</f>
        <v>333</v>
      </c>
      <c r="AA1491" s="2" t="str" cm="1">
        <f t="array" ref="AA14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1" s="2" t="str">
        <f>VLOOKUP(Auto_Sales_data___Copy[[#This Row],[Segment Name]],Table3[],2,FALSE)</f>
        <v>Brand Awareness &amp; Value Proposition</v>
      </c>
    </row>
    <row r="1492" spans="1:28" x14ac:dyDescent="0.25">
      <c r="A1492">
        <v>10293</v>
      </c>
      <c r="B1492">
        <v>21</v>
      </c>
      <c r="C1492">
        <v>140.09</v>
      </c>
      <c r="D1492">
        <v>2</v>
      </c>
      <c r="E1492">
        <v>2941.89</v>
      </c>
      <c r="F1492" s="1">
        <v>43717</v>
      </c>
      <c r="G1492" s="2" t="s">
        <v>19</v>
      </c>
      <c r="H1492" s="2" t="s">
        <v>642</v>
      </c>
      <c r="I1492">
        <v>122</v>
      </c>
      <c r="J1492" s="2" t="s">
        <v>672</v>
      </c>
      <c r="K1492" s="2" t="s">
        <v>264</v>
      </c>
      <c r="L1492" s="2" t="s">
        <v>265</v>
      </c>
      <c r="M1492" s="2" t="s">
        <v>266</v>
      </c>
      <c r="N1492" s="2" t="s">
        <v>267</v>
      </c>
      <c r="O1492" s="2" t="s">
        <v>268</v>
      </c>
      <c r="P1492" s="2" t="s">
        <v>269</v>
      </c>
      <c r="Q1492" s="2" t="s">
        <v>270</v>
      </c>
      <c r="R1492" s="2" t="s">
        <v>271</v>
      </c>
      <c r="S1492" s="2" t="s">
        <v>30</v>
      </c>
      <c r="T1492">
        <v>1817</v>
      </c>
      <c r="U1492">
        <f>VLOOKUP(Auto_Sales_data___Copy[[#This Row],[CUSTOMER_NAME]],$AF$2:$AH$90,2,FALSE)</f>
        <v>26</v>
      </c>
      <c r="V1492">
        <f>VLOOKUP(Auto_Sales_data___Copy[[#This Row],[CUSTOMER_NAME]],$AF$2:$AH$90,3,FALSE)</f>
        <v>94117.26</v>
      </c>
      <c r="W1492" s="2">
        <f>6-MATCH(Auto_Sales_data___Copy[[#This Row],[DAYS_SINCE_LAST_ORDER]],Table2[R-Cutoff],1)</f>
        <v>3</v>
      </c>
      <c r="X1492" s="2">
        <f>MATCH(Auto_Sales_data___Copy[[#This Row],[Total_Orders_Per_Customer]],Table2[F-Cutoff],1)</f>
        <v>3</v>
      </c>
      <c r="Y1492" s="2">
        <f>MATCH(Auto_Sales_data___Copy[[#This Row],[Total_Sales_Per_Customer]],Table2[M-Cutoff],1)</f>
        <v>3</v>
      </c>
      <c r="Z1492" s="2" t="str">
        <f>Auto_Sales_data___Copy[[#This Row],[R-Score(1-5)]]&amp;Auto_Sales_data___Copy[[#This Row],[F-Score(1-5)]]&amp;Auto_Sales_data___Copy[[#This Row],[M-Score(1-5)]]</f>
        <v>333</v>
      </c>
      <c r="AA1492" s="2" t="str" cm="1">
        <f t="array" ref="AA14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2" s="2" t="str">
        <f>VLOOKUP(Auto_Sales_data___Copy[[#This Row],[Segment Name]],Table3[],2,FALSE)</f>
        <v>Brand Awareness &amp; Value Proposition</v>
      </c>
    </row>
    <row r="1493" spans="1:28" x14ac:dyDescent="0.25">
      <c r="A1493">
        <v>10308</v>
      </c>
      <c r="B1493">
        <v>31</v>
      </c>
      <c r="C1493">
        <v>112.7</v>
      </c>
      <c r="D1493">
        <v>9</v>
      </c>
      <c r="E1493">
        <v>3493.7</v>
      </c>
      <c r="F1493" s="1">
        <v>43753</v>
      </c>
      <c r="G1493" s="2" t="s">
        <v>19</v>
      </c>
      <c r="H1493" s="2" t="s">
        <v>607</v>
      </c>
      <c r="I1493">
        <v>109</v>
      </c>
      <c r="J1493" s="2" t="s">
        <v>669</v>
      </c>
      <c r="K1493" s="2" t="s">
        <v>332</v>
      </c>
      <c r="L1493" s="2" t="s">
        <v>333</v>
      </c>
      <c r="M1493" s="2" t="s">
        <v>334</v>
      </c>
      <c r="N1493" s="2" t="s">
        <v>335</v>
      </c>
      <c r="O1493" s="2" t="s">
        <v>336</v>
      </c>
      <c r="P1493" s="2" t="s">
        <v>27</v>
      </c>
      <c r="Q1493" s="2" t="s">
        <v>93</v>
      </c>
      <c r="R1493" s="2" t="s">
        <v>244</v>
      </c>
      <c r="S1493" s="2" t="s">
        <v>46</v>
      </c>
      <c r="T1493">
        <v>1706</v>
      </c>
      <c r="U1493">
        <f>VLOOKUP(Auto_Sales_data___Copy[[#This Row],[CUSTOMER_NAME]],$AF$2:$AH$90,2,FALSE)</f>
        <v>26</v>
      </c>
      <c r="V1493">
        <f>VLOOKUP(Auto_Sales_data___Copy[[#This Row],[CUSTOMER_NAME]],$AF$2:$AH$90,3,FALSE)</f>
        <v>85555.989999999976</v>
      </c>
      <c r="W1493" s="2">
        <f>6-MATCH(Auto_Sales_data___Copy[[#This Row],[DAYS_SINCE_LAST_ORDER]],Table2[R-Cutoff],1)</f>
        <v>3</v>
      </c>
      <c r="X1493" s="2">
        <f>MATCH(Auto_Sales_data___Copy[[#This Row],[Total_Orders_Per_Customer]],Table2[F-Cutoff],1)</f>
        <v>3</v>
      </c>
      <c r="Y1493" s="2">
        <f>MATCH(Auto_Sales_data___Copy[[#This Row],[Total_Sales_Per_Customer]],Table2[M-Cutoff],1)</f>
        <v>3</v>
      </c>
      <c r="Z1493" s="2" t="str">
        <f>Auto_Sales_data___Copy[[#This Row],[R-Score(1-5)]]&amp;Auto_Sales_data___Copy[[#This Row],[F-Score(1-5)]]&amp;Auto_Sales_data___Copy[[#This Row],[M-Score(1-5)]]</f>
        <v>333</v>
      </c>
      <c r="AA1493" s="2" t="str" cm="1">
        <f t="array" ref="AA14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3" s="2" t="str">
        <f>VLOOKUP(Auto_Sales_data___Copy[[#This Row],[Segment Name]],Table3[],2,FALSE)</f>
        <v>Brand Awareness &amp; Value Proposition</v>
      </c>
    </row>
    <row r="1494" spans="1:28" x14ac:dyDescent="0.25">
      <c r="A1494">
        <v>10308</v>
      </c>
      <c r="B1494">
        <v>47</v>
      </c>
      <c r="C1494">
        <v>63.22</v>
      </c>
      <c r="D1494">
        <v>4</v>
      </c>
      <c r="E1494">
        <v>2971.34</v>
      </c>
      <c r="F1494" s="1">
        <v>43753</v>
      </c>
      <c r="G1494" s="2" t="s">
        <v>19</v>
      </c>
      <c r="H1494" s="2" t="s">
        <v>20</v>
      </c>
      <c r="I1494">
        <v>76</v>
      </c>
      <c r="J1494" s="2" t="s">
        <v>671</v>
      </c>
      <c r="K1494" s="2" t="s">
        <v>332</v>
      </c>
      <c r="L1494" s="2" t="s">
        <v>333</v>
      </c>
      <c r="M1494" s="2" t="s">
        <v>334</v>
      </c>
      <c r="N1494" s="2" t="s">
        <v>335</v>
      </c>
      <c r="O1494" s="2" t="s">
        <v>336</v>
      </c>
      <c r="P1494" s="2" t="s">
        <v>27</v>
      </c>
      <c r="Q1494" s="2" t="s">
        <v>93</v>
      </c>
      <c r="R1494" s="2" t="s">
        <v>244</v>
      </c>
      <c r="S1494" s="2" t="s">
        <v>30</v>
      </c>
      <c r="T1494">
        <v>1756</v>
      </c>
      <c r="U1494">
        <f>VLOOKUP(Auto_Sales_data___Copy[[#This Row],[CUSTOMER_NAME]],$AF$2:$AH$90,2,FALSE)</f>
        <v>26</v>
      </c>
      <c r="V1494">
        <f>VLOOKUP(Auto_Sales_data___Copy[[#This Row],[CUSTOMER_NAME]],$AF$2:$AH$90,3,FALSE)</f>
        <v>85555.989999999976</v>
      </c>
      <c r="W1494" s="2">
        <f>6-MATCH(Auto_Sales_data___Copy[[#This Row],[DAYS_SINCE_LAST_ORDER]],Table2[R-Cutoff],1)</f>
        <v>3</v>
      </c>
      <c r="X1494" s="2">
        <f>MATCH(Auto_Sales_data___Copy[[#This Row],[Total_Orders_Per_Customer]],Table2[F-Cutoff],1)</f>
        <v>3</v>
      </c>
      <c r="Y1494" s="2">
        <f>MATCH(Auto_Sales_data___Copy[[#This Row],[Total_Sales_Per_Customer]],Table2[M-Cutoff],1)</f>
        <v>3</v>
      </c>
      <c r="Z1494" s="2" t="str">
        <f>Auto_Sales_data___Copy[[#This Row],[R-Score(1-5)]]&amp;Auto_Sales_data___Copy[[#This Row],[F-Score(1-5)]]&amp;Auto_Sales_data___Copy[[#This Row],[M-Score(1-5)]]</f>
        <v>333</v>
      </c>
      <c r="AA1494" s="2" t="str" cm="1">
        <f t="array" ref="AA14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4" s="2" t="str">
        <f>VLOOKUP(Auto_Sales_data___Copy[[#This Row],[Segment Name]],Table3[],2,FALSE)</f>
        <v>Brand Awareness &amp; Value Proposition</v>
      </c>
    </row>
    <row r="1495" spans="1:28" x14ac:dyDescent="0.25">
      <c r="A1495">
        <v>10310</v>
      </c>
      <c r="B1495">
        <v>40</v>
      </c>
      <c r="C1495">
        <v>133.91999999999999</v>
      </c>
      <c r="D1495">
        <v>15</v>
      </c>
      <c r="E1495">
        <v>5356.8</v>
      </c>
      <c r="F1495" s="1">
        <v>43754</v>
      </c>
      <c r="G1495" s="2" t="s">
        <v>19</v>
      </c>
      <c r="H1495" s="2" t="s">
        <v>183</v>
      </c>
      <c r="I1495">
        <v>148</v>
      </c>
      <c r="J1495" s="2" t="s">
        <v>663</v>
      </c>
      <c r="K1495" s="2" t="s">
        <v>465</v>
      </c>
      <c r="L1495" s="2" t="s">
        <v>466</v>
      </c>
      <c r="M1495" s="2" t="s">
        <v>467</v>
      </c>
      <c r="N1495" s="2" t="s">
        <v>468</v>
      </c>
      <c r="O1495" s="2" t="s">
        <v>469</v>
      </c>
      <c r="P1495" s="2" t="s">
        <v>470</v>
      </c>
      <c r="Q1495" s="2" t="s">
        <v>471</v>
      </c>
      <c r="R1495" s="2" t="s">
        <v>472</v>
      </c>
      <c r="S1495" s="2" t="s">
        <v>46</v>
      </c>
      <c r="T1495">
        <v>1563</v>
      </c>
      <c r="U1495">
        <f>VLOOKUP(Auto_Sales_data___Copy[[#This Row],[CUSTOMER_NAME]],$AF$2:$AH$90,2,FALSE)</f>
        <v>26</v>
      </c>
      <c r="V1495">
        <f>VLOOKUP(Auto_Sales_data___Copy[[#This Row],[CUSTOMER_NAME]],$AF$2:$AH$90,3,FALSE)</f>
        <v>100306.58000000002</v>
      </c>
      <c r="W1495" s="2">
        <f>6-MATCH(Auto_Sales_data___Copy[[#This Row],[DAYS_SINCE_LAST_ORDER]],Table2[R-Cutoff],1)</f>
        <v>3</v>
      </c>
      <c r="X1495" s="2">
        <f>MATCH(Auto_Sales_data___Copy[[#This Row],[Total_Orders_Per_Customer]],Table2[F-Cutoff],1)</f>
        <v>3</v>
      </c>
      <c r="Y1495" s="2">
        <f>MATCH(Auto_Sales_data___Copy[[#This Row],[Total_Sales_Per_Customer]],Table2[M-Cutoff],1)</f>
        <v>3</v>
      </c>
      <c r="Z1495" s="2" t="str">
        <f>Auto_Sales_data___Copy[[#This Row],[R-Score(1-5)]]&amp;Auto_Sales_data___Copy[[#This Row],[F-Score(1-5)]]&amp;Auto_Sales_data___Copy[[#This Row],[M-Score(1-5)]]</f>
        <v>333</v>
      </c>
      <c r="AA1495" s="2" t="str" cm="1">
        <f t="array" ref="AA14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5" s="2" t="str">
        <f>VLOOKUP(Auto_Sales_data___Copy[[#This Row],[Segment Name]],Table3[],2,FALSE)</f>
        <v>Brand Awareness &amp; Value Proposition</v>
      </c>
    </row>
    <row r="1496" spans="1:28" x14ac:dyDescent="0.25">
      <c r="A1496">
        <v>10310</v>
      </c>
      <c r="B1496">
        <v>33</v>
      </c>
      <c r="C1496">
        <v>41.91</v>
      </c>
      <c r="D1496">
        <v>4</v>
      </c>
      <c r="E1496">
        <v>1383.03</v>
      </c>
      <c r="F1496" s="1">
        <v>43754</v>
      </c>
      <c r="G1496" s="2" t="s">
        <v>19</v>
      </c>
      <c r="H1496" s="2" t="s">
        <v>183</v>
      </c>
      <c r="I1496">
        <v>37</v>
      </c>
      <c r="J1496" s="2" t="s">
        <v>680</v>
      </c>
      <c r="K1496" s="2" t="s">
        <v>465</v>
      </c>
      <c r="L1496" s="2" t="s">
        <v>466</v>
      </c>
      <c r="M1496" s="2" t="s">
        <v>467</v>
      </c>
      <c r="N1496" s="2" t="s">
        <v>468</v>
      </c>
      <c r="O1496" s="2" t="s">
        <v>469</v>
      </c>
      <c r="P1496" s="2" t="s">
        <v>470</v>
      </c>
      <c r="Q1496" s="2" t="s">
        <v>471</v>
      </c>
      <c r="R1496" s="2" t="s">
        <v>472</v>
      </c>
      <c r="S1496" s="2" t="s">
        <v>30</v>
      </c>
      <c r="T1496">
        <v>1978</v>
      </c>
      <c r="U1496">
        <f>VLOOKUP(Auto_Sales_data___Copy[[#This Row],[CUSTOMER_NAME]],$AF$2:$AH$90,2,FALSE)</f>
        <v>26</v>
      </c>
      <c r="V1496">
        <f>VLOOKUP(Auto_Sales_data___Copy[[#This Row],[CUSTOMER_NAME]],$AF$2:$AH$90,3,FALSE)</f>
        <v>100306.58000000002</v>
      </c>
      <c r="W1496" s="2">
        <f>6-MATCH(Auto_Sales_data___Copy[[#This Row],[DAYS_SINCE_LAST_ORDER]],Table2[R-Cutoff],1)</f>
        <v>3</v>
      </c>
      <c r="X1496" s="2">
        <f>MATCH(Auto_Sales_data___Copy[[#This Row],[Total_Orders_Per_Customer]],Table2[F-Cutoff],1)</f>
        <v>3</v>
      </c>
      <c r="Y1496" s="2">
        <f>MATCH(Auto_Sales_data___Copy[[#This Row],[Total_Sales_Per_Customer]],Table2[M-Cutoff],1)</f>
        <v>3</v>
      </c>
      <c r="Z1496" s="2" t="str">
        <f>Auto_Sales_data___Copy[[#This Row],[R-Score(1-5)]]&amp;Auto_Sales_data___Copy[[#This Row],[F-Score(1-5)]]&amp;Auto_Sales_data___Copy[[#This Row],[M-Score(1-5)]]</f>
        <v>333</v>
      </c>
      <c r="AA1496" s="2" t="str" cm="1">
        <f t="array" ref="AA14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6" s="2" t="str">
        <f>VLOOKUP(Auto_Sales_data___Copy[[#This Row],[Segment Name]],Table3[],2,FALSE)</f>
        <v>Brand Awareness &amp; Value Proposition</v>
      </c>
    </row>
    <row r="1497" spans="1:28" x14ac:dyDescent="0.25">
      <c r="A1497">
        <v>10321</v>
      </c>
      <c r="B1497">
        <v>30</v>
      </c>
      <c r="C1497">
        <v>70.55</v>
      </c>
      <c r="D1497">
        <v>3</v>
      </c>
      <c r="E1497">
        <v>2116.5</v>
      </c>
      <c r="F1497" s="1">
        <v>43773</v>
      </c>
      <c r="G1497" s="2" t="s">
        <v>19</v>
      </c>
      <c r="H1497" s="2" t="s">
        <v>183</v>
      </c>
      <c r="I1497">
        <v>73</v>
      </c>
      <c r="J1497" s="2" t="s">
        <v>665</v>
      </c>
      <c r="K1497" s="2" t="s">
        <v>159</v>
      </c>
      <c r="L1497" s="2" t="s">
        <v>160</v>
      </c>
      <c r="M1497" s="2" t="s">
        <v>161</v>
      </c>
      <c r="N1497" s="2" t="s">
        <v>162</v>
      </c>
      <c r="O1497" s="2" t="s">
        <v>163</v>
      </c>
      <c r="P1497" s="2" t="s">
        <v>27</v>
      </c>
      <c r="Q1497" s="2" t="s">
        <v>164</v>
      </c>
      <c r="R1497" s="2" t="s">
        <v>165</v>
      </c>
      <c r="S1497" s="2" t="s">
        <v>30</v>
      </c>
      <c r="T1497">
        <v>1590</v>
      </c>
      <c r="U1497">
        <f>VLOOKUP(Auto_Sales_data___Copy[[#This Row],[CUSTOMER_NAME]],$AF$2:$AH$90,2,FALSE)</f>
        <v>26</v>
      </c>
      <c r="V1497">
        <f>VLOOKUP(Auto_Sales_data___Copy[[#This Row],[CUSTOMER_NAME]],$AF$2:$AH$90,3,FALSE)</f>
        <v>98923.73000000001</v>
      </c>
      <c r="W1497" s="2">
        <f>6-MATCH(Auto_Sales_data___Copy[[#This Row],[DAYS_SINCE_LAST_ORDER]],Table2[R-Cutoff],1)</f>
        <v>3</v>
      </c>
      <c r="X1497" s="2">
        <f>MATCH(Auto_Sales_data___Copy[[#This Row],[Total_Orders_Per_Customer]],Table2[F-Cutoff],1)</f>
        <v>3</v>
      </c>
      <c r="Y1497" s="2">
        <f>MATCH(Auto_Sales_data___Copy[[#This Row],[Total_Sales_Per_Customer]],Table2[M-Cutoff],1)</f>
        <v>3</v>
      </c>
      <c r="Z1497" s="2" t="str">
        <f>Auto_Sales_data___Copy[[#This Row],[R-Score(1-5)]]&amp;Auto_Sales_data___Copy[[#This Row],[F-Score(1-5)]]&amp;Auto_Sales_data___Copy[[#This Row],[M-Score(1-5)]]</f>
        <v>333</v>
      </c>
      <c r="AA1497" s="2" t="str" cm="1">
        <f t="array" ref="AA14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7" s="2" t="str">
        <f>VLOOKUP(Auto_Sales_data___Copy[[#This Row],[Segment Name]],Table3[],2,FALSE)</f>
        <v>Brand Awareness &amp; Value Proposition</v>
      </c>
    </row>
    <row r="1498" spans="1:28" x14ac:dyDescent="0.25">
      <c r="A1498">
        <v>10321</v>
      </c>
      <c r="B1498">
        <v>48</v>
      </c>
      <c r="C1498">
        <v>42.26</v>
      </c>
      <c r="D1498">
        <v>5</v>
      </c>
      <c r="E1498">
        <v>2028.48</v>
      </c>
      <c r="F1498" s="1">
        <v>43773</v>
      </c>
      <c r="G1498" s="2" t="s">
        <v>19</v>
      </c>
      <c r="H1498" s="2" t="s">
        <v>183</v>
      </c>
      <c r="I1498">
        <v>50</v>
      </c>
      <c r="J1498" s="2" t="s">
        <v>668</v>
      </c>
      <c r="K1498" s="2" t="s">
        <v>159</v>
      </c>
      <c r="L1498" s="2" t="s">
        <v>160</v>
      </c>
      <c r="M1498" s="2" t="s">
        <v>161</v>
      </c>
      <c r="N1498" s="2" t="s">
        <v>162</v>
      </c>
      <c r="O1498" s="2" t="s">
        <v>163</v>
      </c>
      <c r="P1498" s="2" t="s">
        <v>27</v>
      </c>
      <c r="Q1498" s="2" t="s">
        <v>164</v>
      </c>
      <c r="R1498" s="2" t="s">
        <v>165</v>
      </c>
      <c r="S1498" s="2" t="s">
        <v>30</v>
      </c>
      <c r="T1498">
        <v>1666</v>
      </c>
      <c r="U1498">
        <f>VLOOKUP(Auto_Sales_data___Copy[[#This Row],[CUSTOMER_NAME]],$AF$2:$AH$90,2,FALSE)</f>
        <v>26</v>
      </c>
      <c r="V1498">
        <f>VLOOKUP(Auto_Sales_data___Copy[[#This Row],[CUSTOMER_NAME]],$AF$2:$AH$90,3,FALSE)</f>
        <v>98923.73000000001</v>
      </c>
      <c r="W1498" s="2">
        <f>6-MATCH(Auto_Sales_data___Copy[[#This Row],[DAYS_SINCE_LAST_ORDER]],Table2[R-Cutoff],1)</f>
        <v>3</v>
      </c>
      <c r="X1498" s="2">
        <f>MATCH(Auto_Sales_data___Copy[[#This Row],[Total_Orders_Per_Customer]],Table2[F-Cutoff],1)</f>
        <v>3</v>
      </c>
      <c r="Y1498" s="2">
        <f>MATCH(Auto_Sales_data___Copy[[#This Row],[Total_Sales_Per_Customer]],Table2[M-Cutoff],1)</f>
        <v>3</v>
      </c>
      <c r="Z1498" s="2" t="str">
        <f>Auto_Sales_data___Copy[[#This Row],[R-Score(1-5)]]&amp;Auto_Sales_data___Copy[[#This Row],[F-Score(1-5)]]&amp;Auto_Sales_data___Copy[[#This Row],[M-Score(1-5)]]</f>
        <v>333</v>
      </c>
      <c r="AA1498" s="2" t="str" cm="1">
        <f t="array" ref="AA14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8" s="2" t="str">
        <f>VLOOKUP(Auto_Sales_data___Copy[[#This Row],[Segment Name]],Table3[],2,FALSE)</f>
        <v>Brand Awareness &amp; Value Proposition</v>
      </c>
    </row>
    <row r="1499" spans="1:28" x14ac:dyDescent="0.25">
      <c r="A1499">
        <v>10321</v>
      </c>
      <c r="B1499">
        <v>30</v>
      </c>
      <c r="C1499">
        <v>72.7</v>
      </c>
      <c r="D1499">
        <v>1</v>
      </c>
      <c r="E1499">
        <v>2181</v>
      </c>
      <c r="F1499" s="1">
        <v>43773</v>
      </c>
      <c r="G1499" s="2" t="s">
        <v>19</v>
      </c>
      <c r="H1499" s="2" t="s">
        <v>183</v>
      </c>
      <c r="I1499">
        <v>90</v>
      </c>
      <c r="J1499" s="2" t="s">
        <v>676</v>
      </c>
      <c r="K1499" s="2" t="s">
        <v>159</v>
      </c>
      <c r="L1499" s="2" t="s">
        <v>160</v>
      </c>
      <c r="M1499" s="2" t="s">
        <v>161</v>
      </c>
      <c r="N1499" s="2" t="s">
        <v>162</v>
      </c>
      <c r="O1499" s="2" t="s">
        <v>163</v>
      </c>
      <c r="P1499" s="2" t="s">
        <v>27</v>
      </c>
      <c r="Q1499" s="2" t="s">
        <v>164</v>
      </c>
      <c r="R1499" s="2" t="s">
        <v>165</v>
      </c>
      <c r="S1499" s="2" t="s">
        <v>30</v>
      </c>
      <c r="T1499">
        <v>1861</v>
      </c>
      <c r="U1499">
        <f>VLOOKUP(Auto_Sales_data___Copy[[#This Row],[CUSTOMER_NAME]],$AF$2:$AH$90,2,FALSE)</f>
        <v>26</v>
      </c>
      <c r="V1499">
        <f>VLOOKUP(Auto_Sales_data___Copy[[#This Row],[CUSTOMER_NAME]],$AF$2:$AH$90,3,FALSE)</f>
        <v>98923.73000000001</v>
      </c>
      <c r="W1499" s="2">
        <f>6-MATCH(Auto_Sales_data___Copy[[#This Row],[DAYS_SINCE_LAST_ORDER]],Table2[R-Cutoff],1)</f>
        <v>3</v>
      </c>
      <c r="X1499" s="2">
        <f>MATCH(Auto_Sales_data___Copy[[#This Row],[Total_Orders_Per_Customer]],Table2[F-Cutoff],1)</f>
        <v>3</v>
      </c>
      <c r="Y1499" s="2">
        <f>MATCH(Auto_Sales_data___Copy[[#This Row],[Total_Sales_Per_Customer]],Table2[M-Cutoff],1)</f>
        <v>3</v>
      </c>
      <c r="Z1499" s="2" t="str">
        <f>Auto_Sales_data___Copy[[#This Row],[R-Score(1-5)]]&amp;Auto_Sales_data___Copy[[#This Row],[F-Score(1-5)]]&amp;Auto_Sales_data___Copy[[#This Row],[M-Score(1-5)]]</f>
        <v>333</v>
      </c>
      <c r="AA1499" s="2" t="str" cm="1">
        <f t="array" ref="AA14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9" s="2" t="str">
        <f>VLOOKUP(Auto_Sales_data___Copy[[#This Row],[Segment Name]],Table3[],2,FALSE)</f>
        <v>Brand Awareness &amp; Value Proposition</v>
      </c>
    </row>
    <row r="1500" spans="1:28" x14ac:dyDescent="0.25">
      <c r="A1500">
        <v>10321</v>
      </c>
      <c r="B1500">
        <v>37</v>
      </c>
      <c r="C1500">
        <v>33.229999999999997</v>
      </c>
      <c r="D1500">
        <v>12</v>
      </c>
      <c r="E1500">
        <v>1229.51</v>
      </c>
      <c r="F1500" s="1">
        <v>43773</v>
      </c>
      <c r="G1500" s="2" t="s">
        <v>19</v>
      </c>
      <c r="H1500" s="2" t="s">
        <v>183</v>
      </c>
      <c r="I1500">
        <v>37</v>
      </c>
      <c r="J1500" s="2" t="s">
        <v>680</v>
      </c>
      <c r="K1500" s="2" t="s">
        <v>159</v>
      </c>
      <c r="L1500" s="2" t="s">
        <v>160</v>
      </c>
      <c r="M1500" s="2" t="s">
        <v>161</v>
      </c>
      <c r="N1500" s="2" t="s">
        <v>162</v>
      </c>
      <c r="O1500" s="2" t="s">
        <v>163</v>
      </c>
      <c r="P1500" s="2" t="s">
        <v>27</v>
      </c>
      <c r="Q1500" s="2" t="s">
        <v>164</v>
      </c>
      <c r="R1500" s="2" t="s">
        <v>165</v>
      </c>
      <c r="S1500" s="2" t="s">
        <v>30</v>
      </c>
      <c r="T1500">
        <v>1960</v>
      </c>
      <c r="U1500">
        <f>VLOOKUP(Auto_Sales_data___Copy[[#This Row],[CUSTOMER_NAME]],$AF$2:$AH$90,2,FALSE)</f>
        <v>26</v>
      </c>
      <c r="V1500">
        <f>VLOOKUP(Auto_Sales_data___Copy[[#This Row],[CUSTOMER_NAME]],$AF$2:$AH$90,3,FALSE)</f>
        <v>98923.73000000001</v>
      </c>
      <c r="W1500" s="2">
        <f>6-MATCH(Auto_Sales_data___Copy[[#This Row],[DAYS_SINCE_LAST_ORDER]],Table2[R-Cutoff],1)</f>
        <v>3</v>
      </c>
      <c r="X1500" s="2">
        <f>MATCH(Auto_Sales_data___Copy[[#This Row],[Total_Orders_Per_Customer]],Table2[F-Cutoff],1)</f>
        <v>3</v>
      </c>
      <c r="Y1500" s="2">
        <f>MATCH(Auto_Sales_data___Copy[[#This Row],[Total_Sales_Per_Customer]],Table2[M-Cutoff],1)</f>
        <v>3</v>
      </c>
      <c r="Z1500" s="2" t="str">
        <f>Auto_Sales_data___Copy[[#This Row],[R-Score(1-5)]]&amp;Auto_Sales_data___Copy[[#This Row],[F-Score(1-5)]]&amp;Auto_Sales_data___Copy[[#This Row],[M-Score(1-5)]]</f>
        <v>333</v>
      </c>
      <c r="AA1500" s="2" t="str" cm="1">
        <f t="array" ref="AA15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0" s="2" t="str">
        <f>VLOOKUP(Auto_Sales_data___Copy[[#This Row],[Segment Name]],Table3[],2,FALSE)</f>
        <v>Brand Awareness &amp; Value Proposition</v>
      </c>
    </row>
    <row r="1501" spans="1:28" x14ac:dyDescent="0.25">
      <c r="A1501">
        <v>10321</v>
      </c>
      <c r="B1501">
        <v>39</v>
      </c>
      <c r="C1501">
        <v>84.75</v>
      </c>
      <c r="D1501">
        <v>2</v>
      </c>
      <c r="E1501">
        <v>3305.25</v>
      </c>
      <c r="F1501" s="1">
        <v>43773</v>
      </c>
      <c r="G1501" s="2" t="s">
        <v>19</v>
      </c>
      <c r="H1501" s="2" t="s">
        <v>183</v>
      </c>
      <c r="I1501">
        <v>85</v>
      </c>
      <c r="J1501" s="2" t="s">
        <v>682</v>
      </c>
      <c r="K1501" s="2" t="s">
        <v>159</v>
      </c>
      <c r="L1501" s="2" t="s">
        <v>160</v>
      </c>
      <c r="M1501" s="2" t="s">
        <v>161</v>
      </c>
      <c r="N1501" s="2" t="s">
        <v>162</v>
      </c>
      <c r="O1501" s="2" t="s">
        <v>163</v>
      </c>
      <c r="P1501" s="2" t="s">
        <v>27</v>
      </c>
      <c r="Q1501" s="2" t="s">
        <v>164</v>
      </c>
      <c r="R1501" s="2" t="s">
        <v>165</v>
      </c>
      <c r="S1501" s="2" t="s">
        <v>46</v>
      </c>
      <c r="T1501">
        <v>2010</v>
      </c>
      <c r="U1501">
        <f>VLOOKUP(Auto_Sales_data___Copy[[#This Row],[CUSTOMER_NAME]],$AF$2:$AH$90,2,FALSE)</f>
        <v>26</v>
      </c>
      <c r="V1501">
        <f>VLOOKUP(Auto_Sales_data___Copy[[#This Row],[CUSTOMER_NAME]],$AF$2:$AH$90,3,FALSE)</f>
        <v>98923.73000000001</v>
      </c>
      <c r="W1501" s="2">
        <f>6-MATCH(Auto_Sales_data___Copy[[#This Row],[DAYS_SINCE_LAST_ORDER]],Table2[R-Cutoff],1)</f>
        <v>3</v>
      </c>
      <c r="X1501" s="2">
        <f>MATCH(Auto_Sales_data___Copy[[#This Row],[Total_Orders_Per_Customer]],Table2[F-Cutoff],1)</f>
        <v>3</v>
      </c>
      <c r="Y1501" s="2">
        <f>MATCH(Auto_Sales_data___Copy[[#This Row],[Total_Sales_Per_Customer]],Table2[M-Cutoff],1)</f>
        <v>3</v>
      </c>
      <c r="Z1501" s="2" t="str">
        <f>Auto_Sales_data___Copy[[#This Row],[R-Score(1-5)]]&amp;Auto_Sales_data___Copy[[#This Row],[F-Score(1-5)]]&amp;Auto_Sales_data___Copy[[#This Row],[M-Score(1-5)]]</f>
        <v>333</v>
      </c>
      <c r="AA1501" s="2" t="str" cm="1">
        <f t="array" ref="AA15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1" s="2" t="str">
        <f>VLOOKUP(Auto_Sales_data___Copy[[#This Row],[Segment Name]],Table3[],2,FALSE)</f>
        <v>Brand Awareness &amp; Value Proposition</v>
      </c>
    </row>
    <row r="1502" spans="1:28" x14ac:dyDescent="0.25">
      <c r="A1502">
        <v>10324</v>
      </c>
      <c r="B1502">
        <v>38</v>
      </c>
      <c r="C1502">
        <v>179.79</v>
      </c>
      <c r="D1502">
        <v>6</v>
      </c>
      <c r="E1502">
        <v>6832.02</v>
      </c>
      <c r="F1502" s="1">
        <v>43774</v>
      </c>
      <c r="G1502" s="2" t="s">
        <v>19</v>
      </c>
      <c r="H1502" s="2" t="s">
        <v>589</v>
      </c>
      <c r="I1502">
        <v>50</v>
      </c>
      <c r="J1502" s="2" t="s">
        <v>662</v>
      </c>
      <c r="K1502" s="2" t="s">
        <v>90</v>
      </c>
      <c r="L1502" s="2" t="s">
        <v>91</v>
      </c>
      <c r="M1502" s="2" t="s">
        <v>92</v>
      </c>
      <c r="N1502" s="2" t="s">
        <v>25</v>
      </c>
      <c r="O1502" s="2" t="s">
        <v>26</v>
      </c>
      <c r="P1502" s="2" t="s">
        <v>27</v>
      </c>
      <c r="Q1502" s="2" t="s">
        <v>93</v>
      </c>
      <c r="R1502" s="2" t="s">
        <v>94</v>
      </c>
      <c r="S1502" s="2" t="s">
        <v>46</v>
      </c>
      <c r="T1502">
        <v>1521</v>
      </c>
      <c r="U1502">
        <f>VLOOKUP(Auto_Sales_data___Copy[[#This Row],[CUSTOMER_NAME]],$AF$2:$AH$90,2,FALSE)</f>
        <v>25</v>
      </c>
      <c r="V1502">
        <f>VLOOKUP(Auto_Sales_data___Copy[[#This Row],[CUSTOMER_NAME]],$AF$2:$AH$90,3,FALSE)</f>
        <v>88041.260000000009</v>
      </c>
      <c r="W1502" s="2">
        <f>6-MATCH(Auto_Sales_data___Copy[[#This Row],[DAYS_SINCE_LAST_ORDER]],Table2[R-Cutoff],1)</f>
        <v>3</v>
      </c>
      <c r="X1502" s="2">
        <f>MATCH(Auto_Sales_data___Copy[[#This Row],[Total_Orders_Per_Customer]],Table2[F-Cutoff],1)</f>
        <v>3</v>
      </c>
      <c r="Y1502" s="2">
        <f>MATCH(Auto_Sales_data___Copy[[#This Row],[Total_Sales_Per_Customer]],Table2[M-Cutoff],1)</f>
        <v>3</v>
      </c>
      <c r="Z1502" s="2" t="str">
        <f>Auto_Sales_data___Copy[[#This Row],[R-Score(1-5)]]&amp;Auto_Sales_data___Copy[[#This Row],[F-Score(1-5)]]&amp;Auto_Sales_data___Copy[[#This Row],[M-Score(1-5)]]</f>
        <v>333</v>
      </c>
      <c r="AA1502" s="2" t="str" cm="1">
        <f t="array" ref="AA15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2" s="2" t="str">
        <f>VLOOKUP(Auto_Sales_data___Copy[[#This Row],[Segment Name]],Table3[],2,FALSE)</f>
        <v>Brand Awareness &amp; Value Proposition</v>
      </c>
    </row>
    <row r="1503" spans="1:28" x14ac:dyDescent="0.25">
      <c r="A1503">
        <v>10324</v>
      </c>
      <c r="B1503">
        <v>25</v>
      </c>
      <c r="C1503">
        <v>69.16</v>
      </c>
      <c r="D1503">
        <v>14</v>
      </c>
      <c r="E1503">
        <v>1729</v>
      </c>
      <c r="F1503" s="1">
        <v>43774</v>
      </c>
      <c r="G1503" s="2" t="s">
        <v>19</v>
      </c>
      <c r="H1503" s="2" t="s">
        <v>183</v>
      </c>
      <c r="I1503">
        <v>57</v>
      </c>
      <c r="J1503" s="2" t="s">
        <v>666</v>
      </c>
      <c r="K1503" s="2" t="s">
        <v>90</v>
      </c>
      <c r="L1503" s="2" t="s">
        <v>91</v>
      </c>
      <c r="M1503" s="2" t="s">
        <v>92</v>
      </c>
      <c r="N1503" s="2" t="s">
        <v>25</v>
      </c>
      <c r="O1503" s="2" t="s">
        <v>26</v>
      </c>
      <c r="P1503" s="2" t="s">
        <v>27</v>
      </c>
      <c r="Q1503" s="2" t="s">
        <v>93</v>
      </c>
      <c r="R1503" s="2" t="s">
        <v>94</v>
      </c>
      <c r="S1503" s="2" t="s">
        <v>30</v>
      </c>
      <c r="T1503">
        <v>1615</v>
      </c>
      <c r="U1503">
        <f>VLOOKUP(Auto_Sales_data___Copy[[#This Row],[CUSTOMER_NAME]],$AF$2:$AH$90,2,FALSE)</f>
        <v>25</v>
      </c>
      <c r="V1503">
        <f>VLOOKUP(Auto_Sales_data___Copy[[#This Row],[CUSTOMER_NAME]],$AF$2:$AH$90,3,FALSE)</f>
        <v>88041.260000000009</v>
      </c>
      <c r="W1503" s="2">
        <f>6-MATCH(Auto_Sales_data___Copy[[#This Row],[DAYS_SINCE_LAST_ORDER]],Table2[R-Cutoff],1)</f>
        <v>3</v>
      </c>
      <c r="X1503" s="2">
        <f>MATCH(Auto_Sales_data___Copy[[#This Row],[Total_Orders_Per_Customer]],Table2[F-Cutoff],1)</f>
        <v>3</v>
      </c>
      <c r="Y1503" s="2">
        <f>MATCH(Auto_Sales_data___Copy[[#This Row],[Total_Sales_Per_Customer]],Table2[M-Cutoff],1)</f>
        <v>3</v>
      </c>
      <c r="Z1503" s="2" t="str">
        <f>Auto_Sales_data___Copy[[#This Row],[R-Score(1-5)]]&amp;Auto_Sales_data___Copy[[#This Row],[F-Score(1-5)]]&amp;Auto_Sales_data___Copy[[#This Row],[M-Score(1-5)]]</f>
        <v>333</v>
      </c>
      <c r="AA1503" s="2" t="str" cm="1">
        <f t="array" ref="AA15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3" s="2" t="str">
        <f>VLOOKUP(Auto_Sales_data___Copy[[#This Row],[Segment Name]],Table3[],2,FALSE)</f>
        <v>Brand Awareness &amp; Value Proposition</v>
      </c>
    </row>
    <row r="1504" spans="1:28" x14ac:dyDescent="0.25">
      <c r="A1504">
        <v>10324</v>
      </c>
      <c r="B1504">
        <v>31</v>
      </c>
      <c r="C1504">
        <v>123.24</v>
      </c>
      <c r="D1504">
        <v>2</v>
      </c>
      <c r="E1504">
        <v>3820.44</v>
      </c>
      <c r="F1504" s="1">
        <v>43774</v>
      </c>
      <c r="G1504" s="2" t="s">
        <v>19</v>
      </c>
      <c r="H1504" s="2" t="s">
        <v>537</v>
      </c>
      <c r="I1504">
        <v>127</v>
      </c>
      <c r="J1504" s="2" t="s">
        <v>674</v>
      </c>
      <c r="K1504" s="2" t="s">
        <v>90</v>
      </c>
      <c r="L1504" s="2" t="s">
        <v>91</v>
      </c>
      <c r="M1504" s="2" t="s">
        <v>92</v>
      </c>
      <c r="N1504" s="2" t="s">
        <v>25</v>
      </c>
      <c r="O1504" s="2" t="s">
        <v>26</v>
      </c>
      <c r="P1504" s="2" t="s">
        <v>27</v>
      </c>
      <c r="Q1504" s="2" t="s">
        <v>93</v>
      </c>
      <c r="R1504" s="2" t="s">
        <v>94</v>
      </c>
      <c r="S1504" s="2" t="s">
        <v>46</v>
      </c>
      <c r="T1504">
        <v>1812</v>
      </c>
      <c r="U1504">
        <f>VLOOKUP(Auto_Sales_data___Copy[[#This Row],[CUSTOMER_NAME]],$AF$2:$AH$90,2,FALSE)</f>
        <v>25</v>
      </c>
      <c r="V1504">
        <f>VLOOKUP(Auto_Sales_data___Copy[[#This Row],[CUSTOMER_NAME]],$AF$2:$AH$90,3,FALSE)</f>
        <v>88041.260000000009</v>
      </c>
      <c r="W1504" s="2">
        <f>6-MATCH(Auto_Sales_data___Copy[[#This Row],[DAYS_SINCE_LAST_ORDER]],Table2[R-Cutoff],1)</f>
        <v>3</v>
      </c>
      <c r="X1504" s="2">
        <f>MATCH(Auto_Sales_data___Copy[[#This Row],[Total_Orders_Per_Customer]],Table2[F-Cutoff],1)</f>
        <v>3</v>
      </c>
      <c r="Y1504" s="2">
        <f>MATCH(Auto_Sales_data___Copy[[#This Row],[Total_Sales_Per_Customer]],Table2[M-Cutoff],1)</f>
        <v>3</v>
      </c>
      <c r="Z1504" s="2" t="str">
        <f>Auto_Sales_data___Copy[[#This Row],[R-Score(1-5)]]&amp;Auto_Sales_data___Copy[[#This Row],[F-Score(1-5)]]&amp;Auto_Sales_data___Copy[[#This Row],[M-Score(1-5)]]</f>
        <v>333</v>
      </c>
      <c r="AA1504" s="2" t="str" cm="1">
        <f t="array" ref="AA15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4" s="2" t="str">
        <f>VLOOKUP(Auto_Sales_data___Copy[[#This Row],[Segment Name]],Table3[],2,FALSE)</f>
        <v>Brand Awareness &amp; Value Proposition</v>
      </c>
    </row>
    <row r="1505" spans="1:28" x14ac:dyDescent="0.25">
      <c r="A1505">
        <v>10324</v>
      </c>
      <c r="B1505">
        <v>30</v>
      </c>
      <c r="C1505">
        <v>111.27</v>
      </c>
      <c r="D1505">
        <v>9</v>
      </c>
      <c r="E1505">
        <v>3338.1</v>
      </c>
      <c r="F1505" s="1">
        <v>43774</v>
      </c>
      <c r="G1505" s="2" t="s">
        <v>19</v>
      </c>
      <c r="H1505" s="2" t="s">
        <v>183</v>
      </c>
      <c r="I1505">
        <v>35</v>
      </c>
      <c r="J1505" s="2" t="s">
        <v>677</v>
      </c>
      <c r="K1505" s="2" t="s">
        <v>90</v>
      </c>
      <c r="L1505" s="2" t="s">
        <v>91</v>
      </c>
      <c r="M1505" s="2" t="s">
        <v>92</v>
      </c>
      <c r="N1505" s="2" t="s">
        <v>25</v>
      </c>
      <c r="O1505" s="2" t="s">
        <v>26</v>
      </c>
      <c r="P1505" s="2" t="s">
        <v>27</v>
      </c>
      <c r="Q1505" s="2" t="s">
        <v>93</v>
      </c>
      <c r="R1505" s="2" t="s">
        <v>94</v>
      </c>
      <c r="S1505" s="2" t="s">
        <v>46</v>
      </c>
      <c r="T1505">
        <v>1886</v>
      </c>
      <c r="U1505">
        <f>VLOOKUP(Auto_Sales_data___Copy[[#This Row],[CUSTOMER_NAME]],$AF$2:$AH$90,2,FALSE)</f>
        <v>25</v>
      </c>
      <c r="V1505">
        <f>VLOOKUP(Auto_Sales_data___Copy[[#This Row],[CUSTOMER_NAME]],$AF$2:$AH$90,3,FALSE)</f>
        <v>88041.260000000009</v>
      </c>
      <c r="W1505" s="2">
        <f>6-MATCH(Auto_Sales_data___Copy[[#This Row],[DAYS_SINCE_LAST_ORDER]],Table2[R-Cutoff],1)</f>
        <v>3</v>
      </c>
      <c r="X1505" s="2">
        <f>MATCH(Auto_Sales_data___Copy[[#This Row],[Total_Orders_Per_Customer]],Table2[F-Cutoff],1)</f>
        <v>3</v>
      </c>
      <c r="Y1505" s="2">
        <f>MATCH(Auto_Sales_data___Copy[[#This Row],[Total_Sales_Per_Customer]],Table2[M-Cutoff],1)</f>
        <v>3</v>
      </c>
      <c r="Z1505" s="2" t="str">
        <f>Auto_Sales_data___Copy[[#This Row],[R-Score(1-5)]]&amp;Auto_Sales_data___Copy[[#This Row],[F-Score(1-5)]]&amp;Auto_Sales_data___Copy[[#This Row],[M-Score(1-5)]]</f>
        <v>333</v>
      </c>
      <c r="AA1505" s="2" t="str" cm="1">
        <f t="array" ref="AA15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5" s="2" t="str">
        <f>VLOOKUP(Auto_Sales_data___Copy[[#This Row],[Segment Name]],Table3[],2,FALSE)</f>
        <v>Brand Awareness &amp; Value Proposition</v>
      </c>
    </row>
    <row r="1506" spans="1:28" x14ac:dyDescent="0.25">
      <c r="A1506">
        <v>10330</v>
      </c>
      <c r="B1506">
        <v>50</v>
      </c>
      <c r="C1506">
        <v>122.02</v>
      </c>
      <c r="D1506">
        <v>4</v>
      </c>
      <c r="E1506">
        <v>6101</v>
      </c>
      <c r="F1506" s="1">
        <v>43785</v>
      </c>
      <c r="G1506" s="2" t="s">
        <v>19</v>
      </c>
      <c r="H1506" s="2" t="s">
        <v>183</v>
      </c>
      <c r="I1506">
        <v>148</v>
      </c>
      <c r="J1506" s="2" t="s">
        <v>663</v>
      </c>
      <c r="K1506" s="2" t="s">
        <v>450</v>
      </c>
      <c r="L1506" s="2" t="s">
        <v>451</v>
      </c>
      <c r="M1506" s="2" t="s">
        <v>452</v>
      </c>
      <c r="N1506" s="2" t="s">
        <v>453</v>
      </c>
      <c r="O1506" s="2" t="s">
        <v>454</v>
      </c>
      <c r="P1506" s="2" t="s">
        <v>455</v>
      </c>
      <c r="Q1506" s="2" t="s">
        <v>456</v>
      </c>
      <c r="R1506" s="2" t="s">
        <v>457</v>
      </c>
      <c r="S1506" s="2" t="s">
        <v>46</v>
      </c>
      <c r="T1506">
        <v>1534</v>
      </c>
      <c r="U1506">
        <f>VLOOKUP(Auto_Sales_data___Copy[[#This Row],[CUSTOMER_NAME]],$AF$2:$AH$90,2,FALSE)</f>
        <v>26</v>
      </c>
      <c r="V1506">
        <f>VLOOKUP(Auto_Sales_data___Copy[[#This Row],[CUSTOMER_NAME]],$AF$2:$AH$90,3,FALSE)</f>
        <v>94015.73</v>
      </c>
      <c r="W1506" s="2">
        <f>6-MATCH(Auto_Sales_data___Copy[[#This Row],[DAYS_SINCE_LAST_ORDER]],Table2[R-Cutoff],1)</f>
        <v>3</v>
      </c>
      <c r="X1506" s="2">
        <f>MATCH(Auto_Sales_data___Copy[[#This Row],[Total_Orders_Per_Customer]],Table2[F-Cutoff],1)</f>
        <v>3</v>
      </c>
      <c r="Y1506" s="2">
        <f>MATCH(Auto_Sales_data___Copy[[#This Row],[Total_Sales_Per_Customer]],Table2[M-Cutoff],1)</f>
        <v>3</v>
      </c>
      <c r="Z1506" s="2" t="str">
        <f>Auto_Sales_data___Copy[[#This Row],[R-Score(1-5)]]&amp;Auto_Sales_data___Copy[[#This Row],[F-Score(1-5)]]&amp;Auto_Sales_data___Copy[[#This Row],[M-Score(1-5)]]</f>
        <v>333</v>
      </c>
      <c r="AA1506" s="2" t="str" cm="1">
        <f t="array" ref="AA15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6" s="2" t="str">
        <f>VLOOKUP(Auto_Sales_data___Copy[[#This Row],[Segment Name]],Table3[],2,FALSE)</f>
        <v>Brand Awareness &amp; Value Proposition</v>
      </c>
    </row>
    <row r="1507" spans="1:28" x14ac:dyDescent="0.25">
      <c r="A1507">
        <v>10330</v>
      </c>
      <c r="B1507">
        <v>42</v>
      </c>
      <c r="C1507">
        <v>81.03</v>
      </c>
      <c r="D1507">
        <v>1</v>
      </c>
      <c r="E1507">
        <v>3403.26</v>
      </c>
      <c r="F1507" s="1">
        <v>43785</v>
      </c>
      <c r="G1507" s="2" t="s">
        <v>19</v>
      </c>
      <c r="H1507" s="2" t="s">
        <v>20</v>
      </c>
      <c r="I1507">
        <v>69</v>
      </c>
      <c r="J1507" s="2" t="s">
        <v>675</v>
      </c>
      <c r="K1507" s="2" t="s">
        <v>450</v>
      </c>
      <c r="L1507" s="2" t="s">
        <v>451</v>
      </c>
      <c r="M1507" s="2" t="s">
        <v>452</v>
      </c>
      <c r="N1507" s="2" t="s">
        <v>453</v>
      </c>
      <c r="O1507" s="2" t="s">
        <v>454</v>
      </c>
      <c r="P1507" s="2" t="s">
        <v>455</v>
      </c>
      <c r="Q1507" s="2" t="s">
        <v>456</v>
      </c>
      <c r="R1507" s="2" t="s">
        <v>457</v>
      </c>
      <c r="S1507" s="2" t="s">
        <v>46</v>
      </c>
      <c r="T1507">
        <v>1826</v>
      </c>
      <c r="U1507">
        <f>VLOOKUP(Auto_Sales_data___Copy[[#This Row],[CUSTOMER_NAME]],$AF$2:$AH$90,2,FALSE)</f>
        <v>26</v>
      </c>
      <c r="V1507">
        <f>VLOOKUP(Auto_Sales_data___Copy[[#This Row],[CUSTOMER_NAME]],$AF$2:$AH$90,3,FALSE)</f>
        <v>94015.73</v>
      </c>
      <c r="W1507" s="2">
        <f>6-MATCH(Auto_Sales_data___Copy[[#This Row],[DAYS_SINCE_LAST_ORDER]],Table2[R-Cutoff],1)</f>
        <v>3</v>
      </c>
      <c r="X1507" s="2">
        <f>MATCH(Auto_Sales_data___Copy[[#This Row],[Total_Orders_Per_Customer]],Table2[F-Cutoff],1)</f>
        <v>3</v>
      </c>
      <c r="Y1507" s="2">
        <f>MATCH(Auto_Sales_data___Copy[[#This Row],[Total_Sales_Per_Customer]],Table2[M-Cutoff],1)</f>
        <v>3</v>
      </c>
      <c r="Z1507" s="2" t="str">
        <f>Auto_Sales_data___Copy[[#This Row],[R-Score(1-5)]]&amp;Auto_Sales_data___Copy[[#This Row],[F-Score(1-5)]]&amp;Auto_Sales_data___Copy[[#This Row],[M-Score(1-5)]]</f>
        <v>333</v>
      </c>
      <c r="AA1507" s="2" t="str" cm="1">
        <f t="array" ref="AA15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7" s="2" t="str">
        <f>VLOOKUP(Auto_Sales_data___Copy[[#This Row],[Segment Name]],Table3[],2,FALSE)</f>
        <v>Brand Awareness &amp; Value Proposition</v>
      </c>
    </row>
    <row r="1508" spans="1:28" x14ac:dyDescent="0.25">
      <c r="A1508">
        <v>10351</v>
      </c>
      <c r="B1508">
        <v>25</v>
      </c>
      <c r="C1508">
        <v>74.680000000000007</v>
      </c>
      <c r="D1508">
        <v>5</v>
      </c>
      <c r="E1508">
        <v>1867</v>
      </c>
      <c r="F1508" s="1">
        <v>43802</v>
      </c>
      <c r="G1508" s="2" t="s">
        <v>19</v>
      </c>
      <c r="H1508" s="2" t="s">
        <v>607</v>
      </c>
      <c r="I1508">
        <v>68</v>
      </c>
      <c r="J1508" s="2" t="s">
        <v>678</v>
      </c>
      <c r="K1508" s="2" t="s">
        <v>347</v>
      </c>
      <c r="L1508" s="2" t="s">
        <v>348</v>
      </c>
      <c r="M1508" s="2" t="s">
        <v>349</v>
      </c>
      <c r="N1508" s="2" t="s">
        <v>350</v>
      </c>
      <c r="O1508" s="2" t="s">
        <v>351</v>
      </c>
      <c r="P1508" s="2" t="s">
        <v>171</v>
      </c>
      <c r="Q1508" s="2" t="s">
        <v>100</v>
      </c>
      <c r="R1508" s="2" t="s">
        <v>352</v>
      </c>
      <c r="S1508" s="2" t="s">
        <v>30</v>
      </c>
      <c r="T1508">
        <v>1886</v>
      </c>
      <c r="U1508">
        <f>VLOOKUP(Auto_Sales_data___Copy[[#This Row],[CUSTOMER_NAME]],$AF$2:$AH$90,2,FALSE)</f>
        <v>26</v>
      </c>
      <c r="V1508">
        <f>VLOOKUP(Auto_Sales_data___Copy[[#This Row],[CUSTOMER_NAME]],$AF$2:$AH$90,3,FALSE)</f>
        <v>88804.5</v>
      </c>
      <c r="W1508" s="2">
        <f>6-MATCH(Auto_Sales_data___Copy[[#This Row],[DAYS_SINCE_LAST_ORDER]],Table2[R-Cutoff],1)</f>
        <v>3</v>
      </c>
      <c r="X1508" s="2">
        <f>MATCH(Auto_Sales_data___Copy[[#This Row],[Total_Orders_Per_Customer]],Table2[F-Cutoff],1)</f>
        <v>3</v>
      </c>
      <c r="Y1508" s="2">
        <f>MATCH(Auto_Sales_data___Copy[[#This Row],[Total_Sales_Per_Customer]],Table2[M-Cutoff],1)</f>
        <v>3</v>
      </c>
      <c r="Z1508" s="2" t="str">
        <f>Auto_Sales_data___Copy[[#This Row],[R-Score(1-5)]]&amp;Auto_Sales_data___Copy[[#This Row],[F-Score(1-5)]]&amp;Auto_Sales_data___Copy[[#This Row],[M-Score(1-5)]]</f>
        <v>333</v>
      </c>
      <c r="AA1508" s="2" t="str" cm="1">
        <f t="array" ref="AA15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8" s="2" t="str">
        <f>VLOOKUP(Auto_Sales_data___Copy[[#This Row],[Segment Name]],Table3[],2,FALSE)</f>
        <v>Brand Awareness &amp; Value Proposition</v>
      </c>
    </row>
    <row r="1509" spans="1:28" x14ac:dyDescent="0.25">
      <c r="A1509">
        <v>10414</v>
      </c>
      <c r="B1509">
        <v>23</v>
      </c>
      <c r="C1509">
        <v>145.01</v>
      </c>
      <c r="D1509">
        <v>10</v>
      </c>
      <c r="E1509">
        <v>3335.23</v>
      </c>
      <c r="F1509" s="1">
        <v>43957</v>
      </c>
      <c r="G1509" s="2" t="s">
        <v>423</v>
      </c>
      <c r="H1509" s="2" t="s">
        <v>642</v>
      </c>
      <c r="I1509">
        <v>122</v>
      </c>
      <c r="J1509" s="2" t="s">
        <v>672</v>
      </c>
      <c r="K1509" s="2" t="s">
        <v>398</v>
      </c>
      <c r="L1509" s="2" t="s">
        <v>399</v>
      </c>
      <c r="M1509" s="2" t="s">
        <v>400</v>
      </c>
      <c r="N1509" s="2" t="s">
        <v>401</v>
      </c>
      <c r="O1509" s="2" t="s">
        <v>402</v>
      </c>
      <c r="P1509" s="2" t="s">
        <v>27</v>
      </c>
      <c r="Q1509" s="2" t="s">
        <v>403</v>
      </c>
      <c r="R1509" s="2" t="s">
        <v>60</v>
      </c>
      <c r="S1509" s="2" t="s">
        <v>46</v>
      </c>
      <c r="T1509">
        <v>1585</v>
      </c>
      <c r="U1509">
        <f>VLOOKUP(Auto_Sales_data___Copy[[#This Row],[CUSTOMER_NAME]],$AF$2:$AH$90,2,FALSE)</f>
        <v>26</v>
      </c>
      <c r="V1509">
        <f>VLOOKUP(Auto_Sales_data___Copy[[#This Row],[CUSTOMER_NAME]],$AF$2:$AH$90,3,FALSE)</f>
        <v>83209.88</v>
      </c>
      <c r="W1509" s="2">
        <f>6-MATCH(Auto_Sales_data___Copy[[#This Row],[DAYS_SINCE_LAST_ORDER]],Table2[R-Cutoff],1)</f>
        <v>3</v>
      </c>
      <c r="X1509" s="2">
        <f>MATCH(Auto_Sales_data___Copy[[#This Row],[Total_Orders_Per_Customer]],Table2[F-Cutoff],1)</f>
        <v>3</v>
      </c>
      <c r="Y1509" s="2">
        <f>MATCH(Auto_Sales_data___Copy[[#This Row],[Total_Sales_Per_Customer]],Table2[M-Cutoff],1)</f>
        <v>3</v>
      </c>
      <c r="Z1509" s="2" t="str">
        <f>Auto_Sales_data___Copy[[#This Row],[R-Score(1-5)]]&amp;Auto_Sales_data___Copy[[#This Row],[F-Score(1-5)]]&amp;Auto_Sales_data___Copy[[#This Row],[M-Score(1-5)]]</f>
        <v>333</v>
      </c>
      <c r="AA1509" s="2" t="str" cm="1">
        <f t="array" ref="AA15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9" s="2" t="str">
        <f>VLOOKUP(Auto_Sales_data___Copy[[#This Row],[Segment Name]],Table3[],2,FALSE)</f>
        <v>Brand Awareness &amp; Value Proposition</v>
      </c>
    </row>
    <row r="1510" spans="1:28" x14ac:dyDescent="0.25">
      <c r="A1510">
        <v>10414</v>
      </c>
      <c r="B1510">
        <v>60</v>
      </c>
      <c r="C1510">
        <v>101.79</v>
      </c>
      <c r="D1510">
        <v>5</v>
      </c>
      <c r="E1510">
        <v>6107.4</v>
      </c>
      <c r="F1510" s="1">
        <v>43957</v>
      </c>
      <c r="G1510" s="2" t="s">
        <v>423</v>
      </c>
      <c r="H1510" s="2" t="s">
        <v>589</v>
      </c>
      <c r="I1510">
        <v>88</v>
      </c>
      <c r="J1510" s="2" t="s">
        <v>681</v>
      </c>
      <c r="K1510" s="2" t="s">
        <v>398</v>
      </c>
      <c r="L1510" s="2" t="s">
        <v>399</v>
      </c>
      <c r="M1510" s="2" t="s">
        <v>400</v>
      </c>
      <c r="N1510" s="2" t="s">
        <v>401</v>
      </c>
      <c r="O1510" s="2" t="s">
        <v>402</v>
      </c>
      <c r="P1510" s="2" t="s">
        <v>27</v>
      </c>
      <c r="Q1510" s="2" t="s">
        <v>403</v>
      </c>
      <c r="R1510" s="2" t="s">
        <v>60</v>
      </c>
      <c r="S1510" s="2" t="s">
        <v>46</v>
      </c>
      <c r="T1510">
        <v>1809</v>
      </c>
      <c r="U1510">
        <f>VLOOKUP(Auto_Sales_data___Copy[[#This Row],[CUSTOMER_NAME]],$AF$2:$AH$90,2,FALSE)</f>
        <v>26</v>
      </c>
      <c r="V1510">
        <f>VLOOKUP(Auto_Sales_data___Copy[[#This Row],[CUSTOMER_NAME]],$AF$2:$AH$90,3,FALSE)</f>
        <v>83209.88</v>
      </c>
      <c r="W1510" s="2">
        <f>6-MATCH(Auto_Sales_data___Copy[[#This Row],[DAYS_SINCE_LAST_ORDER]],Table2[R-Cutoff],1)</f>
        <v>3</v>
      </c>
      <c r="X1510" s="2">
        <f>MATCH(Auto_Sales_data___Copy[[#This Row],[Total_Orders_Per_Customer]],Table2[F-Cutoff],1)</f>
        <v>3</v>
      </c>
      <c r="Y1510" s="2">
        <f>MATCH(Auto_Sales_data___Copy[[#This Row],[Total_Sales_Per_Customer]],Table2[M-Cutoff],1)</f>
        <v>3</v>
      </c>
      <c r="Z1510" s="2" t="str">
        <f>Auto_Sales_data___Copy[[#This Row],[R-Score(1-5)]]&amp;Auto_Sales_data___Copy[[#This Row],[F-Score(1-5)]]&amp;Auto_Sales_data___Copy[[#This Row],[M-Score(1-5)]]</f>
        <v>333</v>
      </c>
      <c r="AA1510" s="2" t="str" cm="1">
        <f t="array" ref="AA15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10" s="2" t="str">
        <f>VLOOKUP(Auto_Sales_data___Copy[[#This Row],[Segment Name]],Table3[],2,FALSE)</f>
        <v>Brand Awareness &amp; Value Proposition</v>
      </c>
    </row>
    <row r="1511" spans="1:28" x14ac:dyDescent="0.25">
      <c r="A1511">
        <v>10414</v>
      </c>
      <c r="B1511">
        <v>51</v>
      </c>
      <c r="C1511">
        <v>76.31</v>
      </c>
      <c r="D1511">
        <v>2</v>
      </c>
      <c r="E1511">
        <v>3891.81</v>
      </c>
      <c r="F1511" s="1">
        <v>43957</v>
      </c>
      <c r="G1511" s="2" t="s">
        <v>423</v>
      </c>
      <c r="H1511" s="2" t="s">
        <v>589</v>
      </c>
      <c r="I1511">
        <v>83</v>
      </c>
      <c r="J1511" s="2" t="s">
        <v>686</v>
      </c>
      <c r="K1511" s="2" t="s">
        <v>398</v>
      </c>
      <c r="L1511" s="2" t="s">
        <v>399</v>
      </c>
      <c r="M1511" s="2" t="s">
        <v>400</v>
      </c>
      <c r="N1511" s="2" t="s">
        <v>401</v>
      </c>
      <c r="O1511" s="2" t="s">
        <v>402</v>
      </c>
      <c r="P1511" s="2" t="s">
        <v>27</v>
      </c>
      <c r="Q1511" s="2" t="s">
        <v>403</v>
      </c>
      <c r="R1511" s="2" t="s">
        <v>60</v>
      </c>
      <c r="S1511" s="2" t="s">
        <v>46</v>
      </c>
      <c r="T1511">
        <v>1931</v>
      </c>
      <c r="U1511">
        <f>VLOOKUP(Auto_Sales_data___Copy[[#This Row],[CUSTOMER_NAME]],$AF$2:$AH$90,2,FALSE)</f>
        <v>26</v>
      </c>
      <c r="V1511">
        <f>VLOOKUP(Auto_Sales_data___Copy[[#This Row],[CUSTOMER_NAME]],$AF$2:$AH$90,3,FALSE)</f>
        <v>83209.88</v>
      </c>
      <c r="W1511" s="2">
        <f>6-MATCH(Auto_Sales_data___Copy[[#This Row],[DAYS_SINCE_LAST_ORDER]],Table2[R-Cutoff],1)</f>
        <v>3</v>
      </c>
      <c r="X1511" s="2">
        <f>MATCH(Auto_Sales_data___Copy[[#This Row],[Total_Orders_Per_Customer]],Table2[F-Cutoff],1)</f>
        <v>3</v>
      </c>
      <c r="Y1511" s="2">
        <f>MATCH(Auto_Sales_data___Copy[[#This Row],[Total_Sales_Per_Customer]],Table2[M-Cutoff],1)</f>
        <v>3</v>
      </c>
      <c r="Z1511" s="2" t="str">
        <f>Auto_Sales_data___Copy[[#This Row],[R-Score(1-5)]]&amp;Auto_Sales_data___Copy[[#This Row],[F-Score(1-5)]]&amp;Auto_Sales_data___Copy[[#This Row],[M-Score(1-5)]]</f>
        <v>333</v>
      </c>
      <c r="AA1511" s="2" t="str" cm="1">
        <f t="array" ref="AA15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11" s="2" t="str">
        <f>VLOOKUP(Auto_Sales_data___Copy[[#This Row],[Segment Name]],Table3[],2,FALSE)</f>
        <v>Brand Awareness &amp; Value Proposition</v>
      </c>
    </row>
    <row r="1512" spans="1:28" x14ac:dyDescent="0.25">
      <c r="A1512">
        <v>10122</v>
      </c>
      <c r="B1512">
        <v>25</v>
      </c>
      <c r="C1512">
        <v>143.94</v>
      </c>
      <c r="D1512">
        <v>3</v>
      </c>
      <c r="E1512">
        <v>3598.5</v>
      </c>
      <c r="F1512" s="1">
        <v>43228</v>
      </c>
      <c r="G1512" s="2" t="s">
        <v>19</v>
      </c>
      <c r="H1512" s="2" t="s">
        <v>183</v>
      </c>
      <c r="I1512">
        <v>169</v>
      </c>
      <c r="J1512" s="2" t="s">
        <v>649</v>
      </c>
      <c r="K1512" s="2" t="s">
        <v>458</v>
      </c>
      <c r="L1512" s="2" t="s">
        <v>459</v>
      </c>
      <c r="M1512" s="2" t="s">
        <v>460</v>
      </c>
      <c r="N1512" s="2" t="s">
        <v>461</v>
      </c>
      <c r="O1512" s="2" t="s">
        <v>462</v>
      </c>
      <c r="P1512" s="2" t="s">
        <v>36</v>
      </c>
      <c r="Q1512" s="2" t="s">
        <v>463</v>
      </c>
      <c r="R1512" s="2" t="s">
        <v>464</v>
      </c>
      <c r="S1512" s="2" t="s">
        <v>46</v>
      </c>
      <c r="T1512">
        <v>1730</v>
      </c>
      <c r="U1512">
        <f>VLOOKUP(Auto_Sales_data___Copy[[#This Row],[CUSTOMER_NAME]],$AF$2:$AH$90,2,FALSE)</f>
        <v>25</v>
      </c>
      <c r="V1512">
        <f>VLOOKUP(Auto_Sales_data___Copy[[#This Row],[CUSTOMER_NAME]],$AF$2:$AH$90,3,FALSE)</f>
        <v>74936.14</v>
      </c>
      <c r="W1512" s="2">
        <f>6-MATCH(Auto_Sales_data___Copy[[#This Row],[DAYS_SINCE_LAST_ORDER]],Table2[R-Cutoff],1)</f>
        <v>3</v>
      </c>
      <c r="X1512" s="2">
        <f>MATCH(Auto_Sales_data___Copy[[#This Row],[Total_Orders_Per_Customer]],Table2[F-Cutoff],1)</f>
        <v>3</v>
      </c>
      <c r="Y1512" s="2">
        <f>MATCH(Auto_Sales_data___Copy[[#This Row],[Total_Sales_Per_Customer]],Table2[M-Cutoff],1)</f>
        <v>2</v>
      </c>
      <c r="Z1512" s="2" t="str">
        <f>Auto_Sales_data___Copy[[#This Row],[R-Score(1-5)]]&amp;Auto_Sales_data___Copy[[#This Row],[F-Score(1-5)]]&amp;Auto_Sales_data___Copy[[#This Row],[M-Score(1-5)]]</f>
        <v>332</v>
      </c>
      <c r="AA1512" s="2" t="str" cm="1">
        <f t="array" ref="AA15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2" s="2" t="str">
        <f>VLOOKUP(Auto_Sales_data___Copy[[#This Row],[Segment Name]],Table3[],2,FALSE)</f>
        <v>Re-Activation &amp; Re-Engagement</v>
      </c>
    </row>
    <row r="1513" spans="1:28" x14ac:dyDescent="0.25">
      <c r="A1513">
        <v>10122</v>
      </c>
      <c r="B1513">
        <v>21</v>
      </c>
      <c r="C1513">
        <v>73.17</v>
      </c>
      <c r="D1513">
        <v>13</v>
      </c>
      <c r="E1513">
        <v>1536.57</v>
      </c>
      <c r="F1513" s="1">
        <v>43228</v>
      </c>
      <c r="G1513" s="2" t="s">
        <v>19</v>
      </c>
      <c r="H1513" s="2" t="s">
        <v>183</v>
      </c>
      <c r="I1513">
        <v>80</v>
      </c>
      <c r="J1513" s="2" t="s">
        <v>652</v>
      </c>
      <c r="K1513" s="2" t="s">
        <v>458</v>
      </c>
      <c r="L1513" s="2" t="s">
        <v>459</v>
      </c>
      <c r="M1513" s="2" t="s">
        <v>460</v>
      </c>
      <c r="N1513" s="2" t="s">
        <v>461</v>
      </c>
      <c r="O1513" s="2" t="s">
        <v>462</v>
      </c>
      <c r="P1513" s="2" t="s">
        <v>36</v>
      </c>
      <c r="Q1513" s="2" t="s">
        <v>463</v>
      </c>
      <c r="R1513" s="2" t="s">
        <v>464</v>
      </c>
      <c r="S1513" s="2" t="s">
        <v>30</v>
      </c>
      <c r="T1513">
        <v>1804</v>
      </c>
      <c r="U1513">
        <f>VLOOKUP(Auto_Sales_data___Copy[[#This Row],[CUSTOMER_NAME]],$AF$2:$AH$90,2,FALSE)</f>
        <v>25</v>
      </c>
      <c r="V1513">
        <f>VLOOKUP(Auto_Sales_data___Copy[[#This Row],[CUSTOMER_NAME]],$AF$2:$AH$90,3,FALSE)</f>
        <v>74936.14</v>
      </c>
      <c r="W1513" s="2">
        <f>6-MATCH(Auto_Sales_data___Copy[[#This Row],[DAYS_SINCE_LAST_ORDER]],Table2[R-Cutoff],1)</f>
        <v>3</v>
      </c>
      <c r="X1513" s="2">
        <f>MATCH(Auto_Sales_data___Copy[[#This Row],[Total_Orders_Per_Customer]],Table2[F-Cutoff],1)</f>
        <v>3</v>
      </c>
      <c r="Y1513" s="2">
        <f>MATCH(Auto_Sales_data___Copy[[#This Row],[Total_Sales_Per_Customer]],Table2[M-Cutoff],1)</f>
        <v>2</v>
      </c>
      <c r="Z1513" s="2" t="str">
        <f>Auto_Sales_data___Copy[[#This Row],[R-Score(1-5)]]&amp;Auto_Sales_data___Copy[[#This Row],[F-Score(1-5)]]&amp;Auto_Sales_data___Copy[[#This Row],[M-Score(1-5)]]</f>
        <v>332</v>
      </c>
      <c r="AA1513" s="2" t="str" cm="1">
        <f t="array" ref="AA15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3" s="2" t="str">
        <f>VLOOKUP(Auto_Sales_data___Copy[[#This Row],[Segment Name]],Table3[],2,FALSE)</f>
        <v>Re-Activation &amp; Re-Engagement</v>
      </c>
    </row>
    <row r="1514" spans="1:28" x14ac:dyDescent="0.25">
      <c r="A1514">
        <v>10122</v>
      </c>
      <c r="B1514">
        <v>21</v>
      </c>
      <c r="C1514">
        <v>117.59</v>
      </c>
      <c r="D1514">
        <v>12</v>
      </c>
      <c r="E1514">
        <v>2469.39</v>
      </c>
      <c r="F1514" s="1">
        <v>43228</v>
      </c>
      <c r="G1514" s="2" t="s">
        <v>19</v>
      </c>
      <c r="H1514" s="2" t="s">
        <v>183</v>
      </c>
      <c r="I1514">
        <v>146</v>
      </c>
      <c r="J1514" s="2" t="s">
        <v>654</v>
      </c>
      <c r="K1514" s="2" t="s">
        <v>458</v>
      </c>
      <c r="L1514" s="2" t="s">
        <v>459</v>
      </c>
      <c r="M1514" s="2" t="s">
        <v>460</v>
      </c>
      <c r="N1514" s="2" t="s">
        <v>461</v>
      </c>
      <c r="O1514" s="2" t="s">
        <v>462</v>
      </c>
      <c r="P1514" s="2" t="s">
        <v>36</v>
      </c>
      <c r="Q1514" s="2" t="s">
        <v>463</v>
      </c>
      <c r="R1514" s="2" t="s">
        <v>464</v>
      </c>
      <c r="S1514" s="2" t="s">
        <v>30</v>
      </c>
      <c r="T1514">
        <v>1851</v>
      </c>
      <c r="U1514">
        <f>VLOOKUP(Auto_Sales_data___Copy[[#This Row],[CUSTOMER_NAME]],$AF$2:$AH$90,2,FALSE)</f>
        <v>25</v>
      </c>
      <c r="V1514">
        <f>VLOOKUP(Auto_Sales_data___Copy[[#This Row],[CUSTOMER_NAME]],$AF$2:$AH$90,3,FALSE)</f>
        <v>74936.14</v>
      </c>
      <c r="W1514" s="2">
        <f>6-MATCH(Auto_Sales_data___Copy[[#This Row],[DAYS_SINCE_LAST_ORDER]],Table2[R-Cutoff],1)</f>
        <v>3</v>
      </c>
      <c r="X1514" s="2">
        <f>MATCH(Auto_Sales_data___Copy[[#This Row],[Total_Orders_Per_Customer]],Table2[F-Cutoff],1)</f>
        <v>3</v>
      </c>
      <c r="Y1514" s="2">
        <f>MATCH(Auto_Sales_data___Copy[[#This Row],[Total_Sales_Per_Customer]],Table2[M-Cutoff],1)</f>
        <v>2</v>
      </c>
      <c r="Z1514" s="2" t="str">
        <f>Auto_Sales_data___Copy[[#This Row],[R-Score(1-5)]]&amp;Auto_Sales_data___Copy[[#This Row],[F-Score(1-5)]]&amp;Auto_Sales_data___Copy[[#This Row],[M-Score(1-5)]]</f>
        <v>332</v>
      </c>
      <c r="AA1514" s="2" t="str" cm="1">
        <f t="array" ref="AA15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4" s="2" t="str">
        <f>VLOOKUP(Auto_Sales_data___Copy[[#This Row],[Segment Name]],Table3[],2,FALSE)</f>
        <v>Re-Activation &amp; Re-Engagement</v>
      </c>
    </row>
    <row r="1515" spans="1:28" x14ac:dyDescent="0.25">
      <c r="A1515">
        <v>10122</v>
      </c>
      <c r="B1515">
        <v>35</v>
      </c>
      <c r="C1515">
        <v>49.74</v>
      </c>
      <c r="D1515">
        <v>16</v>
      </c>
      <c r="E1515">
        <v>1740.9</v>
      </c>
      <c r="F1515" s="1">
        <v>43228</v>
      </c>
      <c r="G1515" s="2" t="s">
        <v>19</v>
      </c>
      <c r="H1515" s="2" t="s">
        <v>20</v>
      </c>
      <c r="I1515">
        <v>62</v>
      </c>
      <c r="J1515" s="2" t="s">
        <v>656</v>
      </c>
      <c r="K1515" s="2" t="s">
        <v>458</v>
      </c>
      <c r="L1515" s="2" t="s">
        <v>459</v>
      </c>
      <c r="M1515" s="2" t="s">
        <v>460</v>
      </c>
      <c r="N1515" s="2" t="s">
        <v>461</v>
      </c>
      <c r="O1515" s="2" t="s">
        <v>462</v>
      </c>
      <c r="P1515" s="2" t="s">
        <v>36</v>
      </c>
      <c r="Q1515" s="2" t="s">
        <v>463</v>
      </c>
      <c r="R1515" s="2" t="s">
        <v>464</v>
      </c>
      <c r="S1515" s="2" t="s">
        <v>30</v>
      </c>
      <c r="T1515">
        <v>1900</v>
      </c>
      <c r="U1515">
        <f>VLOOKUP(Auto_Sales_data___Copy[[#This Row],[CUSTOMER_NAME]],$AF$2:$AH$90,2,FALSE)</f>
        <v>25</v>
      </c>
      <c r="V1515">
        <f>VLOOKUP(Auto_Sales_data___Copy[[#This Row],[CUSTOMER_NAME]],$AF$2:$AH$90,3,FALSE)</f>
        <v>74936.14</v>
      </c>
      <c r="W1515" s="2">
        <f>6-MATCH(Auto_Sales_data___Copy[[#This Row],[DAYS_SINCE_LAST_ORDER]],Table2[R-Cutoff],1)</f>
        <v>3</v>
      </c>
      <c r="X1515" s="2">
        <f>MATCH(Auto_Sales_data___Copy[[#This Row],[Total_Orders_Per_Customer]],Table2[F-Cutoff],1)</f>
        <v>3</v>
      </c>
      <c r="Y1515" s="2">
        <f>MATCH(Auto_Sales_data___Copy[[#This Row],[Total_Sales_Per_Customer]],Table2[M-Cutoff],1)</f>
        <v>2</v>
      </c>
      <c r="Z1515" s="2" t="str">
        <f>Auto_Sales_data___Copy[[#This Row],[R-Score(1-5)]]&amp;Auto_Sales_data___Copy[[#This Row],[F-Score(1-5)]]&amp;Auto_Sales_data___Copy[[#This Row],[M-Score(1-5)]]</f>
        <v>332</v>
      </c>
      <c r="AA1515" s="2" t="str" cm="1">
        <f t="array" ref="AA15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5" s="2" t="str">
        <f>VLOOKUP(Auto_Sales_data___Copy[[#This Row],[Segment Name]],Table3[],2,FALSE)</f>
        <v>Re-Activation &amp; Re-Engagement</v>
      </c>
    </row>
    <row r="1516" spans="1:28" x14ac:dyDescent="0.25">
      <c r="A1516">
        <v>10301</v>
      </c>
      <c r="B1516">
        <v>23</v>
      </c>
      <c r="C1516">
        <v>174.42</v>
      </c>
      <c r="D1516">
        <v>9</v>
      </c>
      <c r="E1516">
        <v>4011.66</v>
      </c>
      <c r="F1516" s="1">
        <v>43378</v>
      </c>
      <c r="G1516" s="2" t="s">
        <v>19</v>
      </c>
      <c r="H1516" s="2" t="s">
        <v>183</v>
      </c>
      <c r="I1516">
        <v>169</v>
      </c>
      <c r="J1516" s="2" t="s">
        <v>649</v>
      </c>
      <c r="K1516" s="2" t="s">
        <v>582</v>
      </c>
      <c r="L1516" s="2" t="s">
        <v>583</v>
      </c>
      <c r="M1516" s="2" t="s">
        <v>584</v>
      </c>
      <c r="N1516" s="2" t="s">
        <v>585</v>
      </c>
      <c r="O1516" s="2" t="s">
        <v>586</v>
      </c>
      <c r="P1516" s="2" t="s">
        <v>73</v>
      </c>
      <c r="Q1516" s="2" t="s">
        <v>587</v>
      </c>
      <c r="R1516" s="2" t="s">
        <v>588</v>
      </c>
      <c r="S1516" s="2" t="s">
        <v>46</v>
      </c>
      <c r="T1516">
        <v>1608</v>
      </c>
      <c r="U1516">
        <f>VLOOKUP(Auto_Sales_data___Copy[[#This Row],[CUSTOMER_NAME]],$AF$2:$AH$90,2,FALSE)</f>
        <v>24</v>
      </c>
      <c r="V1516">
        <f>VLOOKUP(Auto_Sales_data___Copy[[#This Row],[CUSTOMER_NAME]],$AF$2:$AH$90,3,FALSE)</f>
        <v>79224.23</v>
      </c>
      <c r="W1516" s="2">
        <f>6-MATCH(Auto_Sales_data___Copy[[#This Row],[DAYS_SINCE_LAST_ORDER]],Table2[R-Cutoff],1)</f>
        <v>3</v>
      </c>
      <c r="X1516" s="2">
        <f>MATCH(Auto_Sales_data___Copy[[#This Row],[Total_Orders_Per_Customer]],Table2[F-Cutoff],1)</f>
        <v>3</v>
      </c>
      <c r="Y1516" s="2">
        <f>MATCH(Auto_Sales_data___Copy[[#This Row],[Total_Sales_Per_Customer]],Table2[M-Cutoff],1)</f>
        <v>2</v>
      </c>
      <c r="Z1516" s="2" t="str">
        <f>Auto_Sales_data___Copy[[#This Row],[R-Score(1-5)]]&amp;Auto_Sales_data___Copy[[#This Row],[F-Score(1-5)]]&amp;Auto_Sales_data___Copy[[#This Row],[M-Score(1-5)]]</f>
        <v>332</v>
      </c>
      <c r="AA1516" s="2" t="str" cm="1">
        <f t="array" ref="AA15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6" s="2" t="str">
        <f>VLOOKUP(Auto_Sales_data___Copy[[#This Row],[Segment Name]],Table3[],2,FALSE)</f>
        <v>Re-Activation &amp; Re-Engagement</v>
      </c>
    </row>
    <row r="1517" spans="1:28" x14ac:dyDescent="0.25">
      <c r="A1517">
        <v>10301</v>
      </c>
      <c r="B1517">
        <v>39</v>
      </c>
      <c r="C1517">
        <v>165.3</v>
      </c>
      <c r="D1517">
        <v>6</v>
      </c>
      <c r="E1517">
        <v>6446.7</v>
      </c>
      <c r="F1517" s="1">
        <v>43378</v>
      </c>
      <c r="G1517" s="2" t="s">
        <v>19</v>
      </c>
      <c r="H1517" s="2" t="s">
        <v>183</v>
      </c>
      <c r="I1517">
        <v>141</v>
      </c>
      <c r="J1517" s="2" t="s">
        <v>655</v>
      </c>
      <c r="K1517" s="2" t="s">
        <v>582</v>
      </c>
      <c r="L1517" s="2" t="s">
        <v>583</v>
      </c>
      <c r="M1517" s="2" t="s">
        <v>584</v>
      </c>
      <c r="N1517" s="2" t="s">
        <v>585</v>
      </c>
      <c r="O1517" s="2" t="s">
        <v>586</v>
      </c>
      <c r="P1517" s="2" t="s">
        <v>73</v>
      </c>
      <c r="Q1517" s="2" t="s">
        <v>587</v>
      </c>
      <c r="R1517" s="2" t="s">
        <v>588</v>
      </c>
      <c r="S1517" s="2" t="s">
        <v>46</v>
      </c>
      <c r="T1517">
        <v>1740</v>
      </c>
      <c r="U1517">
        <f>VLOOKUP(Auto_Sales_data___Copy[[#This Row],[CUSTOMER_NAME]],$AF$2:$AH$90,2,FALSE)</f>
        <v>24</v>
      </c>
      <c r="V1517">
        <f>VLOOKUP(Auto_Sales_data___Copy[[#This Row],[CUSTOMER_NAME]],$AF$2:$AH$90,3,FALSE)</f>
        <v>79224.23</v>
      </c>
      <c r="W1517" s="2">
        <f>6-MATCH(Auto_Sales_data___Copy[[#This Row],[DAYS_SINCE_LAST_ORDER]],Table2[R-Cutoff],1)</f>
        <v>3</v>
      </c>
      <c r="X1517" s="2">
        <f>MATCH(Auto_Sales_data___Copy[[#This Row],[Total_Orders_Per_Customer]],Table2[F-Cutoff],1)</f>
        <v>3</v>
      </c>
      <c r="Y1517" s="2">
        <f>MATCH(Auto_Sales_data___Copy[[#This Row],[Total_Sales_Per_Customer]],Table2[M-Cutoff],1)</f>
        <v>2</v>
      </c>
      <c r="Z1517" s="2" t="str">
        <f>Auto_Sales_data___Copy[[#This Row],[R-Score(1-5)]]&amp;Auto_Sales_data___Copy[[#This Row],[F-Score(1-5)]]&amp;Auto_Sales_data___Copy[[#This Row],[M-Score(1-5)]]</f>
        <v>332</v>
      </c>
      <c r="AA1517" s="2" t="str" cm="1">
        <f t="array" ref="AA15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7" s="2" t="str">
        <f>VLOOKUP(Auto_Sales_data___Copy[[#This Row],[Segment Name]],Table3[],2,FALSE)</f>
        <v>Re-Activation &amp; Re-Engagement</v>
      </c>
    </row>
    <row r="1518" spans="1:28" x14ac:dyDescent="0.25">
      <c r="A1518">
        <v>10301</v>
      </c>
      <c r="B1518">
        <v>27</v>
      </c>
      <c r="C1518">
        <v>72.02</v>
      </c>
      <c r="D1518">
        <v>1</v>
      </c>
      <c r="E1518">
        <v>1944.54</v>
      </c>
      <c r="F1518" s="1">
        <v>43378</v>
      </c>
      <c r="G1518" s="2" t="s">
        <v>19</v>
      </c>
      <c r="H1518" s="2" t="s">
        <v>183</v>
      </c>
      <c r="I1518">
        <v>73</v>
      </c>
      <c r="J1518" s="2" t="s">
        <v>665</v>
      </c>
      <c r="K1518" s="2" t="s">
        <v>582</v>
      </c>
      <c r="L1518" s="2" t="s">
        <v>583</v>
      </c>
      <c r="M1518" s="2" t="s">
        <v>584</v>
      </c>
      <c r="N1518" s="2" t="s">
        <v>585</v>
      </c>
      <c r="O1518" s="2" t="s">
        <v>586</v>
      </c>
      <c r="P1518" s="2" t="s">
        <v>73</v>
      </c>
      <c r="Q1518" s="2" t="s">
        <v>587</v>
      </c>
      <c r="R1518" s="2" t="s">
        <v>588</v>
      </c>
      <c r="S1518" s="2" t="s">
        <v>30</v>
      </c>
      <c r="T1518">
        <v>1983</v>
      </c>
      <c r="U1518">
        <f>VLOOKUP(Auto_Sales_data___Copy[[#This Row],[CUSTOMER_NAME]],$AF$2:$AH$90,2,FALSE)</f>
        <v>24</v>
      </c>
      <c r="V1518">
        <f>VLOOKUP(Auto_Sales_data___Copy[[#This Row],[CUSTOMER_NAME]],$AF$2:$AH$90,3,FALSE)</f>
        <v>79224.23</v>
      </c>
      <c r="W1518" s="2">
        <f>6-MATCH(Auto_Sales_data___Copy[[#This Row],[DAYS_SINCE_LAST_ORDER]],Table2[R-Cutoff],1)</f>
        <v>3</v>
      </c>
      <c r="X1518" s="2">
        <f>MATCH(Auto_Sales_data___Copy[[#This Row],[Total_Orders_Per_Customer]],Table2[F-Cutoff],1)</f>
        <v>3</v>
      </c>
      <c r="Y1518" s="2">
        <f>MATCH(Auto_Sales_data___Copy[[#This Row],[Total_Sales_Per_Customer]],Table2[M-Cutoff],1)</f>
        <v>2</v>
      </c>
      <c r="Z1518" s="2" t="str">
        <f>Auto_Sales_data___Copy[[#This Row],[R-Score(1-5)]]&amp;Auto_Sales_data___Copy[[#This Row],[F-Score(1-5)]]&amp;Auto_Sales_data___Copy[[#This Row],[M-Score(1-5)]]</f>
        <v>332</v>
      </c>
      <c r="AA1518" s="2" t="str" cm="1">
        <f t="array" ref="AA15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8" s="2" t="str">
        <f>VLOOKUP(Auto_Sales_data___Copy[[#This Row],[Segment Name]],Table3[],2,FALSE)</f>
        <v>Re-Activation &amp; Re-Engagement</v>
      </c>
    </row>
    <row r="1519" spans="1:28" x14ac:dyDescent="0.25">
      <c r="A1519">
        <v>10221</v>
      </c>
      <c r="B1519">
        <v>23</v>
      </c>
      <c r="C1519">
        <v>80.67</v>
      </c>
      <c r="D1519">
        <v>5</v>
      </c>
      <c r="E1519">
        <v>1855.41</v>
      </c>
      <c r="F1519" s="1">
        <v>43514</v>
      </c>
      <c r="G1519" s="2" t="s">
        <v>19</v>
      </c>
      <c r="H1519" s="2" t="s">
        <v>650</v>
      </c>
      <c r="I1519">
        <v>100</v>
      </c>
      <c r="J1519" s="2" t="s">
        <v>651</v>
      </c>
      <c r="K1519" s="2" t="s">
        <v>384</v>
      </c>
      <c r="L1519" s="2" t="s">
        <v>385</v>
      </c>
      <c r="M1519" s="2" t="s">
        <v>386</v>
      </c>
      <c r="N1519" s="2" t="s">
        <v>387</v>
      </c>
      <c r="O1519" s="2" t="s">
        <v>388</v>
      </c>
      <c r="P1519" s="2" t="s">
        <v>389</v>
      </c>
      <c r="Q1519" s="2" t="s">
        <v>390</v>
      </c>
      <c r="R1519" s="2" t="s">
        <v>391</v>
      </c>
      <c r="S1519" s="2" t="s">
        <v>30</v>
      </c>
      <c r="T1519">
        <v>1502</v>
      </c>
      <c r="U1519">
        <f>VLOOKUP(Auto_Sales_data___Copy[[#This Row],[CUSTOMER_NAME]],$AF$2:$AH$90,2,FALSE)</f>
        <v>25</v>
      </c>
      <c r="V1519">
        <f>VLOOKUP(Auto_Sales_data___Copy[[#This Row],[CUSTOMER_NAME]],$AF$2:$AH$90,3,FALSE)</f>
        <v>74972.52</v>
      </c>
      <c r="W1519" s="2">
        <f>6-MATCH(Auto_Sales_data___Copy[[#This Row],[DAYS_SINCE_LAST_ORDER]],Table2[R-Cutoff],1)</f>
        <v>3</v>
      </c>
      <c r="X1519" s="2">
        <f>MATCH(Auto_Sales_data___Copy[[#This Row],[Total_Orders_Per_Customer]],Table2[F-Cutoff],1)</f>
        <v>3</v>
      </c>
      <c r="Y1519" s="2">
        <f>MATCH(Auto_Sales_data___Copy[[#This Row],[Total_Sales_Per_Customer]],Table2[M-Cutoff],1)</f>
        <v>2</v>
      </c>
      <c r="Z1519" s="2" t="str">
        <f>Auto_Sales_data___Copy[[#This Row],[R-Score(1-5)]]&amp;Auto_Sales_data___Copy[[#This Row],[F-Score(1-5)]]&amp;Auto_Sales_data___Copy[[#This Row],[M-Score(1-5)]]</f>
        <v>332</v>
      </c>
      <c r="AA1519" s="2" t="str" cm="1">
        <f t="array" ref="AA15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9" s="2" t="str">
        <f>VLOOKUP(Auto_Sales_data___Copy[[#This Row],[Segment Name]],Table3[],2,FALSE)</f>
        <v>Re-Activation &amp; Re-Engagement</v>
      </c>
    </row>
    <row r="1520" spans="1:28" x14ac:dyDescent="0.25">
      <c r="A1520">
        <v>10221</v>
      </c>
      <c r="B1520">
        <v>39</v>
      </c>
      <c r="C1520">
        <v>89.53</v>
      </c>
      <c r="D1520">
        <v>2</v>
      </c>
      <c r="E1520">
        <v>3491.67</v>
      </c>
      <c r="F1520" s="1">
        <v>43514</v>
      </c>
      <c r="G1520" s="2" t="s">
        <v>19</v>
      </c>
      <c r="H1520" s="2" t="s">
        <v>589</v>
      </c>
      <c r="I1520">
        <v>87</v>
      </c>
      <c r="J1520" s="2" t="s">
        <v>660</v>
      </c>
      <c r="K1520" s="2" t="s">
        <v>384</v>
      </c>
      <c r="L1520" s="2" t="s">
        <v>385</v>
      </c>
      <c r="M1520" s="2" t="s">
        <v>386</v>
      </c>
      <c r="N1520" s="2" t="s">
        <v>387</v>
      </c>
      <c r="O1520" s="2" t="s">
        <v>388</v>
      </c>
      <c r="P1520" s="2" t="s">
        <v>389</v>
      </c>
      <c r="Q1520" s="2" t="s">
        <v>390</v>
      </c>
      <c r="R1520" s="2" t="s">
        <v>391</v>
      </c>
      <c r="S1520" s="2" t="s">
        <v>46</v>
      </c>
      <c r="T1520">
        <v>1719</v>
      </c>
      <c r="U1520">
        <f>VLOOKUP(Auto_Sales_data___Copy[[#This Row],[CUSTOMER_NAME]],$AF$2:$AH$90,2,FALSE)</f>
        <v>25</v>
      </c>
      <c r="V1520">
        <f>VLOOKUP(Auto_Sales_data___Copy[[#This Row],[CUSTOMER_NAME]],$AF$2:$AH$90,3,FALSE)</f>
        <v>74972.52</v>
      </c>
      <c r="W1520" s="2">
        <f>6-MATCH(Auto_Sales_data___Copy[[#This Row],[DAYS_SINCE_LAST_ORDER]],Table2[R-Cutoff],1)</f>
        <v>3</v>
      </c>
      <c r="X1520" s="2">
        <f>MATCH(Auto_Sales_data___Copy[[#This Row],[Total_Orders_Per_Customer]],Table2[F-Cutoff],1)</f>
        <v>3</v>
      </c>
      <c r="Y1520" s="2">
        <f>MATCH(Auto_Sales_data___Copy[[#This Row],[Total_Sales_Per_Customer]],Table2[M-Cutoff],1)</f>
        <v>2</v>
      </c>
      <c r="Z1520" s="2" t="str">
        <f>Auto_Sales_data___Copy[[#This Row],[R-Score(1-5)]]&amp;Auto_Sales_data___Copy[[#This Row],[F-Score(1-5)]]&amp;Auto_Sales_data___Copy[[#This Row],[M-Score(1-5)]]</f>
        <v>332</v>
      </c>
      <c r="AA1520" s="2" t="str" cm="1">
        <f t="array" ref="AA15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0" s="2" t="str">
        <f>VLOOKUP(Auto_Sales_data___Copy[[#This Row],[Segment Name]],Table3[],2,FALSE)</f>
        <v>Re-Activation &amp; Re-Engagement</v>
      </c>
    </row>
    <row r="1521" spans="1:28" x14ac:dyDescent="0.25">
      <c r="A1521">
        <v>10221</v>
      </c>
      <c r="B1521">
        <v>49</v>
      </c>
      <c r="C1521">
        <v>138.87</v>
      </c>
      <c r="D1521">
        <v>1</v>
      </c>
      <c r="E1521">
        <v>6804.63</v>
      </c>
      <c r="F1521" s="1">
        <v>43514</v>
      </c>
      <c r="G1521" s="2" t="s">
        <v>19</v>
      </c>
      <c r="H1521" s="2" t="s">
        <v>642</v>
      </c>
      <c r="I1521">
        <v>122</v>
      </c>
      <c r="J1521" s="2" t="s">
        <v>672</v>
      </c>
      <c r="K1521" s="2" t="s">
        <v>384</v>
      </c>
      <c r="L1521" s="2" t="s">
        <v>385</v>
      </c>
      <c r="M1521" s="2" t="s">
        <v>386</v>
      </c>
      <c r="N1521" s="2" t="s">
        <v>387</v>
      </c>
      <c r="O1521" s="2" t="s">
        <v>388</v>
      </c>
      <c r="P1521" s="2" t="s">
        <v>389</v>
      </c>
      <c r="Q1521" s="2" t="s">
        <v>390</v>
      </c>
      <c r="R1521" s="2" t="s">
        <v>391</v>
      </c>
      <c r="S1521" s="2" t="s">
        <v>46</v>
      </c>
      <c r="T1521">
        <v>2014</v>
      </c>
      <c r="U1521">
        <f>VLOOKUP(Auto_Sales_data___Copy[[#This Row],[CUSTOMER_NAME]],$AF$2:$AH$90,2,FALSE)</f>
        <v>25</v>
      </c>
      <c r="V1521">
        <f>VLOOKUP(Auto_Sales_data___Copy[[#This Row],[CUSTOMER_NAME]],$AF$2:$AH$90,3,FALSE)</f>
        <v>74972.52</v>
      </c>
      <c r="W1521" s="2">
        <f>6-MATCH(Auto_Sales_data___Copy[[#This Row],[DAYS_SINCE_LAST_ORDER]],Table2[R-Cutoff],1)</f>
        <v>3</v>
      </c>
      <c r="X1521" s="2">
        <f>MATCH(Auto_Sales_data___Copy[[#This Row],[Total_Orders_Per_Customer]],Table2[F-Cutoff],1)</f>
        <v>3</v>
      </c>
      <c r="Y1521" s="2">
        <f>MATCH(Auto_Sales_data___Copy[[#This Row],[Total_Sales_Per_Customer]],Table2[M-Cutoff],1)</f>
        <v>2</v>
      </c>
      <c r="Z1521" s="2" t="str">
        <f>Auto_Sales_data___Copy[[#This Row],[R-Score(1-5)]]&amp;Auto_Sales_data___Copy[[#This Row],[F-Score(1-5)]]&amp;Auto_Sales_data___Copy[[#This Row],[M-Score(1-5)]]</f>
        <v>332</v>
      </c>
      <c r="AA1521" s="2" t="str" cm="1">
        <f t="array" ref="AA15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1" s="2" t="str">
        <f>VLOOKUP(Auto_Sales_data___Copy[[#This Row],[Segment Name]],Table3[],2,FALSE)</f>
        <v>Re-Activation &amp; Re-Engagement</v>
      </c>
    </row>
    <row r="1522" spans="1:28" x14ac:dyDescent="0.25">
      <c r="A1522">
        <v>10232</v>
      </c>
      <c r="B1522">
        <v>23</v>
      </c>
      <c r="C1522">
        <v>89.53</v>
      </c>
      <c r="D1522">
        <v>5</v>
      </c>
      <c r="E1522">
        <v>2059.19</v>
      </c>
      <c r="F1522" s="1">
        <v>43544</v>
      </c>
      <c r="G1522" s="2" t="s">
        <v>19</v>
      </c>
      <c r="H1522" s="2" t="s">
        <v>589</v>
      </c>
      <c r="I1522">
        <v>87</v>
      </c>
      <c r="J1522" s="2" t="s">
        <v>660</v>
      </c>
      <c r="K1522" s="2" t="s">
        <v>404</v>
      </c>
      <c r="L1522" s="2" t="s">
        <v>405</v>
      </c>
      <c r="M1522" s="2" t="s">
        <v>406</v>
      </c>
      <c r="N1522" s="2" t="s">
        <v>407</v>
      </c>
      <c r="O1522" s="2" t="s">
        <v>408</v>
      </c>
      <c r="P1522" s="2" t="s">
        <v>171</v>
      </c>
      <c r="Q1522" s="2" t="s">
        <v>409</v>
      </c>
      <c r="R1522" s="2" t="s">
        <v>410</v>
      </c>
      <c r="S1522" s="2" t="s">
        <v>30</v>
      </c>
      <c r="T1522">
        <v>1690</v>
      </c>
      <c r="U1522">
        <f>VLOOKUP(Auto_Sales_data___Copy[[#This Row],[CUSTOMER_NAME]],$AF$2:$AH$90,2,FALSE)</f>
        <v>26</v>
      </c>
      <c r="V1522">
        <f>VLOOKUP(Auto_Sales_data___Copy[[#This Row],[CUSTOMER_NAME]],$AF$2:$AH$90,3,FALSE)</f>
        <v>78240.84</v>
      </c>
      <c r="W1522" s="2">
        <f>6-MATCH(Auto_Sales_data___Copy[[#This Row],[DAYS_SINCE_LAST_ORDER]],Table2[R-Cutoff],1)</f>
        <v>3</v>
      </c>
      <c r="X1522" s="2">
        <f>MATCH(Auto_Sales_data___Copy[[#This Row],[Total_Orders_Per_Customer]],Table2[F-Cutoff],1)</f>
        <v>3</v>
      </c>
      <c r="Y1522" s="2">
        <f>MATCH(Auto_Sales_data___Copy[[#This Row],[Total_Sales_Per_Customer]],Table2[M-Cutoff],1)</f>
        <v>2</v>
      </c>
      <c r="Z1522" s="2" t="str">
        <f>Auto_Sales_data___Copy[[#This Row],[R-Score(1-5)]]&amp;Auto_Sales_data___Copy[[#This Row],[F-Score(1-5)]]&amp;Auto_Sales_data___Copy[[#This Row],[M-Score(1-5)]]</f>
        <v>332</v>
      </c>
      <c r="AA1522" s="2" t="str" cm="1">
        <f t="array" ref="AA15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2" s="2" t="str">
        <f>VLOOKUP(Auto_Sales_data___Copy[[#This Row],[Segment Name]],Table3[],2,FALSE)</f>
        <v>Re-Activation &amp; Re-Engagement</v>
      </c>
    </row>
    <row r="1523" spans="1:28" x14ac:dyDescent="0.25">
      <c r="A1523">
        <v>10232</v>
      </c>
      <c r="B1523">
        <v>46</v>
      </c>
      <c r="C1523">
        <v>122.89</v>
      </c>
      <c r="D1523">
        <v>4</v>
      </c>
      <c r="E1523">
        <v>5652.94</v>
      </c>
      <c r="F1523" s="1">
        <v>43544</v>
      </c>
      <c r="G1523" s="2" t="s">
        <v>19</v>
      </c>
      <c r="H1523" s="2" t="s">
        <v>642</v>
      </c>
      <c r="I1523">
        <v>122</v>
      </c>
      <c r="J1523" s="2" t="s">
        <v>672</v>
      </c>
      <c r="K1523" s="2" t="s">
        <v>404</v>
      </c>
      <c r="L1523" s="2" t="s">
        <v>405</v>
      </c>
      <c r="M1523" s="2" t="s">
        <v>406</v>
      </c>
      <c r="N1523" s="2" t="s">
        <v>407</v>
      </c>
      <c r="O1523" s="2" t="s">
        <v>408</v>
      </c>
      <c r="P1523" s="2" t="s">
        <v>171</v>
      </c>
      <c r="Q1523" s="2" t="s">
        <v>409</v>
      </c>
      <c r="R1523" s="2" t="s">
        <v>410</v>
      </c>
      <c r="S1523" s="2" t="s">
        <v>46</v>
      </c>
      <c r="T1523">
        <v>1985</v>
      </c>
      <c r="U1523">
        <f>VLOOKUP(Auto_Sales_data___Copy[[#This Row],[CUSTOMER_NAME]],$AF$2:$AH$90,2,FALSE)</f>
        <v>26</v>
      </c>
      <c r="V1523">
        <f>VLOOKUP(Auto_Sales_data___Copy[[#This Row],[CUSTOMER_NAME]],$AF$2:$AH$90,3,FALSE)</f>
        <v>78240.84</v>
      </c>
      <c r="W1523" s="2">
        <f>6-MATCH(Auto_Sales_data___Copy[[#This Row],[DAYS_SINCE_LAST_ORDER]],Table2[R-Cutoff],1)</f>
        <v>3</v>
      </c>
      <c r="X1523" s="2">
        <f>MATCH(Auto_Sales_data___Copy[[#This Row],[Total_Orders_Per_Customer]],Table2[F-Cutoff],1)</f>
        <v>3</v>
      </c>
      <c r="Y1523" s="2">
        <f>MATCH(Auto_Sales_data___Copy[[#This Row],[Total_Sales_Per_Customer]],Table2[M-Cutoff],1)</f>
        <v>2</v>
      </c>
      <c r="Z1523" s="2" t="str">
        <f>Auto_Sales_data___Copy[[#This Row],[R-Score(1-5)]]&amp;Auto_Sales_data___Copy[[#This Row],[F-Score(1-5)]]&amp;Auto_Sales_data___Copy[[#This Row],[M-Score(1-5)]]</f>
        <v>332</v>
      </c>
      <c r="AA1523" s="2" t="str" cm="1">
        <f t="array" ref="AA15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3" s="2" t="str">
        <f>VLOOKUP(Auto_Sales_data___Copy[[#This Row],[Segment Name]],Table3[],2,FALSE)</f>
        <v>Re-Activation &amp; Re-Engagement</v>
      </c>
    </row>
    <row r="1524" spans="1:28" x14ac:dyDescent="0.25">
      <c r="A1524">
        <v>10235</v>
      </c>
      <c r="B1524">
        <v>23</v>
      </c>
      <c r="C1524">
        <v>96.29</v>
      </c>
      <c r="D1524">
        <v>5</v>
      </c>
      <c r="E1524">
        <v>2214.67</v>
      </c>
      <c r="F1524" s="1">
        <v>43557</v>
      </c>
      <c r="G1524" s="2" t="s">
        <v>19</v>
      </c>
      <c r="H1524" s="2" t="s">
        <v>607</v>
      </c>
      <c r="I1524">
        <v>109</v>
      </c>
      <c r="J1524" s="2" t="s">
        <v>669</v>
      </c>
      <c r="K1524" s="2" t="s">
        <v>392</v>
      </c>
      <c r="L1524" s="2" t="s">
        <v>393</v>
      </c>
      <c r="M1524" s="2" t="s">
        <v>394</v>
      </c>
      <c r="N1524" s="2" t="s">
        <v>395</v>
      </c>
      <c r="O1524" s="2" t="s">
        <v>396</v>
      </c>
      <c r="P1524" s="2" t="s">
        <v>236</v>
      </c>
      <c r="Q1524" s="2" t="s">
        <v>397</v>
      </c>
      <c r="R1524" s="2" t="s">
        <v>173</v>
      </c>
      <c r="S1524" s="2" t="s">
        <v>30</v>
      </c>
      <c r="T1524">
        <v>1896</v>
      </c>
      <c r="U1524">
        <f>VLOOKUP(Auto_Sales_data___Copy[[#This Row],[CUSTOMER_NAME]],$AF$2:$AH$90,2,FALSE)</f>
        <v>26</v>
      </c>
      <c r="V1524">
        <f>VLOOKUP(Auto_Sales_data___Copy[[#This Row],[CUSTOMER_NAME]],$AF$2:$AH$90,3,FALSE)</f>
        <v>74634.850000000006</v>
      </c>
      <c r="W1524" s="2">
        <f>6-MATCH(Auto_Sales_data___Copy[[#This Row],[DAYS_SINCE_LAST_ORDER]],Table2[R-Cutoff],1)</f>
        <v>3</v>
      </c>
      <c r="X1524" s="2">
        <f>MATCH(Auto_Sales_data___Copy[[#This Row],[Total_Orders_Per_Customer]],Table2[F-Cutoff],1)</f>
        <v>3</v>
      </c>
      <c r="Y1524" s="2">
        <f>MATCH(Auto_Sales_data___Copy[[#This Row],[Total_Sales_Per_Customer]],Table2[M-Cutoff],1)</f>
        <v>2</v>
      </c>
      <c r="Z1524" s="2" t="str">
        <f>Auto_Sales_data___Copy[[#This Row],[R-Score(1-5)]]&amp;Auto_Sales_data___Copy[[#This Row],[F-Score(1-5)]]&amp;Auto_Sales_data___Copy[[#This Row],[M-Score(1-5)]]</f>
        <v>332</v>
      </c>
      <c r="AA1524" s="2" t="str" cm="1">
        <f t="array" ref="AA15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4" s="2" t="str">
        <f>VLOOKUP(Auto_Sales_data___Copy[[#This Row],[Segment Name]],Table3[],2,FALSE)</f>
        <v>Re-Activation &amp; Re-Engagement</v>
      </c>
    </row>
    <row r="1525" spans="1:28" x14ac:dyDescent="0.25">
      <c r="A1525">
        <v>10273</v>
      </c>
      <c r="B1525">
        <v>50</v>
      </c>
      <c r="C1525">
        <v>85.75</v>
      </c>
      <c r="D1525">
        <v>1</v>
      </c>
      <c r="E1525">
        <v>4287.5</v>
      </c>
      <c r="F1525" s="1">
        <v>43667</v>
      </c>
      <c r="G1525" s="2" t="s">
        <v>19</v>
      </c>
      <c r="H1525" s="2" t="s">
        <v>589</v>
      </c>
      <c r="I1525">
        <v>105</v>
      </c>
      <c r="J1525" s="2" t="s">
        <v>657</v>
      </c>
      <c r="K1525" s="2" t="s">
        <v>384</v>
      </c>
      <c r="L1525" s="2" t="s">
        <v>385</v>
      </c>
      <c r="M1525" s="2" t="s">
        <v>386</v>
      </c>
      <c r="N1525" s="2" t="s">
        <v>387</v>
      </c>
      <c r="O1525" s="2" t="s">
        <v>388</v>
      </c>
      <c r="P1525" s="2" t="s">
        <v>389</v>
      </c>
      <c r="Q1525" s="2" t="s">
        <v>390</v>
      </c>
      <c r="R1525" s="2" t="s">
        <v>391</v>
      </c>
      <c r="S1525" s="2" t="s">
        <v>46</v>
      </c>
      <c r="T1525">
        <v>1496</v>
      </c>
      <c r="U1525">
        <f>VLOOKUP(Auto_Sales_data___Copy[[#This Row],[CUSTOMER_NAME]],$AF$2:$AH$90,2,FALSE)</f>
        <v>25</v>
      </c>
      <c r="V1525">
        <f>VLOOKUP(Auto_Sales_data___Copy[[#This Row],[CUSTOMER_NAME]],$AF$2:$AH$90,3,FALSE)</f>
        <v>74972.52</v>
      </c>
      <c r="W1525" s="2">
        <f>6-MATCH(Auto_Sales_data___Copy[[#This Row],[DAYS_SINCE_LAST_ORDER]],Table2[R-Cutoff],1)</f>
        <v>3</v>
      </c>
      <c r="X1525" s="2">
        <f>MATCH(Auto_Sales_data___Copy[[#This Row],[Total_Orders_Per_Customer]],Table2[F-Cutoff],1)</f>
        <v>3</v>
      </c>
      <c r="Y1525" s="2">
        <f>MATCH(Auto_Sales_data___Copy[[#This Row],[Total_Sales_Per_Customer]],Table2[M-Cutoff],1)</f>
        <v>2</v>
      </c>
      <c r="Z1525" s="2" t="str">
        <f>Auto_Sales_data___Copy[[#This Row],[R-Score(1-5)]]&amp;Auto_Sales_data___Copy[[#This Row],[F-Score(1-5)]]&amp;Auto_Sales_data___Copy[[#This Row],[M-Score(1-5)]]</f>
        <v>332</v>
      </c>
      <c r="AA1525" s="2" t="str" cm="1">
        <f t="array" ref="AA15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5" s="2" t="str">
        <f>VLOOKUP(Auto_Sales_data___Copy[[#This Row],[Segment Name]],Table3[],2,FALSE)</f>
        <v>Re-Activation &amp; Re-Engagement</v>
      </c>
    </row>
    <row r="1526" spans="1:28" x14ac:dyDescent="0.25">
      <c r="A1526">
        <v>10273</v>
      </c>
      <c r="B1526">
        <v>33</v>
      </c>
      <c r="C1526">
        <v>71.09</v>
      </c>
      <c r="D1526">
        <v>12</v>
      </c>
      <c r="E1526">
        <v>2345.9699999999998</v>
      </c>
      <c r="F1526" s="1">
        <v>43667</v>
      </c>
      <c r="G1526" s="2" t="s">
        <v>19</v>
      </c>
      <c r="H1526" s="2" t="s">
        <v>589</v>
      </c>
      <c r="I1526">
        <v>87</v>
      </c>
      <c r="J1526" s="2" t="s">
        <v>660</v>
      </c>
      <c r="K1526" s="2" t="s">
        <v>384</v>
      </c>
      <c r="L1526" s="2" t="s">
        <v>385</v>
      </c>
      <c r="M1526" s="2" t="s">
        <v>386</v>
      </c>
      <c r="N1526" s="2" t="s">
        <v>387</v>
      </c>
      <c r="O1526" s="2" t="s">
        <v>388</v>
      </c>
      <c r="P1526" s="2" t="s">
        <v>389</v>
      </c>
      <c r="Q1526" s="2" t="s">
        <v>390</v>
      </c>
      <c r="R1526" s="2" t="s">
        <v>391</v>
      </c>
      <c r="S1526" s="2" t="s">
        <v>30</v>
      </c>
      <c r="T1526">
        <v>1570</v>
      </c>
      <c r="U1526">
        <f>VLOOKUP(Auto_Sales_data___Copy[[#This Row],[CUSTOMER_NAME]],$AF$2:$AH$90,2,FALSE)</f>
        <v>25</v>
      </c>
      <c r="V1526">
        <f>VLOOKUP(Auto_Sales_data___Copy[[#This Row],[CUSTOMER_NAME]],$AF$2:$AH$90,3,FALSE)</f>
        <v>74972.52</v>
      </c>
      <c r="W1526" s="2">
        <f>6-MATCH(Auto_Sales_data___Copy[[#This Row],[DAYS_SINCE_LAST_ORDER]],Table2[R-Cutoff],1)</f>
        <v>3</v>
      </c>
      <c r="X1526" s="2">
        <f>MATCH(Auto_Sales_data___Copy[[#This Row],[Total_Orders_Per_Customer]],Table2[F-Cutoff],1)</f>
        <v>3</v>
      </c>
      <c r="Y1526" s="2">
        <f>MATCH(Auto_Sales_data___Copy[[#This Row],[Total_Sales_Per_Customer]],Table2[M-Cutoff],1)</f>
        <v>2</v>
      </c>
      <c r="Z1526" s="2" t="str">
        <f>Auto_Sales_data___Copy[[#This Row],[R-Score(1-5)]]&amp;Auto_Sales_data___Copy[[#This Row],[F-Score(1-5)]]&amp;Auto_Sales_data___Copy[[#This Row],[M-Score(1-5)]]</f>
        <v>332</v>
      </c>
      <c r="AA1526" s="2" t="str" cm="1">
        <f t="array" ref="AA15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6" s="2" t="str">
        <f>VLOOKUP(Auto_Sales_data___Copy[[#This Row],[Segment Name]],Table3[],2,FALSE)</f>
        <v>Re-Activation &amp; Re-Engagement</v>
      </c>
    </row>
    <row r="1527" spans="1:28" x14ac:dyDescent="0.25">
      <c r="A1527">
        <v>10273</v>
      </c>
      <c r="B1527">
        <v>22</v>
      </c>
      <c r="C1527">
        <v>126.58</v>
      </c>
      <c r="D1527">
        <v>11</v>
      </c>
      <c r="E1527">
        <v>2784.76</v>
      </c>
      <c r="F1527" s="1">
        <v>43667</v>
      </c>
      <c r="G1527" s="2" t="s">
        <v>19</v>
      </c>
      <c r="H1527" s="2" t="s">
        <v>642</v>
      </c>
      <c r="I1527">
        <v>122</v>
      </c>
      <c r="J1527" s="2" t="s">
        <v>672</v>
      </c>
      <c r="K1527" s="2" t="s">
        <v>384</v>
      </c>
      <c r="L1527" s="2" t="s">
        <v>385</v>
      </c>
      <c r="M1527" s="2" t="s">
        <v>386</v>
      </c>
      <c r="N1527" s="2" t="s">
        <v>387</v>
      </c>
      <c r="O1527" s="2" t="s">
        <v>388</v>
      </c>
      <c r="P1527" s="2" t="s">
        <v>389</v>
      </c>
      <c r="Q1527" s="2" t="s">
        <v>390</v>
      </c>
      <c r="R1527" s="2" t="s">
        <v>391</v>
      </c>
      <c r="S1527" s="2" t="s">
        <v>30</v>
      </c>
      <c r="T1527">
        <v>1865</v>
      </c>
      <c r="U1527">
        <f>VLOOKUP(Auto_Sales_data___Copy[[#This Row],[CUSTOMER_NAME]],$AF$2:$AH$90,2,FALSE)</f>
        <v>25</v>
      </c>
      <c r="V1527">
        <f>VLOOKUP(Auto_Sales_data___Copy[[#This Row],[CUSTOMER_NAME]],$AF$2:$AH$90,3,FALSE)</f>
        <v>74972.52</v>
      </c>
      <c r="W1527" s="2">
        <f>6-MATCH(Auto_Sales_data___Copy[[#This Row],[DAYS_SINCE_LAST_ORDER]],Table2[R-Cutoff],1)</f>
        <v>3</v>
      </c>
      <c r="X1527" s="2">
        <f>MATCH(Auto_Sales_data___Copy[[#This Row],[Total_Orders_Per_Customer]],Table2[F-Cutoff],1)</f>
        <v>3</v>
      </c>
      <c r="Y1527" s="2">
        <f>MATCH(Auto_Sales_data___Copy[[#This Row],[Total_Sales_Per_Customer]],Table2[M-Cutoff],1)</f>
        <v>2</v>
      </c>
      <c r="Z1527" s="2" t="str">
        <f>Auto_Sales_data___Copy[[#This Row],[R-Score(1-5)]]&amp;Auto_Sales_data___Copy[[#This Row],[F-Score(1-5)]]&amp;Auto_Sales_data___Copy[[#This Row],[M-Score(1-5)]]</f>
        <v>332</v>
      </c>
      <c r="AA1527" s="2" t="str" cm="1">
        <f t="array" ref="AA15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7" s="2" t="str">
        <f>VLOOKUP(Auto_Sales_data___Copy[[#This Row],[Segment Name]],Table3[],2,FALSE)</f>
        <v>Re-Activation &amp; Re-Engagement</v>
      </c>
    </row>
    <row r="1528" spans="1:28" x14ac:dyDescent="0.25">
      <c r="A1528">
        <v>10283</v>
      </c>
      <c r="B1528">
        <v>34</v>
      </c>
      <c r="C1528">
        <v>105.32</v>
      </c>
      <c r="D1528">
        <v>14</v>
      </c>
      <c r="E1528">
        <v>3580.88</v>
      </c>
      <c r="F1528" s="1">
        <v>43697</v>
      </c>
      <c r="G1528" s="2" t="s">
        <v>19</v>
      </c>
      <c r="H1528" s="2" t="s">
        <v>589</v>
      </c>
      <c r="I1528">
        <v>87</v>
      </c>
      <c r="J1528" s="2" t="s">
        <v>660</v>
      </c>
      <c r="K1528" s="2" t="s">
        <v>392</v>
      </c>
      <c r="L1528" s="2" t="s">
        <v>393</v>
      </c>
      <c r="M1528" s="2" t="s">
        <v>394</v>
      </c>
      <c r="N1528" s="2" t="s">
        <v>395</v>
      </c>
      <c r="O1528" s="2" t="s">
        <v>396</v>
      </c>
      <c r="P1528" s="2" t="s">
        <v>236</v>
      </c>
      <c r="Q1528" s="2" t="s">
        <v>397</v>
      </c>
      <c r="R1528" s="2" t="s">
        <v>173</v>
      </c>
      <c r="S1528" s="2" t="s">
        <v>46</v>
      </c>
      <c r="T1528">
        <v>1541</v>
      </c>
      <c r="U1528">
        <f>VLOOKUP(Auto_Sales_data___Copy[[#This Row],[CUSTOMER_NAME]],$AF$2:$AH$90,2,FALSE)</f>
        <v>26</v>
      </c>
      <c r="V1528">
        <f>VLOOKUP(Auto_Sales_data___Copy[[#This Row],[CUSTOMER_NAME]],$AF$2:$AH$90,3,FALSE)</f>
        <v>74634.850000000006</v>
      </c>
      <c r="W1528" s="2">
        <f>6-MATCH(Auto_Sales_data___Copy[[#This Row],[DAYS_SINCE_LAST_ORDER]],Table2[R-Cutoff],1)</f>
        <v>3</v>
      </c>
      <c r="X1528" s="2">
        <f>MATCH(Auto_Sales_data___Copy[[#This Row],[Total_Orders_Per_Customer]],Table2[F-Cutoff],1)</f>
        <v>3</v>
      </c>
      <c r="Y1528" s="2">
        <f>MATCH(Auto_Sales_data___Copy[[#This Row],[Total_Sales_Per_Customer]],Table2[M-Cutoff],1)</f>
        <v>2</v>
      </c>
      <c r="Z1528" s="2" t="str">
        <f>Auto_Sales_data___Copy[[#This Row],[R-Score(1-5)]]&amp;Auto_Sales_data___Copy[[#This Row],[F-Score(1-5)]]&amp;Auto_Sales_data___Copy[[#This Row],[M-Score(1-5)]]</f>
        <v>332</v>
      </c>
      <c r="AA1528" s="2" t="str" cm="1">
        <f t="array" ref="AA15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8" s="2" t="str">
        <f>VLOOKUP(Auto_Sales_data___Copy[[#This Row],[Segment Name]],Table3[],2,FALSE)</f>
        <v>Re-Activation &amp; Re-Engagement</v>
      </c>
    </row>
    <row r="1529" spans="1:28" x14ac:dyDescent="0.25">
      <c r="A1529">
        <v>10283</v>
      </c>
      <c r="B1529">
        <v>42</v>
      </c>
      <c r="C1529">
        <v>126.58</v>
      </c>
      <c r="D1529">
        <v>13</v>
      </c>
      <c r="E1529">
        <v>5316.36</v>
      </c>
      <c r="F1529" s="1">
        <v>43697</v>
      </c>
      <c r="G1529" s="2" t="s">
        <v>19</v>
      </c>
      <c r="H1529" s="2" t="s">
        <v>642</v>
      </c>
      <c r="I1529">
        <v>122</v>
      </c>
      <c r="J1529" s="2" t="s">
        <v>672</v>
      </c>
      <c r="K1529" s="2" t="s">
        <v>392</v>
      </c>
      <c r="L1529" s="2" t="s">
        <v>393</v>
      </c>
      <c r="M1529" s="2" t="s">
        <v>394</v>
      </c>
      <c r="N1529" s="2" t="s">
        <v>395</v>
      </c>
      <c r="O1529" s="2" t="s">
        <v>396</v>
      </c>
      <c r="P1529" s="2" t="s">
        <v>236</v>
      </c>
      <c r="Q1529" s="2" t="s">
        <v>397</v>
      </c>
      <c r="R1529" s="2" t="s">
        <v>173</v>
      </c>
      <c r="S1529" s="2" t="s">
        <v>46</v>
      </c>
      <c r="T1529">
        <v>1836</v>
      </c>
      <c r="U1529">
        <f>VLOOKUP(Auto_Sales_data___Copy[[#This Row],[CUSTOMER_NAME]],$AF$2:$AH$90,2,FALSE)</f>
        <v>26</v>
      </c>
      <c r="V1529">
        <f>VLOOKUP(Auto_Sales_data___Copy[[#This Row],[CUSTOMER_NAME]],$AF$2:$AH$90,3,FALSE)</f>
        <v>74634.850000000006</v>
      </c>
      <c r="W1529" s="2">
        <f>6-MATCH(Auto_Sales_data___Copy[[#This Row],[DAYS_SINCE_LAST_ORDER]],Table2[R-Cutoff],1)</f>
        <v>3</v>
      </c>
      <c r="X1529" s="2">
        <f>MATCH(Auto_Sales_data___Copy[[#This Row],[Total_Orders_Per_Customer]],Table2[F-Cutoff],1)</f>
        <v>3</v>
      </c>
      <c r="Y1529" s="2">
        <f>MATCH(Auto_Sales_data___Copy[[#This Row],[Total_Sales_Per_Customer]],Table2[M-Cutoff],1)</f>
        <v>2</v>
      </c>
      <c r="Z1529" s="2" t="str">
        <f>Auto_Sales_data___Copy[[#This Row],[R-Score(1-5)]]&amp;Auto_Sales_data___Copy[[#This Row],[F-Score(1-5)]]&amp;Auto_Sales_data___Copy[[#This Row],[M-Score(1-5)]]</f>
        <v>332</v>
      </c>
      <c r="AA1529" s="2" t="str" cm="1">
        <f t="array" ref="AA15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9" s="2" t="str">
        <f>VLOOKUP(Auto_Sales_data___Copy[[#This Row],[Segment Name]],Table3[],2,FALSE)</f>
        <v>Re-Activation &amp; Re-Engagement</v>
      </c>
    </row>
    <row r="1530" spans="1:28" x14ac:dyDescent="0.25">
      <c r="A1530">
        <v>10284</v>
      </c>
      <c r="B1530">
        <v>22</v>
      </c>
      <c r="C1530">
        <v>105.04</v>
      </c>
      <c r="D1530">
        <v>3</v>
      </c>
      <c r="E1530">
        <v>2310.88</v>
      </c>
      <c r="F1530" s="1">
        <v>43698</v>
      </c>
      <c r="G1530" s="2" t="s">
        <v>19</v>
      </c>
      <c r="H1530" s="2" t="s">
        <v>607</v>
      </c>
      <c r="I1530">
        <v>109</v>
      </c>
      <c r="J1530" s="2" t="s">
        <v>669</v>
      </c>
      <c r="K1530" s="2" t="s">
        <v>582</v>
      </c>
      <c r="L1530" s="2" t="s">
        <v>583</v>
      </c>
      <c r="M1530" s="2" t="s">
        <v>584</v>
      </c>
      <c r="N1530" s="2" t="s">
        <v>585</v>
      </c>
      <c r="O1530" s="2" t="s">
        <v>586</v>
      </c>
      <c r="P1530" s="2" t="s">
        <v>73</v>
      </c>
      <c r="Q1530" s="2" t="s">
        <v>587</v>
      </c>
      <c r="R1530" s="2" t="s">
        <v>588</v>
      </c>
      <c r="S1530" s="2" t="s">
        <v>30</v>
      </c>
      <c r="T1530">
        <v>1759</v>
      </c>
      <c r="U1530">
        <f>VLOOKUP(Auto_Sales_data___Copy[[#This Row],[CUSTOMER_NAME]],$AF$2:$AH$90,2,FALSE)</f>
        <v>24</v>
      </c>
      <c r="V1530">
        <f>VLOOKUP(Auto_Sales_data___Copy[[#This Row],[CUSTOMER_NAME]],$AF$2:$AH$90,3,FALSE)</f>
        <v>79224.23</v>
      </c>
      <c r="W1530" s="2">
        <f>6-MATCH(Auto_Sales_data___Copy[[#This Row],[DAYS_SINCE_LAST_ORDER]],Table2[R-Cutoff],1)</f>
        <v>3</v>
      </c>
      <c r="X1530" s="2">
        <f>MATCH(Auto_Sales_data___Copy[[#This Row],[Total_Orders_Per_Customer]],Table2[F-Cutoff],1)</f>
        <v>3</v>
      </c>
      <c r="Y1530" s="2">
        <f>MATCH(Auto_Sales_data___Copy[[#This Row],[Total_Sales_Per_Customer]],Table2[M-Cutoff],1)</f>
        <v>2</v>
      </c>
      <c r="Z1530" s="2" t="str">
        <f>Auto_Sales_data___Copy[[#This Row],[R-Score(1-5)]]&amp;Auto_Sales_data___Copy[[#This Row],[F-Score(1-5)]]&amp;Auto_Sales_data___Copy[[#This Row],[M-Score(1-5)]]</f>
        <v>332</v>
      </c>
      <c r="AA1530" s="2" t="str" cm="1">
        <f t="array" ref="AA15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0" s="2" t="str">
        <f>VLOOKUP(Auto_Sales_data___Copy[[#This Row],[Segment Name]],Table3[],2,FALSE)</f>
        <v>Re-Activation &amp; Re-Engagement</v>
      </c>
    </row>
    <row r="1531" spans="1:28" x14ac:dyDescent="0.25">
      <c r="A1531">
        <v>10284</v>
      </c>
      <c r="B1531">
        <v>30</v>
      </c>
      <c r="C1531">
        <v>73.989999999999995</v>
      </c>
      <c r="D1531">
        <v>12</v>
      </c>
      <c r="E1531">
        <v>2219.6999999999998</v>
      </c>
      <c r="F1531" s="1">
        <v>43698</v>
      </c>
      <c r="G1531" s="2" t="s">
        <v>19</v>
      </c>
      <c r="H1531" s="2" t="s">
        <v>607</v>
      </c>
      <c r="I1531">
        <v>68</v>
      </c>
      <c r="J1531" s="2" t="s">
        <v>678</v>
      </c>
      <c r="K1531" s="2" t="s">
        <v>582</v>
      </c>
      <c r="L1531" s="2" t="s">
        <v>583</v>
      </c>
      <c r="M1531" s="2" t="s">
        <v>584</v>
      </c>
      <c r="N1531" s="2" t="s">
        <v>585</v>
      </c>
      <c r="O1531" s="2" t="s">
        <v>586</v>
      </c>
      <c r="P1531" s="2" t="s">
        <v>73</v>
      </c>
      <c r="Q1531" s="2" t="s">
        <v>587</v>
      </c>
      <c r="R1531" s="2" t="s">
        <v>588</v>
      </c>
      <c r="S1531" s="2" t="s">
        <v>30</v>
      </c>
      <c r="T1531">
        <v>1984</v>
      </c>
      <c r="U1531">
        <f>VLOOKUP(Auto_Sales_data___Copy[[#This Row],[CUSTOMER_NAME]],$AF$2:$AH$90,2,FALSE)</f>
        <v>24</v>
      </c>
      <c r="V1531">
        <f>VLOOKUP(Auto_Sales_data___Copy[[#This Row],[CUSTOMER_NAME]],$AF$2:$AH$90,3,FALSE)</f>
        <v>79224.23</v>
      </c>
      <c r="W1531" s="2">
        <f>6-MATCH(Auto_Sales_data___Copy[[#This Row],[DAYS_SINCE_LAST_ORDER]],Table2[R-Cutoff],1)</f>
        <v>3</v>
      </c>
      <c r="X1531" s="2">
        <f>MATCH(Auto_Sales_data___Copy[[#This Row],[Total_Orders_Per_Customer]],Table2[F-Cutoff],1)</f>
        <v>3</v>
      </c>
      <c r="Y1531" s="2">
        <f>MATCH(Auto_Sales_data___Copy[[#This Row],[Total_Sales_Per_Customer]],Table2[M-Cutoff],1)</f>
        <v>2</v>
      </c>
      <c r="Z1531" s="2" t="str">
        <f>Auto_Sales_data___Copy[[#This Row],[R-Score(1-5)]]&amp;Auto_Sales_data___Copy[[#This Row],[F-Score(1-5)]]&amp;Auto_Sales_data___Copy[[#This Row],[M-Score(1-5)]]</f>
        <v>332</v>
      </c>
      <c r="AA1531" s="2" t="str" cm="1">
        <f t="array" ref="AA15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1" s="2" t="str">
        <f>VLOOKUP(Auto_Sales_data___Copy[[#This Row],[Segment Name]],Table3[],2,FALSE)</f>
        <v>Re-Activation &amp; Re-Engagement</v>
      </c>
    </row>
    <row r="1532" spans="1:28" x14ac:dyDescent="0.25">
      <c r="A1532">
        <v>10316</v>
      </c>
      <c r="B1532">
        <v>25</v>
      </c>
      <c r="C1532">
        <v>114.89</v>
      </c>
      <c r="D1532">
        <v>1</v>
      </c>
      <c r="E1532">
        <v>2872.25</v>
      </c>
      <c r="F1532" s="1">
        <v>43770</v>
      </c>
      <c r="G1532" s="2" t="s">
        <v>19</v>
      </c>
      <c r="H1532" s="2" t="s">
        <v>607</v>
      </c>
      <c r="I1532">
        <v>109</v>
      </c>
      <c r="J1532" s="2" t="s">
        <v>669</v>
      </c>
      <c r="K1532" s="2" t="s">
        <v>404</v>
      </c>
      <c r="L1532" s="2" t="s">
        <v>405</v>
      </c>
      <c r="M1532" s="2" t="s">
        <v>406</v>
      </c>
      <c r="N1532" s="2" t="s">
        <v>407</v>
      </c>
      <c r="O1532" s="2" t="s">
        <v>408</v>
      </c>
      <c r="P1532" s="2" t="s">
        <v>171</v>
      </c>
      <c r="Q1532" s="2" t="s">
        <v>409</v>
      </c>
      <c r="R1532" s="2" t="s">
        <v>410</v>
      </c>
      <c r="S1532" s="2" t="s">
        <v>30</v>
      </c>
      <c r="T1532">
        <v>1690</v>
      </c>
      <c r="U1532">
        <f>VLOOKUP(Auto_Sales_data___Copy[[#This Row],[CUSTOMER_NAME]],$AF$2:$AH$90,2,FALSE)</f>
        <v>26</v>
      </c>
      <c r="V1532">
        <f>VLOOKUP(Auto_Sales_data___Copy[[#This Row],[CUSTOMER_NAME]],$AF$2:$AH$90,3,FALSE)</f>
        <v>78240.84</v>
      </c>
      <c r="W1532" s="2">
        <f>6-MATCH(Auto_Sales_data___Copy[[#This Row],[DAYS_SINCE_LAST_ORDER]],Table2[R-Cutoff],1)</f>
        <v>3</v>
      </c>
      <c r="X1532" s="2">
        <f>MATCH(Auto_Sales_data___Copy[[#This Row],[Total_Orders_Per_Customer]],Table2[F-Cutoff],1)</f>
        <v>3</v>
      </c>
      <c r="Y1532" s="2">
        <f>MATCH(Auto_Sales_data___Copy[[#This Row],[Total_Sales_Per_Customer]],Table2[M-Cutoff],1)</f>
        <v>2</v>
      </c>
      <c r="Z1532" s="2" t="str">
        <f>Auto_Sales_data___Copy[[#This Row],[R-Score(1-5)]]&amp;Auto_Sales_data___Copy[[#This Row],[F-Score(1-5)]]&amp;Auto_Sales_data___Copy[[#This Row],[M-Score(1-5)]]</f>
        <v>332</v>
      </c>
      <c r="AA1532" s="2" t="str" cm="1">
        <f t="array" ref="AA15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2" s="2" t="str">
        <f>VLOOKUP(Auto_Sales_data___Copy[[#This Row],[Segment Name]],Table3[],2,FALSE)</f>
        <v>Re-Activation &amp; Re-Engagement</v>
      </c>
    </row>
    <row r="1533" spans="1:28" x14ac:dyDescent="0.25">
      <c r="A1533">
        <v>10316</v>
      </c>
      <c r="B1533">
        <v>34</v>
      </c>
      <c r="C1533">
        <v>63.71</v>
      </c>
      <c r="D1533">
        <v>10</v>
      </c>
      <c r="E1533">
        <v>2166.14</v>
      </c>
      <c r="F1533" s="1">
        <v>43770</v>
      </c>
      <c r="G1533" s="2" t="s">
        <v>19</v>
      </c>
      <c r="H1533" s="2" t="s">
        <v>607</v>
      </c>
      <c r="I1533">
        <v>68</v>
      </c>
      <c r="J1533" s="2" t="s">
        <v>678</v>
      </c>
      <c r="K1533" s="2" t="s">
        <v>404</v>
      </c>
      <c r="L1533" s="2" t="s">
        <v>405</v>
      </c>
      <c r="M1533" s="2" t="s">
        <v>406</v>
      </c>
      <c r="N1533" s="2" t="s">
        <v>407</v>
      </c>
      <c r="O1533" s="2" t="s">
        <v>408</v>
      </c>
      <c r="P1533" s="2" t="s">
        <v>171</v>
      </c>
      <c r="Q1533" s="2" t="s">
        <v>409</v>
      </c>
      <c r="R1533" s="2" t="s">
        <v>410</v>
      </c>
      <c r="S1533" s="2" t="s">
        <v>30</v>
      </c>
      <c r="T1533">
        <v>1915</v>
      </c>
      <c r="U1533">
        <f>VLOOKUP(Auto_Sales_data___Copy[[#This Row],[CUSTOMER_NAME]],$AF$2:$AH$90,2,FALSE)</f>
        <v>26</v>
      </c>
      <c r="V1533">
        <f>VLOOKUP(Auto_Sales_data___Copy[[#This Row],[CUSTOMER_NAME]],$AF$2:$AH$90,3,FALSE)</f>
        <v>78240.84</v>
      </c>
      <c r="W1533" s="2">
        <f>6-MATCH(Auto_Sales_data___Copy[[#This Row],[DAYS_SINCE_LAST_ORDER]],Table2[R-Cutoff],1)</f>
        <v>3</v>
      </c>
      <c r="X1533" s="2">
        <f>MATCH(Auto_Sales_data___Copy[[#This Row],[Total_Orders_Per_Customer]],Table2[F-Cutoff],1)</f>
        <v>3</v>
      </c>
      <c r="Y1533" s="2">
        <f>MATCH(Auto_Sales_data___Copy[[#This Row],[Total_Sales_Per_Customer]],Table2[M-Cutoff],1)</f>
        <v>2</v>
      </c>
      <c r="Z1533" s="2" t="str">
        <f>Auto_Sales_data___Copy[[#This Row],[R-Score(1-5)]]&amp;Auto_Sales_data___Copy[[#This Row],[F-Score(1-5)]]&amp;Auto_Sales_data___Copy[[#This Row],[M-Score(1-5)]]</f>
        <v>332</v>
      </c>
      <c r="AA1533" s="2" t="str" cm="1">
        <f t="array" ref="AA15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3" s="2" t="str">
        <f>VLOOKUP(Auto_Sales_data___Copy[[#This Row],[Segment Name]],Table3[],2,FALSE)</f>
        <v>Re-Activation &amp; Re-Engagement</v>
      </c>
    </row>
    <row r="1534" spans="1:28" x14ac:dyDescent="0.25">
      <c r="A1534">
        <v>10344</v>
      </c>
      <c r="B1534">
        <v>26</v>
      </c>
      <c r="C1534">
        <v>63.43</v>
      </c>
      <c r="D1534">
        <v>5</v>
      </c>
      <c r="E1534">
        <v>1649.18</v>
      </c>
      <c r="F1534" s="1">
        <v>43794</v>
      </c>
      <c r="G1534" s="2" t="s">
        <v>19</v>
      </c>
      <c r="H1534" s="2" t="s">
        <v>183</v>
      </c>
      <c r="I1534">
        <v>71</v>
      </c>
      <c r="J1534" s="2" t="s">
        <v>664</v>
      </c>
      <c r="K1534" s="2" t="s">
        <v>458</v>
      </c>
      <c r="L1534" s="2" t="s">
        <v>459</v>
      </c>
      <c r="M1534" s="2" t="s">
        <v>460</v>
      </c>
      <c r="N1534" s="2" t="s">
        <v>461</v>
      </c>
      <c r="O1534" s="2" t="s">
        <v>462</v>
      </c>
      <c r="P1534" s="2" t="s">
        <v>36</v>
      </c>
      <c r="Q1534" s="2" t="s">
        <v>463</v>
      </c>
      <c r="R1534" s="2" t="s">
        <v>464</v>
      </c>
      <c r="S1534" s="2" t="s">
        <v>30</v>
      </c>
      <c r="T1534">
        <v>1548</v>
      </c>
      <c r="U1534">
        <f>VLOOKUP(Auto_Sales_data___Copy[[#This Row],[CUSTOMER_NAME]],$AF$2:$AH$90,2,FALSE)</f>
        <v>25</v>
      </c>
      <c r="V1534">
        <f>VLOOKUP(Auto_Sales_data___Copy[[#This Row],[CUSTOMER_NAME]],$AF$2:$AH$90,3,FALSE)</f>
        <v>74936.14</v>
      </c>
      <c r="W1534" s="2">
        <f>6-MATCH(Auto_Sales_data___Copy[[#This Row],[DAYS_SINCE_LAST_ORDER]],Table2[R-Cutoff],1)</f>
        <v>3</v>
      </c>
      <c r="X1534" s="2">
        <f>MATCH(Auto_Sales_data___Copy[[#This Row],[Total_Orders_Per_Customer]],Table2[F-Cutoff],1)</f>
        <v>3</v>
      </c>
      <c r="Y1534" s="2">
        <f>MATCH(Auto_Sales_data___Copy[[#This Row],[Total_Sales_Per_Customer]],Table2[M-Cutoff],1)</f>
        <v>2</v>
      </c>
      <c r="Z1534" s="2" t="str">
        <f>Auto_Sales_data___Copy[[#This Row],[R-Score(1-5)]]&amp;Auto_Sales_data___Copy[[#This Row],[F-Score(1-5)]]&amp;Auto_Sales_data___Copy[[#This Row],[M-Score(1-5)]]</f>
        <v>332</v>
      </c>
      <c r="AA1534" s="2" t="str" cm="1">
        <f t="array" ref="AA15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4" s="2" t="str">
        <f>VLOOKUP(Auto_Sales_data___Copy[[#This Row],[Segment Name]],Table3[],2,FALSE)</f>
        <v>Re-Activation &amp; Re-Engagement</v>
      </c>
    </row>
    <row r="1535" spans="1:28" x14ac:dyDescent="0.25">
      <c r="A1535">
        <v>10344</v>
      </c>
      <c r="B1535">
        <v>29</v>
      </c>
      <c r="C1535">
        <v>59.53</v>
      </c>
      <c r="D1535">
        <v>7</v>
      </c>
      <c r="E1535">
        <v>1726.37</v>
      </c>
      <c r="F1535" s="1">
        <v>43794</v>
      </c>
      <c r="G1535" s="2" t="s">
        <v>19</v>
      </c>
      <c r="H1535" s="2" t="s">
        <v>183</v>
      </c>
      <c r="I1535">
        <v>73</v>
      </c>
      <c r="J1535" s="2" t="s">
        <v>665</v>
      </c>
      <c r="K1535" s="2" t="s">
        <v>458</v>
      </c>
      <c r="L1535" s="2" t="s">
        <v>459</v>
      </c>
      <c r="M1535" s="2" t="s">
        <v>460</v>
      </c>
      <c r="N1535" s="2" t="s">
        <v>461</v>
      </c>
      <c r="O1535" s="2" t="s">
        <v>462</v>
      </c>
      <c r="P1535" s="2" t="s">
        <v>36</v>
      </c>
      <c r="Q1535" s="2" t="s">
        <v>463</v>
      </c>
      <c r="R1535" s="2" t="s">
        <v>464</v>
      </c>
      <c r="S1535" s="2" t="s">
        <v>30</v>
      </c>
      <c r="T1535">
        <v>1571</v>
      </c>
      <c r="U1535">
        <f>VLOOKUP(Auto_Sales_data___Copy[[#This Row],[CUSTOMER_NAME]],$AF$2:$AH$90,2,FALSE)</f>
        <v>25</v>
      </c>
      <c r="V1535">
        <f>VLOOKUP(Auto_Sales_data___Copy[[#This Row],[CUSTOMER_NAME]],$AF$2:$AH$90,3,FALSE)</f>
        <v>74936.14</v>
      </c>
      <c r="W1535" s="2">
        <f>6-MATCH(Auto_Sales_data___Copy[[#This Row],[DAYS_SINCE_LAST_ORDER]],Table2[R-Cutoff],1)</f>
        <v>3</v>
      </c>
      <c r="X1535" s="2">
        <f>MATCH(Auto_Sales_data___Copy[[#This Row],[Total_Orders_Per_Customer]],Table2[F-Cutoff],1)</f>
        <v>3</v>
      </c>
      <c r="Y1535" s="2">
        <f>MATCH(Auto_Sales_data___Copy[[#This Row],[Total_Sales_Per_Customer]],Table2[M-Cutoff],1)</f>
        <v>2</v>
      </c>
      <c r="Z1535" s="2" t="str">
        <f>Auto_Sales_data___Copy[[#This Row],[R-Score(1-5)]]&amp;Auto_Sales_data___Copy[[#This Row],[F-Score(1-5)]]&amp;Auto_Sales_data___Copy[[#This Row],[M-Score(1-5)]]</f>
        <v>332</v>
      </c>
      <c r="AA1535" s="2" t="str" cm="1">
        <f t="array" ref="AA15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5" s="2" t="str">
        <f>VLOOKUP(Auto_Sales_data___Copy[[#This Row],[Segment Name]],Table3[],2,FALSE)</f>
        <v>Re-Activation &amp; Re-Engagement</v>
      </c>
    </row>
    <row r="1536" spans="1:28" x14ac:dyDescent="0.25">
      <c r="A1536">
        <v>10344</v>
      </c>
      <c r="B1536">
        <v>20</v>
      </c>
      <c r="C1536">
        <v>35.18</v>
      </c>
      <c r="D1536">
        <v>6</v>
      </c>
      <c r="E1536">
        <v>703.6</v>
      </c>
      <c r="F1536" s="1">
        <v>43794</v>
      </c>
      <c r="G1536" s="2" t="s">
        <v>19</v>
      </c>
      <c r="H1536" s="2" t="s">
        <v>589</v>
      </c>
      <c r="I1536">
        <v>33</v>
      </c>
      <c r="J1536" s="2" t="s">
        <v>670</v>
      </c>
      <c r="K1536" s="2" t="s">
        <v>458</v>
      </c>
      <c r="L1536" s="2" t="s">
        <v>459</v>
      </c>
      <c r="M1536" s="2" t="s">
        <v>460</v>
      </c>
      <c r="N1536" s="2" t="s">
        <v>461</v>
      </c>
      <c r="O1536" s="2" t="s">
        <v>462</v>
      </c>
      <c r="P1536" s="2" t="s">
        <v>36</v>
      </c>
      <c r="Q1536" s="2" t="s">
        <v>463</v>
      </c>
      <c r="R1536" s="2" t="s">
        <v>464</v>
      </c>
      <c r="S1536" s="2" t="s">
        <v>30</v>
      </c>
      <c r="T1536">
        <v>1692</v>
      </c>
      <c r="U1536">
        <f>VLOOKUP(Auto_Sales_data___Copy[[#This Row],[CUSTOMER_NAME]],$AF$2:$AH$90,2,FALSE)</f>
        <v>25</v>
      </c>
      <c r="V1536">
        <f>VLOOKUP(Auto_Sales_data___Copy[[#This Row],[CUSTOMER_NAME]],$AF$2:$AH$90,3,FALSE)</f>
        <v>74936.14</v>
      </c>
      <c r="W1536" s="2">
        <f>6-MATCH(Auto_Sales_data___Copy[[#This Row],[DAYS_SINCE_LAST_ORDER]],Table2[R-Cutoff],1)</f>
        <v>3</v>
      </c>
      <c r="X1536" s="2">
        <f>MATCH(Auto_Sales_data___Copy[[#This Row],[Total_Orders_Per_Customer]],Table2[F-Cutoff],1)</f>
        <v>3</v>
      </c>
      <c r="Y1536" s="2">
        <f>MATCH(Auto_Sales_data___Copy[[#This Row],[Total_Sales_Per_Customer]],Table2[M-Cutoff],1)</f>
        <v>2</v>
      </c>
      <c r="Z1536" s="2" t="str">
        <f>Auto_Sales_data___Copy[[#This Row],[R-Score(1-5)]]&amp;Auto_Sales_data___Copy[[#This Row],[F-Score(1-5)]]&amp;Auto_Sales_data___Copy[[#This Row],[M-Score(1-5)]]</f>
        <v>332</v>
      </c>
      <c r="AA1536" s="2" t="str" cm="1">
        <f t="array" ref="AA15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6" s="2" t="str">
        <f>VLOOKUP(Auto_Sales_data___Copy[[#This Row],[Segment Name]],Table3[],2,FALSE)</f>
        <v>Re-Activation &amp; Re-Engagement</v>
      </c>
    </row>
    <row r="1537" spans="1:28" x14ac:dyDescent="0.25">
      <c r="A1537">
        <v>10101</v>
      </c>
      <c r="B1537">
        <v>25</v>
      </c>
      <c r="C1537">
        <v>151.28</v>
      </c>
      <c r="D1537">
        <v>4</v>
      </c>
      <c r="E1537">
        <v>3782</v>
      </c>
      <c r="F1537" s="1">
        <v>43109</v>
      </c>
      <c r="G1537" s="2" t="s">
        <v>19</v>
      </c>
      <c r="H1537" s="2" t="s">
        <v>589</v>
      </c>
      <c r="I1537">
        <v>127</v>
      </c>
      <c r="J1537" s="2" t="s">
        <v>634</v>
      </c>
      <c r="K1537" s="2" t="s">
        <v>492</v>
      </c>
      <c r="L1537" s="2" t="s">
        <v>493</v>
      </c>
      <c r="M1537" s="2" t="s">
        <v>494</v>
      </c>
      <c r="N1537" s="2" t="s">
        <v>495</v>
      </c>
      <c r="O1537" s="2" t="s">
        <v>496</v>
      </c>
      <c r="P1537" s="2" t="s">
        <v>470</v>
      </c>
      <c r="Q1537" s="2" t="s">
        <v>497</v>
      </c>
      <c r="R1537" s="2" t="s">
        <v>438</v>
      </c>
      <c r="S1537" s="2" t="s">
        <v>46</v>
      </c>
      <c r="T1537">
        <v>1573</v>
      </c>
      <c r="U1537">
        <f>VLOOKUP(Auto_Sales_data___Copy[[#This Row],[CUSTOMER_NAME]],$AF$2:$AH$90,2,FALSE)</f>
        <v>22</v>
      </c>
      <c r="V1537">
        <f>VLOOKUP(Auto_Sales_data___Copy[[#This Row],[CUSTOMER_NAME]],$AF$2:$AH$90,3,FALSE)</f>
        <v>85171.59</v>
      </c>
      <c r="W1537" s="2">
        <f>6-MATCH(Auto_Sales_data___Copy[[#This Row],[DAYS_SINCE_LAST_ORDER]],Table2[R-Cutoff],1)</f>
        <v>3</v>
      </c>
      <c r="X1537" s="2">
        <f>MATCH(Auto_Sales_data___Copy[[#This Row],[Total_Orders_Per_Customer]],Table2[F-Cutoff],1)</f>
        <v>2</v>
      </c>
      <c r="Y1537" s="2">
        <f>MATCH(Auto_Sales_data___Copy[[#This Row],[Total_Sales_Per_Customer]],Table2[M-Cutoff],1)</f>
        <v>3</v>
      </c>
      <c r="Z1537" s="2" t="str">
        <f>Auto_Sales_data___Copy[[#This Row],[R-Score(1-5)]]&amp;Auto_Sales_data___Copy[[#This Row],[F-Score(1-5)]]&amp;Auto_Sales_data___Copy[[#This Row],[M-Score(1-5)]]</f>
        <v>323</v>
      </c>
      <c r="AA1537" s="2" t="str" cm="1">
        <f t="array" ref="AA15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37" s="2" t="str">
        <f>VLOOKUP(Auto_Sales_data___Copy[[#This Row],[Segment Name]],Table3[],2,FALSE)</f>
        <v>Brand Awareness &amp; Value Proposition</v>
      </c>
    </row>
    <row r="1538" spans="1:28" x14ac:dyDescent="0.25">
      <c r="A1538">
        <v>10101</v>
      </c>
      <c r="B1538">
        <v>26</v>
      </c>
      <c r="C1538">
        <v>145.13</v>
      </c>
      <c r="D1538">
        <v>1</v>
      </c>
      <c r="E1538">
        <v>3773.38</v>
      </c>
      <c r="F1538" s="1">
        <v>43109</v>
      </c>
      <c r="G1538" s="2" t="s">
        <v>19</v>
      </c>
      <c r="H1538" s="2" t="s">
        <v>589</v>
      </c>
      <c r="I1538">
        <v>168</v>
      </c>
      <c r="J1538" s="2" t="s">
        <v>638</v>
      </c>
      <c r="K1538" s="2" t="s">
        <v>492</v>
      </c>
      <c r="L1538" s="2" t="s">
        <v>493</v>
      </c>
      <c r="M1538" s="2" t="s">
        <v>494</v>
      </c>
      <c r="N1538" s="2" t="s">
        <v>495</v>
      </c>
      <c r="O1538" s="2" t="s">
        <v>496</v>
      </c>
      <c r="P1538" s="2" t="s">
        <v>470</v>
      </c>
      <c r="Q1538" s="2" t="s">
        <v>497</v>
      </c>
      <c r="R1538" s="2" t="s">
        <v>438</v>
      </c>
      <c r="S1538" s="2" t="s">
        <v>46</v>
      </c>
      <c r="T1538">
        <v>1671</v>
      </c>
      <c r="U1538">
        <f>VLOOKUP(Auto_Sales_data___Copy[[#This Row],[CUSTOMER_NAME]],$AF$2:$AH$90,2,FALSE)</f>
        <v>22</v>
      </c>
      <c r="V1538">
        <f>VLOOKUP(Auto_Sales_data___Copy[[#This Row],[CUSTOMER_NAME]],$AF$2:$AH$90,3,FALSE)</f>
        <v>85171.59</v>
      </c>
      <c r="W1538" s="2">
        <f>6-MATCH(Auto_Sales_data___Copy[[#This Row],[DAYS_SINCE_LAST_ORDER]],Table2[R-Cutoff],1)</f>
        <v>3</v>
      </c>
      <c r="X1538" s="2">
        <f>MATCH(Auto_Sales_data___Copy[[#This Row],[Total_Orders_Per_Customer]],Table2[F-Cutoff],1)</f>
        <v>2</v>
      </c>
      <c r="Y1538" s="2">
        <f>MATCH(Auto_Sales_data___Copy[[#This Row],[Total_Sales_Per_Customer]],Table2[M-Cutoff],1)</f>
        <v>3</v>
      </c>
      <c r="Z1538" s="2" t="str">
        <f>Auto_Sales_data___Copy[[#This Row],[R-Score(1-5)]]&amp;Auto_Sales_data___Copy[[#This Row],[F-Score(1-5)]]&amp;Auto_Sales_data___Copy[[#This Row],[M-Score(1-5)]]</f>
        <v>323</v>
      </c>
      <c r="AA1538" s="2" t="str" cm="1">
        <f t="array" ref="AA15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38" s="2" t="str">
        <f>VLOOKUP(Auto_Sales_data___Copy[[#This Row],[Segment Name]],Table3[],2,FALSE)</f>
        <v>Brand Awareness &amp; Value Proposition</v>
      </c>
    </row>
    <row r="1539" spans="1:28" x14ac:dyDescent="0.25">
      <c r="A1539">
        <v>10109</v>
      </c>
      <c r="B1539">
        <v>26</v>
      </c>
      <c r="C1539">
        <v>121.44</v>
      </c>
      <c r="D1539">
        <v>1</v>
      </c>
      <c r="E1539">
        <v>3157.44</v>
      </c>
      <c r="F1539" s="1">
        <v>43169</v>
      </c>
      <c r="G1539" s="2" t="s">
        <v>19</v>
      </c>
      <c r="H1539" s="2" t="s">
        <v>183</v>
      </c>
      <c r="I1539">
        <v>132</v>
      </c>
      <c r="J1539" s="2" t="s">
        <v>639</v>
      </c>
      <c r="K1539" s="2" t="s">
        <v>323</v>
      </c>
      <c r="L1539" s="2" t="s">
        <v>324</v>
      </c>
      <c r="M1539" s="2" t="s">
        <v>325</v>
      </c>
      <c r="N1539" s="2" t="s">
        <v>220</v>
      </c>
      <c r="O1539" s="2" t="s">
        <v>221</v>
      </c>
      <c r="P1539" s="2" t="s">
        <v>27</v>
      </c>
      <c r="Q1539" s="2" t="s">
        <v>120</v>
      </c>
      <c r="R1539" s="2" t="s">
        <v>326</v>
      </c>
      <c r="S1539" s="2" t="s">
        <v>46</v>
      </c>
      <c r="T1539">
        <v>1636</v>
      </c>
      <c r="U1539">
        <f>VLOOKUP(Auto_Sales_data___Copy[[#This Row],[CUSTOMER_NAME]],$AF$2:$AH$90,2,FALSE)</f>
        <v>23</v>
      </c>
      <c r="V1539">
        <f>VLOOKUP(Auto_Sales_data___Copy[[#This Row],[CUSTOMER_NAME]],$AF$2:$AH$90,3,FALSE)</f>
        <v>83682.16</v>
      </c>
      <c r="W1539" s="2">
        <f>6-MATCH(Auto_Sales_data___Copy[[#This Row],[DAYS_SINCE_LAST_ORDER]],Table2[R-Cutoff],1)</f>
        <v>3</v>
      </c>
      <c r="X1539" s="2">
        <f>MATCH(Auto_Sales_data___Copy[[#This Row],[Total_Orders_Per_Customer]],Table2[F-Cutoff],1)</f>
        <v>2</v>
      </c>
      <c r="Y1539" s="2">
        <f>MATCH(Auto_Sales_data___Copy[[#This Row],[Total_Sales_Per_Customer]],Table2[M-Cutoff],1)</f>
        <v>3</v>
      </c>
      <c r="Z1539" s="2" t="str">
        <f>Auto_Sales_data___Copy[[#This Row],[R-Score(1-5)]]&amp;Auto_Sales_data___Copy[[#This Row],[F-Score(1-5)]]&amp;Auto_Sales_data___Copy[[#This Row],[M-Score(1-5)]]</f>
        <v>323</v>
      </c>
      <c r="AA1539" s="2" t="str" cm="1">
        <f t="array" ref="AA15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39" s="2" t="str">
        <f>VLOOKUP(Auto_Sales_data___Copy[[#This Row],[Segment Name]],Table3[],2,FALSE)</f>
        <v>Brand Awareness &amp; Value Proposition</v>
      </c>
    </row>
    <row r="1540" spans="1:28" x14ac:dyDescent="0.25">
      <c r="A1540">
        <v>10109</v>
      </c>
      <c r="B1540">
        <v>46</v>
      </c>
      <c r="C1540">
        <v>179.5</v>
      </c>
      <c r="D1540">
        <v>5</v>
      </c>
      <c r="E1540">
        <v>8257</v>
      </c>
      <c r="F1540" s="1">
        <v>43169</v>
      </c>
      <c r="G1540" s="2" t="s">
        <v>19</v>
      </c>
      <c r="H1540" s="2" t="s">
        <v>183</v>
      </c>
      <c r="I1540">
        <v>169</v>
      </c>
      <c r="J1540" s="2" t="s">
        <v>649</v>
      </c>
      <c r="K1540" s="2" t="s">
        <v>323</v>
      </c>
      <c r="L1540" s="2" t="s">
        <v>324</v>
      </c>
      <c r="M1540" s="2" t="s">
        <v>325</v>
      </c>
      <c r="N1540" s="2" t="s">
        <v>220</v>
      </c>
      <c r="O1540" s="2" t="s">
        <v>221</v>
      </c>
      <c r="P1540" s="2" t="s">
        <v>27</v>
      </c>
      <c r="Q1540" s="2" t="s">
        <v>120</v>
      </c>
      <c r="R1540" s="2" t="s">
        <v>326</v>
      </c>
      <c r="S1540" s="2" t="s">
        <v>151</v>
      </c>
      <c r="T1540">
        <v>1787</v>
      </c>
      <c r="U1540">
        <f>VLOOKUP(Auto_Sales_data___Copy[[#This Row],[CUSTOMER_NAME]],$AF$2:$AH$90,2,FALSE)</f>
        <v>23</v>
      </c>
      <c r="V1540">
        <f>VLOOKUP(Auto_Sales_data___Copy[[#This Row],[CUSTOMER_NAME]],$AF$2:$AH$90,3,FALSE)</f>
        <v>83682.16</v>
      </c>
      <c r="W1540" s="2">
        <f>6-MATCH(Auto_Sales_data___Copy[[#This Row],[DAYS_SINCE_LAST_ORDER]],Table2[R-Cutoff],1)</f>
        <v>3</v>
      </c>
      <c r="X1540" s="2">
        <f>MATCH(Auto_Sales_data___Copy[[#This Row],[Total_Orders_Per_Customer]],Table2[F-Cutoff],1)</f>
        <v>2</v>
      </c>
      <c r="Y1540" s="2">
        <f>MATCH(Auto_Sales_data___Copy[[#This Row],[Total_Sales_Per_Customer]],Table2[M-Cutoff],1)</f>
        <v>3</v>
      </c>
      <c r="Z1540" s="2" t="str">
        <f>Auto_Sales_data___Copy[[#This Row],[R-Score(1-5)]]&amp;Auto_Sales_data___Copy[[#This Row],[F-Score(1-5)]]&amp;Auto_Sales_data___Copy[[#This Row],[M-Score(1-5)]]</f>
        <v>323</v>
      </c>
      <c r="AA1540" s="2" t="str" cm="1">
        <f t="array" ref="AA15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0" s="2" t="str">
        <f>VLOOKUP(Auto_Sales_data___Copy[[#This Row],[Segment Name]],Table3[],2,FALSE)</f>
        <v>Brand Awareness &amp; Value Proposition</v>
      </c>
    </row>
    <row r="1541" spans="1:28" x14ac:dyDescent="0.25">
      <c r="A1541">
        <v>10109</v>
      </c>
      <c r="B1541">
        <v>47</v>
      </c>
      <c r="C1541">
        <v>132.80000000000001</v>
      </c>
      <c r="D1541">
        <v>2</v>
      </c>
      <c r="E1541">
        <v>6241.6</v>
      </c>
      <c r="F1541" s="1">
        <v>43169</v>
      </c>
      <c r="G1541" s="2" t="s">
        <v>19</v>
      </c>
      <c r="H1541" s="2" t="s">
        <v>183</v>
      </c>
      <c r="I1541">
        <v>141</v>
      </c>
      <c r="J1541" s="2" t="s">
        <v>655</v>
      </c>
      <c r="K1541" s="2" t="s">
        <v>323</v>
      </c>
      <c r="L1541" s="2" t="s">
        <v>324</v>
      </c>
      <c r="M1541" s="2" t="s">
        <v>325</v>
      </c>
      <c r="N1541" s="2" t="s">
        <v>220</v>
      </c>
      <c r="O1541" s="2" t="s">
        <v>221</v>
      </c>
      <c r="P1541" s="2" t="s">
        <v>27</v>
      </c>
      <c r="Q1541" s="2" t="s">
        <v>120</v>
      </c>
      <c r="R1541" s="2" t="s">
        <v>326</v>
      </c>
      <c r="S1541" s="2" t="s">
        <v>46</v>
      </c>
      <c r="T1541">
        <v>1933</v>
      </c>
      <c r="U1541">
        <f>VLOOKUP(Auto_Sales_data___Copy[[#This Row],[CUSTOMER_NAME]],$AF$2:$AH$90,2,FALSE)</f>
        <v>23</v>
      </c>
      <c r="V1541">
        <f>VLOOKUP(Auto_Sales_data___Copy[[#This Row],[CUSTOMER_NAME]],$AF$2:$AH$90,3,FALSE)</f>
        <v>83682.16</v>
      </c>
      <c r="W1541" s="2">
        <f>6-MATCH(Auto_Sales_data___Copy[[#This Row],[DAYS_SINCE_LAST_ORDER]],Table2[R-Cutoff],1)</f>
        <v>3</v>
      </c>
      <c r="X1541" s="2">
        <f>MATCH(Auto_Sales_data___Copy[[#This Row],[Total_Orders_Per_Customer]],Table2[F-Cutoff],1)</f>
        <v>2</v>
      </c>
      <c r="Y1541" s="2">
        <f>MATCH(Auto_Sales_data___Copy[[#This Row],[Total_Sales_Per_Customer]],Table2[M-Cutoff],1)</f>
        <v>3</v>
      </c>
      <c r="Z1541" s="2" t="str">
        <f>Auto_Sales_data___Copy[[#This Row],[R-Score(1-5)]]&amp;Auto_Sales_data___Copy[[#This Row],[F-Score(1-5)]]&amp;Auto_Sales_data___Copy[[#This Row],[M-Score(1-5)]]</f>
        <v>323</v>
      </c>
      <c r="AA1541" s="2" t="str" cm="1">
        <f t="array" ref="AA15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1" s="2" t="str">
        <f>VLOOKUP(Auto_Sales_data___Copy[[#This Row],[Segment Name]],Table3[],2,FALSE)</f>
        <v>Brand Awareness &amp; Value Proposition</v>
      </c>
    </row>
    <row r="1542" spans="1:28" x14ac:dyDescent="0.25">
      <c r="A1542">
        <v>10114</v>
      </c>
      <c r="B1542">
        <v>45</v>
      </c>
      <c r="C1542">
        <v>68.67</v>
      </c>
      <c r="D1542">
        <v>6</v>
      </c>
      <c r="E1542">
        <v>3090.15</v>
      </c>
      <c r="F1542" s="1">
        <v>43191</v>
      </c>
      <c r="G1542" s="2" t="s">
        <v>19</v>
      </c>
      <c r="H1542" s="2" t="s">
        <v>537</v>
      </c>
      <c r="I1542">
        <v>60</v>
      </c>
      <c r="J1542" s="2" t="s">
        <v>635</v>
      </c>
      <c r="K1542" s="2" t="s">
        <v>425</v>
      </c>
      <c r="L1542" s="2" t="s">
        <v>426</v>
      </c>
      <c r="M1542" s="2" t="s">
        <v>427</v>
      </c>
      <c r="N1542" s="2" t="s">
        <v>42</v>
      </c>
      <c r="O1542" s="2" t="s">
        <v>428</v>
      </c>
      <c r="P1542" s="2" t="s">
        <v>36</v>
      </c>
      <c r="Q1542" s="2" t="s">
        <v>429</v>
      </c>
      <c r="R1542" s="2" t="s">
        <v>430</v>
      </c>
      <c r="S1542" s="2" t="s">
        <v>46</v>
      </c>
      <c r="T1542">
        <v>1516</v>
      </c>
      <c r="U1542">
        <f>VLOOKUP(Auto_Sales_data___Copy[[#This Row],[CUSTOMER_NAME]],$AF$2:$AH$90,2,FALSE)</f>
        <v>23</v>
      </c>
      <c r="V1542">
        <f>VLOOKUP(Auto_Sales_data___Copy[[#This Row],[CUSTOMER_NAME]],$AF$2:$AH$90,3,FALSE)</f>
        <v>97203.680000000008</v>
      </c>
      <c r="W1542" s="2">
        <f>6-MATCH(Auto_Sales_data___Copy[[#This Row],[DAYS_SINCE_LAST_ORDER]],Table2[R-Cutoff],1)</f>
        <v>3</v>
      </c>
      <c r="X1542" s="2">
        <f>MATCH(Auto_Sales_data___Copy[[#This Row],[Total_Orders_Per_Customer]],Table2[F-Cutoff],1)</f>
        <v>2</v>
      </c>
      <c r="Y1542" s="2">
        <f>MATCH(Auto_Sales_data___Copy[[#This Row],[Total_Sales_Per_Customer]],Table2[M-Cutoff],1)</f>
        <v>3</v>
      </c>
      <c r="Z1542" s="2" t="str">
        <f>Auto_Sales_data___Copy[[#This Row],[R-Score(1-5)]]&amp;Auto_Sales_data___Copy[[#This Row],[F-Score(1-5)]]&amp;Auto_Sales_data___Copy[[#This Row],[M-Score(1-5)]]</f>
        <v>323</v>
      </c>
      <c r="AA1542" s="2" t="str" cm="1">
        <f t="array" ref="AA15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2" s="2" t="str">
        <f>VLOOKUP(Auto_Sales_data___Copy[[#This Row],[Segment Name]],Table3[],2,FALSE)</f>
        <v>Brand Awareness &amp; Value Proposition</v>
      </c>
    </row>
    <row r="1543" spans="1:28" x14ac:dyDescent="0.25">
      <c r="A1543">
        <v>10114</v>
      </c>
      <c r="B1543">
        <v>48</v>
      </c>
      <c r="C1543">
        <v>171.03</v>
      </c>
      <c r="D1543">
        <v>4</v>
      </c>
      <c r="E1543">
        <v>8209.44</v>
      </c>
      <c r="F1543" s="1">
        <v>43191</v>
      </c>
      <c r="G1543" s="2" t="s">
        <v>19</v>
      </c>
      <c r="H1543" s="2" t="s">
        <v>183</v>
      </c>
      <c r="I1543">
        <v>169</v>
      </c>
      <c r="J1543" s="2" t="s">
        <v>649</v>
      </c>
      <c r="K1543" s="2" t="s">
        <v>425</v>
      </c>
      <c r="L1543" s="2" t="s">
        <v>426</v>
      </c>
      <c r="M1543" s="2" t="s">
        <v>427</v>
      </c>
      <c r="N1543" s="2" t="s">
        <v>42</v>
      </c>
      <c r="O1543" s="2" t="s">
        <v>428</v>
      </c>
      <c r="P1543" s="2" t="s">
        <v>36</v>
      </c>
      <c r="Q1543" s="2" t="s">
        <v>429</v>
      </c>
      <c r="R1543" s="2" t="s">
        <v>430</v>
      </c>
      <c r="S1543" s="2" t="s">
        <v>151</v>
      </c>
      <c r="T1543">
        <v>1766</v>
      </c>
      <c r="U1543">
        <f>VLOOKUP(Auto_Sales_data___Copy[[#This Row],[CUSTOMER_NAME]],$AF$2:$AH$90,2,FALSE)</f>
        <v>23</v>
      </c>
      <c r="V1543">
        <f>VLOOKUP(Auto_Sales_data___Copy[[#This Row],[CUSTOMER_NAME]],$AF$2:$AH$90,3,FALSE)</f>
        <v>97203.680000000008</v>
      </c>
      <c r="W1543" s="2">
        <f>6-MATCH(Auto_Sales_data___Copy[[#This Row],[DAYS_SINCE_LAST_ORDER]],Table2[R-Cutoff],1)</f>
        <v>3</v>
      </c>
      <c r="X1543" s="2">
        <f>MATCH(Auto_Sales_data___Copy[[#This Row],[Total_Orders_Per_Customer]],Table2[F-Cutoff],1)</f>
        <v>2</v>
      </c>
      <c r="Y1543" s="2">
        <f>MATCH(Auto_Sales_data___Copy[[#This Row],[Total_Sales_Per_Customer]],Table2[M-Cutoff],1)</f>
        <v>3</v>
      </c>
      <c r="Z1543" s="2" t="str">
        <f>Auto_Sales_data___Copy[[#This Row],[R-Score(1-5)]]&amp;Auto_Sales_data___Copy[[#This Row],[F-Score(1-5)]]&amp;Auto_Sales_data___Copy[[#This Row],[M-Score(1-5)]]</f>
        <v>323</v>
      </c>
      <c r="AA1543" s="2" t="str" cm="1">
        <f t="array" ref="AA15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3" s="2" t="str">
        <f>VLOOKUP(Auto_Sales_data___Copy[[#This Row],[Segment Name]],Table3[],2,FALSE)</f>
        <v>Brand Awareness &amp; Value Proposition</v>
      </c>
    </row>
    <row r="1544" spans="1:28" x14ac:dyDescent="0.25">
      <c r="A1544">
        <v>10300</v>
      </c>
      <c r="B1544">
        <v>49</v>
      </c>
      <c r="C1544">
        <v>78.8</v>
      </c>
      <c r="D1544">
        <v>8</v>
      </c>
      <c r="E1544">
        <v>3861.2</v>
      </c>
      <c r="F1544" s="1">
        <v>43377</v>
      </c>
      <c r="G1544" s="2" t="s">
        <v>19</v>
      </c>
      <c r="H1544" s="2" t="s">
        <v>183</v>
      </c>
      <c r="I1544">
        <v>80</v>
      </c>
      <c r="J1544" s="2" t="s">
        <v>652</v>
      </c>
      <c r="K1544" s="2" t="s">
        <v>492</v>
      </c>
      <c r="L1544" s="2" t="s">
        <v>493</v>
      </c>
      <c r="M1544" s="2" t="s">
        <v>494</v>
      </c>
      <c r="N1544" s="2" t="s">
        <v>495</v>
      </c>
      <c r="O1544" s="2" t="s">
        <v>496</v>
      </c>
      <c r="P1544" s="2" t="s">
        <v>470</v>
      </c>
      <c r="Q1544" s="2" t="s">
        <v>497</v>
      </c>
      <c r="R1544" s="2" t="s">
        <v>438</v>
      </c>
      <c r="S1544" s="2" t="s">
        <v>46</v>
      </c>
      <c r="T1544">
        <v>1669</v>
      </c>
      <c r="U1544">
        <f>VLOOKUP(Auto_Sales_data___Copy[[#This Row],[CUSTOMER_NAME]],$AF$2:$AH$90,2,FALSE)</f>
        <v>22</v>
      </c>
      <c r="V1544">
        <f>VLOOKUP(Auto_Sales_data___Copy[[#This Row],[CUSTOMER_NAME]],$AF$2:$AH$90,3,FALSE)</f>
        <v>85171.59</v>
      </c>
      <c r="W1544" s="2">
        <f>6-MATCH(Auto_Sales_data___Copy[[#This Row],[DAYS_SINCE_LAST_ORDER]],Table2[R-Cutoff],1)</f>
        <v>3</v>
      </c>
      <c r="X1544" s="2">
        <f>MATCH(Auto_Sales_data___Copy[[#This Row],[Total_Orders_Per_Customer]],Table2[F-Cutoff],1)</f>
        <v>2</v>
      </c>
      <c r="Y1544" s="2">
        <f>MATCH(Auto_Sales_data___Copy[[#This Row],[Total_Sales_Per_Customer]],Table2[M-Cutoff],1)</f>
        <v>3</v>
      </c>
      <c r="Z1544" s="2" t="str">
        <f>Auto_Sales_data___Copy[[#This Row],[R-Score(1-5)]]&amp;Auto_Sales_data___Copy[[#This Row],[F-Score(1-5)]]&amp;Auto_Sales_data___Copy[[#This Row],[M-Score(1-5)]]</f>
        <v>323</v>
      </c>
      <c r="AA1544" s="2" t="str" cm="1">
        <f t="array" ref="AA15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4" s="2" t="str">
        <f>VLOOKUP(Auto_Sales_data___Copy[[#This Row],[Segment Name]],Table3[],2,FALSE)</f>
        <v>Brand Awareness &amp; Value Proposition</v>
      </c>
    </row>
    <row r="1545" spans="1:28" x14ac:dyDescent="0.25">
      <c r="A1545">
        <v>10300</v>
      </c>
      <c r="B1545">
        <v>23</v>
      </c>
      <c r="C1545">
        <v>164.63</v>
      </c>
      <c r="D1545">
        <v>7</v>
      </c>
      <c r="E1545">
        <v>3786.49</v>
      </c>
      <c r="F1545" s="1">
        <v>43377</v>
      </c>
      <c r="G1545" s="2" t="s">
        <v>19</v>
      </c>
      <c r="H1545" s="2" t="s">
        <v>183</v>
      </c>
      <c r="I1545">
        <v>146</v>
      </c>
      <c r="J1545" s="2" t="s">
        <v>654</v>
      </c>
      <c r="K1545" s="2" t="s">
        <v>492</v>
      </c>
      <c r="L1545" s="2" t="s">
        <v>493</v>
      </c>
      <c r="M1545" s="2" t="s">
        <v>494</v>
      </c>
      <c r="N1545" s="2" t="s">
        <v>495</v>
      </c>
      <c r="O1545" s="2" t="s">
        <v>496</v>
      </c>
      <c r="P1545" s="2" t="s">
        <v>470</v>
      </c>
      <c r="Q1545" s="2" t="s">
        <v>497</v>
      </c>
      <c r="R1545" s="2" t="s">
        <v>438</v>
      </c>
      <c r="S1545" s="2" t="s">
        <v>46</v>
      </c>
      <c r="T1545">
        <v>1716</v>
      </c>
      <c r="U1545">
        <f>VLOOKUP(Auto_Sales_data___Copy[[#This Row],[CUSTOMER_NAME]],$AF$2:$AH$90,2,FALSE)</f>
        <v>22</v>
      </c>
      <c r="V1545">
        <f>VLOOKUP(Auto_Sales_data___Copy[[#This Row],[CUSTOMER_NAME]],$AF$2:$AH$90,3,FALSE)</f>
        <v>85171.59</v>
      </c>
      <c r="W1545" s="2">
        <f>6-MATCH(Auto_Sales_data___Copy[[#This Row],[DAYS_SINCE_LAST_ORDER]],Table2[R-Cutoff],1)</f>
        <v>3</v>
      </c>
      <c r="X1545" s="2">
        <f>MATCH(Auto_Sales_data___Copy[[#This Row],[Total_Orders_Per_Customer]],Table2[F-Cutoff],1)</f>
        <v>2</v>
      </c>
      <c r="Y1545" s="2">
        <f>MATCH(Auto_Sales_data___Copy[[#This Row],[Total_Sales_Per_Customer]],Table2[M-Cutoff],1)</f>
        <v>3</v>
      </c>
      <c r="Z1545" s="2" t="str">
        <f>Auto_Sales_data___Copy[[#This Row],[R-Score(1-5)]]&amp;Auto_Sales_data___Copy[[#This Row],[F-Score(1-5)]]&amp;Auto_Sales_data___Copy[[#This Row],[M-Score(1-5)]]</f>
        <v>323</v>
      </c>
      <c r="AA1545" s="2" t="str" cm="1">
        <f t="array" ref="AA15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5" s="2" t="str">
        <f>VLOOKUP(Auto_Sales_data___Copy[[#This Row],[Segment Name]],Table3[],2,FALSE)</f>
        <v>Brand Awareness &amp; Value Proposition</v>
      </c>
    </row>
    <row r="1546" spans="1:28" x14ac:dyDescent="0.25">
      <c r="A1546">
        <v>10230</v>
      </c>
      <c r="B1546">
        <v>42</v>
      </c>
      <c r="C1546">
        <v>172.34</v>
      </c>
      <c r="D1546">
        <v>3</v>
      </c>
      <c r="E1546">
        <v>7238.28</v>
      </c>
      <c r="F1546" s="1">
        <v>43539</v>
      </c>
      <c r="G1546" s="2" t="s">
        <v>19</v>
      </c>
      <c r="H1546" s="2" t="s">
        <v>183</v>
      </c>
      <c r="I1546">
        <v>143</v>
      </c>
      <c r="J1546" s="2" t="s">
        <v>658</v>
      </c>
      <c r="K1546" s="2" t="s">
        <v>492</v>
      </c>
      <c r="L1546" s="2" t="s">
        <v>493</v>
      </c>
      <c r="M1546" s="2" t="s">
        <v>494</v>
      </c>
      <c r="N1546" s="2" t="s">
        <v>495</v>
      </c>
      <c r="O1546" s="2" t="s">
        <v>496</v>
      </c>
      <c r="P1546" s="2" t="s">
        <v>470</v>
      </c>
      <c r="Q1546" s="2" t="s">
        <v>497</v>
      </c>
      <c r="R1546" s="2" t="s">
        <v>438</v>
      </c>
      <c r="S1546" s="2" t="s">
        <v>151</v>
      </c>
      <c r="T1546">
        <v>1648</v>
      </c>
      <c r="U1546">
        <f>VLOOKUP(Auto_Sales_data___Copy[[#This Row],[CUSTOMER_NAME]],$AF$2:$AH$90,2,FALSE)</f>
        <v>22</v>
      </c>
      <c r="V1546">
        <f>VLOOKUP(Auto_Sales_data___Copy[[#This Row],[CUSTOMER_NAME]],$AF$2:$AH$90,3,FALSE)</f>
        <v>85171.59</v>
      </c>
      <c r="W1546" s="2">
        <f>6-MATCH(Auto_Sales_data___Copy[[#This Row],[DAYS_SINCE_LAST_ORDER]],Table2[R-Cutoff],1)</f>
        <v>3</v>
      </c>
      <c r="X1546" s="2">
        <f>MATCH(Auto_Sales_data___Copy[[#This Row],[Total_Orders_Per_Customer]],Table2[F-Cutoff],1)</f>
        <v>2</v>
      </c>
      <c r="Y1546" s="2">
        <f>MATCH(Auto_Sales_data___Copy[[#This Row],[Total_Sales_Per_Customer]],Table2[M-Cutoff],1)</f>
        <v>3</v>
      </c>
      <c r="Z1546" s="2" t="str">
        <f>Auto_Sales_data___Copy[[#This Row],[R-Score(1-5)]]&amp;Auto_Sales_data___Copy[[#This Row],[F-Score(1-5)]]&amp;Auto_Sales_data___Copy[[#This Row],[M-Score(1-5)]]</f>
        <v>323</v>
      </c>
      <c r="AA1546" s="2" t="str" cm="1">
        <f t="array" ref="AA15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6" s="2" t="str">
        <f>VLOOKUP(Auto_Sales_data___Copy[[#This Row],[Segment Name]],Table3[],2,FALSE)</f>
        <v>Brand Awareness &amp; Value Proposition</v>
      </c>
    </row>
    <row r="1547" spans="1:28" x14ac:dyDescent="0.25">
      <c r="A1547">
        <v>10230</v>
      </c>
      <c r="B1547">
        <v>36</v>
      </c>
      <c r="C1547">
        <v>54.33</v>
      </c>
      <c r="D1547">
        <v>6</v>
      </c>
      <c r="E1547">
        <v>1955.88</v>
      </c>
      <c r="F1547" s="1">
        <v>43539</v>
      </c>
      <c r="G1547" s="2" t="s">
        <v>19</v>
      </c>
      <c r="H1547" s="2" t="s">
        <v>183</v>
      </c>
      <c r="I1547">
        <v>57</v>
      </c>
      <c r="J1547" s="2" t="s">
        <v>666</v>
      </c>
      <c r="K1547" s="2" t="s">
        <v>492</v>
      </c>
      <c r="L1547" s="2" t="s">
        <v>493</v>
      </c>
      <c r="M1547" s="2" t="s">
        <v>494</v>
      </c>
      <c r="N1547" s="2" t="s">
        <v>495</v>
      </c>
      <c r="O1547" s="2" t="s">
        <v>496</v>
      </c>
      <c r="P1547" s="2" t="s">
        <v>470</v>
      </c>
      <c r="Q1547" s="2" t="s">
        <v>497</v>
      </c>
      <c r="R1547" s="2" t="s">
        <v>438</v>
      </c>
      <c r="S1547" s="2" t="s">
        <v>30</v>
      </c>
      <c r="T1547">
        <v>1842</v>
      </c>
      <c r="U1547">
        <f>VLOOKUP(Auto_Sales_data___Copy[[#This Row],[CUSTOMER_NAME]],$AF$2:$AH$90,2,FALSE)</f>
        <v>22</v>
      </c>
      <c r="V1547">
        <f>VLOOKUP(Auto_Sales_data___Copy[[#This Row],[CUSTOMER_NAME]],$AF$2:$AH$90,3,FALSE)</f>
        <v>85171.59</v>
      </c>
      <c r="W1547" s="2">
        <f>6-MATCH(Auto_Sales_data___Copy[[#This Row],[DAYS_SINCE_LAST_ORDER]],Table2[R-Cutoff],1)</f>
        <v>3</v>
      </c>
      <c r="X1547" s="2">
        <f>MATCH(Auto_Sales_data___Copy[[#This Row],[Total_Orders_Per_Customer]],Table2[F-Cutoff],1)</f>
        <v>2</v>
      </c>
      <c r="Y1547" s="2">
        <f>MATCH(Auto_Sales_data___Copy[[#This Row],[Total_Sales_Per_Customer]],Table2[M-Cutoff],1)</f>
        <v>3</v>
      </c>
      <c r="Z1547" s="2" t="str">
        <f>Auto_Sales_data___Copy[[#This Row],[R-Score(1-5)]]&amp;Auto_Sales_data___Copy[[#This Row],[F-Score(1-5)]]&amp;Auto_Sales_data___Copy[[#This Row],[M-Score(1-5)]]</f>
        <v>323</v>
      </c>
      <c r="AA1547" s="2" t="str" cm="1">
        <f t="array" ref="AA15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7" s="2" t="str">
        <f>VLOOKUP(Auto_Sales_data___Copy[[#This Row],[Segment Name]],Table3[],2,FALSE)</f>
        <v>Brand Awareness &amp; Value Proposition</v>
      </c>
    </row>
    <row r="1548" spans="1:28" x14ac:dyDescent="0.25">
      <c r="A1548">
        <v>10236</v>
      </c>
      <c r="B1548">
        <v>36</v>
      </c>
      <c r="C1548">
        <v>87.6</v>
      </c>
      <c r="D1548">
        <v>3</v>
      </c>
      <c r="E1548">
        <v>3153.6</v>
      </c>
      <c r="F1548" s="1">
        <v>43558</v>
      </c>
      <c r="G1548" s="2" t="s">
        <v>19</v>
      </c>
      <c r="H1548" s="2" t="s">
        <v>20</v>
      </c>
      <c r="I1548">
        <v>76</v>
      </c>
      <c r="J1548" s="2" t="s">
        <v>671</v>
      </c>
      <c r="K1548" s="2" t="s">
        <v>323</v>
      </c>
      <c r="L1548" s="2" t="s">
        <v>324</v>
      </c>
      <c r="M1548" s="2" t="s">
        <v>325</v>
      </c>
      <c r="N1548" s="2" t="s">
        <v>220</v>
      </c>
      <c r="O1548" s="2" t="s">
        <v>221</v>
      </c>
      <c r="P1548" s="2" t="s">
        <v>27</v>
      </c>
      <c r="Q1548" s="2" t="s">
        <v>120</v>
      </c>
      <c r="R1548" s="2" t="s">
        <v>326</v>
      </c>
      <c r="S1548" s="2" t="s">
        <v>46</v>
      </c>
      <c r="T1548">
        <v>1945</v>
      </c>
      <c r="U1548">
        <f>VLOOKUP(Auto_Sales_data___Copy[[#This Row],[CUSTOMER_NAME]],$AF$2:$AH$90,2,FALSE)</f>
        <v>23</v>
      </c>
      <c r="V1548">
        <f>VLOOKUP(Auto_Sales_data___Copy[[#This Row],[CUSTOMER_NAME]],$AF$2:$AH$90,3,FALSE)</f>
        <v>83682.16</v>
      </c>
      <c r="W1548" s="2">
        <f>6-MATCH(Auto_Sales_data___Copy[[#This Row],[DAYS_SINCE_LAST_ORDER]],Table2[R-Cutoff],1)</f>
        <v>3</v>
      </c>
      <c r="X1548" s="2">
        <f>MATCH(Auto_Sales_data___Copy[[#This Row],[Total_Orders_Per_Customer]],Table2[F-Cutoff],1)</f>
        <v>2</v>
      </c>
      <c r="Y1548" s="2">
        <f>MATCH(Auto_Sales_data___Copy[[#This Row],[Total_Sales_Per_Customer]],Table2[M-Cutoff],1)</f>
        <v>3</v>
      </c>
      <c r="Z1548" s="2" t="str">
        <f>Auto_Sales_data___Copy[[#This Row],[R-Score(1-5)]]&amp;Auto_Sales_data___Copy[[#This Row],[F-Score(1-5)]]&amp;Auto_Sales_data___Copy[[#This Row],[M-Score(1-5)]]</f>
        <v>323</v>
      </c>
      <c r="AA1548" s="2" t="str" cm="1">
        <f t="array" ref="AA15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8" s="2" t="str">
        <f>VLOOKUP(Auto_Sales_data___Copy[[#This Row],[Segment Name]],Table3[],2,FALSE)</f>
        <v>Brand Awareness &amp; Value Proposition</v>
      </c>
    </row>
    <row r="1549" spans="1:28" x14ac:dyDescent="0.25">
      <c r="A1549">
        <v>10241</v>
      </c>
      <c r="B1549">
        <v>42</v>
      </c>
      <c r="C1549">
        <v>90.19</v>
      </c>
      <c r="D1549">
        <v>3</v>
      </c>
      <c r="E1549">
        <v>3787.98</v>
      </c>
      <c r="F1549" s="1">
        <v>43568</v>
      </c>
      <c r="G1549" s="2" t="s">
        <v>19</v>
      </c>
      <c r="H1549" s="2" t="s">
        <v>589</v>
      </c>
      <c r="I1549">
        <v>92</v>
      </c>
      <c r="J1549" s="2" t="s">
        <v>659</v>
      </c>
      <c r="K1549" s="2" t="s">
        <v>568</v>
      </c>
      <c r="L1549" s="2" t="s">
        <v>569</v>
      </c>
      <c r="M1549" s="2" t="s">
        <v>570</v>
      </c>
      <c r="N1549" s="2" t="s">
        <v>571</v>
      </c>
      <c r="O1549" s="2" t="s">
        <v>572</v>
      </c>
      <c r="P1549" s="2" t="s">
        <v>36</v>
      </c>
      <c r="Q1549" s="2" t="s">
        <v>573</v>
      </c>
      <c r="R1549" s="2" t="s">
        <v>574</v>
      </c>
      <c r="S1549" s="2" t="s">
        <v>46</v>
      </c>
      <c r="T1549">
        <v>1644</v>
      </c>
      <c r="U1549">
        <f>VLOOKUP(Auto_Sales_data___Copy[[#This Row],[CUSTOMER_NAME]],$AF$2:$AH$90,2,FALSE)</f>
        <v>19</v>
      </c>
      <c r="V1549">
        <f>VLOOKUP(Auto_Sales_data___Copy[[#This Row],[CUSTOMER_NAME]],$AF$2:$AH$90,3,FALSE)</f>
        <v>80438.48</v>
      </c>
      <c r="W1549" s="2">
        <f>6-MATCH(Auto_Sales_data___Copy[[#This Row],[DAYS_SINCE_LAST_ORDER]],Table2[R-Cutoff],1)</f>
        <v>3</v>
      </c>
      <c r="X1549" s="2">
        <f>MATCH(Auto_Sales_data___Copy[[#This Row],[Total_Orders_Per_Customer]],Table2[F-Cutoff],1)</f>
        <v>2</v>
      </c>
      <c r="Y1549" s="2">
        <f>MATCH(Auto_Sales_data___Copy[[#This Row],[Total_Sales_Per_Customer]],Table2[M-Cutoff],1)</f>
        <v>3</v>
      </c>
      <c r="Z1549" s="2" t="str">
        <f>Auto_Sales_data___Copy[[#This Row],[R-Score(1-5)]]&amp;Auto_Sales_data___Copy[[#This Row],[F-Score(1-5)]]&amp;Auto_Sales_data___Copy[[#This Row],[M-Score(1-5)]]</f>
        <v>323</v>
      </c>
      <c r="AA1549" s="2" t="str" cm="1">
        <f t="array" ref="AA15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9" s="2" t="str">
        <f>VLOOKUP(Auto_Sales_data___Copy[[#This Row],[Segment Name]],Table3[],2,FALSE)</f>
        <v>Brand Awareness &amp; Value Proposition</v>
      </c>
    </row>
    <row r="1550" spans="1:28" x14ac:dyDescent="0.25">
      <c r="A1550">
        <v>10241</v>
      </c>
      <c r="B1550">
        <v>30</v>
      </c>
      <c r="C1550">
        <v>66.989999999999995</v>
      </c>
      <c r="D1550">
        <v>4</v>
      </c>
      <c r="E1550">
        <v>2009.7</v>
      </c>
      <c r="F1550" s="1">
        <v>43568</v>
      </c>
      <c r="G1550" s="2" t="s">
        <v>19</v>
      </c>
      <c r="H1550" s="2" t="s">
        <v>183</v>
      </c>
      <c r="I1550">
        <v>71</v>
      </c>
      <c r="J1550" s="2" t="s">
        <v>664</v>
      </c>
      <c r="K1550" s="2" t="s">
        <v>568</v>
      </c>
      <c r="L1550" s="2" t="s">
        <v>569</v>
      </c>
      <c r="M1550" s="2" t="s">
        <v>570</v>
      </c>
      <c r="N1550" s="2" t="s">
        <v>571</v>
      </c>
      <c r="O1550" s="2" t="s">
        <v>572</v>
      </c>
      <c r="P1550" s="2" t="s">
        <v>36</v>
      </c>
      <c r="Q1550" s="2" t="s">
        <v>573</v>
      </c>
      <c r="R1550" s="2" t="s">
        <v>574</v>
      </c>
      <c r="S1550" s="2" t="s">
        <v>30</v>
      </c>
      <c r="T1550">
        <v>1767</v>
      </c>
      <c r="U1550">
        <f>VLOOKUP(Auto_Sales_data___Copy[[#This Row],[CUSTOMER_NAME]],$AF$2:$AH$90,2,FALSE)</f>
        <v>19</v>
      </c>
      <c r="V1550">
        <f>VLOOKUP(Auto_Sales_data___Copy[[#This Row],[CUSTOMER_NAME]],$AF$2:$AH$90,3,FALSE)</f>
        <v>80438.48</v>
      </c>
      <c r="W1550" s="2">
        <f>6-MATCH(Auto_Sales_data___Copy[[#This Row],[DAYS_SINCE_LAST_ORDER]],Table2[R-Cutoff],1)</f>
        <v>3</v>
      </c>
      <c r="X1550" s="2">
        <f>MATCH(Auto_Sales_data___Copy[[#This Row],[Total_Orders_Per_Customer]],Table2[F-Cutoff],1)</f>
        <v>2</v>
      </c>
      <c r="Y1550" s="2">
        <f>MATCH(Auto_Sales_data___Copy[[#This Row],[Total_Sales_Per_Customer]],Table2[M-Cutoff],1)</f>
        <v>3</v>
      </c>
      <c r="Z1550" s="2" t="str">
        <f>Auto_Sales_data___Copy[[#This Row],[R-Score(1-5)]]&amp;Auto_Sales_data___Copy[[#This Row],[F-Score(1-5)]]&amp;Auto_Sales_data___Copy[[#This Row],[M-Score(1-5)]]</f>
        <v>323</v>
      </c>
      <c r="AA1550" s="2" t="str" cm="1">
        <f t="array" ref="AA15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0" s="2" t="str">
        <f>VLOOKUP(Auto_Sales_data___Copy[[#This Row],[Segment Name]],Table3[],2,FALSE)</f>
        <v>Brand Awareness &amp; Value Proposition</v>
      </c>
    </row>
    <row r="1551" spans="1:28" x14ac:dyDescent="0.25">
      <c r="A1551">
        <v>10241</v>
      </c>
      <c r="B1551">
        <v>22</v>
      </c>
      <c r="C1551">
        <v>76.430000000000007</v>
      </c>
      <c r="D1551">
        <v>8</v>
      </c>
      <c r="E1551">
        <v>1681.46</v>
      </c>
      <c r="F1551" s="1">
        <v>43568</v>
      </c>
      <c r="G1551" s="2" t="s">
        <v>19</v>
      </c>
      <c r="H1551" s="2" t="s">
        <v>183</v>
      </c>
      <c r="I1551">
        <v>73</v>
      </c>
      <c r="J1551" s="2" t="s">
        <v>665</v>
      </c>
      <c r="K1551" s="2" t="s">
        <v>568</v>
      </c>
      <c r="L1551" s="2" t="s">
        <v>569</v>
      </c>
      <c r="M1551" s="2" t="s">
        <v>570</v>
      </c>
      <c r="N1551" s="2" t="s">
        <v>571</v>
      </c>
      <c r="O1551" s="2" t="s">
        <v>572</v>
      </c>
      <c r="P1551" s="2" t="s">
        <v>36</v>
      </c>
      <c r="Q1551" s="2" t="s">
        <v>573</v>
      </c>
      <c r="R1551" s="2" t="s">
        <v>574</v>
      </c>
      <c r="S1551" s="2" t="s">
        <v>30</v>
      </c>
      <c r="T1551">
        <v>1789</v>
      </c>
      <c r="U1551">
        <f>VLOOKUP(Auto_Sales_data___Copy[[#This Row],[CUSTOMER_NAME]],$AF$2:$AH$90,2,FALSE)</f>
        <v>19</v>
      </c>
      <c r="V1551">
        <f>VLOOKUP(Auto_Sales_data___Copy[[#This Row],[CUSTOMER_NAME]],$AF$2:$AH$90,3,FALSE)</f>
        <v>80438.48</v>
      </c>
      <c r="W1551" s="2">
        <f>6-MATCH(Auto_Sales_data___Copy[[#This Row],[DAYS_SINCE_LAST_ORDER]],Table2[R-Cutoff],1)</f>
        <v>3</v>
      </c>
      <c r="X1551" s="2">
        <f>MATCH(Auto_Sales_data___Copy[[#This Row],[Total_Orders_Per_Customer]],Table2[F-Cutoff],1)</f>
        <v>2</v>
      </c>
      <c r="Y1551" s="2">
        <f>MATCH(Auto_Sales_data___Copy[[#This Row],[Total_Sales_Per_Customer]],Table2[M-Cutoff],1)</f>
        <v>3</v>
      </c>
      <c r="Z1551" s="2" t="str">
        <f>Auto_Sales_data___Copy[[#This Row],[R-Score(1-5)]]&amp;Auto_Sales_data___Copy[[#This Row],[F-Score(1-5)]]&amp;Auto_Sales_data___Copy[[#This Row],[M-Score(1-5)]]</f>
        <v>323</v>
      </c>
      <c r="AA1551" s="2" t="str" cm="1">
        <f t="array" ref="AA15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1" s="2" t="str">
        <f>VLOOKUP(Auto_Sales_data___Copy[[#This Row],[Segment Name]],Table3[],2,FALSE)</f>
        <v>Brand Awareness &amp; Value Proposition</v>
      </c>
    </row>
    <row r="1552" spans="1:28" x14ac:dyDescent="0.25">
      <c r="A1552">
        <v>10241</v>
      </c>
      <c r="B1552">
        <v>21</v>
      </c>
      <c r="C1552">
        <v>40.25</v>
      </c>
      <c r="D1552">
        <v>10</v>
      </c>
      <c r="E1552">
        <v>845.25</v>
      </c>
      <c r="F1552" s="1">
        <v>43568</v>
      </c>
      <c r="G1552" s="2" t="s">
        <v>19</v>
      </c>
      <c r="H1552" s="2" t="s">
        <v>183</v>
      </c>
      <c r="I1552">
        <v>50</v>
      </c>
      <c r="J1552" s="2" t="s">
        <v>668</v>
      </c>
      <c r="K1552" s="2" t="s">
        <v>568</v>
      </c>
      <c r="L1552" s="2" t="s">
        <v>569</v>
      </c>
      <c r="M1552" s="2" t="s">
        <v>570</v>
      </c>
      <c r="N1552" s="2" t="s">
        <v>571</v>
      </c>
      <c r="O1552" s="2" t="s">
        <v>572</v>
      </c>
      <c r="P1552" s="2" t="s">
        <v>36</v>
      </c>
      <c r="Q1552" s="2" t="s">
        <v>573</v>
      </c>
      <c r="R1552" s="2" t="s">
        <v>574</v>
      </c>
      <c r="S1552" s="2" t="s">
        <v>30</v>
      </c>
      <c r="T1552">
        <v>1865</v>
      </c>
      <c r="U1552">
        <f>VLOOKUP(Auto_Sales_data___Copy[[#This Row],[CUSTOMER_NAME]],$AF$2:$AH$90,2,FALSE)</f>
        <v>19</v>
      </c>
      <c r="V1552">
        <f>VLOOKUP(Auto_Sales_data___Copy[[#This Row],[CUSTOMER_NAME]],$AF$2:$AH$90,3,FALSE)</f>
        <v>80438.48</v>
      </c>
      <c r="W1552" s="2">
        <f>6-MATCH(Auto_Sales_data___Copy[[#This Row],[DAYS_SINCE_LAST_ORDER]],Table2[R-Cutoff],1)</f>
        <v>3</v>
      </c>
      <c r="X1552" s="2">
        <f>MATCH(Auto_Sales_data___Copy[[#This Row],[Total_Orders_Per_Customer]],Table2[F-Cutoff],1)</f>
        <v>2</v>
      </c>
      <c r="Y1552" s="2">
        <f>MATCH(Auto_Sales_data___Copy[[#This Row],[Total_Sales_Per_Customer]],Table2[M-Cutoff],1)</f>
        <v>3</v>
      </c>
      <c r="Z1552" s="2" t="str">
        <f>Auto_Sales_data___Copy[[#This Row],[R-Score(1-5)]]&amp;Auto_Sales_data___Copy[[#This Row],[F-Score(1-5)]]&amp;Auto_Sales_data___Copy[[#This Row],[M-Score(1-5)]]</f>
        <v>323</v>
      </c>
      <c r="AA1552" s="2" t="str" cm="1">
        <f t="array" ref="AA15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2" s="2" t="str">
        <f>VLOOKUP(Auto_Sales_data___Copy[[#This Row],[Segment Name]],Table3[],2,FALSE)</f>
        <v>Brand Awareness &amp; Value Proposition</v>
      </c>
    </row>
    <row r="1553" spans="1:28" x14ac:dyDescent="0.25">
      <c r="A1553">
        <v>10251</v>
      </c>
      <c r="B1553">
        <v>26</v>
      </c>
      <c r="C1553">
        <v>101.43</v>
      </c>
      <c r="D1553">
        <v>3</v>
      </c>
      <c r="E1553">
        <v>2637.18</v>
      </c>
      <c r="F1553" s="1">
        <v>43603</v>
      </c>
      <c r="G1553" s="2" t="s">
        <v>19</v>
      </c>
      <c r="H1553" s="2" t="s">
        <v>20</v>
      </c>
      <c r="I1553">
        <v>112</v>
      </c>
      <c r="J1553" s="2" t="s">
        <v>667</v>
      </c>
      <c r="K1553" s="2" t="s">
        <v>95</v>
      </c>
      <c r="L1553" s="2" t="s">
        <v>96</v>
      </c>
      <c r="M1553" s="2" t="s">
        <v>97</v>
      </c>
      <c r="N1553" s="2" t="s">
        <v>98</v>
      </c>
      <c r="O1553" s="2" t="s">
        <v>99</v>
      </c>
      <c r="P1553" s="2" t="s">
        <v>27</v>
      </c>
      <c r="Q1553" s="2" t="s">
        <v>100</v>
      </c>
      <c r="R1553" s="2" t="s">
        <v>101</v>
      </c>
      <c r="S1553" s="2" t="s">
        <v>30</v>
      </c>
      <c r="T1553">
        <v>1805</v>
      </c>
      <c r="U1553">
        <f>VLOOKUP(Auto_Sales_data___Copy[[#This Row],[CUSTOMER_NAME]],$AF$2:$AH$90,2,FALSE)</f>
        <v>21</v>
      </c>
      <c r="V1553">
        <f>VLOOKUP(Auto_Sales_data___Copy[[#This Row],[CUSTOMER_NAME]],$AF$2:$AH$90,3,FALSE)</f>
        <v>83228.189999999973</v>
      </c>
      <c r="W1553" s="2">
        <f>6-MATCH(Auto_Sales_data___Copy[[#This Row],[DAYS_SINCE_LAST_ORDER]],Table2[R-Cutoff],1)</f>
        <v>3</v>
      </c>
      <c r="X1553" s="2">
        <f>MATCH(Auto_Sales_data___Copy[[#This Row],[Total_Orders_Per_Customer]],Table2[F-Cutoff],1)</f>
        <v>2</v>
      </c>
      <c r="Y1553" s="2">
        <f>MATCH(Auto_Sales_data___Copy[[#This Row],[Total_Sales_Per_Customer]],Table2[M-Cutoff],1)</f>
        <v>3</v>
      </c>
      <c r="Z1553" s="2" t="str">
        <f>Auto_Sales_data___Copy[[#This Row],[R-Score(1-5)]]&amp;Auto_Sales_data___Copy[[#This Row],[F-Score(1-5)]]&amp;Auto_Sales_data___Copy[[#This Row],[M-Score(1-5)]]</f>
        <v>323</v>
      </c>
      <c r="AA1553" s="2" t="str" cm="1">
        <f t="array" ref="AA15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3" s="2" t="str">
        <f>VLOOKUP(Auto_Sales_data___Copy[[#This Row],[Segment Name]],Table3[],2,FALSE)</f>
        <v>Brand Awareness &amp; Value Proposition</v>
      </c>
    </row>
    <row r="1554" spans="1:28" x14ac:dyDescent="0.25">
      <c r="A1554">
        <v>10255</v>
      </c>
      <c r="B1554">
        <v>37</v>
      </c>
      <c r="C1554">
        <v>45.7</v>
      </c>
      <c r="D1554">
        <v>2</v>
      </c>
      <c r="E1554">
        <v>1690.9</v>
      </c>
      <c r="F1554" s="1">
        <v>43620</v>
      </c>
      <c r="G1554" s="2" t="s">
        <v>19</v>
      </c>
      <c r="H1554" s="2" t="s">
        <v>589</v>
      </c>
      <c r="I1554">
        <v>44</v>
      </c>
      <c r="J1554" s="2" t="s">
        <v>673</v>
      </c>
      <c r="K1554" s="2" t="s">
        <v>568</v>
      </c>
      <c r="L1554" s="2" t="s">
        <v>569</v>
      </c>
      <c r="M1554" s="2" t="s">
        <v>570</v>
      </c>
      <c r="N1554" s="2" t="s">
        <v>571</v>
      </c>
      <c r="O1554" s="2" t="s">
        <v>572</v>
      </c>
      <c r="P1554" s="2" t="s">
        <v>36</v>
      </c>
      <c r="Q1554" s="2" t="s">
        <v>573</v>
      </c>
      <c r="R1554" s="2" t="s">
        <v>574</v>
      </c>
      <c r="S1554" s="2" t="s">
        <v>30</v>
      </c>
      <c r="T1554">
        <v>1934</v>
      </c>
      <c r="U1554">
        <f>VLOOKUP(Auto_Sales_data___Copy[[#This Row],[CUSTOMER_NAME]],$AF$2:$AH$90,2,FALSE)</f>
        <v>19</v>
      </c>
      <c r="V1554">
        <f>VLOOKUP(Auto_Sales_data___Copy[[#This Row],[CUSTOMER_NAME]],$AF$2:$AH$90,3,FALSE)</f>
        <v>80438.48</v>
      </c>
      <c r="W1554" s="2">
        <f>6-MATCH(Auto_Sales_data___Copy[[#This Row],[DAYS_SINCE_LAST_ORDER]],Table2[R-Cutoff],1)</f>
        <v>3</v>
      </c>
      <c r="X1554" s="2">
        <f>MATCH(Auto_Sales_data___Copy[[#This Row],[Total_Orders_Per_Customer]],Table2[F-Cutoff],1)</f>
        <v>2</v>
      </c>
      <c r="Y1554" s="2">
        <f>MATCH(Auto_Sales_data___Copy[[#This Row],[Total_Sales_Per_Customer]],Table2[M-Cutoff],1)</f>
        <v>3</v>
      </c>
      <c r="Z1554" s="2" t="str">
        <f>Auto_Sales_data___Copy[[#This Row],[R-Score(1-5)]]&amp;Auto_Sales_data___Copy[[#This Row],[F-Score(1-5)]]&amp;Auto_Sales_data___Copy[[#This Row],[M-Score(1-5)]]</f>
        <v>323</v>
      </c>
      <c r="AA1554" s="2" t="str" cm="1">
        <f t="array" ref="AA15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4" s="2" t="str">
        <f>VLOOKUP(Auto_Sales_data___Copy[[#This Row],[Segment Name]],Table3[],2,FALSE)</f>
        <v>Brand Awareness &amp; Value Proposition</v>
      </c>
    </row>
    <row r="1555" spans="1:28" x14ac:dyDescent="0.25">
      <c r="A1555">
        <v>10323</v>
      </c>
      <c r="B1555">
        <v>47</v>
      </c>
      <c r="C1555">
        <v>131.97999999999999</v>
      </c>
      <c r="D1555">
        <v>1</v>
      </c>
      <c r="E1555">
        <v>6203.06</v>
      </c>
      <c r="F1555" s="1">
        <v>43774</v>
      </c>
      <c r="G1555" s="2" t="s">
        <v>19</v>
      </c>
      <c r="H1555" s="2" t="s">
        <v>537</v>
      </c>
      <c r="I1555">
        <v>121</v>
      </c>
      <c r="J1555" s="2" t="s">
        <v>661</v>
      </c>
      <c r="K1555" s="2" t="s">
        <v>492</v>
      </c>
      <c r="L1555" s="2" t="s">
        <v>493</v>
      </c>
      <c r="M1555" s="2" t="s">
        <v>494</v>
      </c>
      <c r="N1555" s="2" t="s">
        <v>495</v>
      </c>
      <c r="O1555" s="2" t="s">
        <v>496</v>
      </c>
      <c r="P1555" s="2" t="s">
        <v>470</v>
      </c>
      <c r="Q1555" s="2" t="s">
        <v>497</v>
      </c>
      <c r="R1555" s="2" t="s">
        <v>438</v>
      </c>
      <c r="S1555" s="2" t="s">
        <v>46</v>
      </c>
      <c r="T1555">
        <v>1494</v>
      </c>
      <c r="U1555">
        <f>VLOOKUP(Auto_Sales_data___Copy[[#This Row],[CUSTOMER_NAME]],$AF$2:$AH$90,2,FALSE)</f>
        <v>22</v>
      </c>
      <c r="V1555">
        <f>VLOOKUP(Auto_Sales_data___Copy[[#This Row],[CUSTOMER_NAME]],$AF$2:$AH$90,3,FALSE)</f>
        <v>85171.59</v>
      </c>
      <c r="W1555" s="2">
        <f>6-MATCH(Auto_Sales_data___Copy[[#This Row],[DAYS_SINCE_LAST_ORDER]],Table2[R-Cutoff],1)</f>
        <v>3</v>
      </c>
      <c r="X1555" s="2">
        <f>MATCH(Auto_Sales_data___Copy[[#This Row],[Total_Orders_Per_Customer]],Table2[F-Cutoff],1)</f>
        <v>2</v>
      </c>
      <c r="Y1555" s="2">
        <f>MATCH(Auto_Sales_data___Copy[[#This Row],[Total_Sales_Per_Customer]],Table2[M-Cutoff],1)</f>
        <v>3</v>
      </c>
      <c r="Z1555" s="2" t="str">
        <f>Auto_Sales_data___Copy[[#This Row],[R-Score(1-5)]]&amp;Auto_Sales_data___Copy[[#This Row],[F-Score(1-5)]]&amp;Auto_Sales_data___Copy[[#This Row],[M-Score(1-5)]]</f>
        <v>323</v>
      </c>
      <c r="AA1555" s="2" t="str" cm="1">
        <f t="array" ref="AA15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5" s="2" t="str">
        <f>VLOOKUP(Auto_Sales_data___Copy[[#This Row],[Segment Name]],Table3[],2,FALSE)</f>
        <v>Brand Awareness &amp; Value Proposition</v>
      </c>
    </row>
    <row r="1556" spans="1:28" x14ac:dyDescent="0.25">
      <c r="A1556">
        <v>10331</v>
      </c>
      <c r="B1556">
        <v>27</v>
      </c>
      <c r="C1556">
        <v>42.24</v>
      </c>
      <c r="D1556">
        <v>13</v>
      </c>
      <c r="E1556">
        <v>1140.48</v>
      </c>
      <c r="F1556" s="1">
        <v>43786</v>
      </c>
      <c r="G1556" s="2" t="s">
        <v>19</v>
      </c>
      <c r="H1556" s="2" t="s">
        <v>183</v>
      </c>
      <c r="I1556">
        <v>37</v>
      </c>
      <c r="J1556" s="2" t="s">
        <v>680</v>
      </c>
      <c r="K1556" s="2" t="s">
        <v>323</v>
      </c>
      <c r="L1556" s="2" t="s">
        <v>324</v>
      </c>
      <c r="M1556" s="2" t="s">
        <v>325</v>
      </c>
      <c r="N1556" s="2" t="s">
        <v>220</v>
      </c>
      <c r="O1556" s="2" t="s">
        <v>221</v>
      </c>
      <c r="P1556" s="2" t="s">
        <v>27</v>
      </c>
      <c r="Q1556" s="2" t="s">
        <v>120</v>
      </c>
      <c r="R1556" s="2" t="s">
        <v>326</v>
      </c>
      <c r="S1556" s="2" t="s">
        <v>30</v>
      </c>
      <c r="T1556">
        <v>1948</v>
      </c>
      <c r="U1556">
        <f>VLOOKUP(Auto_Sales_data___Copy[[#This Row],[CUSTOMER_NAME]],$AF$2:$AH$90,2,FALSE)</f>
        <v>23</v>
      </c>
      <c r="V1556">
        <f>VLOOKUP(Auto_Sales_data___Copy[[#This Row],[CUSTOMER_NAME]],$AF$2:$AH$90,3,FALSE)</f>
        <v>83682.16</v>
      </c>
      <c r="W1556" s="2">
        <f>6-MATCH(Auto_Sales_data___Copy[[#This Row],[DAYS_SINCE_LAST_ORDER]],Table2[R-Cutoff],1)</f>
        <v>3</v>
      </c>
      <c r="X1556" s="2">
        <f>MATCH(Auto_Sales_data___Copy[[#This Row],[Total_Orders_Per_Customer]],Table2[F-Cutoff],1)</f>
        <v>2</v>
      </c>
      <c r="Y1556" s="2">
        <f>MATCH(Auto_Sales_data___Copy[[#This Row],[Total_Sales_Per_Customer]],Table2[M-Cutoff],1)</f>
        <v>3</v>
      </c>
      <c r="Z1556" s="2" t="str">
        <f>Auto_Sales_data___Copy[[#This Row],[R-Score(1-5)]]&amp;Auto_Sales_data___Copy[[#This Row],[F-Score(1-5)]]&amp;Auto_Sales_data___Copy[[#This Row],[M-Score(1-5)]]</f>
        <v>323</v>
      </c>
      <c r="AA1556" s="2" t="str" cm="1">
        <f t="array" ref="AA15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6" s="2" t="str">
        <f>VLOOKUP(Auto_Sales_data___Copy[[#This Row],[Segment Name]],Table3[],2,FALSE)</f>
        <v>Brand Awareness &amp; Value Proposition</v>
      </c>
    </row>
    <row r="1557" spans="1:28" x14ac:dyDescent="0.25">
      <c r="A1557">
        <v>10331</v>
      </c>
      <c r="B1557">
        <v>25</v>
      </c>
      <c r="C1557">
        <v>123.14</v>
      </c>
      <c r="D1557">
        <v>9</v>
      </c>
      <c r="E1557">
        <v>3078.5</v>
      </c>
      <c r="F1557" s="1">
        <v>43786</v>
      </c>
      <c r="G1557" s="2" t="s">
        <v>19</v>
      </c>
      <c r="H1557" s="2" t="s">
        <v>183</v>
      </c>
      <c r="I1557">
        <v>61</v>
      </c>
      <c r="J1557" s="2" t="s">
        <v>683</v>
      </c>
      <c r="K1557" s="2" t="s">
        <v>323</v>
      </c>
      <c r="L1557" s="2" t="s">
        <v>324</v>
      </c>
      <c r="M1557" s="2" t="s">
        <v>325</v>
      </c>
      <c r="N1557" s="2" t="s">
        <v>220</v>
      </c>
      <c r="O1557" s="2" t="s">
        <v>221</v>
      </c>
      <c r="P1557" s="2" t="s">
        <v>27</v>
      </c>
      <c r="Q1557" s="2" t="s">
        <v>120</v>
      </c>
      <c r="R1557" s="2" t="s">
        <v>326</v>
      </c>
      <c r="S1557" s="2" t="s">
        <v>46</v>
      </c>
      <c r="T1557">
        <v>2022</v>
      </c>
      <c r="U1557">
        <f>VLOOKUP(Auto_Sales_data___Copy[[#This Row],[CUSTOMER_NAME]],$AF$2:$AH$90,2,FALSE)</f>
        <v>23</v>
      </c>
      <c r="V1557">
        <f>VLOOKUP(Auto_Sales_data___Copy[[#This Row],[CUSTOMER_NAME]],$AF$2:$AH$90,3,FALSE)</f>
        <v>83682.16</v>
      </c>
      <c r="W1557" s="2">
        <f>6-MATCH(Auto_Sales_data___Copy[[#This Row],[DAYS_SINCE_LAST_ORDER]],Table2[R-Cutoff],1)</f>
        <v>3</v>
      </c>
      <c r="X1557" s="2">
        <f>MATCH(Auto_Sales_data___Copy[[#This Row],[Total_Orders_Per_Customer]],Table2[F-Cutoff],1)</f>
        <v>2</v>
      </c>
      <c r="Y1557" s="2">
        <f>MATCH(Auto_Sales_data___Copy[[#This Row],[Total_Sales_Per_Customer]],Table2[M-Cutoff],1)</f>
        <v>3</v>
      </c>
      <c r="Z1557" s="2" t="str">
        <f>Auto_Sales_data___Copy[[#This Row],[R-Score(1-5)]]&amp;Auto_Sales_data___Copy[[#This Row],[F-Score(1-5)]]&amp;Auto_Sales_data___Copy[[#This Row],[M-Score(1-5)]]</f>
        <v>323</v>
      </c>
      <c r="AA1557" s="2" t="str" cm="1">
        <f t="array" ref="AA15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7" s="2" t="str">
        <f>VLOOKUP(Auto_Sales_data___Copy[[#This Row],[Segment Name]],Table3[],2,FALSE)</f>
        <v>Brand Awareness &amp; Value Proposition</v>
      </c>
    </row>
    <row r="1558" spans="1:28" x14ac:dyDescent="0.25">
      <c r="A1558">
        <v>10336</v>
      </c>
      <c r="B1558">
        <v>45</v>
      </c>
      <c r="C1558">
        <v>132.72</v>
      </c>
      <c r="D1558">
        <v>4</v>
      </c>
      <c r="E1558">
        <v>5972.4</v>
      </c>
      <c r="F1558" s="1">
        <v>43789</v>
      </c>
      <c r="G1558" s="2" t="s">
        <v>19</v>
      </c>
      <c r="H1558" s="2" t="s">
        <v>183</v>
      </c>
      <c r="I1558">
        <v>57</v>
      </c>
      <c r="J1558" s="2" t="s">
        <v>666</v>
      </c>
      <c r="K1558" s="2" t="s">
        <v>425</v>
      </c>
      <c r="L1558" s="2" t="s">
        <v>426</v>
      </c>
      <c r="M1558" s="2" t="s">
        <v>427</v>
      </c>
      <c r="N1558" s="2" t="s">
        <v>42</v>
      </c>
      <c r="O1558" s="2" t="s">
        <v>428</v>
      </c>
      <c r="P1558" s="2" t="s">
        <v>36</v>
      </c>
      <c r="Q1558" s="2" t="s">
        <v>429</v>
      </c>
      <c r="R1558" s="2" t="s">
        <v>430</v>
      </c>
      <c r="S1558" s="2" t="s">
        <v>46</v>
      </c>
      <c r="T1558">
        <v>1601</v>
      </c>
      <c r="U1558">
        <f>VLOOKUP(Auto_Sales_data___Copy[[#This Row],[CUSTOMER_NAME]],$AF$2:$AH$90,2,FALSE)</f>
        <v>23</v>
      </c>
      <c r="V1558">
        <f>VLOOKUP(Auto_Sales_data___Copy[[#This Row],[CUSTOMER_NAME]],$AF$2:$AH$90,3,FALSE)</f>
        <v>97203.680000000008</v>
      </c>
      <c r="W1558" s="2">
        <f>6-MATCH(Auto_Sales_data___Copy[[#This Row],[DAYS_SINCE_LAST_ORDER]],Table2[R-Cutoff],1)</f>
        <v>3</v>
      </c>
      <c r="X1558" s="2">
        <f>MATCH(Auto_Sales_data___Copy[[#This Row],[Total_Orders_Per_Customer]],Table2[F-Cutoff],1)</f>
        <v>2</v>
      </c>
      <c r="Y1558" s="2">
        <f>MATCH(Auto_Sales_data___Copy[[#This Row],[Total_Sales_Per_Customer]],Table2[M-Cutoff],1)</f>
        <v>3</v>
      </c>
      <c r="Z1558" s="2" t="str">
        <f>Auto_Sales_data___Copy[[#This Row],[R-Score(1-5)]]&amp;Auto_Sales_data___Copy[[#This Row],[F-Score(1-5)]]&amp;Auto_Sales_data___Copy[[#This Row],[M-Score(1-5)]]</f>
        <v>323</v>
      </c>
      <c r="AA1558" s="2" t="str" cm="1">
        <f t="array" ref="AA15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8" s="2" t="str">
        <f>VLOOKUP(Auto_Sales_data___Copy[[#This Row],[Segment Name]],Table3[],2,FALSE)</f>
        <v>Brand Awareness &amp; Value Proposition</v>
      </c>
    </row>
    <row r="1559" spans="1:28" x14ac:dyDescent="0.25">
      <c r="A1559">
        <v>10401</v>
      </c>
      <c r="B1559">
        <v>38</v>
      </c>
      <c r="C1559">
        <v>96.29</v>
      </c>
      <c r="D1559">
        <v>5</v>
      </c>
      <c r="E1559">
        <v>3659.02</v>
      </c>
      <c r="F1559" s="1">
        <v>43924</v>
      </c>
      <c r="G1559" s="2" t="s">
        <v>423</v>
      </c>
      <c r="H1559" s="2" t="s">
        <v>607</v>
      </c>
      <c r="I1559">
        <v>109</v>
      </c>
      <c r="J1559" s="2" t="s">
        <v>669</v>
      </c>
      <c r="K1559" s="2" t="s">
        <v>95</v>
      </c>
      <c r="L1559" s="2" t="s">
        <v>96</v>
      </c>
      <c r="M1559" s="2" t="s">
        <v>97</v>
      </c>
      <c r="N1559" s="2" t="s">
        <v>98</v>
      </c>
      <c r="O1559" s="2" t="s">
        <v>99</v>
      </c>
      <c r="P1559" s="2" t="s">
        <v>27</v>
      </c>
      <c r="Q1559" s="2" t="s">
        <v>100</v>
      </c>
      <c r="R1559" s="2" t="s">
        <v>101</v>
      </c>
      <c r="S1559" s="2" t="s">
        <v>46</v>
      </c>
      <c r="T1559">
        <v>1543</v>
      </c>
      <c r="U1559">
        <f>VLOOKUP(Auto_Sales_data___Copy[[#This Row],[CUSTOMER_NAME]],$AF$2:$AH$90,2,FALSE)</f>
        <v>21</v>
      </c>
      <c r="V1559">
        <f>VLOOKUP(Auto_Sales_data___Copy[[#This Row],[CUSTOMER_NAME]],$AF$2:$AH$90,3,FALSE)</f>
        <v>83228.189999999973</v>
      </c>
      <c r="W1559" s="2">
        <f>6-MATCH(Auto_Sales_data___Copy[[#This Row],[DAYS_SINCE_LAST_ORDER]],Table2[R-Cutoff],1)</f>
        <v>3</v>
      </c>
      <c r="X1559" s="2">
        <f>MATCH(Auto_Sales_data___Copy[[#This Row],[Total_Orders_Per_Customer]],Table2[F-Cutoff],1)</f>
        <v>2</v>
      </c>
      <c r="Y1559" s="2">
        <f>MATCH(Auto_Sales_data___Copy[[#This Row],[Total_Sales_Per_Customer]],Table2[M-Cutoff],1)</f>
        <v>3</v>
      </c>
      <c r="Z1559" s="2" t="str">
        <f>Auto_Sales_data___Copy[[#This Row],[R-Score(1-5)]]&amp;Auto_Sales_data___Copy[[#This Row],[F-Score(1-5)]]&amp;Auto_Sales_data___Copy[[#This Row],[M-Score(1-5)]]</f>
        <v>323</v>
      </c>
      <c r="AA1559" s="2" t="str" cm="1">
        <f t="array" ref="AA15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9" s="2" t="str">
        <f>VLOOKUP(Auto_Sales_data___Copy[[#This Row],[Segment Name]],Table3[],2,FALSE)</f>
        <v>Brand Awareness &amp; Value Proposition</v>
      </c>
    </row>
    <row r="1560" spans="1:28" x14ac:dyDescent="0.25">
      <c r="A1560">
        <v>10401</v>
      </c>
      <c r="B1560">
        <v>64</v>
      </c>
      <c r="C1560">
        <v>60.05</v>
      </c>
      <c r="D1560">
        <v>12</v>
      </c>
      <c r="E1560">
        <v>3843.2</v>
      </c>
      <c r="F1560" s="1">
        <v>43924</v>
      </c>
      <c r="G1560" s="2" t="s">
        <v>423</v>
      </c>
      <c r="H1560" s="2" t="s">
        <v>607</v>
      </c>
      <c r="I1560">
        <v>68</v>
      </c>
      <c r="J1560" s="2" t="s">
        <v>688</v>
      </c>
      <c r="K1560" s="2" t="s">
        <v>95</v>
      </c>
      <c r="L1560" s="2" t="s">
        <v>96</v>
      </c>
      <c r="M1560" s="2" t="s">
        <v>97</v>
      </c>
      <c r="N1560" s="2" t="s">
        <v>98</v>
      </c>
      <c r="O1560" s="2" t="s">
        <v>99</v>
      </c>
      <c r="P1560" s="2" t="s">
        <v>27</v>
      </c>
      <c r="Q1560" s="2" t="s">
        <v>100</v>
      </c>
      <c r="R1560" s="2" t="s">
        <v>101</v>
      </c>
      <c r="S1560" s="2" t="s">
        <v>46</v>
      </c>
      <c r="T1560">
        <v>2016</v>
      </c>
      <c r="U1560">
        <f>VLOOKUP(Auto_Sales_data___Copy[[#This Row],[CUSTOMER_NAME]],$AF$2:$AH$90,2,FALSE)</f>
        <v>21</v>
      </c>
      <c r="V1560">
        <f>VLOOKUP(Auto_Sales_data___Copy[[#This Row],[CUSTOMER_NAME]],$AF$2:$AH$90,3,FALSE)</f>
        <v>83228.189999999973</v>
      </c>
      <c r="W1560" s="2">
        <f>6-MATCH(Auto_Sales_data___Copy[[#This Row],[DAYS_SINCE_LAST_ORDER]],Table2[R-Cutoff],1)</f>
        <v>3</v>
      </c>
      <c r="X1560" s="2">
        <f>MATCH(Auto_Sales_data___Copy[[#This Row],[Total_Orders_Per_Customer]],Table2[F-Cutoff],1)</f>
        <v>2</v>
      </c>
      <c r="Y1560" s="2">
        <f>MATCH(Auto_Sales_data___Copy[[#This Row],[Total_Sales_Per_Customer]],Table2[M-Cutoff],1)</f>
        <v>3</v>
      </c>
      <c r="Z1560" s="2" t="str">
        <f>Auto_Sales_data___Copy[[#This Row],[R-Score(1-5)]]&amp;Auto_Sales_data___Copy[[#This Row],[F-Score(1-5)]]&amp;Auto_Sales_data___Copy[[#This Row],[M-Score(1-5)]]</f>
        <v>323</v>
      </c>
      <c r="AA1560" s="2" t="str" cm="1">
        <f t="array" ref="AA15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60" s="2" t="str">
        <f>VLOOKUP(Auto_Sales_data___Copy[[#This Row],[Segment Name]],Table3[],2,FALSE)</f>
        <v>Brand Awareness &amp; Value Proposition</v>
      </c>
    </row>
    <row r="1561" spans="1:28" x14ac:dyDescent="0.25">
      <c r="A1561">
        <v>10405</v>
      </c>
      <c r="B1561">
        <v>47</v>
      </c>
      <c r="C1561">
        <v>44.56</v>
      </c>
      <c r="D1561">
        <v>2</v>
      </c>
      <c r="E1561">
        <v>2094.3200000000002</v>
      </c>
      <c r="F1561" s="1">
        <v>43935</v>
      </c>
      <c r="G1561" s="2" t="s">
        <v>19</v>
      </c>
      <c r="H1561" s="2" t="s">
        <v>183</v>
      </c>
      <c r="I1561">
        <v>37</v>
      </c>
      <c r="J1561" s="2" t="s">
        <v>680</v>
      </c>
      <c r="K1561" s="2" t="s">
        <v>568</v>
      </c>
      <c r="L1561" s="2" t="s">
        <v>569</v>
      </c>
      <c r="M1561" s="2" t="s">
        <v>570</v>
      </c>
      <c r="N1561" s="2" t="s">
        <v>571</v>
      </c>
      <c r="O1561" s="2" t="s">
        <v>572</v>
      </c>
      <c r="P1561" s="2" t="s">
        <v>36</v>
      </c>
      <c r="Q1561" s="2" t="s">
        <v>573</v>
      </c>
      <c r="R1561" s="2" t="s">
        <v>574</v>
      </c>
      <c r="S1561" s="2" t="s">
        <v>30</v>
      </c>
      <c r="T1561">
        <v>1805</v>
      </c>
      <c r="U1561">
        <f>VLOOKUP(Auto_Sales_data___Copy[[#This Row],[CUSTOMER_NAME]],$AF$2:$AH$90,2,FALSE)</f>
        <v>19</v>
      </c>
      <c r="V1561">
        <f>VLOOKUP(Auto_Sales_data___Copy[[#This Row],[CUSTOMER_NAME]],$AF$2:$AH$90,3,FALSE)</f>
        <v>80438.48</v>
      </c>
      <c r="W1561" s="2">
        <f>6-MATCH(Auto_Sales_data___Copy[[#This Row],[DAYS_SINCE_LAST_ORDER]],Table2[R-Cutoff],1)</f>
        <v>3</v>
      </c>
      <c r="X1561" s="2">
        <f>MATCH(Auto_Sales_data___Copy[[#This Row],[Total_Orders_Per_Customer]],Table2[F-Cutoff],1)</f>
        <v>2</v>
      </c>
      <c r="Y1561" s="2">
        <f>MATCH(Auto_Sales_data___Copy[[#This Row],[Total_Sales_Per_Customer]],Table2[M-Cutoff],1)</f>
        <v>3</v>
      </c>
      <c r="Z1561" s="2" t="str">
        <f>Auto_Sales_data___Copy[[#This Row],[R-Score(1-5)]]&amp;Auto_Sales_data___Copy[[#This Row],[F-Score(1-5)]]&amp;Auto_Sales_data___Copy[[#This Row],[M-Score(1-5)]]</f>
        <v>323</v>
      </c>
      <c r="AA1561" s="2" t="str" cm="1">
        <f t="array" ref="AA15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61" s="2" t="str">
        <f>VLOOKUP(Auto_Sales_data___Copy[[#This Row],[Segment Name]],Table3[],2,FALSE)</f>
        <v>Brand Awareness &amp; Value Proposition</v>
      </c>
    </row>
    <row r="1562" spans="1:28" x14ac:dyDescent="0.25">
      <c r="A1562">
        <v>10405</v>
      </c>
      <c r="B1562">
        <v>76</v>
      </c>
      <c r="C1562">
        <v>154.47</v>
      </c>
      <c r="D1562">
        <v>3</v>
      </c>
      <c r="E1562">
        <v>11739.7</v>
      </c>
      <c r="F1562" s="1">
        <v>43935</v>
      </c>
      <c r="G1562" s="2" t="s">
        <v>19</v>
      </c>
      <c r="H1562" s="2" t="s">
        <v>183</v>
      </c>
      <c r="I1562">
        <v>140</v>
      </c>
      <c r="J1562" s="2" t="s">
        <v>687</v>
      </c>
      <c r="K1562" s="2" t="s">
        <v>568</v>
      </c>
      <c r="L1562" s="2" t="s">
        <v>569</v>
      </c>
      <c r="M1562" s="2" t="s">
        <v>570</v>
      </c>
      <c r="N1562" s="2" t="s">
        <v>571</v>
      </c>
      <c r="O1562" s="2" t="s">
        <v>572</v>
      </c>
      <c r="P1562" s="2" t="s">
        <v>36</v>
      </c>
      <c r="Q1562" s="2" t="s">
        <v>573</v>
      </c>
      <c r="R1562" s="2" t="s">
        <v>574</v>
      </c>
      <c r="S1562" s="2" t="s">
        <v>151</v>
      </c>
      <c r="T1562">
        <v>1978</v>
      </c>
      <c r="U1562">
        <f>VLOOKUP(Auto_Sales_data___Copy[[#This Row],[CUSTOMER_NAME]],$AF$2:$AH$90,2,FALSE)</f>
        <v>19</v>
      </c>
      <c r="V1562">
        <f>VLOOKUP(Auto_Sales_data___Copy[[#This Row],[CUSTOMER_NAME]],$AF$2:$AH$90,3,FALSE)</f>
        <v>80438.48</v>
      </c>
      <c r="W1562" s="2">
        <f>6-MATCH(Auto_Sales_data___Copy[[#This Row],[DAYS_SINCE_LAST_ORDER]],Table2[R-Cutoff],1)</f>
        <v>3</v>
      </c>
      <c r="X1562" s="2">
        <f>MATCH(Auto_Sales_data___Copy[[#This Row],[Total_Orders_Per_Customer]],Table2[F-Cutoff],1)</f>
        <v>2</v>
      </c>
      <c r="Y1562" s="2">
        <f>MATCH(Auto_Sales_data___Copy[[#This Row],[Total_Sales_Per_Customer]],Table2[M-Cutoff],1)</f>
        <v>3</v>
      </c>
      <c r="Z1562" s="2" t="str">
        <f>Auto_Sales_data___Copy[[#This Row],[R-Score(1-5)]]&amp;Auto_Sales_data___Copy[[#This Row],[F-Score(1-5)]]&amp;Auto_Sales_data___Copy[[#This Row],[M-Score(1-5)]]</f>
        <v>323</v>
      </c>
      <c r="AA1562" s="2" t="str" cm="1">
        <f t="array" ref="AA15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62" s="2" t="str">
        <f>VLOOKUP(Auto_Sales_data___Copy[[#This Row],[Segment Name]],Table3[],2,FALSE)</f>
        <v>Brand Awareness &amp; Value Proposition</v>
      </c>
    </row>
    <row r="1563" spans="1:28" x14ac:dyDescent="0.25">
      <c r="A1563">
        <v>10112</v>
      </c>
      <c r="B1563">
        <v>23</v>
      </c>
      <c r="C1563">
        <v>110.43</v>
      </c>
      <c r="D1563">
        <v>2</v>
      </c>
      <c r="E1563">
        <v>2539.89</v>
      </c>
      <c r="F1563" s="1">
        <v>43183</v>
      </c>
      <c r="G1563" s="2" t="s">
        <v>19</v>
      </c>
      <c r="H1563" s="2" t="s">
        <v>589</v>
      </c>
      <c r="I1563">
        <v>101</v>
      </c>
      <c r="J1563" s="2" t="s">
        <v>640</v>
      </c>
      <c r="K1563" s="2" t="s">
        <v>185</v>
      </c>
      <c r="L1563" s="2" t="s">
        <v>186</v>
      </c>
      <c r="M1563" s="2" t="s">
        <v>187</v>
      </c>
      <c r="N1563" s="2" t="s">
        <v>188</v>
      </c>
      <c r="O1563" s="2" t="s">
        <v>189</v>
      </c>
      <c r="P1563" s="2" t="s">
        <v>190</v>
      </c>
      <c r="Q1563" s="2" t="s">
        <v>191</v>
      </c>
      <c r="R1563" s="2" t="s">
        <v>192</v>
      </c>
      <c r="S1563" s="2" t="s">
        <v>30</v>
      </c>
      <c r="T1563">
        <v>1648</v>
      </c>
      <c r="U1563">
        <f>VLOOKUP(Auto_Sales_data___Copy[[#This Row],[CUSTOMER_NAME]],$AF$2:$AH$90,2,FALSE)</f>
        <v>19</v>
      </c>
      <c r="V1563">
        <f>VLOOKUP(Auto_Sales_data___Copy[[#This Row],[CUSTOMER_NAME]],$AF$2:$AH$90,3,FALSE)</f>
        <v>75754.87999999999</v>
      </c>
      <c r="W1563" s="2">
        <f>6-MATCH(Auto_Sales_data___Copy[[#This Row],[DAYS_SINCE_LAST_ORDER]],Table2[R-Cutoff],1)</f>
        <v>3</v>
      </c>
      <c r="X1563" s="2">
        <f>MATCH(Auto_Sales_data___Copy[[#This Row],[Total_Orders_Per_Customer]],Table2[F-Cutoff],1)</f>
        <v>2</v>
      </c>
      <c r="Y1563" s="2">
        <f>MATCH(Auto_Sales_data___Copy[[#This Row],[Total_Sales_Per_Customer]],Table2[M-Cutoff],1)</f>
        <v>2</v>
      </c>
      <c r="Z1563" s="2" t="str">
        <f>Auto_Sales_data___Copy[[#This Row],[R-Score(1-5)]]&amp;Auto_Sales_data___Copy[[#This Row],[F-Score(1-5)]]&amp;Auto_Sales_data___Copy[[#This Row],[M-Score(1-5)]]</f>
        <v>322</v>
      </c>
      <c r="AA1563" s="2" t="str" cm="1">
        <f t="array" ref="AA15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3" s="2" t="str">
        <f>VLOOKUP(Auto_Sales_data___Copy[[#This Row],[Segment Name]],Table3[],2,FALSE)</f>
        <v>Re-Activation &amp; Re-Engagement</v>
      </c>
    </row>
    <row r="1564" spans="1:28" x14ac:dyDescent="0.25">
      <c r="A1564">
        <v>10136</v>
      </c>
      <c r="B1564">
        <v>41</v>
      </c>
      <c r="C1564">
        <v>203.21</v>
      </c>
      <c r="D1564">
        <v>3</v>
      </c>
      <c r="E1564">
        <v>8331.61</v>
      </c>
      <c r="F1564" s="1">
        <v>43285</v>
      </c>
      <c r="G1564" s="2" t="s">
        <v>19</v>
      </c>
      <c r="H1564" s="2" t="s">
        <v>183</v>
      </c>
      <c r="I1564">
        <v>169</v>
      </c>
      <c r="J1564" s="2" t="s">
        <v>649</v>
      </c>
      <c r="K1564" s="2" t="s">
        <v>359</v>
      </c>
      <c r="L1564" s="2" t="s">
        <v>360</v>
      </c>
      <c r="M1564" s="2" t="s">
        <v>361</v>
      </c>
      <c r="N1564" s="2" t="s">
        <v>362</v>
      </c>
      <c r="O1564" s="2" t="s">
        <v>363</v>
      </c>
      <c r="P1564" s="2" t="s">
        <v>36</v>
      </c>
      <c r="Q1564" s="2" t="s">
        <v>364</v>
      </c>
      <c r="R1564" s="2" t="s">
        <v>365</v>
      </c>
      <c r="S1564" s="2" t="s">
        <v>151</v>
      </c>
      <c r="T1564">
        <v>1675</v>
      </c>
      <c r="U1564">
        <f>VLOOKUP(Auto_Sales_data___Copy[[#This Row],[CUSTOMER_NAME]],$AF$2:$AH$90,2,FALSE)</f>
        <v>20</v>
      </c>
      <c r="V1564">
        <f>VLOOKUP(Auto_Sales_data___Copy[[#This Row],[CUSTOMER_NAME]],$AF$2:$AH$90,3,FALSE)</f>
        <v>70488.439999999988</v>
      </c>
      <c r="W1564" s="2">
        <f>6-MATCH(Auto_Sales_data___Copy[[#This Row],[DAYS_SINCE_LAST_ORDER]],Table2[R-Cutoff],1)</f>
        <v>3</v>
      </c>
      <c r="X1564" s="2">
        <f>MATCH(Auto_Sales_data___Copy[[#This Row],[Total_Orders_Per_Customer]],Table2[F-Cutoff],1)</f>
        <v>2</v>
      </c>
      <c r="Y1564" s="2">
        <f>MATCH(Auto_Sales_data___Copy[[#This Row],[Total_Sales_Per_Customer]],Table2[M-Cutoff],1)</f>
        <v>2</v>
      </c>
      <c r="Z1564" s="2" t="str">
        <f>Auto_Sales_data___Copy[[#This Row],[R-Score(1-5)]]&amp;Auto_Sales_data___Copy[[#This Row],[F-Score(1-5)]]&amp;Auto_Sales_data___Copy[[#This Row],[M-Score(1-5)]]</f>
        <v>322</v>
      </c>
      <c r="AA1564" s="2" t="str" cm="1">
        <f t="array" ref="AA15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4" s="2" t="str">
        <f>VLOOKUP(Auto_Sales_data___Copy[[#This Row],[Segment Name]],Table3[],2,FALSE)</f>
        <v>Re-Activation &amp; Re-Engagement</v>
      </c>
    </row>
    <row r="1565" spans="1:28" x14ac:dyDescent="0.25">
      <c r="A1565">
        <v>10163</v>
      </c>
      <c r="B1565">
        <v>40</v>
      </c>
      <c r="C1565">
        <v>122.52</v>
      </c>
      <c r="D1565">
        <v>3</v>
      </c>
      <c r="E1565">
        <v>4900.8</v>
      </c>
      <c r="F1565" s="1">
        <v>43393</v>
      </c>
      <c r="G1565" s="2" t="s">
        <v>19</v>
      </c>
      <c r="H1565" s="2" t="s">
        <v>589</v>
      </c>
      <c r="I1565">
        <v>104</v>
      </c>
      <c r="J1565" s="2" t="s">
        <v>647</v>
      </c>
      <c r="K1565" s="2" t="s">
        <v>206</v>
      </c>
      <c r="L1565" s="2" t="s">
        <v>207</v>
      </c>
      <c r="M1565" s="2" t="s">
        <v>208</v>
      </c>
      <c r="N1565" s="2" t="s">
        <v>25</v>
      </c>
      <c r="O1565" s="2" t="s">
        <v>26</v>
      </c>
      <c r="P1565" s="2" t="s">
        <v>27</v>
      </c>
      <c r="Q1565" s="2" t="s">
        <v>120</v>
      </c>
      <c r="R1565" s="2" t="s">
        <v>209</v>
      </c>
      <c r="S1565" s="2" t="s">
        <v>46</v>
      </c>
      <c r="T1565">
        <v>1516</v>
      </c>
      <c r="U1565">
        <f>VLOOKUP(Auto_Sales_data___Copy[[#This Row],[CUSTOMER_NAME]],$AF$2:$AH$90,2,FALSE)</f>
        <v>20</v>
      </c>
      <c r="V1565">
        <f>VLOOKUP(Auto_Sales_data___Copy[[#This Row],[CUSTOMER_NAME]],$AF$2:$AH$90,3,FALSE)</f>
        <v>77795.200000000012</v>
      </c>
      <c r="W1565" s="2">
        <f>6-MATCH(Auto_Sales_data___Copy[[#This Row],[DAYS_SINCE_LAST_ORDER]],Table2[R-Cutoff],1)</f>
        <v>3</v>
      </c>
      <c r="X1565" s="2">
        <f>MATCH(Auto_Sales_data___Copy[[#This Row],[Total_Orders_Per_Customer]],Table2[F-Cutoff],1)</f>
        <v>2</v>
      </c>
      <c r="Y1565" s="2">
        <f>MATCH(Auto_Sales_data___Copy[[#This Row],[Total_Sales_Per_Customer]],Table2[M-Cutoff],1)</f>
        <v>2</v>
      </c>
      <c r="Z1565" s="2" t="str">
        <f>Auto_Sales_data___Copy[[#This Row],[R-Score(1-5)]]&amp;Auto_Sales_data___Copy[[#This Row],[F-Score(1-5)]]&amp;Auto_Sales_data___Copy[[#This Row],[M-Score(1-5)]]</f>
        <v>322</v>
      </c>
      <c r="AA1565" s="2" t="str" cm="1">
        <f t="array" ref="AA15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5" s="2" t="str">
        <f>VLOOKUP(Auto_Sales_data___Copy[[#This Row],[Segment Name]],Table3[],2,FALSE)</f>
        <v>Re-Activation &amp; Re-Engagement</v>
      </c>
    </row>
    <row r="1566" spans="1:28" x14ac:dyDescent="0.25">
      <c r="A1566">
        <v>10163</v>
      </c>
      <c r="B1566">
        <v>43</v>
      </c>
      <c r="C1566">
        <v>116.08</v>
      </c>
      <c r="D1566">
        <v>6</v>
      </c>
      <c r="E1566">
        <v>4991.4399999999996</v>
      </c>
      <c r="F1566" s="1">
        <v>43393</v>
      </c>
      <c r="G1566" s="2" t="s">
        <v>19</v>
      </c>
      <c r="H1566" s="2" t="s">
        <v>589</v>
      </c>
      <c r="I1566">
        <v>99</v>
      </c>
      <c r="J1566" s="2" t="s">
        <v>653</v>
      </c>
      <c r="K1566" s="2" t="s">
        <v>206</v>
      </c>
      <c r="L1566" s="2" t="s">
        <v>207</v>
      </c>
      <c r="M1566" s="2" t="s">
        <v>208</v>
      </c>
      <c r="N1566" s="2" t="s">
        <v>25</v>
      </c>
      <c r="O1566" s="2" t="s">
        <v>26</v>
      </c>
      <c r="P1566" s="2" t="s">
        <v>27</v>
      </c>
      <c r="Q1566" s="2" t="s">
        <v>120</v>
      </c>
      <c r="R1566" s="2" t="s">
        <v>209</v>
      </c>
      <c r="S1566" s="2" t="s">
        <v>46</v>
      </c>
      <c r="T1566">
        <v>1665</v>
      </c>
      <c r="U1566">
        <f>VLOOKUP(Auto_Sales_data___Copy[[#This Row],[CUSTOMER_NAME]],$AF$2:$AH$90,2,FALSE)</f>
        <v>20</v>
      </c>
      <c r="V1566">
        <f>VLOOKUP(Auto_Sales_data___Copy[[#This Row],[CUSTOMER_NAME]],$AF$2:$AH$90,3,FALSE)</f>
        <v>77795.200000000012</v>
      </c>
      <c r="W1566" s="2">
        <f>6-MATCH(Auto_Sales_data___Copy[[#This Row],[DAYS_SINCE_LAST_ORDER]],Table2[R-Cutoff],1)</f>
        <v>3</v>
      </c>
      <c r="X1566" s="2">
        <f>MATCH(Auto_Sales_data___Copy[[#This Row],[Total_Orders_Per_Customer]],Table2[F-Cutoff],1)</f>
        <v>2</v>
      </c>
      <c r="Y1566" s="2">
        <f>MATCH(Auto_Sales_data___Copy[[#This Row],[Total_Sales_Per_Customer]],Table2[M-Cutoff],1)</f>
        <v>2</v>
      </c>
      <c r="Z1566" s="2" t="str">
        <f>Auto_Sales_data___Copy[[#This Row],[R-Score(1-5)]]&amp;Auto_Sales_data___Copy[[#This Row],[F-Score(1-5)]]&amp;Auto_Sales_data___Copy[[#This Row],[M-Score(1-5)]]</f>
        <v>322</v>
      </c>
      <c r="AA1566" s="2" t="str" cm="1">
        <f t="array" ref="AA15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6" s="2" t="str">
        <f>VLOOKUP(Auto_Sales_data___Copy[[#This Row],[Segment Name]],Table3[],2,FALSE)</f>
        <v>Re-Activation &amp; Re-Engagement</v>
      </c>
    </row>
    <row r="1567" spans="1:28" x14ac:dyDescent="0.25">
      <c r="A1567">
        <v>10171</v>
      </c>
      <c r="B1567">
        <v>39</v>
      </c>
      <c r="C1567">
        <v>140.55000000000001</v>
      </c>
      <c r="D1567">
        <v>3</v>
      </c>
      <c r="E1567">
        <v>5481.45</v>
      </c>
      <c r="F1567" s="1">
        <v>43409</v>
      </c>
      <c r="G1567" s="2" t="s">
        <v>19</v>
      </c>
      <c r="H1567" s="2" t="s">
        <v>183</v>
      </c>
      <c r="I1567">
        <v>169</v>
      </c>
      <c r="J1567" s="2" t="s">
        <v>649</v>
      </c>
      <c r="K1567" s="2" t="s">
        <v>307</v>
      </c>
      <c r="L1567" s="2" t="s">
        <v>308</v>
      </c>
      <c r="M1567" s="2" t="s">
        <v>309</v>
      </c>
      <c r="N1567" s="2" t="s">
        <v>310</v>
      </c>
      <c r="O1567" s="2" t="s">
        <v>311</v>
      </c>
      <c r="P1567" s="2" t="s">
        <v>236</v>
      </c>
      <c r="Q1567" s="2" t="s">
        <v>312</v>
      </c>
      <c r="R1567" s="2" t="s">
        <v>313</v>
      </c>
      <c r="S1567" s="2" t="s">
        <v>46</v>
      </c>
      <c r="T1567">
        <v>1556</v>
      </c>
      <c r="U1567">
        <f>VLOOKUP(Auto_Sales_data___Copy[[#This Row],[CUSTOMER_NAME]],$AF$2:$AH$90,2,FALSE)</f>
        <v>22</v>
      </c>
      <c r="V1567">
        <f>VLOOKUP(Auto_Sales_data___Copy[[#This Row],[CUSTOMER_NAME]],$AF$2:$AH$90,3,FALSE)</f>
        <v>74204.790000000008</v>
      </c>
      <c r="W1567" s="2">
        <f>6-MATCH(Auto_Sales_data___Copy[[#This Row],[DAYS_SINCE_LAST_ORDER]],Table2[R-Cutoff],1)</f>
        <v>3</v>
      </c>
      <c r="X1567" s="2">
        <f>MATCH(Auto_Sales_data___Copy[[#This Row],[Total_Orders_Per_Customer]],Table2[F-Cutoff],1)</f>
        <v>2</v>
      </c>
      <c r="Y1567" s="2">
        <f>MATCH(Auto_Sales_data___Copy[[#This Row],[Total_Sales_Per_Customer]],Table2[M-Cutoff],1)</f>
        <v>2</v>
      </c>
      <c r="Z1567" s="2" t="str">
        <f>Auto_Sales_data___Copy[[#This Row],[R-Score(1-5)]]&amp;Auto_Sales_data___Copy[[#This Row],[F-Score(1-5)]]&amp;Auto_Sales_data___Copy[[#This Row],[M-Score(1-5)]]</f>
        <v>322</v>
      </c>
      <c r="AA1567" s="2" t="str" cm="1">
        <f t="array" ref="AA15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7" s="2" t="str">
        <f>VLOOKUP(Auto_Sales_data___Copy[[#This Row],[Segment Name]],Table3[],2,FALSE)</f>
        <v>Re-Activation &amp; Re-Engagement</v>
      </c>
    </row>
    <row r="1568" spans="1:28" x14ac:dyDescent="0.25">
      <c r="A1568">
        <v>10178</v>
      </c>
      <c r="B1568">
        <v>48</v>
      </c>
      <c r="C1568">
        <v>112.22</v>
      </c>
      <c r="D1568">
        <v>9</v>
      </c>
      <c r="E1568">
        <v>5386.56</v>
      </c>
      <c r="F1568" s="1">
        <v>43412</v>
      </c>
      <c r="G1568" s="2" t="s">
        <v>19</v>
      </c>
      <c r="H1568" s="2" t="s">
        <v>589</v>
      </c>
      <c r="I1568">
        <v>105</v>
      </c>
      <c r="J1568" s="2" t="s">
        <v>657</v>
      </c>
      <c r="K1568" s="2" t="s">
        <v>359</v>
      </c>
      <c r="L1568" s="2" t="s">
        <v>360</v>
      </c>
      <c r="M1568" s="2" t="s">
        <v>361</v>
      </c>
      <c r="N1568" s="2" t="s">
        <v>362</v>
      </c>
      <c r="O1568" s="2" t="s">
        <v>363</v>
      </c>
      <c r="P1568" s="2" t="s">
        <v>36</v>
      </c>
      <c r="Q1568" s="2" t="s">
        <v>364</v>
      </c>
      <c r="R1568" s="2" t="s">
        <v>365</v>
      </c>
      <c r="S1568" s="2" t="s">
        <v>46</v>
      </c>
      <c r="T1568">
        <v>1745</v>
      </c>
      <c r="U1568">
        <f>VLOOKUP(Auto_Sales_data___Copy[[#This Row],[CUSTOMER_NAME]],$AF$2:$AH$90,2,FALSE)</f>
        <v>20</v>
      </c>
      <c r="V1568">
        <f>VLOOKUP(Auto_Sales_data___Copy[[#This Row],[CUSTOMER_NAME]],$AF$2:$AH$90,3,FALSE)</f>
        <v>70488.439999999988</v>
      </c>
      <c r="W1568" s="2">
        <f>6-MATCH(Auto_Sales_data___Copy[[#This Row],[DAYS_SINCE_LAST_ORDER]],Table2[R-Cutoff],1)</f>
        <v>3</v>
      </c>
      <c r="X1568" s="2">
        <f>MATCH(Auto_Sales_data___Copy[[#This Row],[Total_Orders_Per_Customer]],Table2[F-Cutoff],1)</f>
        <v>2</v>
      </c>
      <c r="Y1568" s="2">
        <f>MATCH(Auto_Sales_data___Copy[[#This Row],[Total_Sales_Per_Customer]],Table2[M-Cutoff],1)</f>
        <v>2</v>
      </c>
      <c r="Z1568" s="2" t="str">
        <f>Auto_Sales_data___Copy[[#This Row],[R-Score(1-5)]]&amp;Auto_Sales_data___Copy[[#This Row],[F-Score(1-5)]]&amp;Auto_Sales_data___Copy[[#This Row],[M-Score(1-5)]]</f>
        <v>322</v>
      </c>
      <c r="AA1568" s="2" t="str" cm="1">
        <f t="array" ref="AA15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8" s="2" t="str">
        <f>VLOOKUP(Auto_Sales_data___Copy[[#This Row],[Segment Name]],Table3[],2,FALSE)</f>
        <v>Re-Activation &amp; Re-Engagement</v>
      </c>
    </row>
    <row r="1569" spans="1:28" x14ac:dyDescent="0.25">
      <c r="A1569">
        <v>10180</v>
      </c>
      <c r="B1569">
        <v>21</v>
      </c>
      <c r="C1569">
        <v>50.36</v>
      </c>
      <c r="D1569">
        <v>3</v>
      </c>
      <c r="E1569">
        <v>1057.56</v>
      </c>
      <c r="F1569" s="1">
        <v>43415</v>
      </c>
      <c r="G1569" s="2" t="s">
        <v>19</v>
      </c>
      <c r="H1569" s="2" t="s">
        <v>20</v>
      </c>
      <c r="I1569">
        <v>62</v>
      </c>
      <c r="J1569" s="2" t="s">
        <v>656</v>
      </c>
      <c r="K1569" s="2" t="s">
        <v>61</v>
      </c>
      <c r="L1569" s="2" t="s">
        <v>62</v>
      </c>
      <c r="M1569" s="2" t="s">
        <v>63</v>
      </c>
      <c r="N1569" s="2" t="s">
        <v>64</v>
      </c>
      <c r="O1569" s="2" t="s">
        <v>65</v>
      </c>
      <c r="P1569" s="2" t="s">
        <v>36</v>
      </c>
      <c r="Q1569" s="2" t="s">
        <v>66</v>
      </c>
      <c r="R1569" s="2" t="s">
        <v>67</v>
      </c>
      <c r="S1569" s="2" t="s">
        <v>30</v>
      </c>
      <c r="T1569">
        <v>1717</v>
      </c>
      <c r="U1569">
        <f>VLOOKUP(Auto_Sales_data___Copy[[#This Row],[CUSTOMER_NAME]],$AF$2:$AH$90,2,FALSE)</f>
        <v>20</v>
      </c>
      <c r="V1569">
        <f>VLOOKUP(Auto_Sales_data___Copy[[#This Row],[CUSTOMER_NAME]],$AF$2:$AH$90,3,FALSE)</f>
        <v>69052.41</v>
      </c>
      <c r="W1569" s="2">
        <f>6-MATCH(Auto_Sales_data___Copy[[#This Row],[DAYS_SINCE_LAST_ORDER]],Table2[R-Cutoff],1)</f>
        <v>3</v>
      </c>
      <c r="X1569" s="2">
        <f>MATCH(Auto_Sales_data___Copy[[#This Row],[Total_Orders_Per_Customer]],Table2[F-Cutoff],1)</f>
        <v>2</v>
      </c>
      <c r="Y1569" s="2">
        <f>MATCH(Auto_Sales_data___Copy[[#This Row],[Total_Sales_Per_Customer]],Table2[M-Cutoff],1)</f>
        <v>2</v>
      </c>
      <c r="Z1569" s="2" t="str">
        <f>Auto_Sales_data___Copy[[#This Row],[R-Score(1-5)]]&amp;Auto_Sales_data___Copy[[#This Row],[F-Score(1-5)]]&amp;Auto_Sales_data___Copy[[#This Row],[M-Score(1-5)]]</f>
        <v>322</v>
      </c>
      <c r="AA1569" s="2" t="str" cm="1">
        <f t="array" ref="AA15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9" s="2" t="str">
        <f>VLOOKUP(Auto_Sales_data___Copy[[#This Row],[Segment Name]],Table3[],2,FALSE)</f>
        <v>Re-Activation &amp; Re-Engagement</v>
      </c>
    </row>
    <row r="1570" spans="1:28" x14ac:dyDescent="0.25">
      <c r="A1570">
        <v>10180</v>
      </c>
      <c r="B1570">
        <v>44</v>
      </c>
      <c r="C1570">
        <v>126.48</v>
      </c>
      <c r="D1570">
        <v>2</v>
      </c>
      <c r="E1570">
        <v>5565.12</v>
      </c>
      <c r="F1570" s="1">
        <v>43415</v>
      </c>
      <c r="G1570" s="2" t="s">
        <v>19</v>
      </c>
      <c r="H1570" s="2" t="s">
        <v>183</v>
      </c>
      <c r="I1570">
        <v>148</v>
      </c>
      <c r="J1570" s="2" t="s">
        <v>663</v>
      </c>
      <c r="K1570" s="2" t="s">
        <v>61</v>
      </c>
      <c r="L1570" s="2" t="s">
        <v>62</v>
      </c>
      <c r="M1570" s="2" t="s">
        <v>63</v>
      </c>
      <c r="N1570" s="2" t="s">
        <v>64</v>
      </c>
      <c r="O1570" s="2" t="s">
        <v>65</v>
      </c>
      <c r="P1570" s="2" t="s">
        <v>36</v>
      </c>
      <c r="Q1570" s="2" t="s">
        <v>66</v>
      </c>
      <c r="R1570" s="2" t="s">
        <v>67</v>
      </c>
      <c r="S1570" s="2" t="s">
        <v>46</v>
      </c>
      <c r="T1570">
        <v>1892</v>
      </c>
      <c r="U1570">
        <f>VLOOKUP(Auto_Sales_data___Copy[[#This Row],[CUSTOMER_NAME]],$AF$2:$AH$90,2,FALSE)</f>
        <v>20</v>
      </c>
      <c r="V1570">
        <f>VLOOKUP(Auto_Sales_data___Copy[[#This Row],[CUSTOMER_NAME]],$AF$2:$AH$90,3,FALSE)</f>
        <v>69052.41</v>
      </c>
      <c r="W1570" s="2">
        <f>6-MATCH(Auto_Sales_data___Copy[[#This Row],[DAYS_SINCE_LAST_ORDER]],Table2[R-Cutoff],1)</f>
        <v>3</v>
      </c>
      <c r="X1570" s="2">
        <f>MATCH(Auto_Sales_data___Copy[[#This Row],[Total_Orders_Per_Customer]],Table2[F-Cutoff],1)</f>
        <v>2</v>
      </c>
      <c r="Y1570" s="2">
        <f>MATCH(Auto_Sales_data___Copy[[#This Row],[Total_Sales_Per_Customer]],Table2[M-Cutoff],1)</f>
        <v>2</v>
      </c>
      <c r="Z1570" s="2" t="str">
        <f>Auto_Sales_data___Copy[[#This Row],[R-Score(1-5)]]&amp;Auto_Sales_data___Copy[[#This Row],[F-Score(1-5)]]&amp;Auto_Sales_data___Copy[[#This Row],[M-Score(1-5)]]</f>
        <v>322</v>
      </c>
      <c r="AA1570" s="2" t="str" cm="1">
        <f t="array" ref="AA15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0" s="2" t="str">
        <f>VLOOKUP(Auto_Sales_data___Copy[[#This Row],[Segment Name]],Table3[],2,FALSE)</f>
        <v>Re-Activation &amp; Re-Engagement</v>
      </c>
    </row>
    <row r="1571" spans="1:28" x14ac:dyDescent="0.25">
      <c r="A1571">
        <v>10180</v>
      </c>
      <c r="B1571">
        <v>48</v>
      </c>
      <c r="C1571">
        <v>111.57</v>
      </c>
      <c r="D1571">
        <v>10</v>
      </c>
      <c r="E1571">
        <v>5355.36</v>
      </c>
      <c r="F1571" s="1">
        <v>43415</v>
      </c>
      <c r="G1571" s="2" t="s">
        <v>19</v>
      </c>
      <c r="H1571" s="2" t="s">
        <v>20</v>
      </c>
      <c r="I1571">
        <v>112</v>
      </c>
      <c r="J1571" s="2" t="s">
        <v>667</v>
      </c>
      <c r="K1571" s="2" t="s">
        <v>61</v>
      </c>
      <c r="L1571" s="2" t="s">
        <v>62</v>
      </c>
      <c r="M1571" s="2" t="s">
        <v>63</v>
      </c>
      <c r="N1571" s="2" t="s">
        <v>64</v>
      </c>
      <c r="O1571" s="2" t="s">
        <v>65</v>
      </c>
      <c r="P1571" s="2" t="s">
        <v>36</v>
      </c>
      <c r="Q1571" s="2" t="s">
        <v>66</v>
      </c>
      <c r="R1571" s="2" t="s">
        <v>67</v>
      </c>
      <c r="S1571" s="2" t="s">
        <v>46</v>
      </c>
      <c r="T1571">
        <v>1988</v>
      </c>
      <c r="U1571">
        <f>VLOOKUP(Auto_Sales_data___Copy[[#This Row],[CUSTOMER_NAME]],$AF$2:$AH$90,2,FALSE)</f>
        <v>20</v>
      </c>
      <c r="V1571">
        <f>VLOOKUP(Auto_Sales_data___Copy[[#This Row],[CUSTOMER_NAME]],$AF$2:$AH$90,3,FALSE)</f>
        <v>69052.41</v>
      </c>
      <c r="W1571" s="2">
        <f>6-MATCH(Auto_Sales_data___Copy[[#This Row],[DAYS_SINCE_LAST_ORDER]],Table2[R-Cutoff],1)</f>
        <v>3</v>
      </c>
      <c r="X1571" s="2">
        <f>MATCH(Auto_Sales_data___Copy[[#This Row],[Total_Orders_Per_Customer]],Table2[F-Cutoff],1)</f>
        <v>2</v>
      </c>
      <c r="Y1571" s="2">
        <f>MATCH(Auto_Sales_data___Copy[[#This Row],[Total_Sales_Per_Customer]],Table2[M-Cutoff],1)</f>
        <v>2</v>
      </c>
      <c r="Z1571" s="2" t="str">
        <f>Auto_Sales_data___Copy[[#This Row],[R-Score(1-5)]]&amp;Auto_Sales_data___Copy[[#This Row],[F-Score(1-5)]]&amp;Auto_Sales_data___Copy[[#This Row],[M-Score(1-5)]]</f>
        <v>322</v>
      </c>
      <c r="AA1571" s="2" t="str" cm="1">
        <f t="array" ref="AA15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1" s="2" t="str">
        <f>VLOOKUP(Auto_Sales_data___Copy[[#This Row],[Segment Name]],Table3[],2,FALSE)</f>
        <v>Re-Activation &amp; Re-Engagement</v>
      </c>
    </row>
    <row r="1572" spans="1:28" x14ac:dyDescent="0.25">
      <c r="A1572">
        <v>10183</v>
      </c>
      <c r="B1572">
        <v>22</v>
      </c>
      <c r="C1572">
        <v>113.1</v>
      </c>
      <c r="D1572">
        <v>10</v>
      </c>
      <c r="E1572">
        <v>2488.1999999999998</v>
      </c>
      <c r="F1572" s="1">
        <v>43417</v>
      </c>
      <c r="G1572" s="2" t="s">
        <v>19</v>
      </c>
      <c r="H1572" s="2" t="s">
        <v>589</v>
      </c>
      <c r="I1572">
        <v>104</v>
      </c>
      <c r="J1572" s="2" t="s">
        <v>647</v>
      </c>
      <c r="K1572" s="2" t="s">
        <v>217</v>
      </c>
      <c r="L1572" s="2" t="s">
        <v>218</v>
      </c>
      <c r="M1572" s="2" t="s">
        <v>219</v>
      </c>
      <c r="N1572" s="2" t="s">
        <v>220</v>
      </c>
      <c r="O1572" s="2" t="s">
        <v>221</v>
      </c>
      <c r="P1572" s="2" t="s">
        <v>27</v>
      </c>
      <c r="Q1572" s="2" t="s">
        <v>222</v>
      </c>
      <c r="R1572" s="2" t="s">
        <v>223</v>
      </c>
      <c r="S1572" s="2" t="s">
        <v>30</v>
      </c>
      <c r="T1572">
        <v>1494</v>
      </c>
      <c r="U1572">
        <f>VLOOKUP(Auto_Sales_data___Copy[[#This Row],[CUSTOMER_NAME]],$AF$2:$AH$90,2,FALSE)</f>
        <v>21</v>
      </c>
      <c r="V1572">
        <f>VLOOKUP(Auto_Sales_data___Copy[[#This Row],[CUSTOMER_NAME]],$AF$2:$AH$90,3,FALSE)</f>
        <v>67506.969999999987</v>
      </c>
      <c r="W1572" s="2">
        <f>6-MATCH(Auto_Sales_data___Copy[[#This Row],[DAYS_SINCE_LAST_ORDER]],Table2[R-Cutoff],1)</f>
        <v>3</v>
      </c>
      <c r="X1572" s="2">
        <f>MATCH(Auto_Sales_data___Copy[[#This Row],[Total_Orders_Per_Customer]],Table2[F-Cutoff],1)</f>
        <v>2</v>
      </c>
      <c r="Y1572" s="2">
        <f>MATCH(Auto_Sales_data___Copy[[#This Row],[Total_Sales_Per_Customer]],Table2[M-Cutoff],1)</f>
        <v>2</v>
      </c>
      <c r="Z1572" s="2" t="str">
        <f>Auto_Sales_data___Copy[[#This Row],[R-Score(1-5)]]&amp;Auto_Sales_data___Copy[[#This Row],[F-Score(1-5)]]&amp;Auto_Sales_data___Copy[[#This Row],[M-Score(1-5)]]</f>
        <v>322</v>
      </c>
      <c r="AA1572" s="2" t="str" cm="1">
        <f t="array" ref="AA15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2" s="2" t="str">
        <f>VLOOKUP(Auto_Sales_data___Copy[[#This Row],[Segment Name]],Table3[],2,FALSE)</f>
        <v>Re-Activation &amp; Re-Engagement</v>
      </c>
    </row>
    <row r="1573" spans="1:28" x14ac:dyDescent="0.25">
      <c r="A1573">
        <v>10183</v>
      </c>
      <c r="B1573">
        <v>21</v>
      </c>
      <c r="C1573">
        <v>116.24</v>
      </c>
      <c r="D1573">
        <v>2</v>
      </c>
      <c r="E1573">
        <v>2441.04</v>
      </c>
      <c r="F1573" s="1">
        <v>43417</v>
      </c>
      <c r="G1573" s="2" t="s">
        <v>19</v>
      </c>
      <c r="H1573" s="2" t="s">
        <v>537</v>
      </c>
      <c r="I1573">
        <v>121</v>
      </c>
      <c r="J1573" s="2" t="s">
        <v>661</v>
      </c>
      <c r="K1573" s="2" t="s">
        <v>217</v>
      </c>
      <c r="L1573" s="2" t="s">
        <v>218</v>
      </c>
      <c r="M1573" s="2" t="s">
        <v>219</v>
      </c>
      <c r="N1573" s="2" t="s">
        <v>220</v>
      </c>
      <c r="O1573" s="2" t="s">
        <v>221</v>
      </c>
      <c r="P1573" s="2" t="s">
        <v>27</v>
      </c>
      <c r="Q1573" s="2" t="s">
        <v>222</v>
      </c>
      <c r="R1573" s="2" t="s">
        <v>223</v>
      </c>
      <c r="S1573" s="2" t="s">
        <v>30</v>
      </c>
      <c r="T1573">
        <v>1839</v>
      </c>
      <c r="U1573">
        <f>VLOOKUP(Auto_Sales_data___Copy[[#This Row],[CUSTOMER_NAME]],$AF$2:$AH$90,2,FALSE)</f>
        <v>21</v>
      </c>
      <c r="V1573">
        <f>VLOOKUP(Auto_Sales_data___Copy[[#This Row],[CUSTOMER_NAME]],$AF$2:$AH$90,3,FALSE)</f>
        <v>67506.969999999987</v>
      </c>
      <c r="W1573" s="2">
        <f>6-MATCH(Auto_Sales_data___Copy[[#This Row],[DAYS_SINCE_LAST_ORDER]],Table2[R-Cutoff],1)</f>
        <v>3</v>
      </c>
      <c r="X1573" s="2">
        <f>MATCH(Auto_Sales_data___Copy[[#This Row],[Total_Orders_Per_Customer]],Table2[F-Cutoff],1)</f>
        <v>2</v>
      </c>
      <c r="Y1573" s="2">
        <f>MATCH(Auto_Sales_data___Copy[[#This Row],[Total_Sales_Per_Customer]],Table2[M-Cutoff],1)</f>
        <v>2</v>
      </c>
      <c r="Z1573" s="2" t="str">
        <f>Auto_Sales_data___Copy[[#This Row],[R-Score(1-5)]]&amp;Auto_Sales_data___Copy[[#This Row],[F-Score(1-5)]]&amp;Auto_Sales_data___Copy[[#This Row],[M-Score(1-5)]]</f>
        <v>322</v>
      </c>
      <c r="AA1573" s="2" t="str" cm="1">
        <f t="array" ref="AA15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3" s="2" t="str">
        <f>VLOOKUP(Auto_Sales_data___Copy[[#This Row],[Segment Name]],Table3[],2,FALSE)</f>
        <v>Re-Activation &amp; Re-Engagement</v>
      </c>
    </row>
    <row r="1574" spans="1:28" x14ac:dyDescent="0.25">
      <c r="A1574">
        <v>10183</v>
      </c>
      <c r="B1574">
        <v>40</v>
      </c>
      <c r="C1574">
        <v>49.3</v>
      </c>
      <c r="D1574">
        <v>6</v>
      </c>
      <c r="E1574">
        <v>1972</v>
      </c>
      <c r="F1574" s="1">
        <v>43417</v>
      </c>
      <c r="G1574" s="2" t="s">
        <v>19</v>
      </c>
      <c r="H1574" s="2" t="s">
        <v>589</v>
      </c>
      <c r="I1574">
        <v>50</v>
      </c>
      <c r="J1574" s="2" t="s">
        <v>662</v>
      </c>
      <c r="K1574" s="2" t="s">
        <v>217</v>
      </c>
      <c r="L1574" s="2" t="s">
        <v>218</v>
      </c>
      <c r="M1574" s="2" t="s">
        <v>219</v>
      </c>
      <c r="N1574" s="2" t="s">
        <v>220</v>
      </c>
      <c r="O1574" s="2" t="s">
        <v>221</v>
      </c>
      <c r="P1574" s="2" t="s">
        <v>27</v>
      </c>
      <c r="Q1574" s="2" t="s">
        <v>222</v>
      </c>
      <c r="R1574" s="2" t="s">
        <v>223</v>
      </c>
      <c r="S1574" s="2" t="s">
        <v>30</v>
      </c>
      <c r="T1574">
        <v>1866</v>
      </c>
      <c r="U1574">
        <f>VLOOKUP(Auto_Sales_data___Copy[[#This Row],[CUSTOMER_NAME]],$AF$2:$AH$90,2,FALSE)</f>
        <v>21</v>
      </c>
      <c r="V1574">
        <f>VLOOKUP(Auto_Sales_data___Copy[[#This Row],[CUSTOMER_NAME]],$AF$2:$AH$90,3,FALSE)</f>
        <v>67506.969999999987</v>
      </c>
      <c r="W1574" s="2">
        <f>6-MATCH(Auto_Sales_data___Copy[[#This Row],[DAYS_SINCE_LAST_ORDER]],Table2[R-Cutoff],1)</f>
        <v>3</v>
      </c>
      <c r="X1574" s="2">
        <f>MATCH(Auto_Sales_data___Copy[[#This Row],[Total_Orders_Per_Customer]],Table2[F-Cutoff],1)</f>
        <v>2</v>
      </c>
      <c r="Y1574" s="2">
        <f>MATCH(Auto_Sales_data___Copy[[#This Row],[Total_Sales_Per_Customer]],Table2[M-Cutoff],1)</f>
        <v>2</v>
      </c>
      <c r="Z1574" s="2" t="str">
        <f>Auto_Sales_data___Copy[[#This Row],[R-Score(1-5)]]&amp;Auto_Sales_data___Copy[[#This Row],[F-Score(1-5)]]&amp;Auto_Sales_data___Copy[[#This Row],[M-Score(1-5)]]</f>
        <v>322</v>
      </c>
      <c r="AA1574" s="2" t="str" cm="1">
        <f t="array" ref="AA15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4" s="2" t="str">
        <f>VLOOKUP(Auto_Sales_data___Copy[[#This Row],[Segment Name]],Table3[],2,FALSE)</f>
        <v>Re-Activation &amp; Re-Engagement</v>
      </c>
    </row>
    <row r="1575" spans="1:28" x14ac:dyDescent="0.25">
      <c r="A1575">
        <v>10197</v>
      </c>
      <c r="B1575">
        <v>22</v>
      </c>
      <c r="C1575">
        <v>115.4</v>
      </c>
      <c r="D1575">
        <v>3</v>
      </c>
      <c r="E1575">
        <v>2538.8000000000002</v>
      </c>
      <c r="F1575" s="1">
        <v>43430</v>
      </c>
      <c r="G1575" s="2" t="s">
        <v>19</v>
      </c>
      <c r="H1575" s="2" t="s">
        <v>589</v>
      </c>
      <c r="I1575">
        <v>105</v>
      </c>
      <c r="J1575" s="2" t="s">
        <v>657</v>
      </c>
      <c r="K1575" s="2" t="s">
        <v>372</v>
      </c>
      <c r="L1575" s="2" t="s">
        <v>373</v>
      </c>
      <c r="M1575" s="2" t="s">
        <v>374</v>
      </c>
      <c r="N1575" s="2" t="s">
        <v>375</v>
      </c>
      <c r="O1575" s="2" t="s">
        <v>376</v>
      </c>
      <c r="P1575" s="2" t="s">
        <v>180</v>
      </c>
      <c r="Q1575" s="2" t="s">
        <v>377</v>
      </c>
      <c r="R1575" s="2" t="s">
        <v>378</v>
      </c>
      <c r="S1575" s="2" t="s">
        <v>30</v>
      </c>
      <c r="T1575">
        <v>1729</v>
      </c>
      <c r="U1575">
        <f>VLOOKUP(Auto_Sales_data___Copy[[#This Row],[CUSTOMER_NAME]],$AF$2:$AH$90,2,FALSE)</f>
        <v>23</v>
      </c>
      <c r="V1575">
        <f>VLOOKUP(Auto_Sales_data___Copy[[#This Row],[CUSTOMER_NAME]],$AF$2:$AH$90,3,FALSE)</f>
        <v>78411.86</v>
      </c>
      <c r="W1575" s="2">
        <f>6-MATCH(Auto_Sales_data___Copy[[#This Row],[DAYS_SINCE_LAST_ORDER]],Table2[R-Cutoff],1)</f>
        <v>3</v>
      </c>
      <c r="X1575" s="2">
        <f>MATCH(Auto_Sales_data___Copy[[#This Row],[Total_Orders_Per_Customer]],Table2[F-Cutoff],1)</f>
        <v>2</v>
      </c>
      <c r="Y1575" s="2">
        <f>MATCH(Auto_Sales_data___Copy[[#This Row],[Total_Sales_Per_Customer]],Table2[M-Cutoff],1)</f>
        <v>2</v>
      </c>
      <c r="Z1575" s="2" t="str">
        <f>Auto_Sales_data___Copy[[#This Row],[R-Score(1-5)]]&amp;Auto_Sales_data___Copy[[#This Row],[F-Score(1-5)]]&amp;Auto_Sales_data___Copy[[#This Row],[M-Score(1-5)]]</f>
        <v>322</v>
      </c>
      <c r="AA1575" s="2" t="str" cm="1">
        <f t="array" ref="AA15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5" s="2" t="str">
        <f>VLOOKUP(Auto_Sales_data___Copy[[#This Row],[Segment Name]],Table3[],2,FALSE)</f>
        <v>Re-Activation &amp; Re-Engagement</v>
      </c>
    </row>
    <row r="1576" spans="1:28" x14ac:dyDescent="0.25">
      <c r="A1576">
        <v>10197</v>
      </c>
      <c r="B1576">
        <v>50</v>
      </c>
      <c r="C1576">
        <v>101.81</v>
      </c>
      <c r="D1576">
        <v>14</v>
      </c>
      <c r="E1576">
        <v>5090.5</v>
      </c>
      <c r="F1576" s="1">
        <v>43430</v>
      </c>
      <c r="G1576" s="2" t="s">
        <v>19</v>
      </c>
      <c r="H1576" s="2" t="s">
        <v>589</v>
      </c>
      <c r="I1576">
        <v>87</v>
      </c>
      <c r="J1576" s="2" t="s">
        <v>660</v>
      </c>
      <c r="K1576" s="2" t="s">
        <v>372</v>
      </c>
      <c r="L1576" s="2" t="s">
        <v>373</v>
      </c>
      <c r="M1576" s="2" t="s">
        <v>374</v>
      </c>
      <c r="N1576" s="2" t="s">
        <v>375</v>
      </c>
      <c r="O1576" s="2" t="s">
        <v>376</v>
      </c>
      <c r="P1576" s="2" t="s">
        <v>180</v>
      </c>
      <c r="Q1576" s="2" t="s">
        <v>377</v>
      </c>
      <c r="R1576" s="2" t="s">
        <v>378</v>
      </c>
      <c r="S1576" s="2" t="s">
        <v>46</v>
      </c>
      <c r="T1576">
        <v>1801</v>
      </c>
      <c r="U1576">
        <f>VLOOKUP(Auto_Sales_data___Copy[[#This Row],[CUSTOMER_NAME]],$AF$2:$AH$90,2,FALSE)</f>
        <v>23</v>
      </c>
      <c r="V1576">
        <f>VLOOKUP(Auto_Sales_data___Copy[[#This Row],[CUSTOMER_NAME]],$AF$2:$AH$90,3,FALSE)</f>
        <v>78411.86</v>
      </c>
      <c r="W1576" s="2">
        <f>6-MATCH(Auto_Sales_data___Copy[[#This Row],[DAYS_SINCE_LAST_ORDER]],Table2[R-Cutoff],1)</f>
        <v>3</v>
      </c>
      <c r="X1576" s="2">
        <f>MATCH(Auto_Sales_data___Copy[[#This Row],[Total_Orders_Per_Customer]],Table2[F-Cutoff],1)</f>
        <v>2</v>
      </c>
      <c r="Y1576" s="2">
        <f>MATCH(Auto_Sales_data___Copy[[#This Row],[Total_Sales_Per_Customer]],Table2[M-Cutoff],1)</f>
        <v>2</v>
      </c>
      <c r="Z1576" s="2" t="str">
        <f>Auto_Sales_data___Copy[[#This Row],[R-Score(1-5)]]&amp;Auto_Sales_data___Copy[[#This Row],[F-Score(1-5)]]&amp;Auto_Sales_data___Copy[[#This Row],[M-Score(1-5)]]</f>
        <v>322</v>
      </c>
      <c r="AA1576" s="2" t="str" cm="1">
        <f t="array" ref="AA15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6" s="2" t="str">
        <f>VLOOKUP(Auto_Sales_data___Copy[[#This Row],[Segment Name]],Table3[],2,FALSE)</f>
        <v>Re-Activation &amp; Re-Engagement</v>
      </c>
    </row>
    <row r="1577" spans="1:28" x14ac:dyDescent="0.25">
      <c r="A1577">
        <v>10206</v>
      </c>
      <c r="B1577">
        <v>28</v>
      </c>
      <c r="C1577">
        <v>87.3</v>
      </c>
      <c r="D1577">
        <v>11</v>
      </c>
      <c r="E1577">
        <v>2444.4</v>
      </c>
      <c r="F1577" s="1">
        <v>43439</v>
      </c>
      <c r="G1577" s="2" t="s">
        <v>19</v>
      </c>
      <c r="H1577" s="2" t="s">
        <v>589</v>
      </c>
      <c r="I1577">
        <v>99</v>
      </c>
      <c r="J1577" s="2" t="s">
        <v>653</v>
      </c>
      <c r="K1577" s="2" t="s">
        <v>231</v>
      </c>
      <c r="L1577" s="2" t="s">
        <v>232</v>
      </c>
      <c r="M1577" s="2" t="s">
        <v>233</v>
      </c>
      <c r="N1577" s="2" t="s">
        <v>234</v>
      </c>
      <c r="O1577" s="2" t="s">
        <v>235</v>
      </c>
      <c r="P1577" s="2" t="s">
        <v>236</v>
      </c>
      <c r="Q1577" s="2" t="s">
        <v>237</v>
      </c>
      <c r="R1577" s="2" t="s">
        <v>238</v>
      </c>
      <c r="S1577" s="2" t="s">
        <v>30</v>
      </c>
      <c r="T1577">
        <v>1623</v>
      </c>
      <c r="U1577">
        <f>VLOOKUP(Auto_Sales_data___Copy[[#This Row],[CUSTOMER_NAME]],$AF$2:$AH$90,2,FALSE)</f>
        <v>22</v>
      </c>
      <c r="V1577">
        <f>VLOOKUP(Auto_Sales_data___Copy[[#This Row],[CUSTOMER_NAME]],$AF$2:$AH$90,3,FALSE)</f>
        <v>75238.92</v>
      </c>
      <c r="W1577" s="2">
        <f>6-MATCH(Auto_Sales_data___Copy[[#This Row],[DAYS_SINCE_LAST_ORDER]],Table2[R-Cutoff],1)</f>
        <v>3</v>
      </c>
      <c r="X1577" s="2">
        <f>MATCH(Auto_Sales_data___Copy[[#This Row],[Total_Orders_Per_Customer]],Table2[F-Cutoff],1)</f>
        <v>2</v>
      </c>
      <c r="Y1577" s="2">
        <f>MATCH(Auto_Sales_data___Copy[[#This Row],[Total_Sales_Per_Customer]],Table2[M-Cutoff],1)</f>
        <v>2</v>
      </c>
      <c r="Z1577" s="2" t="str">
        <f>Auto_Sales_data___Copy[[#This Row],[R-Score(1-5)]]&amp;Auto_Sales_data___Copy[[#This Row],[F-Score(1-5)]]&amp;Auto_Sales_data___Copy[[#This Row],[M-Score(1-5)]]</f>
        <v>322</v>
      </c>
      <c r="AA1577" s="2" t="str" cm="1">
        <f t="array" ref="AA15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7" s="2" t="str">
        <f>VLOOKUP(Auto_Sales_data___Copy[[#This Row],[Segment Name]],Table3[],2,FALSE)</f>
        <v>Re-Activation &amp; Re-Engagement</v>
      </c>
    </row>
    <row r="1578" spans="1:28" x14ac:dyDescent="0.25">
      <c r="A1578">
        <v>10206</v>
      </c>
      <c r="B1578">
        <v>21</v>
      </c>
      <c r="C1578">
        <v>53.33</v>
      </c>
      <c r="D1578">
        <v>4</v>
      </c>
      <c r="E1578">
        <v>1119.93</v>
      </c>
      <c r="F1578" s="1">
        <v>43439</v>
      </c>
      <c r="G1578" s="2" t="s">
        <v>19</v>
      </c>
      <c r="H1578" s="2" t="s">
        <v>589</v>
      </c>
      <c r="I1578">
        <v>50</v>
      </c>
      <c r="J1578" s="2" t="s">
        <v>662</v>
      </c>
      <c r="K1578" s="2" t="s">
        <v>231</v>
      </c>
      <c r="L1578" s="2" t="s">
        <v>232</v>
      </c>
      <c r="M1578" s="2" t="s">
        <v>233</v>
      </c>
      <c r="N1578" s="2" t="s">
        <v>234</v>
      </c>
      <c r="O1578" s="2" t="s">
        <v>235</v>
      </c>
      <c r="P1578" s="2" t="s">
        <v>236</v>
      </c>
      <c r="Q1578" s="2" t="s">
        <v>237</v>
      </c>
      <c r="R1578" s="2" t="s">
        <v>238</v>
      </c>
      <c r="S1578" s="2" t="s">
        <v>30</v>
      </c>
      <c r="T1578">
        <v>1846</v>
      </c>
      <c r="U1578">
        <f>VLOOKUP(Auto_Sales_data___Copy[[#This Row],[CUSTOMER_NAME]],$AF$2:$AH$90,2,FALSE)</f>
        <v>22</v>
      </c>
      <c r="V1578">
        <f>VLOOKUP(Auto_Sales_data___Copy[[#This Row],[CUSTOMER_NAME]],$AF$2:$AH$90,3,FALSE)</f>
        <v>75238.92</v>
      </c>
      <c r="W1578" s="2">
        <f>6-MATCH(Auto_Sales_data___Copy[[#This Row],[DAYS_SINCE_LAST_ORDER]],Table2[R-Cutoff],1)</f>
        <v>3</v>
      </c>
      <c r="X1578" s="2">
        <f>MATCH(Auto_Sales_data___Copy[[#This Row],[Total_Orders_Per_Customer]],Table2[F-Cutoff],1)</f>
        <v>2</v>
      </c>
      <c r="Y1578" s="2">
        <f>MATCH(Auto_Sales_data___Copy[[#This Row],[Total_Sales_Per_Customer]],Table2[M-Cutoff],1)</f>
        <v>2</v>
      </c>
      <c r="Z1578" s="2" t="str">
        <f>Auto_Sales_data___Copy[[#This Row],[R-Score(1-5)]]&amp;Auto_Sales_data___Copy[[#This Row],[F-Score(1-5)]]&amp;Auto_Sales_data___Copy[[#This Row],[M-Score(1-5)]]</f>
        <v>322</v>
      </c>
      <c r="AA1578" s="2" t="str" cm="1">
        <f t="array" ref="AA15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8" s="2" t="str">
        <f>VLOOKUP(Auto_Sales_data___Copy[[#This Row],[Segment Name]],Table3[],2,FALSE)</f>
        <v>Re-Activation &amp; Re-Engagement</v>
      </c>
    </row>
    <row r="1579" spans="1:28" x14ac:dyDescent="0.25">
      <c r="A1579">
        <v>10207</v>
      </c>
      <c r="B1579">
        <v>25</v>
      </c>
      <c r="C1579">
        <v>157.49</v>
      </c>
      <c r="D1579">
        <v>11</v>
      </c>
      <c r="E1579">
        <v>3937.25</v>
      </c>
      <c r="F1579" s="1">
        <v>43443</v>
      </c>
      <c r="G1579" s="2" t="s">
        <v>19</v>
      </c>
      <c r="H1579" s="2" t="s">
        <v>183</v>
      </c>
      <c r="I1579">
        <v>169</v>
      </c>
      <c r="J1579" s="2" t="s">
        <v>649</v>
      </c>
      <c r="K1579" s="2" t="s">
        <v>439</v>
      </c>
      <c r="L1579" s="2" t="s">
        <v>440</v>
      </c>
      <c r="M1579" s="2" t="s">
        <v>441</v>
      </c>
      <c r="N1579" s="2" t="s">
        <v>401</v>
      </c>
      <c r="O1579" s="2" t="s">
        <v>402</v>
      </c>
      <c r="P1579" s="2" t="s">
        <v>27</v>
      </c>
      <c r="Q1579" s="2" t="s">
        <v>442</v>
      </c>
      <c r="R1579" s="2" t="s">
        <v>289</v>
      </c>
      <c r="S1579" s="2" t="s">
        <v>46</v>
      </c>
      <c r="T1579">
        <v>1529</v>
      </c>
      <c r="U1579">
        <f>VLOOKUP(Auto_Sales_data___Copy[[#This Row],[CUSTOMER_NAME]],$AF$2:$AH$90,2,FALSE)</f>
        <v>18</v>
      </c>
      <c r="V1579">
        <f>VLOOKUP(Auto_Sales_data___Copy[[#This Row],[CUSTOMER_NAME]],$AF$2:$AH$90,3,FALSE)</f>
        <v>70859.780000000013</v>
      </c>
      <c r="W1579" s="2">
        <f>6-MATCH(Auto_Sales_data___Copy[[#This Row],[DAYS_SINCE_LAST_ORDER]],Table2[R-Cutoff],1)</f>
        <v>3</v>
      </c>
      <c r="X1579" s="2">
        <f>MATCH(Auto_Sales_data___Copy[[#This Row],[Total_Orders_Per_Customer]],Table2[F-Cutoff],1)</f>
        <v>2</v>
      </c>
      <c r="Y1579" s="2">
        <f>MATCH(Auto_Sales_data___Copy[[#This Row],[Total_Sales_Per_Customer]],Table2[M-Cutoff],1)</f>
        <v>2</v>
      </c>
      <c r="Z1579" s="2" t="str">
        <f>Auto_Sales_data___Copy[[#This Row],[R-Score(1-5)]]&amp;Auto_Sales_data___Copy[[#This Row],[F-Score(1-5)]]&amp;Auto_Sales_data___Copy[[#This Row],[M-Score(1-5)]]</f>
        <v>322</v>
      </c>
      <c r="AA1579" s="2" t="str" cm="1">
        <f t="array" ref="AA15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9" s="2" t="str">
        <f>VLOOKUP(Auto_Sales_data___Copy[[#This Row],[Segment Name]],Table3[],2,FALSE)</f>
        <v>Re-Activation &amp; Re-Engagement</v>
      </c>
    </row>
    <row r="1580" spans="1:28" x14ac:dyDescent="0.25">
      <c r="A1580">
        <v>10207</v>
      </c>
      <c r="B1580">
        <v>40</v>
      </c>
      <c r="C1580">
        <v>153.66999999999999</v>
      </c>
      <c r="D1580">
        <v>1</v>
      </c>
      <c r="E1580">
        <v>6146.8</v>
      </c>
      <c r="F1580" s="1">
        <v>43443</v>
      </c>
      <c r="G1580" s="2" t="s">
        <v>19</v>
      </c>
      <c r="H1580" s="2" t="s">
        <v>183</v>
      </c>
      <c r="I1580">
        <v>143</v>
      </c>
      <c r="J1580" s="2" t="s">
        <v>658</v>
      </c>
      <c r="K1580" s="2" t="s">
        <v>439</v>
      </c>
      <c r="L1580" s="2" t="s">
        <v>440</v>
      </c>
      <c r="M1580" s="2" t="s">
        <v>441</v>
      </c>
      <c r="N1580" s="2" t="s">
        <v>401</v>
      </c>
      <c r="O1580" s="2" t="s">
        <v>402</v>
      </c>
      <c r="P1580" s="2" t="s">
        <v>27</v>
      </c>
      <c r="Q1580" s="2" t="s">
        <v>442</v>
      </c>
      <c r="R1580" s="2" t="s">
        <v>289</v>
      </c>
      <c r="S1580" s="2" t="s">
        <v>46</v>
      </c>
      <c r="T1580">
        <v>1742</v>
      </c>
      <c r="U1580">
        <f>VLOOKUP(Auto_Sales_data___Copy[[#This Row],[CUSTOMER_NAME]],$AF$2:$AH$90,2,FALSE)</f>
        <v>18</v>
      </c>
      <c r="V1580">
        <f>VLOOKUP(Auto_Sales_data___Copy[[#This Row],[CUSTOMER_NAME]],$AF$2:$AH$90,3,FALSE)</f>
        <v>70859.780000000013</v>
      </c>
      <c r="W1580" s="2">
        <f>6-MATCH(Auto_Sales_data___Copy[[#This Row],[DAYS_SINCE_LAST_ORDER]],Table2[R-Cutoff],1)</f>
        <v>3</v>
      </c>
      <c r="X1580" s="2">
        <f>MATCH(Auto_Sales_data___Copy[[#This Row],[Total_Orders_Per_Customer]],Table2[F-Cutoff],1)</f>
        <v>2</v>
      </c>
      <c r="Y1580" s="2">
        <f>MATCH(Auto_Sales_data___Copy[[#This Row],[Total_Sales_Per_Customer]],Table2[M-Cutoff],1)</f>
        <v>2</v>
      </c>
      <c r="Z1580" s="2" t="str">
        <f>Auto_Sales_data___Copy[[#This Row],[R-Score(1-5)]]&amp;Auto_Sales_data___Copy[[#This Row],[F-Score(1-5)]]&amp;Auto_Sales_data___Copy[[#This Row],[M-Score(1-5)]]</f>
        <v>322</v>
      </c>
      <c r="AA1580" s="2" t="str" cm="1">
        <f t="array" ref="AA15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0" s="2" t="str">
        <f>VLOOKUP(Auto_Sales_data___Copy[[#This Row],[Segment Name]],Table3[],2,FALSE)</f>
        <v>Re-Activation &amp; Re-Engagement</v>
      </c>
    </row>
    <row r="1581" spans="1:28" x14ac:dyDescent="0.25">
      <c r="A1581">
        <v>10207</v>
      </c>
      <c r="B1581">
        <v>47</v>
      </c>
      <c r="C1581">
        <v>141.66</v>
      </c>
      <c r="D1581">
        <v>16</v>
      </c>
      <c r="E1581">
        <v>6658.02</v>
      </c>
      <c r="F1581" s="1">
        <v>43443</v>
      </c>
      <c r="G1581" s="2" t="s">
        <v>19</v>
      </c>
      <c r="H1581" s="2" t="s">
        <v>537</v>
      </c>
      <c r="I1581">
        <v>121</v>
      </c>
      <c r="J1581" s="2" t="s">
        <v>661</v>
      </c>
      <c r="K1581" s="2" t="s">
        <v>439</v>
      </c>
      <c r="L1581" s="2" t="s">
        <v>440</v>
      </c>
      <c r="M1581" s="2" t="s">
        <v>441</v>
      </c>
      <c r="N1581" s="2" t="s">
        <v>401</v>
      </c>
      <c r="O1581" s="2" t="s">
        <v>402</v>
      </c>
      <c r="P1581" s="2" t="s">
        <v>27</v>
      </c>
      <c r="Q1581" s="2" t="s">
        <v>442</v>
      </c>
      <c r="R1581" s="2" t="s">
        <v>289</v>
      </c>
      <c r="S1581" s="2" t="s">
        <v>46</v>
      </c>
      <c r="T1581">
        <v>1815</v>
      </c>
      <c r="U1581">
        <f>VLOOKUP(Auto_Sales_data___Copy[[#This Row],[CUSTOMER_NAME]],$AF$2:$AH$90,2,FALSE)</f>
        <v>18</v>
      </c>
      <c r="V1581">
        <f>VLOOKUP(Auto_Sales_data___Copy[[#This Row],[CUSTOMER_NAME]],$AF$2:$AH$90,3,FALSE)</f>
        <v>70859.780000000013</v>
      </c>
      <c r="W1581" s="2">
        <f>6-MATCH(Auto_Sales_data___Copy[[#This Row],[DAYS_SINCE_LAST_ORDER]],Table2[R-Cutoff],1)</f>
        <v>3</v>
      </c>
      <c r="X1581" s="2">
        <f>MATCH(Auto_Sales_data___Copy[[#This Row],[Total_Orders_Per_Customer]],Table2[F-Cutoff],1)</f>
        <v>2</v>
      </c>
      <c r="Y1581" s="2">
        <f>MATCH(Auto_Sales_data___Copy[[#This Row],[Total_Sales_Per_Customer]],Table2[M-Cutoff],1)</f>
        <v>2</v>
      </c>
      <c r="Z1581" s="2" t="str">
        <f>Auto_Sales_data___Copy[[#This Row],[R-Score(1-5)]]&amp;Auto_Sales_data___Copy[[#This Row],[F-Score(1-5)]]&amp;Auto_Sales_data___Copy[[#This Row],[M-Score(1-5)]]</f>
        <v>322</v>
      </c>
      <c r="AA1581" s="2" t="str" cm="1">
        <f t="array" ref="AA15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1" s="2" t="str">
        <f>VLOOKUP(Auto_Sales_data___Copy[[#This Row],[Segment Name]],Table3[],2,FALSE)</f>
        <v>Re-Activation &amp; Re-Engagement</v>
      </c>
    </row>
    <row r="1582" spans="1:28" x14ac:dyDescent="0.25">
      <c r="A1582">
        <v>10207</v>
      </c>
      <c r="B1582">
        <v>49</v>
      </c>
      <c r="C1582">
        <v>46.82</v>
      </c>
      <c r="D1582">
        <v>4</v>
      </c>
      <c r="E1582">
        <v>2294.1799999999998</v>
      </c>
      <c r="F1582" s="1">
        <v>43443</v>
      </c>
      <c r="G1582" s="2" t="s">
        <v>19</v>
      </c>
      <c r="H1582" s="2" t="s">
        <v>183</v>
      </c>
      <c r="I1582">
        <v>57</v>
      </c>
      <c r="J1582" s="2" t="s">
        <v>666</v>
      </c>
      <c r="K1582" s="2" t="s">
        <v>439</v>
      </c>
      <c r="L1582" s="2" t="s">
        <v>440</v>
      </c>
      <c r="M1582" s="2" t="s">
        <v>441</v>
      </c>
      <c r="N1582" s="2" t="s">
        <v>401</v>
      </c>
      <c r="O1582" s="2" t="s">
        <v>402</v>
      </c>
      <c r="P1582" s="2" t="s">
        <v>27</v>
      </c>
      <c r="Q1582" s="2" t="s">
        <v>442</v>
      </c>
      <c r="R1582" s="2" t="s">
        <v>289</v>
      </c>
      <c r="S1582" s="2" t="s">
        <v>30</v>
      </c>
      <c r="T1582">
        <v>1936</v>
      </c>
      <c r="U1582">
        <f>VLOOKUP(Auto_Sales_data___Copy[[#This Row],[CUSTOMER_NAME]],$AF$2:$AH$90,2,FALSE)</f>
        <v>18</v>
      </c>
      <c r="V1582">
        <f>VLOOKUP(Auto_Sales_data___Copy[[#This Row],[CUSTOMER_NAME]],$AF$2:$AH$90,3,FALSE)</f>
        <v>70859.780000000013</v>
      </c>
      <c r="W1582" s="2">
        <f>6-MATCH(Auto_Sales_data___Copy[[#This Row],[DAYS_SINCE_LAST_ORDER]],Table2[R-Cutoff],1)</f>
        <v>3</v>
      </c>
      <c r="X1582" s="2">
        <f>MATCH(Auto_Sales_data___Copy[[#This Row],[Total_Orders_Per_Customer]],Table2[F-Cutoff],1)</f>
        <v>2</v>
      </c>
      <c r="Y1582" s="2">
        <f>MATCH(Auto_Sales_data___Copy[[#This Row],[Total_Sales_Per_Customer]],Table2[M-Cutoff],1)</f>
        <v>2</v>
      </c>
      <c r="Z1582" s="2" t="str">
        <f>Auto_Sales_data___Copy[[#This Row],[R-Score(1-5)]]&amp;Auto_Sales_data___Copy[[#This Row],[F-Score(1-5)]]&amp;Auto_Sales_data___Copy[[#This Row],[M-Score(1-5)]]</f>
        <v>322</v>
      </c>
      <c r="AA1582" s="2" t="str" cm="1">
        <f t="array" ref="AA15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2" s="2" t="str">
        <f>VLOOKUP(Auto_Sales_data___Copy[[#This Row],[Segment Name]],Table3[],2,FALSE)</f>
        <v>Re-Activation &amp; Re-Engagement</v>
      </c>
    </row>
    <row r="1583" spans="1:28" x14ac:dyDescent="0.25">
      <c r="A1583">
        <v>10210</v>
      </c>
      <c r="B1583">
        <v>27</v>
      </c>
      <c r="C1583">
        <v>98.48</v>
      </c>
      <c r="D1583">
        <v>9</v>
      </c>
      <c r="E1583">
        <v>2658.96</v>
      </c>
      <c r="F1583" s="1">
        <v>43477</v>
      </c>
      <c r="G1583" s="2" t="s">
        <v>19</v>
      </c>
      <c r="H1583" s="2" t="s">
        <v>607</v>
      </c>
      <c r="I1583">
        <v>109</v>
      </c>
      <c r="J1583" s="2" t="s">
        <v>669</v>
      </c>
      <c r="K1583" s="2" t="s">
        <v>316</v>
      </c>
      <c r="L1583" s="2" t="s">
        <v>317</v>
      </c>
      <c r="M1583" s="2" t="s">
        <v>318</v>
      </c>
      <c r="N1583" s="2" t="s">
        <v>319</v>
      </c>
      <c r="O1583" s="2" t="s">
        <v>320</v>
      </c>
      <c r="P1583" s="2" t="s">
        <v>261</v>
      </c>
      <c r="Q1583" s="2" t="s">
        <v>321</v>
      </c>
      <c r="R1583" s="2" t="s">
        <v>322</v>
      </c>
      <c r="S1583" s="2" t="s">
        <v>30</v>
      </c>
      <c r="T1583">
        <v>1974</v>
      </c>
      <c r="U1583">
        <f>VLOOKUP(Auto_Sales_data___Copy[[#This Row],[CUSTOMER_NAME]],$AF$2:$AH$90,2,FALSE)</f>
        <v>20</v>
      </c>
      <c r="V1583">
        <f>VLOOKUP(Auto_Sales_data___Copy[[#This Row],[CUSTOMER_NAME]],$AF$2:$AH$90,3,FALSE)</f>
        <v>67605.069999999992</v>
      </c>
      <c r="W1583" s="2">
        <f>6-MATCH(Auto_Sales_data___Copy[[#This Row],[DAYS_SINCE_LAST_ORDER]],Table2[R-Cutoff],1)</f>
        <v>3</v>
      </c>
      <c r="X1583" s="2">
        <f>MATCH(Auto_Sales_data___Copy[[#This Row],[Total_Orders_Per_Customer]],Table2[F-Cutoff],1)</f>
        <v>2</v>
      </c>
      <c r="Y1583" s="2">
        <f>MATCH(Auto_Sales_data___Copy[[#This Row],[Total_Sales_Per_Customer]],Table2[M-Cutoff],1)</f>
        <v>2</v>
      </c>
      <c r="Z1583" s="2" t="str">
        <f>Auto_Sales_data___Copy[[#This Row],[R-Score(1-5)]]&amp;Auto_Sales_data___Copy[[#This Row],[F-Score(1-5)]]&amp;Auto_Sales_data___Copy[[#This Row],[M-Score(1-5)]]</f>
        <v>322</v>
      </c>
      <c r="AA1583" s="2" t="str" cm="1">
        <f t="array" ref="AA15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3" s="2" t="str">
        <f>VLOOKUP(Auto_Sales_data___Copy[[#This Row],[Segment Name]],Table3[],2,FALSE)</f>
        <v>Re-Activation &amp; Re-Engagement</v>
      </c>
    </row>
    <row r="1584" spans="1:28" x14ac:dyDescent="0.25">
      <c r="A1584">
        <v>10210</v>
      </c>
      <c r="B1584">
        <v>30</v>
      </c>
      <c r="C1584">
        <v>61.7</v>
      </c>
      <c r="D1584">
        <v>4</v>
      </c>
      <c r="E1584">
        <v>1851</v>
      </c>
      <c r="F1584" s="1">
        <v>43477</v>
      </c>
      <c r="G1584" s="2" t="s">
        <v>19</v>
      </c>
      <c r="H1584" s="2" t="s">
        <v>20</v>
      </c>
      <c r="I1584">
        <v>76</v>
      </c>
      <c r="J1584" s="2" t="s">
        <v>671</v>
      </c>
      <c r="K1584" s="2" t="s">
        <v>316</v>
      </c>
      <c r="L1584" s="2" t="s">
        <v>317</v>
      </c>
      <c r="M1584" s="2" t="s">
        <v>318</v>
      </c>
      <c r="N1584" s="2" t="s">
        <v>319</v>
      </c>
      <c r="O1584" s="2" t="s">
        <v>320</v>
      </c>
      <c r="P1584" s="2" t="s">
        <v>261</v>
      </c>
      <c r="Q1584" s="2" t="s">
        <v>321</v>
      </c>
      <c r="R1584" s="2" t="s">
        <v>322</v>
      </c>
      <c r="S1584" s="2" t="s">
        <v>30</v>
      </c>
      <c r="T1584">
        <v>2024</v>
      </c>
      <c r="U1584">
        <f>VLOOKUP(Auto_Sales_data___Copy[[#This Row],[CUSTOMER_NAME]],$AF$2:$AH$90,2,FALSE)</f>
        <v>20</v>
      </c>
      <c r="V1584">
        <f>VLOOKUP(Auto_Sales_data___Copy[[#This Row],[CUSTOMER_NAME]],$AF$2:$AH$90,3,FALSE)</f>
        <v>67605.069999999992</v>
      </c>
      <c r="W1584" s="2">
        <f>6-MATCH(Auto_Sales_data___Copy[[#This Row],[DAYS_SINCE_LAST_ORDER]],Table2[R-Cutoff],1)</f>
        <v>3</v>
      </c>
      <c r="X1584" s="2">
        <f>MATCH(Auto_Sales_data___Copy[[#This Row],[Total_Orders_Per_Customer]],Table2[F-Cutoff],1)</f>
        <v>2</v>
      </c>
      <c r="Y1584" s="2">
        <f>MATCH(Auto_Sales_data___Copy[[#This Row],[Total_Sales_Per_Customer]],Table2[M-Cutoff],1)</f>
        <v>2</v>
      </c>
      <c r="Z1584" s="2" t="str">
        <f>Auto_Sales_data___Copy[[#This Row],[R-Score(1-5)]]&amp;Auto_Sales_data___Copy[[#This Row],[F-Score(1-5)]]&amp;Auto_Sales_data___Copy[[#This Row],[M-Score(1-5)]]</f>
        <v>322</v>
      </c>
      <c r="AA1584" s="2" t="str" cm="1">
        <f t="array" ref="AA15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4" s="2" t="str">
        <f>VLOOKUP(Auto_Sales_data___Copy[[#This Row],[Segment Name]],Table3[],2,FALSE)</f>
        <v>Re-Activation &amp; Re-Engagement</v>
      </c>
    </row>
    <row r="1585" spans="1:28" x14ac:dyDescent="0.25">
      <c r="A1585">
        <v>10224</v>
      </c>
      <c r="B1585">
        <v>38</v>
      </c>
      <c r="C1585">
        <v>58.44</v>
      </c>
      <c r="D1585">
        <v>1</v>
      </c>
      <c r="E1585">
        <v>2220.7199999999998</v>
      </c>
      <c r="F1585" s="1">
        <v>43517</v>
      </c>
      <c r="G1585" s="2" t="s">
        <v>19</v>
      </c>
      <c r="H1585" s="2" t="s">
        <v>20</v>
      </c>
      <c r="I1585">
        <v>62</v>
      </c>
      <c r="J1585" s="2" t="s">
        <v>656</v>
      </c>
      <c r="K1585" s="2" t="s">
        <v>61</v>
      </c>
      <c r="L1585" s="2" t="s">
        <v>62</v>
      </c>
      <c r="M1585" s="2" t="s">
        <v>63</v>
      </c>
      <c r="N1585" s="2" t="s">
        <v>64</v>
      </c>
      <c r="O1585" s="2" t="s">
        <v>65</v>
      </c>
      <c r="P1585" s="2" t="s">
        <v>36</v>
      </c>
      <c r="Q1585" s="2" t="s">
        <v>66</v>
      </c>
      <c r="R1585" s="2" t="s">
        <v>67</v>
      </c>
      <c r="S1585" s="2" t="s">
        <v>30</v>
      </c>
      <c r="T1585">
        <v>1618</v>
      </c>
      <c r="U1585">
        <f>VLOOKUP(Auto_Sales_data___Copy[[#This Row],[CUSTOMER_NAME]],$AF$2:$AH$90,2,FALSE)</f>
        <v>20</v>
      </c>
      <c r="V1585">
        <f>VLOOKUP(Auto_Sales_data___Copy[[#This Row],[CUSTOMER_NAME]],$AF$2:$AH$90,3,FALSE)</f>
        <v>69052.41</v>
      </c>
      <c r="W1585" s="2">
        <f>6-MATCH(Auto_Sales_data___Copy[[#This Row],[DAYS_SINCE_LAST_ORDER]],Table2[R-Cutoff],1)</f>
        <v>3</v>
      </c>
      <c r="X1585" s="2">
        <f>MATCH(Auto_Sales_data___Copy[[#This Row],[Total_Orders_Per_Customer]],Table2[F-Cutoff],1)</f>
        <v>2</v>
      </c>
      <c r="Y1585" s="2">
        <f>MATCH(Auto_Sales_data___Copy[[#This Row],[Total_Sales_Per_Customer]],Table2[M-Cutoff],1)</f>
        <v>2</v>
      </c>
      <c r="Z1585" s="2" t="str">
        <f>Auto_Sales_data___Copy[[#This Row],[R-Score(1-5)]]&amp;Auto_Sales_data___Copy[[#This Row],[F-Score(1-5)]]&amp;Auto_Sales_data___Copy[[#This Row],[M-Score(1-5)]]</f>
        <v>322</v>
      </c>
      <c r="AA1585" s="2" t="str" cm="1">
        <f t="array" ref="AA15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5" s="2" t="str">
        <f>VLOOKUP(Auto_Sales_data___Copy[[#This Row],[Segment Name]],Table3[],2,FALSE)</f>
        <v>Re-Activation &amp; Re-Engagement</v>
      </c>
    </row>
    <row r="1586" spans="1:28" x14ac:dyDescent="0.25">
      <c r="A1586">
        <v>10240</v>
      </c>
      <c r="B1586">
        <v>37</v>
      </c>
      <c r="C1586">
        <v>161.06</v>
      </c>
      <c r="D1586">
        <v>1</v>
      </c>
      <c r="E1586">
        <v>5959.22</v>
      </c>
      <c r="F1586" s="1">
        <v>43568</v>
      </c>
      <c r="G1586" s="2" t="s">
        <v>19</v>
      </c>
      <c r="H1586" s="2" t="s">
        <v>183</v>
      </c>
      <c r="I1586">
        <v>141</v>
      </c>
      <c r="J1586" s="2" t="s">
        <v>655</v>
      </c>
      <c r="K1586" s="2" t="s">
        <v>316</v>
      </c>
      <c r="L1586" s="2" t="s">
        <v>317</v>
      </c>
      <c r="M1586" s="2" t="s">
        <v>318</v>
      </c>
      <c r="N1586" s="2" t="s">
        <v>319</v>
      </c>
      <c r="O1586" s="2" t="s">
        <v>320</v>
      </c>
      <c r="P1586" s="2" t="s">
        <v>261</v>
      </c>
      <c r="Q1586" s="2" t="s">
        <v>321</v>
      </c>
      <c r="R1586" s="2" t="s">
        <v>322</v>
      </c>
      <c r="S1586" s="2" t="s">
        <v>46</v>
      </c>
      <c r="T1586">
        <v>1545</v>
      </c>
      <c r="U1586">
        <f>VLOOKUP(Auto_Sales_data___Copy[[#This Row],[CUSTOMER_NAME]],$AF$2:$AH$90,2,FALSE)</f>
        <v>20</v>
      </c>
      <c r="V1586">
        <f>VLOOKUP(Auto_Sales_data___Copy[[#This Row],[CUSTOMER_NAME]],$AF$2:$AH$90,3,FALSE)</f>
        <v>67605.069999999992</v>
      </c>
      <c r="W1586" s="2">
        <f>6-MATCH(Auto_Sales_data___Copy[[#This Row],[DAYS_SINCE_LAST_ORDER]],Table2[R-Cutoff],1)</f>
        <v>3</v>
      </c>
      <c r="X1586" s="2">
        <f>MATCH(Auto_Sales_data___Copy[[#This Row],[Total_Orders_Per_Customer]],Table2[F-Cutoff],1)</f>
        <v>2</v>
      </c>
      <c r="Y1586" s="2">
        <f>MATCH(Auto_Sales_data___Copy[[#This Row],[Total_Sales_Per_Customer]],Table2[M-Cutoff],1)</f>
        <v>2</v>
      </c>
      <c r="Z1586" s="2" t="str">
        <f>Auto_Sales_data___Copy[[#This Row],[R-Score(1-5)]]&amp;Auto_Sales_data___Copy[[#This Row],[F-Score(1-5)]]&amp;Auto_Sales_data___Copy[[#This Row],[M-Score(1-5)]]</f>
        <v>322</v>
      </c>
      <c r="AA1586" s="2" t="str" cm="1">
        <f t="array" ref="AA15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6" s="2" t="str">
        <f>VLOOKUP(Auto_Sales_data___Copy[[#This Row],[Segment Name]],Table3[],2,FALSE)</f>
        <v>Re-Activation &amp; Re-Engagement</v>
      </c>
    </row>
    <row r="1587" spans="1:28" x14ac:dyDescent="0.25">
      <c r="A1587">
        <v>10243</v>
      </c>
      <c r="B1587">
        <v>33</v>
      </c>
      <c r="C1587">
        <v>29.54</v>
      </c>
      <c r="D1587">
        <v>1</v>
      </c>
      <c r="E1587">
        <v>974.82</v>
      </c>
      <c r="F1587" s="1">
        <v>43581</v>
      </c>
      <c r="G1587" s="2" t="s">
        <v>19</v>
      </c>
      <c r="H1587" s="2" t="s">
        <v>589</v>
      </c>
      <c r="I1587">
        <v>33</v>
      </c>
      <c r="J1587" s="2" t="s">
        <v>670</v>
      </c>
      <c r="K1587" s="2" t="s">
        <v>439</v>
      </c>
      <c r="L1587" s="2" t="s">
        <v>440</v>
      </c>
      <c r="M1587" s="2" t="s">
        <v>441</v>
      </c>
      <c r="N1587" s="2" t="s">
        <v>401</v>
      </c>
      <c r="O1587" s="2" t="s">
        <v>402</v>
      </c>
      <c r="P1587" s="2" t="s">
        <v>27</v>
      </c>
      <c r="Q1587" s="2" t="s">
        <v>442</v>
      </c>
      <c r="R1587" s="2" t="s">
        <v>289</v>
      </c>
      <c r="S1587" s="2" t="s">
        <v>30</v>
      </c>
      <c r="T1587">
        <v>1898</v>
      </c>
      <c r="U1587">
        <f>VLOOKUP(Auto_Sales_data___Copy[[#This Row],[CUSTOMER_NAME]],$AF$2:$AH$90,2,FALSE)</f>
        <v>18</v>
      </c>
      <c r="V1587">
        <f>VLOOKUP(Auto_Sales_data___Copy[[#This Row],[CUSTOMER_NAME]],$AF$2:$AH$90,3,FALSE)</f>
        <v>70859.780000000013</v>
      </c>
      <c r="W1587" s="2">
        <f>6-MATCH(Auto_Sales_data___Copy[[#This Row],[DAYS_SINCE_LAST_ORDER]],Table2[R-Cutoff],1)</f>
        <v>3</v>
      </c>
      <c r="X1587" s="2">
        <f>MATCH(Auto_Sales_data___Copy[[#This Row],[Total_Orders_Per_Customer]],Table2[F-Cutoff],1)</f>
        <v>2</v>
      </c>
      <c r="Y1587" s="2">
        <f>MATCH(Auto_Sales_data___Copy[[#This Row],[Total_Sales_Per_Customer]],Table2[M-Cutoff],1)</f>
        <v>2</v>
      </c>
      <c r="Z1587" s="2" t="str">
        <f>Auto_Sales_data___Copy[[#This Row],[R-Score(1-5)]]&amp;Auto_Sales_data___Copy[[#This Row],[F-Score(1-5)]]&amp;Auto_Sales_data___Copy[[#This Row],[M-Score(1-5)]]</f>
        <v>322</v>
      </c>
      <c r="AA1587" s="2" t="str" cm="1">
        <f t="array" ref="AA15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7" s="2" t="str">
        <f>VLOOKUP(Auto_Sales_data___Copy[[#This Row],[Segment Name]],Table3[],2,FALSE)</f>
        <v>Re-Activation &amp; Re-Engagement</v>
      </c>
    </row>
    <row r="1588" spans="1:28" x14ac:dyDescent="0.25">
      <c r="A1588">
        <v>10261</v>
      </c>
      <c r="B1588">
        <v>20</v>
      </c>
      <c r="C1588">
        <v>89.53</v>
      </c>
      <c r="D1588">
        <v>9</v>
      </c>
      <c r="E1588">
        <v>1790.6</v>
      </c>
      <c r="F1588" s="1">
        <v>43633</v>
      </c>
      <c r="G1588" s="2" t="s">
        <v>19</v>
      </c>
      <c r="H1588" s="2" t="s">
        <v>589</v>
      </c>
      <c r="I1588">
        <v>87</v>
      </c>
      <c r="J1588" s="2" t="s">
        <v>660</v>
      </c>
      <c r="K1588" s="2" t="s">
        <v>307</v>
      </c>
      <c r="L1588" s="2" t="s">
        <v>308</v>
      </c>
      <c r="M1588" s="2" t="s">
        <v>309</v>
      </c>
      <c r="N1588" s="2" t="s">
        <v>310</v>
      </c>
      <c r="O1588" s="2" t="s">
        <v>311</v>
      </c>
      <c r="P1588" s="2" t="s">
        <v>236</v>
      </c>
      <c r="Q1588" s="2" t="s">
        <v>312</v>
      </c>
      <c r="R1588" s="2" t="s">
        <v>313</v>
      </c>
      <c r="S1588" s="2" t="s">
        <v>30</v>
      </c>
      <c r="T1588">
        <v>1603</v>
      </c>
      <c r="U1588">
        <f>VLOOKUP(Auto_Sales_data___Copy[[#This Row],[CUSTOMER_NAME]],$AF$2:$AH$90,2,FALSE)</f>
        <v>22</v>
      </c>
      <c r="V1588">
        <f>VLOOKUP(Auto_Sales_data___Copy[[#This Row],[CUSTOMER_NAME]],$AF$2:$AH$90,3,FALSE)</f>
        <v>74204.790000000008</v>
      </c>
      <c r="W1588" s="2">
        <f>6-MATCH(Auto_Sales_data___Copy[[#This Row],[DAYS_SINCE_LAST_ORDER]],Table2[R-Cutoff],1)</f>
        <v>3</v>
      </c>
      <c r="X1588" s="2">
        <f>MATCH(Auto_Sales_data___Copy[[#This Row],[Total_Orders_Per_Customer]],Table2[F-Cutoff],1)</f>
        <v>2</v>
      </c>
      <c r="Y1588" s="2">
        <f>MATCH(Auto_Sales_data___Copy[[#This Row],[Total_Sales_Per_Customer]],Table2[M-Cutoff],1)</f>
        <v>2</v>
      </c>
      <c r="Z1588" s="2" t="str">
        <f>Auto_Sales_data___Copy[[#This Row],[R-Score(1-5)]]&amp;Auto_Sales_data___Copy[[#This Row],[F-Score(1-5)]]&amp;Auto_Sales_data___Copy[[#This Row],[M-Score(1-5)]]</f>
        <v>322</v>
      </c>
      <c r="AA1588" s="2" t="str" cm="1">
        <f t="array" ref="AA15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8" s="2" t="str">
        <f>VLOOKUP(Auto_Sales_data___Copy[[#This Row],[Segment Name]],Table3[],2,FALSE)</f>
        <v>Re-Activation &amp; Re-Engagement</v>
      </c>
    </row>
    <row r="1589" spans="1:28" x14ac:dyDescent="0.25">
      <c r="A1589">
        <v>10261</v>
      </c>
      <c r="B1589">
        <v>36</v>
      </c>
      <c r="C1589">
        <v>125.35</v>
      </c>
      <c r="D1589">
        <v>8</v>
      </c>
      <c r="E1589">
        <v>4512.6000000000004</v>
      </c>
      <c r="F1589" s="1">
        <v>43633</v>
      </c>
      <c r="G1589" s="2" t="s">
        <v>19</v>
      </c>
      <c r="H1589" s="2" t="s">
        <v>642</v>
      </c>
      <c r="I1589">
        <v>122</v>
      </c>
      <c r="J1589" s="2" t="s">
        <v>672</v>
      </c>
      <c r="K1589" s="2" t="s">
        <v>307</v>
      </c>
      <c r="L1589" s="2" t="s">
        <v>308</v>
      </c>
      <c r="M1589" s="2" t="s">
        <v>309</v>
      </c>
      <c r="N1589" s="2" t="s">
        <v>310</v>
      </c>
      <c r="O1589" s="2" t="s">
        <v>311</v>
      </c>
      <c r="P1589" s="2" t="s">
        <v>236</v>
      </c>
      <c r="Q1589" s="2" t="s">
        <v>312</v>
      </c>
      <c r="R1589" s="2" t="s">
        <v>313</v>
      </c>
      <c r="S1589" s="2" t="s">
        <v>46</v>
      </c>
      <c r="T1589">
        <v>1898</v>
      </c>
      <c r="U1589">
        <f>VLOOKUP(Auto_Sales_data___Copy[[#This Row],[CUSTOMER_NAME]],$AF$2:$AH$90,2,FALSE)</f>
        <v>22</v>
      </c>
      <c r="V1589">
        <f>VLOOKUP(Auto_Sales_data___Copy[[#This Row],[CUSTOMER_NAME]],$AF$2:$AH$90,3,FALSE)</f>
        <v>74204.790000000008</v>
      </c>
      <c r="W1589" s="2">
        <f>6-MATCH(Auto_Sales_data___Copy[[#This Row],[DAYS_SINCE_LAST_ORDER]],Table2[R-Cutoff],1)</f>
        <v>3</v>
      </c>
      <c r="X1589" s="2">
        <f>MATCH(Auto_Sales_data___Copy[[#This Row],[Total_Orders_Per_Customer]],Table2[F-Cutoff],1)</f>
        <v>2</v>
      </c>
      <c r="Y1589" s="2">
        <f>MATCH(Auto_Sales_data___Copy[[#This Row],[Total_Sales_Per_Customer]],Table2[M-Cutoff],1)</f>
        <v>2</v>
      </c>
      <c r="Z1589" s="2" t="str">
        <f>Auto_Sales_data___Copy[[#This Row],[R-Score(1-5)]]&amp;Auto_Sales_data___Copy[[#This Row],[F-Score(1-5)]]&amp;Auto_Sales_data___Copy[[#This Row],[M-Score(1-5)]]</f>
        <v>322</v>
      </c>
      <c r="AA1589" s="2" t="str" cm="1">
        <f t="array" ref="AA15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9" s="2" t="str">
        <f>VLOOKUP(Auto_Sales_data___Copy[[#This Row],[Segment Name]],Table3[],2,FALSE)</f>
        <v>Re-Activation &amp; Re-Engagement</v>
      </c>
    </row>
    <row r="1590" spans="1:28" x14ac:dyDescent="0.25">
      <c r="A1590">
        <v>10304</v>
      </c>
      <c r="B1590">
        <v>34</v>
      </c>
      <c r="C1590">
        <v>49.3</v>
      </c>
      <c r="D1590">
        <v>4</v>
      </c>
      <c r="E1590">
        <v>1676.2</v>
      </c>
      <c r="F1590" s="1">
        <v>43749</v>
      </c>
      <c r="G1590" s="2" t="s">
        <v>19</v>
      </c>
      <c r="H1590" s="2" t="s">
        <v>589</v>
      </c>
      <c r="I1590">
        <v>50</v>
      </c>
      <c r="J1590" s="2" t="s">
        <v>662</v>
      </c>
      <c r="K1590" s="2" t="s">
        <v>278</v>
      </c>
      <c r="L1590" s="2" t="s">
        <v>279</v>
      </c>
      <c r="M1590" s="2" t="s">
        <v>280</v>
      </c>
      <c r="N1590" s="2" t="s">
        <v>281</v>
      </c>
      <c r="O1590" s="2" t="s">
        <v>282</v>
      </c>
      <c r="P1590" s="2" t="s">
        <v>36</v>
      </c>
      <c r="Q1590" s="2" t="s">
        <v>283</v>
      </c>
      <c r="R1590" s="2" t="s">
        <v>45</v>
      </c>
      <c r="S1590" s="2" t="s">
        <v>30</v>
      </c>
      <c r="T1590">
        <v>1544</v>
      </c>
      <c r="U1590">
        <f>VLOOKUP(Auto_Sales_data___Copy[[#This Row],[CUSTOMER_NAME]],$AF$2:$AH$90,2,FALSE)</f>
        <v>18</v>
      </c>
      <c r="V1590">
        <f>VLOOKUP(Auto_Sales_data___Copy[[#This Row],[CUSTOMER_NAME]],$AF$2:$AH$90,3,FALSE)</f>
        <v>64834.320000000007</v>
      </c>
      <c r="W1590" s="2">
        <f>6-MATCH(Auto_Sales_data___Copy[[#This Row],[DAYS_SINCE_LAST_ORDER]],Table2[R-Cutoff],1)</f>
        <v>3</v>
      </c>
      <c r="X1590" s="2">
        <f>MATCH(Auto_Sales_data___Copy[[#This Row],[Total_Orders_Per_Customer]],Table2[F-Cutoff],1)</f>
        <v>2</v>
      </c>
      <c r="Y1590" s="2">
        <f>MATCH(Auto_Sales_data___Copy[[#This Row],[Total_Sales_Per_Customer]],Table2[M-Cutoff],1)</f>
        <v>2</v>
      </c>
      <c r="Z1590" s="2" t="str">
        <f>Auto_Sales_data___Copy[[#This Row],[R-Score(1-5)]]&amp;Auto_Sales_data___Copy[[#This Row],[F-Score(1-5)]]&amp;Auto_Sales_data___Copy[[#This Row],[M-Score(1-5)]]</f>
        <v>322</v>
      </c>
      <c r="AA1590" s="2" t="str" cm="1">
        <f t="array" ref="AA15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0" s="2" t="str">
        <f>VLOOKUP(Auto_Sales_data___Copy[[#This Row],[Segment Name]],Table3[],2,FALSE)</f>
        <v>Re-Activation &amp; Re-Engagement</v>
      </c>
    </row>
    <row r="1591" spans="1:28" x14ac:dyDescent="0.25">
      <c r="A1591">
        <v>10304</v>
      </c>
      <c r="B1591">
        <v>23</v>
      </c>
      <c r="C1591">
        <v>30.2</v>
      </c>
      <c r="D1591">
        <v>16</v>
      </c>
      <c r="E1591">
        <v>694.6</v>
      </c>
      <c r="F1591" s="1">
        <v>43749</v>
      </c>
      <c r="G1591" s="2" t="s">
        <v>19</v>
      </c>
      <c r="H1591" s="2" t="s">
        <v>589</v>
      </c>
      <c r="I1591">
        <v>33</v>
      </c>
      <c r="J1591" s="2" t="s">
        <v>670</v>
      </c>
      <c r="K1591" s="2" t="s">
        <v>278</v>
      </c>
      <c r="L1591" s="2" t="s">
        <v>279</v>
      </c>
      <c r="M1591" s="2" t="s">
        <v>280</v>
      </c>
      <c r="N1591" s="2" t="s">
        <v>281</v>
      </c>
      <c r="O1591" s="2" t="s">
        <v>282</v>
      </c>
      <c r="P1591" s="2" t="s">
        <v>36</v>
      </c>
      <c r="Q1591" s="2" t="s">
        <v>283</v>
      </c>
      <c r="R1591" s="2" t="s">
        <v>45</v>
      </c>
      <c r="S1591" s="2" t="s">
        <v>30</v>
      </c>
      <c r="T1591">
        <v>1733</v>
      </c>
      <c r="U1591">
        <f>VLOOKUP(Auto_Sales_data___Copy[[#This Row],[CUSTOMER_NAME]],$AF$2:$AH$90,2,FALSE)</f>
        <v>18</v>
      </c>
      <c r="V1591">
        <f>VLOOKUP(Auto_Sales_data___Copy[[#This Row],[CUSTOMER_NAME]],$AF$2:$AH$90,3,FALSE)</f>
        <v>64834.320000000007</v>
      </c>
      <c r="W1591" s="2">
        <f>6-MATCH(Auto_Sales_data___Copy[[#This Row],[DAYS_SINCE_LAST_ORDER]],Table2[R-Cutoff],1)</f>
        <v>3</v>
      </c>
      <c r="X1591" s="2">
        <f>MATCH(Auto_Sales_data___Copy[[#This Row],[Total_Orders_Per_Customer]],Table2[F-Cutoff],1)</f>
        <v>2</v>
      </c>
      <c r="Y1591" s="2">
        <f>MATCH(Auto_Sales_data___Copy[[#This Row],[Total_Sales_Per_Customer]],Table2[M-Cutoff],1)</f>
        <v>2</v>
      </c>
      <c r="Z1591" s="2" t="str">
        <f>Auto_Sales_data___Copy[[#This Row],[R-Score(1-5)]]&amp;Auto_Sales_data___Copy[[#This Row],[F-Score(1-5)]]&amp;Auto_Sales_data___Copy[[#This Row],[M-Score(1-5)]]</f>
        <v>322</v>
      </c>
      <c r="AA1591" s="2" t="str" cm="1">
        <f t="array" ref="AA15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1" s="2" t="str">
        <f>VLOOKUP(Auto_Sales_data___Copy[[#This Row],[Segment Name]],Table3[],2,FALSE)</f>
        <v>Re-Activation &amp; Re-Engagement</v>
      </c>
    </row>
    <row r="1592" spans="1:28" x14ac:dyDescent="0.25">
      <c r="A1592">
        <v>10304</v>
      </c>
      <c r="B1592">
        <v>44</v>
      </c>
      <c r="C1592">
        <v>39.42</v>
      </c>
      <c r="D1592">
        <v>15</v>
      </c>
      <c r="E1592">
        <v>1734.48</v>
      </c>
      <c r="F1592" s="1">
        <v>43749</v>
      </c>
      <c r="G1592" s="2" t="s">
        <v>19</v>
      </c>
      <c r="H1592" s="2" t="s">
        <v>589</v>
      </c>
      <c r="I1592">
        <v>44</v>
      </c>
      <c r="J1592" s="2" t="s">
        <v>673</v>
      </c>
      <c r="K1592" s="2" t="s">
        <v>278</v>
      </c>
      <c r="L1592" s="2" t="s">
        <v>279</v>
      </c>
      <c r="M1592" s="2" t="s">
        <v>280</v>
      </c>
      <c r="N1592" s="2" t="s">
        <v>281</v>
      </c>
      <c r="O1592" s="2" t="s">
        <v>282</v>
      </c>
      <c r="P1592" s="2" t="s">
        <v>36</v>
      </c>
      <c r="Q1592" s="2" t="s">
        <v>283</v>
      </c>
      <c r="R1592" s="2" t="s">
        <v>45</v>
      </c>
      <c r="S1592" s="2" t="s">
        <v>30</v>
      </c>
      <c r="T1592">
        <v>1808</v>
      </c>
      <c r="U1592">
        <f>VLOOKUP(Auto_Sales_data___Copy[[#This Row],[CUSTOMER_NAME]],$AF$2:$AH$90,2,FALSE)</f>
        <v>18</v>
      </c>
      <c r="V1592">
        <f>VLOOKUP(Auto_Sales_data___Copy[[#This Row],[CUSTOMER_NAME]],$AF$2:$AH$90,3,FALSE)</f>
        <v>64834.320000000007</v>
      </c>
      <c r="W1592" s="2">
        <f>6-MATCH(Auto_Sales_data___Copy[[#This Row],[DAYS_SINCE_LAST_ORDER]],Table2[R-Cutoff],1)</f>
        <v>3</v>
      </c>
      <c r="X1592" s="2">
        <f>MATCH(Auto_Sales_data___Copy[[#This Row],[Total_Orders_Per_Customer]],Table2[F-Cutoff],1)</f>
        <v>2</v>
      </c>
      <c r="Y1592" s="2">
        <f>MATCH(Auto_Sales_data___Copy[[#This Row],[Total_Sales_Per_Customer]],Table2[M-Cutoff],1)</f>
        <v>2</v>
      </c>
      <c r="Z1592" s="2" t="str">
        <f>Auto_Sales_data___Copy[[#This Row],[R-Score(1-5)]]&amp;Auto_Sales_data___Copy[[#This Row],[F-Score(1-5)]]&amp;Auto_Sales_data___Copy[[#This Row],[M-Score(1-5)]]</f>
        <v>322</v>
      </c>
      <c r="AA1592" s="2" t="str" cm="1">
        <f t="array" ref="AA15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2" s="2" t="str">
        <f>VLOOKUP(Auto_Sales_data___Copy[[#This Row],[Segment Name]],Table3[],2,FALSE)</f>
        <v>Re-Activation &amp; Re-Engagement</v>
      </c>
    </row>
    <row r="1593" spans="1:28" x14ac:dyDescent="0.25">
      <c r="A1593">
        <v>10307</v>
      </c>
      <c r="B1593">
        <v>25</v>
      </c>
      <c r="C1593">
        <v>75.36</v>
      </c>
      <c r="D1593">
        <v>2</v>
      </c>
      <c r="E1593">
        <v>1884</v>
      </c>
      <c r="F1593" s="1">
        <v>43752</v>
      </c>
      <c r="G1593" s="2" t="s">
        <v>19</v>
      </c>
      <c r="H1593" s="2" t="s">
        <v>607</v>
      </c>
      <c r="I1593">
        <v>68</v>
      </c>
      <c r="J1593" s="2" t="s">
        <v>678</v>
      </c>
      <c r="K1593" s="2" t="s">
        <v>217</v>
      </c>
      <c r="L1593" s="2" t="s">
        <v>218</v>
      </c>
      <c r="M1593" s="2" t="s">
        <v>219</v>
      </c>
      <c r="N1593" s="2" t="s">
        <v>220</v>
      </c>
      <c r="O1593" s="2" t="s">
        <v>221</v>
      </c>
      <c r="P1593" s="2" t="s">
        <v>27</v>
      </c>
      <c r="Q1593" s="2" t="s">
        <v>222</v>
      </c>
      <c r="R1593" s="2" t="s">
        <v>223</v>
      </c>
      <c r="S1593" s="2" t="s">
        <v>30</v>
      </c>
      <c r="T1593">
        <v>1932</v>
      </c>
      <c r="U1593">
        <f>VLOOKUP(Auto_Sales_data___Copy[[#This Row],[CUSTOMER_NAME]],$AF$2:$AH$90,2,FALSE)</f>
        <v>21</v>
      </c>
      <c r="V1593">
        <f>VLOOKUP(Auto_Sales_data___Copy[[#This Row],[CUSTOMER_NAME]],$AF$2:$AH$90,3,FALSE)</f>
        <v>67506.969999999987</v>
      </c>
      <c r="W1593" s="2">
        <f>6-MATCH(Auto_Sales_data___Copy[[#This Row],[DAYS_SINCE_LAST_ORDER]],Table2[R-Cutoff],1)</f>
        <v>3</v>
      </c>
      <c r="X1593" s="2">
        <f>MATCH(Auto_Sales_data___Copy[[#This Row],[Total_Orders_Per_Customer]],Table2[F-Cutoff],1)</f>
        <v>2</v>
      </c>
      <c r="Y1593" s="2">
        <f>MATCH(Auto_Sales_data___Copy[[#This Row],[Total_Sales_Per_Customer]],Table2[M-Cutoff],1)</f>
        <v>2</v>
      </c>
      <c r="Z1593" s="2" t="str">
        <f>Auto_Sales_data___Copy[[#This Row],[R-Score(1-5)]]&amp;Auto_Sales_data___Copy[[#This Row],[F-Score(1-5)]]&amp;Auto_Sales_data___Copy[[#This Row],[M-Score(1-5)]]</f>
        <v>322</v>
      </c>
      <c r="AA1593" s="2" t="str" cm="1">
        <f t="array" ref="AA15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3" s="2" t="str">
        <f>VLOOKUP(Auto_Sales_data___Copy[[#This Row],[Segment Name]],Table3[],2,FALSE)</f>
        <v>Re-Activation &amp; Re-Engagement</v>
      </c>
    </row>
    <row r="1594" spans="1:28" x14ac:dyDescent="0.25">
      <c r="A1594">
        <v>10313</v>
      </c>
      <c r="B1594">
        <v>28</v>
      </c>
      <c r="C1594">
        <v>102.92</v>
      </c>
      <c r="D1594">
        <v>8</v>
      </c>
      <c r="E1594">
        <v>2881.76</v>
      </c>
      <c r="F1594" s="1">
        <v>43760</v>
      </c>
      <c r="G1594" s="2" t="s">
        <v>19</v>
      </c>
      <c r="H1594" s="2" t="s">
        <v>537</v>
      </c>
      <c r="I1594">
        <v>121</v>
      </c>
      <c r="J1594" s="2" t="s">
        <v>661</v>
      </c>
      <c r="K1594" s="2" t="s">
        <v>231</v>
      </c>
      <c r="L1594" s="2" t="s">
        <v>232</v>
      </c>
      <c r="M1594" s="2" t="s">
        <v>233</v>
      </c>
      <c r="N1594" s="2" t="s">
        <v>234</v>
      </c>
      <c r="O1594" s="2" t="s">
        <v>235</v>
      </c>
      <c r="P1594" s="2" t="s">
        <v>236</v>
      </c>
      <c r="Q1594" s="2" t="s">
        <v>237</v>
      </c>
      <c r="R1594" s="2" t="s">
        <v>238</v>
      </c>
      <c r="S1594" s="2" t="s">
        <v>30</v>
      </c>
      <c r="T1594">
        <v>1507</v>
      </c>
      <c r="U1594">
        <f>VLOOKUP(Auto_Sales_data___Copy[[#This Row],[CUSTOMER_NAME]],$AF$2:$AH$90,2,FALSE)</f>
        <v>22</v>
      </c>
      <c r="V1594">
        <f>VLOOKUP(Auto_Sales_data___Copy[[#This Row],[CUSTOMER_NAME]],$AF$2:$AH$90,3,FALSE)</f>
        <v>75238.92</v>
      </c>
      <c r="W1594" s="2">
        <f>6-MATCH(Auto_Sales_data___Copy[[#This Row],[DAYS_SINCE_LAST_ORDER]],Table2[R-Cutoff],1)</f>
        <v>3</v>
      </c>
      <c r="X1594" s="2">
        <f>MATCH(Auto_Sales_data___Copy[[#This Row],[Total_Orders_Per_Customer]],Table2[F-Cutoff],1)</f>
        <v>2</v>
      </c>
      <c r="Y1594" s="2">
        <f>MATCH(Auto_Sales_data___Copy[[#This Row],[Total_Sales_Per_Customer]],Table2[M-Cutoff],1)</f>
        <v>2</v>
      </c>
      <c r="Z1594" s="2" t="str">
        <f>Auto_Sales_data___Copy[[#This Row],[R-Score(1-5)]]&amp;Auto_Sales_data___Copy[[#This Row],[F-Score(1-5)]]&amp;Auto_Sales_data___Copy[[#This Row],[M-Score(1-5)]]</f>
        <v>322</v>
      </c>
      <c r="AA1594" s="2" t="str" cm="1">
        <f t="array" ref="AA15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4" s="2" t="str">
        <f>VLOOKUP(Auto_Sales_data___Copy[[#This Row],[Segment Name]],Table3[],2,FALSE)</f>
        <v>Re-Activation &amp; Re-Engagement</v>
      </c>
    </row>
    <row r="1595" spans="1:28" x14ac:dyDescent="0.25">
      <c r="A1595">
        <v>10313</v>
      </c>
      <c r="B1595">
        <v>42</v>
      </c>
      <c r="C1595">
        <v>132.9</v>
      </c>
      <c r="D1595">
        <v>4</v>
      </c>
      <c r="E1595">
        <v>5581.8</v>
      </c>
      <c r="F1595" s="1">
        <v>43760</v>
      </c>
      <c r="G1595" s="2" t="s">
        <v>19</v>
      </c>
      <c r="H1595" s="2" t="s">
        <v>537</v>
      </c>
      <c r="I1595">
        <v>127</v>
      </c>
      <c r="J1595" s="2" t="s">
        <v>674</v>
      </c>
      <c r="K1595" s="2" t="s">
        <v>231</v>
      </c>
      <c r="L1595" s="2" t="s">
        <v>232</v>
      </c>
      <c r="M1595" s="2" t="s">
        <v>233</v>
      </c>
      <c r="N1595" s="2" t="s">
        <v>234</v>
      </c>
      <c r="O1595" s="2" t="s">
        <v>235</v>
      </c>
      <c r="P1595" s="2" t="s">
        <v>236</v>
      </c>
      <c r="Q1595" s="2" t="s">
        <v>237</v>
      </c>
      <c r="R1595" s="2" t="s">
        <v>238</v>
      </c>
      <c r="S1595" s="2" t="s">
        <v>46</v>
      </c>
      <c r="T1595">
        <v>1825</v>
      </c>
      <c r="U1595">
        <f>VLOOKUP(Auto_Sales_data___Copy[[#This Row],[CUSTOMER_NAME]],$AF$2:$AH$90,2,FALSE)</f>
        <v>22</v>
      </c>
      <c r="V1595">
        <f>VLOOKUP(Auto_Sales_data___Copy[[#This Row],[CUSTOMER_NAME]],$AF$2:$AH$90,3,FALSE)</f>
        <v>75238.92</v>
      </c>
      <c r="W1595" s="2">
        <f>6-MATCH(Auto_Sales_data___Copy[[#This Row],[DAYS_SINCE_LAST_ORDER]],Table2[R-Cutoff],1)</f>
        <v>3</v>
      </c>
      <c r="X1595" s="2">
        <f>MATCH(Auto_Sales_data___Copy[[#This Row],[Total_Orders_Per_Customer]],Table2[F-Cutoff],1)</f>
        <v>2</v>
      </c>
      <c r="Y1595" s="2">
        <f>MATCH(Auto_Sales_data___Copy[[#This Row],[Total_Sales_Per_Customer]],Table2[M-Cutoff],1)</f>
        <v>2</v>
      </c>
      <c r="Z1595" s="2" t="str">
        <f>Auto_Sales_data___Copy[[#This Row],[R-Score(1-5)]]&amp;Auto_Sales_data___Copy[[#This Row],[F-Score(1-5)]]&amp;Auto_Sales_data___Copy[[#This Row],[M-Score(1-5)]]</f>
        <v>322</v>
      </c>
      <c r="AA1595" s="2" t="str" cm="1">
        <f t="array" ref="AA15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5" s="2" t="str">
        <f>VLOOKUP(Auto_Sales_data___Copy[[#This Row],[Segment Name]],Table3[],2,FALSE)</f>
        <v>Re-Activation &amp; Re-Engagement</v>
      </c>
    </row>
    <row r="1596" spans="1:28" x14ac:dyDescent="0.25">
      <c r="A1596">
        <v>10326</v>
      </c>
      <c r="B1596">
        <v>41</v>
      </c>
      <c r="C1596">
        <v>105.69</v>
      </c>
      <c r="D1596">
        <v>4</v>
      </c>
      <c r="E1596">
        <v>4333.29</v>
      </c>
      <c r="F1596" s="1">
        <v>43778</v>
      </c>
      <c r="G1596" s="2" t="s">
        <v>19</v>
      </c>
      <c r="H1596" s="2" t="s">
        <v>642</v>
      </c>
      <c r="I1596">
        <v>122</v>
      </c>
      <c r="J1596" s="2" t="s">
        <v>672</v>
      </c>
      <c r="K1596" s="2" t="s">
        <v>185</v>
      </c>
      <c r="L1596" s="2" t="s">
        <v>186</v>
      </c>
      <c r="M1596" s="2" t="s">
        <v>187</v>
      </c>
      <c r="N1596" s="2" t="s">
        <v>188</v>
      </c>
      <c r="O1596" s="2" t="s">
        <v>189</v>
      </c>
      <c r="P1596" s="2" t="s">
        <v>190</v>
      </c>
      <c r="Q1596" s="2" t="s">
        <v>191</v>
      </c>
      <c r="R1596" s="2" t="s">
        <v>192</v>
      </c>
      <c r="S1596" s="2" t="s">
        <v>46</v>
      </c>
      <c r="T1596">
        <v>1759</v>
      </c>
      <c r="U1596">
        <f>VLOOKUP(Auto_Sales_data___Copy[[#This Row],[CUSTOMER_NAME]],$AF$2:$AH$90,2,FALSE)</f>
        <v>19</v>
      </c>
      <c r="V1596">
        <f>VLOOKUP(Auto_Sales_data___Copy[[#This Row],[CUSTOMER_NAME]],$AF$2:$AH$90,3,FALSE)</f>
        <v>75754.87999999999</v>
      </c>
      <c r="W1596" s="2">
        <f>6-MATCH(Auto_Sales_data___Copy[[#This Row],[DAYS_SINCE_LAST_ORDER]],Table2[R-Cutoff],1)</f>
        <v>3</v>
      </c>
      <c r="X1596" s="2">
        <f>MATCH(Auto_Sales_data___Copy[[#This Row],[Total_Orders_Per_Customer]],Table2[F-Cutoff],1)</f>
        <v>2</v>
      </c>
      <c r="Y1596" s="2">
        <f>MATCH(Auto_Sales_data___Copy[[#This Row],[Total_Sales_Per_Customer]],Table2[M-Cutoff],1)</f>
        <v>2</v>
      </c>
      <c r="Z1596" s="2" t="str">
        <f>Auto_Sales_data___Copy[[#This Row],[R-Score(1-5)]]&amp;Auto_Sales_data___Copy[[#This Row],[F-Score(1-5)]]&amp;Auto_Sales_data___Copy[[#This Row],[M-Score(1-5)]]</f>
        <v>322</v>
      </c>
      <c r="AA1596" s="2" t="str" cm="1">
        <f t="array" ref="AA15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6" s="2" t="str">
        <f>VLOOKUP(Auto_Sales_data___Copy[[#This Row],[Segment Name]],Table3[],2,FALSE)</f>
        <v>Re-Activation &amp; Re-Engagement</v>
      </c>
    </row>
    <row r="1597" spans="1:28" x14ac:dyDescent="0.25">
      <c r="A1597">
        <v>10326</v>
      </c>
      <c r="B1597">
        <v>41</v>
      </c>
      <c r="C1597">
        <v>85.85</v>
      </c>
      <c r="D1597">
        <v>3</v>
      </c>
      <c r="E1597">
        <v>3519.85</v>
      </c>
      <c r="F1597" s="1">
        <v>43778</v>
      </c>
      <c r="G1597" s="2" t="s">
        <v>19</v>
      </c>
      <c r="H1597" s="2" t="s">
        <v>589</v>
      </c>
      <c r="I1597">
        <v>88</v>
      </c>
      <c r="J1597" s="2" t="s">
        <v>681</v>
      </c>
      <c r="K1597" s="2" t="s">
        <v>185</v>
      </c>
      <c r="L1597" s="2" t="s">
        <v>186</v>
      </c>
      <c r="M1597" s="2" t="s">
        <v>187</v>
      </c>
      <c r="N1597" s="2" t="s">
        <v>188</v>
      </c>
      <c r="O1597" s="2" t="s">
        <v>189</v>
      </c>
      <c r="P1597" s="2" t="s">
        <v>190</v>
      </c>
      <c r="Q1597" s="2" t="s">
        <v>191</v>
      </c>
      <c r="R1597" s="2" t="s">
        <v>192</v>
      </c>
      <c r="S1597" s="2" t="s">
        <v>46</v>
      </c>
      <c r="T1597">
        <v>1983</v>
      </c>
      <c r="U1597">
        <f>VLOOKUP(Auto_Sales_data___Copy[[#This Row],[CUSTOMER_NAME]],$AF$2:$AH$90,2,FALSE)</f>
        <v>19</v>
      </c>
      <c r="V1597">
        <f>VLOOKUP(Auto_Sales_data___Copy[[#This Row],[CUSTOMER_NAME]],$AF$2:$AH$90,3,FALSE)</f>
        <v>75754.87999999999</v>
      </c>
      <c r="W1597" s="2">
        <f>6-MATCH(Auto_Sales_data___Copy[[#This Row],[DAYS_SINCE_LAST_ORDER]],Table2[R-Cutoff],1)</f>
        <v>3</v>
      </c>
      <c r="X1597" s="2">
        <f>MATCH(Auto_Sales_data___Copy[[#This Row],[Total_Orders_Per_Customer]],Table2[F-Cutoff],1)</f>
        <v>2</v>
      </c>
      <c r="Y1597" s="2">
        <f>MATCH(Auto_Sales_data___Copy[[#This Row],[Total_Sales_Per_Customer]],Table2[M-Cutoff],1)</f>
        <v>2</v>
      </c>
      <c r="Z1597" s="2" t="str">
        <f>Auto_Sales_data___Copy[[#This Row],[R-Score(1-5)]]&amp;Auto_Sales_data___Copy[[#This Row],[F-Score(1-5)]]&amp;Auto_Sales_data___Copy[[#This Row],[M-Score(1-5)]]</f>
        <v>322</v>
      </c>
      <c r="AA1597" s="2" t="str" cm="1">
        <f t="array" ref="AA15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7" s="2" t="str">
        <f>VLOOKUP(Auto_Sales_data___Copy[[#This Row],[Segment Name]],Table3[],2,FALSE)</f>
        <v>Re-Activation &amp; Re-Engagement</v>
      </c>
    </row>
    <row r="1598" spans="1:28" x14ac:dyDescent="0.25">
      <c r="A1598">
        <v>10334</v>
      </c>
      <c r="B1598">
        <v>42</v>
      </c>
      <c r="C1598">
        <v>131.62</v>
      </c>
      <c r="D1598">
        <v>5</v>
      </c>
      <c r="E1598">
        <v>5528.04</v>
      </c>
      <c r="F1598" s="1">
        <v>43788</v>
      </c>
      <c r="G1598" s="2" t="s">
        <v>423</v>
      </c>
      <c r="H1598" s="2" t="s">
        <v>537</v>
      </c>
      <c r="I1598">
        <v>127</v>
      </c>
      <c r="J1598" s="2" t="s">
        <v>674</v>
      </c>
      <c r="K1598" s="2" t="s">
        <v>185</v>
      </c>
      <c r="L1598" s="2" t="s">
        <v>186</v>
      </c>
      <c r="M1598" s="2" t="s">
        <v>187</v>
      </c>
      <c r="N1598" s="2" t="s">
        <v>188</v>
      </c>
      <c r="O1598" s="2" t="s">
        <v>189</v>
      </c>
      <c r="P1598" s="2" t="s">
        <v>190</v>
      </c>
      <c r="Q1598" s="2" t="s">
        <v>191</v>
      </c>
      <c r="R1598" s="2" t="s">
        <v>192</v>
      </c>
      <c r="S1598" s="2" t="s">
        <v>46</v>
      </c>
      <c r="T1598">
        <v>1799</v>
      </c>
      <c r="U1598">
        <f>VLOOKUP(Auto_Sales_data___Copy[[#This Row],[CUSTOMER_NAME]],$AF$2:$AH$90,2,FALSE)</f>
        <v>19</v>
      </c>
      <c r="V1598">
        <f>VLOOKUP(Auto_Sales_data___Copy[[#This Row],[CUSTOMER_NAME]],$AF$2:$AH$90,3,FALSE)</f>
        <v>75754.87999999999</v>
      </c>
      <c r="W1598" s="2">
        <f>6-MATCH(Auto_Sales_data___Copy[[#This Row],[DAYS_SINCE_LAST_ORDER]],Table2[R-Cutoff],1)</f>
        <v>3</v>
      </c>
      <c r="X1598" s="2">
        <f>MATCH(Auto_Sales_data___Copy[[#This Row],[Total_Orders_Per_Customer]],Table2[F-Cutoff],1)</f>
        <v>2</v>
      </c>
      <c r="Y1598" s="2">
        <f>MATCH(Auto_Sales_data___Copy[[#This Row],[Total_Sales_Per_Customer]],Table2[M-Cutoff],1)</f>
        <v>2</v>
      </c>
      <c r="Z1598" s="2" t="str">
        <f>Auto_Sales_data___Copy[[#This Row],[R-Score(1-5)]]&amp;Auto_Sales_data___Copy[[#This Row],[F-Score(1-5)]]&amp;Auto_Sales_data___Copy[[#This Row],[M-Score(1-5)]]</f>
        <v>322</v>
      </c>
      <c r="AA1598" s="2" t="str" cm="1">
        <f t="array" ref="AA15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8" s="2" t="str">
        <f>VLOOKUP(Auto_Sales_data___Copy[[#This Row],[Segment Name]],Table3[],2,FALSE)</f>
        <v>Re-Activation &amp; Re-Engagement</v>
      </c>
    </row>
    <row r="1599" spans="1:28" x14ac:dyDescent="0.25">
      <c r="A1599">
        <v>10337</v>
      </c>
      <c r="B1599">
        <v>29</v>
      </c>
      <c r="C1599">
        <v>71.97</v>
      </c>
      <c r="D1599">
        <v>4</v>
      </c>
      <c r="E1599">
        <v>2087.13</v>
      </c>
      <c r="F1599" s="1">
        <v>43790</v>
      </c>
      <c r="G1599" s="2" t="s">
        <v>19</v>
      </c>
      <c r="H1599" s="2" t="s">
        <v>642</v>
      </c>
      <c r="I1599">
        <v>122</v>
      </c>
      <c r="J1599" s="2" t="s">
        <v>672</v>
      </c>
      <c r="K1599" s="2" t="s">
        <v>206</v>
      </c>
      <c r="L1599" s="2" t="s">
        <v>207</v>
      </c>
      <c r="M1599" s="2" t="s">
        <v>208</v>
      </c>
      <c r="N1599" s="2" t="s">
        <v>25</v>
      </c>
      <c r="O1599" s="2" t="s">
        <v>26</v>
      </c>
      <c r="P1599" s="2" t="s">
        <v>27</v>
      </c>
      <c r="Q1599" s="2" t="s">
        <v>120</v>
      </c>
      <c r="R1599" s="2" t="s">
        <v>209</v>
      </c>
      <c r="S1599" s="2" t="s">
        <v>30</v>
      </c>
      <c r="T1599">
        <v>1748</v>
      </c>
      <c r="U1599">
        <f>VLOOKUP(Auto_Sales_data___Copy[[#This Row],[CUSTOMER_NAME]],$AF$2:$AH$90,2,FALSE)</f>
        <v>20</v>
      </c>
      <c r="V1599">
        <f>VLOOKUP(Auto_Sales_data___Copy[[#This Row],[CUSTOMER_NAME]],$AF$2:$AH$90,3,FALSE)</f>
        <v>77795.200000000012</v>
      </c>
      <c r="W1599" s="2">
        <f>6-MATCH(Auto_Sales_data___Copy[[#This Row],[DAYS_SINCE_LAST_ORDER]],Table2[R-Cutoff],1)</f>
        <v>3</v>
      </c>
      <c r="X1599" s="2">
        <f>MATCH(Auto_Sales_data___Copy[[#This Row],[Total_Orders_Per_Customer]],Table2[F-Cutoff],1)</f>
        <v>2</v>
      </c>
      <c r="Y1599" s="2">
        <f>MATCH(Auto_Sales_data___Copy[[#This Row],[Total_Sales_Per_Customer]],Table2[M-Cutoff],1)</f>
        <v>2</v>
      </c>
      <c r="Z1599" s="2" t="str">
        <f>Auto_Sales_data___Copy[[#This Row],[R-Score(1-5)]]&amp;Auto_Sales_data___Copy[[#This Row],[F-Score(1-5)]]&amp;Auto_Sales_data___Copy[[#This Row],[M-Score(1-5)]]</f>
        <v>322</v>
      </c>
      <c r="AA1599" s="2" t="str" cm="1">
        <f t="array" ref="AA15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9" s="2" t="str">
        <f>VLOOKUP(Auto_Sales_data___Copy[[#This Row],[Segment Name]],Table3[],2,FALSE)</f>
        <v>Re-Activation &amp; Re-Engagement</v>
      </c>
    </row>
    <row r="1600" spans="1:28" x14ac:dyDescent="0.25">
      <c r="A1600">
        <v>10340</v>
      </c>
      <c r="B1600">
        <v>55</v>
      </c>
      <c r="C1600">
        <v>79.98</v>
      </c>
      <c r="D1600">
        <v>8</v>
      </c>
      <c r="E1600">
        <v>4398.8999999999996</v>
      </c>
      <c r="F1600" s="1">
        <v>43793</v>
      </c>
      <c r="G1600" s="2" t="s">
        <v>19</v>
      </c>
      <c r="H1600" s="2" t="s">
        <v>20</v>
      </c>
      <c r="I1600">
        <v>76</v>
      </c>
      <c r="J1600" s="2" t="s">
        <v>671</v>
      </c>
      <c r="K1600" s="2" t="s">
        <v>372</v>
      </c>
      <c r="L1600" s="2" t="s">
        <v>373</v>
      </c>
      <c r="M1600" s="2" t="s">
        <v>374</v>
      </c>
      <c r="N1600" s="2" t="s">
        <v>375</v>
      </c>
      <c r="O1600" s="2" t="s">
        <v>376</v>
      </c>
      <c r="P1600" s="2" t="s">
        <v>180</v>
      </c>
      <c r="Q1600" s="2" t="s">
        <v>377</v>
      </c>
      <c r="R1600" s="2" t="s">
        <v>378</v>
      </c>
      <c r="S1600" s="2" t="s">
        <v>46</v>
      </c>
      <c r="T1600">
        <v>1719</v>
      </c>
      <c r="U1600">
        <f>VLOOKUP(Auto_Sales_data___Copy[[#This Row],[CUSTOMER_NAME]],$AF$2:$AH$90,2,FALSE)</f>
        <v>23</v>
      </c>
      <c r="V1600">
        <f>VLOOKUP(Auto_Sales_data___Copy[[#This Row],[CUSTOMER_NAME]],$AF$2:$AH$90,3,FALSE)</f>
        <v>78411.86</v>
      </c>
      <c r="W1600" s="2">
        <f>6-MATCH(Auto_Sales_data___Copy[[#This Row],[DAYS_SINCE_LAST_ORDER]],Table2[R-Cutoff],1)</f>
        <v>3</v>
      </c>
      <c r="X1600" s="2">
        <f>MATCH(Auto_Sales_data___Copy[[#This Row],[Total_Orders_Per_Customer]],Table2[F-Cutoff],1)</f>
        <v>2</v>
      </c>
      <c r="Y1600" s="2">
        <f>MATCH(Auto_Sales_data___Copy[[#This Row],[Total_Sales_Per_Customer]],Table2[M-Cutoff],1)</f>
        <v>2</v>
      </c>
      <c r="Z1600" s="2" t="str">
        <f>Auto_Sales_data___Copy[[#This Row],[R-Score(1-5)]]&amp;Auto_Sales_data___Copy[[#This Row],[F-Score(1-5)]]&amp;Auto_Sales_data___Copy[[#This Row],[M-Score(1-5)]]</f>
        <v>322</v>
      </c>
      <c r="AA1600" s="2" t="str" cm="1">
        <f t="array" ref="AA16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0" s="2" t="str">
        <f>VLOOKUP(Auto_Sales_data___Copy[[#This Row],[Segment Name]],Table3[],2,FALSE)</f>
        <v>Re-Activation &amp; Re-Engagement</v>
      </c>
    </row>
    <row r="1601" spans="1:28" x14ac:dyDescent="0.25">
      <c r="A1601">
        <v>10356</v>
      </c>
      <c r="B1601">
        <v>48</v>
      </c>
      <c r="C1601">
        <v>202.5</v>
      </c>
      <c r="D1601">
        <v>5</v>
      </c>
      <c r="E1601">
        <v>9720</v>
      </c>
      <c r="F1601" s="1">
        <v>43808</v>
      </c>
      <c r="G1601" s="2" t="s">
        <v>19</v>
      </c>
      <c r="H1601" s="2" t="s">
        <v>589</v>
      </c>
      <c r="I1601">
        <v>33</v>
      </c>
      <c r="J1601" s="2" t="s">
        <v>670</v>
      </c>
      <c r="K1601" s="2" t="s">
        <v>39</v>
      </c>
      <c r="L1601" s="2" t="s">
        <v>40</v>
      </c>
      <c r="M1601" s="2" t="s">
        <v>41</v>
      </c>
      <c r="N1601" s="2" t="s">
        <v>42</v>
      </c>
      <c r="O1601" s="2" t="s">
        <v>43</v>
      </c>
      <c r="P1601" s="2" t="s">
        <v>36</v>
      </c>
      <c r="Q1601" s="2" t="s">
        <v>44</v>
      </c>
      <c r="R1601" s="2" t="s">
        <v>45</v>
      </c>
      <c r="S1601" s="2" t="s">
        <v>151</v>
      </c>
      <c r="T1601">
        <v>1679</v>
      </c>
      <c r="U1601">
        <f>VLOOKUP(Auto_Sales_data___Copy[[#This Row],[CUSTOMER_NAME]],$AF$2:$AH$90,2,FALSE)</f>
        <v>20</v>
      </c>
      <c r="V1601">
        <f>VLOOKUP(Auto_Sales_data___Copy[[#This Row],[CUSTOMER_NAME]],$AF$2:$AH$90,3,FALSE)</f>
        <v>78570.34</v>
      </c>
      <c r="W1601" s="2">
        <f>6-MATCH(Auto_Sales_data___Copy[[#This Row],[DAYS_SINCE_LAST_ORDER]],Table2[R-Cutoff],1)</f>
        <v>3</v>
      </c>
      <c r="X1601" s="2">
        <f>MATCH(Auto_Sales_data___Copy[[#This Row],[Total_Orders_Per_Customer]],Table2[F-Cutoff],1)</f>
        <v>2</v>
      </c>
      <c r="Y1601" s="2">
        <f>MATCH(Auto_Sales_data___Copy[[#This Row],[Total_Sales_Per_Customer]],Table2[M-Cutoff],1)</f>
        <v>2</v>
      </c>
      <c r="Z1601" s="2" t="str">
        <f>Auto_Sales_data___Copy[[#This Row],[R-Score(1-5)]]&amp;Auto_Sales_data___Copy[[#This Row],[F-Score(1-5)]]&amp;Auto_Sales_data___Copy[[#This Row],[M-Score(1-5)]]</f>
        <v>322</v>
      </c>
      <c r="AA1601" s="2" t="str" cm="1">
        <f t="array" ref="AA16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1" s="2" t="str">
        <f>VLOOKUP(Auto_Sales_data___Copy[[#This Row],[Segment Name]],Table3[],2,FALSE)</f>
        <v>Re-Activation &amp; Re-Engagement</v>
      </c>
    </row>
    <row r="1602" spans="1:28" x14ac:dyDescent="0.25">
      <c r="A1602">
        <v>10356</v>
      </c>
      <c r="B1602">
        <v>26</v>
      </c>
      <c r="C1602">
        <v>31.86</v>
      </c>
      <c r="D1602">
        <v>7</v>
      </c>
      <c r="E1602">
        <v>828.36</v>
      </c>
      <c r="F1602" s="1">
        <v>43808</v>
      </c>
      <c r="G1602" s="2" t="s">
        <v>19</v>
      </c>
      <c r="H1602" s="2" t="s">
        <v>589</v>
      </c>
      <c r="I1602">
        <v>44</v>
      </c>
      <c r="J1602" s="2" t="s">
        <v>673</v>
      </c>
      <c r="K1602" s="2" t="s">
        <v>39</v>
      </c>
      <c r="L1602" s="2" t="s">
        <v>40</v>
      </c>
      <c r="M1602" s="2" t="s">
        <v>41</v>
      </c>
      <c r="N1602" s="2" t="s">
        <v>42</v>
      </c>
      <c r="O1602" s="2" t="s">
        <v>43</v>
      </c>
      <c r="P1602" s="2" t="s">
        <v>36</v>
      </c>
      <c r="Q1602" s="2" t="s">
        <v>44</v>
      </c>
      <c r="R1602" s="2" t="s">
        <v>45</v>
      </c>
      <c r="S1602" s="2" t="s">
        <v>30</v>
      </c>
      <c r="T1602">
        <v>1754</v>
      </c>
      <c r="U1602">
        <f>VLOOKUP(Auto_Sales_data___Copy[[#This Row],[CUSTOMER_NAME]],$AF$2:$AH$90,2,FALSE)</f>
        <v>20</v>
      </c>
      <c r="V1602">
        <f>VLOOKUP(Auto_Sales_data___Copy[[#This Row],[CUSTOMER_NAME]],$AF$2:$AH$90,3,FALSE)</f>
        <v>78570.34</v>
      </c>
      <c r="W1602" s="2">
        <f>6-MATCH(Auto_Sales_data___Copy[[#This Row],[DAYS_SINCE_LAST_ORDER]],Table2[R-Cutoff],1)</f>
        <v>3</v>
      </c>
      <c r="X1602" s="2">
        <f>MATCH(Auto_Sales_data___Copy[[#This Row],[Total_Orders_Per_Customer]],Table2[F-Cutoff],1)</f>
        <v>2</v>
      </c>
      <c r="Y1602" s="2">
        <f>MATCH(Auto_Sales_data___Copy[[#This Row],[Total_Sales_Per_Customer]],Table2[M-Cutoff],1)</f>
        <v>2</v>
      </c>
      <c r="Z1602" s="2" t="str">
        <f>Auto_Sales_data___Copy[[#This Row],[R-Score(1-5)]]&amp;Auto_Sales_data___Copy[[#This Row],[F-Score(1-5)]]&amp;Auto_Sales_data___Copy[[#This Row],[M-Score(1-5)]]</f>
        <v>322</v>
      </c>
      <c r="AA1602" s="2" t="str" cm="1">
        <f t="array" ref="AA16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2" s="2" t="str">
        <f>VLOOKUP(Auto_Sales_data___Copy[[#This Row],[Segment Name]],Table3[],2,FALSE)</f>
        <v>Re-Activation &amp; Re-Engagement</v>
      </c>
    </row>
    <row r="1603" spans="1:28" x14ac:dyDescent="0.25">
      <c r="A1603">
        <v>10146</v>
      </c>
      <c r="B1603">
        <v>47</v>
      </c>
      <c r="C1603">
        <v>67.14</v>
      </c>
      <c r="D1603">
        <v>2</v>
      </c>
      <c r="E1603">
        <v>3155.58</v>
      </c>
      <c r="F1603" s="1">
        <v>43346</v>
      </c>
      <c r="G1603" s="2" t="s">
        <v>19</v>
      </c>
      <c r="H1603" s="2" t="s">
        <v>20</v>
      </c>
      <c r="I1603">
        <v>62</v>
      </c>
      <c r="J1603" s="2" t="s">
        <v>656</v>
      </c>
      <c r="K1603" s="2" t="s">
        <v>609</v>
      </c>
      <c r="L1603" s="2" t="s">
        <v>610</v>
      </c>
      <c r="M1603" s="2" t="s">
        <v>611</v>
      </c>
      <c r="N1603" s="2" t="s">
        <v>550</v>
      </c>
      <c r="O1603" s="2" t="s">
        <v>612</v>
      </c>
      <c r="P1603" s="2" t="s">
        <v>27</v>
      </c>
      <c r="Q1603" s="2" t="s">
        <v>613</v>
      </c>
      <c r="R1603" s="2" t="s">
        <v>614</v>
      </c>
      <c r="S1603" s="2" t="s">
        <v>46</v>
      </c>
      <c r="T1603">
        <v>1784</v>
      </c>
      <c r="U1603">
        <f>VLOOKUP(Auto_Sales_data___Copy[[#This Row],[CUSTOMER_NAME]],$AF$2:$AH$90,2,FALSE)</f>
        <v>19</v>
      </c>
      <c r="V1603">
        <f>VLOOKUP(Auto_Sales_data___Copy[[#This Row],[CUSTOMER_NAME]],$AF$2:$AH$90,3,FALSE)</f>
        <v>57294.420000000006</v>
      </c>
      <c r="W1603" s="2">
        <f>6-MATCH(Auto_Sales_data___Copy[[#This Row],[DAYS_SINCE_LAST_ORDER]],Table2[R-Cutoff],1)</f>
        <v>3</v>
      </c>
      <c r="X1603" s="2">
        <f>MATCH(Auto_Sales_data___Copy[[#This Row],[Total_Orders_Per_Customer]],Table2[F-Cutoff],1)</f>
        <v>2</v>
      </c>
      <c r="Y1603" s="2">
        <f>MATCH(Auto_Sales_data___Copy[[#This Row],[Total_Sales_Per_Customer]],Table2[M-Cutoff],1)</f>
        <v>1</v>
      </c>
      <c r="Z1603" s="2" t="str">
        <f>Auto_Sales_data___Copy[[#This Row],[R-Score(1-5)]]&amp;Auto_Sales_data___Copy[[#This Row],[F-Score(1-5)]]&amp;Auto_Sales_data___Copy[[#This Row],[M-Score(1-5)]]</f>
        <v>321</v>
      </c>
      <c r="AA1603" s="2" t="str" cm="1">
        <f t="array" ref="AA16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3" s="2" t="str">
        <f>VLOOKUP(Auto_Sales_data___Copy[[#This Row],[Segment Name]],Table3[],2,FALSE)</f>
        <v>Re-Activation &amp; Re-Engagement</v>
      </c>
    </row>
    <row r="1604" spans="1:28" x14ac:dyDescent="0.25">
      <c r="A1604">
        <v>10146</v>
      </c>
      <c r="B1604">
        <v>29</v>
      </c>
      <c r="C1604">
        <v>153.26</v>
      </c>
      <c r="D1604">
        <v>1</v>
      </c>
      <c r="E1604">
        <v>4444.54</v>
      </c>
      <c r="F1604" s="1">
        <v>43346</v>
      </c>
      <c r="G1604" s="2" t="s">
        <v>19</v>
      </c>
      <c r="H1604" s="2" t="s">
        <v>183</v>
      </c>
      <c r="I1604">
        <v>148</v>
      </c>
      <c r="J1604" s="2" t="s">
        <v>663</v>
      </c>
      <c r="K1604" s="2" t="s">
        <v>609</v>
      </c>
      <c r="L1604" s="2" t="s">
        <v>610</v>
      </c>
      <c r="M1604" s="2" t="s">
        <v>611</v>
      </c>
      <c r="N1604" s="2" t="s">
        <v>550</v>
      </c>
      <c r="O1604" s="2" t="s">
        <v>612</v>
      </c>
      <c r="P1604" s="2" t="s">
        <v>27</v>
      </c>
      <c r="Q1604" s="2" t="s">
        <v>613</v>
      </c>
      <c r="R1604" s="2" t="s">
        <v>614</v>
      </c>
      <c r="S1604" s="2" t="s">
        <v>46</v>
      </c>
      <c r="T1604">
        <v>1959</v>
      </c>
      <c r="U1604">
        <f>VLOOKUP(Auto_Sales_data___Copy[[#This Row],[CUSTOMER_NAME]],$AF$2:$AH$90,2,FALSE)</f>
        <v>19</v>
      </c>
      <c r="V1604">
        <f>VLOOKUP(Auto_Sales_data___Copy[[#This Row],[CUSTOMER_NAME]],$AF$2:$AH$90,3,FALSE)</f>
        <v>57294.420000000006</v>
      </c>
      <c r="W1604" s="2">
        <f>6-MATCH(Auto_Sales_data___Copy[[#This Row],[DAYS_SINCE_LAST_ORDER]],Table2[R-Cutoff],1)</f>
        <v>3</v>
      </c>
      <c r="X1604" s="2">
        <f>MATCH(Auto_Sales_data___Copy[[#This Row],[Total_Orders_Per_Customer]],Table2[F-Cutoff],1)</f>
        <v>2</v>
      </c>
      <c r="Y1604" s="2">
        <f>MATCH(Auto_Sales_data___Copy[[#This Row],[Total_Sales_Per_Customer]],Table2[M-Cutoff],1)</f>
        <v>1</v>
      </c>
      <c r="Z1604" s="2" t="str">
        <f>Auto_Sales_data___Copy[[#This Row],[R-Score(1-5)]]&amp;Auto_Sales_data___Copy[[#This Row],[F-Score(1-5)]]&amp;Auto_Sales_data___Copy[[#This Row],[M-Score(1-5)]]</f>
        <v>321</v>
      </c>
      <c r="AA1604" s="2" t="str" cm="1">
        <f t="array" ref="AA16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4" s="2" t="str">
        <f>VLOOKUP(Auto_Sales_data___Copy[[#This Row],[Segment Name]],Table3[],2,FALSE)</f>
        <v>Re-Activation &amp; Re-Engagement</v>
      </c>
    </row>
    <row r="1605" spans="1:28" x14ac:dyDescent="0.25">
      <c r="A1605">
        <v>10193</v>
      </c>
      <c r="B1605">
        <v>32</v>
      </c>
      <c r="C1605">
        <v>79.37</v>
      </c>
      <c r="D1605">
        <v>5</v>
      </c>
      <c r="E1605">
        <v>2539.84</v>
      </c>
      <c r="F1605" s="1">
        <v>43425</v>
      </c>
      <c r="G1605" s="2" t="s">
        <v>19</v>
      </c>
      <c r="H1605" s="2" t="s">
        <v>589</v>
      </c>
      <c r="I1605">
        <v>99</v>
      </c>
      <c r="J1605" s="2" t="s">
        <v>653</v>
      </c>
      <c r="K1605" s="2" t="s">
        <v>598</v>
      </c>
      <c r="L1605" s="2" t="s">
        <v>599</v>
      </c>
      <c r="M1605" s="2" t="s">
        <v>600</v>
      </c>
      <c r="N1605" s="2" t="s">
        <v>601</v>
      </c>
      <c r="O1605" s="2" t="s">
        <v>602</v>
      </c>
      <c r="P1605" s="2" t="s">
        <v>87</v>
      </c>
      <c r="Q1605" s="2" t="s">
        <v>603</v>
      </c>
      <c r="R1605" s="2" t="s">
        <v>604</v>
      </c>
      <c r="S1605" s="2" t="s">
        <v>30</v>
      </c>
      <c r="T1605">
        <v>1636</v>
      </c>
      <c r="U1605">
        <f>VLOOKUP(Auto_Sales_data___Copy[[#This Row],[CUSTOMER_NAME]],$AF$2:$AH$90,2,FALSE)</f>
        <v>23</v>
      </c>
      <c r="V1605">
        <f>VLOOKUP(Auto_Sales_data___Copy[[#This Row],[CUSTOMER_NAME]],$AF$2:$AH$90,3,FALSE)</f>
        <v>64591.460000000014</v>
      </c>
      <c r="W1605" s="2">
        <f>6-MATCH(Auto_Sales_data___Copy[[#This Row],[DAYS_SINCE_LAST_ORDER]],Table2[R-Cutoff],1)</f>
        <v>3</v>
      </c>
      <c r="X1605" s="2">
        <f>MATCH(Auto_Sales_data___Copy[[#This Row],[Total_Orders_Per_Customer]],Table2[F-Cutoff],1)</f>
        <v>2</v>
      </c>
      <c r="Y1605" s="2">
        <f>MATCH(Auto_Sales_data___Copy[[#This Row],[Total_Sales_Per_Customer]],Table2[M-Cutoff],1)</f>
        <v>1</v>
      </c>
      <c r="Z1605" s="2" t="str">
        <f>Auto_Sales_data___Copy[[#This Row],[R-Score(1-5)]]&amp;Auto_Sales_data___Copy[[#This Row],[F-Score(1-5)]]&amp;Auto_Sales_data___Copy[[#This Row],[M-Score(1-5)]]</f>
        <v>321</v>
      </c>
      <c r="AA1605" s="2" t="str" cm="1">
        <f t="array" ref="AA16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5" s="2" t="str">
        <f>VLOOKUP(Auto_Sales_data___Copy[[#This Row],[Segment Name]],Table3[],2,FALSE)</f>
        <v>Re-Activation &amp; Re-Engagement</v>
      </c>
    </row>
    <row r="1606" spans="1:28" x14ac:dyDescent="0.25">
      <c r="A1606">
        <v>10193</v>
      </c>
      <c r="B1606">
        <v>24</v>
      </c>
      <c r="C1606">
        <v>97.55</v>
      </c>
      <c r="D1606">
        <v>15</v>
      </c>
      <c r="E1606">
        <v>2341.1999999999998</v>
      </c>
      <c r="F1606" s="1">
        <v>43425</v>
      </c>
      <c r="G1606" s="2" t="s">
        <v>19</v>
      </c>
      <c r="H1606" s="2" t="s">
        <v>589</v>
      </c>
      <c r="I1606">
        <v>92</v>
      </c>
      <c r="J1606" s="2" t="s">
        <v>659</v>
      </c>
      <c r="K1606" s="2" t="s">
        <v>598</v>
      </c>
      <c r="L1606" s="2" t="s">
        <v>599</v>
      </c>
      <c r="M1606" s="2" t="s">
        <v>600</v>
      </c>
      <c r="N1606" s="2" t="s">
        <v>601</v>
      </c>
      <c r="O1606" s="2" t="s">
        <v>602</v>
      </c>
      <c r="P1606" s="2" t="s">
        <v>87</v>
      </c>
      <c r="Q1606" s="2" t="s">
        <v>603</v>
      </c>
      <c r="R1606" s="2" t="s">
        <v>604</v>
      </c>
      <c r="S1606" s="2" t="s">
        <v>30</v>
      </c>
      <c r="T1606">
        <v>1783</v>
      </c>
      <c r="U1606">
        <f>VLOOKUP(Auto_Sales_data___Copy[[#This Row],[CUSTOMER_NAME]],$AF$2:$AH$90,2,FALSE)</f>
        <v>23</v>
      </c>
      <c r="V1606">
        <f>VLOOKUP(Auto_Sales_data___Copy[[#This Row],[CUSTOMER_NAME]],$AF$2:$AH$90,3,FALSE)</f>
        <v>64591.460000000014</v>
      </c>
      <c r="W1606" s="2">
        <f>6-MATCH(Auto_Sales_data___Copy[[#This Row],[DAYS_SINCE_LAST_ORDER]],Table2[R-Cutoff],1)</f>
        <v>3</v>
      </c>
      <c r="X1606" s="2">
        <f>MATCH(Auto_Sales_data___Copy[[#This Row],[Total_Orders_Per_Customer]],Table2[F-Cutoff],1)</f>
        <v>2</v>
      </c>
      <c r="Y1606" s="2">
        <f>MATCH(Auto_Sales_data___Copy[[#This Row],[Total_Sales_Per_Customer]],Table2[M-Cutoff],1)</f>
        <v>1</v>
      </c>
      <c r="Z1606" s="2" t="str">
        <f>Auto_Sales_data___Copy[[#This Row],[R-Score(1-5)]]&amp;Auto_Sales_data___Copy[[#This Row],[F-Score(1-5)]]&amp;Auto_Sales_data___Copy[[#This Row],[M-Score(1-5)]]</f>
        <v>321</v>
      </c>
      <c r="AA1606" s="2" t="str" cm="1">
        <f t="array" ref="AA16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6" s="2" t="str">
        <f>VLOOKUP(Auto_Sales_data___Copy[[#This Row],[Segment Name]],Table3[],2,FALSE)</f>
        <v>Re-Activation &amp; Re-Engagement</v>
      </c>
    </row>
    <row r="1607" spans="1:28" x14ac:dyDescent="0.25">
      <c r="A1607">
        <v>10193</v>
      </c>
      <c r="B1607">
        <v>25</v>
      </c>
      <c r="C1607">
        <v>76.260000000000005</v>
      </c>
      <c r="D1607">
        <v>16</v>
      </c>
      <c r="E1607">
        <v>1906.5</v>
      </c>
      <c r="F1607" s="1">
        <v>43425</v>
      </c>
      <c r="G1607" s="2" t="s">
        <v>19</v>
      </c>
      <c r="H1607" s="2" t="s">
        <v>183</v>
      </c>
      <c r="I1607">
        <v>71</v>
      </c>
      <c r="J1607" s="2" t="s">
        <v>664</v>
      </c>
      <c r="K1607" s="2" t="s">
        <v>598</v>
      </c>
      <c r="L1607" s="2" t="s">
        <v>599</v>
      </c>
      <c r="M1607" s="2" t="s">
        <v>600</v>
      </c>
      <c r="N1607" s="2" t="s">
        <v>601</v>
      </c>
      <c r="O1607" s="2" t="s">
        <v>602</v>
      </c>
      <c r="P1607" s="2" t="s">
        <v>87</v>
      </c>
      <c r="Q1607" s="2" t="s">
        <v>603</v>
      </c>
      <c r="R1607" s="2" t="s">
        <v>604</v>
      </c>
      <c r="S1607" s="2" t="s">
        <v>30</v>
      </c>
      <c r="T1607">
        <v>1906</v>
      </c>
      <c r="U1607">
        <f>VLOOKUP(Auto_Sales_data___Copy[[#This Row],[CUSTOMER_NAME]],$AF$2:$AH$90,2,FALSE)</f>
        <v>23</v>
      </c>
      <c r="V1607">
        <f>VLOOKUP(Auto_Sales_data___Copy[[#This Row],[CUSTOMER_NAME]],$AF$2:$AH$90,3,FALSE)</f>
        <v>64591.460000000014</v>
      </c>
      <c r="W1607" s="2">
        <f>6-MATCH(Auto_Sales_data___Copy[[#This Row],[DAYS_SINCE_LAST_ORDER]],Table2[R-Cutoff],1)</f>
        <v>3</v>
      </c>
      <c r="X1607" s="2">
        <f>MATCH(Auto_Sales_data___Copy[[#This Row],[Total_Orders_Per_Customer]],Table2[F-Cutoff],1)</f>
        <v>2</v>
      </c>
      <c r="Y1607" s="2">
        <f>MATCH(Auto_Sales_data___Copy[[#This Row],[Total_Sales_Per_Customer]],Table2[M-Cutoff],1)</f>
        <v>1</v>
      </c>
      <c r="Z1607" s="2" t="str">
        <f>Auto_Sales_data___Copy[[#This Row],[R-Score(1-5)]]&amp;Auto_Sales_data___Copy[[#This Row],[F-Score(1-5)]]&amp;Auto_Sales_data___Copy[[#This Row],[M-Score(1-5)]]</f>
        <v>321</v>
      </c>
      <c r="AA1607" s="2" t="str" cm="1">
        <f t="array" ref="AA16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7" s="2" t="str">
        <f>VLOOKUP(Auto_Sales_data___Copy[[#This Row],[Segment Name]],Table3[],2,FALSE)</f>
        <v>Re-Activation &amp; Re-Engagement</v>
      </c>
    </row>
    <row r="1608" spans="1:28" x14ac:dyDescent="0.25">
      <c r="A1608">
        <v>10353</v>
      </c>
      <c r="B1608">
        <v>28</v>
      </c>
      <c r="C1608">
        <v>71.73</v>
      </c>
      <c r="D1608">
        <v>2</v>
      </c>
      <c r="E1608">
        <v>2008.44</v>
      </c>
      <c r="F1608" s="1">
        <v>43803</v>
      </c>
      <c r="G1608" s="2" t="s">
        <v>19</v>
      </c>
      <c r="H1608" s="2" t="s">
        <v>607</v>
      </c>
      <c r="I1608">
        <v>109</v>
      </c>
      <c r="J1608" s="2" t="s">
        <v>669</v>
      </c>
      <c r="K1608" s="2" t="s">
        <v>609</v>
      </c>
      <c r="L1608" s="2" t="s">
        <v>610</v>
      </c>
      <c r="M1608" s="2" t="s">
        <v>611</v>
      </c>
      <c r="N1608" s="2" t="s">
        <v>550</v>
      </c>
      <c r="O1608" s="2" t="s">
        <v>612</v>
      </c>
      <c r="P1608" s="2" t="s">
        <v>27</v>
      </c>
      <c r="Q1608" s="2" t="s">
        <v>613</v>
      </c>
      <c r="R1608" s="2" t="s">
        <v>614</v>
      </c>
      <c r="S1608" s="2" t="s">
        <v>30</v>
      </c>
      <c r="T1608">
        <v>1660</v>
      </c>
      <c r="U1608">
        <f>VLOOKUP(Auto_Sales_data___Copy[[#This Row],[CUSTOMER_NAME]],$AF$2:$AH$90,2,FALSE)</f>
        <v>19</v>
      </c>
      <c r="V1608">
        <f>VLOOKUP(Auto_Sales_data___Copy[[#This Row],[CUSTOMER_NAME]],$AF$2:$AH$90,3,FALSE)</f>
        <v>57294.420000000006</v>
      </c>
      <c r="W1608" s="2">
        <f>6-MATCH(Auto_Sales_data___Copy[[#This Row],[DAYS_SINCE_LAST_ORDER]],Table2[R-Cutoff],1)</f>
        <v>3</v>
      </c>
      <c r="X1608" s="2">
        <f>MATCH(Auto_Sales_data___Copy[[#This Row],[Total_Orders_Per_Customer]],Table2[F-Cutoff],1)</f>
        <v>2</v>
      </c>
      <c r="Y1608" s="2">
        <f>MATCH(Auto_Sales_data___Copy[[#This Row],[Total_Sales_Per_Customer]],Table2[M-Cutoff],1)</f>
        <v>1</v>
      </c>
      <c r="Z1608" s="2" t="str">
        <f>Auto_Sales_data___Copy[[#This Row],[R-Score(1-5)]]&amp;Auto_Sales_data___Copy[[#This Row],[F-Score(1-5)]]&amp;Auto_Sales_data___Copy[[#This Row],[M-Score(1-5)]]</f>
        <v>321</v>
      </c>
      <c r="AA1608" s="2" t="str" cm="1">
        <f t="array" ref="AA16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8" s="2" t="str">
        <f>VLOOKUP(Auto_Sales_data___Copy[[#This Row],[Segment Name]],Table3[],2,FALSE)</f>
        <v>Re-Activation &amp; Re-Engagement</v>
      </c>
    </row>
    <row r="1609" spans="1:28" x14ac:dyDescent="0.25">
      <c r="A1609">
        <v>10415</v>
      </c>
      <c r="B1609">
        <v>21</v>
      </c>
      <c r="C1609">
        <v>67.819999999999993</v>
      </c>
      <c r="D1609">
        <v>1</v>
      </c>
      <c r="E1609">
        <v>1424.22</v>
      </c>
      <c r="F1609" s="1">
        <v>43960</v>
      </c>
      <c r="G1609" s="2" t="s">
        <v>174</v>
      </c>
      <c r="H1609" s="2" t="s">
        <v>607</v>
      </c>
      <c r="I1609">
        <v>68</v>
      </c>
      <c r="J1609" s="2" t="s">
        <v>678</v>
      </c>
      <c r="K1609" s="2" t="s">
        <v>598</v>
      </c>
      <c r="L1609" s="2" t="s">
        <v>599</v>
      </c>
      <c r="M1609" s="2" t="s">
        <v>600</v>
      </c>
      <c r="N1609" s="2" t="s">
        <v>601</v>
      </c>
      <c r="O1609" s="2" t="s">
        <v>602</v>
      </c>
      <c r="P1609" s="2" t="s">
        <v>87</v>
      </c>
      <c r="Q1609" s="2" t="s">
        <v>603</v>
      </c>
      <c r="R1609" s="2" t="s">
        <v>604</v>
      </c>
      <c r="S1609" s="2" t="s">
        <v>30</v>
      </c>
      <c r="T1609">
        <v>1733</v>
      </c>
      <c r="U1609">
        <f>VLOOKUP(Auto_Sales_data___Copy[[#This Row],[CUSTOMER_NAME]],$AF$2:$AH$90,2,FALSE)</f>
        <v>23</v>
      </c>
      <c r="V1609">
        <f>VLOOKUP(Auto_Sales_data___Copy[[#This Row],[CUSTOMER_NAME]],$AF$2:$AH$90,3,FALSE)</f>
        <v>64591.460000000014</v>
      </c>
      <c r="W1609" s="2">
        <f>6-MATCH(Auto_Sales_data___Copy[[#This Row],[DAYS_SINCE_LAST_ORDER]],Table2[R-Cutoff],1)</f>
        <v>3</v>
      </c>
      <c r="X1609" s="2">
        <f>MATCH(Auto_Sales_data___Copy[[#This Row],[Total_Orders_Per_Customer]],Table2[F-Cutoff],1)</f>
        <v>2</v>
      </c>
      <c r="Y1609" s="2">
        <f>MATCH(Auto_Sales_data___Copy[[#This Row],[Total_Sales_Per_Customer]],Table2[M-Cutoff],1)</f>
        <v>1</v>
      </c>
      <c r="Z1609" s="2" t="str">
        <f>Auto_Sales_data___Copy[[#This Row],[R-Score(1-5)]]&amp;Auto_Sales_data___Copy[[#This Row],[F-Score(1-5)]]&amp;Auto_Sales_data___Copy[[#This Row],[M-Score(1-5)]]</f>
        <v>321</v>
      </c>
      <c r="AA1609" s="2" t="str" cm="1">
        <f t="array" ref="AA16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9" s="2" t="str">
        <f>VLOOKUP(Auto_Sales_data___Copy[[#This Row],[Segment Name]],Table3[],2,FALSE)</f>
        <v>Re-Activation &amp; Re-Engagement</v>
      </c>
    </row>
    <row r="1610" spans="1:28" x14ac:dyDescent="0.25">
      <c r="A1610">
        <v>10415</v>
      </c>
      <c r="B1610">
        <v>18</v>
      </c>
      <c r="C1610">
        <v>69.7</v>
      </c>
      <c r="D1610">
        <v>2</v>
      </c>
      <c r="E1610">
        <v>1254.5999999999999</v>
      </c>
      <c r="F1610" s="1">
        <v>43960</v>
      </c>
      <c r="G1610" s="2" t="s">
        <v>174</v>
      </c>
      <c r="H1610" s="2" t="s">
        <v>589</v>
      </c>
      <c r="I1610">
        <v>65</v>
      </c>
      <c r="J1610" s="2" t="s">
        <v>684</v>
      </c>
      <c r="K1610" s="2" t="s">
        <v>598</v>
      </c>
      <c r="L1610" s="2" t="s">
        <v>599</v>
      </c>
      <c r="M1610" s="2" t="s">
        <v>600</v>
      </c>
      <c r="N1610" s="2" t="s">
        <v>601</v>
      </c>
      <c r="O1610" s="2" t="s">
        <v>602</v>
      </c>
      <c r="P1610" s="2" t="s">
        <v>87</v>
      </c>
      <c r="Q1610" s="2" t="s">
        <v>603</v>
      </c>
      <c r="R1610" s="2" t="s">
        <v>604</v>
      </c>
      <c r="S1610" s="2" t="s">
        <v>30</v>
      </c>
      <c r="T1610">
        <v>1880</v>
      </c>
      <c r="U1610">
        <f>VLOOKUP(Auto_Sales_data___Copy[[#This Row],[CUSTOMER_NAME]],$AF$2:$AH$90,2,FALSE)</f>
        <v>23</v>
      </c>
      <c r="V1610">
        <f>VLOOKUP(Auto_Sales_data___Copy[[#This Row],[CUSTOMER_NAME]],$AF$2:$AH$90,3,FALSE)</f>
        <v>64591.460000000014</v>
      </c>
      <c r="W1610" s="2">
        <f>6-MATCH(Auto_Sales_data___Copy[[#This Row],[DAYS_SINCE_LAST_ORDER]],Table2[R-Cutoff],1)</f>
        <v>3</v>
      </c>
      <c r="X1610" s="2">
        <f>MATCH(Auto_Sales_data___Copy[[#This Row],[Total_Orders_Per_Customer]],Table2[F-Cutoff],1)</f>
        <v>2</v>
      </c>
      <c r="Y1610" s="2">
        <f>MATCH(Auto_Sales_data___Copy[[#This Row],[Total_Sales_Per_Customer]],Table2[M-Cutoff],1)</f>
        <v>1</v>
      </c>
      <c r="Z1610" s="2" t="str">
        <f>Auto_Sales_data___Copy[[#This Row],[R-Score(1-5)]]&amp;Auto_Sales_data___Copy[[#This Row],[F-Score(1-5)]]&amp;Auto_Sales_data___Copy[[#This Row],[M-Score(1-5)]]</f>
        <v>321</v>
      </c>
      <c r="AA1610" s="2" t="str" cm="1">
        <f t="array" ref="AA16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0" s="2" t="str">
        <f>VLOOKUP(Auto_Sales_data___Copy[[#This Row],[Segment Name]],Table3[],2,FALSE)</f>
        <v>Re-Activation &amp; Re-Engagement</v>
      </c>
    </row>
    <row r="1611" spans="1:28" x14ac:dyDescent="0.25">
      <c r="A1611">
        <v>10196</v>
      </c>
      <c r="B1611">
        <v>49</v>
      </c>
      <c r="C1611">
        <v>140.69</v>
      </c>
      <c r="D1611">
        <v>1</v>
      </c>
      <c r="E1611">
        <v>6893.81</v>
      </c>
      <c r="F1611" s="1">
        <v>43430</v>
      </c>
      <c r="G1611" s="2" t="s">
        <v>19</v>
      </c>
      <c r="H1611" s="2" t="s">
        <v>589</v>
      </c>
      <c r="I1611">
        <v>136</v>
      </c>
      <c r="J1611" s="2" t="s">
        <v>648</v>
      </c>
      <c r="K1611" s="2" t="s">
        <v>249</v>
      </c>
      <c r="L1611" s="2" t="s">
        <v>250</v>
      </c>
      <c r="M1611" s="2" t="s">
        <v>251</v>
      </c>
      <c r="N1611" s="2" t="s">
        <v>252</v>
      </c>
      <c r="O1611" s="2" t="s">
        <v>253</v>
      </c>
      <c r="P1611" s="2" t="s">
        <v>27</v>
      </c>
      <c r="Q1611" s="2" t="s">
        <v>254</v>
      </c>
      <c r="R1611" s="2" t="s">
        <v>255</v>
      </c>
      <c r="S1611" s="2" t="s">
        <v>46</v>
      </c>
      <c r="T1611">
        <v>1508</v>
      </c>
      <c r="U1611">
        <f>VLOOKUP(Auto_Sales_data___Copy[[#This Row],[CUSTOMER_NAME]],$AF$2:$AH$90,2,FALSE)</f>
        <v>17</v>
      </c>
      <c r="V1611">
        <f>VLOOKUP(Auto_Sales_data___Copy[[#This Row],[CUSTOMER_NAME]],$AF$2:$AH$90,3,FALSE)</f>
        <v>79472.070000000007</v>
      </c>
      <c r="W1611" s="2">
        <f>6-MATCH(Auto_Sales_data___Copy[[#This Row],[DAYS_SINCE_LAST_ORDER]],Table2[R-Cutoff],1)</f>
        <v>3</v>
      </c>
      <c r="X1611" s="2">
        <f>MATCH(Auto_Sales_data___Copy[[#This Row],[Total_Orders_Per_Customer]],Table2[F-Cutoff],1)</f>
        <v>1</v>
      </c>
      <c r="Y1611" s="2">
        <f>MATCH(Auto_Sales_data___Copy[[#This Row],[Total_Sales_Per_Customer]],Table2[M-Cutoff],1)</f>
        <v>2</v>
      </c>
      <c r="Z1611" s="2" t="str">
        <f>Auto_Sales_data___Copy[[#This Row],[R-Score(1-5)]]&amp;Auto_Sales_data___Copy[[#This Row],[F-Score(1-5)]]&amp;Auto_Sales_data___Copy[[#This Row],[M-Score(1-5)]]</f>
        <v>312</v>
      </c>
      <c r="AA1611" s="2" t="str" cm="1">
        <f t="array" ref="AA16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1" s="2" t="str">
        <f>VLOOKUP(Auto_Sales_data___Copy[[#This Row],[Segment Name]],Table3[],2,FALSE)</f>
        <v>Re-Activation &amp; Re-Engagement</v>
      </c>
    </row>
    <row r="1612" spans="1:28" x14ac:dyDescent="0.25">
      <c r="A1612">
        <v>10196</v>
      </c>
      <c r="B1612">
        <v>35</v>
      </c>
      <c r="C1612">
        <v>101.85</v>
      </c>
      <c r="D1612">
        <v>3</v>
      </c>
      <c r="E1612">
        <v>3564.75</v>
      </c>
      <c r="F1612" s="1">
        <v>43430</v>
      </c>
      <c r="G1612" s="2" t="s">
        <v>19</v>
      </c>
      <c r="H1612" s="2" t="s">
        <v>650</v>
      </c>
      <c r="I1612">
        <v>100</v>
      </c>
      <c r="J1612" s="2" t="s">
        <v>651</v>
      </c>
      <c r="K1612" s="2" t="s">
        <v>249</v>
      </c>
      <c r="L1612" s="2" t="s">
        <v>250</v>
      </c>
      <c r="M1612" s="2" t="s">
        <v>251</v>
      </c>
      <c r="N1612" s="2" t="s">
        <v>252</v>
      </c>
      <c r="O1612" s="2" t="s">
        <v>253</v>
      </c>
      <c r="P1612" s="2" t="s">
        <v>27</v>
      </c>
      <c r="Q1612" s="2" t="s">
        <v>254</v>
      </c>
      <c r="R1612" s="2" t="s">
        <v>255</v>
      </c>
      <c r="S1612" s="2" t="s">
        <v>46</v>
      </c>
      <c r="T1612">
        <v>1584</v>
      </c>
      <c r="U1612">
        <f>VLOOKUP(Auto_Sales_data___Copy[[#This Row],[CUSTOMER_NAME]],$AF$2:$AH$90,2,FALSE)</f>
        <v>17</v>
      </c>
      <c r="V1612">
        <f>VLOOKUP(Auto_Sales_data___Copy[[#This Row],[CUSTOMER_NAME]],$AF$2:$AH$90,3,FALSE)</f>
        <v>79472.070000000007</v>
      </c>
      <c r="W1612" s="2">
        <f>6-MATCH(Auto_Sales_data___Copy[[#This Row],[DAYS_SINCE_LAST_ORDER]],Table2[R-Cutoff],1)</f>
        <v>3</v>
      </c>
      <c r="X1612" s="2">
        <f>MATCH(Auto_Sales_data___Copy[[#This Row],[Total_Orders_Per_Customer]],Table2[F-Cutoff],1)</f>
        <v>1</v>
      </c>
      <c r="Y1612" s="2">
        <f>MATCH(Auto_Sales_data___Copy[[#This Row],[Total_Sales_Per_Customer]],Table2[M-Cutoff],1)</f>
        <v>2</v>
      </c>
      <c r="Z1612" s="2" t="str">
        <f>Auto_Sales_data___Copy[[#This Row],[R-Score(1-5)]]&amp;Auto_Sales_data___Copy[[#This Row],[F-Score(1-5)]]&amp;Auto_Sales_data___Copy[[#This Row],[M-Score(1-5)]]</f>
        <v>312</v>
      </c>
      <c r="AA1612" s="2" t="str" cm="1">
        <f t="array" ref="AA16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2" s="2" t="str">
        <f>VLOOKUP(Auto_Sales_data___Copy[[#This Row],[Segment Name]],Table3[],2,FALSE)</f>
        <v>Re-Activation &amp; Re-Engagement</v>
      </c>
    </row>
    <row r="1613" spans="1:28" x14ac:dyDescent="0.25">
      <c r="A1613">
        <v>10196</v>
      </c>
      <c r="B1613">
        <v>27</v>
      </c>
      <c r="C1613">
        <v>168.04</v>
      </c>
      <c r="D1613">
        <v>8</v>
      </c>
      <c r="E1613">
        <v>4537.08</v>
      </c>
      <c r="F1613" s="1">
        <v>43430</v>
      </c>
      <c r="G1613" s="2" t="s">
        <v>19</v>
      </c>
      <c r="H1613" s="2" t="s">
        <v>183</v>
      </c>
      <c r="I1613">
        <v>143</v>
      </c>
      <c r="J1613" s="2" t="s">
        <v>658</v>
      </c>
      <c r="K1613" s="2" t="s">
        <v>249</v>
      </c>
      <c r="L1613" s="2" t="s">
        <v>250</v>
      </c>
      <c r="M1613" s="2" t="s">
        <v>251</v>
      </c>
      <c r="N1613" s="2" t="s">
        <v>252</v>
      </c>
      <c r="O1613" s="2" t="s">
        <v>253</v>
      </c>
      <c r="P1613" s="2" t="s">
        <v>27</v>
      </c>
      <c r="Q1613" s="2" t="s">
        <v>254</v>
      </c>
      <c r="R1613" s="2" t="s">
        <v>255</v>
      </c>
      <c r="S1613" s="2" t="s">
        <v>46</v>
      </c>
      <c r="T1613">
        <v>1754</v>
      </c>
      <c r="U1613">
        <f>VLOOKUP(Auto_Sales_data___Copy[[#This Row],[CUSTOMER_NAME]],$AF$2:$AH$90,2,FALSE)</f>
        <v>17</v>
      </c>
      <c r="V1613">
        <f>VLOOKUP(Auto_Sales_data___Copy[[#This Row],[CUSTOMER_NAME]],$AF$2:$AH$90,3,FALSE)</f>
        <v>79472.070000000007</v>
      </c>
      <c r="W1613" s="2">
        <f>6-MATCH(Auto_Sales_data___Copy[[#This Row],[DAYS_SINCE_LAST_ORDER]],Table2[R-Cutoff],1)</f>
        <v>3</v>
      </c>
      <c r="X1613" s="2">
        <f>MATCH(Auto_Sales_data___Copy[[#This Row],[Total_Orders_Per_Customer]],Table2[F-Cutoff],1)</f>
        <v>1</v>
      </c>
      <c r="Y1613" s="2">
        <f>MATCH(Auto_Sales_data___Copy[[#This Row],[Total_Sales_Per_Customer]],Table2[M-Cutoff],1)</f>
        <v>2</v>
      </c>
      <c r="Z1613" s="2" t="str">
        <f>Auto_Sales_data___Copy[[#This Row],[R-Score(1-5)]]&amp;Auto_Sales_data___Copy[[#This Row],[F-Score(1-5)]]&amp;Auto_Sales_data___Copy[[#This Row],[M-Score(1-5)]]</f>
        <v>312</v>
      </c>
      <c r="AA1613" s="2" t="str" cm="1">
        <f t="array" ref="AA16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3" s="2" t="str">
        <f>VLOOKUP(Auto_Sales_data___Copy[[#This Row],[Segment Name]],Table3[],2,FALSE)</f>
        <v>Re-Activation &amp; Re-Engagement</v>
      </c>
    </row>
    <row r="1614" spans="1:28" x14ac:dyDescent="0.25">
      <c r="A1614">
        <v>10245</v>
      </c>
      <c r="B1614">
        <v>21</v>
      </c>
      <c r="C1614">
        <v>113.82</v>
      </c>
      <c r="D1614">
        <v>3</v>
      </c>
      <c r="E1614">
        <v>2390.2199999999998</v>
      </c>
      <c r="F1614" s="1">
        <v>43589</v>
      </c>
      <c r="G1614" s="2" t="s">
        <v>19</v>
      </c>
      <c r="H1614" s="2" t="s">
        <v>537</v>
      </c>
      <c r="I1614">
        <v>121</v>
      </c>
      <c r="J1614" s="2" t="s">
        <v>661</v>
      </c>
      <c r="K1614" s="2" t="s">
        <v>249</v>
      </c>
      <c r="L1614" s="2" t="s">
        <v>250</v>
      </c>
      <c r="M1614" s="2" t="s">
        <v>251</v>
      </c>
      <c r="N1614" s="2" t="s">
        <v>252</v>
      </c>
      <c r="O1614" s="2" t="s">
        <v>253</v>
      </c>
      <c r="P1614" s="2" t="s">
        <v>27</v>
      </c>
      <c r="Q1614" s="2" t="s">
        <v>254</v>
      </c>
      <c r="R1614" s="2" t="s">
        <v>255</v>
      </c>
      <c r="S1614" s="2" t="s">
        <v>30</v>
      </c>
      <c r="T1614">
        <v>1672</v>
      </c>
      <c r="U1614">
        <f>VLOOKUP(Auto_Sales_data___Copy[[#This Row],[CUSTOMER_NAME]],$AF$2:$AH$90,2,FALSE)</f>
        <v>17</v>
      </c>
      <c r="V1614">
        <f>VLOOKUP(Auto_Sales_data___Copy[[#This Row],[CUSTOMER_NAME]],$AF$2:$AH$90,3,FALSE)</f>
        <v>79472.070000000007</v>
      </c>
      <c r="W1614" s="2">
        <f>6-MATCH(Auto_Sales_data___Copy[[#This Row],[DAYS_SINCE_LAST_ORDER]],Table2[R-Cutoff],1)</f>
        <v>3</v>
      </c>
      <c r="X1614" s="2">
        <f>MATCH(Auto_Sales_data___Copy[[#This Row],[Total_Orders_Per_Customer]],Table2[F-Cutoff],1)</f>
        <v>1</v>
      </c>
      <c r="Y1614" s="2">
        <f>MATCH(Auto_Sales_data___Copy[[#This Row],[Total_Sales_Per_Customer]],Table2[M-Cutoff],1)</f>
        <v>2</v>
      </c>
      <c r="Z1614" s="2" t="str">
        <f>Auto_Sales_data___Copy[[#This Row],[R-Score(1-5)]]&amp;Auto_Sales_data___Copy[[#This Row],[F-Score(1-5)]]&amp;Auto_Sales_data___Copy[[#This Row],[M-Score(1-5)]]</f>
        <v>312</v>
      </c>
      <c r="AA1614" s="2" t="str" cm="1">
        <f t="array" ref="AA16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4" s="2" t="str">
        <f>VLOOKUP(Auto_Sales_data___Copy[[#This Row],[Segment Name]],Table3[],2,FALSE)</f>
        <v>Re-Activation &amp; Re-Engagement</v>
      </c>
    </row>
    <row r="1615" spans="1:28" x14ac:dyDescent="0.25">
      <c r="A1615">
        <v>10245</v>
      </c>
      <c r="B1615">
        <v>45</v>
      </c>
      <c r="C1615">
        <v>59.87</v>
      </c>
      <c r="D1615">
        <v>7</v>
      </c>
      <c r="E1615">
        <v>2694.15</v>
      </c>
      <c r="F1615" s="1">
        <v>43589</v>
      </c>
      <c r="G1615" s="2" t="s">
        <v>19</v>
      </c>
      <c r="H1615" s="2" t="s">
        <v>589</v>
      </c>
      <c r="I1615">
        <v>50</v>
      </c>
      <c r="J1615" s="2" t="s">
        <v>662</v>
      </c>
      <c r="K1615" s="2" t="s">
        <v>249</v>
      </c>
      <c r="L1615" s="2" t="s">
        <v>250</v>
      </c>
      <c r="M1615" s="2" t="s">
        <v>251</v>
      </c>
      <c r="N1615" s="2" t="s">
        <v>252</v>
      </c>
      <c r="O1615" s="2" t="s">
        <v>253</v>
      </c>
      <c r="P1615" s="2" t="s">
        <v>27</v>
      </c>
      <c r="Q1615" s="2" t="s">
        <v>254</v>
      </c>
      <c r="R1615" s="2" t="s">
        <v>255</v>
      </c>
      <c r="S1615" s="2" t="s">
        <v>30</v>
      </c>
      <c r="T1615">
        <v>1699</v>
      </c>
      <c r="U1615">
        <f>VLOOKUP(Auto_Sales_data___Copy[[#This Row],[CUSTOMER_NAME]],$AF$2:$AH$90,2,FALSE)</f>
        <v>17</v>
      </c>
      <c r="V1615">
        <f>VLOOKUP(Auto_Sales_data___Copy[[#This Row],[CUSTOMER_NAME]],$AF$2:$AH$90,3,FALSE)</f>
        <v>79472.070000000007</v>
      </c>
      <c r="W1615" s="2">
        <f>6-MATCH(Auto_Sales_data___Copy[[#This Row],[DAYS_SINCE_LAST_ORDER]],Table2[R-Cutoff],1)</f>
        <v>3</v>
      </c>
      <c r="X1615" s="2">
        <f>MATCH(Auto_Sales_data___Copy[[#This Row],[Total_Orders_Per_Customer]],Table2[F-Cutoff],1)</f>
        <v>1</v>
      </c>
      <c r="Y1615" s="2">
        <f>MATCH(Auto_Sales_data___Copy[[#This Row],[Total_Sales_Per_Customer]],Table2[M-Cutoff],1)</f>
        <v>2</v>
      </c>
      <c r="Z1615" s="2" t="str">
        <f>Auto_Sales_data___Copy[[#This Row],[R-Score(1-5)]]&amp;Auto_Sales_data___Copy[[#This Row],[F-Score(1-5)]]&amp;Auto_Sales_data___Copy[[#This Row],[M-Score(1-5)]]</f>
        <v>312</v>
      </c>
      <c r="AA1615" s="2" t="str" cm="1">
        <f t="array" ref="AA16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5" s="2" t="str">
        <f>VLOOKUP(Auto_Sales_data___Copy[[#This Row],[Segment Name]],Table3[],2,FALSE)</f>
        <v>Re-Activation &amp; Re-Engagement</v>
      </c>
    </row>
    <row r="1616" spans="1:28" x14ac:dyDescent="0.25">
      <c r="A1616">
        <v>10123</v>
      </c>
      <c r="B1616">
        <v>46</v>
      </c>
      <c r="C1616">
        <v>112.2</v>
      </c>
      <c r="D1616">
        <v>3</v>
      </c>
      <c r="E1616">
        <v>5161.2</v>
      </c>
      <c r="F1616" s="1">
        <v>43240</v>
      </c>
      <c r="G1616" s="2" t="s">
        <v>19</v>
      </c>
      <c r="H1616" s="2" t="s">
        <v>183</v>
      </c>
      <c r="I1616">
        <v>132</v>
      </c>
      <c r="J1616" s="2" t="s">
        <v>639</v>
      </c>
      <c r="K1616" s="2" t="s">
        <v>327</v>
      </c>
      <c r="L1616" s="2" t="s">
        <v>328</v>
      </c>
      <c r="M1616" s="2" t="s">
        <v>329</v>
      </c>
      <c r="N1616" s="2" t="s">
        <v>111</v>
      </c>
      <c r="O1616" s="2" t="s">
        <v>112</v>
      </c>
      <c r="P1616" s="2" t="s">
        <v>36</v>
      </c>
      <c r="Q1616" s="2" t="s">
        <v>330</v>
      </c>
      <c r="R1616" s="2" t="s">
        <v>331</v>
      </c>
      <c r="S1616" s="2" t="s">
        <v>46</v>
      </c>
      <c r="T1616">
        <v>1566</v>
      </c>
      <c r="U1616">
        <f>VLOOKUP(Auto_Sales_data___Copy[[#This Row],[CUSTOMER_NAME]],$AF$2:$AH$90,2,FALSE)</f>
        <v>7</v>
      </c>
      <c r="V1616">
        <f>VLOOKUP(Auto_Sales_data___Copy[[#This Row],[CUSTOMER_NAME]],$AF$2:$AH$90,3,FALSE)</f>
        <v>24179.96</v>
      </c>
      <c r="W1616" s="2">
        <f>6-MATCH(Auto_Sales_data___Copy[[#This Row],[DAYS_SINCE_LAST_ORDER]],Table2[R-Cutoff],1)</f>
        <v>3</v>
      </c>
      <c r="X1616" s="2">
        <f>MATCH(Auto_Sales_data___Copy[[#This Row],[Total_Orders_Per_Customer]],Table2[F-Cutoff],1)</f>
        <v>1</v>
      </c>
      <c r="Y1616" s="2">
        <f>MATCH(Auto_Sales_data___Copy[[#This Row],[Total_Sales_Per_Customer]],Table2[M-Cutoff],1)</f>
        <v>1</v>
      </c>
      <c r="Z1616" s="2" t="str">
        <f>Auto_Sales_data___Copy[[#This Row],[R-Score(1-5)]]&amp;Auto_Sales_data___Copy[[#This Row],[F-Score(1-5)]]&amp;Auto_Sales_data___Copy[[#This Row],[M-Score(1-5)]]</f>
        <v>311</v>
      </c>
      <c r="AA1616" s="2" t="str" cm="1">
        <f t="array" ref="AA16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6" s="2" t="str">
        <f>VLOOKUP(Auto_Sales_data___Copy[[#This Row],[Segment Name]],Table3[],2,FALSE)</f>
        <v>Re-Activation &amp; Re-Engagement</v>
      </c>
    </row>
    <row r="1617" spans="1:28" x14ac:dyDescent="0.25">
      <c r="A1617">
        <v>10123</v>
      </c>
      <c r="B1617">
        <v>34</v>
      </c>
      <c r="C1617">
        <v>156.82</v>
      </c>
      <c r="D1617">
        <v>4</v>
      </c>
      <c r="E1617">
        <v>5331.88</v>
      </c>
      <c r="F1617" s="1">
        <v>43240</v>
      </c>
      <c r="G1617" s="2" t="s">
        <v>19</v>
      </c>
      <c r="H1617" s="2" t="s">
        <v>183</v>
      </c>
      <c r="I1617">
        <v>141</v>
      </c>
      <c r="J1617" s="2" t="s">
        <v>655</v>
      </c>
      <c r="K1617" s="2" t="s">
        <v>327</v>
      </c>
      <c r="L1617" s="2" t="s">
        <v>328</v>
      </c>
      <c r="M1617" s="2" t="s">
        <v>329</v>
      </c>
      <c r="N1617" s="2" t="s">
        <v>111</v>
      </c>
      <c r="O1617" s="2" t="s">
        <v>112</v>
      </c>
      <c r="P1617" s="2" t="s">
        <v>36</v>
      </c>
      <c r="Q1617" s="2" t="s">
        <v>330</v>
      </c>
      <c r="R1617" s="2" t="s">
        <v>331</v>
      </c>
      <c r="S1617" s="2" t="s">
        <v>46</v>
      </c>
      <c r="T1617">
        <v>1863</v>
      </c>
      <c r="U1617">
        <f>VLOOKUP(Auto_Sales_data___Copy[[#This Row],[CUSTOMER_NAME]],$AF$2:$AH$90,2,FALSE)</f>
        <v>7</v>
      </c>
      <c r="V1617">
        <f>VLOOKUP(Auto_Sales_data___Copy[[#This Row],[CUSTOMER_NAME]],$AF$2:$AH$90,3,FALSE)</f>
        <v>24179.96</v>
      </c>
      <c r="W1617" s="2">
        <f>6-MATCH(Auto_Sales_data___Copy[[#This Row],[DAYS_SINCE_LAST_ORDER]],Table2[R-Cutoff],1)</f>
        <v>3</v>
      </c>
      <c r="X1617" s="2">
        <f>MATCH(Auto_Sales_data___Copy[[#This Row],[Total_Orders_Per_Customer]],Table2[F-Cutoff],1)</f>
        <v>1</v>
      </c>
      <c r="Y1617" s="2">
        <f>MATCH(Auto_Sales_data___Copy[[#This Row],[Total_Sales_Per_Customer]],Table2[M-Cutoff],1)</f>
        <v>1</v>
      </c>
      <c r="Z1617" s="2" t="str">
        <f>Auto_Sales_data___Copy[[#This Row],[R-Score(1-5)]]&amp;Auto_Sales_data___Copy[[#This Row],[F-Score(1-5)]]&amp;Auto_Sales_data___Copy[[#This Row],[M-Score(1-5)]]</f>
        <v>311</v>
      </c>
      <c r="AA1617" s="2" t="str" cm="1">
        <f t="array" ref="AA16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7" s="2" t="str">
        <f>VLOOKUP(Auto_Sales_data___Copy[[#This Row],[Segment Name]],Table3[],2,FALSE)</f>
        <v>Re-Activation &amp; Re-Engagement</v>
      </c>
    </row>
    <row r="1618" spans="1:28" x14ac:dyDescent="0.25">
      <c r="A1618">
        <v>10130</v>
      </c>
      <c r="B1618">
        <v>40</v>
      </c>
      <c r="C1618">
        <v>96.34</v>
      </c>
      <c r="D1618">
        <v>2</v>
      </c>
      <c r="E1618">
        <v>3853.6</v>
      </c>
      <c r="F1618" s="1">
        <v>43267</v>
      </c>
      <c r="G1618" s="2" t="s">
        <v>19</v>
      </c>
      <c r="H1618" s="2" t="s">
        <v>642</v>
      </c>
      <c r="I1618">
        <v>86</v>
      </c>
      <c r="J1618" s="2" t="s">
        <v>643</v>
      </c>
      <c r="K1618" s="2" t="s">
        <v>644</v>
      </c>
      <c r="L1618" s="2" t="s">
        <v>645</v>
      </c>
      <c r="M1618" s="2" t="s">
        <v>646</v>
      </c>
      <c r="N1618" s="2" t="s">
        <v>297</v>
      </c>
      <c r="O1618" s="2" t="s">
        <v>298</v>
      </c>
      <c r="P1618" s="2" t="s">
        <v>27</v>
      </c>
      <c r="Q1618" s="2" t="s">
        <v>566</v>
      </c>
      <c r="R1618" s="2" t="s">
        <v>255</v>
      </c>
      <c r="S1618" s="2" t="s">
        <v>46</v>
      </c>
      <c r="T1618">
        <v>1615</v>
      </c>
      <c r="U1618">
        <f>VLOOKUP(Auto_Sales_data___Copy[[#This Row],[CUSTOMER_NAME]],$AF$2:$AH$90,2,FALSE)</f>
        <v>8</v>
      </c>
      <c r="V1618">
        <f>VLOOKUP(Auto_Sales_data___Copy[[#This Row],[CUSTOMER_NAME]],$AF$2:$AH$90,3,FALSE)</f>
        <v>26479.260000000002</v>
      </c>
      <c r="W1618" s="2">
        <f>6-MATCH(Auto_Sales_data___Copy[[#This Row],[DAYS_SINCE_LAST_ORDER]],Table2[R-Cutoff],1)</f>
        <v>3</v>
      </c>
      <c r="X1618" s="2">
        <f>MATCH(Auto_Sales_data___Copy[[#This Row],[Total_Orders_Per_Customer]],Table2[F-Cutoff],1)</f>
        <v>1</v>
      </c>
      <c r="Y1618" s="2">
        <f>MATCH(Auto_Sales_data___Copy[[#This Row],[Total_Sales_Per_Customer]],Table2[M-Cutoff],1)</f>
        <v>1</v>
      </c>
      <c r="Z1618" s="2" t="str">
        <f>Auto_Sales_data___Copy[[#This Row],[R-Score(1-5)]]&amp;Auto_Sales_data___Copy[[#This Row],[F-Score(1-5)]]&amp;Auto_Sales_data___Copy[[#This Row],[M-Score(1-5)]]</f>
        <v>311</v>
      </c>
      <c r="AA1618" s="2" t="str" cm="1">
        <f t="array" ref="AA16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8" s="2" t="str">
        <f>VLOOKUP(Auto_Sales_data___Copy[[#This Row],[Segment Name]],Table3[],2,FALSE)</f>
        <v>Re-Activation &amp; Re-Engagement</v>
      </c>
    </row>
    <row r="1619" spans="1:28" x14ac:dyDescent="0.25">
      <c r="A1619">
        <v>10130</v>
      </c>
      <c r="B1619">
        <v>33</v>
      </c>
      <c r="C1619">
        <v>103.75</v>
      </c>
      <c r="D1619">
        <v>1</v>
      </c>
      <c r="E1619">
        <v>3423.75</v>
      </c>
      <c r="F1619" s="1">
        <v>43267</v>
      </c>
      <c r="G1619" s="2" t="s">
        <v>19</v>
      </c>
      <c r="H1619" s="2" t="s">
        <v>589</v>
      </c>
      <c r="I1619">
        <v>105</v>
      </c>
      <c r="J1619" s="2" t="s">
        <v>657</v>
      </c>
      <c r="K1619" s="2" t="s">
        <v>644</v>
      </c>
      <c r="L1619" s="2" t="s">
        <v>645</v>
      </c>
      <c r="M1619" s="2" t="s">
        <v>646</v>
      </c>
      <c r="N1619" s="2" t="s">
        <v>297</v>
      </c>
      <c r="O1619" s="2" t="s">
        <v>298</v>
      </c>
      <c r="P1619" s="2" t="s">
        <v>27</v>
      </c>
      <c r="Q1619" s="2" t="s">
        <v>566</v>
      </c>
      <c r="R1619" s="2" t="s">
        <v>255</v>
      </c>
      <c r="S1619" s="2" t="s">
        <v>46</v>
      </c>
      <c r="T1619">
        <v>1886</v>
      </c>
      <c r="U1619">
        <f>VLOOKUP(Auto_Sales_data___Copy[[#This Row],[CUSTOMER_NAME]],$AF$2:$AH$90,2,FALSE)</f>
        <v>8</v>
      </c>
      <c r="V1619">
        <f>VLOOKUP(Auto_Sales_data___Copy[[#This Row],[CUSTOMER_NAME]],$AF$2:$AH$90,3,FALSE)</f>
        <v>26479.260000000002</v>
      </c>
      <c r="W1619" s="2">
        <f>6-MATCH(Auto_Sales_data___Copy[[#This Row],[DAYS_SINCE_LAST_ORDER]],Table2[R-Cutoff],1)</f>
        <v>3</v>
      </c>
      <c r="X1619" s="2">
        <f>MATCH(Auto_Sales_data___Copy[[#This Row],[Total_Orders_Per_Customer]],Table2[F-Cutoff],1)</f>
        <v>1</v>
      </c>
      <c r="Y1619" s="2">
        <f>MATCH(Auto_Sales_data___Copy[[#This Row],[Total_Sales_Per_Customer]],Table2[M-Cutoff],1)</f>
        <v>1</v>
      </c>
      <c r="Z1619" s="2" t="str">
        <f>Auto_Sales_data___Copy[[#This Row],[R-Score(1-5)]]&amp;Auto_Sales_data___Copy[[#This Row],[F-Score(1-5)]]&amp;Auto_Sales_data___Copy[[#This Row],[M-Score(1-5)]]</f>
        <v>311</v>
      </c>
      <c r="AA1619" s="2" t="str" cm="1">
        <f t="array" ref="AA16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9" s="2" t="str">
        <f>VLOOKUP(Auto_Sales_data___Copy[[#This Row],[Segment Name]],Table3[],2,FALSE)</f>
        <v>Re-Activation &amp; Re-Engagement</v>
      </c>
    </row>
    <row r="1620" spans="1:28" x14ac:dyDescent="0.25">
      <c r="A1620">
        <v>10149</v>
      </c>
      <c r="B1620">
        <v>42</v>
      </c>
      <c r="C1620">
        <v>94.25</v>
      </c>
      <c r="D1620">
        <v>2</v>
      </c>
      <c r="E1620">
        <v>3958.5</v>
      </c>
      <c r="F1620" s="1">
        <v>43355</v>
      </c>
      <c r="G1620" s="2" t="s">
        <v>19</v>
      </c>
      <c r="H1620" s="2" t="s">
        <v>589</v>
      </c>
      <c r="I1620">
        <v>99</v>
      </c>
      <c r="J1620" s="2" t="s">
        <v>653</v>
      </c>
      <c r="K1620" s="2" t="s">
        <v>562</v>
      </c>
      <c r="L1620" s="2" t="s">
        <v>563</v>
      </c>
      <c r="M1620" s="2" t="s">
        <v>564</v>
      </c>
      <c r="N1620" s="2" t="s">
        <v>565</v>
      </c>
      <c r="O1620" s="2" t="s">
        <v>58</v>
      </c>
      <c r="P1620" s="2" t="s">
        <v>27</v>
      </c>
      <c r="Q1620" s="2" t="s">
        <v>566</v>
      </c>
      <c r="R1620" s="2" t="s">
        <v>422</v>
      </c>
      <c r="S1620" s="2" t="s">
        <v>46</v>
      </c>
      <c r="T1620">
        <v>1702</v>
      </c>
      <c r="U1620">
        <f>VLOOKUP(Auto_Sales_data___Copy[[#This Row],[CUSTOMER_NAME]],$AF$2:$AH$90,2,FALSE)</f>
        <v>15</v>
      </c>
      <c r="V1620">
        <f>VLOOKUP(Auto_Sales_data___Copy[[#This Row],[CUSTOMER_NAME]],$AF$2:$AH$90,3,FALSE)</f>
        <v>50218.51</v>
      </c>
      <c r="W1620" s="2">
        <f>6-MATCH(Auto_Sales_data___Copy[[#This Row],[DAYS_SINCE_LAST_ORDER]],Table2[R-Cutoff],1)</f>
        <v>3</v>
      </c>
      <c r="X1620" s="2">
        <f>MATCH(Auto_Sales_data___Copy[[#This Row],[Total_Orders_Per_Customer]],Table2[F-Cutoff],1)</f>
        <v>1</v>
      </c>
      <c r="Y1620" s="2">
        <f>MATCH(Auto_Sales_data___Copy[[#This Row],[Total_Sales_Per_Customer]],Table2[M-Cutoff],1)</f>
        <v>1</v>
      </c>
      <c r="Z1620" s="2" t="str">
        <f>Auto_Sales_data___Copy[[#This Row],[R-Score(1-5)]]&amp;Auto_Sales_data___Copy[[#This Row],[F-Score(1-5)]]&amp;Auto_Sales_data___Copy[[#This Row],[M-Score(1-5)]]</f>
        <v>311</v>
      </c>
      <c r="AA1620" s="2" t="str" cm="1">
        <f t="array" ref="AA16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0" s="2" t="str">
        <f>VLOOKUP(Auto_Sales_data___Copy[[#This Row],[Segment Name]],Table3[],2,FALSE)</f>
        <v>Re-Activation &amp; Re-Engagement</v>
      </c>
    </row>
    <row r="1621" spans="1:28" x14ac:dyDescent="0.25">
      <c r="A1621">
        <v>10152</v>
      </c>
      <c r="B1621">
        <v>35</v>
      </c>
      <c r="C1621">
        <v>129.26</v>
      </c>
      <c r="D1621">
        <v>1</v>
      </c>
      <c r="E1621">
        <v>4524.1000000000004</v>
      </c>
      <c r="F1621" s="1">
        <v>43368</v>
      </c>
      <c r="G1621" s="2" t="s">
        <v>19</v>
      </c>
      <c r="H1621" s="2" t="s">
        <v>183</v>
      </c>
      <c r="I1621">
        <v>143</v>
      </c>
      <c r="J1621" s="2" t="s">
        <v>658</v>
      </c>
      <c r="K1621" s="2" t="s">
        <v>210</v>
      </c>
      <c r="L1621" s="2" t="s">
        <v>211</v>
      </c>
      <c r="M1621" s="2" t="s">
        <v>212</v>
      </c>
      <c r="N1621" s="2" t="s">
        <v>213</v>
      </c>
      <c r="O1621" s="2" t="s">
        <v>214</v>
      </c>
      <c r="P1621" s="2" t="s">
        <v>87</v>
      </c>
      <c r="Q1621" s="2" t="s">
        <v>215</v>
      </c>
      <c r="R1621" s="2" t="s">
        <v>216</v>
      </c>
      <c r="S1621" s="2" t="s">
        <v>46</v>
      </c>
      <c r="T1621">
        <v>1812</v>
      </c>
      <c r="U1621">
        <f>VLOOKUP(Auto_Sales_data___Copy[[#This Row],[CUSTOMER_NAME]],$AF$2:$AH$90,2,FALSE)</f>
        <v>15</v>
      </c>
      <c r="V1621">
        <f>VLOOKUP(Auto_Sales_data___Copy[[#This Row],[CUSTOMER_NAME]],$AF$2:$AH$90,3,FALSE)</f>
        <v>59469.120000000003</v>
      </c>
      <c r="W1621" s="2">
        <f>6-MATCH(Auto_Sales_data___Copy[[#This Row],[DAYS_SINCE_LAST_ORDER]],Table2[R-Cutoff],1)</f>
        <v>3</v>
      </c>
      <c r="X1621" s="2">
        <f>MATCH(Auto_Sales_data___Copy[[#This Row],[Total_Orders_Per_Customer]],Table2[F-Cutoff],1)</f>
        <v>1</v>
      </c>
      <c r="Y1621" s="2">
        <f>MATCH(Auto_Sales_data___Copy[[#This Row],[Total_Sales_Per_Customer]],Table2[M-Cutoff],1)</f>
        <v>1</v>
      </c>
      <c r="Z1621" s="2" t="str">
        <f>Auto_Sales_data___Copy[[#This Row],[R-Score(1-5)]]&amp;Auto_Sales_data___Copy[[#This Row],[F-Score(1-5)]]&amp;Auto_Sales_data___Copy[[#This Row],[M-Score(1-5)]]</f>
        <v>311</v>
      </c>
      <c r="AA1621" s="2" t="str" cm="1">
        <f t="array" ref="AA16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1" s="2" t="str">
        <f>VLOOKUP(Auto_Sales_data___Copy[[#This Row],[Segment Name]],Table3[],2,FALSE)</f>
        <v>Re-Activation &amp; Re-Engagement</v>
      </c>
    </row>
    <row r="1622" spans="1:28" x14ac:dyDescent="0.25">
      <c r="A1622">
        <v>10152</v>
      </c>
      <c r="B1622">
        <v>25</v>
      </c>
      <c r="C1622">
        <v>65.31</v>
      </c>
      <c r="D1622">
        <v>4</v>
      </c>
      <c r="E1622">
        <v>1632.75</v>
      </c>
      <c r="F1622" s="1">
        <v>43368</v>
      </c>
      <c r="G1622" s="2" t="s">
        <v>19</v>
      </c>
      <c r="H1622" s="2" t="s">
        <v>183</v>
      </c>
      <c r="I1622">
        <v>57</v>
      </c>
      <c r="J1622" s="2" t="s">
        <v>666</v>
      </c>
      <c r="K1622" s="2" t="s">
        <v>210</v>
      </c>
      <c r="L1622" s="2" t="s">
        <v>211</v>
      </c>
      <c r="M1622" s="2" t="s">
        <v>212</v>
      </c>
      <c r="N1622" s="2" t="s">
        <v>213</v>
      </c>
      <c r="O1622" s="2" t="s">
        <v>214</v>
      </c>
      <c r="P1622" s="2" t="s">
        <v>87</v>
      </c>
      <c r="Q1622" s="2" t="s">
        <v>215</v>
      </c>
      <c r="R1622" s="2" t="s">
        <v>216</v>
      </c>
      <c r="S1622" s="2" t="s">
        <v>30</v>
      </c>
      <c r="T1622">
        <v>2006</v>
      </c>
      <c r="U1622">
        <f>VLOOKUP(Auto_Sales_data___Copy[[#This Row],[CUSTOMER_NAME]],$AF$2:$AH$90,2,FALSE)</f>
        <v>15</v>
      </c>
      <c r="V1622">
        <f>VLOOKUP(Auto_Sales_data___Copy[[#This Row],[CUSTOMER_NAME]],$AF$2:$AH$90,3,FALSE)</f>
        <v>59469.120000000003</v>
      </c>
      <c r="W1622" s="2">
        <f>6-MATCH(Auto_Sales_data___Copy[[#This Row],[DAYS_SINCE_LAST_ORDER]],Table2[R-Cutoff],1)</f>
        <v>3</v>
      </c>
      <c r="X1622" s="2">
        <f>MATCH(Auto_Sales_data___Copy[[#This Row],[Total_Orders_Per_Customer]],Table2[F-Cutoff],1)</f>
        <v>1</v>
      </c>
      <c r="Y1622" s="2">
        <f>MATCH(Auto_Sales_data___Copy[[#This Row],[Total_Sales_Per_Customer]],Table2[M-Cutoff],1)</f>
        <v>1</v>
      </c>
      <c r="Z1622" s="2" t="str">
        <f>Auto_Sales_data___Copy[[#This Row],[R-Score(1-5)]]&amp;Auto_Sales_data___Copy[[#This Row],[F-Score(1-5)]]&amp;Auto_Sales_data___Copy[[#This Row],[M-Score(1-5)]]</f>
        <v>311</v>
      </c>
      <c r="AA1622" s="2" t="str" cm="1">
        <f t="array" ref="AA16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2" s="2" t="str">
        <f>VLOOKUP(Auto_Sales_data___Copy[[#This Row],[Segment Name]],Table3[],2,FALSE)</f>
        <v>Re-Activation &amp; Re-Engagement</v>
      </c>
    </row>
    <row r="1623" spans="1:28" x14ac:dyDescent="0.25">
      <c r="A1623">
        <v>10164</v>
      </c>
      <c r="B1623">
        <v>45</v>
      </c>
      <c r="C1623">
        <v>111.39</v>
      </c>
      <c r="D1623">
        <v>3</v>
      </c>
      <c r="E1623">
        <v>5012.55</v>
      </c>
      <c r="F1623" s="1">
        <v>43394</v>
      </c>
      <c r="G1623" s="2" t="s">
        <v>431</v>
      </c>
      <c r="H1623" s="2" t="s">
        <v>537</v>
      </c>
      <c r="I1623">
        <v>121</v>
      </c>
      <c r="J1623" s="2" t="s">
        <v>661</v>
      </c>
      <c r="K1623" s="2" t="s">
        <v>432</v>
      </c>
      <c r="L1623" s="2" t="s">
        <v>433</v>
      </c>
      <c r="M1623" s="2" t="s">
        <v>434</v>
      </c>
      <c r="N1623" s="2" t="s">
        <v>435</v>
      </c>
      <c r="O1623" s="2" t="s">
        <v>436</v>
      </c>
      <c r="P1623" s="2" t="s">
        <v>148</v>
      </c>
      <c r="Q1623" s="2" t="s">
        <v>437</v>
      </c>
      <c r="R1623" s="2" t="s">
        <v>438</v>
      </c>
      <c r="S1623" s="2" t="s">
        <v>46</v>
      </c>
      <c r="T1623">
        <v>1860</v>
      </c>
      <c r="U1623">
        <f>VLOOKUP(Auto_Sales_data___Copy[[#This Row],[CUSTOMER_NAME]],$AF$2:$AH$90,2,FALSE)</f>
        <v>15</v>
      </c>
      <c r="V1623">
        <f>VLOOKUP(Auto_Sales_data___Copy[[#This Row],[CUSTOMER_NAME]],$AF$2:$AH$90,3,FALSE)</f>
        <v>52263.899999999994</v>
      </c>
      <c r="W1623" s="2">
        <f>6-MATCH(Auto_Sales_data___Copy[[#This Row],[DAYS_SINCE_LAST_ORDER]],Table2[R-Cutoff],1)</f>
        <v>3</v>
      </c>
      <c r="X1623" s="2">
        <f>MATCH(Auto_Sales_data___Copy[[#This Row],[Total_Orders_Per_Customer]],Table2[F-Cutoff],1)</f>
        <v>1</v>
      </c>
      <c r="Y1623" s="2">
        <f>MATCH(Auto_Sales_data___Copy[[#This Row],[Total_Sales_Per_Customer]],Table2[M-Cutoff],1)</f>
        <v>1</v>
      </c>
      <c r="Z1623" s="2" t="str">
        <f>Auto_Sales_data___Copy[[#This Row],[R-Score(1-5)]]&amp;Auto_Sales_data___Copy[[#This Row],[F-Score(1-5)]]&amp;Auto_Sales_data___Copy[[#This Row],[M-Score(1-5)]]</f>
        <v>311</v>
      </c>
      <c r="AA1623" s="2" t="str" cm="1">
        <f t="array" ref="AA16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3" s="2" t="str">
        <f>VLOOKUP(Auto_Sales_data___Copy[[#This Row],[Segment Name]],Table3[],2,FALSE)</f>
        <v>Re-Activation &amp; Re-Engagement</v>
      </c>
    </row>
    <row r="1624" spans="1:28" x14ac:dyDescent="0.25">
      <c r="A1624">
        <v>10164</v>
      </c>
      <c r="B1624">
        <v>25</v>
      </c>
      <c r="C1624">
        <v>53.83</v>
      </c>
      <c r="D1624">
        <v>7</v>
      </c>
      <c r="E1624">
        <v>1345.75</v>
      </c>
      <c r="F1624" s="1">
        <v>43394</v>
      </c>
      <c r="G1624" s="2" t="s">
        <v>431</v>
      </c>
      <c r="H1624" s="2" t="s">
        <v>589</v>
      </c>
      <c r="I1624">
        <v>50</v>
      </c>
      <c r="J1624" s="2" t="s">
        <v>662</v>
      </c>
      <c r="K1624" s="2" t="s">
        <v>432</v>
      </c>
      <c r="L1624" s="2" t="s">
        <v>433</v>
      </c>
      <c r="M1624" s="2" t="s">
        <v>434</v>
      </c>
      <c r="N1624" s="2" t="s">
        <v>435</v>
      </c>
      <c r="O1624" s="2" t="s">
        <v>436</v>
      </c>
      <c r="P1624" s="2" t="s">
        <v>148</v>
      </c>
      <c r="Q1624" s="2" t="s">
        <v>437</v>
      </c>
      <c r="R1624" s="2" t="s">
        <v>438</v>
      </c>
      <c r="S1624" s="2" t="s">
        <v>30</v>
      </c>
      <c r="T1624">
        <v>1887</v>
      </c>
      <c r="U1624">
        <f>VLOOKUP(Auto_Sales_data___Copy[[#This Row],[CUSTOMER_NAME]],$AF$2:$AH$90,2,FALSE)</f>
        <v>15</v>
      </c>
      <c r="V1624">
        <f>VLOOKUP(Auto_Sales_data___Copy[[#This Row],[CUSTOMER_NAME]],$AF$2:$AH$90,3,FALSE)</f>
        <v>52263.899999999994</v>
      </c>
      <c r="W1624" s="2">
        <f>6-MATCH(Auto_Sales_data___Copy[[#This Row],[DAYS_SINCE_LAST_ORDER]],Table2[R-Cutoff],1)</f>
        <v>3</v>
      </c>
      <c r="X1624" s="2">
        <f>MATCH(Auto_Sales_data___Copy[[#This Row],[Total_Orders_Per_Customer]],Table2[F-Cutoff],1)</f>
        <v>1</v>
      </c>
      <c r="Y1624" s="2">
        <f>MATCH(Auto_Sales_data___Copy[[#This Row],[Total_Sales_Per_Customer]],Table2[M-Cutoff],1)</f>
        <v>1</v>
      </c>
      <c r="Z1624" s="2" t="str">
        <f>Auto_Sales_data___Copy[[#This Row],[R-Score(1-5)]]&amp;Auto_Sales_data___Copy[[#This Row],[F-Score(1-5)]]&amp;Auto_Sales_data___Copy[[#This Row],[M-Score(1-5)]]</f>
        <v>311</v>
      </c>
      <c r="AA1624" s="2" t="str" cm="1">
        <f t="array" ref="AA16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4" s="2" t="str">
        <f>VLOOKUP(Auto_Sales_data___Copy[[#This Row],[Segment Name]],Table3[],2,FALSE)</f>
        <v>Re-Activation &amp; Re-Engagement</v>
      </c>
    </row>
    <row r="1625" spans="1:28" x14ac:dyDescent="0.25">
      <c r="A1625">
        <v>10174</v>
      </c>
      <c r="B1625">
        <v>49</v>
      </c>
      <c r="C1625">
        <v>44.78</v>
      </c>
      <c r="D1625">
        <v>2</v>
      </c>
      <c r="E1625">
        <v>2194.2199999999998</v>
      </c>
      <c r="F1625" s="1">
        <v>43410</v>
      </c>
      <c r="G1625" s="2" t="s">
        <v>19</v>
      </c>
      <c r="H1625" s="2" t="s">
        <v>589</v>
      </c>
      <c r="I1625">
        <v>50</v>
      </c>
      <c r="J1625" s="2" t="s">
        <v>662</v>
      </c>
      <c r="K1625" s="2" t="s">
        <v>210</v>
      </c>
      <c r="L1625" s="2" t="s">
        <v>211</v>
      </c>
      <c r="M1625" s="2" t="s">
        <v>212</v>
      </c>
      <c r="N1625" s="2" t="s">
        <v>213</v>
      </c>
      <c r="O1625" s="2" t="s">
        <v>214</v>
      </c>
      <c r="P1625" s="2" t="s">
        <v>87</v>
      </c>
      <c r="Q1625" s="2" t="s">
        <v>215</v>
      </c>
      <c r="R1625" s="2" t="s">
        <v>216</v>
      </c>
      <c r="S1625" s="2" t="s">
        <v>30</v>
      </c>
      <c r="T1625">
        <v>1872</v>
      </c>
      <c r="U1625">
        <f>VLOOKUP(Auto_Sales_data___Copy[[#This Row],[CUSTOMER_NAME]],$AF$2:$AH$90,2,FALSE)</f>
        <v>15</v>
      </c>
      <c r="V1625">
        <f>VLOOKUP(Auto_Sales_data___Copy[[#This Row],[CUSTOMER_NAME]],$AF$2:$AH$90,3,FALSE)</f>
        <v>59469.120000000003</v>
      </c>
      <c r="W1625" s="2">
        <f>6-MATCH(Auto_Sales_data___Copy[[#This Row],[DAYS_SINCE_LAST_ORDER]],Table2[R-Cutoff],1)</f>
        <v>3</v>
      </c>
      <c r="X1625" s="2">
        <f>MATCH(Auto_Sales_data___Copy[[#This Row],[Total_Orders_Per_Customer]],Table2[F-Cutoff],1)</f>
        <v>1</v>
      </c>
      <c r="Y1625" s="2">
        <f>MATCH(Auto_Sales_data___Copy[[#This Row],[Total_Sales_Per_Customer]],Table2[M-Cutoff],1)</f>
        <v>1</v>
      </c>
      <c r="Z1625" s="2" t="str">
        <f>Auto_Sales_data___Copy[[#This Row],[R-Score(1-5)]]&amp;Auto_Sales_data___Copy[[#This Row],[F-Score(1-5)]]&amp;Auto_Sales_data___Copy[[#This Row],[M-Score(1-5)]]</f>
        <v>311</v>
      </c>
      <c r="AA1625" s="2" t="str" cm="1">
        <f t="array" ref="AA16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5" s="2" t="str">
        <f>VLOOKUP(Auto_Sales_data___Copy[[#This Row],[Segment Name]],Table3[],2,FALSE)</f>
        <v>Re-Activation &amp; Re-Engagement</v>
      </c>
    </row>
    <row r="1626" spans="1:28" x14ac:dyDescent="0.25">
      <c r="A1626">
        <v>10177</v>
      </c>
      <c r="B1626">
        <v>23</v>
      </c>
      <c r="C1626">
        <v>159.81</v>
      </c>
      <c r="D1626">
        <v>9</v>
      </c>
      <c r="E1626">
        <v>3675.63</v>
      </c>
      <c r="F1626" s="1">
        <v>43411</v>
      </c>
      <c r="G1626" s="2" t="s">
        <v>19</v>
      </c>
      <c r="H1626" s="2" t="s">
        <v>589</v>
      </c>
      <c r="I1626">
        <v>136</v>
      </c>
      <c r="J1626" s="2" t="s">
        <v>648</v>
      </c>
      <c r="K1626" s="2" t="s">
        <v>518</v>
      </c>
      <c r="L1626" s="2" t="s">
        <v>519</v>
      </c>
      <c r="M1626" s="2" t="s">
        <v>520</v>
      </c>
      <c r="N1626" s="2" t="s">
        <v>178</v>
      </c>
      <c r="O1626" s="2" t="s">
        <v>196</v>
      </c>
      <c r="P1626" s="2" t="s">
        <v>180</v>
      </c>
      <c r="Q1626" s="2" t="s">
        <v>521</v>
      </c>
      <c r="R1626" s="2" t="s">
        <v>522</v>
      </c>
      <c r="S1626" s="2" t="s">
        <v>46</v>
      </c>
      <c r="T1626">
        <v>1525</v>
      </c>
      <c r="U1626">
        <f>VLOOKUP(Auto_Sales_data___Copy[[#This Row],[CUSTOMER_NAME]],$AF$2:$AH$90,2,FALSE)</f>
        <v>13</v>
      </c>
      <c r="V1626">
        <f>VLOOKUP(Auto_Sales_data___Copy[[#This Row],[CUSTOMER_NAME]],$AF$2:$AH$90,3,FALSE)</f>
        <v>49642.05</v>
      </c>
      <c r="W1626" s="2">
        <f>6-MATCH(Auto_Sales_data___Copy[[#This Row],[DAYS_SINCE_LAST_ORDER]],Table2[R-Cutoff],1)</f>
        <v>3</v>
      </c>
      <c r="X1626" s="2">
        <f>MATCH(Auto_Sales_data___Copy[[#This Row],[Total_Orders_Per_Customer]],Table2[F-Cutoff],1)</f>
        <v>1</v>
      </c>
      <c r="Y1626" s="2">
        <f>MATCH(Auto_Sales_data___Copy[[#This Row],[Total_Sales_Per_Customer]],Table2[M-Cutoff],1)</f>
        <v>1</v>
      </c>
      <c r="Z1626" s="2" t="str">
        <f>Auto_Sales_data___Copy[[#This Row],[R-Score(1-5)]]&amp;Auto_Sales_data___Copy[[#This Row],[F-Score(1-5)]]&amp;Auto_Sales_data___Copy[[#This Row],[M-Score(1-5)]]</f>
        <v>311</v>
      </c>
      <c r="AA1626" s="2" t="str" cm="1">
        <f t="array" ref="AA16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6" s="2" t="str">
        <f>VLOOKUP(Auto_Sales_data___Copy[[#This Row],[Segment Name]],Table3[],2,FALSE)</f>
        <v>Re-Activation &amp; Re-Engagement</v>
      </c>
    </row>
    <row r="1627" spans="1:28" x14ac:dyDescent="0.25">
      <c r="A1627">
        <v>10177</v>
      </c>
      <c r="B1627">
        <v>29</v>
      </c>
      <c r="C1627">
        <v>105.88</v>
      </c>
      <c r="D1627">
        <v>11</v>
      </c>
      <c r="E1627">
        <v>3070.52</v>
      </c>
      <c r="F1627" s="1">
        <v>43411</v>
      </c>
      <c r="G1627" s="2" t="s">
        <v>19</v>
      </c>
      <c r="H1627" s="2" t="s">
        <v>650</v>
      </c>
      <c r="I1627">
        <v>100</v>
      </c>
      <c r="J1627" s="2" t="s">
        <v>651</v>
      </c>
      <c r="K1627" s="2" t="s">
        <v>518</v>
      </c>
      <c r="L1627" s="2" t="s">
        <v>519</v>
      </c>
      <c r="M1627" s="2" t="s">
        <v>520</v>
      </c>
      <c r="N1627" s="2" t="s">
        <v>178</v>
      </c>
      <c r="O1627" s="2" t="s">
        <v>196</v>
      </c>
      <c r="P1627" s="2" t="s">
        <v>180</v>
      </c>
      <c r="Q1627" s="2" t="s">
        <v>521</v>
      </c>
      <c r="R1627" s="2" t="s">
        <v>522</v>
      </c>
      <c r="S1627" s="2" t="s">
        <v>46</v>
      </c>
      <c r="T1627">
        <v>1601</v>
      </c>
      <c r="U1627">
        <f>VLOOKUP(Auto_Sales_data___Copy[[#This Row],[CUSTOMER_NAME]],$AF$2:$AH$90,2,FALSE)</f>
        <v>13</v>
      </c>
      <c r="V1627">
        <f>VLOOKUP(Auto_Sales_data___Copy[[#This Row],[CUSTOMER_NAME]],$AF$2:$AH$90,3,FALSE)</f>
        <v>49642.05</v>
      </c>
      <c r="W1627" s="2">
        <f>6-MATCH(Auto_Sales_data___Copy[[#This Row],[DAYS_SINCE_LAST_ORDER]],Table2[R-Cutoff],1)</f>
        <v>3</v>
      </c>
      <c r="X1627" s="2">
        <f>MATCH(Auto_Sales_data___Copy[[#This Row],[Total_Orders_Per_Customer]],Table2[F-Cutoff],1)</f>
        <v>1</v>
      </c>
      <c r="Y1627" s="2">
        <f>MATCH(Auto_Sales_data___Copy[[#This Row],[Total_Sales_Per_Customer]],Table2[M-Cutoff],1)</f>
        <v>1</v>
      </c>
      <c r="Z1627" s="2" t="str">
        <f>Auto_Sales_data___Copy[[#This Row],[R-Score(1-5)]]&amp;Auto_Sales_data___Copy[[#This Row],[F-Score(1-5)]]&amp;Auto_Sales_data___Copy[[#This Row],[M-Score(1-5)]]</f>
        <v>311</v>
      </c>
      <c r="AA1627" s="2" t="str" cm="1">
        <f t="array" ref="AA16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7" s="2" t="str">
        <f>VLOOKUP(Auto_Sales_data___Copy[[#This Row],[Segment Name]],Table3[],2,FALSE)</f>
        <v>Re-Activation &amp; Re-Engagement</v>
      </c>
    </row>
    <row r="1628" spans="1:28" x14ac:dyDescent="0.25">
      <c r="A1628">
        <v>10177</v>
      </c>
      <c r="B1628">
        <v>35</v>
      </c>
      <c r="C1628">
        <v>74.599999999999994</v>
      </c>
      <c r="D1628">
        <v>8</v>
      </c>
      <c r="E1628">
        <v>2611</v>
      </c>
      <c r="F1628" s="1">
        <v>43411</v>
      </c>
      <c r="G1628" s="2" t="s">
        <v>19</v>
      </c>
      <c r="H1628" s="2" t="s">
        <v>589</v>
      </c>
      <c r="I1628">
        <v>87</v>
      </c>
      <c r="J1628" s="2" t="s">
        <v>660</v>
      </c>
      <c r="K1628" s="2" t="s">
        <v>518</v>
      </c>
      <c r="L1628" s="2" t="s">
        <v>519</v>
      </c>
      <c r="M1628" s="2" t="s">
        <v>520</v>
      </c>
      <c r="N1628" s="2" t="s">
        <v>178</v>
      </c>
      <c r="O1628" s="2" t="s">
        <v>196</v>
      </c>
      <c r="P1628" s="2" t="s">
        <v>180</v>
      </c>
      <c r="Q1628" s="2" t="s">
        <v>521</v>
      </c>
      <c r="R1628" s="2" t="s">
        <v>522</v>
      </c>
      <c r="S1628" s="2" t="s">
        <v>30</v>
      </c>
      <c r="T1628">
        <v>1818</v>
      </c>
      <c r="U1628">
        <f>VLOOKUP(Auto_Sales_data___Copy[[#This Row],[CUSTOMER_NAME]],$AF$2:$AH$90,2,FALSE)</f>
        <v>13</v>
      </c>
      <c r="V1628">
        <f>VLOOKUP(Auto_Sales_data___Copy[[#This Row],[CUSTOMER_NAME]],$AF$2:$AH$90,3,FALSE)</f>
        <v>49642.05</v>
      </c>
      <c r="W1628" s="2">
        <f>6-MATCH(Auto_Sales_data___Copy[[#This Row],[DAYS_SINCE_LAST_ORDER]],Table2[R-Cutoff],1)</f>
        <v>3</v>
      </c>
      <c r="X1628" s="2">
        <f>MATCH(Auto_Sales_data___Copy[[#This Row],[Total_Orders_Per_Customer]],Table2[F-Cutoff],1)</f>
        <v>1</v>
      </c>
      <c r="Y1628" s="2">
        <f>MATCH(Auto_Sales_data___Copy[[#This Row],[Total_Sales_Per_Customer]],Table2[M-Cutoff],1)</f>
        <v>1</v>
      </c>
      <c r="Z1628" s="2" t="str">
        <f>Auto_Sales_data___Copy[[#This Row],[R-Score(1-5)]]&amp;Auto_Sales_data___Copy[[#This Row],[F-Score(1-5)]]&amp;Auto_Sales_data___Copy[[#This Row],[M-Score(1-5)]]</f>
        <v>311</v>
      </c>
      <c r="AA1628" s="2" t="str" cm="1">
        <f t="array" ref="AA16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8" s="2" t="str">
        <f>VLOOKUP(Auto_Sales_data___Copy[[#This Row],[Segment Name]],Table3[],2,FALSE)</f>
        <v>Re-Activation &amp; Re-Engagement</v>
      </c>
    </row>
    <row r="1629" spans="1:28" x14ac:dyDescent="0.25">
      <c r="A1629">
        <v>10184</v>
      </c>
      <c r="B1629">
        <v>28</v>
      </c>
      <c r="C1629">
        <v>157.49</v>
      </c>
      <c r="D1629">
        <v>10</v>
      </c>
      <c r="E1629">
        <v>4409.72</v>
      </c>
      <c r="F1629" s="1">
        <v>43418</v>
      </c>
      <c r="G1629" s="2" t="s">
        <v>19</v>
      </c>
      <c r="H1629" s="2" t="s">
        <v>183</v>
      </c>
      <c r="I1629">
        <v>169</v>
      </c>
      <c r="J1629" s="2" t="s">
        <v>649</v>
      </c>
      <c r="K1629" s="2" t="s">
        <v>555</v>
      </c>
      <c r="L1629" s="2" t="s">
        <v>556</v>
      </c>
      <c r="M1629" s="2" t="s">
        <v>557</v>
      </c>
      <c r="N1629" s="2" t="s">
        <v>558</v>
      </c>
      <c r="O1629" s="2" t="s">
        <v>559</v>
      </c>
      <c r="P1629" s="2" t="s">
        <v>180</v>
      </c>
      <c r="Q1629" s="2" t="s">
        <v>560</v>
      </c>
      <c r="R1629" s="2" t="s">
        <v>561</v>
      </c>
      <c r="S1629" s="2" t="s">
        <v>46</v>
      </c>
      <c r="T1629">
        <v>1550</v>
      </c>
      <c r="U1629">
        <f>VLOOKUP(Auto_Sales_data___Copy[[#This Row],[CUSTOMER_NAME]],$AF$2:$AH$90,2,FALSE)</f>
        <v>15</v>
      </c>
      <c r="V1629">
        <f>VLOOKUP(Auto_Sales_data___Copy[[#This Row],[CUSTOMER_NAME]],$AF$2:$AH$90,3,FALSE)</f>
        <v>54723.62</v>
      </c>
      <c r="W1629" s="2">
        <f>6-MATCH(Auto_Sales_data___Copy[[#This Row],[DAYS_SINCE_LAST_ORDER]],Table2[R-Cutoff],1)</f>
        <v>3</v>
      </c>
      <c r="X1629" s="2">
        <f>MATCH(Auto_Sales_data___Copy[[#This Row],[Total_Orders_Per_Customer]],Table2[F-Cutoff],1)</f>
        <v>1</v>
      </c>
      <c r="Y1629" s="2">
        <f>MATCH(Auto_Sales_data___Copy[[#This Row],[Total_Sales_Per_Customer]],Table2[M-Cutoff],1)</f>
        <v>1</v>
      </c>
      <c r="Z1629" s="2" t="str">
        <f>Auto_Sales_data___Copy[[#This Row],[R-Score(1-5)]]&amp;Auto_Sales_data___Copy[[#This Row],[F-Score(1-5)]]&amp;Auto_Sales_data___Copy[[#This Row],[M-Score(1-5)]]</f>
        <v>311</v>
      </c>
      <c r="AA1629" s="2" t="str" cm="1">
        <f t="array" ref="AA16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9" s="2" t="str">
        <f>VLOOKUP(Auto_Sales_data___Copy[[#This Row],[Segment Name]],Table3[],2,FALSE)</f>
        <v>Re-Activation &amp; Re-Engagement</v>
      </c>
    </row>
    <row r="1630" spans="1:28" x14ac:dyDescent="0.25">
      <c r="A1630">
        <v>10186</v>
      </c>
      <c r="B1630">
        <v>46</v>
      </c>
      <c r="C1630">
        <v>106.93</v>
      </c>
      <c r="D1630">
        <v>6</v>
      </c>
      <c r="E1630">
        <v>4918.78</v>
      </c>
      <c r="F1630" s="1">
        <v>43418</v>
      </c>
      <c r="G1630" s="2" t="s">
        <v>19</v>
      </c>
      <c r="H1630" s="2" t="s">
        <v>589</v>
      </c>
      <c r="I1630">
        <v>105</v>
      </c>
      <c r="J1630" s="2" t="s">
        <v>657</v>
      </c>
      <c r="K1630" s="2" t="s">
        <v>366</v>
      </c>
      <c r="L1630" s="2" t="s">
        <v>367</v>
      </c>
      <c r="M1630" s="2" t="s">
        <v>368</v>
      </c>
      <c r="N1630" s="2" t="s">
        <v>350</v>
      </c>
      <c r="O1630" s="2" t="s">
        <v>369</v>
      </c>
      <c r="P1630" s="2" t="s">
        <v>171</v>
      </c>
      <c r="Q1630" s="2" t="s">
        <v>370</v>
      </c>
      <c r="R1630" s="2" t="s">
        <v>371</v>
      </c>
      <c r="S1630" s="2" t="s">
        <v>46</v>
      </c>
      <c r="T1630">
        <v>1740</v>
      </c>
      <c r="U1630">
        <f>VLOOKUP(Auto_Sales_data___Copy[[#This Row],[CUSTOMER_NAME]],$AF$2:$AH$90,2,FALSE)</f>
        <v>12</v>
      </c>
      <c r="V1630">
        <f>VLOOKUP(Auto_Sales_data___Copy[[#This Row],[CUSTOMER_NAME]],$AF$2:$AH$90,3,FALSE)</f>
        <v>36019.039999999994</v>
      </c>
      <c r="W1630" s="2">
        <f>6-MATCH(Auto_Sales_data___Copy[[#This Row],[DAYS_SINCE_LAST_ORDER]],Table2[R-Cutoff],1)</f>
        <v>3</v>
      </c>
      <c r="X1630" s="2">
        <f>MATCH(Auto_Sales_data___Copy[[#This Row],[Total_Orders_Per_Customer]],Table2[F-Cutoff],1)</f>
        <v>1</v>
      </c>
      <c r="Y1630" s="2">
        <f>MATCH(Auto_Sales_data___Copy[[#This Row],[Total_Sales_Per_Customer]],Table2[M-Cutoff],1)</f>
        <v>1</v>
      </c>
      <c r="Z1630" s="2" t="str">
        <f>Auto_Sales_data___Copy[[#This Row],[R-Score(1-5)]]&amp;Auto_Sales_data___Copy[[#This Row],[F-Score(1-5)]]&amp;Auto_Sales_data___Copy[[#This Row],[M-Score(1-5)]]</f>
        <v>311</v>
      </c>
      <c r="AA1630" s="2" t="str" cm="1">
        <f t="array" ref="AA16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0" s="2" t="str">
        <f>VLOOKUP(Auto_Sales_data___Copy[[#This Row],[Segment Name]],Table3[],2,FALSE)</f>
        <v>Re-Activation &amp; Re-Engagement</v>
      </c>
    </row>
    <row r="1631" spans="1:28" x14ac:dyDescent="0.25">
      <c r="A1631">
        <v>10184</v>
      </c>
      <c r="B1631">
        <v>31</v>
      </c>
      <c r="C1631">
        <v>60.11</v>
      </c>
      <c r="D1631">
        <v>3</v>
      </c>
      <c r="E1631">
        <v>1863.41</v>
      </c>
      <c r="F1631" s="1">
        <v>43418</v>
      </c>
      <c r="G1631" s="2" t="s">
        <v>19</v>
      </c>
      <c r="H1631" s="2" t="s">
        <v>183</v>
      </c>
      <c r="I1631">
        <v>57</v>
      </c>
      <c r="J1631" s="2" t="s">
        <v>666</v>
      </c>
      <c r="K1631" s="2" t="s">
        <v>555</v>
      </c>
      <c r="L1631" s="2" t="s">
        <v>556</v>
      </c>
      <c r="M1631" s="2" t="s">
        <v>557</v>
      </c>
      <c r="N1631" s="2" t="s">
        <v>558</v>
      </c>
      <c r="O1631" s="2" t="s">
        <v>559</v>
      </c>
      <c r="P1631" s="2" t="s">
        <v>180</v>
      </c>
      <c r="Q1631" s="2" t="s">
        <v>560</v>
      </c>
      <c r="R1631" s="2" t="s">
        <v>561</v>
      </c>
      <c r="S1631" s="2" t="s">
        <v>30</v>
      </c>
      <c r="T1631">
        <v>1959</v>
      </c>
      <c r="U1631">
        <f>VLOOKUP(Auto_Sales_data___Copy[[#This Row],[CUSTOMER_NAME]],$AF$2:$AH$90,2,FALSE)</f>
        <v>15</v>
      </c>
      <c r="V1631">
        <f>VLOOKUP(Auto_Sales_data___Copy[[#This Row],[CUSTOMER_NAME]],$AF$2:$AH$90,3,FALSE)</f>
        <v>54723.62</v>
      </c>
      <c r="W1631" s="2">
        <f>6-MATCH(Auto_Sales_data___Copy[[#This Row],[DAYS_SINCE_LAST_ORDER]],Table2[R-Cutoff],1)</f>
        <v>3</v>
      </c>
      <c r="X1631" s="2">
        <f>MATCH(Auto_Sales_data___Copy[[#This Row],[Total_Orders_Per_Customer]],Table2[F-Cutoff],1)</f>
        <v>1</v>
      </c>
      <c r="Y1631" s="2">
        <f>MATCH(Auto_Sales_data___Copy[[#This Row],[Total_Sales_Per_Customer]],Table2[M-Cutoff],1)</f>
        <v>1</v>
      </c>
      <c r="Z1631" s="2" t="str">
        <f>Auto_Sales_data___Copy[[#This Row],[R-Score(1-5)]]&amp;Auto_Sales_data___Copy[[#This Row],[F-Score(1-5)]]&amp;Auto_Sales_data___Copy[[#This Row],[M-Score(1-5)]]</f>
        <v>311</v>
      </c>
      <c r="AA1631" s="2" t="str" cm="1">
        <f t="array" ref="AA16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1" s="2" t="str">
        <f>VLOOKUP(Auto_Sales_data___Copy[[#This Row],[Segment Name]],Table3[],2,FALSE)</f>
        <v>Re-Activation &amp; Re-Engagement</v>
      </c>
    </row>
    <row r="1632" spans="1:28" x14ac:dyDescent="0.25">
      <c r="A1632">
        <v>10213</v>
      </c>
      <c r="B1632">
        <v>38</v>
      </c>
      <c r="C1632">
        <v>94.79</v>
      </c>
      <c r="D1632">
        <v>1</v>
      </c>
      <c r="E1632">
        <v>3602.02</v>
      </c>
      <c r="F1632" s="1">
        <v>43487</v>
      </c>
      <c r="G1632" s="2" t="s">
        <v>19</v>
      </c>
      <c r="H1632" s="2" t="s">
        <v>589</v>
      </c>
      <c r="I1632">
        <v>92</v>
      </c>
      <c r="J1632" s="2" t="s">
        <v>659</v>
      </c>
      <c r="K1632" s="2" t="s">
        <v>366</v>
      </c>
      <c r="L1632" s="2" t="s">
        <v>367</v>
      </c>
      <c r="M1632" s="2" t="s">
        <v>368</v>
      </c>
      <c r="N1632" s="2" t="s">
        <v>350</v>
      </c>
      <c r="O1632" s="2" t="s">
        <v>369</v>
      </c>
      <c r="P1632" s="2" t="s">
        <v>171</v>
      </c>
      <c r="Q1632" s="2" t="s">
        <v>370</v>
      </c>
      <c r="R1632" s="2" t="s">
        <v>371</v>
      </c>
      <c r="S1632" s="2" t="s">
        <v>46</v>
      </c>
      <c r="T1632">
        <v>1723</v>
      </c>
      <c r="U1632">
        <f>VLOOKUP(Auto_Sales_data___Copy[[#This Row],[CUSTOMER_NAME]],$AF$2:$AH$90,2,FALSE)</f>
        <v>12</v>
      </c>
      <c r="V1632">
        <f>VLOOKUP(Auto_Sales_data___Copy[[#This Row],[CUSTOMER_NAME]],$AF$2:$AH$90,3,FALSE)</f>
        <v>36019.039999999994</v>
      </c>
      <c r="W1632" s="2">
        <f>6-MATCH(Auto_Sales_data___Copy[[#This Row],[DAYS_SINCE_LAST_ORDER]],Table2[R-Cutoff],1)</f>
        <v>3</v>
      </c>
      <c r="X1632" s="2">
        <f>MATCH(Auto_Sales_data___Copy[[#This Row],[Total_Orders_Per_Customer]],Table2[F-Cutoff],1)</f>
        <v>1</v>
      </c>
      <c r="Y1632" s="2">
        <f>MATCH(Auto_Sales_data___Copy[[#This Row],[Total_Sales_Per_Customer]],Table2[M-Cutoff],1)</f>
        <v>1</v>
      </c>
      <c r="Z1632" s="2" t="str">
        <f>Auto_Sales_data___Copy[[#This Row],[R-Score(1-5)]]&amp;Auto_Sales_data___Copy[[#This Row],[F-Score(1-5)]]&amp;Auto_Sales_data___Copy[[#This Row],[M-Score(1-5)]]</f>
        <v>311</v>
      </c>
      <c r="AA1632" s="2" t="str" cm="1">
        <f t="array" ref="AA16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2" s="2" t="str">
        <f>VLOOKUP(Auto_Sales_data___Copy[[#This Row],[Segment Name]],Table3[],2,FALSE)</f>
        <v>Re-Activation &amp; Re-Engagement</v>
      </c>
    </row>
    <row r="1633" spans="1:28" x14ac:dyDescent="0.25">
      <c r="A1633">
        <v>10213</v>
      </c>
      <c r="B1633">
        <v>25</v>
      </c>
      <c r="C1633">
        <v>83.39</v>
      </c>
      <c r="D1633">
        <v>2</v>
      </c>
      <c r="E1633">
        <v>2084.75</v>
      </c>
      <c r="F1633" s="1">
        <v>43487</v>
      </c>
      <c r="G1633" s="2" t="s">
        <v>19</v>
      </c>
      <c r="H1633" s="2" t="s">
        <v>183</v>
      </c>
      <c r="I1633">
        <v>71</v>
      </c>
      <c r="J1633" s="2" t="s">
        <v>664</v>
      </c>
      <c r="K1633" s="2" t="s">
        <v>366</v>
      </c>
      <c r="L1633" s="2" t="s">
        <v>367</v>
      </c>
      <c r="M1633" s="2" t="s">
        <v>368</v>
      </c>
      <c r="N1633" s="2" t="s">
        <v>350</v>
      </c>
      <c r="O1633" s="2" t="s">
        <v>369</v>
      </c>
      <c r="P1633" s="2" t="s">
        <v>171</v>
      </c>
      <c r="Q1633" s="2" t="s">
        <v>370</v>
      </c>
      <c r="R1633" s="2" t="s">
        <v>371</v>
      </c>
      <c r="S1633" s="2" t="s">
        <v>30</v>
      </c>
      <c r="T1633">
        <v>1846</v>
      </c>
      <c r="U1633">
        <f>VLOOKUP(Auto_Sales_data___Copy[[#This Row],[CUSTOMER_NAME]],$AF$2:$AH$90,2,FALSE)</f>
        <v>12</v>
      </c>
      <c r="V1633">
        <f>VLOOKUP(Auto_Sales_data___Copy[[#This Row],[CUSTOMER_NAME]],$AF$2:$AH$90,3,FALSE)</f>
        <v>36019.039999999994</v>
      </c>
      <c r="W1633" s="2">
        <f>6-MATCH(Auto_Sales_data___Copy[[#This Row],[DAYS_SINCE_LAST_ORDER]],Table2[R-Cutoff],1)</f>
        <v>3</v>
      </c>
      <c r="X1633" s="2">
        <f>MATCH(Auto_Sales_data___Copy[[#This Row],[Total_Orders_Per_Customer]],Table2[F-Cutoff],1)</f>
        <v>1</v>
      </c>
      <c r="Y1633" s="2">
        <f>MATCH(Auto_Sales_data___Copy[[#This Row],[Total_Sales_Per_Customer]],Table2[M-Cutoff],1)</f>
        <v>1</v>
      </c>
      <c r="Z1633" s="2" t="str">
        <f>Auto_Sales_data___Copy[[#This Row],[R-Score(1-5)]]&amp;Auto_Sales_data___Copy[[#This Row],[F-Score(1-5)]]&amp;Auto_Sales_data___Copy[[#This Row],[M-Score(1-5)]]</f>
        <v>311</v>
      </c>
      <c r="AA1633" s="2" t="str" cm="1">
        <f t="array" ref="AA16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3" s="2" t="str">
        <f>VLOOKUP(Auto_Sales_data___Copy[[#This Row],[Segment Name]],Table3[],2,FALSE)</f>
        <v>Re-Activation &amp; Re-Engagement</v>
      </c>
    </row>
    <row r="1634" spans="1:28" x14ac:dyDescent="0.25">
      <c r="A1634">
        <v>10215</v>
      </c>
      <c r="B1634">
        <v>41</v>
      </c>
      <c r="C1634">
        <v>111.12</v>
      </c>
      <c r="D1634">
        <v>8</v>
      </c>
      <c r="E1634">
        <v>4555.92</v>
      </c>
      <c r="F1634" s="1">
        <v>43494</v>
      </c>
      <c r="G1634" s="2" t="s">
        <v>19</v>
      </c>
      <c r="H1634" s="2" t="s">
        <v>589</v>
      </c>
      <c r="I1634">
        <v>99</v>
      </c>
      <c r="J1634" s="2" t="s">
        <v>653</v>
      </c>
      <c r="K1634" s="2" t="s">
        <v>239</v>
      </c>
      <c r="L1634" s="2" t="s">
        <v>240</v>
      </c>
      <c r="M1634" s="2" t="s">
        <v>241</v>
      </c>
      <c r="N1634" s="2" t="s">
        <v>242</v>
      </c>
      <c r="O1634" s="2" t="s">
        <v>99</v>
      </c>
      <c r="P1634" s="2" t="s">
        <v>27</v>
      </c>
      <c r="Q1634" s="2" t="s">
        <v>243</v>
      </c>
      <c r="R1634" s="2" t="s">
        <v>244</v>
      </c>
      <c r="S1634" s="2" t="s">
        <v>46</v>
      </c>
      <c r="T1634">
        <v>1569</v>
      </c>
      <c r="U1634">
        <f>VLOOKUP(Auto_Sales_data___Copy[[#This Row],[CUSTOMER_NAME]],$AF$2:$AH$90,2,FALSE)</f>
        <v>13</v>
      </c>
      <c r="V1634">
        <f>VLOOKUP(Auto_Sales_data___Copy[[#This Row],[CUSTOMER_NAME]],$AF$2:$AH$90,3,FALSE)</f>
        <v>46084.639999999999</v>
      </c>
      <c r="W1634" s="2">
        <f>6-MATCH(Auto_Sales_data___Copy[[#This Row],[DAYS_SINCE_LAST_ORDER]],Table2[R-Cutoff],1)</f>
        <v>3</v>
      </c>
      <c r="X1634" s="2">
        <f>MATCH(Auto_Sales_data___Copy[[#This Row],[Total_Orders_Per_Customer]],Table2[F-Cutoff],1)</f>
        <v>1</v>
      </c>
      <c r="Y1634" s="2">
        <f>MATCH(Auto_Sales_data___Copy[[#This Row],[Total_Sales_Per_Customer]],Table2[M-Cutoff],1)</f>
        <v>1</v>
      </c>
      <c r="Z1634" s="2" t="str">
        <f>Auto_Sales_data___Copy[[#This Row],[R-Score(1-5)]]&amp;Auto_Sales_data___Copy[[#This Row],[F-Score(1-5)]]&amp;Auto_Sales_data___Copy[[#This Row],[M-Score(1-5)]]</f>
        <v>311</v>
      </c>
      <c r="AA1634" s="2" t="str" cm="1">
        <f t="array" ref="AA16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4" s="2" t="str">
        <f>VLOOKUP(Auto_Sales_data___Copy[[#This Row],[Segment Name]],Table3[],2,FALSE)</f>
        <v>Re-Activation &amp; Re-Engagement</v>
      </c>
    </row>
    <row r="1635" spans="1:28" x14ac:dyDescent="0.25">
      <c r="A1635">
        <v>10215</v>
      </c>
      <c r="B1635">
        <v>46</v>
      </c>
      <c r="C1635">
        <v>45.28</v>
      </c>
      <c r="D1635">
        <v>1</v>
      </c>
      <c r="E1635">
        <v>2082.88</v>
      </c>
      <c r="F1635" s="1">
        <v>43494</v>
      </c>
      <c r="G1635" s="2" t="s">
        <v>19</v>
      </c>
      <c r="H1635" s="2" t="s">
        <v>589</v>
      </c>
      <c r="I1635">
        <v>50</v>
      </c>
      <c r="J1635" s="2" t="s">
        <v>662</v>
      </c>
      <c r="K1635" s="2" t="s">
        <v>239</v>
      </c>
      <c r="L1635" s="2" t="s">
        <v>240</v>
      </c>
      <c r="M1635" s="2" t="s">
        <v>241</v>
      </c>
      <c r="N1635" s="2" t="s">
        <v>242</v>
      </c>
      <c r="O1635" s="2" t="s">
        <v>99</v>
      </c>
      <c r="P1635" s="2" t="s">
        <v>27</v>
      </c>
      <c r="Q1635" s="2" t="s">
        <v>243</v>
      </c>
      <c r="R1635" s="2" t="s">
        <v>244</v>
      </c>
      <c r="S1635" s="2" t="s">
        <v>30</v>
      </c>
      <c r="T1635">
        <v>1792</v>
      </c>
      <c r="U1635">
        <f>VLOOKUP(Auto_Sales_data___Copy[[#This Row],[CUSTOMER_NAME]],$AF$2:$AH$90,2,FALSE)</f>
        <v>13</v>
      </c>
      <c r="V1635">
        <f>VLOOKUP(Auto_Sales_data___Copy[[#This Row],[CUSTOMER_NAME]],$AF$2:$AH$90,3,FALSE)</f>
        <v>46084.639999999999</v>
      </c>
      <c r="W1635" s="2">
        <f>6-MATCH(Auto_Sales_data___Copy[[#This Row],[DAYS_SINCE_LAST_ORDER]],Table2[R-Cutoff],1)</f>
        <v>3</v>
      </c>
      <c r="X1635" s="2">
        <f>MATCH(Auto_Sales_data___Copy[[#This Row],[Total_Orders_Per_Customer]],Table2[F-Cutoff],1)</f>
        <v>1</v>
      </c>
      <c r="Y1635" s="2">
        <f>MATCH(Auto_Sales_data___Copy[[#This Row],[Total_Sales_Per_Customer]],Table2[M-Cutoff],1)</f>
        <v>1</v>
      </c>
      <c r="Z1635" s="2" t="str">
        <f>Auto_Sales_data___Copy[[#This Row],[R-Score(1-5)]]&amp;Auto_Sales_data___Copy[[#This Row],[F-Score(1-5)]]&amp;Auto_Sales_data___Copy[[#This Row],[M-Score(1-5)]]</f>
        <v>311</v>
      </c>
      <c r="AA1635" s="2" t="str" cm="1">
        <f t="array" ref="AA16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5" s="2" t="str">
        <f>VLOOKUP(Auto_Sales_data___Copy[[#This Row],[Segment Name]],Table3[],2,FALSE)</f>
        <v>Re-Activation &amp; Re-Engagement</v>
      </c>
    </row>
    <row r="1636" spans="1:28" x14ac:dyDescent="0.25">
      <c r="A1636">
        <v>10220</v>
      </c>
      <c r="B1636">
        <v>50</v>
      </c>
      <c r="C1636">
        <v>165.16</v>
      </c>
      <c r="D1636">
        <v>5</v>
      </c>
      <c r="E1636">
        <v>8258</v>
      </c>
      <c r="F1636" s="1">
        <v>43508</v>
      </c>
      <c r="G1636" s="2" t="s">
        <v>19</v>
      </c>
      <c r="H1636" s="2" t="s">
        <v>183</v>
      </c>
      <c r="I1636">
        <v>143</v>
      </c>
      <c r="J1636" s="2" t="s">
        <v>658</v>
      </c>
      <c r="K1636" s="2" t="s">
        <v>510</v>
      </c>
      <c r="L1636" s="2" t="s">
        <v>511</v>
      </c>
      <c r="M1636" s="2" t="s">
        <v>512</v>
      </c>
      <c r="N1636" s="2" t="s">
        <v>513</v>
      </c>
      <c r="O1636" s="2" t="s">
        <v>514</v>
      </c>
      <c r="P1636" s="2" t="s">
        <v>515</v>
      </c>
      <c r="Q1636" s="2" t="s">
        <v>516</v>
      </c>
      <c r="R1636" s="2" t="s">
        <v>517</v>
      </c>
      <c r="S1636" s="2" t="s">
        <v>151</v>
      </c>
      <c r="T1636">
        <v>1678</v>
      </c>
      <c r="U1636">
        <f>VLOOKUP(Auto_Sales_data___Copy[[#This Row],[CUSTOMER_NAME]],$AF$2:$AH$90,2,FALSE)</f>
        <v>16</v>
      </c>
      <c r="V1636">
        <f>VLOOKUP(Auto_Sales_data___Copy[[#This Row],[CUSTOMER_NAME]],$AF$2:$AH$90,3,FALSE)</f>
        <v>57756.43</v>
      </c>
      <c r="W1636" s="2">
        <f>6-MATCH(Auto_Sales_data___Copy[[#This Row],[DAYS_SINCE_LAST_ORDER]],Table2[R-Cutoff],1)</f>
        <v>3</v>
      </c>
      <c r="X1636" s="2">
        <f>MATCH(Auto_Sales_data___Copy[[#This Row],[Total_Orders_Per_Customer]],Table2[F-Cutoff],1)</f>
        <v>1</v>
      </c>
      <c r="Y1636" s="2">
        <f>MATCH(Auto_Sales_data___Copy[[#This Row],[Total_Sales_Per_Customer]],Table2[M-Cutoff],1)</f>
        <v>1</v>
      </c>
      <c r="Z1636" s="2" t="str">
        <f>Auto_Sales_data___Copy[[#This Row],[R-Score(1-5)]]&amp;Auto_Sales_data___Copy[[#This Row],[F-Score(1-5)]]&amp;Auto_Sales_data___Copy[[#This Row],[M-Score(1-5)]]</f>
        <v>311</v>
      </c>
      <c r="AA1636" s="2" t="str" cm="1">
        <f t="array" ref="AA16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6" s="2" t="str">
        <f>VLOOKUP(Auto_Sales_data___Copy[[#This Row],[Segment Name]],Table3[],2,FALSE)</f>
        <v>Re-Activation &amp; Re-Engagement</v>
      </c>
    </row>
    <row r="1637" spans="1:28" x14ac:dyDescent="0.25">
      <c r="A1637">
        <v>10220</v>
      </c>
      <c r="B1637">
        <v>26</v>
      </c>
      <c r="C1637">
        <v>56.07</v>
      </c>
      <c r="D1637">
        <v>8</v>
      </c>
      <c r="E1637">
        <v>1457.82</v>
      </c>
      <c r="F1637" s="1">
        <v>43508</v>
      </c>
      <c r="G1637" s="2" t="s">
        <v>19</v>
      </c>
      <c r="H1637" s="2" t="s">
        <v>183</v>
      </c>
      <c r="I1637">
        <v>57</v>
      </c>
      <c r="J1637" s="2" t="s">
        <v>666</v>
      </c>
      <c r="K1637" s="2" t="s">
        <v>510</v>
      </c>
      <c r="L1637" s="2" t="s">
        <v>511</v>
      </c>
      <c r="M1637" s="2" t="s">
        <v>512</v>
      </c>
      <c r="N1637" s="2" t="s">
        <v>513</v>
      </c>
      <c r="O1637" s="2" t="s">
        <v>514</v>
      </c>
      <c r="P1637" s="2" t="s">
        <v>515</v>
      </c>
      <c r="Q1637" s="2" t="s">
        <v>516</v>
      </c>
      <c r="R1637" s="2" t="s">
        <v>517</v>
      </c>
      <c r="S1637" s="2" t="s">
        <v>30</v>
      </c>
      <c r="T1637">
        <v>1872</v>
      </c>
      <c r="U1637">
        <f>VLOOKUP(Auto_Sales_data___Copy[[#This Row],[CUSTOMER_NAME]],$AF$2:$AH$90,2,FALSE)</f>
        <v>16</v>
      </c>
      <c r="V1637">
        <f>VLOOKUP(Auto_Sales_data___Copy[[#This Row],[CUSTOMER_NAME]],$AF$2:$AH$90,3,FALSE)</f>
        <v>57756.43</v>
      </c>
      <c r="W1637" s="2">
        <f>6-MATCH(Auto_Sales_data___Copy[[#This Row],[DAYS_SINCE_LAST_ORDER]],Table2[R-Cutoff],1)</f>
        <v>3</v>
      </c>
      <c r="X1637" s="2">
        <f>MATCH(Auto_Sales_data___Copy[[#This Row],[Total_Orders_Per_Customer]],Table2[F-Cutoff],1)</f>
        <v>1</v>
      </c>
      <c r="Y1637" s="2">
        <f>MATCH(Auto_Sales_data___Copy[[#This Row],[Total_Sales_Per_Customer]],Table2[M-Cutoff],1)</f>
        <v>1</v>
      </c>
      <c r="Z1637" s="2" t="str">
        <f>Auto_Sales_data___Copy[[#This Row],[R-Score(1-5)]]&amp;Auto_Sales_data___Copy[[#This Row],[F-Score(1-5)]]&amp;Auto_Sales_data___Copy[[#This Row],[M-Score(1-5)]]</f>
        <v>311</v>
      </c>
      <c r="AA1637" s="2" t="str" cm="1">
        <f t="array" ref="AA16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7" s="2" t="str">
        <f>VLOOKUP(Auto_Sales_data___Copy[[#This Row],[Segment Name]],Table3[],2,FALSE)</f>
        <v>Re-Activation &amp; Re-Engagement</v>
      </c>
    </row>
    <row r="1638" spans="1:28" x14ac:dyDescent="0.25">
      <c r="A1638">
        <v>10249</v>
      </c>
      <c r="B1638">
        <v>46</v>
      </c>
      <c r="C1638">
        <v>121.75</v>
      </c>
      <c r="D1638">
        <v>5</v>
      </c>
      <c r="E1638">
        <v>5600.5</v>
      </c>
      <c r="F1638" s="1">
        <v>43593</v>
      </c>
      <c r="G1638" s="2" t="s">
        <v>19</v>
      </c>
      <c r="H1638" s="2" t="s">
        <v>589</v>
      </c>
      <c r="I1638">
        <v>105</v>
      </c>
      <c r="J1638" s="2" t="s">
        <v>657</v>
      </c>
      <c r="K1638" s="2" t="s">
        <v>245</v>
      </c>
      <c r="L1638" s="2" t="s">
        <v>246</v>
      </c>
      <c r="M1638" s="2" t="s">
        <v>247</v>
      </c>
      <c r="N1638" s="2" t="s">
        <v>118</v>
      </c>
      <c r="O1638" s="2" t="s">
        <v>119</v>
      </c>
      <c r="P1638" s="2" t="s">
        <v>27</v>
      </c>
      <c r="Q1638" s="2" t="s">
        <v>248</v>
      </c>
      <c r="R1638" s="2" t="s">
        <v>142</v>
      </c>
      <c r="S1638" s="2" t="s">
        <v>46</v>
      </c>
      <c r="T1638">
        <v>1568</v>
      </c>
      <c r="U1638">
        <f>VLOOKUP(Auto_Sales_data___Copy[[#This Row],[CUSTOMER_NAME]],$AF$2:$AH$90,2,FALSE)</f>
        <v>11</v>
      </c>
      <c r="V1638">
        <f>VLOOKUP(Auto_Sales_data___Copy[[#This Row],[CUSTOMER_NAME]],$AF$2:$AH$90,3,FALSE)</f>
        <v>36163.619999999995</v>
      </c>
      <c r="W1638" s="2">
        <f>6-MATCH(Auto_Sales_data___Copy[[#This Row],[DAYS_SINCE_LAST_ORDER]],Table2[R-Cutoff],1)</f>
        <v>3</v>
      </c>
      <c r="X1638" s="2">
        <f>MATCH(Auto_Sales_data___Copy[[#This Row],[Total_Orders_Per_Customer]],Table2[F-Cutoff],1)</f>
        <v>1</v>
      </c>
      <c r="Y1638" s="2">
        <f>MATCH(Auto_Sales_data___Copy[[#This Row],[Total_Sales_Per_Customer]],Table2[M-Cutoff],1)</f>
        <v>1</v>
      </c>
      <c r="Z1638" s="2" t="str">
        <f>Auto_Sales_data___Copy[[#This Row],[R-Score(1-5)]]&amp;Auto_Sales_data___Copy[[#This Row],[F-Score(1-5)]]&amp;Auto_Sales_data___Copy[[#This Row],[M-Score(1-5)]]</f>
        <v>311</v>
      </c>
      <c r="AA1638" s="2" t="str" cm="1">
        <f t="array" ref="AA16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8" s="2" t="str">
        <f>VLOOKUP(Auto_Sales_data___Copy[[#This Row],[Segment Name]],Table3[],2,FALSE)</f>
        <v>Re-Activation &amp; Re-Engagement</v>
      </c>
    </row>
    <row r="1639" spans="1:28" x14ac:dyDescent="0.25">
      <c r="A1639">
        <v>10276</v>
      </c>
      <c r="B1639">
        <v>48</v>
      </c>
      <c r="C1639">
        <v>119.04</v>
      </c>
      <c r="D1639">
        <v>8</v>
      </c>
      <c r="E1639">
        <v>5713.92</v>
      </c>
      <c r="F1639" s="1">
        <v>43679</v>
      </c>
      <c r="G1639" s="2" t="s">
        <v>19</v>
      </c>
      <c r="H1639" s="2" t="s">
        <v>183</v>
      </c>
      <c r="I1639">
        <v>148</v>
      </c>
      <c r="J1639" s="2" t="s">
        <v>663</v>
      </c>
      <c r="K1639" s="2" t="s">
        <v>487</v>
      </c>
      <c r="L1639" s="2" t="s">
        <v>488</v>
      </c>
      <c r="M1639" s="2" t="s">
        <v>489</v>
      </c>
      <c r="N1639" s="2" t="s">
        <v>297</v>
      </c>
      <c r="O1639" s="2" t="s">
        <v>298</v>
      </c>
      <c r="P1639" s="2" t="s">
        <v>27</v>
      </c>
      <c r="Q1639" s="2" t="s">
        <v>490</v>
      </c>
      <c r="R1639" s="2" t="s">
        <v>491</v>
      </c>
      <c r="S1639" s="2" t="s">
        <v>46</v>
      </c>
      <c r="T1639">
        <v>1635</v>
      </c>
      <c r="U1639">
        <f>VLOOKUP(Auto_Sales_data___Copy[[#This Row],[CUSTOMER_NAME]],$AF$2:$AH$90,2,FALSE)</f>
        <v>15</v>
      </c>
      <c r="V1639">
        <f>VLOOKUP(Auto_Sales_data___Copy[[#This Row],[CUSTOMER_NAME]],$AF$2:$AH$90,3,FALSE)</f>
        <v>57197.959999999992</v>
      </c>
      <c r="W1639" s="2">
        <f>6-MATCH(Auto_Sales_data___Copy[[#This Row],[DAYS_SINCE_LAST_ORDER]],Table2[R-Cutoff],1)</f>
        <v>3</v>
      </c>
      <c r="X1639" s="2">
        <f>MATCH(Auto_Sales_data___Copy[[#This Row],[Total_Orders_Per_Customer]],Table2[F-Cutoff],1)</f>
        <v>1</v>
      </c>
      <c r="Y1639" s="2">
        <f>MATCH(Auto_Sales_data___Copy[[#This Row],[Total_Sales_Per_Customer]],Table2[M-Cutoff],1)</f>
        <v>1</v>
      </c>
      <c r="Z1639" s="2" t="str">
        <f>Auto_Sales_data___Copy[[#This Row],[R-Score(1-5)]]&amp;Auto_Sales_data___Copy[[#This Row],[F-Score(1-5)]]&amp;Auto_Sales_data___Copy[[#This Row],[M-Score(1-5)]]</f>
        <v>311</v>
      </c>
      <c r="AA1639" s="2" t="str" cm="1">
        <f t="array" ref="AA16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9" s="2" t="str">
        <f>VLOOKUP(Auto_Sales_data___Copy[[#This Row],[Segment Name]],Table3[],2,FALSE)</f>
        <v>Re-Activation &amp; Re-Engagement</v>
      </c>
    </row>
    <row r="1640" spans="1:28" x14ac:dyDescent="0.25">
      <c r="A1640">
        <v>10276</v>
      </c>
      <c r="B1640">
        <v>46</v>
      </c>
      <c r="C1640">
        <v>75.489999999999995</v>
      </c>
      <c r="D1640">
        <v>12</v>
      </c>
      <c r="E1640">
        <v>3472.54</v>
      </c>
      <c r="F1640" s="1">
        <v>43679</v>
      </c>
      <c r="G1640" s="2" t="s">
        <v>19</v>
      </c>
      <c r="H1640" s="2" t="s">
        <v>20</v>
      </c>
      <c r="I1640">
        <v>69</v>
      </c>
      <c r="J1640" s="2" t="s">
        <v>675</v>
      </c>
      <c r="K1640" s="2" t="s">
        <v>487</v>
      </c>
      <c r="L1640" s="2" t="s">
        <v>488</v>
      </c>
      <c r="M1640" s="2" t="s">
        <v>489</v>
      </c>
      <c r="N1640" s="2" t="s">
        <v>297</v>
      </c>
      <c r="O1640" s="2" t="s">
        <v>298</v>
      </c>
      <c r="P1640" s="2" t="s">
        <v>27</v>
      </c>
      <c r="Q1640" s="2" t="s">
        <v>490</v>
      </c>
      <c r="R1640" s="2" t="s">
        <v>491</v>
      </c>
      <c r="S1640" s="2" t="s">
        <v>46</v>
      </c>
      <c r="T1640">
        <v>1927</v>
      </c>
      <c r="U1640">
        <f>VLOOKUP(Auto_Sales_data___Copy[[#This Row],[CUSTOMER_NAME]],$AF$2:$AH$90,2,FALSE)</f>
        <v>15</v>
      </c>
      <c r="V1640">
        <f>VLOOKUP(Auto_Sales_data___Copy[[#This Row],[CUSTOMER_NAME]],$AF$2:$AH$90,3,FALSE)</f>
        <v>57197.959999999992</v>
      </c>
      <c r="W1640" s="2">
        <f>6-MATCH(Auto_Sales_data___Copy[[#This Row],[DAYS_SINCE_LAST_ORDER]],Table2[R-Cutoff],1)</f>
        <v>3</v>
      </c>
      <c r="X1640" s="2">
        <f>MATCH(Auto_Sales_data___Copy[[#This Row],[Total_Orders_Per_Customer]],Table2[F-Cutoff],1)</f>
        <v>1</v>
      </c>
      <c r="Y1640" s="2">
        <f>MATCH(Auto_Sales_data___Copy[[#This Row],[Total_Sales_Per_Customer]],Table2[M-Cutoff],1)</f>
        <v>1</v>
      </c>
      <c r="Z1640" s="2" t="str">
        <f>Auto_Sales_data___Copy[[#This Row],[R-Score(1-5)]]&amp;Auto_Sales_data___Copy[[#This Row],[F-Score(1-5)]]&amp;Auto_Sales_data___Copy[[#This Row],[M-Score(1-5)]]</f>
        <v>311</v>
      </c>
      <c r="AA1640" s="2" t="str" cm="1">
        <f t="array" ref="AA16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0" s="2" t="str">
        <f>VLOOKUP(Auto_Sales_data___Copy[[#This Row],[Segment Name]],Table3[],2,FALSE)</f>
        <v>Re-Activation &amp; Re-Engagement</v>
      </c>
    </row>
    <row r="1641" spans="1:28" x14ac:dyDescent="0.25">
      <c r="A1641">
        <v>10296</v>
      </c>
      <c r="B1641">
        <v>21</v>
      </c>
      <c r="C1641">
        <v>71.25</v>
      </c>
      <c r="D1641">
        <v>8</v>
      </c>
      <c r="E1641">
        <v>1496.25</v>
      </c>
      <c r="F1641" s="1">
        <v>43723</v>
      </c>
      <c r="G1641" s="2" t="s">
        <v>19</v>
      </c>
      <c r="H1641" s="2" t="s">
        <v>607</v>
      </c>
      <c r="I1641">
        <v>68</v>
      </c>
      <c r="J1641" s="2" t="s">
        <v>678</v>
      </c>
      <c r="K1641" s="2" t="s">
        <v>615</v>
      </c>
      <c r="L1641" s="2" t="s">
        <v>616</v>
      </c>
      <c r="M1641" s="2" t="s">
        <v>617</v>
      </c>
      <c r="N1641" s="2" t="s">
        <v>618</v>
      </c>
      <c r="O1641" s="2" t="s">
        <v>619</v>
      </c>
      <c r="P1641" s="2" t="s">
        <v>470</v>
      </c>
      <c r="Q1641" s="2" t="s">
        <v>620</v>
      </c>
      <c r="R1641" s="2" t="s">
        <v>94</v>
      </c>
      <c r="S1641" s="2" t="s">
        <v>30</v>
      </c>
      <c r="T1641">
        <v>1960</v>
      </c>
      <c r="U1641">
        <f>VLOOKUP(Auto_Sales_data___Copy[[#This Row],[CUSTOMER_NAME]],$AF$2:$AH$90,2,FALSE)</f>
        <v>14</v>
      </c>
      <c r="V1641">
        <f>VLOOKUP(Auto_Sales_data___Copy[[#This Row],[CUSTOMER_NAME]],$AF$2:$AH$90,3,FALSE)</f>
        <v>34993.919999999998</v>
      </c>
      <c r="W1641" s="2">
        <f>6-MATCH(Auto_Sales_data___Copy[[#This Row],[DAYS_SINCE_LAST_ORDER]],Table2[R-Cutoff],1)</f>
        <v>3</v>
      </c>
      <c r="X1641" s="2">
        <f>MATCH(Auto_Sales_data___Copy[[#This Row],[Total_Orders_Per_Customer]],Table2[F-Cutoff],1)</f>
        <v>1</v>
      </c>
      <c r="Y1641" s="2">
        <f>MATCH(Auto_Sales_data___Copy[[#This Row],[Total_Sales_Per_Customer]],Table2[M-Cutoff],1)</f>
        <v>1</v>
      </c>
      <c r="Z1641" s="2" t="str">
        <f>Auto_Sales_data___Copy[[#This Row],[R-Score(1-5)]]&amp;Auto_Sales_data___Copy[[#This Row],[F-Score(1-5)]]&amp;Auto_Sales_data___Copy[[#This Row],[M-Score(1-5)]]</f>
        <v>311</v>
      </c>
      <c r="AA1641" s="2" t="str" cm="1">
        <f t="array" ref="AA16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1" s="2" t="str">
        <f>VLOOKUP(Auto_Sales_data___Copy[[#This Row],[Segment Name]],Table3[],2,FALSE)</f>
        <v>Re-Activation &amp; Re-Engagement</v>
      </c>
    </row>
    <row r="1642" spans="1:28" x14ac:dyDescent="0.25">
      <c r="A1642">
        <v>10297</v>
      </c>
      <c r="B1642">
        <v>32</v>
      </c>
      <c r="C1642">
        <v>126.93</v>
      </c>
      <c r="D1642">
        <v>6</v>
      </c>
      <c r="E1642">
        <v>4061.76</v>
      </c>
      <c r="F1642" s="1">
        <v>43724</v>
      </c>
      <c r="G1642" s="2" t="s">
        <v>19</v>
      </c>
      <c r="H1642" s="2" t="s">
        <v>607</v>
      </c>
      <c r="I1642">
        <v>109</v>
      </c>
      <c r="J1642" s="2" t="s">
        <v>669</v>
      </c>
      <c r="K1642" s="2" t="s">
        <v>510</v>
      </c>
      <c r="L1642" s="2" t="s">
        <v>511</v>
      </c>
      <c r="M1642" s="2" t="s">
        <v>512</v>
      </c>
      <c r="N1642" s="2" t="s">
        <v>513</v>
      </c>
      <c r="O1642" s="2" t="s">
        <v>514</v>
      </c>
      <c r="P1642" s="2" t="s">
        <v>515</v>
      </c>
      <c r="Q1642" s="2" t="s">
        <v>516</v>
      </c>
      <c r="R1642" s="2" t="s">
        <v>517</v>
      </c>
      <c r="S1642" s="2" t="s">
        <v>46</v>
      </c>
      <c r="T1642">
        <v>1734</v>
      </c>
      <c r="U1642">
        <f>VLOOKUP(Auto_Sales_data___Copy[[#This Row],[CUSTOMER_NAME]],$AF$2:$AH$90,2,FALSE)</f>
        <v>16</v>
      </c>
      <c r="V1642">
        <f>VLOOKUP(Auto_Sales_data___Copy[[#This Row],[CUSTOMER_NAME]],$AF$2:$AH$90,3,FALSE)</f>
        <v>57756.43</v>
      </c>
      <c r="W1642" s="2">
        <f>6-MATCH(Auto_Sales_data___Copy[[#This Row],[DAYS_SINCE_LAST_ORDER]],Table2[R-Cutoff],1)</f>
        <v>3</v>
      </c>
      <c r="X1642" s="2">
        <f>MATCH(Auto_Sales_data___Copy[[#This Row],[Total_Orders_Per_Customer]],Table2[F-Cutoff],1)</f>
        <v>1</v>
      </c>
      <c r="Y1642" s="2">
        <f>MATCH(Auto_Sales_data___Copy[[#This Row],[Total_Sales_Per_Customer]],Table2[M-Cutoff],1)</f>
        <v>1</v>
      </c>
      <c r="Z1642" s="2" t="str">
        <f>Auto_Sales_data___Copy[[#This Row],[R-Score(1-5)]]&amp;Auto_Sales_data___Copy[[#This Row],[F-Score(1-5)]]&amp;Auto_Sales_data___Copy[[#This Row],[M-Score(1-5)]]</f>
        <v>311</v>
      </c>
      <c r="AA1642" s="2" t="str" cm="1">
        <f t="array" ref="AA16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2" s="2" t="str">
        <f>VLOOKUP(Auto_Sales_data___Copy[[#This Row],[Segment Name]],Table3[],2,FALSE)</f>
        <v>Re-Activation &amp; Re-Engagement</v>
      </c>
    </row>
    <row r="1643" spans="1:28" x14ac:dyDescent="0.25">
      <c r="A1643">
        <v>10297</v>
      </c>
      <c r="B1643">
        <v>32</v>
      </c>
      <c r="C1643">
        <v>65.510000000000005</v>
      </c>
      <c r="D1643">
        <v>1</v>
      </c>
      <c r="E1643">
        <v>2096.3200000000002</v>
      </c>
      <c r="F1643" s="1">
        <v>43724</v>
      </c>
      <c r="G1643" s="2" t="s">
        <v>19</v>
      </c>
      <c r="H1643" s="2" t="s">
        <v>20</v>
      </c>
      <c r="I1643">
        <v>76</v>
      </c>
      <c r="J1643" s="2" t="s">
        <v>671</v>
      </c>
      <c r="K1643" s="2" t="s">
        <v>510</v>
      </c>
      <c r="L1643" s="2" t="s">
        <v>511</v>
      </c>
      <c r="M1643" s="2" t="s">
        <v>512</v>
      </c>
      <c r="N1643" s="2" t="s">
        <v>513</v>
      </c>
      <c r="O1643" s="2" t="s">
        <v>514</v>
      </c>
      <c r="P1643" s="2" t="s">
        <v>515</v>
      </c>
      <c r="Q1643" s="2" t="s">
        <v>516</v>
      </c>
      <c r="R1643" s="2" t="s">
        <v>517</v>
      </c>
      <c r="S1643" s="2" t="s">
        <v>30</v>
      </c>
      <c r="T1643">
        <v>1784</v>
      </c>
      <c r="U1643">
        <f>VLOOKUP(Auto_Sales_data___Copy[[#This Row],[CUSTOMER_NAME]],$AF$2:$AH$90,2,FALSE)</f>
        <v>16</v>
      </c>
      <c r="V1643">
        <f>VLOOKUP(Auto_Sales_data___Copy[[#This Row],[CUSTOMER_NAME]],$AF$2:$AH$90,3,FALSE)</f>
        <v>57756.43</v>
      </c>
      <c r="W1643" s="2">
        <f>6-MATCH(Auto_Sales_data___Copy[[#This Row],[DAYS_SINCE_LAST_ORDER]],Table2[R-Cutoff],1)</f>
        <v>3</v>
      </c>
      <c r="X1643" s="2">
        <f>MATCH(Auto_Sales_data___Copy[[#This Row],[Total_Orders_Per_Customer]],Table2[F-Cutoff],1)</f>
        <v>1</v>
      </c>
      <c r="Y1643" s="2">
        <f>MATCH(Auto_Sales_data___Copy[[#This Row],[Total_Sales_Per_Customer]],Table2[M-Cutoff],1)</f>
        <v>1</v>
      </c>
      <c r="Z1643" s="2" t="str">
        <f>Auto_Sales_data___Copy[[#This Row],[R-Score(1-5)]]&amp;Auto_Sales_data___Copy[[#This Row],[F-Score(1-5)]]&amp;Auto_Sales_data___Copy[[#This Row],[M-Score(1-5)]]</f>
        <v>311</v>
      </c>
      <c r="AA1643" s="2" t="str" cm="1">
        <f t="array" ref="AA16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3" s="2" t="str">
        <f>VLOOKUP(Auto_Sales_data___Copy[[#This Row],[Segment Name]],Table3[],2,FALSE)</f>
        <v>Re-Activation &amp; Re-Engagement</v>
      </c>
    </row>
    <row r="1644" spans="1:28" x14ac:dyDescent="0.25">
      <c r="A1644">
        <v>10319</v>
      </c>
      <c r="B1644">
        <v>45</v>
      </c>
      <c r="C1644">
        <v>175.58</v>
      </c>
      <c r="D1644">
        <v>3</v>
      </c>
      <c r="E1644">
        <v>7901.1</v>
      </c>
      <c r="F1644" s="1">
        <v>43772</v>
      </c>
      <c r="G1644" s="2" t="s">
        <v>19</v>
      </c>
      <c r="H1644" s="2" t="s">
        <v>183</v>
      </c>
      <c r="I1644">
        <v>148</v>
      </c>
      <c r="J1644" s="2" t="s">
        <v>663</v>
      </c>
      <c r="K1644" s="2" t="s">
        <v>540</v>
      </c>
      <c r="L1644" s="2" t="s">
        <v>541</v>
      </c>
      <c r="M1644" s="2" t="s">
        <v>542</v>
      </c>
      <c r="N1644" s="2" t="s">
        <v>25</v>
      </c>
      <c r="O1644" s="2" t="s">
        <v>26</v>
      </c>
      <c r="P1644" s="2" t="s">
        <v>27</v>
      </c>
      <c r="Q1644" s="2" t="s">
        <v>543</v>
      </c>
      <c r="R1644" s="2" t="s">
        <v>544</v>
      </c>
      <c r="S1644" s="2" t="s">
        <v>151</v>
      </c>
      <c r="T1644">
        <v>1546</v>
      </c>
      <c r="U1644">
        <f>VLOOKUP(Auto_Sales_data___Copy[[#This Row],[CUSTOMER_NAME]],$AF$2:$AH$90,2,FALSE)</f>
        <v>10</v>
      </c>
      <c r="V1644">
        <f>VLOOKUP(Auto_Sales_data___Copy[[#This Row],[CUSTOMER_NAME]],$AF$2:$AH$90,3,FALSE)</f>
        <v>33144.930000000008</v>
      </c>
      <c r="W1644" s="2">
        <f>6-MATCH(Auto_Sales_data___Copy[[#This Row],[DAYS_SINCE_LAST_ORDER]],Table2[R-Cutoff],1)</f>
        <v>3</v>
      </c>
      <c r="X1644" s="2">
        <f>MATCH(Auto_Sales_data___Copy[[#This Row],[Total_Orders_Per_Customer]],Table2[F-Cutoff],1)</f>
        <v>1</v>
      </c>
      <c r="Y1644" s="2">
        <f>MATCH(Auto_Sales_data___Copy[[#This Row],[Total_Sales_Per_Customer]],Table2[M-Cutoff],1)</f>
        <v>1</v>
      </c>
      <c r="Z1644" s="2" t="str">
        <f>Auto_Sales_data___Copy[[#This Row],[R-Score(1-5)]]&amp;Auto_Sales_data___Copy[[#This Row],[F-Score(1-5)]]&amp;Auto_Sales_data___Copy[[#This Row],[M-Score(1-5)]]</f>
        <v>311</v>
      </c>
      <c r="AA1644" s="2" t="str" cm="1">
        <f t="array" ref="AA16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4" s="2" t="str">
        <f>VLOOKUP(Auto_Sales_data___Copy[[#This Row],[Segment Name]],Table3[],2,FALSE)</f>
        <v>Re-Activation &amp; Re-Engagement</v>
      </c>
    </row>
    <row r="1645" spans="1:28" x14ac:dyDescent="0.25">
      <c r="A1645">
        <v>10319</v>
      </c>
      <c r="B1645">
        <v>31</v>
      </c>
      <c r="C1645">
        <v>81.73</v>
      </c>
      <c r="D1645">
        <v>7</v>
      </c>
      <c r="E1645">
        <v>2533.63</v>
      </c>
      <c r="F1645" s="1">
        <v>43772</v>
      </c>
      <c r="G1645" s="2" t="s">
        <v>19</v>
      </c>
      <c r="H1645" s="2" t="s">
        <v>20</v>
      </c>
      <c r="I1645">
        <v>69</v>
      </c>
      <c r="J1645" s="2" t="s">
        <v>675</v>
      </c>
      <c r="K1645" s="2" t="s">
        <v>540</v>
      </c>
      <c r="L1645" s="2" t="s">
        <v>541</v>
      </c>
      <c r="M1645" s="2" t="s">
        <v>542</v>
      </c>
      <c r="N1645" s="2" t="s">
        <v>25</v>
      </c>
      <c r="O1645" s="2" t="s">
        <v>26</v>
      </c>
      <c r="P1645" s="2" t="s">
        <v>27</v>
      </c>
      <c r="Q1645" s="2" t="s">
        <v>543</v>
      </c>
      <c r="R1645" s="2" t="s">
        <v>544</v>
      </c>
      <c r="S1645" s="2" t="s">
        <v>30</v>
      </c>
      <c r="T1645">
        <v>1838</v>
      </c>
      <c r="U1645">
        <f>VLOOKUP(Auto_Sales_data___Copy[[#This Row],[CUSTOMER_NAME]],$AF$2:$AH$90,2,FALSE)</f>
        <v>10</v>
      </c>
      <c r="V1645">
        <f>VLOOKUP(Auto_Sales_data___Copy[[#This Row],[CUSTOMER_NAME]],$AF$2:$AH$90,3,FALSE)</f>
        <v>33144.930000000008</v>
      </c>
      <c r="W1645" s="2">
        <f>6-MATCH(Auto_Sales_data___Copy[[#This Row],[DAYS_SINCE_LAST_ORDER]],Table2[R-Cutoff],1)</f>
        <v>3</v>
      </c>
      <c r="X1645" s="2">
        <f>MATCH(Auto_Sales_data___Copy[[#This Row],[Total_Orders_Per_Customer]],Table2[F-Cutoff],1)</f>
        <v>1</v>
      </c>
      <c r="Y1645" s="2">
        <f>MATCH(Auto_Sales_data___Copy[[#This Row],[Total_Sales_Per_Customer]],Table2[M-Cutoff],1)</f>
        <v>1</v>
      </c>
      <c r="Z1645" s="2" t="str">
        <f>Auto_Sales_data___Copy[[#This Row],[R-Score(1-5)]]&amp;Auto_Sales_data___Copy[[#This Row],[F-Score(1-5)]]&amp;Auto_Sales_data___Copy[[#This Row],[M-Score(1-5)]]</f>
        <v>311</v>
      </c>
      <c r="AA1645" s="2" t="str" cm="1">
        <f t="array" ref="AA16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5" s="2" t="str">
        <f>VLOOKUP(Auto_Sales_data___Copy[[#This Row],[Segment Name]],Table3[],2,FALSE)</f>
        <v>Re-Activation &amp; Re-Engagement</v>
      </c>
    </row>
    <row r="1646" spans="1:28" x14ac:dyDescent="0.25">
      <c r="A1646">
        <v>10345</v>
      </c>
      <c r="B1646">
        <v>43</v>
      </c>
      <c r="C1646">
        <v>53.76</v>
      </c>
      <c r="D1646">
        <v>1</v>
      </c>
      <c r="E1646">
        <v>2311.6799999999998</v>
      </c>
      <c r="F1646" s="1">
        <v>43794</v>
      </c>
      <c r="G1646" s="2" t="s">
        <v>19</v>
      </c>
      <c r="H1646" s="2" t="s">
        <v>589</v>
      </c>
      <c r="I1646">
        <v>44</v>
      </c>
      <c r="J1646" s="2" t="s">
        <v>673</v>
      </c>
      <c r="K1646" s="2" t="s">
        <v>327</v>
      </c>
      <c r="L1646" s="2" t="s">
        <v>328</v>
      </c>
      <c r="M1646" s="2" t="s">
        <v>329</v>
      </c>
      <c r="N1646" s="2" t="s">
        <v>111</v>
      </c>
      <c r="O1646" s="2" t="s">
        <v>112</v>
      </c>
      <c r="P1646" s="2" t="s">
        <v>36</v>
      </c>
      <c r="Q1646" s="2" t="s">
        <v>330</v>
      </c>
      <c r="R1646" s="2" t="s">
        <v>331</v>
      </c>
      <c r="S1646" s="2" t="s">
        <v>30</v>
      </c>
      <c r="T1646">
        <v>1767</v>
      </c>
      <c r="U1646">
        <f>VLOOKUP(Auto_Sales_data___Copy[[#This Row],[CUSTOMER_NAME]],$AF$2:$AH$90,2,FALSE)</f>
        <v>7</v>
      </c>
      <c r="V1646">
        <f>VLOOKUP(Auto_Sales_data___Copy[[#This Row],[CUSTOMER_NAME]],$AF$2:$AH$90,3,FALSE)</f>
        <v>24179.96</v>
      </c>
      <c r="W1646" s="2">
        <f>6-MATCH(Auto_Sales_data___Copy[[#This Row],[DAYS_SINCE_LAST_ORDER]],Table2[R-Cutoff],1)</f>
        <v>3</v>
      </c>
      <c r="X1646" s="2">
        <f>MATCH(Auto_Sales_data___Copy[[#This Row],[Total_Orders_Per_Customer]],Table2[F-Cutoff],1)</f>
        <v>1</v>
      </c>
      <c r="Y1646" s="2">
        <f>MATCH(Auto_Sales_data___Copy[[#This Row],[Total_Sales_Per_Customer]],Table2[M-Cutoff],1)</f>
        <v>1</v>
      </c>
      <c r="Z1646" s="2" t="str">
        <f>Auto_Sales_data___Copy[[#This Row],[R-Score(1-5)]]&amp;Auto_Sales_data___Copy[[#This Row],[F-Score(1-5)]]&amp;Auto_Sales_data___Copy[[#This Row],[M-Score(1-5)]]</f>
        <v>311</v>
      </c>
      <c r="AA1646" s="2" t="str" cm="1">
        <f t="array" ref="AA16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6" s="2" t="str">
        <f>VLOOKUP(Auto_Sales_data___Copy[[#This Row],[Segment Name]],Table3[],2,FALSE)</f>
        <v>Re-Activation &amp; Re-Engagement</v>
      </c>
    </row>
    <row r="1647" spans="1:28" x14ac:dyDescent="0.25">
      <c r="A1647">
        <v>10374</v>
      </c>
      <c r="B1647">
        <v>38</v>
      </c>
      <c r="C1647">
        <v>110.45</v>
      </c>
      <c r="D1647">
        <v>6</v>
      </c>
      <c r="E1647">
        <v>4197.1000000000004</v>
      </c>
      <c r="F1647" s="1">
        <v>43863</v>
      </c>
      <c r="G1647" s="2" t="s">
        <v>19</v>
      </c>
      <c r="H1647" s="2" t="s">
        <v>20</v>
      </c>
      <c r="I1647">
        <v>112</v>
      </c>
      <c r="J1647" s="2" t="s">
        <v>667</v>
      </c>
      <c r="K1647" s="2" t="s">
        <v>210</v>
      </c>
      <c r="L1647" s="2" t="s">
        <v>211</v>
      </c>
      <c r="M1647" s="2" t="s">
        <v>212</v>
      </c>
      <c r="N1647" s="2" t="s">
        <v>213</v>
      </c>
      <c r="O1647" s="2" t="s">
        <v>214</v>
      </c>
      <c r="P1647" s="2" t="s">
        <v>87</v>
      </c>
      <c r="Q1647" s="2" t="s">
        <v>215</v>
      </c>
      <c r="R1647" s="2" t="s">
        <v>216</v>
      </c>
      <c r="S1647" s="2" t="s">
        <v>46</v>
      </c>
      <c r="T1647">
        <v>1555</v>
      </c>
      <c r="U1647">
        <f>VLOOKUP(Auto_Sales_data___Copy[[#This Row],[CUSTOMER_NAME]],$AF$2:$AH$90,2,FALSE)</f>
        <v>15</v>
      </c>
      <c r="V1647">
        <f>VLOOKUP(Auto_Sales_data___Copy[[#This Row],[CUSTOMER_NAME]],$AF$2:$AH$90,3,FALSE)</f>
        <v>59469.120000000003</v>
      </c>
      <c r="W1647" s="2">
        <f>6-MATCH(Auto_Sales_data___Copy[[#This Row],[DAYS_SINCE_LAST_ORDER]],Table2[R-Cutoff],1)</f>
        <v>3</v>
      </c>
      <c r="X1647" s="2">
        <f>MATCH(Auto_Sales_data___Copy[[#This Row],[Total_Orders_Per_Customer]],Table2[F-Cutoff],1)</f>
        <v>1</v>
      </c>
      <c r="Y1647" s="2">
        <f>MATCH(Auto_Sales_data___Copy[[#This Row],[Total_Sales_Per_Customer]],Table2[M-Cutoff],1)</f>
        <v>1</v>
      </c>
      <c r="Z1647" s="2" t="str">
        <f>Auto_Sales_data___Copy[[#This Row],[R-Score(1-5)]]&amp;Auto_Sales_data___Copy[[#This Row],[F-Score(1-5)]]&amp;Auto_Sales_data___Copy[[#This Row],[M-Score(1-5)]]</f>
        <v>311</v>
      </c>
      <c r="AA1647" s="2" t="str" cm="1">
        <f t="array" ref="AA16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7" s="2" t="str">
        <f>VLOOKUP(Auto_Sales_data___Copy[[#This Row],[Segment Name]],Table3[],2,FALSE)</f>
        <v>Re-Activation &amp; Re-Engagement</v>
      </c>
    </row>
    <row r="1648" spans="1:28" x14ac:dyDescent="0.25">
      <c r="A1648">
        <v>10374</v>
      </c>
      <c r="B1648">
        <v>46</v>
      </c>
      <c r="C1648">
        <v>94.1</v>
      </c>
      <c r="D1648">
        <v>3</v>
      </c>
      <c r="E1648">
        <v>4328.6000000000004</v>
      </c>
      <c r="F1648" s="1">
        <v>43863</v>
      </c>
      <c r="G1648" s="2" t="s">
        <v>19</v>
      </c>
      <c r="H1648" s="2" t="s">
        <v>607</v>
      </c>
      <c r="I1648">
        <v>109</v>
      </c>
      <c r="J1648" s="2" t="s">
        <v>669</v>
      </c>
      <c r="K1648" s="2" t="s">
        <v>210</v>
      </c>
      <c r="L1648" s="2" t="s">
        <v>211</v>
      </c>
      <c r="M1648" s="2" t="s">
        <v>212</v>
      </c>
      <c r="N1648" s="2" t="s">
        <v>213</v>
      </c>
      <c r="O1648" s="2" t="s">
        <v>214</v>
      </c>
      <c r="P1648" s="2" t="s">
        <v>87</v>
      </c>
      <c r="Q1648" s="2" t="s">
        <v>215</v>
      </c>
      <c r="R1648" s="2" t="s">
        <v>216</v>
      </c>
      <c r="S1648" s="2" t="s">
        <v>46</v>
      </c>
      <c r="T1648">
        <v>1601</v>
      </c>
      <c r="U1648">
        <f>VLOOKUP(Auto_Sales_data___Copy[[#This Row],[CUSTOMER_NAME]],$AF$2:$AH$90,2,FALSE)</f>
        <v>15</v>
      </c>
      <c r="V1648">
        <f>VLOOKUP(Auto_Sales_data___Copy[[#This Row],[CUSTOMER_NAME]],$AF$2:$AH$90,3,FALSE)</f>
        <v>59469.120000000003</v>
      </c>
      <c r="W1648" s="2">
        <f>6-MATCH(Auto_Sales_data___Copy[[#This Row],[DAYS_SINCE_LAST_ORDER]],Table2[R-Cutoff],1)</f>
        <v>3</v>
      </c>
      <c r="X1648" s="2">
        <f>MATCH(Auto_Sales_data___Copy[[#This Row],[Total_Orders_Per_Customer]],Table2[F-Cutoff],1)</f>
        <v>1</v>
      </c>
      <c r="Y1648" s="2">
        <f>MATCH(Auto_Sales_data___Copy[[#This Row],[Total_Sales_Per_Customer]],Table2[M-Cutoff],1)</f>
        <v>1</v>
      </c>
      <c r="Z1648" s="2" t="str">
        <f>Auto_Sales_data___Copy[[#This Row],[R-Score(1-5)]]&amp;Auto_Sales_data___Copy[[#This Row],[F-Score(1-5)]]&amp;Auto_Sales_data___Copy[[#This Row],[M-Score(1-5)]]</f>
        <v>311</v>
      </c>
      <c r="AA1648" s="2" t="str" cm="1">
        <f t="array" ref="AA16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8" s="2" t="str">
        <f>VLOOKUP(Auto_Sales_data___Copy[[#This Row],[Segment Name]],Table3[],2,FALSE)</f>
        <v>Re-Activation &amp; Re-Engagement</v>
      </c>
    </row>
    <row r="1649" spans="1:28" x14ac:dyDescent="0.25">
      <c r="A1649">
        <v>10104</v>
      </c>
      <c r="B1649">
        <v>38</v>
      </c>
      <c r="C1649">
        <v>140.75</v>
      </c>
      <c r="D1649">
        <v>3</v>
      </c>
      <c r="E1649">
        <v>5348.5</v>
      </c>
      <c r="F1649" s="1">
        <v>43131</v>
      </c>
      <c r="G1649" s="2" t="s">
        <v>19</v>
      </c>
      <c r="H1649" s="2" t="s">
        <v>183</v>
      </c>
      <c r="I1649">
        <v>143</v>
      </c>
      <c r="J1649" s="2" t="s">
        <v>658</v>
      </c>
      <c r="K1649" s="2" t="s">
        <v>175</v>
      </c>
      <c r="L1649" s="2" t="s">
        <v>176</v>
      </c>
      <c r="M1649" s="2" t="s">
        <v>177</v>
      </c>
      <c r="N1649" s="2" t="s">
        <v>178</v>
      </c>
      <c r="O1649" s="2" t="s">
        <v>179</v>
      </c>
      <c r="P1649" s="2" t="s">
        <v>180</v>
      </c>
      <c r="Q1649" s="2" t="s">
        <v>181</v>
      </c>
      <c r="R1649" s="2" t="s">
        <v>182</v>
      </c>
      <c r="S1649" s="2" t="s">
        <v>46</v>
      </c>
      <c r="T1649">
        <v>2045</v>
      </c>
      <c r="U1649">
        <f>VLOOKUP(Auto_Sales_data___Copy[[#This Row],[CUSTOMER_NAME]],$AF$2:$AH$90,2,FALSE)</f>
        <v>259</v>
      </c>
      <c r="V1649">
        <f>VLOOKUP(Auto_Sales_data___Copy[[#This Row],[CUSTOMER_NAME]],$AF$2:$AH$90,3,FALSE)</f>
        <v>912294.1100000001</v>
      </c>
      <c r="W1649" s="2">
        <f>6-MATCH(Auto_Sales_data___Copy[[#This Row],[DAYS_SINCE_LAST_ORDER]],Table2[R-Cutoff],1)</f>
        <v>2</v>
      </c>
      <c r="X1649" s="2">
        <f>MATCH(Auto_Sales_data___Copy[[#This Row],[Total_Orders_Per_Customer]],Table2[F-Cutoff],1)</f>
        <v>5</v>
      </c>
      <c r="Y1649" s="2">
        <f>MATCH(Auto_Sales_data___Copy[[#This Row],[Total_Sales_Per_Customer]],Table2[M-Cutoff],1)</f>
        <v>5</v>
      </c>
      <c r="Z1649" s="2" t="str">
        <f>Auto_Sales_data___Copy[[#This Row],[R-Score(1-5)]]&amp;Auto_Sales_data___Copy[[#This Row],[F-Score(1-5)]]&amp;Auto_Sales_data___Copy[[#This Row],[M-Score(1-5)]]</f>
        <v>255</v>
      </c>
      <c r="AA1649" s="2" t="str" cm="1">
        <f t="array" ref="AA16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49" s="2" t="str">
        <f>VLOOKUP(Auto_Sales_data___Copy[[#This Row],[Segment Name]],Table3[],2,FALSE)</f>
        <v>High-Touch  Win-Back</v>
      </c>
    </row>
    <row r="1650" spans="1:28" x14ac:dyDescent="0.25">
      <c r="A1650">
        <v>10104</v>
      </c>
      <c r="B1650">
        <v>35</v>
      </c>
      <c r="C1650">
        <v>55.49</v>
      </c>
      <c r="D1650">
        <v>6</v>
      </c>
      <c r="E1650">
        <v>1942.15</v>
      </c>
      <c r="F1650" s="1">
        <v>43131</v>
      </c>
      <c r="G1650" s="2" t="s">
        <v>19</v>
      </c>
      <c r="H1650" s="2" t="s">
        <v>183</v>
      </c>
      <c r="I1650">
        <v>57</v>
      </c>
      <c r="J1650" s="2" t="s">
        <v>666</v>
      </c>
      <c r="K1650" s="2" t="s">
        <v>175</v>
      </c>
      <c r="L1650" s="2" t="s">
        <v>176</v>
      </c>
      <c r="M1650" s="2" t="s">
        <v>177</v>
      </c>
      <c r="N1650" s="2" t="s">
        <v>178</v>
      </c>
      <c r="O1650" s="2" t="s">
        <v>179</v>
      </c>
      <c r="P1650" s="2" t="s">
        <v>180</v>
      </c>
      <c r="Q1650" s="2" t="s">
        <v>181</v>
      </c>
      <c r="R1650" s="2" t="s">
        <v>182</v>
      </c>
      <c r="S1650" s="2" t="s">
        <v>30</v>
      </c>
      <c r="T1650">
        <v>2239</v>
      </c>
      <c r="U1650">
        <f>VLOOKUP(Auto_Sales_data___Copy[[#This Row],[CUSTOMER_NAME]],$AF$2:$AH$90,2,FALSE)</f>
        <v>259</v>
      </c>
      <c r="V1650">
        <f>VLOOKUP(Auto_Sales_data___Copy[[#This Row],[CUSTOMER_NAME]],$AF$2:$AH$90,3,FALSE)</f>
        <v>912294.1100000001</v>
      </c>
      <c r="W1650" s="2">
        <f>6-MATCH(Auto_Sales_data___Copy[[#This Row],[DAYS_SINCE_LAST_ORDER]],Table2[R-Cutoff],1)</f>
        <v>2</v>
      </c>
      <c r="X1650" s="2">
        <f>MATCH(Auto_Sales_data___Copy[[#This Row],[Total_Orders_Per_Customer]],Table2[F-Cutoff],1)</f>
        <v>5</v>
      </c>
      <c r="Y1650" s="2">
        <f>MATCH(Auto_Sales_data___Copy[[#This Row],[Total_Sales_Per_Customer]],Table2[M-Cutoff],1)</f>
        <v>5</v>
      </c>
      <c r="Z1650" s="2" t="str">
        <f>Auto_Sales_data___Copy[[#This Row],[R-Score(1-5)]]&amp;Auto_Sales_data___Copy[[#This Row],[F-Score(1-5)]]&amp;Auto_Sales_data___Copy[[#This Row],[M-Score(1-5)]]</f>
        <v>255</v>
      </c>
      <c r="AA1650" s="2" t="str" cm="1">
        <f t="array" ref="AA16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0" s="2" t="str">
        <f>VLOOKUP(Auto_Sales_data___Copy[[#This Row],[Segment Name]],Table3[],2,FALSE)</f>
        <v>High-Touch  Win-Back</v>
      </c>
    </row>
    <row r="1651" spans="1:28" x14ac:dyDescent="0.25">
      <c r="A1651">
        <v>10104</v>
      </c>
      <c r="B1651">
        <v>44</v>
      </c>
      <c r="C1651">
        <v>39.6</v>
      </c>
      <c r="D1651">
        <v>10</v>
      </c>
      <c r="E1651">
        <v>1742.4</v>
      </c>
      <c r="F1651" s="1">
        <v>43131</v>
      </c>
      <c r="G1651" s="2" t="s">
        <v>19</v>
      </c>
      <c r="H1651" s="2" t="s">
        <v>183</v>
      </c>
      <c r="I1651">
        <v>35</v>
      </c>
      <c r="J1651" s="2" t="s">
        <v>677</v>
      </c>
      <c r="K1651" s="2" t="s">
        <v>175</v>
      </c>
      <c r="L1651" s="2" t="s">
        <v>176</v>
      </c>
      <c r="M1651" s="2" t="s">
        <v>177</v>
      </c>
      <c r="N1651" s="2" t="s">
        <v>178</v>
      </c>
      <c r="O1651" s="2" t="s">
        <v>179</v>
      </c>
      <c r="P1651" s="2" t="s">
        <v>180</v>
      </c>
      <c r="Q1651" s="2" t="s">
        <v>181</v>
      </c>
      <c r="R1651" s="2" t="s">
        <v>182</v>
      </c>
      <c r="S1651" s="2" t="s">
        <v>30</v>
      </c>
      <c r="T1651">
        <v>2510</v>
      </c>
      <c r="U1651">
        <f>VLOOKUP(Auto_Sales_data___Copy[[#This Row],[CUSTOMER_NAME]],$AF$2:$AH$90,2,FALSE)</f>
        <v>259</v>
      </c>
      <c r="V1651">
        <f>VLOOKUP(Auto_Sales_data___Copy[[#This Row],[CUSTOMER_NAME]],$AF$2:$AH$90,3,FALSE)</f>
        <v>912294.1100000001</v>
      </c>
      <c r="W1651" s="2">
        <f>6-MATCH(Auto_Sales_data___Copy[[#This Row],[DAYS_SINCE_LAST_ORDER]],Table2[R-Cutoff],1)</f>
        <v>2</v>
      </c>
      <c r="X1651" s="2">
        <f>MATCH(Auto_Sales_data___Copy[[#This Row],[Total_Orders_Per_Customer]],Table2[F-Cutoff],1)</f>
        <v>5</v>
      </c>
      <c r="Y1651" s="2">
        <f>MATCH(Auto_Sales_data___Copy[[#This Row],[Total_Sales_Per_Customer]],Table2[M-Cutoff],1)</f>
        <v>5</v>
      </c>
      <c r="Z1651" s="2" t="str">
        <f>Auto_Sales_data___Copy[[#This Row],[R-Score(1-5)]]&amp;Auto_Sales_data___Copy[[#This Row],[F-Score(1-5)]]&amp;Auto_Sales_data___Copy[[#This Row],[M-Score(1-5)]]</f>
        <v>255</v>
      </c>
      <c r="AA1651" s="2" t="str" cm="1">
        <f t="array" ref="AA16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1" s="2" t="str">
        <f>VLOOKUP(Auto_Sales_data___Copy[[#This Row],[Segment Name]],Table3[],2,FALSE)</f>
        <v>High-Touch  Win-Back</v>
      </c>
    </row>
    <row r="1652" spans="1:28" x14ac:dyDescent="0.25">
      <c r="A1652">
        <v>10133</v>
      </c>
      <c r="B1652">
        <v>41</v>
      </c>
      <c r="C1652">
        <v>94.1</v>
      </c>
      <c r="D1652">
        <v>5</v>
      </c>
      <c r="E1652">
        <v>3858.1</v>
      </c>
      <c r="F1652" s="1">
        <v>43278</v>
      </c>
      <c r="G1652" s="2" t="s">
        <v>19</v>
      </c>
      <c r="H1652" s="2" t="s">
        <v>607</v>
      </c>
      <c r="I1652">
        <v>109</v>
      </c>
      <c r="J1652" s="2" t="s">
        <v>669</v>
      </c>
      <c r="K1652" s="2" t="s">
        <v>175</v>
      </c>
      <c r="L1652" s="2" t="s">
        <v>176</v>
      </c>
      <c r="M1652" s="2" t="s">
        <v>177</v>
      </c>
      <c r="N1652" s="2" t="s">
        <v>178</v>
      </c>
      <c r="O1652" s="2" t="s">
        <v>179</v>
      </c>
      <c r="P1652" s="2" t="s">
        <v>180</v>
      </c>
      <c r="Q1652" s="2" t="s">
        <v>181</v>
      </c>
      <c r="R1652" s="2" t="s">
        <v>182</v>
      </c>
      <c r="S1652" s="2" t="s">
        <v>46</v>
      </c>
      <c r="T1652">
        <v>2170</v>
      </c>
      <c r="U1652">
        <f>VLOOKUP(Auto_Sales_data___Copy[[#This Row],[CUSTOMER_NAME]],$AF$2:$AH$90,2,FALSE)</f>
        <v>259</v>
      </c>
      <c r="V1652">
        <f>VLOOKUP(Auto_Sales_data___Copy[[#This Row],[CUSTOMER_NAME]],$AF$2:$AH$90,3,FALSE)</f>
        <v>912294.1100000001</v>
      </c>
      <c r="W1652" s="2">
        <f>6-MATCH(Auto_Sales_data___Copy[[#This Row],[DAYS_SINCE_LAST_ORDER]],Table2[R-Cutoff],1)</f>
        <v>2</v>
      </c>
      <c r="X1652" s="2">
        <f>MATCH(Auto_Sales_data___Copy[[#This Row],[Total_Orders_Per_Customer]],Table2[F-Cutoff],1)</f>
        <v>5</v>
      </c>
      <c r="Y1652" s="2">
        <f>MATCH(Auto_Sales_data___Copy[[#This Row],[Total_Sales_Per_Customer]],Table2[M-Cutoff],1)</f>
        <v>5</v>
      </c>
      <c r="Z1652" s="2" t="str">
        <f>Auto_Sales_data___Copy[[#This Row],[R-Score(1-5)]]&amp;Auto_Sales_data___Copy[[#This Row],[F-Score(1-5)]]&amp;Auto_Sales_data___Copy[[#This Row],[M-Score(1-5)]]</f>
        <v>255</v>
      </c>
      <c r="AA1652" s="2" t="str" cm="1">
        <f t="array" ref="AA16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2" s="2" t="str">
        <f>VLOOKUP(Auto_Sales_data___Copy[[#This Row],[Segment Name]],Table3[],2,FALSE)</f>
        <v>High-Touch  Win-Back</v>
      </c>
    </row>
    <row r="1653" spans="1:28" x14ac:dyDescent="0.25">
      <c r="A1653">
        <v>10153</v>
      </c>
      <c r="B1653">
        <v>40</v>
      </c>
      <c r="C1653">
        <v>136.41</v>
      </c>
      <c r="D1653">
        <v>5</v>
      </c>
      <c r="E1653">
        <v>5456.4</v>
      </c>
      <c r="F1653" s="1">
        <v>43371</v>
      </c>
      <c r="G1653" s="2" t="s">
        <v>19</v>
      </c>
      <c r="H1653" s="2" t="s">
        <v>642</v>
      </c>
      <c r="I1653">
        <v>122</v>
      </c>
      <c r="J1653" s="2" t="s">
        <v>672</v>
      </c>
      <c r="K1653" s="2" t="s">
        <v>175</v>
      </c>
      <c r="L1653" s="2" t="s">
        <v>176</v>
      </c>
      <c r="M1653" s="2" t="s">
        <v>177</v>
      </c>
      <c r="N1653" s="2" t="s">
        <v>178</v>
      </c>
      <c r="O1653" s="2" t="s">
        <v>179</v>
      </c>
      <c r="P1653" s="2" t="s">
        <v>180</v>
      </c>
      <c r="Q1653" s="2" t="s">
        <v>181</v>
      </c>
      <c r="R1653" s="2" t="s">
        <v>182</v>
      </c>
      <c r="S1653" s="2" t="s">
        <v>46</v>
      </c>
      <c r="T1653">
        <v>2151</v>
      </c>
      <c r="U1653">
        <f>VLOOKUP(Auto_Sales_data___Copy[[#This Row],[CUSTOMER_NAME]],$AF$2:$AH$90,2,FALSE)</f>
        <v>259</v>
      </c>
      <c r="V1653">
        <f>VLOOKUP(Auto_Sales_data___Copy[[#This Row],[CUSTOMER_NAME]],$AF$2:$AH$90,3,FALSE)</f>
        <v>912294.1100000001</v>
      </c>
      <c r="W1653" s="2">
        <f>6-MATCH(Auto_Sales_data___Copy[[#This Row],[DAYS_SINCE_LAST_ORDER]],Table2[R-Cutoff],1)</f>
        <v>2</v>
      </c>
      <c r="X1653" s="2">
        <f>MATCH(Auto_Sales_data___Copy[[#This Row],[Total_Orders_Per_Customer]],Table2[F-Cutoff],1)</f>
        <v>5</v>
      </c>
      <c r="Y1653" s="2">
        <f>MATCH(Auto_Sales_data___Copy[[#This Row],[Total_Sales_Per_Customer]],Table2[M-Cutoff],1)</f>
        <v>5</v>
      </c>
      <c r="Z1653" s="2" t="str">
        <f>Auto_Sales_data___Copy[[#This Row],[R-Score(1-5)]]&amp;Auto_Sales_data___Copy[[#This Row],[F-Score(1-5)]]&amp;Auto_Sales_data___Copy[[#This Row],[M-Score(1-5)]]</f>
        <v>255</v>
      </c>
      <c r="AA1653" s="2" t="str" cm="1">
        <f t="array" ref="AA16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3" s="2" t="str">
        <f>VLOOKUP(Auto_Sales_data___Copy[[#This Row],[Segment Name]],Table3[],2,FALSE)</f>
        <v>High-Touch  Win-Back</v>
      </c>
    </row>
    <row r="1654" spans="1:28" x14ac:dyDescent="0.25">
      <c r="A1654">
        <v>10190</v>
      </c>
      <c r="B1654">
        <v>42</v>
      </c>
      <c r="C1654">
        <v>76.19</v>
      </c>
      <c r="D1654">
        <v>3</v>
      </c>
      <c r="E1654">
        <v>3199.98</v>
      </c>
      <c r="F1654" s="1">
        <v>43423</v>
      </c>
      <c r="G1654" s="2" t="s">
        <v>19</v>
      </c>
      <c r="H1654" s="2" t="s">
        <v>20</v>
      </c>
      <c r="I1654">
        <v>69</v>
      </c>
      <c r="J1654" s="2" t="s">
        <v>675</v>
      </c>
      <c r="K1654" s="2" t="s">
        <v>175</v>
      </c>
      <c r="L1654" s="2" t="s">
        <v>176</v>
      </c>
      <c r="M1654" s="2" t="s">
        <v>177</v>
      </c>
      <c r="N1654" s="2" t="s">
        <v>178</v>
      </c>
      <c r="O1654" s="2" t="s">
        <v>179</v>
      </c>
      <c r="P1654" s="2" t="s">
        <v>180</v>
      </c>
      <c r="Q1654" s="2" t="s">
        <v>181</v>
      </c>
      <c r="R1654" s="2" t="s">
        <v>182</v>
      </c>
      <c r="S1654" s="2" t="s">
        <v>46</v>
      </c>
      <c r="T1654">
        <v>2177</v>
      </c>
      <c r="U1654">
        <f>VLOOKUP(Auto_Sales_data___Copy[[#This Row],[CUSTOMER_NAME]],$AF$2:$AH$90,2,FALSE)</f>
        <v>259</v>
      </c>
      <c r="V1654">
        <f>VLOOKUP(Auto_Sales_data___Copy[[#This Row],[CUSTOMER_NAME]],$AF$2:$AH$90,3,FALSE)</f>
        <v>912294.1100000001</v>
      </c>
      <c r="W1654" s="2">
        <f>6-MATCH(Auto_Sales_data___Copy[[#This Row],[DAYS_SINCE_LAST_ORDER]],Table2[R-Cutoff],1)</f>
        <v>2</v>
      </c>
      <c r="X1654" s="2">
        <f>MATCH(Auto_Sales_data___Copy[[#This Row],[Total_Orders_Per_Customer]],Table2[F-Cutoff],1)</f>
        <v>5</v>
      </c>
      <c r="Y1654" s="2">
        <f>MATCH(Auto_Sales_data___Copy[[#This Row],[Total_Sales_Per_Customer]],Table2[M-Cutoff],1)</f>
        <v>5</v>
      </c>
      <c r="Z1654" s="2" t="str">
        <f>Auto_Sales_data___Copy[[#This Row],[R-Score(1-5)]]&amp;Auto_Sales_data___Copy[[#This Row],[F-Score(1-5)]]&amp;Auto_Sales_data___Copy[[#This Row],[M-Score(1-5)]]</f>
        <v>255</v>
      </c>
      <c r="AA1654" s="2" t="str" cm="1">
        <f t="array" ref="AA16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4" s="2" t="str">
        <f>VLOOKUP(Auto_Sales_data___Copy[[#This Row],[Segment Name]],Table3[],2,FALSE)</f>
        <v>High-Touch  Win-Back</v>
      </c>
    </row>
    <row r="1655" spans="1:28" x14ac:dyDescent="0.25">
      <c r="A1655">
        <v>10203</v>
      </c>
      <c r="B1655">
        <v>21</v>
      </c>
      <c r="C1655">
        <v>37</v>
      </c>
      <c r="D1655">
        <v>2</v>
      </c>
      <c r="E1655">
        <v>777</v>
      </c>
      <c r="F1655" s="1">
        <v>43436</v>
      </c>
      <c r="G1655" s="2" t="s">
        <v>19</v>
      </c>
      <c r="H1655" s="2" t="s">
        <v>183</v>
      </c>
      <c r="I1655">
        <v>37</v>
      </c>
      <c r="J1655" s="2" t="s">
        <v>680</v>
      </c>
      <c r="K1655" s="2" t="s">
        <v>175</v>
      </c>
      <c r="L1655" s="2" t="s">
        <v>176</v>
      </c>
      <c r="M1655" s="2" t="s">
        <v>177</v>
      </c>
      <c r="N1655" s="2" t="s">
        <v>178</v>
      </c>
      <c r="O1655" s="2" t="s">
        <v>179</v>
      </c>
      <c r="P1655" s="2" t="s">
        <v>180</v>
      </c>
      <c r="Q1655" s="2" t="s">
        <v>181</v>
      </c>
      <c r="R1655" s="2" t="s">
        <v>182</v>
      </c>
      <c r="S1655" s="2" t="s">
        <v>30</v>
      </c>
      <c r="T1655">
        <v>2287</v>
      </c>
      <c r="U1655">
        <f>VLOOKUP(Auto_Sales_data___Copy[[#This Row],[CUSTOMER_NAME]],$AF$2:$AH$90,2,FALSE)</f>
        <v>259</v>
      </c>
      <c r="V1655">
        <f>VLOOKUP(Auto_Sales_data___Copy[[#This Row],[CUSTOMER_NAME]],$AF$2:$AH$90,3,FALSE)</f>
        <v>912294.1100000001</v>
      </c>
      <c r="W1655" s="2">
        <f>6-MATCH(Auto_Sales_data___Copy[[#This Row],[DAYS_SINCE_LAST_ORDER]],Table2[R-Cutoff],1)</f>
        <v>2</v>
      </c>
      <c r="X1655" s="2">
        <f>MATCH(Auto_Sales_data___Copy[[#This Row],[Total_Orders_Per_Customer]],Table2[F-Cutoff],1)</f>
        <v>5</v>
      </c>
      <c r="Y1655" s="2">
        <f>MATCH(Auto_Sales_data___Copy[[#This Row],[Total_Sales_Per_Customer]],Table2[M-Cutoff],1)</f>
        <v>5</v>
      </c>
      <c r="Z1655" s="2" t="str">
        <f>Auto_Sales_data___Copy[[#This Row],[R-Score(1-5)]]&amp;Auto_Sales_data___Copy[[#This Row],[F-Score(1-5)]]&amp;Auto_Sales_data___Copy[[#This Row],[M-Score(1-5)]]</f>
        <v>255</v>
      </c>
      <c r="AA1655" s="2" t="str" cm="1">
        <f t="array" ref="AA16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5" s="2" t="str">
        <f>VLOOKUP(Auto_Sales_data___Copy[[#This Row],[Segment Name]],Table3[],2,FALSE)</f>
        <v>High-Touch  Win-Back</v>
      </c>
    </row>
    <row r="1656" spans="1:28" x14ac:dyDescent="0.25">
      <c r="A1656">
        <v>10203</v>
      </c>
      <c r="B1656">
        <v>34</v>
      </c>
      <c r="C1656">
        <v>64.900000000000006</v>
      </c>
      <c r="D1656">
        <v>7</v>
      </c>
      <c r="E1656">
        <v>2206.6</v>
      </c>
      <c r="F1656" s="1">
        <v>43436</v>
      </c>
      <c r="G1656" s="2" t="s">
        <v>19</v>
      </c>
      <c r="H1656" s="2" t="s">
        <v>183</v>
      </c>
      <c r="I1656">
        <v>61</v>
      </c>
      <c r="J1656" s="2" t="s">
        <v>683</v>
      </c>
      <c r="K1656" s="2" t="s">
        <v>175</v>
      </c>
      <c r="L1656" s="2" t="s">
        <v>176</v>
      </c>
      <c r="M1656" s="2" t="s">
        <v>177</v>
      </c>
      <c r="N1656" s="2" t="s">
        <v>178</v>
      </c>
      <c r="O1656" s="2" t="s">
        <v>179</v>
      </c>
      <c r="P1656" s="2" t="s">
        <v>180</v>
      </c>
      <c r="Q1656" s="2" t="s">
        <v>181</v>
      </c>
      <c r="R1656" s="2" t="s">
        <v>182</v>
      </c>
      <c r="S1656" s="2" t="s">
        <v>30</v>
      </c>
      <c r="T1656">
        <v>2361</v>
      </c>
      <c r="U1656">
        <f>VLOOKUP(Auto_Sales_data___Copy[[#This Row],[CUSTOMER_NAME]],$AF$2:$AH$90,2,FALSE)</f>
        <v>259</v>
      </c>
      <c r="V1656">
        <f>VLOOKUP(Auto_Sales_data___Copy[[#This Row],[CUSTOMER_NAME]],$AF$2:$AH$90,3,FALSE)</f>
        <v>912294.1100000001</v>
      </c>
      <c r="W1656" s="2">
        <f>6-MATCH(Auto_Sales_data___Copy[[#This Row],[DAYS_SINCE_LAST_ORDER]],Table2[R-Cutoff],1)</f>
        <v>2</v>
      </c>
      <c r="X1656" s="2">
        <f>MATCH(Auto_Sales_data___Copy[[#This Row],[Total_Orders_Per_Customer]],Table2[F-Cutoff],1)</f>
        <v>5</v>
      </c>
      <c r="Y1656" s="2">
        <f>MATCH(Auto_Sales_data___Copy[[#This Row],[Total_Sales_Per_Customer]],Table2[M-Cutoff],1)</f>
        <v>5</v>
      </c>
      <c r="Z1656" s="2" t="str">
        <f>Auto_Sales_data___Copy[[#This Row],[R-Score(1-5)]]&amp;Auto_Sales_data___Copy[[#This Row],[F-Score(1-5)]]&amp;Auto_Sales_data___Copy[[#This Row],[M-Score(1-5)]]</f>
        <v>255</v>
      </c>
      <c r="AA1656" s="2" t="str" cm="1">
        <f t="array" ref="AA16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6" s="2" t="str">
        <f>VLOOKUP(Auto_Sales_data___Copy[[#This Row],[Segment Name]],Table3[],2,FALSE)</f>
        <v>High-Touch  Win-Back</v>
      </c>
    </row>
    <row r="1657" spans="1:28" x14ac:dyDescent="0.25">
      <c r="A1657">
        <v>10203</v>
      </c>
      <c r="B1657">
        <v>47</v>
      </c>
      <c r="C1657">
        <v>148.86000000000001</v>
      </c>
      <c r="D1657">
        <v>3</v>
      </c>
      <c r="E1657">
        <v>6996.42</v>
      </c>
      <c r="F1657" s="1">
        <v>43436</v>
      </c>
      <c r="G1657" s="2" t="s">
        <v>19</v>
      </c>
      <c r="H1657" s="2" t="s">
        <v>183</v>
      </c>
      <c r="I1657">
        <v>140</v>
      </c>
      <c r="J1657" s="2" t="s">
        <v>687</v>
      </c>
      <c r="K1657" s="2" t="s">
        <v>175</v>
      </c>
      <c r="L1657" s="2" t="s">
        <v>176</v>
      </c>
      <c r="M1657" s="2" t="s">
        <v>177</v>
      </c>
      <c r="N1657" s="2" t="s">
        <v>178</v>
      </c>
      <c r="O1657" s="2" t="s">
        <v>179</v>
      </c>
      <c r="P1657" s="2" t="s">
        <v>180</v>
      </c>
      <c r="Q1657" s="2" t="s">
        <v>181</v>
      </c>
      <c r="R1657" s="2" t="s">
        <v>182</v>
      </c>
      <c r="S1657" s="2" t="s">
        <v>46</v>
      </c>
      <c r="T1657">
        <v>2460</v>
      </c>
      <c r="U1657">
        <f>VLOOKUP(Auto_Sales_data___Copy[[#This Row],[CUSTOMER_NAME]],$AF$2:$AH$90,2,FALSE)</f>
        <v>259</v>
      </c>
      <c r="V1657">
        <f>VLOOKUP(Auto_Sales_data___Copy[[#This Row],[CUSTOMER_NAME]],$AF$2:$AH$90,3,FALSE)</f>
        <v>912294.1100000001</v>
      </c>
      <c r="W1657" s="2">
        <f>6-MATCH(Auto_Sales_data___Copy[[#This Row],[DAYS_SINCE_LAST_ORDER]],Table2[R-Cutoff],1)</f>
        <v>2</v>
      </c>
      <c r="X1657" s="2">
        <f>MATCH(Auto_Sales_data___Copy[[#This Row],[Total_Orders_Per_Customer]],Table2[F-Cutoff],1)</f>
        <v>5</v>
      </c>
      <c r="Y1657" s="2">
        <f>MATCH(Auto_Sales_data___Copy[[#This Row],[Total_Sales_Per_Customer]],Table2[M-Cutoff],1)</f>
        <v>5</v>
      </c>
      <c r="Z1657" s="2" t="str">
        <f>Auto_Sales_data___Copy[[#This Row],[R-Score(1-5)]]&amp;Auto_Sales_data___Copy[[#This Row],[F-Score(1-5)]]&amp;Auto_Sales_data___Copy[[#This Row],[M-Score(1-5)]]</f>
        <v>255</v>
      </c>
      <c r="AA1657" s="2" t="str" cm="1">
        <f t="array" ref="AA16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7" s="2" t="str">
        <f>VLOOKUP(Auto_Sales_data___Copy[[#This Row],[Segment Name]],Table3[],2,FALSE)</f>
        <v>High-Touch  Win-Back</v>
      </c>
    </row>
    <row r="1658" spans="1:28" x14ac:dyDescent="0.25">
      <c r="A1658">
        <v>10205</v>
      </c>
      <c r="B1658">
        <v>32</v>
      </c>
      <c r="C1658">
        <v>37.17</v>
      </c>
      <c r="D1658">
        <v>5</v>
      </c>
      <c r="E1658">
        <v>1189.44</v>
      </c>
      <c r="F1658" s="1">
        <v>43437</v>
      </c>
      <c r="G1658" s="2" t="s">
        <v>19</v>
      </c>
      <c r="H1658" s="2" t="s">
        <v>589</v>
      </c>
      <c r="I1658">
        <v>33</v>
      </c>
      <c r="J1658" s="2" t="s">
        <v>670</v>
      </c>
      <c r="K1658" s="2" t="s">
        <v>175</v>
      </c>
      <c r="L1658" s="2" t="s">
        <v>176</v>
      </c>
      <c r="M1658" s="2" t="s">
        <v>177</v>
      </c>
      <c r="N1658" s="2" t="s">
        <v>178</v>
      </c>
      <c r="O1658" s="2" t="s">
        <v>179</v>
      </c>
      <c r="P1658" s="2" t="s">
        <v>180</v>
      </c>
      <c r="Q1658" s="2" t="s">
        <v>181</v>
      </c>
      <c r="R1658" s="2" t="s">
        <v>182</v>
      </c>
      <c r="S1658" s="2" t="s">
        <v>30</v>
      </c>
      <c r="T1658">
        <v>2039</v>
      </c>
      <c r="U1658">
        <f>VLOOKUP(Auto_Sales_data___Copy[[#This Row],[CUSTOMER_NAME]],$AF$2:$AH$90,2,FALSE)</f>
        <v>259</v>
      </c>
      <c r="V1658">
        <f>VLOOKUP(Auto_Sales_data___Copy[[#This Row],[CUSTOMER_NAME]],$AF$2:$AH$90,3,FALSE)</f>
        <v>912294.1100000001</v>
      </c>
      <c r="W1658" s="2">
        <f>6-MATCH(Auto_Sales_data___Copy[[#This Row],[DAYS_SINCE_LAST_ORDER]],Table2[R-Cutoff],1)</f>
        <v>2</v>
      </c>
      <c r="X1658" s="2">
        <f>MATCH(Auto_Sales_data___Copy[[#This Row],[Total_Orders_Per_Customer]],Table2[F-Cutoff],1)</f>
        <v>5</v>
      </c>
      <c r="Y1658" s="2">
        <f>MATCH(Auto_Sales_data___Copy[[#This Row],[Total_Sales_Per_Customer]],Table2[M-Cutoff],1)</f>
        <v>5</v>
      </c>
      <c r="Z1658" s="2" t="str">
        <f>Auto_Sales_data___Copy[[#This Row],[R-Score(1-5)]]&amp;Auto_Sales_data___Copy[[#This Row],[F-Score(1-5)]]&amp;Auto_Sales_data___Copy[[#This Row],[M-Score(1-5)]]</f>
        <v>255</v>
      </c>
      <c r="AA1658" s="2" t="str" cm="1">
        <f t="array" ref="AA16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8" s="2" t="str">
        <f>VLOOKUP(Auto_Sales_data___Copy[[#This Row],[Segment Name]],Table3[],2,FALSE)</f>
        <v>High-Touch  Win-Back</v>
      </c>
    </row>
    <row r="1659" spans="1:28" x14ac:dyDescent="0.25">
      <c r="A1659">
        <v>10205</v>
      </c>
      <c r="B1659">
        <v>24</v>
      </c>
      <c r="C1659">
        <v>38.08</v>
      </c>
      <c r="D1659">
        <v>4</v>
      </c>
      <c r="E1659">
        <v>913.92</v>
      </c>
      <c r="F1659" s="1">
        <v>43437</v>
      </c>
      <c r="G1659" s="2" t="s">
        <v>19</v>
      </c>
      <c r="H1659" s="2" t="s">
        <v>589</v>
      </c>
      <c r="I1659">
        <v>44</v>
      </c>
      <c r="J1659" s="2" t="s">
        <v>673</v>
      </c>
      <c r="K1659" s="2" t="s">
        <v>175</v>
      </c>
      <c r="L1659" s="2" t="s">
        <v>176</v>
      </c>
      <c r="M1659" s="2" t="s">
        <v>177</v>
      </c>
      <c r="N1659" s="2" t="s">
        <v>178</v>
      </c>
      <c r="O1659" s="2" t="s">
        <v>179</v>
      </c>
      <c r="P1659" s="2" t="s">
        <v>180</v>
      </c>
      <c r="Q1659" s="2" t="s">
        <v>181</v>
      </c>
      <c r="R1659" s="2" t="s">
        <v>182</v>
      </c>
      <c r="S1659" s="2" t="s">
        <v>30</v>
      </c>
      <c r="T1659">
        <v>2113</v>
      </c>
      <c r="U1659">
        <f>VLOOKUP(Auto_Sales_data___Copy[[#This Row],[CUSTOMER_NAME]],$AF$2:$AH$90,2,FALSE)</f>
        <v>259</v>
      </c>
      <c r="V1659">
        <f>VLOOKUP(Auto_Sales_data___Copy[[#This Row],[CUSTOMER_NAME]],$AF$2:$AH$90,3,FALSE)</f>
        <v>912294.1100000001</v>
      </c>
      <c r="W1659" s="2">
        <f>6-MATCH(Auto_Sales_data___Copy[[#This Row],[DAYS_SINCE_LAST_ORDER]],Table2[R-Cutoff],1)</f>
        <v>2</v>
      </c>
      <c r="X1659" s="2">
        <f>MATCH(Auto_Sales_data___Copy[[#This Row],[Total_Orders_Per_Customer]],Table2[F-Cutoff],1)</f>
        <v>5</v>
      </c>
      <c r="Y1659" s="2">
        <f>MATCH(Auto_Sales_data___Copy[[#This Row],[Total_Sales_Per_Customer]],Table2[M-Cutoff],1)</f>
        <v>5</v>
      </c>
      <c r="Z1659" s="2" t="str">
        <f>Auto_Sales_data___Copy[[#This Row],[R-Score(1-5)]]&amp;Auto_Sales_data___Copy[[#This Row],[F-Score(1-5)]]&amp;Auto_Sales_data___Copy[[#This Row],[M-Score(1-5)]]</f>
        <v>255</v>
      </c>
      <c r="AA1659" s="2" t="str" cm="1">
        <f t="array" ref="AA16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9" s="2" t="str">
        <f>VLOOKUP(Auto_Sales_data___Copy[[#This Row],[Segment Name]],Table3[],2,FALSE)</f>
        <v>High-Touch  Win-Back</v>
      </c>
    </row>
    <row r="1660" spans="1:28" x14ac:dyDescent="0.25">
      <c r="A1660">
        <v>10212</v>
      </c>
      <c r="B1660">
        <v>45</v>
      </c>
      <c r="C1660">
        <v>88.14</v>
      </c>
      <c r="D1660">
        <v>1</v>
      </c>
      <c r="E1660">
        <v>3966.3</v>
      </c>
      <c r="F1660" s="1">
        <v>43481</v>
      </c>
      <c r="G1660" s="2" t="s">
        <v>19</v>
      </c>
      <c r="H1660" s="2" t="s">
        <v>183</v>
      </c>
      <c r="I1660">
        <v>90</v>
      </c>
      <c r="J1660" s="2" t="s">
        <v>676</v>
      </c>
      <c r="K1660" s="2" t="s">
        <v>175</v>
      </c>
      <c r="L1660" s="2" t="s">
        <v>176</v>
      </c>
      <c r="M1660" s="2" t="s">
        <v>177</v>
      </c>
      <c r="N1660" s="2" t="s">
        <v>178</v>
      </c>
      <c r="O1660" s="2" t="s">
        <v>179</v>
      </c>
      <c r="P1660" s="2" t="s">
        <v>180</v>
      </c>
      <c r="Q1660" s="2" t="s">
        <v>181</v>
      </c>
      <c r="R1660" s="2" t="s">
        <v>182</v>
      </c>
      <c r="S1660" s="2" t="s">
        <v>46</v>
      </c>
      <c r="T1660">
        <v>2145</v>
      </c>
      <c r="U1660">
        <f>VLOOKUP(Auto_Sales_data___Copy[[#This Row],[CUSTOMER_NAME]],$AF$2:$AH$90,2,FALSE)</f>
        <v>259</v>
      </c>
      <c r="V1660">
        <f>VLOOKUP(Auto_Sales_data___Copy[[#This Row],[CUSTOMER_NAME]],$AF$2:$AH$90,3,FALSE)</f>
        <v>912294.1100000001</v>
      </c>
      <c r="W1660" s="2">
        <f>6-MATCH(Auto_Sales_data___Copy[[#This Row],[DAYS_SINCE_LAST_ORDER]],Table2[R-Cutoff],1)</f>
        <v>2</v>
      </c>
      <c r="X1660" s="2">
        <f>MATCH(Auto_Sales_data___Copy[[#This Row],[Total_Orders_Per_Customer]],Table2[F-Cutoff],1)</f>
        <v>5</v>
      </c>
      <c r="Y1660" s="2">
        <f>MATCH(Auto_Sales_data___Copy[[#This Row],[Total_Sales_Per_Customer]],Table2[M-Cutoff],1)</f>
        <v>5</v>
      </c>
      <c r="Z1660" s="2" t="str">
        <f>Auto_Sales_data___Copy[[#This Row],[R-Score(1-5)]]&amp;Auto_Sales_data___Copy[[#This Row],[F-Score(1-5)]]&amp;Auto_Sales_data___Copy[[#This Row],[M-Score(1-5)]]</f>
        <v>255</v>
      </c>
      <c r="AA1660" s="2" t="str" cm="1">
        <f t="array" ref="AA16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0" s="2" t="str">
        <f>VLOOKUP(Auto_Sales_data___Copy[[#This Row],[Segment Name]],Table3[],2,FALSE)</f>
        <v>High-Touch  Win-Back</v>
      </c>
    </row>
    <row r="1661" spans="1:28" x14ac:dyDescent="0.25">
      <c r="A1661">
        <v>10212</v>
      </c>
      <c r="B1661">
        <v>34</v>
      </c>
      <c r="C1661">
        <v>43.42</v>
      </c>
      <c r="D1661">
        <v>12</v>
      </c>
      <c r="E1661">
        <v>1476.28</v>
      </c>
      <c r="F1661" s="1">
        <v>43481</v>
      </c>
      <c r="G1661" s="2" t="s">
        <v>19</v>
      </c>
      <c r="H1661" s="2" t="s">
        <v>183</v>
      </c>
      <c r="I1661">
        <v>37</v>
      </c>
      <c r="J1661" s="2" t="s">
        <v>680</v>
      </c>
      <c r="K1661" s="2" t="s">
        <v>175</v>
      </c>
      <c r="L1661" s="2" t="s">
        <v>176</v>
      </c>
      <c r="M1661" s="2" t="s">
        <v>177</v>
      </c>
      <c r="N1661" s="2" t="s">
        <v>178</v>
      </c>
      <c r="O1661" s="2" t="s">
        <v>179</v>
      </c>
      <c r="P1661" s="2" t="s">
        <v>180</v>
      </c>
      <c r="Q1661" s="2" t="s">
        <v>181</v>
      </c>
      <c r="R1661" s="2" t="s">
        <v>182</v>
      </c>
      <c r="S1661" s="2" t="s">
        <v>30</v>
      </c>
      <c r="T1661">
        <v>2243</v>
      </c>
      <c r="U1661">
        <f>VLOOKUP(Auto_Sales_data___Copy[[#This Row],[CUSTOMER_NAME]],$AF$2:$AH$90,2,FALSE)</f>
        <v>259</v>
      </c>
      <c r="V1661">
        <f>VLOOKUP(Auto_Sales_data___Copy[[#This Row],[CUSTOMER_NAME]],$AF$2:$AH$90,3,FALSE)</f>
        <v>912294.1100000001</v>
      </c>
      <c r="W1661" s="2">
        <f>6-MATCH(Auto_Sales_data___Copy[[#This Row],[DAYS_SINCE_LAST_ORDER]],Table2[R-Cutoff],1)</f>
        <v>2</v>
      </c>
      <c r="X1661" s="2">
        <f>MATCH(Auto_Sales_data___Copy[[#This Row],[Total_Orders_Per_Customer]],Table2[F-Cutoff],1)</f>
        <v>5</v>
      </c>
      <c r="Y1661" s="2">
        <f>MATCH(Auto_Sales_data___Copy[[#This Row],[Total_Sales_Per_Customer]],Table2[M-Cutoff],1)</f>
        <v>5</v>
      </c>
      <c r="Z1661" s="2" t="str">
        <f>Auto_Sales_data___Copy[[#This Row],[R-Score(1-5)]]&amp;Auto_Sales_data___Copy[[#This Row],[F-Score(1-5)]]&amp;Auto_Sales_data___Copy[[#This Row],[M-Score(1-5)]]</f>
        <v>255</v>
      </c>
      <c r="AA1661" s="2" t="str" cm="1">
        <f t="array" ref="AA16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1" s="2" t="str">
        <f>VLOOKUP(Auto_Sales_data___Copy[[#This Row],[Segment Name]],Table3[],2,FALSE)</f>
        <v>High-Touch  Win-Back</v>
      </c>
    </row>
    <row r="1662" spans="1:28" x14ac:dyDescent="0.25">
      <c r="A1662">
        <v>10212</v>
      </c>
      <c r="B1662">
        <v>27</v>
      </c>
      <c r="C1662">
        <v>79.62</v>
      </c>
      <c r="D1662">
        <v>2</v>
      </c>
      <c r="E1662">
        <v>2149.7399999999998</v>
      </c>
      <c r="F1662" s="1">
        <v>43481</v>
      </c>
      <c r="G1662" s="2" t="s">
        <v>19</v>
      </c>
      <c r="H1662" s="2" t="s">
        <v>183</v>
      </c>
      <c r="I1662">
        <v>85</v>
      </c>
      <c r="J1662" s="2" t="s">
        <v>682</v>
      </c>
      <c r="K1662" s="2" t="s">
        <v>175</v>
      </c>
      <c r="L1662" s="2" t="s">
        <v>176</v>
      </c>
      <c r="M1662" s="2" t="s">
        <v>177</v>
      </c>
      <c r="N1662" s="2" t="s">
        <v>178</v>
      </c>
      <c r="O1662" s="2" t="s">
        <v>179</v>
      </c>
      <c r="P1662" s="2" t="s">
        <v>180</v>
      </c>
      <c r="Q1662" s="2" t="s">
        <v>181</v>
      </c>
      <c r="R1662" s="2" t="s">
        <v>182</v>
      </c>
      <c r="S1662" s="2" t="s">
        <v>30</v>
      </c>
      <c r="T1662">
        <v>2294</v>
      </c>
      <c r="U1662">
        <f>VLOOKUP(Auto_Sales_data___Copy[[#This Row],[CUSTOMER_NAME]],$AF$2:$AH$90,2,FALSE)</f>
        <v>259</v>
      </c>
      <c r="V1662">
        <f>VLOOKUP(Auto_Sales_data___Copy[[#This Row],[CUSTOMER_NAME]],$AF$2:$AH$90,3,FALSE)</f>
        <v>912294.1100000001</v>
      </c>
      <c r="W1662" s="2">
        <f>6-MATCH(Auto_Sales_data___Copy[[#This Row],[DAYS_SINCE_LAST_ORDER]],Table2[R-Cutoff],1)</f>
        <v>2</v>
      </c>
      <c r="X1662" s="2">
        <f>MATCH(Auto_Sales_data___Copy[[#This Row],[Total_Orders_Per_Customer]],Table2[F-Cutoff],1)</f>
        <v>5</v>
      </c>
      <c r="Y1662" s="2">
        <f>MATCH(Auto_Sales_data___Copy[[#This Row],[Total_Sales_Per_Customer]],Table2[M-Cutoff],1)</f>
        <v>5</v>
      </c>
      <c r="Z1662" s="2" t="str">
        <f>Auto_Sales_data___Copy[[#This Row],[R-Score(1-5)]]&amp;Auto_Sales_data___Copy[[#This Row],[F-Score(1-5)]]&amp;Auto_Sales_data___Copy[[#This Row],[M-Score(1-5)]]</f>
        <v>255</v>
      </c>
      <c r="AA1662" s="2" t="str" cm="1">
        <f t="array" ref="AA16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2" s="2" t="str">
        <f>VLOOKUP(Auto_Sales_data___Copy[[#This Row],[Segment Name]],Table3[],2,FALSE)</f>
        <v>High-Touch  Win-Back</v>
      </c>
    </row>
    <row r="1663" spans="1:28" x14ac:dyDescent="0.25">
      <c r="A1663">
        <v>10212</v>
      </c>
      <c r="B1663">
        <v>46</v>
      </c>
      <c r="C1663">
        <v>87.81</v>
      </c>
      <c r="D1663">
        <v>4</v>
      </c>
      <c r="E1663">
        <v>4039.26</v>
      </c>
      <c r="F1663" s="1">
        <v>43481</v>
      </c>
      <c r="G1663" s="2" t="s">
        <v>19</v>
      </c>
      <c r="H1663" s="2" t="s">
        <v>183</v>
      </c>
      <c r="I1663">
        <v>107</v>
      </c>
      <c r="J1663" s="2" t="s">
        <v>685</v>
      </c>
      <c r="K1663" s="2" t="s">
        <v>175</v>
      </c>
      <c r="L1663" s="2" t="s">
        <v>176</v>
      </c>
      <c r="M1663" s="2" t="s">
        <v>177</v>
      </c>
      <c r="N1663" s="2" t="s">
        <v>178</v>
      </c>
      <c r="O1663" s="2" t="s">
        <v>179</v>
      </c>
      <c r="P1663" s="2" t="s">
        <v>180</v>
      </c>
      <c r="Q1663" s="2" t="s">
        <v>181</v>
      </c>
      <c r="R1663" s="2" t="s">
        <v>182</v>
      </c>
      <c r="S1663" s="2" t="s">
        <v>46</v>
      </c>
      <c r="T1663">
        <v>2368</v>
      </c>
      <c r="U1663">
        <f>VLOOKUP(Auto_Sales_data___Copy[[#This Row],[CUSTOMER_NAME]],$AF$2:$AH$90,2,FALSE)</f>
        <v>259</v>
      </c>
      <c r="V1663">
        <f>VLOOKUP(Auto_Sales_data___Copy[[#This Row],[CUSTOMER_NAME]],$AF$2:$AH$90,3,FALSE)</f>
        <v>912294.1100000001</v>
      </c>
      <c r="W1663" s="2">
        <f>6-MATCH(Auto_Sales_data___Copy[[#This Row],[DAYS_SINCE_LAST_ORDER]],Table2[R-Cutoff],1)</f>
        <v>2</v>
      </c>
      <c r="X1663" s="2">
        <f>MATCH(Auto_Sales_data___Copy[[#This Row],[Total_Orders_Per_Customer]],Table2[F-Cutoff],1)</f>
        <v>5</v>
      </c>
      <c r="Y1663" s="2">
        <f>MATCH(Auto_Sales_data___Copy[[#This Row],[Total_Sales_Per_Customer]],Table2[M-Cutoff],1)</f>
        <v>5</v>
      </c>
      <c r="Z1663" s="2" t="str">
        <f>Auto_Sales_data___Copy[[#This Row],[R-Score(1-5)]]&amp;Auto_Sales_data___Copy[[#This Row],[F-Score(1-5)]]&amp;Auto_Sales_data___Copy[[#This Row],[M-Score(1-5)]]</f>
        <v>255</v>
      </c>
      <c r="AA1663" s="2" t="str" cm="1">
        <f t="array" ref="AA16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3" s="2" t="str">
        <f>VLOOKUP(Auto_Sales_data___Copy[[#This Row],[Segment Name]],Table3[],2,FALSE)</f>
        <v>High-Touch  Win-Back</v>
      </c>
    </row>
    <row r="1664" spans="1:28" x14ac:dyDescent="0.25">
      <c r="A1664">
        <v>10212</v>
      </c>
      <c r="B1664">
        <v>49</v>
      </c>
      <c r="C1664">
        <v>141.83000000000001</v>
      </c>
      <c r="D1664">
        <v>13</v>
      </c>
      <c r="E1664">
        <v>6949.67</v>
      </c>
      <c r="F1664" s="1">
        <v>43481</v>
      </c>
      <c r="G1664" s="2" t="s">
        <v>19</v>
      </c>
      <c r="H1664" s="2" t="s">
        <v>183</v>
      </c>
      <c r="I1664">
        <v>140</v>
      </c>
      <c r="J1664" s="2" t="s">
        <v>687</v>
      </c>
      <c r="K1664" s="2" t="s">
        <v>175</v>
      </c>
      <c r="L1664" s="2" t="s">
        <v>176</v>
      </c>
      <c r="M1664" s="2" t="s">
        <v>177</v>
      </c>
      <c r="N1664" s="2" t="s">
        <v>178</v>
      </c>
      <c r="O1664" s="2" t="s">
        <v>179</v>
      </c>
      <c r="P1664" s="2" t="s">
        <v>180</v>
      </c>
      <c r="Q1664" s="2" t="s">
        <v>181</v>
      </c>
      <c r="R1664" s="2" t="s">
        <v>182</v>
      </c>
      <c r="S1664" s="2" t="s">
        <v>46</v>
      </c>
      <c r="T1664">
        <v>2416</v>
      </c>
      <c r="U1664">
        <f>VLOOKUP(Auto_Sales_data___Copy[[#This Row],[CUSTOMER_NAME]],$AF$2:$AH$90,2,FALSE)</f>
        <v>259</v>
      </c>
      <c r="V1664">
        <f>VLOOKUP(Auto_Sales_data___Copy[[#This Row],[CUSTOMER_NAME]],$AF$2:$AH$90,3,FALSE)</f>
        <v>912294.1100000001</v>
      </c>
      <c r="W1664" s="2">
        <f>6-MATCH(Auto_Sales_data___Copy[[#This Row],[DAYS_SINCE_LAST_ORDER]],Table2[R-Cutoff],1)</f>
        <v>2</v>
      </c>
      <c r="X1664" s="2">
        <f>MATCH(Auto_Sales_data___Copy[[#This Row],[Total_Orders_Per_Customer]],Table2[F-Cutoff],1)</f>
        <v>5</v>
      </c>
      <c r="Y1664" s="2">
        <f>MATCH(Auto_Sales_data___Copy[[#This Row],[Total_Sales_Per_Customer]],Table2[M-Cutoff],1)</f>
        <v>5</v>
      </c>
      <c r="Z1664" s="2" t="str">
        <f>Auto_Sales_data___Copy[[#This Row],[R-Score(1-5)]]&amp;Auto_Sales_data___Copy[[#This Row],[F-Score(1-5)]]&amp;Auto_Sales_data___Copy[[#This Row],[M-Score(1-5)]]</f>
        <v>255</v>
      </c>
      <c r="AA1664" s="2" t="str" cm="1">
        <f t="array" ref="AA16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4" s="2" t="str">
        <f>VLOOKUP(Auto_Sales_data___Copy[[#This Row],[Segment Name]],Table3[],2,FALSE)</f>
        <v>High-Touch  Win-Back</v>
      </c>
    </row>
    <row r="1665" spans="1:28" x14ac:dyDescent="0.25">
      <c r="A1665">
        <v>10244</v>
      </c>
      <c r="B1665">
        <v>40</v>
      </c>
      <c r="C1665">
        <v>86.68</v>
      </c>
      <c r="D1665">
        <v>4</v>
      </c>
      <c r="E1665">
        <v>3467.2</v>
      </c>
      <c r="F1665" s="1">
        <v>43584</v>
      </c>
      <c r="G1665" s="2" t="s">
        <v>19</v>
      </c>
      <c r="H1665" s="2" t="s">
        <v>589</v>
      </c>
      <c r="I1665">
        <v>97</v>
      </c>
      <c r="J1665" s="2" t="s">
        <v>691</v>
      </c>
      <c r="K1665" s="2" t="s">
        <v>175</v>
      </c>
      <c r="L1665" s="2" t="s">
        <v>176</v>
      </c>
      <c r="M1665" s="2" t="s">
        <v>177</v>
      </c>
      <c r="N1665" s="2" t="s">
        <v>178</v>
      </c>
      <c r="O1665" s="2" t="s">
        <v>179</v>
      </c>
      <c r="P1665" s="2" t="s">
        <v>180</v>
      </c>
      <c r="Q1665" s="2" t="s">
        <v>181</v>
      </c>
      <c r="R1665" s="2" t="s">
        <v>182</v>
      </c>
      <c r="S1665" s="2" t="s">
        <v>46</v>
      </c>
      <c r="T1665">
        <v>2416</v>
      </c>
      <c r="U1665">
        <f>VLOOKUP(Auto_Sales_data___Copy[[#This Row],[CUSTOMER_NAME]],$AF$2:$AH$90,2,FALSE)</f>
        <v>259</v>
      </c>
      <c r="V1665">
        <f>VLOOKUP(Auto_Sales_data___Copy[[#This Row],[CUSTOMER_NAME]],$AF$2:$AH$90,3,FALSE)</f>
        <v>912294.1100000001</v>
      </c>
      <c r="W1665" s="2">
        <f>6-MATCH(Auto_Sales_data___Copy[[#This Row],[DAYS_SINCE_LAST_ORDER]],Table2[R-Cutoff],1)</f>
        <v>2</v>
      </c>
      <c r="X1665" s="2">
        <f>MATCH(Auto_Sales_data___Copy[[#This Row],[Total_Orders_Per_Customer]],Table2[F-Cutoff],1)</f>
        <v>5</v>
      </c>
      <c r="Y1665" s="2">
        <f>MATCH(Auto_Sales_data___Copy[[#This Row],[Total_Sales_Per_Customer]],Table2[M-Cutoff],1)</f>
        <v>5</v>
      </c>
      <c r="Z1665" s="2" t="str">
        <f>Auto_Sales_data___Copy[[#This Row],[R-Score(1-5)]]&amp;Auto_Sales_data___Copy[[#This Row],[F-Score(1-5)]]&amp;Auto_Sales_data___Copy[[#This Row],[M-Score(1-5)]]</f>
        <v>255</v>
      </c>
      <c r="AA1665" s="2" t="str" cm="1">
        <f t="array" ref="AA16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5" s="2" t="str">
        <f>VLOOKUP(Auto_Sales_data___Copy[[#This Row],[Segment Name]],Table3[],2,FALSE)</f>
        <v>High-Touch  Win-Back</v>
      </c>
    </row>
    <row r="1666" spans="1:28" x14ac:dyDescent="0.25">
      <c r="A1666">
        <v>10246</v>
      </c>
      <c r="B1666">
        <v>49</v>
      </c>
      <c r="C1666">
        <v>36.07</v>
      </c>
      <c r="D1666">
        <v>6</v>
      </c>
      <c r="E1666">
        <v>1767.43</v>
      </c>
      <c r="F1666" s="1">
        <v>43590</v>
      </c>
      <c r="G1666" s="2" t="s">
        <v>19</v>
      </c>
      <c r="H1666" s="2" t="s">
        <v>183</v>
      </c>
      <c r="I1666">
        <v>35</v>
      </c>
      <c r="J1666" s="2" t="s">
        <v>677</v>
      </c>
      <c r="K1666" s="2" t="s">
        <v>175</v>
      </c>
      <c r="L1666" s="2" t="s">
        <v>176</v>
      </c>
      <c r="M1666" s="2" t="s">
        <v>177</v>
      </c>
      <c r="N1666" s="2" t="s">
        <v>178</v>
      </c>
      <c r="O1666" s="2" t="s">
        <v>179</v>
      </c>
      <c r="P1666" s="2" t="s">
        <v>180</v>
      </c>
      <c r="Q1666" s="2" t="s">
        <v>181</v>
      </c>
      <c r="R1666" s="2" t="s">
        <v>182</v>
      </c>
      <c r="S1666" s="2" t="s">
        <v>30</v>
      </c>
      <c r="T1666">
        <v>2063</v>
      </c>
      <c r="U1666">
        <f>VLOOKUP(Auto_Sales_data___Copy[[#This Row],[CUSTOMER_NAME]],$AF$2:$AH$90,2,FALSE)</f>
        <v>259</v>
      </c>
      <c r="V1666">
        <f>VLOOKUP(Auto_Sales_data___Copy[[#This Row],[CUSTOMER_NAME]],$AF$2:$AH$90,3,FALSE)</f>
        <v>912294.1100000001</v>
      </c>
      <c r="W1666" s="2">
        <f>6-MATCH(Auto_Sales_data___Copy[[#This Row],[DAYS_SINCE_LAST_ORDER]],Table2[R-Cutoff],1)</f>
        <v>2</v>
      </c>
      <c r="X1666" s="2">
        <f>MATCH(Auto_Sales_data___Copy[[#This Row],[Total_Orders_Per_Customer]],Table2[F-Cutoff],1)</f>
        <v>5</v>
      </c>
      <c r="Y1666" s="2">
        <f>MATCH(Auto_Sales_data___Copy[[#This Row],[Total_Sales_Per_Customer]],Table2[M-Cutoff],1)</f>
        <v>5</v>
      </c>
      <c r="Z1666" s="2" t="str">
        <f>Auto_Sales_data___Copy[[#This Row],[R-Score(1-5)]]&amp;Auto_Sales_data___Copy[[#This Row],[F-Score(1-5)]]&amp;Auto_Sales_data___Copy[[#This Row],[M-Score(1-5)]]</f>
        <v>255</v>
      </c>
      <c r="AA1666" s="2" t="str" cm="1">
        <f t="array" ref="AA16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6" s="2" t="str">
        <f>VLOOKUP(Auto_Sales_data___Copy[[#This Row],[Segment Name]],Table3[],2,FALSE)</f>
        <v>High-Touch  Win-Back</v>
      </c>
    </row>
    <row r="1667" spans="1:28" x14ac:dyDescent="0.25">
      <c r="A1667">
        <v>10246</v>
      </c>
      <c r="B1667">
        <v>46</v>
      </c>
      <c r="C1667">
        <v>137.19999999999999</v>
      </c>
      <c r="D1667">
        <v>1</v>
      </c>
      <c r="E1667">
        <v>6311.2</v>
      </c>
      <c r="F1667" s="1">
        <v>43590</v>
      </c>
      <c r="G1667" s="2" t="s">
        <v>19</v>
      </c>
      <c r="H1667" s="2" t="s">
        <v>183</v>
      </c>
      <c r="I1667">
        <v>118</v>
      </c>
      <c r="J1667" s="2" t="s">
        <v>690</v>
      </c>
      <c r="K1667" s="2" t="s">
        <v>175</v>
      </c>
      <c r="L1667" s="2" t="s">
        <v>176</v>
      </c>
      <c r="M1667" s="2" t="s">
        <v>177</v>
      </c>
      <c r="N1667" s="2" t="s">
        <v>178</v>
      </c>
      <c r="O1667" s="2" t="s">
        <v>179</v>
      </c>
      <c r="P1667" s="2" t="s">
        <v>180</v>
      </c>
      <c r="Q1667" s="2" t="s">
        <v>181</v>
      </c>
      <c r="R1667" s="2" t="s">
        <v>182</v>
      </c>
      <c r="S1667" s="2" t="s">
        <v>46</v>
      </c>
      <c r="T1667">
        <v>2385</v>
      </c>
      <c r="U1667">
        <f>VLOOKUP(Auto_Sales_data___Copy[[#This Row],[CUSTOMER_NAME]],$AF$2:$AH$90,2,FALSE)</f>
        <v>259</v>
      </c>
      <c r="V1667">
        <f>VLOOKUP(Auto_Sales_data___Copy[[#This Row],[CUSTOMER_NAME]],$AF$2:$AH$90,3,FALSE)</f>
        <v>912294.1100000001</v>
      </c>
      <c r="W1667" s="2">
        <f>6-MATCH(Auto_Sales_data___Copy[[#This Row],[DAYS_SINCE_LAST_ORDER]],Table2[R-Cutoff],1)</f>
        <v>2</v>
      </c>
      <c r="X1667" s="2">
        <f>MATCH(Auto_Sales_data___Copy[[#This Row],[Total_Orders_Per_Customer]],Table2[F-Cutoff],1)</f>
        <v>5</v>
      </c>
      <c r="Y1667" s="2">
        <f>MATCH(Auto_Sales_data___Copy[[#This Row],[Total_Sales_Per_Customer]],Table2[M-Cutoff],1)</f>
        <v>5</v>
      </c>
      <c r="Z1667" s="2" t="str">
        <f>Auto_Sales_data___Copy[[#This Row],[R-Score(1-5)]]&amp;Auto_Sales_data___Copy[[#This Row],[F-Score(1-5)]]&amp;Auto_Sales_data___Copy[[#This Row],[M-Score(1-5)]]</f>
        <v>255</v>
      </c>
      <c r="AA1667" s="2" t="str" cm="1">
        <f t="array" ref="AA16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7" s="2" t="str">
        <f>VLOOKUP(Auto_Sales_data___Copy[[#This Row],[Segment Name]],Table3[],2,FALSE)</f>
        <v>High-Touch  Win-Back</v>
      </c>
    </row>
    <row r="1668" spans="1:28" x14ac:dyDescent="0.25">
      <c r="A1668">
        <v>10246</v>
      </c>
      <c r="B1668">
        <v>35</v>
      </c>
      <c r="C1668">
        <v>48.7</v>
      </c>
      <c r="D1668">
        <v>7</v>
      </c>
      <c r="E1668">
        <v>1704.5</v>
      </c>
      <c r="F1668" s="1">
        <v>43590</v>
      </c>
      <c r="G1668" s="2" t="s">
        <v>19</v>
      </c>
      <c r="H1668" s="2" t="s">
        <v>537</v>
      </c>
      <c r="I1668">
        <v>54</v>
      </c>
      <c r="J1668" s="2" t="s">
        <v>697</v>
      </c>
      <c r="K1668" s="2" t="s">
        <v>175</v>
      </c>
      <c r="L1668" s="2" t="s">
        <v>176</v>
      </c>
      <c r="M1668" s="2" t="s">
        <v>177</v>
      </c>
      <c r="N1668" s="2" t="s">
        <v>178</v>
      </c>
      <c r="O1668" s="2" t="s">
        <v>179</v>
      </c>
      <c r="P1668" s="2" t="s">
        <v>180</v>
      </c>
      <c r="Q1668" s="2" t="s">
        <v>181</v>
      </c>
      <c r="R1668" s="2" t="s">
        <v>182</v>
      </c>
      <c r="S1668" s="2" t="s">
        <v>30</v>
      </c>
      <c r="T1668">
        <v>2557</v>
      </c>
      <c r="U1668">
        <f>VLOOKUP(Auto_Sales_data___Copy[[#This Row],[CUSTOMER_NAME]],$AF$2:$AH$90,2,FALSE)</f>
        <v>259</v>
      </c>
      <c r="V1668">
        <f>VLOOKUP(Auto_Sales_data___Copy[[#This Row],[CUSTOMER_NAME]],$AF$2:$AH$90,3,FALSE)</f>
        <v>912294.1100000001</v>
      </c>
      <c r="W1668" s="2">
        <f>6-MATCH(Auto_Sales_data___Copy[[#This Row],[DAYS_SINCE_LAST_ORDER]],Table2[R-Cutoff],1)</f>
        <v>2</v>
      </c>
      <c r="X1668" s="2">
        <f>MATCH(Auto_Sales_data___Copy[[#This Row],[Total_Orders_Per_Customer]],Table2[F-Cutoff],1)</f>
        <v>5</v>
      </c>
      <c r="Y1668" s="2">
        <f>MATCH(Auto_Sales_data___Copy[[#This Row],[Total_Sales_Per_Customer]],Table2[M-Cutoff],1)</f>
        <v>5</v>
      </c>
      <c r="Z1668" s="2" t="str">
        <f>Auto_Sales_data___Copy[[#This Row],[R-Score(1-5)]]&amp;Auto_Sales_data___Copy[[#This Row],[F-Score(1-5)]]&amp;Auto_Sales_data___Copy[[#This Row],[M-Score(1-5)]]</f>
        <v>255</v>
      </c>
      <c r="AA1668" s="2" t="str" cm="1">
        <f t="array" ref="AA16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8" s="2" t="str">
        <f>VLOOKUP(Auto_Sales_data___Copy[[#This Row],[Segment Name]],Table3[],2,FALSE)</f>
        <v>High-Touch  Win-Back</v>
      </c>
    </row>
    <row r="1669" spans="1:28" x14ac:dyDescent="0.25">
      <c r="A1669">
        <v>10262</v>
      </c>
      <c r="B1669">
        <v>24</v>
      </c>
      <c r="C1669">
        <v>67.14</v>
      </c>
      <c r="D1669">
        <v>10</v>
      </c>
      <c r="E1669">
        <v>1611.36</v>
      </c>
      <c r="F1669" s="1">
        <v>43640</v>
      </c>
      <c r="G1669" s="2" t="s">
        <v>358</v>
      </c>
      <c r="H1669" s="2" t="s">
        <v>607</v>
      </c>
      <c r="I1669">
        <v>68</v>
      </c>
      <c r="J1669" s="2" t="s">
        <v>678</v>
      </c>
      <c r="K1669" s="2" t="s">
        <v>175</v>
      </c>
      <c r="L1669" s="2" t="s">
        <v>176</v>
      </c>
      <c r="M1669" s="2" t="s">
        <v>177</v>
      </c>
      <c r="N1669" s="2" t="s">
        <v>178</v>
      </c>
      <c r="O1669" s="2" t="s">
        <v>179</v>
      </c>
      <c r="P1669" s="2" t="s">
        <v>180</v>
      </c>
      <c r="Q1669" s="2" t="s">
        <v>181</v>
      </c>
      <c r="R1669" s="2" t="s">
        <v>182</v>
      </c>
      <c r="S1669" s="2" t="s">
        <v>30</v>
      </c>
      <c r="T1669">
        <v>2040</v>
      </c>
      <c r="U1669">
        <f>VLOOKUP(Auto_Sales_data___Copy[[#This Row],[CUSTOMER_NAME]],$AF$2:$AH$90,2,FALSE)</f>
        <v>259</v>
      </c>
      <c r="V1669">
        <f>VLOOKUP(Auto_Sales_data___Copy[[#This Row],[CUSTOMER_NAME]],$AF$2:$AH$90,3,FALSE)</f>
        <v>912294.1100000001</v>
      </c>
      <c r="W1669" s="2">
        <f>6-MATCH(Auto_Sales_data___Copy[[#This Row],[DAYS_SINCE_LAST_ORDER]],Table2[R-Cutoff],1)</f>
        <v>2</v>
      </c>
      <c r="X1669" s="2">
        <f>MATCH(Auto_Sales_data___Copy[[#This Row],[Total_Orders_Per_Customer]],Table2[F-Cutoff],1)</f>
        <v>5</v>
      </c>
      <c r="Y1669" s="2">
        <f>MATCH(Auto_Sales_data___Copy[[#This Row],[Total_Sales_Per_Customer]],Table2[M-Cutoff],1)</f>
        <v>5</v>
      </c>
      <c r="Z1669" s="2" t="str">
        <f>Auto_Sales_data___Copy[[#This Row],[R-Score(1-5)]]&amp;Auto_Sales_data___Copy[[#This Row],[F-Score(1-5)]]&amp;Auto_Sales_data___Copy[[#This Row],[M-Score(1-5)]]</f>
        <v>255</v>
      </c>
      <c r="AA1669" s="2" t="str" cm="1">
        <f t="array" ref="AA16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9" s="2" t="str">
        <f>VLOOKUP(Auto_Sales_data___Copy[[#This Row],[Segment Name]],Table3[],2,FALSE)</f>
        <v>High-Touch  Win-Back</v>
      </c>
    </row>
    <row r="1670" spans="1:28" x14ac:dyDescent="0.25">
      <c r="A1670">
        <v>10262</v>
      </c>
      <c r="B1670">
        <v>46</v>
      </c>
      <c r="C1670">
        <v>70.349999999999994</v>
      </c>
      <c r="D1670">
        <v>11</v>
      </c>
      <c r="E1670">
        <v>3236.1</v>
      </c>
      <c r="F1670" s="1">
        <v>43640</v>
      </c>
      <c r="G1670" s="2" t="s">
        <v>358</v>
      </c>
      <c r="H1670" s="2" t="s">
        <v>589</v>
      </c>
      <c r="I1670">
        <v>65</v>
      </c>
      <c r="J1670" s="2" t="s">
        <v>684</v>
      </c>
      <c r="K1670" s="2" t="s">
        <v>175</v>
      </c>
      <c r="L1670" s="2" t="s">
        <v>176</v>
      </c>
      <c r="M1670" s="2" t="s">
        <v>177</v>
      </c>
      <c r="N1670" s="2" t="s">
        <v>178</v>
      </c>
      <c r="O1670" s="2" t="s">
        <v>179</v>
      </c>
      <c r="P1670" s="2" t="s">
        <v>180</v>
      </c>
      <c r="Q1670" s="2" t="s">
        <v>181</v>
      </c>
      <c r="R1670" s="2" t="s">
        <v>182</v>
      </c>
      <c r="S1670" s="2" t="s">
        <v>46</v>
      </c>
      <c r="T1670">
        <v>2186</v>
      </c>
      <c r="U1670">
        <f>VLOOKUP(Auto_Sales_data___Copy[[#This Row],[CUSTOMER_NAME]],$AF$2:$AH$90,2,FALSE)</f>
        <v>259</v>
      </c>
      <c r="V1670">
        <f>VLOOKUP(Auto_Sales_data___Copy[[#This Row],[CUSTOMER_NAME]],$AF$2:$AH$90,3,FALSE)</f>
        <v>912294.1100000001</v>
      </c>
      <c r="W1670" s="2">
        <f>6-MATCH(Auto_Sales_data___Copy[[#This Row],[DAYS_SINCE_LAST_ORDER]],Table2[R-Cutoff],1)</f>
        <v>2</v>
      </c>
      <c r="X1670" s="2">
        <f>MATCH(Auto_Sales_data___Copy[[#This Row],[Total_Orders_Per_Customer]],Table2[F-Cutoff],1)</f>
        <v>5</v>
      </c>
      <c r="Y1670" s="2">
        <f>MATCH(Auto_Sales_data___Copy[[#This Row],[Total_Sales_Per_Customer]],Table2[M-Cutoff],1)</f>
        <v>5</v>
      </c>
      <c r="Z1670" s="2" t="str">
        <f>Auto_Sales_data___Copy[[#This Row],[R-Score(1-5)]]&amp;Auto_Sales_data___Copy[[#This Row],[F-Score(1-5)]]&amp;Auto_Sales_data___Copy[[#This Row],[M-Score(1-5)]]</f>
        <v>255</v>
      </c>
      <c r="AA1670" s="2" t="str" cm="1">
        <f t="array" ref="AA16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0" s="2" t="str">
        <f>VLOOKUP(Auto_Sales_data___Copy[[#This Row],[Segment Name]],Table3[],2,FALSE)</f>
        <v>High-Touch  Win-Back</v>
      </c>
    </row>
    <row r="1671" spans="1:28" x14ac:dyDescent="0.25">
      <c r="A1671">
        <v>10262</v>
      </c>
      <c r="B1671">
        <v>49</v>
      </c>
      <c r="C1671">
        <v>87.21</v>
      </c>
      <c r="D1671">
        <v>16</v>
      </c>
      <c r="E1671">
        <v>4273.29</v>
      </c>
      <c r="F1671" s="1">
        <v>43640</v>
      </c>
      <c r="G1671" s="2" t="s">
        <v>358</v>
      </c>
      <c r="H1671" s="2" t="s">
        <v>589</v>
      </c>
      <c r="I1671">
        <v>83</v>
      </c>
      <c r="J1671" s="2" t="s">
        <v>686</v>
      </c>
      <c r="K1671" s="2" t="s">
        <v>175</v>
      </c>
      <c r="L1671" s="2" t="s">
        <v>176</v>
      </c>
      <c r="M1671" s="2" t="s">
        <v>177</v>
      </c>
      <c r="N1671" s="2" t="s">
        <v>178</v>
      </c>
      <c r="O1671" s="2" t="s">
        <v>179</v>
      </c>
      <c r="P1671" s="2" t="s">
        <v>180</v>
      </c>
      <c r="Q1671" s="2" t="s">
        <v>181</v>
      </c>
      <c r="R1671" s="2" t="s">
        <v>182</v>
      </c>
      <c r="S1671" s="2" t="s">
        <v>46</v>
      </c>
      <c r="T1671">
        <v>2235</v>
      </c>
      <c r="U1671">
        <f>VLOOKUP(Auto_Sales_data___Copy[[#This Row],[CUSTOMER_NAME]],$AF$2:$AH$90,2,FALSE)</f>
        <v>259</v>
      </c>
      <c r="V1671">
        <f>VLOOKUP(Auto_Sales_data___Copy[[#This Row],[CUSTOMER_NAME]],$AF$2:$AH$90,3,FALSE)</f>
        <v>912294.1100000001</v>
      </c>
      <c r="W1671" s="2">
        <f>6-MATCH(Auto_Sales_data___Copy[[#This Row],[DAYS_SINCE_LAST_ORDER]],Table2[R-Cutoff],1)</f>
        <v>2</v>
      </c>
      <c r="X1671" s="2">
        <f>MATCH(Auto_Sales_data___Copy[[#This Row],[Total_Orders_Per_Customer]],Table2[F-Cutoff],1)</f>
        <v>5</v>
      </c>
      <c r="Y1671" s="2">
        <f>MATCH(Auto_Sales_data___Copy[[#This Row],[Total_Sales_Per_Customer]],Table2[M-Cutoff],1)</f>
        <v>5</v>
      </c>
      <c r="Z1671" s="2" t="str">
        <f>Auto_Sales_data___Copy[[#This Row],[R-Score(1-5)]]&amp;Auto_Sales_data___Copy[[#This Row],[F-Score(1-5)]]&amp;Auto_Sales_data___Copy[[#This Row],[M-Score(1-5)]]</f>
        <v>255</v>
      </c>
      <c r="AA1671" s="2" t="str" cm="1">
        <f t="array" ref="AA16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1" s="2" t="str">
        <f>VLOOKUP(Auto_Sales_data___Copy[[#This Row],[Segment Name]],Table3[],2,FALSE)</f>
        <v>High-Touch  Win-Back</v>
      </c>
    </row>
    <row r="1672" spans="1:28" x14ac:dyDescent="0.25">
      <c r="A1672">
        <v>10262</v>
      </c>
      <c r="B1672">
        <v>48</v>
      </c>
      <c r="C1672">
        <v>61.42</v>
      </c>
      <c r="D1672">
        <v>8</v>
      </c>
      <c r="E1672">
        <v>2948.16</v>
      </c>
      <c r="F1672" s="1">
        <v>43640</v>
      </c>
      <c r="G1672" s="2" t="s">
        <v>358</v>
      </c>
      <c r="H1672" s="2" t="s">
        <v>607</v>
      </c>
      <c r="I1672">
        <v>68</v>
      </c>
      <c r="J1672" s="2" t="s">
        <v>688</v>
      </c>
      <c r="K1672" s="2" t="s">
        <v>175</v>
      </c>
      <c r="L1672" s="2" t="s">
        <v>176</v>
      </c>
      <c r="M1672" s="2" t="s">
        <v>177</v>
      </c>
      <c r="N1672" s="2" t="s">
        <v>178</v>
      </c>
      <c r="O1672" s="2" t="s">
        <v>179</v>
      </c>
      <c r="P1672" s="2" t="s">
        <v>180</v>
      </c>
      <c r="Q1672" s="2" t="s">
        <v>181</v>
      </c>
      <c r="R1672" s="2" t="s">
        <v>182</v>
      </c>
      <c r="S1672" s="2" t="s">
        <v>30</v>
      </c>
      <c r="T1672">
        <v>2287</v>
      </c>
      <c r="U1672">
        <f>VLOOKUP(Auto_Sales_data___Copy[[#This Row],[CUSTOMER_NAME]],$AF$2:$AH$90,2,FALSE)</f>
        <v>259</v>
      </c>
      <c r="V1672">
        <f>VLOOKUP(Auto_Sales_data___Copy[[#This Row],[CUSTOMER_NAME]],$AF$2:$AH$90,3,FALSE)</f>
        <v>912294.1100000001</v>
      </c>
      <c r="W1672" s="2">
        <f>6-MATCH(Auto_Sales_data___Copy[[#This Row],[DAYS_SINCE_LAST_ORDER]],Table2[R-Cutoff],1)</f>
        <v>2</v>
      </c>
      <c r="X1672" s="2">
        <f>MATCH(Auto_Sales_data___Copy[[#This Row],[Total_Orders_Per_Customer]],Table2[F-Cutoff],1)</f>
        <v>5</v>
      </c>
      <c r="Y1672" s="2">
        <f>MATCH(Auto_Sales_data___Copy[[#This Row],[Total_Sales_Per_Customer]],Table2[M-Cutoff],1)</f>
        <v>5</v>
      </c>
      <c r="Z1672" s="2" t="str">
        <f>Auto_Sales_data___Copy[[#This Row],[R-Score(1-5)]]&amp;Auto_Sales_data___Copy[[#This Row],[F-Score(1-5)]]&amp;Auto_Sales_data___Copy[[#This Row],[M-Score(1-5)]]</f>
        <v>255</v>
      </c>
      <c r="AA1672" s="2" t="str" cm="1">
        <f t="array" ref="AA16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2" s="2" t="str">
        <f>VLOOKUP(Auto_Sales_data___Copy[[#This Row],[Segment Name]],Table3[],2,FALSE)</f>
        <v>High-Touch  Win-Back</v>
      </c>
    </row>
    <row r="1673" spans="1:28" x14ac:dyDescent="0.25">
      <c r="A1673">
        <v>10279</v>
      </c>
      <c r="B1673">
        <v>33</v>
      </c>
      <c r="C1673">
        <v>71.06</v>
      </c>
      <c r="D1673">
        <v>4</v>
      </c>
      <c r="E1673">
        <v>2344.98</v>
      </c>
      <c r="F1673" s="1">
        <v>43686</v>
      </c>
      <c r="G1673" s="2" t="s">
        <v>19</v>
      </c>
      <c r="H1673" s="2" t="s">
        <v>183</v>
      </c>
      <c r="I1673">
        <v>85</v>
      </c>
      <c r="J1673" s="2" t="s">
        <v>682</v>
      </c>
      <c r="K1673" s="2" t="s">
        <v>175</v>
      </c>
      <c r="L1673" s="2" t="s">
        <v>176</v>
      </c>
      <c r="M1673" s="2" t="s">
        <v>177</v>
      </c>
      <c r="N1673" s="2" t="s">
        <v>178</v>
      </c>
      <c r="O1673" s="2" t="s">
        <v>179</v>
      </c>
      <c r="P1673" s="2" t="s">
        <v>180</v>
      </c>
      <c r="Q1673" s="2" t="s">
        <v>181</v>
      </c>
      <c r="R1673" s="2" t="s">
        <v>182</v>
      </c>
      <c r="S1673" s="2" t="s">
        <v>30</v>
      </c>
      <c r="T1673">
        <v>2093</v>
      </c>
      <c r="U1673">
        <f>VLOOKUP(Auto_Sales_data___Copy[[#This Row],[CUSTOMER_NAME]],$AF$2:$AH$90,2,FALSE)</f>
        <v>259</v>
      </c>
      <c r="V1673">
        <f>VLOOKUP(Auto_Sales_data___Copy[[#This Row],[CUSTOMER_NAME]],$AF$2:$AH$90,3,FALSE)</f>
        <v>912294.1100000001</v>
      </c>
      <c r="W1673" s="2">
        <f>6-MATCH(Auto_Sales_data___Copy[[#This Row],[DAYS_SINCE_LAST_ORDER]],Table2[R-Cutoff],1)</f>
        <v>2</v>
      </c>
      <c r="X1673" s="2">
        <f>MATCH(Auto_Sales_data___Copy[[#This Row],[Total_Orders_Per_Customer]],Table2[F-Cutoff],1)</f>
        <v>5</v>
      </c>
      <c r="Y1673" s="2">
        <f>MATCH(Auto_Sales_data___Copy[[#This Row],[Total_Sales_Per_Customer]],Table2[M-Cutoff],1)</f>
        <v>5</v>
      </c>
      <c r="Z1673" s="2" t="str">
        <f>Auto_Sales_data___Copy[[#This Row],[R-Score(1-5)]]&amp;Auto_Sales_data___Copy[[#This Row],[F-Score(1-5)]]&amp;Auto_Sales_data___Copy[[#This Row],[M-Score(1-5)]]</f>
        <v>255</v>
      </c>
      <c r="AA1673" s="2" t="str" cm="1">
        <f t="array" ref="AA16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3" s="2" t="str">
        <f>VLOOKUP(Auto_Sales_data___Copy[[#This Row],[Segment Name]],Table3[],2,FALSE)</f>
        <v>High-Touch  Win-Back</v>
      </c>
    </row>
    <row r="1674" spans="1:28" x14ac:dyDescent="0.25">
      <c r="A1674">
        <v>10279</v>
      </c>
      <c r="B1674">
        <v>48</v>
      </c>
      <c r="C1674">
        <v>128.5</v>
      </c>
      <c r="D1674">
        <v>6</v>
      </c>
      <c r="E1674">
        <v>6168</v>
      </c>
      <c r="F1674" s="1">
        <v>43686</v>
      </c>
      <c r="G1674" s="2" t="s">
        <v>19</v>
      </c>
      <c r="H1674" s="2" t="s">
        <v>183</v>
      </c>
      <c r="I1674">
        <v>107</v>
      </c>
      <c r="J1674" s="2" t="s">
        <v>685</v>
      </c>
      <c r="K1674" s="2" t="s">
        <v>175</v>
      </c>
      <c r="L1674" s="2" t="s">
        <v>176</v>
      </c>
      <c r="M1674" s="2" t="s">
        <v>177</v>
      </c>
      <c r="N1674" s="2" t="s">
        <v>178</v>
      </c>
      <c r="O1674" s="2" t="s">
        <v>179</v>
      </c>
      <c r="P1674" s="2" t="s">
        <v>180</v>
      </c>
      <c r="Q1674" s="2" t="s">
        <v>181</v>
      </c>
      <c r="R1674" s="2" t="s">
        <v>182</v>
      </c>
      <c r="S1674" s="2" t="s">
        <v>46</v>
      </c>
      <c r="T1674">
        <v>2167</v>
      </c>
      <c r="U1674">
        <f>VLOOKUP(Auto_Sales_data___Copy[[#This Row],[CUSTOMER_NAME]],$AF$2:$AH$90,2,FALSE)</f>
        <v>259</v>
      </c>
      <c r="V1674">
        <f>VLOOKUP(Auto_Sales_data___Copy[[#This Row],[CUSTOMER_NAME]],$AF$2:$AH$90,3,FALSE)</f>
        <v>912294.1100000001</v>
      </c>
      <c r="W1674" s="2">
        <f>6-MATCH(Auto_Sales_data___Copy[[#This Row],[DAYS_SINCE_LAST_ORDER]],Table2[R-Cutoff],1)</f>
        <v>2</v>
      </c>
      <c r="X1674" s="2">
        <f>MATCH(Auto_Sales_data___Copy[[#This Row],[Total_Orders_Per_Customer]],Table2[F-Cutoff],1)</f>
        <v>5</v>
      </c>
      <c r="Y1674" s="2">
        <f>MATCH(Auto_Sales_data___Copy[[#This Row],[Total_Sales_Per_Customer]],Table2[M-Cutoff],1)</f>
        <v>5</v>
      </c>
      <c r="Z1674" s="2" t="str">
        <f>Auto_Sales_data___Copy[[#This Row],[R-Score(1-5)]]&amp;Auto_Sales_data___Copy[[#This Row],[F-Score(1-5)]]&amp;Auto_Sales_data___Copy[[#This Row],[M-Score(1-5)]]</f>
        <v>255</v>
      </c>
      <c r="AA1674" s="2" t="str" cm="1">
        <f t="array" ref="AA16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4" s="2" t="str">
        <f>VLOOKUP(Auto_Sales_data___Copy[[#This Row],[Segment Name]],Table3[],2,FALSE)</f>
        <v>High-Touch  Win-Back</v>
      </c>
    </row>
    <row r="1675" spans="1:28" x14ac:dyDescent="0.25">
      <c r="A1675">
        <v>10311</v>
      </c>
      <c r="B1675">
        <v>25</v>
      </c>
      <c r="C1675">
        <v>83.04</v>
      </c>
      <c r="D1675">
        <v>5</v>
      </c>
      <c r="E1675">
        <v>2076</v>
      </c>
      <c r="F1675" s="1">
        <v>43754</v>
      </c>
      <c r="G1675" s="2" t="s">
        <v>19</v>
      </c>
      <c r="H1675" s="2" t="s">
        <v>183</v>
      </c>
      <c r="I1675">
        <v>85</v>
      </c>
      <c r="J1675" s="2" t="s">
        <v>682</v>
      </c>
      <c r="K1675" s="2" t="s">
        <v>175</v>
      </c>
      <c r="L1675" s="2" t="s">
        <v>176</v>
      </c>
      <c r="M1675" s="2" t="s">
        <v>177</v>
      </c>
      <c r="N1675" s="2" t="s">
        <v>178</v>
      </c>
      <c r="O1675" s="2" t="s">
        <v>179</v>
      </c>
      <c r="P1675" s="2" t="s">
        <v>180</v>
      </c>
      <c r="Q1675" s="2" t="s">
        <v>181</v>
      </c>
      <c r="R1675" s="2" t="s">
        <v>182</v>
      </c>
      <c r="S1675" s="2" t="s">
        <v>30</v>
      </c>
      <c r="T1675">
        <v>2028</v>
      </c>
      <c r="U1675">
        <f>VLOOKUP(Auto_Sales_data___Copy[[#This Row],[CUSTOMER_NAME]],$AF$2:$AH$90,2,FALSE)</f>
        <v>259</v>
      </c>
      <c r="V1675">
        <f>VLOOKUP(Auto_Sales_data___Copy[[#This Row],[CUSTOMER_NAME]],$AF$2:$AH$90,3,FALSE)</f>
        <v>912294.1100000001</v>
      </c>
      <c r="W1675" s="2">
        <f>6-MATCH(Auto_Sales_data___Copy[[#This Row],[DAYS_SINCE_LAST_ORDER]],Table2[R-Cutoff],1)</f>
        <v>2</v>
      </c>
      <c r="X1675" s="2">
        <f>MATCH(Auto_Sales_data___Copy[[#This Row],[Total_Orders_Per_Customer]],Table2[F-Cutoff],1)</f>
        <v>5</v>
      </c>
      <c r="Y1675" s="2">
        <f>MATCH(Auto_Sales_data___Copy[[#This Row],[Total_Sales_Per_Customer]],Table2[M-Cutoff],1)</f>
        <v>5</v>
      </c>
      <c r="Z1675" s="2" t="str">
        <f>Auto_Sales_data___Copy[[#This Row],[R-Score(1-5)]]&amp;Auto_Sales_data___Copy[[#This Row],[F-Score(1-5)]]&amp;Auto_Sales_data___Copy[[#This Row],[M-Score(1-5)]]</f>
        <v>255</v>
      </c>
      <c r="AA1675" s="2" t="str" cm="1">
        <f t="array" ref="AA16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5" s="2" t="str">
        <f>VLOOKUP(Auto_Sales_data___Copy[[#This Row],[Segment Name]],Table3[],2,FALSE)</f>
        <v>High-Touch  Win-Back</v>
      </c>
    </row>
    <row r="1676" spans="1:28" x14ac:dyDescent="0.25">
      <c r="A1676">
        <v>10311</v>
      </c>
      <c r="B1676">
        <v>46</v>
      </c>
      <c r="C1676">
        <v>92.09</v>
      </c>
      <c r="D1676">
        <v>7</v>
      </c>
      <c r="E1676">
        <v>4236.1400000000003</v>
      </c>
      <c r="F1676" s="1">
        <v>43754</v>
      </c>
      <c r="G1676" s="2" t="s">
        <v>19</v>
      </c>
      <c r="H1676" s="2" t="s">
        <v>183</v>
      </c>
      <c r="I1676">
        <v>107</v>
      </c>
      <c r="J1676" s="2" t="s">
        <v>685</v>
      </c>
      <c r="K1676" s="2" t="s">
        <v>175</v>
      </c>
      <c r="L1676" s="2" t="s">
        <v>176</v>
      </c>
      <c r="M1676" s="2" t="s">
        <v>177</v>
      </c>
      <c r="N1676" s="2" t="s">
        <v>178</v>
      </c>
      <c r="O1676" s="2" t="s">
        <v>179</v>
      </c>
      <c r="P1676" s="2" t="s">
        <v>180</v>
      </c>
      <c r="Q1676" s="2" t="s">
        <v>181</v>
      </c>
      <c r="R1676" s="2" t="s">
        <v>182</v>
      </c>
      <c r="S1676" s="2" t="s">
        <v>46</v>
      </c>
      <c r="T1676">
        <v>2102</v>
      </c>
      <c r="U1676">
        <f>VLOOKUP(Auto_Sales_data___Copy[[#This Row],[CUSTOMER_NAME]],$AF$2:$AH$90,2,FALSE)</f>
        <v>259</v>
      </c>
      <c r="V1676">
        <f>VLOOKUP(Auto_Sales_data___Copy[[#This Row],[CUSTOMER_NAME]],$AF$2:$AH$90,3,FALSE)</f>
        <v>912294.1100000001</v>
      </c>
      <c r="W1676" s="2">
        <f>6-MATCH(Auto_Sales_data___Copy[[#This Row],[DAYS_SINCE_LAST_ORDER]],Table2[R-Cutoff],1)</f>
        <v>2</v>
      </c>
      <c r="X1676" s="2">
        <f>MATCH(Auto_Sales_data___Copy[[#This Row],[Total_Orders_Per_Customer]],Table2[F-Cutoff],1)</f>
        <v>5</v>
      </c>
      <c r="Y1676" s="2">
        <f>MATCH(Auto_Sales_data___Copy[[#This Row],[Total_Sales_Per_Customer]],Table2[M-Cutoff],1)</f>
        <v>5</v>
      </c>
      <c r="Z1676" s="2" t="str">
        <f>Auto_Sales_data___Copy[[#This Row],[R-Score(1-5)]]&amp;Auto_Sales_data___Copy[[#This Row],[F-Score(1-5)]]&amp;Auto_Sales_data___Copy[[#This Row],[M-Score(1-5)]]</f>
        <v>255</v>
      </c>
      <c r="AA1676" s="2" t="str" cm="1">
        <f t="array" ref="AA16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6" s="2" t="str">
        <f>VLOOKUP(Auto_Sales_data___Copy[[#This Row],[Segment Name]],Table3[],2,FALSE)</f>
        <v>High-Touch  Win-Back</v>
      </c>
    </row>
    <row r="1677" spans="1:28" x14ac:dyDescent="0.25">
      <c r="A1677">
        <v>10350</v>
      </c>
      <c r="B1677">
        <v>25</v>
      </c>
      <c r="C1677">
        <v>60.34</v>
      </c>
      <c r="D1677">
        <v>10</v>
      </c>
      <c r="E1677">
        <v>1508.5</v>
      </c>
      <c r="F1677" s="1">
        <v>43801</v>
      </c>
      <c r="G1677" s="2" t="s">
        <v>19</v>
      </c>
      <c r="H1677" s="2" t="s">
        <v>589</v>
      </c>
      <c r="I1677">
        <v>83</v>
      </c>
      <c r="J1677" s="2" t="s">
        <v>686</v>
      </c>
      <c r="K1677" s="2" t="s">
        <v>175</v>
      </c>
      <c r="L1677" s="2" t="s">
        <v>176</v>
      </c>
      <c r="M1677" s="2" t="s">
        <v>177</v>
      </c>
      <c r="N1677" s="2" t="s">
        <v>178</v>
      </c>
      <c r="O1677" s="2" t="s">
        <v>179</v>
      </c>
      <c r="P1677" s="2" t="s">
        <v>180</v>
      </c>
      <c r="Q1677" s="2" t="s">
        <v>181</v>
      </c>
      <c r="R1677" s="2" t="s">
        <v>182</v>
      </c>
      <c r="S1677" s="2" t="s">
        <v>30</v>
      </c>
      <c r="T1677">
        <v>2082</v>
      </c>
      <c r="U1677">
        <f>VLOOKUP(Auto_Sales_data___Copy[[#This Row],[CUSTOMER_NAME]],$AF$2:$AH$90,2,FALSE)</f>
        <v>259</v>
      </c>
      <c r="V1677">
        <f>VLOOKUP(Auto_Sales_data___Copy[[#This Row],[CUSTOMER_NAME]],$AF$2:$AH$90,3,FALSE)</f>
        <v>912294.1100000001</v>
      </c>
      <c r="W1677" s="2">
        <f>6-MATCH(Auto_Sales_data___Copy[[#This Row],[DAYS_SINCE_LAST_ORDER]],Table2[R-Cutoff],1)</f>
        <v>2</v>
      </c>
      <c r="X1677" s="2">
        <f>MATCH(Auto_Sales_data___Copy[[#This Row],[Total_Orders_Per_Customer]],Table2[F-Cutoff],1)</f>
        <v>5</v>
      </c>
      <c r="Y1677" s="2">
        <f>MATCH(Auto_Sales_data___Copy[[#This Row],[Total_Sales_Per_Customer]],Table2[M-Cutoff],1)</f>
        <v>5</v>
      </c>
      <c r="Z1677" s="2" t="str">
        <f>Auto_Sales_data___Copy[[#This Row],[R-Score(1-5)]]&amp;Auto_Sales_data___Copy[[#This Row],[F-Score(1-5)]]&amp;Auto_Sales_data___Copy[[#This Row],[M-Score(1-5)]]</f>
        <v>255</v>
      </c>
      <c r="AA1677" s="2" t="str" cm="1">
        <f t="array" ref="AA16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7" s="2" t="str">
        <f>VLOOKUP(Auto_Sales_data___Copy[[#This Row],[Segment Name]],Table3[],2,FALSE)</f>
        <v>High-Touch  Win-Back</v>
      </c>
    </row>
    <row r="1678" spans="1:28" x14ac:dyDescent="0.25">
      <c r="A1678">
        <v>10350</v>
      </c>
      <c r="B1678">
        <v>27</v>
      </c>
      <c r="C1678">
        <v>163.19999999999999</v>
      </c>
      <c r="D1678">
        <v>14</v>
      </c>
      <c r="E1678">
        <v>4406.3999999999996</v>
      </c>
      <c r="F1678" s="1">
        <v>43801</v>
      </c>
      <c r="G1678" s="2" t="s">
        <v>19</v>
      </c>
      <c r="H1678" s="2" t="s">
        <v>650</v>
      </c>
      <c r="I1678">
        <v>62</v>
      </c>
      <c r="J1678" s="2" t="s">
        <v>698</v>
      </c>
      <c r="K1678" s="2" t="s">
        <v>175</v>
      </c>
      <c r="L1678" s="2" t="s">
        <v>176</v>
      </c>
      <c r="M1678" s="2" t="s">
        <v>177</v>
      </c>
      <c r="N1678" s="2" t="s">
        <v>178</v>
      </c>
      <c r="O1678" s="2" t="s">
        <v>179</v>
      </c>
      <c r="P1678" s="2" t="s">
        <v>180</v>
      </c>
      <c r="Q1678" s="2" t="s">
        <v>181</v>
      </c>
      <c r="R1678" s="2" t="s">
        <v>182</v>
      </c>
      <c r="S1678" s="2" t="s">
        <v>46</v>
      </c>
      <c r="T1678">
        <v>2382</v>
      </c>
      <c r="U1678">
        <f>VLOOKUP(Auto_Sales_data___Copy[[#This Row],[CUSTOMER_NAME]],$AF$2:$AH$90,2,FALSE)</f>
        <v>259</v>
      </c>
      <c r="V1678">
        <f>VLOOKUP(Auto_Sales_data___Copy[[#This Row],[CUSTOMER_NAME]],$AF$2:$AH$90,3,FALSE)</f>
        <v>912294.1100000001</v>
      </c>
      <c r="W1678" s="2">
        <f>6-MATCH(Auto_Sales_data___Copy[[#This Row],[DAYS_SINCE_LAST_ORDER]],Table2[R-Cutoff],1)</f>
        <v>2</v>
      </c>
      <c r="X1678" s="2">
        <f>MATCH(Auto_Sales_data___Copy[[#This Row],[Total_Orders_Per_Customer]],Table2[F-Cutoff],1)</f>
        <v>5</v>
      </c>
      <c r="Y1678" s="2">
        <f>MATCH(Auto_Sales_data___Copy[[#This Row],[Total_Sales_Per_Customer]],Table2[M-Cutoff],1)</f>
        <v>5</v>
      </c>
      <c r="Z1678" s="2" t="str">
        <f>Auto_Sales_data___Copy[[#This Row],[R-Score(1-5)]]&amp;Auto_Sales_data___Copy[[#This Row],[F-Score(1-5)]]&amp;Auto_Sales_data___Copy[[#This Row],[M-Score(1-5)]]</f>
        <v>255</v>
      </c>
      <c r="AA1678" s="2" t="str" cm="1">
        <f t="array" ref="AA16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8" s="2" t="str">
        <f>VLOOKUP(Auto_Sales_data___Copy[[#This Row],[Segment Name]],Table3[],2,FALSE)</f>
        <v>High-Touch  Win-Back</v>
      </c>
    </row>
    <row r="1679" spans="1:28" x14ac:dyDescent="0.25">
      <c r="A1679">
        <v>10350</v>
      </c>
      <c r="B1679">
        <v>31</v>
      </c>
      <c r="C1679">
        <v>71.400000000000006</v>
      </c>
      <c r="D1679">
        <v>8</v>
      </c>
      <c r="E1679">
        <v>2213.4</v>
      </c>
      <c r="F1679" s="1">
        <v>43801</v>
      </c>
      <c r="G1679" s="2" t="s">
        <v>19</v>
      </c>
      <c r="H1679" s="2" t="s">
        <v>537</v>
      </c>
      <c r="I1679">
        <v>115</v>
      </c>
      <c r="J1679" s="2" t="s">
        <v>703</v>
      </c>
      <c r="K1679" s="2" t="s">
        <v>175</v>
      </c>
      <c r="L1679" s="2" t="s">
        <v>176</v>
      </c>
      <c r="M1679" s="2" t="s">
        <v>177</v>
      </c>
      <c r="N1679" s="2" t="s">
        <v>178</v>
      </c>
      <c r="O1679" s="2" t="s">
        <v>179</v>
      </c>
      <c r="P1679" s="2" t="s">
        <v>180</v>
      </c>
      <c r="Q1679" s="2" t="s">
        <v>181</v>
      </c>
      <c r="R1679" s="2" t="s">
        <v>182</v>
      </c>
      <c r="S1679" s="2" t="s">
        <v>30</v>
      </c>
      <c r="T1679">
        <v>2509</v>
      </c>
      <c r="U1679">
        <f>VLOOKUP(Auto_Sales_data___Copy[[#This Row],[CUSTOMER_NAME]],$AF$2:$AH$90,2,FALSE)</f>
        <v>259</v>
      </c>
      <c r="V1679">
        <f>VLOOKUP(Auto_Sales_data___Copy[[#This Row],[CUSTOMER_NAME]],$AF$2:$AH$90,3,FALSE)</f>
        <v>912294.1100000001</v>
      </c>
      <c r="W1679" s="2">
        <f>6-MATCH(Auto_Sales_data___Copy[[#This Row],[DAYS_SINCE_LAST_ORDER]],Table2[R-Cutoff],1)</f>
        <v>2</v>
      </c>
      <c r="X1679" s="2">
        <f>MATCH(Auto_Sales_data___Copy[[#This Row],[Total_Orders_Per_Customer]],Table2[F-Cutoff],1)</f>
        <v>5</v>
      </c>
      <c r="Y1679" s="2">
        <f>MATCH(Auto_Sales_data___Copy[[#This Row],[Total_Sales_Per_Customer]],Table2[M-Cutoff],1)</f>
        <v>5</v>
      </c>
      <c r="Z1679" s="2" t="str">
        <f>Auto_Sales_data___Copy[[#This Row],[R-Score(1-5)]]&amp;Auto_Sales_data___Copy[[#This Row],[F-Score(1-5)]]&amp;Auto_Sales_data___Copy[[#This Row],[M-Score(1-5)]]</f>
        <v>255</v>
      </c>
      <c r="AA1679" s="2" t="str" cm="1">
        <f t="array" ref="AA16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9" s="2" t="str">
        <f>VLOOKUP(Auto_Sales_data___Copy[[#This Row],[Segment Name]],Table3[],2,FALSE)</f>
        <v>High-Touch  Win-Back</v>
      </c>
    </row>
    <row r="1680" spans="1:28" x14ac:dyDescent="0.25">
      <c r="A1680">
        <v>10350</v>
      </c>
      <c r="B1680">
        <v>44</v>
      </c>
      <c r="C1680">
        <v>147.52000000000001</v>
      </c>
      <c r="D1680">
        <v>17</v>
      </c>
      <c r="E1680">
        <v>6490.88</v>
      </c>
      <c r="F1680" s="1">
        <v>43801</v>
      </c>
      <c r="G1680" s="2" t="s">
        <v>19</v>
      </c>
      <c r="H1680" s="2" t="s">
        <v>650</v>
      </c>
      <c r="I1680">
        <v>58</v>
      </c>
      <c r="J1680" s="2" t="s">
        <v>704</v>
      </c>
      <c r="K1680" s="2" t="s">
        <v>175</v>
      </c>
      <c r="L1680" s="2" t="s">
        <v>176</v>
      </c>
      <c r="M1680" s="2" t="s">
        <v>177</v>
      </c>
      <c r="N1680" s="2" t="s">
        <v>178</v>
      </c>
      <c r="O1680" s="2" t="s">
        <v>179</v>
      </c>
      <c r="P1680" s="2" t="s">
        <v>180</v>
      </c>
      <c r="Q1680" s="2" t="s">
        <v>181</v>
      </c>
      <c r="R1680" s="2" t="s">
        <v>182</v>
      </c>
      <c r="S1680" s="2" t="s">
        <v>46</v>
      </c>
      <c r="T1680">
        <v>2536</v>
      </c>
      <c r="U1680">
        <f>VLOOKUP(Auto_Sales_data___Copy[[#This Row],[CUSTOMER_NAME]],$AF$2:$AH$90,2,FALSE)</f>
        <v>259</v>
      </c>
      <c r="V1680">
        <f>VLOOKUP(Auto_Sales_data___Copy[[#This Row],[CUSTOMER_NAME]],$AF$2:$AH$90,3,FALSE)</f>
        <v>912294.1100000001</v>
      </c>
      <c r="W1680" s="2">
        <f>6-MATCH(Auto_Sales_data___Copy[[#This Row],[DAYS_SINCE_LAST_ORDER]],Table2[R-Cutoff],1)</f>
        <v>2</v>
      </c>
      <c r="X1680" s="2">
        <f>MATCH(Auto_Sales_data___Copy[[#This Row],[Total_Orders_Per_Customer]],Table2[F-Cutoff],1)</f>
        <v>5</v>
      </c>
      <c r="Y1680" s="2">
        <f>MATCH(Auto_Sales_data___Copy[[#This Row],[Total_Sales_Per_Customer]],Table2[M-Cutoff],1)</f>
        <v>5</v>
      </c>
      <c r="Z1680" s="2" t="str">
        <f>Auto_Sales_data___Copy[[#This Row],[R-Score(1-5)]]&amp;Auto_Sales_data___Copy[[#This Row],[F-Score(1-5)]]&amp;Auto_Sales_data___Copy[[#This Row],[M-Score(1-5)]]</f>
        <v>255</v>
      </c>
      <c r="AA1680" s="2" t="str" cm="1">
        <f t="array" ref="AA16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0" s="2" t="str">
        <f>VLOOKUP(Auto_Sales_data___Copy[[#This Row],[Segment Name]],Table3[],2,FALSE)</f>
        <v>High-Touch  Win-Back</v>
      </c>
    </row>
    <row r="1681" spans="1:28" x14ac:dyDescent="0.25">
      <c r="A1681">
        <v>10355</v>
      </c>
      <c r="B1681">
        <v>32</v>
      </c>
      <c r="C1681">
        <v>165.71</v>
      </c>
      <c r="D1681">
        <v>8</v>
      </c>
      <c r="E1681">
        <v>5302.72</v>
      </c>
      <c r="F1681" s="1">
        <v>43806</v>
      </c>
      <c r="G1681" s="2" t="s">
        <v>19</v>
      </c>
      <c r="H1681" s="2" t="s">
        <v>183</v>
      </c>
      <c r="I1681">
        <v>140</v>
      </c>
      <c r="J1681" s="2" t="s">
        <v>687</v>
      </c>
      <c r="K1681" s="2" t="s">
        <v>175</v>
      </c>
      <c r="L1681" s="2" t="s">
        <v>176</v>
      </c>
      <c r="M1681" s="2" t="s">
        <v>177</v>
      </c>
      <c r="N1681" s="2" t="s">
        <v>178</v>
      </c>
      <c r="O1681" s="2" t="s">
        <v>179</v>
      </c>
      <c r="P1681" s="2" t="s">
        <v>180</v>
      </c>
      <c r="Q1681" s="2" t="s">
        <v>181</v>
      </c>
      <c r="R1681" s="2" t="s">
        <v>182</v>
      </c>
      <c r="S1681" s="2" t="s">
        <v>46</v>
      </c>
      <c r="T1681">
        <v>2103</v>
      </c>
      <c r="U1681">
        <f>VLOOKUP(Auto_Sales_data___Copy[[#This Row],[CUSTOMER_NAME]],$AF$2:$AH$90,2,FALSE)</f>
        <v>259</v>
      </c>
      <c r="V1681">
        <f>VLOOKUP(Auto_Sales_data___Copy[[#This Row],[CUSTOMER_NAME]],$AF$2:$AH$90,3,FALSE)</f>
        <v>912294.1100000001</v>
      </c>
      <c r="W1681" s="2">
        <f>6-MATCH(Auto_Sales_data___Copy[[#This Row],[DAYS_SINCE_LAST_ORDER]],Table2[R-Cutoff],1)</f>
        <v>2</v>
      </c>
      <c r="X1681" s="2">
        <f>MATCH(Auto_Sales_data___Copy[[#This Row],[Total_Orders_Per_Customer]],Table2[F-Cutoff],1)</f>
        <v>5</v>
      </c>
      <c r="Y1681" s="2">
        <f>MATCH(Auto_Sales_data___Copy[[#This Row],[Total_Sales_Per_Customer]],Table2[M-Cutoff],1)</f>
        <v>5</v>
      </c>
      <c r="Z1681" s="2" t="str">
        <f>Auto_Sales_data___Copy[[#This Row],[R-Score(1-5)]]&amp;Auto_Sales_data___Copy[[#This Row],[F-Score(1-5)]]&amp;Auto_Sales_data___Copy[[#This Row],[M-Score(1-5)]]</f>
        <v>255</v>
      </c>
      <c r="AA1681" s="2" t="str" cm="1">
        <f t="array" ref="AA16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1" s="2" t="str">
        <f>VLOOKUP(Auto_Sales_data___Copy[[#This Row],[Segment Name]],Table3[],2,FALSE)</f>
        <v>High-Touch  Win-Back</v>
      </c>
    </row>
    <row r="1682" spans="1:28" x14ac:dyDescent="0.25">
      <c r="A1682">
        <v>10355</v>
      </c>
      <c r="B1682">
        <v>28</v>
      </c>
      <c r="C1682">
        <v>95.39</v>
      </c>
      <c r="D1682">
        <v>9</v>
      </c>
      <c r="E1682">
        <v>2670.92</v>
      </c>
      <c r="F1682" s="1">
        <v>43806</v>
      </c>
      <c r="G1682" s="2" t="s">
        <v>19</v>
      </c>
      <c r="H1682" s="2" t="s">
        <v>183</v>
      </c>
      <c r="I1682">
        <v>80</v>
      </c>
      <c r="J1682" s="2" t="s">
        <v>693</v>
      </c>
      <c r="K1682" s="2" t="s">
        <v>175</v>
      </c>
      <c r="L1682" s="2" t="s">
        <v>176</v>
      </c>
      <c r="M1682" s="2" t="s">
        <v>177</v>
      </c>
      <c r="N1682" s="2" t="s">
        <v>178</v>
      </c>
      <c r="O1682" s="2" t="s">
        <v>179</v>
      </c>
      <c r="P1682" s="2" t="s">
        <v>180</v>
      </c>
      <c r="Q1682" s="2" t="s">
        <v>181</v>
      </c>
      <c r="R1682" s="2" t="s">
        <v>182</v>
      </c>
      <c r="S1682" s="2" t="s">
        <v>30</v>
      </c>
      <c r="T1682">
        <v>2250</v>
      </c>
      <c r="U1682">
        <f>VLOOKUP(Auto_Sales_data___Copy[[#This Row],[CUSTOMER_NAME]],$AF$2:$AH$90,2,FALSE)</f>
        <v>259</v>
      </c>
      <c r="V1682">
        <f>VLOOKUP(Auto_Sales_data___Copy[[#This Row],[CUSTOMER_NAME]],$AF$2:$AH$90,3,FALSE)</f>
        <v>912294.1100000001</v>
      </c>
      <c r="W1682" s="2">
        <f>6-MATCH(Auto_Sales_data___Copy[[#This Row],[DAYS_SINCE_LAST_ORDER]],Table2[R-Cutoff],1)</f>
        <v>2</v>
      </c>
      <c r="X1682" s="2">
        <f>MATCH(Auto_Sales_data___Copy[[#This Row],[Total_Orders_Per_Customer]],Table2[F-Cutoff],1)</f>
        <v>5</v>
      </c>
      <c r="Y1682" s="2">
        <f>MATCH(Auto_Sales_data___Copy[[#This Row],[Total_Sales_Per_Customer]],Table2[M-Cutoff],1)</f>
        <v>5</v>
      </c>
      <c r="Z1682" s="2" t="str">
        <f>Auto_Sales_data___Copy[[#This Row],[R-Score(1-5)]]&amp;Auto_Sales_data___Copy[[#This Row],[F-Score(1-5)]]&amp;Auto_Sales_data___Copy[[#This Row],[M-Score(1-5)]]</f>
        <v>255</v>
      </c>
      <c r="AA1682" s="2" t="str" cm="1">
        <f t="array" ref="AA16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2" s="2" t="str">
        <f>VLOOKUP(Auto_Sales_data___Copy[[#This Row],[Segment Name]],Table3[],2,FALSE)</f>
        <v>High-Touch  Win-Back</v>
      </c>
    </row>
    <row r="1683" spans="1:28" x14ac:dyDescent="0.25">
      <c r="A1683">
        <v>10355</v>
      </c>
      <c r="B1683">
        <v>38</v>
      </c>
      <c r="C1683">
        <v>39.83</v>
      </c>
      <c r="D1683">
        <v>10</v>
      </c>
      <c r="E1683">
        <v>1513.54</v>
      </c>
      <c r="F1683" s="1">
        <v>43806</v>
      </c>
      <c r="G1683" s="2" t="s">
        <v>19</v>
      </c>
      <c r="H1683" s="2" t="s">
        <v>20</v>
      </c>
      <c r="I1683">
        <v>40</v>
      </c>
      <c r="J1683" s="2" t="s">
        <v>696</v>
      </c>
      <c r="K1683" s="2" t="s">
        <v>175</v>
      </c>
      <c r="L1683" s="2" t="s">
        <v>176</v>
      </c>
      <c r="M1683" s="2" t="s">
        <v>177</v>
      </c>
      <c r="N1683" s="2" t="s">
        <v>178</v>
      </c>
      <c r="O1683" s="2" t="s">
        <v>179</v>
      </c>
      <c r="P1683" s="2" t="s">
        <v>180</v>
      </c>
      <c r="Q1683" s="2" t="s">
        <v>181</v>
      </c>
      <c r="R1683" s="2" t="s">
        <v>182</v>
      </c>
      <c r="S1683" s="2" t="s">
        <v>30</v>
      </c>
      <c r="T1683">
        <v>2324</v>
      </c>
      <c r="U1683">
        <f>VLOOKUP(Auto_Sales_data___Copy[[#This Row],[CUSTOMER_NAME]],$AF$2:$AH$90,2,FALSE)</f>
        <v>259</v>
      </c>
      <c r="V1683">
        <f>VLOOKUP(Auto_Sales_data___Copy[[#This Row],[CUSTOMER_NAME]],$AF$2:$AH$90,3,FALSE)</f>
        <v>912294.1100000001</v>
      </c>
      <c r="W1683" s="2">
        <f>6-MATCH(Auto_Sales_data___Copy[[#This Row],[DAYS_SINCE_LAST_ORDER]],Table2[R-Cutoff],1)</f>
        <v>2</v>
      </c>
      <c r="X1683" s="2">
        <f>MATCH(Auto_Sales_data___Copy[[#This Row],[Total_Orders_Per_Customer]],Table2[F-Cutoff],1)</f>
        <v>5</v>
      </c>
      <c r="Y1683" s="2">
        <f>MATCH(Auto_Sales_data___Copy[[#This Row],[Total_Sales_Per_Customer]],Table2[M-Cutoff],1)</f>
        <v>5</v>
      </c>
      <c r="Z1683" s="2" t="str">
        <f>Auto_Sales_data___Copy[[#This Row],[R-Score(1-5)]]&amp;Auto_Sales_data___Copy[[#This Row],[F-Score(1-5)]]&amp;Auto_Sales_data___Copy[[#This Row],[M-Score(1-5)]]</f>
        <v>255</v>
      </c>
      <c r="AA1683" s="2" t="str" cm="1">
        <f t="array" ref="AA16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3" s="2" t="str">
        <f>VLOOKUP(Auto_Sales_data___Copy[[#This Row],[Segment Name]],Table3[],2,FALSE)</f>
        <v>High-Touch  Win-Back</v>
      </c>
    </row>
    <row r="1684" spans="1:28" x14ac:dyDescent="0.25">
      <c r="A1684">
        <v>10355</v>
      </c>
      <c r="B1684">
        <v>40</v>
      </c>
      <c r="C1684">
        <v>108.17</v>
      </c>
      <c r="D1684">
        <v>5</v>
      </c>
      <c r="E1684">
        <v>4326.8</v>
      </c>
      <c r="F1684" s="1">
        <v>43806</v>
      </c>
      <c r="G1684" s="2" t="s">
        <v>19</v>
      </c>
      <c r="H1684" s="2" t="s">
        <v>20</v>
      </c>
      <c r="I1684">
        <v>102</v>
      </c>
      <c r="J1684" s="2" t="s">
        <v>701</v>
      </c>
      <c r="K1684" s="2" t="s">
        <v>175</v>
      </c>
      <c r="L1684" s="2" t="s">
        <v>176</v>
      </c>
      <c r="M1684" s="2" t="s">
        <v>177</v>
      </c>
      <c r="N1684" s="2" t="s">
        <v>178</v>
      </c>
      <c r="O1684" s="2" t="s">
        <v>179</v>
      </c>
      <c r="P1684" s="2" t="s">
        <v>180</v>
      </c>
      <c r="Q1684" s="2" t="s">
        <v>181</v>
      </c>
      <c r="R1684" s="2" t="s">
        <v>182</v>
      </c>
      <c r="S1684" s="2" t="s">
        <v>46</v>
      </c>
      <c r="T1684">
        <v>2452</v>
      </c>
      <c r="U1684">
        <f>VLOOKUP(Auto_Sales_data___Copy[[#This Row],[CUSTOMER_NAME]],$AF$2:$AH$90,2,FALSE)</f>
        <v>259</v>
      </c>
      <c r="V1684">
        <f>VLOOKUP(Auto_Sales_data___Copy[[#This Row],[CUSTOMER_NAME]],$AF$2:$AH$90,3,FALSE)</f>
        <v>912294.1100000001</v>
      </c>
      <c r="W1684" s="2">
        <f>6-MATCH(Auto_Sales_data___Copy[[#This Row],[DAYS_SINCE_LAST_ORDER]],Table2[R-Cutoff],1)</f>
        <v>2</v>
      </c>
      <c r="X1684" s="2">
        <f>MATCH(Auto_Sales_data___Copy[[#This Row],[Total_Orders_Per_Customer]],Table2[F-Cutoff],1)</f>
        <v>5</v>
      </c>
      <c r="Y1684" s="2">
        <f>MATCH(Auto_Sales_data___Copy[[#This Row],[Total_Sales_Per_Customer]],Table2[M-Cutoff],1)</f>
        <v>5</v>
      </c>
      <c r="Z1684" s="2" t="str">
        <f>Auto_Sales_data___Copy[[#This Row],[R-Score(1-5)]]&amp;Auto_Sales_data___Copy[[#This Row],[F-Score(1-5)]]&amp;Auto_Sales_data___Copy[[#This Row],[M-Score(1-5)]]</f>
        <v>255</v>
      </c>
      <c r="AA1684" s="2" t="str" cm="1">
        <f t="array" ref="AA16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4" s="2" t="str">
        <f>VLOOKUP(Auto_Sales_data___Copy[[#This Row],[Segment Name]],Table3[],2,FALSE)</f>
        <v>High-Touch  Win-Back</v>
      </c>
    </row>
    <row r="1685" spans="1:28" x14ac:dyDescent="0.25">
      <c r="A1685">
        <v>10358</v>
      </c>
      <c r="B1685">
        <v>41</v>
      </c>
      <c r="C1685">
        <v>167</v>
      </c>
      <c r="D1685">
        <v>6</v>
      </c>
      <c r="E1685">
        <v>6847</v>
      </c>
      <c r="F1685" s="1">
        <v>43809</v>
      </c>
      <c r="G1685" s="2" t="s">
        <v>19</v>
      </c>
      <c r="H1685" s="2" t="s">
        <v>589</v>
      </c>
      <c r="I1685">
        <v>97</v>
      </c>
      <c r="J1685" s="2" t="s">
        <v>691</v>
      </c>
      <c r="K1685" s="2" t="s">
        <v>175</v>
      </c>
      <c r="L1685" s="2" t="s">
        <v>176</v>
      </c>
      <c r="M1685" s="2" t="s">
        <v>177</v>
      </c>
      <c r="N1685" s="2" t="s">
        <v>178</v>
      </c>
      <c r="O1685" s="2" t="s">
        <v>179</v>
      </c>
      <c r="P1685" s="2" t="s">
        <v>180</v>
      </c>
      <c r="Q1685" s="2" t="s">
        <v>181</v>
      </c>
      <c r="R1685" s="2" t="s">
        <v>182</v>
      </c>
      <c r="S1685" s="2" t="s">
        <v>46</v>
      </c>
      <c r="T1685">
        <v>2200</v>
      </c>
      <c r="U1685">
        <f>VLOOKUP(Auto_Sales_data___Copy[[#This Row],[CUSTOMER_NAME]],$AF$2:$AH$90,2,FALSE)</f>
        <v>259</v>
      </c>
      <c r="V1685">
        <f>VLOOKUP(Auto_Sales_data___Copy[[#This Row],[CUSTOMER_NAME]],$AF$2:$AH$90,3,FALSE)</f>
        <v>912294.1100000001</v>
      </c>
      <c r="W1685" s="2">
        <f>6-MATCH(Auto_Sales_data___Copy[[#This Row],[DAYS_SINCE_LAST_ORDER]],Table2[R-Cutoff],1)</f>
        <v>2</v>
      </c>
      <c r="X1685" s="2">
        <f>MATCH(Auto_Sales_data___Copy[[#This Row],[Total_Orders_Per_Customer]],Table2[F-Cutoff],1)</f>
        <v>5</v>
      </c>
      <c r="Y1685" s="2">
        <f>MATCH(Auto_Sales_data___Copy[[#This Row],[Total_Sales_Per_Customer]],Table2[M-Cutoff],1)</f>
        <v>5</v>
      </c>
      <c r="Z1685" s="2" t="str">
        <f>Auto_Sales_data___Copy[[#This Row],[R-Score(1-5)]]&amp;Auto_Sales_data___Copy[[#This Row],[F-Score(1-5)]]&amp;Auto_Sales_data___Copy[[#This Row],[M-Score(1-5)]]</f>
        <v>255</v>
      </c>
      <c r="AA1685" s="2" t="str" cm="1">
        <f t="array" ref="AA16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5" s="2" t="str">
        <f>VLOOKUP(Auto_Sales_data___Copy[[#This Row],[Segment Name]],Table3[],2,FALSE)</f>
        <v>High-Touch  Win-Back</v>
      </c>
    </row>
    <row r="1686" spans="1:28" x14ac:dyDescent="0.25">
      <c r="A1686">
        <v>10358</v>
      </c>
      <c r="B1686">
        <v>41</v>
      </c>
      <c r="C1686">
        <v>108</v>
      </c>
      <c r="D1686">
        <v>1</v>
      </c>
      <c r="E1686">
        <v>4428</v>
      </c>
      <c r="F1686" s="1">
        <v>43809</v>
      </c>
      <c r="G1686" s="2" t="s">
        <v>19</v>
      </c>
      <c r="H1686" s="2" t="s">
        <v>537</v>
      </c>
      <c r="I1686">
        <v>96</v>
      </c>
      <c r="J1686" s="2" t="s">
        <v>694</v>
      </c>
      <c r="K1686" s="2" t="s">
        <v>175</v>
      </c>
      <c r="L1686" s="2" t="s">
        <v>176</v>
      </c>
      <c r="M1686" s="2" t="s">
        <v>177</v>
      </c>
      <c r="N1686" s="2" t="s">
        <v>178</v>
      </c>
      <c r="O1686" s="2" t="s">
        <v>179</v>
      </c>
      <c r="P1686" s="2" t="s">
        <v>180</v>
      </c>
      <c r="Q1686" s="2" t="s">
        <v>181</v>
      </c>
      <c r="R1686" s="2" t="s">
        <v>182</v>
      </c>
      <c r="S1686" s="2" t="s">
        <v>46</v>
      </c>
      <c r="T1686">
        <v>2273</v>
      </c>
      <c r="U1686">
        <f>VLOOKUP(Auto_Sales_data___Copy[[#This Row],[CUSTOMER_NAME]],$AF$2:$AH$90,2,FALSE)</f>
        <v>259</v>
      </c>
      <c r="V1686">
        <f>VLOOKUP(Auto_Sales_data___Copy[[#This Row],[CUSTOMER_NAME]],$AF$2:$AH$90,3,FALSE)</f>
        <v>912294.1100000001</v>
      </c>
      <c r="W1686" s="2">
        <f>6-MATCH(Auto_Sales_data___Copy[[#This Row],[DAYS_SINCE_LAST_ORDER]],Table2[R-Cutoff],1)</f>
        <v>2</v>
      </c>
      <c r="X1686" s="2">
        <f>MATCH(Auto_Sales_data___Copy[[#This Row],[Total_Orders_Per_Customer]],Table2[F-Cutoff],1)</f>
        <v>5</v>
      </c>
      <c r="Y1686" s="2">
        <f>MATCH(Auto_Sales_data___Copy[[#This Row],[Total_Sales_Per_Customer]],Table2[M-Cutoff],1)</f>
        <v>5</v>
      </c>
      <c r="Z1686" s="2" t="str">
        <f>Auto_Sales_data___Copy[[#This Row],[R-Score(1-5)]]&amp;Auto_Sales_data___Copy[[#This Row],[F-Score(1-5)]]&amp;Auto_Sales_data___Copy[[#This Row],[M-Score(1-5)]]</f>
        <v>255</v>
      </c>
      <c r="AA1686" s="2" t="str" cm="1">
        <f t="array" ref="AA16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6" s="2" t="str">
        <f>VLOOKUP(Auto_Sales_data___Copy[[#This Row],[Segment Name]],Table3[],2,FALSE)</f>
        <v>High-Touch  Win-Back</v>
      </c>
    </row>
    <row r="1687" spans="1:28" x14ac:dyDescent="0.25">
      <c r="A1687">
        <v>10358</v>
      </c>
      <c r="B1687">
        <v>36</v>
      </c>
      <c r="C1687">
        <v>157.49</v>
      </c>
      <c r="D1687">
        <v>2</v>
      </c>
      <c r="E1687">
        <v>5669.64</v>
      </c>
      <c r="F1687" s="1">
        <v>43809</v>
      </c>
      <c r="G1687" s="2" t="s">
        <v>19</v>
      </c>
      <c r="H1687" s="2" t="s">
        <v>537</v>
      </c>
      <c r="I1687">
        <v>64</v>
      </c>
      <c r="J1687" s="2" t="s">
        <v>699</v>
      </c>
      <c r="K1687" s="2" t="s">
        <v>175</v>
      </c>
      <c r="L1687" s="2" t="s">
        <v>176</v>
      </c>
      <c r="M1687" s="2" t="s">
        <v>177</v>
      </c>
      <c r="N1687" s="2" t="s">
        <v>178</v>
      </c>
      <c r="O1687" s="2" t="s">
        <v>179</v>
      </c>
      <c r="P1687" s="2" t="s">
        <v>180</v>
      </c>
      <c r="Q1687" s="2" t="s">
        <v>181</v>
      </c>
      <c r="R1687" s="2" t="s">
        <v>182</v>
      </c>
      <c r="S1687" s="2" t="s">
        <v>46</v>
      </c>
      <c r="T1687">
        <v>2401</v>
      </c>
      <c r="U1687">
        <f>VLOOKUP(Auto_Sales_data___Copy[[#This Row],[CUSTOMER_NAME]],$AF$2:$AH$90,2,FALSE)</f>
        <v>259</v>
      </c>
      <c r="V1687">
        <f>VLOOKUP(Auto_Sales_data___Copy[[#This Row],[CUSTOMER_NAME]],$AF$2:$AH$90,3,FALSE)</f>
        <v>912294.1100000001</v>
      </c>
      <c r="W1687" s="2">
        <f>6-MATCH(Auto_Sales_data___Copy[[#This Row],[DAYS_SINCE_LAST_ORDER]],Table2[R-Cutoff],1)</f>
        <v>2</v>
      </c>
      <c r="X1687" s="2">
        <f>MATCH(Auto_Sales_data___Copy[[#This Row],[Total_Orders_Per_Customer]],Table2[F-Cutoff],1)</f>
        <v>5</v>
      </c>
      <c r="Y1687" s="2">
        <f>MATCH(Auto_Sales_data___Copy[[#This Row],[Total_Sales_Per_Customer]],Table2[M-Cutoff],1)</f>
        <v>5</v>
      </c>
      <c r="Z1687" s="2" t="str">
        <f>Auto_Sales_data___Copy[[#This Row],[R-Score(1-5)]]&amp;Auto_Sales_data___Copy[[#This Row],[F-Score(1-5)]]&amp;Auto_Sales_data___Copy[[#This Row],[M-Score(1-5)]]</f>
        <v>255</v>
      </c>
      <c r="AA1687" s="2" t="str" cm="1">
        <f t="array" ref="AA16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7" s="2" t="str">
        <f>VLOOKUP(Auto_Sales_data___Copy[[#This Row],[Segment Name]],Table3[],2,FALSE)</f>
        <v>High-Touch  Win-Back</v>
      </c>
    </row>
    <row r="1688" spans="1:28" x14ac:dyDescent="0.25">
      <c r="A1688">
        <v>10378</v>
      </c>
      <c r="B1688">
        <v>33</v>
      </c>
      <c r="C1688">
        <v>53.27</v>
      </c>
      <c r="D1688">
        <v>3</v>
      </c>
      <c r="E1688">
        <v>1757.91</v>
      </c>
      <c r="F1688" s="1">
        <v>43871</v>
      </c>
      <c r="G1688" s="2" t="s">
        <v>19</v>
      </c>
      <c r="H1688" s="2" t="s">
        <v>183</v>
      </c>
      <c r="I1688">
        <v>140</v>
      </c>
      <c r="J1688" s="2" t="s">
        <v>687</v>
      </c>
      <c r="K1688" s="2" t="s">
        <v>175</v>
      </c>
      <c r="L1688" s="2" t="s">
        <v>176</v>
      </c>
      <c r="M1688" s="2" t="s">
        <v>177</v>
      </c>
      <c r="N1688" s="2" t="s">
        <v>178</v>
      </c>
      <c r="O1688" s="2" t="s">
        <v>179</v>
      </c>
      <c r="P1688" s="2" t="s">
        <v>180</v>
      </c>
      <c r="Q1688" s="2" t="s">
        <v>181</v>
      </c>
      <c r="R1688" s="2" t="s">
        <v>182</v>
      </c>
      <c r="S1688" s="2" t="s">
        <v>30</v>
      </c>
      <c r="T1688">
        <v>2040</v>
      </c>
      <c r="U1688">
        <f>VLOOKUP(Auto_Sales_data___Copy[[#This Row],[CUSTOMER_NAME]],$AF$2:$AH$90,2,FALSE)</f>
        <v>259</v>
      </c>
      <c r="V1688">
        <f>VLOOKUP(Auto_Sales_data___Copy[[#This Row],[CUSTOMER_NAME]],$AF$2:$AH$90,3,FALSE)</f>
        <v>912294.1100000001</v>
      </c>
      <c r="W1688" s="2">
        <f>6-MATCH(Auto_Sales_data___Copy[[#This Row],[DAYS_SINCE_LAST_ORDER]],Table2[R-Cutoff],1)</f>
        <v>2</v>
      </c>
      <c r="X1688" s="2">
        <f>MATCH(Auto_Sales_data___Copy[[#This Row],[Total_Orders_Per_Customer]],Table2[F-Cutoff],1)</f>
        <v>5</v>
      </c>
      <c r="Y1688" s="2">
        <f>MATCH(Auto_Sales_data___Copy[[#This Row],[Total_Sales_Per_Customer]],Table2[M-Cutoff],1)</f>
        <v>5</v>
      </c>
      <c r="Z1688" s="2" t="str">
        <f>Auto_Sales_data___Copy[[#This Row],[R-Score(1-5)]]&amp;Auto_Sales_data___Copy[[#This Row],[F-Score(1-5)]]&amp;Auto_Sales_data___Copy[[#This Row],[M-Score(1-5)]]</f>
        <v>255</v>
      </c>
      <c r="AA1688" s="2" t="str" cm="1">
        <f t="array" ref="AA16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8" s="2" t="str">
        <f>VLOOKUP(Auto_Sales_data___Copy[[#This Row],[Segment Name]],Table3[],2,FALSE)</f>
        <v>High-Touch  Win-Back</v>
      </c>
    </row>
    <row r="1689" spans="1:28" x14ac:dyDescent="0.25">
      <c r="A1689">
        <v>10378</v>
      </c>
      <c r="B1689">
        <v>41</v>
      </c>
      <c r="C1689">
        <v>119.37</v>
      </c>
      <c r="D1689">
        <v>2</v>
      </c>
      <c r="E1689">
        <v>4894.17</v>
      </c>
      <c r="F1689" s="1">
        <v>43871</v>
      </c>
      <c r="G1689" s="2" t="s">
        <v>19</v>
      </c>
      <c r="H1689" s="2" t="s">
        <v>183</v>
      </c>
      <c r="I1689">
        <v>80</v>
      </c>
      <c r="J1689" s="2" t="s">
        <v>693</v>
      </c>
      <c r="K1689" s="2" t="s">
        <v>175</v>
      </c>
      <c r="L1689" s="2" t="s">
        <v>176</v>
      </c>
      <c r="M1689" s="2" t="s">
        <v>177</v>
      </c>
      <c r="N1689" s="2" t="s">
        <v>178</v>
      </c>
      <c r="O1689" s="2" t="s">
        <v>179</v>
      </c>
      <c r="P1689" s="2" t="s">
        <v>180</v>
      </c>
      <c r="Q1689" s="2" t="s">
        <v>181</v>
      </c>
      <c r="R1689" s="2" t="s">
        <v>182</v>
      </c>
      <c r="S1689" s="2" t="s">
        <v>46</v>
      </c>
      <c r="T1689">
        <v>2187</v>
      </c>
      <c r="U1689">
        <f>VLOOKUP(Auto_Sales_data___Copy[[#This Row],[CUSTOMER_NAME]],$AF$2:$AH$90,2,FALSE)</f>
        <v>259</v>
      </c>
      <c r="V1689">
        <f>VLOOKUP(Auto_Sales_data___Copy[[#This Row],[CUSTOMER_NAME]],$AF$2:$AH$90,3,FALSE)</f>
        <v>912294.1100000001</v>
      </c>
      <c r="W1689" s="2">
        <f>6-MATCH(Auto_Sales_data___Copy[[#This Row],[DAYS_SINCE_LAST_ORDER]],Table2[R-Cutoff],1)</f>
        <v>2</v>
      </c>
      <c r="X1689" s="2">
        <f>MATCH(Auto_Sales_data___Copy[[#This Row],[Total_Orders_Per_Customer]],Table2[F-Cutoff],1)</f>
        <v>5</v>
      </c>
      <c r="Y1689" s="2">
        <f>MATCH(Auto_Sales_data___Copy[[#This Row],[Total_Sales_Per_Customer]],Table2[M-Cutoff],1)</f>
        <v>5</v>
      </c>
      <c r="Z1689" s="2" t="str">
        <f>Auto_Sales_data___Copy[[#This Row],[R-Score(1-5)]]&amp;Auto_Sales_data___Copy[[#This Row],[F-Score(1-5)]]&amp;Auto_Sales_data___Copy[[#This Row],[M-Score(1-5)]]</f>
        <v>255</v>
      </c>
      <c r="AA1689" s="2" t="str" cm="1">
        <f t="array" ref="AA16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9" s="2" t="str">
        <f>VLOOKUP(Auto_Sales_data___Copy[[#This Row],[Segment Name]],Table3[],2,FALSE)</f>
        <v>High-Touch  Win-Back</v>
      </c>
    </row>
    <row r="1690" spans="1:28" x14ac:dyDescent="0.25">
      <c r="A1690">
        <v>10378</v>
      </c>
      <c r="B1690">
        <v>40</v>
      </c>
      <c r="C1690">
        <v>82.46</v>
      </c>
      <c r="D1690">
        <v>1</v>
      </c>
      <c r="E1690">
        <v>3298.4</v>
      </c>
      <c r="F1690" s="1">
        <v>43871</v>
      </c>
      <c r="G1690" s="2" t="s">
        <v>19</v>
      </c>
      <c r="H1690" s="2" t="s">
        <v>20</v>
      </c>
      <c r="I1690">
        <v>40</v>
      </c>
      <c r="J1690" s="2" t="s">
        <v>696</v>
      </c>
      <c r="K1690" s="2" t="s">
        <v>175</v>
      </c>
      <c r="L1690" s="2" t="s">
        <v>176</v>
      </c>
      <c r="M1690" s="2" t="s">
        <v>177</v>
      </c>
      <c r="N1690" s="2" t="s">
        <v>178</v>
      </c>
      <c r="O1690" s="2" t="s">
        <v>179</v>
      </c>
      <c r="P1690" s="2" t="s">
        <v>180</v>
      </c>
      <c r="Q1690" s="2" t="s">
        <v>181</v>
      </c>
      <c r="R1690" s="2" t="s">
        <v>182</v>
      </c>
      <c r="S1690" s="2" t="s">
        <v>46</v>
      </c>
      <c r="T1690">
        <v>2261</v>
      </c>
      <c r="U1690">
        <f>VLOOKUP(Auto_Sales_data___Copy[[#This Row],[CUSTOMER_NAME]],$AF$2:$AH$90,2,FALSE)</f>
        <v>259</v>
      </c>
      <c r="V1690">
        <f>VLOOKUP(Auto_Sales_data___Copy[[#This Row],[CUSTOMER_NAME]],$AF$2:$AH$90,3,FALSE)</f>
        <v>912294.1100000001</v>
      </c>
      <c r="W1690" s="2">
        <f>6-MATCH(Auto_Sales_data___Copy[[#This Row],[DAYS_SINCE_LAST_ORDER]],Table2[R-Cutoff],1)</f>
        <v>2</v>
      </c>
      <c r="X1690" s="2">
        <f>MATCH(Auto_Sales_data___Copy[[#This Row],[Total_Orders_Per_Customer]],Table2[F-Cutoff],1)</f>
        <v>5</v>
      </c>
      <c r="Y1690" s="2">
        <f>MATCH(Auto_Sales_data___Copy[[#This Row],[Total_Sales_Per_Customer]],Table2[M-Cutoff],1)</f>
        <v>5</v>
      </c>
      <c r="Z1690" s="2" t="str">
        <f>Auto_Sales_data___Copy[[#This Row],[R-Score(1-5)]]&amp;Auto_Sales_data___Copy[[#This Row],[F-Score(1-5)]]&amp;Auto_Sales_data___Copy[[#This Row],[M-Score(1-5)]]</f>
        <v>255</v>
      </c>
      <c r="AA1690" s="2" t="str" cm="1">
        <f t="array" ref="AA16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0" s="2" t="str">
        <f>VLOOKUP(Auto_Sales_data___Copy[[#This Row],[Segment Name]],Table3[],2,FALSE)</f>
        <v>High-Touch  Win-Back</v>
      </c>
    </row>
    <row r="1691" spans="1:28" x14ac:dyDescent="0.25">
      <c r="A1691">
        <v>10380</v>
      </c>
      <c r="B1691">
        <v>43</v>
      </c>
      <c r="C1691">
        <v>95.03</v>
      </c>
      <c r="D1691">
        <v>12</v>
      </c>
      <c r="E1691">
        <v>4086.29</v>
      </c>
      <c r="F1691" s="1">
        <v>43877</v>
      </c>
      <c r="G1691" s="2" t="s">
        <v>19</v>
      </c>
      <c r="H1691" s="2" t="s">
        <v>589</v>
      </c>
      <c r="I1691">
        <v>41</v>
      </c>
      <c r="J1691" s="2" t="s">
        <v>689</v>
      </c>
      <c r="K1691" s="2" t="s">
        <v>175</v>
      </c>
      <c r="L1691" s="2" t="s">
        <v>176</v>
      </c>
      <c r="M1691" s="2" t="s">
        <v>177</v>
      </c>
      <c r="N1691" s="2" t="s">
        <v>178</v>
      </c>
      <c r="O1691" s="2" t="s">
        <v>179</v>
      </c>
      <c r="P1691" s="2" t="s">
        <v>180</v>
      </c>
      <c r="Q1691" s="2" t="s">
        <v>181</v>
      </c>
      <c r="R1691" s="2" t="s">
        <v>182</v>
      </c>
      <c r="S1691" s="2" t="s">
        <v>46</v>
      </c>
      <c r="T1691">
        <v>2083</v>
      </c>
      <c r="U1691">
        <f>VLOOKUP(Auto_Sales_data___Copy[[#This Row],[CUSTOMER_NAME]],$AF$2:$AH$90,2,FALSE)</f>
        <v>259</v>
      </c>
      <c r="V1691">
        <f>VLOOKUP(Auto_Sales_data___Copy[[#This Row],[CUSTOMER_NAME]],$AF$2:$AH$90,3,FALSE)</f>
        <v>912294.1100000001</v>
      </c>
      <c r="W1691" s="2">
        <f>6-MATCH(Auto_Sales_data___Copy[[#This Row],[DAYS_SINCE_LAST_ORDER]],Table2[R-Cutoff],1)</f>
        <v>2</v>
      </c>
      <c r="X1691" s="2">
        <f>MATCH(Auto_Sales_data___Copy[[#This Row],[Total_Orders_Per_Customer]],Table2[F-Cutoff],1)</f>
        <v>5</v>
      </c>
      <c r="Y1691" s="2">
        <f>MATCH(Auto_Sales_data___Copy[[#This Row],[Total_Sales_Per_Customer]],Table2[M-Cutoff],1)</f>
        <v>5</v>
      </c>
      <c r="Z1691" s="2" t="str">
        <f>Auto_Sales_data___Copy[[#This Row],[R-Score(1-5)]]&amp;Auto_Sales_data___Copy[[#This Row],[F-Score(1-5)]]&amp;Auto_Sales_data___Copy[[#This Row],[M-Score(1-5)]]</f>
        <v>255</v>
      </c>
      <c r="AA1691" s="2" t="str" cm="1">
        <f t="array" ref="AA16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1" s="2" t="str">
        <f>VLOOKUP(Auto_Sales_data___Copy[[#This Row],[Segment Name]],Table3[],2,FALSE)</f>
        <v>High-Touch  Win-Back</v>
      </c>
    </row>
    <row r="1692" spans="1:28" x14ac:dyDescent="0.25">
      <c r="A1692">
        <v>10383</v>
      </c>
      <c r="B1692">
        <v>21</v>
      </c>
      <c r="C1692">
        <v>93.91</v>
      </c>
      <c r="D1692">
        <v>4</v>
      </c>
      <c r="E1692">
        <v>1972.11</v>
      </c>
      <c r="F1692" s="1">
        <v>43883</v>
      </c>
      <c r="G1692" s="2" t="s">
        <v>19</v>
      </c>
      <c r="H1692" s="2" t="s">
        <v>183</v>
      </c>
      <c r="I1692">
        <v>118</v>
      </c>
      <c r="J1692" s="2" t="s">
        <v>690</v>
      </c>
      <c r="K1692" s="2" t="s">
        <v>175</v>
      </c>
      <c r="L1692" s="2" t="s">
        <v>176</v>
      </c>
      <c r="M1692" s="2" t="s">
        <v>177</v>
      </c>
      <c r="N1692" s="2" t="s">
        <v>178</v>
      </c>
      <c r="O1692" s="2" t="s">
        <v>179</v>
      </c>
      <c r="P1692" s="2" t="s">
        <v>180</v>
      </c>
      <c r="Q1692" s="2" t="s">
        <v>181</v>
      </c>
      <c r="R1692" s="2" t="s">
        <v>182</v>
      </c>
      <c r="S1692" s="2" t="s">
        <v>30</v>
      </c>
      <c r="T1692">
        <v>2103</v>
      </c>
      <c r="U1692">
        <f>VLOOKUP(Auto_Sales_data___Copy[[#This Row],[CUSTOMER_NAME]],$AF$2:$AH$90,2,FALSE)</f>
        <v>259</v>
      </c>
      <c r="V1692">
        <f>VLOOKUP(Auto_Sales_data___Copy[[#This Row],[CUSTOMER_NAME]],$AF$2:$AH$90,3,FALSE)</f>
        <v>912294.1100000001</v>
      </c>
      <c r="W1692" s="2">
        <f>6-MATCH(Auto_Sales_data___Copy[[#This Row],[DAYS_SINCE_LAST_ORDER]],Table2[R-Cutoff],1)</f>
        <v>2</v>
      </c>
      <c r="X1692" s="2">
        <f>MATCH(Auto_Sales_data___Copy[[#This Row],[Total_Orders_Per_Customer]],Table2[F-Cutoff],1)</f>
        <v>5</v>
      </c>
      <c r="Y1692" s="2">
        <f>MATCH(Auto_Sales_data___Copy[[#This Row],[Total_Sales_Per_Customer]],Table2[M-Cutoff],1)</f>
        <v>5</v>
      </c>
      <c r="Z1692" s="2" t="str">
        <f>Auto_Sales_data___Copy[[#This Row],[R-Score(1-5)]]&amp;Auto_Sales_data___Copy[[#This Row],[F-Score(1-5)]]&amp;Auto_Sales_data___Copy[[#This Row],[M-Score(1-5)]]</f>
        <v>255</v>
      </c>
      <c r="AA1692" s="2" t="str" cm="1">
        <f t="array" ref="AA16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2" s="2" t="str">
        <f>VLOOKUP(Auto_Sales_data___Copy[[#This Row],[Segment Name]],Table3[],2,FALSE)</f>
        <v>High-Touch  Win-Back</v>
      </c>
    </row>
    <row r="1693" spans="1:28" x14ac:dyDescent="0.25">
      <c r="A1693">
        <v>10383</v>
      </c>
      <c r="B1693">
        <v>32</v>
      </c>
      <c r="C1693">
        <v>53.18</v>
      </c>
      <c r="D1693">
        <v>5</v>
      </c>
      <c r="E1693">
        <v>1701.76</v>
      </c>
      <c r="F1693" s="1">
        <v>43883</v>
      </c>
      <c r="G1693" s="2" t="s">
        <v>19</v>
      </c>
      <c r="H1693" s="2" t="s">
        <v>537</v>
      </c>
      <c r="I1693">
        <v>54</v>
      </c>
      <c r="J1693" s="2" t="s">
        <v>697</v>
      </c>
      <c r="K1693" s="2" t="s">
        <v>175</v>
      </c>
      <c r="L1693" s="2" t="s">
        <v>176</v>
      </c>
      <c r="M1693" s="2" t="s">
        <v>177</v>
      </c>
      <c r="N1693" s="2" t="s">
        <v>178</v>
      </c>
      <c r="O1693" s="2" t="s">
        <v>179</v>
      </c>
      <c r="P1693" s="2" t="s">
        <v>180</v>
      </c>
      <c r="Q1693" s="2" t="s">
        <v>181</v>
      </c>
      <c r="R1693" s="2" t="s">
        <v>182</v>
      </c>
      <c r="S1693" s="2" t="s">
        <v>30</v>
      </c>
      <c r="T1693">
        <v>2276</v>
      </c>
      <c r="U1693">
        <f>VLOOKUP(Auto_Sales_data___Copy[[#This Row],[CUSTOMER_NAME]],$AF$2:$AH$90,2,FALSE)</f>
        <v>259</v>
      </c>
      <c r="V1693">
        <f>VLOOKUP(Auto_Sales_data___Copy[[#This Row],[CUSTOMER_NAME]],$AF$2:$AH$90,3,FALSE)</f>
        <v>912294.1100000001</v>
      </c>
      <c r="W1693" s="2">
        <f>6-MATCH(Auto_Sales_data___Copy[[#This Row],[DAYS_SINCE_LAST_ORDER]],Table2[R-Cutoff],1)</f>
        <v>2</v>
      </c>
      <c r="X1693" s="2">
        <f>MATCH(Auto_Sales_data___Copy[[#This Row],[Total_Orders_Per_Customer]],Table2[F-Cutoff],1)</f>
        <v>5</v>
      </c>
      <c r="Y1693" s="2">
        <f>MATCH(Auto_Sales_data___Copy[[#This Row],[Total_Sales_Per_Customer]],Table2[M-Cutoff],1)</f>
        <v>5</v>
      </c>
      <c r="Z1693" s="2" t="str">
        <f>Auto_Sales_data___Copy[[#This Row],[R-Score(1-5)]]&amp;Auto_Sales_data___Copy[[#This Row],[F-Score(1-5)]]&amp;Auto_Sales_data___Copy[[#This Row],[M-Score(1-5)]]</f>
        <v>255</v>
      </c>
      <c r="AA1693" s="2" t="str" cm="1">
        <f t="array" ref="AA16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3" s="2" t="str">
        <f>VLOOKUP(Auto_Sales_data___Copy[[#This Row],[Segment Name]],Table3[],2,FALSE)</f>
        <v>High-Touch  Win-Back</v>
      </c>
    </row>
    <row r="1694" spans="1:28" x14ac:dyDescent="0.25">
      <c r="A1694">
        <v>10383</v>
      </c>
      <c r="B1694">
        <v>44</v>
      </c>
      <c r="C1694">
        <v>36.07</v>
      </c>
      <c r="D1694">
        <v>8</v>
      </c>
      <c r="E1694">
        <v>1587.08</v>
      </c>
      <c r="F1694" s="1">
        <v>43883</v>
      </c>
      <c r="G1694" s="2" t="s">
        <v>19</v>
      </c>
      <c r="H1694" s="2" t="s">
        <v>650</v>
      </c>
      <c r="I1694">
        <v>62</v>
      </c>
      <c r="J1694" s="2" t="s">
        <v>698</v>
      </c>
      <c r="K1694" s="2" t="s">
        <v>175</v>
      </c>
      <c r="L1694" s="2" t="s">
        <v>176</v>
      </c>
      <c r="M1694" s="2" t="s">
        <v>177</v>
      </c>
      <c r="N1694" s="2" t="s">
        <v>178</v>
      </c>
      <c r="O1694" s="2" t="s">
        <v>179</v>
      </c>
      <c r="P1694" s="2" t="s">
        <v>180</v>
      </c>
      <c r="Q1694" s="2" t="s">
        <v>181</v>
      </c>
      <c r="R1694" s="2" t="s">
        <v>182</v>
      </c>
      <c r="S1694" s="2" t="s">
        <v>30</v>
      </c>
      <c r="T1694">
        <v>2303</v>
      </c>
      <c r="U1694">
        <f>VLOOKUP(Auto_Sales_data___Copy[[#This Row],[CUSTOMER_NAME]],$AF$2:$AH$90,2,FALSE)</f>
        <v>259</v>
      </c>
      <c r="V1694">
        <f>VLOOKUP(Auto_Sales_data___Copy[[#This Row],[CUSTOMER_NAME]],$AF$2:$AH$90,3,FALSE)</f>
        <v>912294.1100000001</v>
      </c>
      <c r="W1694" s="2">
        <f>6-MATCH(Auto_Sales_data___Copy[[#This Row],[DAYS_SINCE_LAST_ORDER]],Table2[R-Cutoff],1)</f>
        <v>2</v>
      </c>
      <c r="X1694" s="2">
        <f>MATCH(Auto_Sales_data___Copy[[#This Row],[Total_Orders_Per_Customer]],Table2[F-Cutoff],1)</f>
        <v>5</v>
      </c>
      <c r="Y1694" s="2">
        <f>MATCH(Auto_Sales_data___Copy[[#This Row],[Total_Sales_Per_Customer]],Table2[M-Cutoff],1)</f>
        <v>5</v>
      </c>
      <c r="Z1694" s="2" t="str">
        <f>Auto_Sales_data___Copy[[#This Row],[R-Score(1-5)]]&amp;Auto_Sales_data___Copy[[#This Row],[F-Score(1-5)]]&amp;Auto_Sales_data___Copy[[#This Row],[M-Score(1-5)]]</f>
        <v>255</v>
      </c>
      <c r="AA1694" s="2" t="str" cm="1">
        <f t="array" ref="AA16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4" s="2" t="str">
        <f>VLOOKUP(Auto_Sales_data___Copy[[#This Row],[Segment Name]],Table3[],2,FALSE)</f>
        <v>High-Touch  Win-Back</v>
      </c>
    </row>
    <row r="1695" spans="1:28" x14ac:dyDescent="0.25">
      <c r="A1695">
        <v>10383</v>
      </c>
      <c r="B1695">
        <v>29</v>
      </c>
      <c r="C1695">
        <v>106.45</v>
      </c>
      <c r="D1695">
        <v>13</v>
      </c>
      <c r="E1695">
        <v>3087.05</v>
      </c>
      <c r="F1695" s="1">
        <v>43883</v>
      </c>
      <c r="G1695" s="2" t="s">
        <v>19</v>
      </c>
      <c r="H1695" s="2" t="s">
        <v>537</v>
      </c>
      <c r="I1695">
        <v>115</v>
      </c>
      <c r="J1695" s="2" t="s">
        <v>703</v>
      </c>
      <c r="K1695" s="2" t="s">
        <v>175</v>
      </c>
      <c r="L1695" s="2" t="s">
        <v>176</v>
      </c>
      <c r="M1695" s="2" t="s">
        <v>177</v>
      </c>
      <c r="N1695" s="2" t="s">
        <v>178</v>
      </c>
      <c r="O1695" s="2" t="s">
        <v>179</v>
      </c>
      <c r="P1695" s="2" t="s">
        <v>180</v>
      </c>
      <c r="Q1695" s="2" t="s">
        <v>181</v>
      </c>
      <c r="R1695" s="2" t="s">
        <v>182</v>
      </c>
      <c r="S1695" s="2" t="s">
        <v>46</v>
      </c>
      <c r="T1695">
        <v>2430</v>
      </c>
      <c r="U1695">
        <f>VLOOKUP(Auto_Sales_data___Copy[[#This Row],[CUSTOMER_NAME]],$AF$2:$AH$90,2,FALSE)</f>
        <v>259</v>
      </c>
      <c r="V1695">
        <f>VLOOKUP(Auto_Sales_data___Copy[[#This Row],[CUSTOMER_NAME]],$AF$2:$AH$90,3,FALSE)</f>
        <v>912294.1100000001</v>
      </c>
      <c r="W1695" s="2">
        <f>6-MATCH(Auto_Sales_data___Copy[[#This Row],[DAYS_SINCE_LAST_ORDER]],Table2[R-Cutoff],1)</f>
        <v>2</v>
      </c>
      <c r="X1695" s="2">
        <f>MATCH(Auto_Sales_data___Copy[[#This Row],[Total_Orders_Per_Customer]],Table2[F-Cutoff],1)</f>
        <v>5</v>
      </c>
      <c r="Y1695" s="2">
        <f>MATCH(Auto_Sales_data___Copy[[#This Row],[Total_Sales_Per_Customer]],Table2[M-Cutoff],1)</f>
        <v>5</v>
      </c>
      <c r="Z1695" s="2" t="str">
        <f>Auto_Sales_data___Copy[[#This Row],[R-Score(1-5)]]&amp;Auto_Sales_data___Copy[[#This Row],[F-Score(1-5)]]&amp;Auto_Sales_data___Copy[[#This Row],[M-Score(1-5)]]</f>
        <v>255</v>
      </c>
      <c r="AA1695" s="2" t="str" cm="1">
        <f t="array" ref="AA16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5" s="2" t="str">
        <f>VLOOKUP(Auto_Sales_data___Copy[[#This Row],[Segment Name]],Table3[],2,FALSE)</f>
        <v>High-Touch  Win-Back</v>
      </c>
    </row>
    <row r="1696" spans="1:28" x14ac:dyDescent="0.25">
      <c r="A1696">
        <v>10383</v>
      </c>
      <c r="B1696">
        <v>38</v>
      </c>
      <c r="C1696">
        <v>60.06</v>
      </c>
      <c r="D1696">
        <v>10</v>
      </c>
      <c r="E1696">
        <v>2282.2800000000002</v>
      </c>
      <c r="F1696" s="1">
        <v>43883</v>
      </c>
      <c r="G1696" s="2" t="s">
        <v>19</v>
      </c>
      <c r="H1696" s="2" t="s">
        <v>650</v>
      </c>
      <c r="I1696">
        <v>58</v>
      </c>
      <c r="J1696" s="2" t="s">
        <v>704</v>
      </c>
      <c r="K1696" s="2" t="s">
        <v>175</v>
      </c>
      <c r="L1696" s="2" t="s">
        <v>176</v>
      </c>
      <c r="M1696" s="2" t="s">
        <v>177</v>
      </c>
      <c r="N1696" s="2" t="s">
        <v>178</v>
      </c>
      <c r="O1696" s="2" t="s">
        <v>179</v>
      </c>
      <c r="P1696" s="2" t="s">
        <v>180</v>
      </c>
      <c r="Q1696" s="2" t="s">
        <v>181</v>
      </c>
      <c r="R1696" s="2" t="s">
        <v>182</v>
      </c>
      <c r="S1696" s="2" t="s">
        <v>30</v>
      </c>
      <c r="T1696">
        <v>2457</v>
      </c>
      <c r="U1696">
        <f>VLOOKUP(Auto_Sales_data___Copy[[#This Row],[CUSTOMER_NAME]],$AF$2:$AH$90,2,FALSE)</f>
        <v>259</v>
      </c>
      <c r="V1696">
        <f>VLOOKUP(Auto_Sales_data___Copy[[#This Row],[CUSTOMER_NAME]],$AF$2:$AH$90,3,FALSE)</f>
        <v>912294.1100000001</v>
      </c>
      <c r="W1696" s="2">
        <f>6-MATCH(Auto_Sales_data___Copy[[#This Row],[DAYS_SINCE_LAST_ORDER]],Table2[R-Cutoff],1)</f>
        <v>2</v>
      </c>
      <c r="X1696" s="2">
        <f>MATCH(Auto_Sales_data___Copy[[#This Row],[Total_Orders_Per_Customer]],Table2[F-Cutoff],1)</f>
        <v>5</v>
      </c>
      <c r="Y1696" s="2">
        <f>MATCH(Auto_Sales_data___Copy[[#This Row],[Total_Sales_Per_Customer]],Table2[M-Cutoff],1)</f>
        <v>5</v>
      </c>
      <c r="Z1696" s="2" t="str">
        <f>Auto_Sales_data___Copy[[#This Row],[R-Score(1-5)]]&amp;Auto_Sales_data___Copy[[#This Row],[F-Score(1-5)]]&amp;Auto_Sales_data___Copy[[#This Row],[M-Score(1-5)]]</f>
        <v>255</v>
      </c>
      <c r="AA1696" s="2" t="str" cm="1">
        <f t="array" ref="AA16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6" s="2" t="str">
        <f>VLOOKUP(Auto_Sales_data___Copy[[#This Row],[Segment Name]],Table3[],2,FALSE)</f>
        <v>High-Touch  Win-Back</v>
      </c>
    </row>
    <row r="1697" spans="1:28" x14ac:dyDescent="0.25">
      <c r="A1697">
        <v>10386</v>
      </c>
      <c r="B1697">
        <v>41</v>
      </c>
      <c r="C1697">
        <v>73.319999999999993</v>
      </c>
      <c r="D1697">
        <v>12</v>
      </c>
      <c r="E1697">
        <v>3006.12</v>
      </c>
      <c r="F1697" s="1">
        <v>43891</v>
      </c>
      <c r="G1697" s="2" t="s">
        <v>431</v>
      </c>
      <c r="H1697" s="2" t="s">
        <v>607</v>
      </c>
      <c r="I1697">
        <v>68</v>
      </c>
      <c r="J1697" s="2" t="s">
        <v>688</v>
      </c>
      <c r="K1697" s="2" t="s">
        <v>175</v>
      </c>
      <c r="L1697" s="2" t="s">
        <v>176</v>
      </c>
      <c r="M1697" s="2" t="s">
        <v>177</v>
      </c>
      <c r="N1697" s="2" t="s">
        <v>178</v>
      </c>
      <c r="O1697" s="2" t="s">
        <v>179</v>
      </c>
      <c r="P1697" s="2" t="s">
        <v>180</v>
      </c>
      <c r="Q1697" s="2" t="s">
        <v>181</v>
      </c>
      <c r="R1697" s="2" t="s">
        <v>182</v>
      </c>
      <c r="S1697" s="2" t="s">
        <v>46</v>
      </c>
      <c r="T1697">
        <v>2047</v>
      </c>
      <c r="U1697">
        <f>VLOOKUP(Auto_Sales_data___Copy[[#This Row],[CUSTOMER_NAME]],$AF$2:$AH$90,2,FALSE)</f>
        <v>259</v>
      </c>
      <c r="V1697">
        <f>VLOOKUP(Auto_Sales_data___Copy[[#This Row],[CUSTOMER_NAME]],$AF$2:$AH$90,3,FALSE)</f>
        <v>912294.1100000001</v>
      </c>
      <c r="W1697" s="2">
        <f>6-MATCH(Auto_Sales_data___Copy[[#This Row],[DAYS_SINCE_LAST_ORDER]],Table2[R-Cutoff],1)</f>
        <v>2</v>
      </c>
      <c r="X1697" s="2">
        <f>MATCH(Auto_Sales_data___Copy[[#This Row],[Total_Orders_Per_Customer]],Table2[F-Cutoff],1)</f>
        <v>5</v>
      </c>
      <c r="Y1697" s="2">
        <f>MATCH(Auto_Sales_data___Copy[[#This Row],[Total_Sales_Per_Customer]],Table2[M-Cutoff],1)</f>
        <v>5</v>
      </c>
      <c r="Z1697" s="2" t="str">
        <f>Auto_Sales_data___Copy[[#This Row],[R-Score(1-5)]]&amp;Auto_Sales_data___Copy[[#This Row],[F-Score(1-5)]]&amp;Auto_Sales_data___Copy[[#This Row],[M-Score(1-5)]]</f>
        <v>255</v>
      </c>
      <c r="AA1697" s="2" t="str" cm="1">
        <f t="array" ref="AA16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7" s="2" t="str">
        <f>VLOOKUP(Auto_Sales_data___Copy[[#This Row],[Segment Name]],Table3[],2,FALSE)</f>
        <v>High-Touch  Win-Back</v>
      </c>
    </row>
    <row r="1698" spans="1:28" x14ac:dyDescent="0.25">
      <c r="A1698">
        <v>10386</v>
      </c>
      <c r="B1698">
        <v>50</v>
      </c>
      <c r="C1698">
        <v>63.34</v>
      </c>
      <c r="D1698">
        <v>8</v>
      </c>
      <c r="E1698">
        <v>3167</v>
      </c>
      <c r="F1698" s="1">
        <v>43891</v>
      </c>
      <c r="G1698" s="2" t="s">
        <v>431</v>
      </c>
      <c r="H1698" s="2" t="s">
        <v>607</v>
      </c>
      <c r="I1698">
        <v>72</v>
      </c>
      <c r="J1698" s="2" t="s">
        <v>692</v>
      </c>
      <c r="K1698" s="2" t="s">
        <v>175</v>
      </c>
      <c r="L1698" s="2" t="s">
        <v>176</v>
      </c>
      <c r="M1698" s="2" t="s">
        <v>177</v>
      </c>
      <c r="N1698" s="2" t="s">
        <v>178</v>
      </c>
      <c r="O1698" s="2" t="s">
        <v>179</v>
      </c>
      <c r="P1698" s="2" t="s">
        <v>180</v>
      </c>
      <c r="Q1698" s="2" t="s">
        <v>181</v>
      </c>
      <c r="R1698" s="2" t="s">
        <v>182</v>
      </c>
      <c r="S1698" s="2" t="s">
        <v>46</v>
      </c>
      <c r="T1698">
        <v>2142</v>
      </c>
      <c r="U1698">
        <f>VLOOKUP(Auto_Sales_data___Copy[[#This Row],[CUSTOMER_NAME]],$AF$2:$AH$90,2,FALSE)</f>
        <v>259</v>
      </c>
      <c r="V1698">
        <f>VLOOKUP(Auto_Sales_data___Copy[[#This Row],[CUSTOMER_NAME]],$AF$2:$AH$90,3,FALSE)</f>
        <v>912294.1100000001</v>
      </c>
      <c r="W1698" s="2">
        <f>6-MATCH(Auto_Sales_data___Copy[[#This Row],[DAYS_SINCE_LAST_ORDER]],Table2[R-Cutoff],1)</f>
        <v>2</v>
      </c>
      <c r="X1698" s="2">
        <f>MATCH(Auto_Sales_data___Copy[[#This Row],[Total_Orders_Per_Customer]],Table2[F-Cutoff],1)</f>
        <v>5</v>
      </c>
      <c r="Y1698" s="2">
        <f>MATCH(Auto_Sales_data___Copy[[#This Row],[Total_Sales_Per_Customer]],Table2[M-Cutoff],1)</f>
        <v>5</v>
      </c>
      <c r="Z1698" s="2" t="str">
        <f>Auto_Sales_data___Copy[[#This Row],[R-Score(1-5)]]&amp;Auto_Sales_data___Copy[[#This Row],[F-Score(1-5)]]&amp;Auto_Sales_data___Copy[[#This Row],[M-Score(1-5)]]</f>
        <v>255</v>
      </c>
      <c r="AA1698" s="2" t="str" cm="1">
        <f t="array" ref="AA16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8" s="2" t="str">
        <f>VLOOKUP(Auto_Sales_data___Copy[[#This Row],[Segment Name]],Table3[],2,FALSE)</f>
        <v>High-Touch  Win-Back</v>
      </c>
    </row>
    <row r="1699" spans="1:28" x14ac:dyDescent="0.25">
      <c r="A1699">
        <v>10394</v>
      </c>
      <c r="B1699">
        <v>37</v>
      </c>
      <c r="C1699">
        <v>140.75</v>
      </c>
      <c r="D1699">
        <v>7</v>
      </c>
      <c r="E1699">
        <v>5207.75</v>
      </c>
      <c r="F1699" s="1">
        <v>43905</v>
      </c>
      <c r="G1699" s="2" t="s">
        <v>19</v>
      </c>
      <c r="H1699" s="2" t="s">
        <v>183</v>
      </c>
      <c r="I1699">
        <v>118</v>
      </c>
      <c r="J1699" s="2" t="s">
        <v>690</v>
      </c>
      <c r="K1699" s="2" t="s">
        <v>175</v>
      </c>
      <c r="L1699" s="2" t="s">
        <v>176</v>
      </c>
      <c r="M1699" s="2" t="s">
        <v>177</v>
      </c>
      <c r="N1699" s="2" t="s">
        <v>178</v>
      </c>
      <c r="O1699" s="2" t="s">
        <v>179</v>
      </c>
      <c r="P1699" s="2" t="s">
        <v>180</v>
      </c>
      <c r="Q1699" s="2" t="s">
        <v>181</v>
      </c>
      <c r="R1699" s="2" t="s">
        <v>182</v>
      </c>
      <c r="S1699" s="2" t="s">
        <v>46</v>
      </c>
      <c r="T1699">
        <v>2082</v>
      </c>
      <c r="U1699">
        <f>VLOOKUP(Auto_Sales_data___Copy[[#This Row],[CUSTOMER_NAME]],$AF$2:$AH$90,2,FALSE)</f>
        <v>259</v>
      </c>
      <c r="V1699">
        <f>VLOOKUP(Auto_Sales_data___Copy[[#This Row],[CUSTOMER_NAME]],$AF$2:$AH$90,3,FALSE)</f>
        <v>912294.1100000001</v>
      </c>
      <c r="W1699" s="2">
        <f>6-MATCH(Auto_Sales_data___Copy[[#This Row],[DAYS_SINCE_LAST_ORDER]],Table2[R-Cutoff],1)</f>
        <v>2</v>
      </c>
      <c r="X1699" s="2">
        <f>MATCH(Auto_Sales_data___Copy[[#This Row],[Total_Orders_Per_Customer]],Table2[F-Cutoff],1)</f>
        <v>5</v>
      </c>
      <c r="Y1699" s="2">
        <f>MATCH(Auto_Sales_data___Copy[[#This Row],[Total_Sales_Per_Customer]],Table2[M-Cutoff],1)</f>
        <v>5</v>
      </c>
      <c r="Z1699" s="2" t="str">
        <f>Auto_Sales_data___Copy[[#This Row],[R-Score(1-5)]]&amp;Auto_Sales_data___Copy[[#This Row],[F-Score(1-5)]]&amp;Auto_Sales_data___Copy[[#This Row],[M-Score(1-5)]]</f>
        <v>255</v>
      </c>
      <c r="AA1699" s="2" t="str" cm="1">
        <f t="array" ref="AA16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9" s="2" t="str">
        <f>VLOOKUP(Auto_Sales_data___Copy[[#This Row],[Segment Name]],Table3[],2,FALSE)</f>
        <v>High-Touch  Win-Back</v>
      </c>
    </row>
    <row r="1700" spans="1:28" x14ac:dyDescent="0.25">
      <c r="A1700">
        <v>10394</v>
      </c>
      <c r="B1700">
        <v>36</v>
      </c>
      <c r="C1700">
        <v>62.77</v>
      </c>
      <c r="D1700">
        <v>3</v>
      </c>
      <c r="E1700">
        <v>2259.7199999999998</v>
      </c>
      <c r="F1700" s="1">
        <v>43905</v>
      </c>
      <c r="G1700" s="2" t="s">
        <v>19</v>
      </c>
      <c r="H1700" s="2" t="s">
        <v>537</v>
      </c>
      <c r="I1700">
        <v>54</v>
      </c>
      <c r="J1700" s="2" t="s">
        <v>697</v>
      </c>
      <c r="K1700" s="2" t="s">
        <v>175</v>
      </c>
      <c r="L1700" s="2" t="s">
        <v>176</v>
      </c>
      <c r="M1700" s="2" t="s">
        <v>177</v>
      </c>
      <c r="N1700" s="2" t="s">
        <v>178</v>
      </c>
      <c r="O1700" s="2" t="s">
        <v>179</v>
      </c>
      <c r="P1700" s="2" t="s">
        <v>180</v>
      </c>
      <c r="Q1700" s="2" t="s">
        <v>181</v>
      </c>
      <c r="R1700" s="2" t="s">
        <v>182</v>
      </c>
      <c r="S1700" s="2" t="s">
        <v>30</v>
      </c>
      <c r="T1700">
        <v>2255</v>
      </c>
      <c r="U1700">
        <f>VLOOKUP(Auto_Sales_data___Copy[[#This Row],[CUSTOMER_NAME]],$AF$2:$AH$90,2,FALSE)</f>
        <v>259</v>
      </c>
      <c r="V1700">
        <f>VLOOKUP(Auto_Sales_data___Copy[[#This Row],[CUSTOMER_NAME]],$AF$2:$AH$90,3,FALSE)</f>
        <v>912294.1100000001</v>
      </c>
      <c r="W1700" s="2">
        <f>6-MATCH(Auto_Sales_data___Copy[[#This Row],[DAYS_SINCE_LAST_ORDER]],Table2[R-Cutoff],1)</f>
        <v>2</v>
      </c>
      <c r="X1700" s="2">
        <f>MATCH(Auto_Sales_data___Copy[[#This Row],[Total_Orders_Per_Customer]],Table2[F-Cutoff],1)</f>
        <v>5</v>
      </c>
      <c r="Y1700" s="2">
        <f>MATCH(Auto_Sales_data___Copy[[#This Row],[Total_Sales_Per_Customer]],Table2[M-Cutoff],1)</f>
        <v>5</v>
      </c>
      <c r="Z1700" s="2" t="str">
        <f>Auto_Sales_data___Copy[[#This Row],[R-Score(1-5)]]&amp;Auto_Sales_data___Copy[[#This Row],[F-Score(1-5)]]&amp;Auto_Sales_data___Copy[[#This Row],[M-Score(1-5)]]</f>
        <v>255</v>
      </c>
      <c r="AA1700" s="2" t="str" cm="1">
        <f t="array" ref="AA17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0" s="2" t="str">
        <f>VLOOKUP(Auto_Sales_data___Copy[[#This Row],[Segment Name]],Table3[],2,FALSE)</f>
        <v>High-Touch  Win-Back</v>
      </c>
    </row>
    <row r="1701" spans="1:28" x14ac:dyDescent="0.25">
      <c r="A1701">
        <v>10394</v>
      </c>
      <c r="B1701">
        <v>30</v>
      </c>
      <c r="C1701">
        <v>60.28</v>
      </c>
      <c r="D1701">
        <v>4</v>
      </c>
      <c r="E1701">
        <v>1808.4</v>
      </c>
      <c r="F1701" s="1">
        <v>43905</v>
      </c>
      <c r="G1701" s="2" t="s">
        <v>19</v>
      </c>
      <c r="H1701" s="2" t="s">
        <v>650</v>
      </c>
      <c r="I1701">
        <v>62</v>
      </c>
      <c r="J1701" s="2" t="s">
        <v>698</v>
      </c>
      <c r="K1701" s="2" t="s">
        <v>175</v>
      </c>
      <c r="L1701" s="2" t="s">
        <v>176</v>
      </c>
      <c r="M1701" s="2" t="s">
        <v>177</v>
      </c>
      <c r="N1701" s="2" t="s">
        <v>178</v>
      </c>
      <c r="O1701" s="2" t="s">
        <v>179</v>
      </c>
      <c r="P1701" s="2" t="s">
        <v>180</v>
      </c>
      <c r="Q1701" s="2" t="s">
        <v>181</v>
      </c>
      <c r="R1701" s="2" t="s">
        <v>182</v>
      </c>
      <c r="S1701" s="2" t="s">
        <v>30</v>
      </c>
      <c r="T1701">
        <v>2282</v>
      </c>
      <c r="U1701">
        <f>VLOOKUP(Auto_Sales_data___Copy[[#This Row],[CUSTOMER_NAME]],$AF$2:$AH$90,2,FALSE)</f>
        <v>259</v>
      </c>
      <c r="V1701">
        <f>VLOOKUP(Auto_Sales_data___Copy[[#This Row],[CUSTOMER_NAME]],$AF$2:$AH$90,3,FALSE)</f>
        <v>912294.1100000001</v>
      </c>
      <c r="W1701" s="2">
        <f>6-MATCH(Auto_Sales_data___Copy[[#This Row],[DAYS_SINCE_LAST_ORDER]],Table2[R-Cutoff],1)</f>
        <v>2</v>
      </c>
      <c r="X1701" s="2">
        <f>MATCH(Auto_Sales_data___Copy[[#This Row],[Total_Orders_Per_Customer]],Table2[F-Cutoff],1)</f>
        <v>5</v>
      </c>
      <c r="Y1701" s="2">
        <f>MATCH(Auto_Sales_data___Copy[[#This Row],[Total_Sales_Per_Customer]],Table2[M-Cutoff],1)</f>
        <v>5</v>
      </c>
      <c r="Z1701" s="2" t="str">
        <f>Auto_Sales_data___Copy[[#This Row],[R-Score(1-5)]]&amp;Auto_Sales_data___Copy[[#This Row],[F-Score(1-5)]]&amp;Auto_Sales_data___Copy[[#This Row],[M-Score(1-5)]]</f>
        <v>255</v>
      </c>
      <c r="AA1701" s="2" t="str" cm="1">
        <f t="array" ref="AA17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1" s="2" t="str">
        <f>VLOOKUP(Auto_Sales_data___Copy[[#This Row],[Segment Name]],Table3[],2,FALSE)</f>
        <v>High-Touch  Win-Back</v>
      </c>
    </row>
    <row r="1702" spans="1:28" x14ac:dyDescent="0.25">
      <c r="A1702">
        <v>10412</v>
      </c>
      <c r="B1702">
        <v>31</v>
      </c>
      <c r="C1702">
        <v>137.19999999999999</v>
      </c>
      <c r="D1702">
        <v>1</v>
      </c>
      <c r="E1702">
        <v>4253.2</v>
      </c>
      <c r="F1702" s="1">
        <v>43954</v>
      </c>
      <c r="G1702" s="2" t="s">
        <v>19</v>
      </c>
      <c r="H1702" s="2" t="s">
        <v>183</v>
      </c>
      <c r="I1702">
        <v>118</v>
      </c>
      <c r="J1702" s="2" t="s">
        <v>690</v>
      </c>
      <c r="K1702" s="2" t="s">
        <v>175</v>
      </c>
      <c r="L1702" s="2" t="s">
        <v>176</v>
      </c>
      <c r="M1702" s="2" t="s">
        <v>177</v>
      </c>
      <c r="N1702" s="2" t="s">
        <v>178</v>
      </c>
      <c r="O1702" s="2" t="s">
        <v>179</v>
      </c>
      <c r="P1702" s="2" t="s">
        <v>180</v>
      </c>
      <c r="Q1702" s="2" t="s">
        <v>181</v>
      </c>
      <c r="R1702" s="2" t="s">
        <v>182</v>
      </c>
      <c r="S1702" s="2" t="s">
        <v>46</v>
      </c>
      <c r="T1702">
        <v>2034</v>
      </c>
      <c r="U1702">
        <f>VLOOKUP(Auto_Sales_data___Copy[[#This Row],[CUSTOMER_NAME]],$AF$2:$AH$90,2,FALSE)</f>
        <v>259</v>
      </c>
      <c r="V1702">
        <f>VLOOKUP(Auto_Sales_data___Copy[[#This Row],[CUSTOMER_NAME]],$AF$2:$AH$90,3,FALSE)</f>
        <v>912294.1100000001</v>
      </c>
      <c r="W1702" s="2">
        <f>6-MATCH(Auto_Sales_data___Copy[[#This Row],[DAYS_SINCE_LAST_ORDER]],Table2[R-Cutoff],1)</f>
        <v>2</v>
      </c>
      <c r="X1702" s="2">
        <f>MATCH(Auto_Sales_data___Copy[[#This Row],[Total_Orders_Per_Customer]],Table2[F-Cutoff],1)</f>
        <v>5</v>
      </c>
      <c r="Y1702" s="2">
        <f>MATCH(Auto_Sales_data___Copy[[#This Row],[Total_Sales_Per_Customer]],Table2[M-Cutoff],1)</f>
        <v>5</v>
      </c>
      <c r="Z1702" s="2" t="str">
        <f>Auto_Sales_data___Copy[[#This Row],[R-Score(1-5)]]&amp;Auto_Sales_data___Copy[[#This Row],[F-Score(1-5)]]&amp;Auto_Sales_data___Copy[[#This Row],[M-Score(1-5)]]</f>
        <v>255</v>
      </c>
      <c r="AA1702" s="2" t="str" cm="1">
        <f t="array" ref="AA17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2" s="2" t="str">
        <f>VLOOKUP(Auto_Sales_data___Copy[[#This Row],[Segment Name]],Table3[],2,FALSE)</f>
        <v>High-Touch  Win-Back</v>
      </c>
    </row>
    <row r="1703" spans="1:28" x14ac:dyDescent="0.25">
      <c r="A1703">
        <v>10412</v>
      </c>
      <c r="B1703">
        <v>19</v>
      </c>
      <c r="C1703">
        <v>48.7</v>
      </c>
      <c r="D1703">
        <v>7</v>
      </c>
      <c r="E1703">
        <v>925.3</v>
      </c>
      <c r="F1703" s="1">
        <v>43954</v>
      </c>
      <c r="G1703" s="2" t="s">
        <v>19</v>
      </c>
      <c r="H1703" s="2" t="s">
        <v>537</v>
      </c>
      <c r="I1703">
        <v>54</v>
      </c>
      <c r="J1703" s="2" t="s">
        <v>697</v>
      </c>
      <c r="K1703" s="2" t="s">
        <v>175</v>
      </c>
      <c r="L1703" s="2" t="s">
        <v>176</v>
      </c>
      <c r="M1703" s="2" t="s">
        <v>177</v>
      </c>
      <c r="N1703" s="2" t="s">
        <v>178</v>
      </c>
      <c r="O1703" s="2" t="s">
        <v>179</v>
      </c>
      <c r="P1703" s="2" t="s">
        <v>180</v>
      </c>
      <c r="Q1703" s="2" t="s">
        <v>181</v>
      </c>
      <c r="R1703" s="2" t="s">
        <v>182</v>
      </c>
      <c r="S1703" s="2" t="s">
        <v>30</v>
      </c>
      <c r="T1703">
        <v>2207</v>
      </c>
      <c r="U1703">
        <f>VLOOKUP(Auto_Sales_data___Copy[[#This Row],[CUSTOMER_NAME]],$AF$2:$AH$90,2,FALSE)</f>
        <v>259</v>
      </c>
      <c r="V1703">
        <f>VLOOKUP(Auto_Sales_data___Copy[[#This Row],[CUSTOMER_NAME]],$AF$2:$AH$90,3,FALSE)</f>
        <v>912294.1100000001</v>
      </c>
      <c r="W1703" s="2">
        <f>6-MATCH(Auto_Sales_data___Copy[[#This Row],[DAYS_SINCE_LAST_ORDER]],Table2[R-Cutoff],1)</f>
        <v>2</v>
      </c>
      <c r="X1703" s="2">
        <f>MATCH(Auto_Sales_data___Copy[[#This Row],[Total_Orders_Per_Customer]],Table2[F-Cutoff],1)</f>
        <v>5</v>
      </c>
      <c r="Y1703" s="2">
        <f>MATCH(Auto_Sales_data___Copy[[#This Row],[Total_Sales_Per_Customer]],Table2[M-Cutoff],1)</f>
        <v>5</v>
      </c>
      <c r="Z1703" s="2" t="str">
        <f>Auto_Sales_data___Copy[[#This Row],[R-Score(1-5)]]&amp;Auto_Sales_data___Copy[[#This Row],[F-Score(1-5)]]&amp;Auto_Sales_data___Copy[[#This Row],[M-Score(1-5)]]</f>
        <v>255</v>
      </c>
      <c r="AA1703" s="2" t="str" cm="1">
        <f t="array" ref="AA17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3" s="2" t="str">
        <f>VLOOKUP(Auto_Sales_data___Copy[[#This Row],[Segment Name]],Table3[],2,FALSE)</f>
        <v>High-Touch  Win-Back</v>
      </c>
    </row>
    <row r="1704" spans="1:28" x14ac:dyDescent="0.25">
      <c r="A1704">
        <v>10412</v>
      </c>
      <c r="B1704">
        <v>26</v>
      </c>
      <c r="C1704">
        <v>133.11000000000001</v>
      </c>
      <c r="D1704">
        <v>3</v>
      </c>
      <c r="E1704">
        <v>3460.86</v>
      </c>
      <c r="F1704" s="1">
        <v>43954</v>
      </c>
      <c r="G1704" s="2" t="s">
        <v>19</v>
      </c>
      <c r="H1704" s="2" t="s">
        <v>537</v>
      </c>
      <c r="I1704">
        <v>115</v>
      </c>
      <c r="J1704" s="2" t="s">
        <v>703</v>
      </c>
      <c r="K1704" s="2" t="s">
        <v>175</v>
      </c>
      <c r="L1704" s="2" t="s">
        <v>176</v>
      </c>
      <c r="M1704" s="2" t="s">
        <v>177</v>
      </c>
      <c r="N1704" s="2" t="s">
        <v>178</v>
      </c>
      <c r="O1704" s="2" t="s">
        <v>179</v>
      </c>
      <c r="P1704" s="2" t="s">
        <v>180</v>
      </c>
      <c r="Q1704" s="2" t="s">
        <v>181</v>
      </c>
      <c r="R1704" s="2" t="s">
        <v>182</v>
      </c>
      <c r="S1704" s="2" t="s">
        <v>46</v>
      </c>
      <c r="T1704">
        <v>2361</v>
      </c>
      <c r="U1704">
        <f>VLOOKUP(Auto_Sales_data___Copy[[#This Row],[CUSTOMER_NAME]],$AF$2:$AH$90,2,FALSE)</f>
        <v>259</v>
      </c>
      <c r="V1704">
        <f>VLOOKUP(Auto_Sales_data___Copy[[#This Row],[CUSTOMER_NAME]],$AF$2:$AH$90,3,FALSE)</f>
        <v>912294.1100000001</v>
      </c>
      <c r="W1704" s="2">
        <f>6-MATCH(Auto_Sales_data___Copy[[#This Row],[DAYS_SINCE_LAST_ORDER]],Table2[R-Cutoff],1)</f>
        <v>2</v>
      </c>
      <c r="X1704" s="2">
        <f>MATCH(Auto_Sales_data___Copy[[#This Row],[Total_Orders_Per_Customer]],Table2[F-Cutoff],1)</f>
        <v>5</v>
      </c>
      <c r="Y1704" s="2">
        <f>MATCH(Auto_Sales_data___Copy[[#This Row],[Total_Sales_Per_Customer]],Table2[M-Cutoff],1)</f>
        <v>5</v>
      </c>
      <c r="Z1704" s="2" t="str">
        <f>Auto_Sales_data___Copy[[#This Row],[R-Score(1-5)]]&amp;Auto_Sales_data___Copy[[#This Row],[F-Score(1-5)]]&amp;Auto_Sales_data___Copy[[#This Row],[M-Score(1-5)]]</f>
        <v>255</v>
      </c>
      <c r="AA1704" s="2" t="str" cm="1">
        <f t="array" ref="AA17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4" s="2" t="str">
        <f>VLOOKUP(Auto_Sales_data___Copy[[#This Row],[Segment Name]],Table3[],2,FALSE)</f>
        <v>High-Touch  Win-Back</v>
      </c>
    </row>
    <row r="1705" spans="1:28" x14ac:dyDescent="0.25">
      <c r="A1705">
        <v>10424</v>
      </c>
      <c r="B1705">
        <v>44</v>
      </c>
      <c r="C1705">
        <v>61.41</v>
      </c>
      <c r="D1705">
        <v>2</v>
      </c>
      <c r="E1705">
        <v>2702.04</v>
      </c>
      <c r="F1705" s="1">
        <v>43982</v>
      </c>
      <c r="G1705" s="2" t="s">
        <v>314</v>
      </c>
      <c r="H1705" s="2" t="s">
        <v>537</v>
      </c>
      <c r="I1705">
        <v>64</v>
      </c>
      <c r="J1705" s="2" t="s">
        <v>699</v>
      </c>
      <c r="K1705" s="2" t="s">
        <v>175</v>
      </c>
      <c r="L1705" s="2" t="s">
        <v>176</v>
      </c>
      <c r="M1705" s="2" t="s">
        <v>177</v>
      </c>
      <c r="N1705" s="2" t="s">
        <v>178</v>
      </c>
      <c r="O1705" s="2" t="s">
        <v>179</v>
      </c>
      <c r="P1705" s="2" t="s">
        <v>180</v>
      </c>
      <c r="Q1705" s="2" t="s">
        <v>181</v>
      </c>
      <c r="R1705" s="2" t="s">
        <v>182</v>
      </c>
      <c r="S1705" s="2" t="s">
        <v>30</v>
      </c>
      <c r="T1705">
        <v>2232</v>
      </c>
      <c r="U1705">
        <f>VLOOKUP(Auto_Sales_data___Copy[[#This Row],[CUSTOMER_NAME]],$AF$2:$AH$90,2,FALSE)</f>
        <v>259</v>
      </c>
      <c r="V1705">
        <f>VLOOKUP(Auto_Sales_data___Copy[[#This Row],[CUSTOMER_NAME]],$AF$2:$AH$90,3,FALSE)</f>
        <v>912294.1100000001</v>
      </c>
      <c r="W1705" s="2">
        <f>6-MATCH(Auto_Sales_data___Copy[[#This Row],[DAYS_SINCE_LAST_ORDER]],Table2[R-Cutoff],1)</f>
        <v>2</v>
      </c>
      <c r="X1705" s="2">
        <f>MATCH(Auto_Sales_data___Copy[[#This Row],[Total_Orders_Per_Customer]],Table2[F-Cutoff],1)</f>
        <v>5</v>
      </c>
      <c r="Y1705" s="2">
        <f>MATCH(Auto_Sales_data___Copy[[#This Row],[Total_Sales_Per_Customer]],Table2[M-Cutoff],1)</f>
        <v>5</v>
      </c>
      <c r="Z1705" s="2" t="str">
        <f>Auto_Sales_data___Copy[[#This Row],[R-Score(1-5)]]&amp;Auto_Sales_data___Copy[[#This Row],[F-Score(1-5)]]&amp;Auto_Sales_data___Copy[[#This Row],[M-Score(1-5)]]</f>
        <v>255</v>
      </c>
      <c r="AA1705" s="2" t="str" cm="1">
        <f t="array" ref="AA17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5" s="2" t="str">
        <f>VLOOKUP(Auto_Sales_data___Copy[[#This Row],[Segment Name]],Table3[],2,FALSE)</f>
        <v>High-Touch  Win-Back</v>
      </c>
    </row>
    <row r="1706" spans="1:28" x14ac:dyDescent="0.25">
      <c r="A1706">
        <v>10424</v>
      </c>
      <c r="B1706">
        <v>46</v>
      </c>
      <c r="C1706">
        <v>80.92</v>
      </c>
      <c r="D1706">
        <v>1</v>
      </c>
      <c r="E1706">
        <v>3722.32</v>
      </c>
      <c r="F1706" s="1">
        <v>43982</v>
      </c>
      <c r="G1706" s="2" t="s">
        <v>314</v>
      </c>
      <c r="H1706" s="2" t="s">
        <v>183</v>
      </c>
      <c r="I1706">
        <v>101</v>
      </c>
      <c r="J1706" s="2" t="s">
        <v>712</v>
      </c>
      <c r="K1706" s="2" t="s">
        <v>175</v>
      </c>
      <c r="L1706" s="2" t="s">
        <v>176</v>
      </c>
      <c r="M1706" s="2" t="s">
        <v>177</v>
      </c>
      <c r="N1706" s="2" t="s">
        <v>178</v>
      </c>
      <c r="O1706" s="2" t="s">
        <v>179</v>
      </c>
      <c r="P1706" s="2" t="s">
        <v>180</v>
      </c>
      <c r="Q1706" s="2" t="s">
        <v>181</v>
      </c>
      <c r="R1706" s="2" t="s">
        <v>182</v>
      </c>
      <c r="S1706" s="2" t="s">
        <v>46</v>
      </c>
      <c r="T1706">
        <v>2566</v>
      </c>
      <c r="U1706">
        <f>VLOOKUP(Auto_Sales_data___Copy[[#This Row],[CUSTOMER_NAME]],$AF$2:$AH$90,2,FALSE)</f>
        <v>259</v>
      </c>
      <c r="V1706">
        <f>VLOOKUP(Auto_Sales_data___Copy[[#This Row],[CUSTOMER_NAME]],$AF$2:$AH$90,3,FALSE)</f>
        <v>912294.1100000001</v>
      </c>
      <c r="W1706" s="2">
        <f>6-MATCH(Auto_Sales_data___Copy[[#This Row],[DAYS_SINCE_LAST_ORDER]],Table2[R-Cutoff],1)</f>
        <v>2</v>
      </c>
      <c r="X1706" s="2">
        <f>MATCH(Auto_Sales_data___Copy[[#This Row],[Total_Orders_Per_Customer]],Table2[F-Cutoff],1)</f>
        <v>5</v>
      </c>
      <c r="Y1706" s="2">
        <f>MATCH(Auto_Sales_data___Copy[[#This Row],[Total_Sales_Per_Customer]],Table2[M-Cutoff],1)</f>
        <v>5</v>
      </c>
      <c r="Z1706" s="2" t="str">
        <f>Auto_Sales_data___Copy[[#This Row],[R-Score(1-5)]]&amp;Auto_Sales_data___Copy[[#This Row],[F-Score(1-5)]]&amp;Auto_Sales_data___Copy[[#This Row],[M-Score(1-5)]]</f>
        <v>255</v>
      </c>
      <c r="AA1706" s="2" t="str" cm="1">
        <f t="array" ref="AA17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6" s="2" t="str">
        <f>VLOOKUP(Auto_Sales_data___Copy[[#This Row],[Segment Name]],Table3[],2,FALSE)</f>
        <v>High-Touch  Win-Back</v>
      </c>
    </row>
    <row r="1707" spans="1:28" x14ac:dyDescent="0.25">
      <c r="A1707">
        <v>10100</v>
      </c>
      <c r="B1707">
        <v>22</v>
      </c>
      <c r="C1707">
        <v>86.51</v>
      </c>
      <c r="D1707">
        <v>4</v>
      </c>
      <c r="E1707">
        <v>1903.22</v>
      </c>
      <c r="F1707" s="1">
        <v>43106</v>
      </c>
      <c r="G1707" s="2" t="s">
        <v>19</v>
      </c>
      <c r="H1707" s="2" t="s">
        <v>589</v>
      </c>
      <c r="I1707">
        <v>92</v>
      </c>
      <c r="J1707" s="2" t="s">
        <v>659</v>
      </c>
      <c r="K1707" s="2" t="s">
        <v>290</v>
      </c>
      <c r="L1707" s="2" t="s">
        <v>291</v>
      </c>
      <c r="M1707" s="2" t="s">
        <v>292</v>
      </c>
      <c r="N1707" s="2" t="s">
        <v>293</v>
      </c>
      <c r="O1707" s="2" t="s">
        <v>294</v>
      </c>
      <c r="P1707" s="2" t="s">
        <v>27</v>
      </c>
      <c r="Q1707" s="2" t="s">
        <v>52</v>
      </c>
      <c r="R1707" s="2" t="s">
        <v>289</v>
      </c>
      <c r="S1707" s="2" t="s">
        <v>30</v>
      </c>
      <c r="T1707">
        <v>2096</v>
      </c>
      <c r="U1707">
        <f>VLOOKUP(Auto_Sales_data___Copy[[#This Row],[CUSTOMER_NAME]],$AF$2:$AH$90,2,FALSE)</f>
        <v>34</v>
      </c>
      <c r="V1707">
        <f>VLOOKUP(Auto_Sales_data___Copy[[#This Row],[CUSTOMER_NAME]],$AF$2:$AH$90,3,FALSE)</f>
        <v>131685.29999999999</v>
      </c>
      <c r="W1707" s="2">
        <f>6-MATCH(Auto_Sales_data___Copy[[#This Row],[DAYS_SINCE_LAST_ORDER]],Table2[R-Cutoff],1)</f>
        <v>2</v>
      </c>
      <c r="X1707" s="2">
        <f>MATCH(Auto_Sales_data___Copy[[#This Row],[Total_Orders_Per_Customer]],Table2[F-Cutoff],1)</f>
        <v>4</v>
      </c>
      <c r="Y1707" s="2">
        <f>MATCH(Auto_Sales_data___Copy[[#This Row],[Total_Sales_Per_Customer]],Table2[M-Cutoff],1)</f>
        <v>4</v>
      </c>
      <c r="Z1707" s="2" t="str">
        <f>Auto_Sales_data___Copy[[#This Row],[R-Score(1-5)]]&amp;Auto_Sales_data___Copy[[#This Row],[F-Score(1-5)]]&amp;Auto_Sales_data___Copy[[#This Row],[M-Score(1-5)]]</f>
        <v>244</v>
      </c>
      <c r="AA1707" s="2" t="str" cm="1">
        <f t="array" ref="AA17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7" s="2" t="str">
        <f>VLOOKUP(Auto_Sales_data___Copy[[#This Row],[Segment Name]],Table3[],2,FALSE)</f>
        <v>High-Touch  Win-Back</v>
      </c>
    </row>
    <row r="1708" spans="1:28" x14ac:dyDescent="0.25">
      <c r="A1708">
        <v>10103</v>
      </c>
      <c r="B1708">
        <v>36</v>
      </c>
      <c r="C1708">
        <v>117.45</v>
      </c>
      <c r="D1708">
        <v>5</v>
      </c>
      <c r="E1708">
        <v>4228.2</v>
      </c>
      <c r="F1708" s="1">
        <v>43129</v>
      </c>
      <c r="G1708" s="2" t="s">
        <v>19</v>
      </c>
      <c r="H1708" s="2" t="s">
        <v>537</v>
      </c>
      <c r="I1708">
        <v>121</v>
      </c>
      <c r="J1708" s="2" t="s">
        <v>661</v>
      </c>
      <c r="K1708" s="2" t="s">
        <v>130</v>
      </c>
      <c r="L1708" s="2" t="s">
        <v>131</v>
      </c>
      <c r="M1708" s="2" t="s">
        <v>132</v>
      </c>
      <c r="N1708" s="2" t="s">
        <v>133</v>
      </c>
      <c r="O1708" s="2" t="s">
        <v>134</v>
      </c>
      <c r="P1708" s="2" t="s">
        <v>73</v>
      </c>
      <c r="Q1708" s="2" t="s">
        <v>135</v>
      </c>
      <c r="R1708" s="2" t="s">
        <v>136</v>
      </c>
      <c r="S1708" s="2" t="s">
        <v>46</v>
      </c>
      <c r="T1708">
        <v>2120</v>
      </c>
      <c r="U1708">
        <f>VLOOKUP(Auto_Sales_data___Copy[[#This Row],[CUSTOMER_NAME]],$AF$2:$AH$90,2,FALSE)</f>
        <v>32</v>
      </c>
      <c r="V1708">
        <f>VLOOKUP(Auto_Sales_data___Copy[[#This Row],[CUSTOMER_NAME]],$AF$2:$AH$90,3,FALSE)</f>
        <v>116599.18999999999</v>
      </c>
      <c r="W1708" s="2">
        <f>6-MATCH(Auto_Sales_data___Copy[[#This Row],[DAYS_SINCE_LAST_ORDER]],Table2[R-Cutoff],1)</f>
        <v>2</v>
      </c>
      <c r="X1708" s="2">
        <f>MATCH(Auto_Sales_data___Copy[[#This Row],[Total_Orders_Per_Customer]],Table2[F-Cutoff],1)</f>
        <v>4</v>
      </c>
      <c r="Y1708" s="2">
        <f>MATCH(Auto_Sales_data___Copy[[#This Row],[Total_Sales_Per_Customer]],Table2[M-Cutoff],1)</f>
        <v>4</v>
      </c>
      <c r="Z1708" s="2" t="str">
        <f>Auto_Sales_data___Copy[[#This Row],[R-Score(1-5)]]&amp;Auto_Sales_data___Copy[[#This Row],[F-Score(1-5)]]&amp;Auto_Sales_data___Copy[[#This Row],[M-Score(1-5)]]</f>
        <v>244</v>
      </c>
      <c r="AA1708" s="2" t="str" cm="1">
        <f t="array" ref="AA17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8" s="2" t="str">
        <f>VLOOKUP(Auto_Sales_data___Copy[[#This Row],[Segment Name]],Table3[],2,FALSE)</f>
        <v>High-Touch  Win-Back</v>
      </c>
    </row>
    <row r="1709" spans="1:28" x14ac:dyDescent="0.25">
      <c r="A1709">
        <v>10103</v>
      </c>
      <c r="B1709">
        <v>41</v>
      </c>
      <c r="C1709">
        <v>47.29</v>
      </c>
      <c r="D1709">
        <v>9</v>
      </c>
      <c r="E1709">
        <v>1938.89</v>
      </c>
      <c r="F1709" s="1">
        <v>43129</v>
      </c>
      <c r="G1709" s="2" t="s">
        <v>19</v>
      </c>
      <c r="H1709" s="2" t="s">
        <v>589</v>
      </c>
      <c r="I1709">
        <v>50</v>
      </c>
      <c r="J1709" s="2" t="s">
        <v>662</v>
      </c>
      <c r="K1709" s="2" t="s">
        <v>130</v>
      </c>
      <c r="L1709" s="2" t="s">
        <v>131</v>
      </c>
      <c r="M1709" s="2" t="s">
        <v>132</v>
      </c>
      <c r="N1709" s="2" t="s">
        <v>133</v>
      </c>
      <c r="O1709" s="2" t="s">
        <v>134</v>
      </c>
      <c r="P1709" s="2" t="s">
        <v>73</v>
      </c>
      <c r="Q1709" s="2" t="s">
        <v>135</v>
      </c>
      <c r="R1709" s="2" t="s">
        <v>136</v>
      </c>
      <c r="S1709" s="2" t="s">
        <v>30</v>
      </c>
      <c r="T1709">
        <v>2147</v>
      </c>
      <c r="U1709">
        <f>VLOOKUP(Auto_Sales_data___Copy[[#This Row],[CUSTOMER_NAME]],$AF$2:$AH$90,2,FALSE)</f>
        <v>32</v>
      </c>
      <c r="V1709">
        <f>VLOOKUP(Auto_Sales_data___Copy[[#This Row],[CUSTOMER_NAME]],$AF$2:$AH$90,3,FALSE)</f>
        <v>116599.18999999999</v>
      </c>
      <c r="W1709" s="2">
        <f>6-MATCH(Auto_Sales_data___Copy[[#This Row],[DAYS_SINCE_LAST_ORDER]],Table2[R-Cutoff],1)</f>
        <v>2</v>
      </c>
      <c r="X1709" s="2">
        <f>MATCH(Auto_Sales_data___Copy[[#This Row],[Total_Orders_Per_Customer]],Table2[F-Cutoff],1)</f>
        <v>4</v>
      </c>
      <c r="Y1709" s="2">
        <f>MATCH(Auto_Sales_data___Copy[[#This Row],[Total_Sales_Per_Customer]],Table2[M-Cutoff],1)</f>
        <v>4</v>
      </c>
      <c r="Z1709" s="2" t="str">
        <f>Auto_Sales_data___Copy[[#This Row],[R-Score(1-5)]]&amp;Auto_Sales_data___Copy[[#This Row],[F-Score(1-5)]]&amp;Auto_Sales_data___Copy[[#This Row],[M-Score(1-5)]]</f>
        <v>244</v>
      </c>
      <c r="AA1709" s="2" t="str" cm="1">
        <f t="array" ref="AA17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9" s="2" t="str">
        <f>VLOOKUP(Auto_Sales_data___Copy[[#This Row],[Segment Name]],Table3[],2,FALSE)</f>
        <v>High-Touch  Win-Back</v>
      </c>
    </row>
    <row r="1710" spans="1:28" x14ac:dyDescent="0.25">
      <c r="A1710">
        <v>10103</v>
      </c>
      <c r="B1710">
        <v>36</v>
      </c>
      <c r="C1710">
        <v>102.23</v>
      </c>
      <c r="D1710">
        <v>1</v>
      </c>
      <c r="E1710">
        <v>3680.28</v>
      </c>
      <c r="F1710" s="1">
        <v>43129</v>
      </c>
      <c r="G1710" s="2" t="s">
        <v>19</v>
      </c>
      <c r="H1710" s="2" t="s">
        <v>537</v>
      </c>
      <c r="I1710">
        <v>127</v>
      </c>
      <c r="J1710" s="2" t="s">
        <v>674</v>
      </c>
      <c r="K1710" s="2" t="s">
        <v>130</v>
      </c>
      <c r="L1710" s="2" t="s">
        <v>131</v>
      </c>
      <c r="M1710" s="2" t="s">
        <v>132</v>
      </c>
      <c r="N1710" s="2" t="s">
        <v>133</v>
      </c>
      <c r="O1710" s="2" t="s">
        <v>134</v>
      </c>
      <c r="P1710" s="2" t="s">
        <v>73</v>
      </c>
      <c r="Q1710" s="2" t="s">
        <v>135</v>
      </c>
      <c r="R1710" s="2" t="s">
        <v>136</v>
      </c>
      <c r="S1710" s="2" t="s">
        <v>46</v>
      </c>
      <c r="T1710">
        <v>2438</v>
      </c>
      <c r="U1710">
        <f>VLOOKUP(Auto_Sales_data___Copy[[#This Row],[CUSTOMER_NAME]],$AF$2:$AH$90,2,FALSE)</f>
        <v>32</v>
      </c>
      <c r="V1710">
        <f>VLOOKUP(Auto_Sales_data___Copy[[#This Row],[CUSTOMER_NAME]],$AF$2:$AH$90,3,FALSE)</f>
        <v>116599.18999999999</v>
      </c>
      <c r="W1710" s="2">
        <f>6-MATCH(Auto_Sales_data___Copy[[#This Row],[DAYS_SINCE_LAST_ORDER]],Table2[R-Cutoff],1)</f>
        <v>2</v>
      </c>
      <c r="X1710" s="2">
        <f>MATCH(Auto_Sales_data___Copy[[#This Row],[Total_Orders_Per_Customer]],Table2[F-Cutoff],1)</f>
        <v>4</v>
      </c>
      <c r="Y1710" s="2">
        <f>MATCH(Auto_Sales_data___Copy[[#This Row],[Total_Sales_Per_Customer]],Table2[M-Cutoff],1)</f>
        <v>4</v>
      </c>
      <c r="Z1710" s="2" t="str">
        <f>Auto_Sales_data___Copy[[#This Row],[R-Score(1-5)]]&amp;Auto_Sales_data___Copy[[#This Row],[F-Score(1-5)]]&amp;Auto_Sales_data___Copy[[#This Row],[M-Score(1-5)]]</f>
        <v>244</v>
      </c>
      <c r="AA1710" s="2" t="str" cm="1">
        <f t="array" ref="AA17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0" s="2" t="str">
        <f>VLOOKUP(Auto_Sales_data___Copy[[#This Row],[Segment Name]],Table3[],2,FALSE)</f>
        <v>High-Touch  Win-Back</v>
      </c>
    </row>
    <row r="1711" spans="1:28" x14ac:dyDescent="0.25">
      <c r="A1711">
        <v>10105</v>
      </c>
      <c r="B1711">
        <v>41</v>
      </c>
      <c r="C1711">
        <v>82.5</v>
      </c>
      <c r="D1711">
        <v>10</v>
      </c>
      <c r="E1711">
        <v>3382.5</v>
      </c>
      <c r="F1711" s="1">
        <v>43142</v>
      </c>
      <c r="G1711" s="2" t="s">
        <v>19</v>
      </c>
      <c r="H1711" s="2" t="s">
        <v>589</v>
      </c>
      <c r="I1711">
        <v>87</v>
      </c>
      <c r="J1711" s="2" t="s">
        <v>660</v>
      </c>
      <c r="K1711" s="2" t="s">
        <v>339</v>
      </c>
      <c r="L1711" s="2" t="s">
        <v>340</v>
      </c>
      <c r="M1711" s="2" t="s">
        <v>341</v>
      </c>
      <c r="N1711" s="2" t="s">
        <v>342</v>
      </c>
      <c r="O1711" s="2" t="s">
        <v>343</v>
      </c>
      <c r="P1711" s="2" t="s">
        <v>344</v>
      </c>
      <c r="Q1711" s="2" t="s">
        <v>345</v>
      </c>
      <c r="R1711" s="2" t="s">
        <v>346</v>
      </c>
      <c r="S1711" s="2" t="s">
        <v>46</v>
      </c>
      <c r="T1711">
        <v>2081</v>
      </c>
      <c r="U1711">
        <f>VLOOKUP(Auto_Sales_data___Copy[[#This Row],[CUSTOMER_NAME]],$AF$2:$AH$90,2,FALSE)</f>
        <v>36</v>
      </c>
      <c r="V1711">
        <f>VLOOKUP(Auto_Sales_data___Copy[[#This Row],[CUSTOMER_NAME]],$AF$2:$AH$90,3,FALSE)</f>
        <v>145041.60000000001</v>
      </c>
      <c r="W1711" s="2">
        <f>6-MATCH(Auto_Sales_data___Copy[[#This Row],[DAYS_SINCE_LAST_ORDER]],Table2[R-Cutoff],1)</f>
        <v>2</v>
      </c>
      <c r="X1711" s="2">
        <f>MATCH(Auto_Sales_data___Copy[[#This Row],[Total_Orders_Per_Customer]],Table2[F-Cutoff],1)</f>
        <v>4</v>
      </c>
      <c r="Y1711" s="2">
        <f>MATCH(Auto_Sales_data___Copy[[#This Row],[Total_Sales_Per_Customer]],Table2[M-Cutoff],1)</f>
        <v>4</v>
      </c>
      <c r="Z1711" s="2" t="str">
        <f>Auto_Sales_data___Copy[[#This Row],[R-Score(1-5)]]&amp;Auto_Sales_data___Copy[[#This Row],[F-Score(1-5)]]&amp;Auto_Sales_data___Copy[[#This Row],[M-Score(1-5)]]</f>
        <v>244</v>
      </c>
      <c r="AA1711" s="2" t="str" cm="1">
        <f t="array" ref="AA17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1" s="2" t="str">
        <f>VLOOKUP(Auto_Sales_data___Copy[[#This Row],[Segment Name]],Table3[],2,FALSE)</f>
        <v>High-Touch  Win-Back</v>
      </c>
    </row>
    <row r="1712" spans="1:28" x14ac:dyDescent="0.25">
      <c r="A1712">
        <v>10105</v>
      </c>
      <c r="B1712">
        <v>43</v>
      </c>
      <c r="C1712">
        <v>147.47</v>
      </c>
      <c r="D1712">
        <v>9</v>
      </c>
      <c r="E1712">
        <v>6341.21</v>
      </c>
      <c r="F1712" s="1">
        <v>43142</v>
      </c>
      <c r="G1712" s="2" t="s">
        <v>19</v>
      </c>
      <c r="H1712" s="2" t="s">
        <v>642</v>
      </c>
      <c r="I1712">
        <v>122</v>
      </c>
      <c r="J1712" s="2" t="s">
        <v>672</v>
      </c>
      <c r="K1712" s="2" t="s">
        <v>339</v>
      </c>
      <c r="L1712" s="2" t="s">
        <v>340</v>
      </c>
      <c r="M1712" s="2" t="s">
        <v>341</v>
      </c>
      <c r="N1712" s="2" t="s">
        <v>342</v>
      </c>
      <c r="O1712" s="2" t="s">
        <v>343</v>
      </c>
      <c r="P1712" s="2" t="s">
        <v>344</v>
      </c>
      <c r="Q1712" s="2" t="s">
        <v>345</v>
      </c>
      <c r="R1712" s="2" t="s">
        <v>346</v>
      </c>
      <c r="S1712" s="2" t="s">
        <v>46</v>
      </c>
      <c r="T1712">
        <v>2376</v>
      </c>
      <c r="U1712">
        <f>VLOOKUP(Auto_Sales_data___Copy[[#This Row],[CUSTOMER_NAME]],$AF$2:$AH$90,2,FALSE)</f>
        <v>36</v>
      </c>
      <c r="V1712">
        <f>VLOOKUP(Auto_Sales_data___Copy[[#This Row],[CUSTOMER_NAME]],$AF$2:$AH$90,3,FALSE)</f>
        <v>145041.60000000001</v>
      </c>
      <c r="W1712" s="2">
        <f>6-MATCH(Auto_Sales_data___Copy[[#This Row],[DAYS_SINCE_LAST_ORDER]],Table2[R-Cutoff],1)</f>
        <v>2</v>
      </c>
      <c r="X1712" s="2">
        <f>MATCH(Auto_Sales_data___Copy[[#This Row],[Total_Orders_Per_Customer]],Table2[F-Cutoff],1)</f>
        <v>4</v>
      </c>
      <c r="Y1712" s="2">
        <f>MATCH(Auto_Sales_data___Copy[[#This Row],[Total_Sales_Per_Customer]],Table2[M-Cutoff],1)</f>
        <v>4</v>
      </c>
      <c r="Z1712" s="2" t="str">
        <f>Auto_Sales_data___Copy[[#This Row],[R-Score(1-5)]]&amp;Auto_Sales_data___Copy[[#This Row],[F-Score(1-5)]]&amp;Auto_Sales_data___Copy[[#This Row],[M-Score(1-5)]]</f>
        <v>244</v>
      </c>
      <c r="AA1712" s="2" t="str" cm="1">
        <f t="array" ref="AA17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2" s="2" t="str">
        <f>VLOOKUP(Auto_Sales_data___Copy[[#This Row],[Segment Name]],Table3[],2,FALSE)</f>
        <v>High-Touch  Win-Back</v>
      </c>
    </row>
    <row r="1713" spans="1:28" x14ac:dyDescent="0.25">
      <c r="A1713">
        <v>10106</v>
      </c>
      <c r="B1713">
        <v>28</v>
      </c>
      <c r="C1713">
        <v>88.63</v>
      </c>
      <c r="D1713">
        <v>4</v>
      </c>
      <c r="E1713">
        <v>2481.64</v>
      </c>
      <c r="F1713" s="1">
        <v>43148</v>
      </c>
      <c r="G1713" s="2" t="s">
        <v>19</v>
      </c>
      <c r="H1713" s="2" t="s">
        <v>607</v>
      </c>
      <c r="I1713">
        <v>109</v>
      </c>
      <c r="J1713" s="2" t="s">
        <v>669</v>
      </c>
      <c r="K1713" s="2" t="s">
        <v>591</v>
      </c>
      <c r="L1713" s="2" t="s">
        <v>592</v>
      </c>
      <c r="M1713" s="2" t="s">
        <v>593</v>
      </c>
      <c r="N1713" s="2" t="s">
        <v>594</v>
      </c>
      <c r="O1713" s="2" t="s">
        <v>595</v>
      </c>
      <c r="P1713" s="2" t="s">
        <v>269</v>
      </c>
      <c r="Q1713" s="2" t="s">
        <v>596</v>
      </c>
      <c r="R1713" s="2" t="s">
        <v>597</v>
      </c>
      <c r="S1713" s="2" t="s">
        <v>30</v>
      </c>
      <c r="T1713">
        <v>2298</v>
      </c>
      <c r="U1713">
        <f>VLOOKUP(Auto_Sales_data___Copy[[#This Row],[CUSTOMER_NAME]],$AF$2:$AH$90,2,FALSE)</f>
        <v>48</v>
      </c>
      <c r="V1713">
        <f>VLOOKUP(Auto_Sales_data___Copy[[#This Row],[CUSTOMER_NAME]],$AF$2:$AH$90,3,FALSE)</f>
        <v>137955.72</v>
      </c>
      <c r="W1713" s="2">
        <f>6-MATCH(Auto_Sales_data___Copy[[#This Row],[DAYS_SINCE_LAST_ORDER]],Table2[R-Cutoff],1)</f>
        <v>2</v>
      </c>
      <c r="X1713" s="2">
        <f>MATCH(Auto_Sales_data___Copy[[#This Row],[Total_Orders_Per_Customer]],Table2[F-Cutoff],1)</f>
        <v>4</v>
      </c>
      <c r="Y1713" s="2">
        <f>MATCH(Auto_Sales_data___Copy[[#This Row],[Total_Sales_Per_Customer]],Table2[M-Cutoff],1)</f>
        <v>4</v>
      </c>
      <c r="Z1713" s="2" t="str">
        <f>Auto_Sales_data___Copy[[#This Row],[R-Score(1-5)]]&amp;Auto_Sales_data___Copy[[#This Row],[F-Score(1-5)]]&amp;Auto_Sales_data___Copy[[#This Row],[M-Score(1-5)]]</f>
        <v>244</v>
      </c>
      <c r="AA1713" s="2" t="str" cm="1">
        <f t="array" ref="AA17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3" s="2" t="str">
        <f>VLOOKUP(Auto_Sales_data___Copy[[#This Row],[Segment Name]],Table3[],2,FALSE)</f>
        <v>High-Touch  Win-Back</v>
      </c>
    </row>
    <row r="1714" spans="1:28" x14ac:dyDescent="0.25">
      <c r="A1714">
        <v>10106</v>
      </c>
      <c r="B1714">
        <v>49</v>
      </c>
      <c r="C1714">
        <v>74.680000000000007</v>
      </c>
      <c r="D1714">
        <v>13</v>
      </c>
      <c r="E1714">
        <v>3659.32</v>
      </c>
      <c r="F1714" s="1">
        <v>43148</v>
      </c>
      <c r="G1714" s="2" t="s">
        <v>19</v>
      </c>
      <c r="H1714" s="2" t="s">
        <v>607</v>
      </c>
      <c r="I1714">
        <v>68</v>
      </c>
      <c r="J1714" s="2" t="s">
        <v>678</v>
      </c>
      <c r="K1714" s="2" t="s">
        <v>591</v>
      </c>
      <c r="L1714" s="2" t="s">
        <v>592</v>
      </c>
      <c r="M1714" s="2" t="s">
        <v>593</v>
      </c>
      <c r="N1714" s="2" t="s">
        <v>594</v>
      </c>
      <c r="O1714" s="2" t="s">
        <v>595</v>
      </c>
      <c r="P1714" s="2" t="s">
        <v>269</v>
      </c>
      <c r="Q1714" s="2" t="s">
        <v>596</v>
      </c>
      <c r="R1714" s="2" t="s">
        <v>597</v>
      </c>
      <c r="S1714" s="2" t="s">
        <v>46</v>
      </c>
      <c r="T1714">
        <v>2521</v>
      </c>
      <c r="U1714">
        <f>VLOOKUP(Auto_Sales_data___Copy[[#This Row],[CUSTOMER_NAME]],$AF$2:$AH$90,2,FALSE)</f>
        <v>48</v>
      </c>
      <c r="V1714">
        <f>VLOOKUP(Auto_Sales_data___Copy[[#This Row],[CUSTOMER_NAME]],$AF$2:$AH$90,3,FALSE)</f>
        <v>137955.72</v>
      </c>
      <c r="W1714" s="2">
        <f>6-MATCH(Auto_Sales_data___Copy[[#This Row],[DAYS_SINCE_LAST_ORDER]],Table2[R-Cutoff],1)</f>
        <v>2</v>
      </c>
      <c r="X1714" s="2">
        <f>MATCH(Auto_Sales_data___Copy[[#This Row],[Total_Orders_Per_Customer]],Table2[F-Cutoff],1)</f>
        <v>4</v>
      </c>
      <c r="Y1714" s="2">
        <f>MATCH(Auto_Sales_data___Copy[[#This Row],[Total_Sales_Per_Customer]],Table2[M-Cutoff],1)</f>
        <v>4</v>
      </c>
      <c r="Z1714" s="2" t="str">
        <f>Auto_Sales_data___Copy[[#This Row],[R-Score(1-5)]]&amp;Auto_Sales_data___Copy[[#This Row],[F-Score(1-5)]]&amp;Auto_Sales_data___Copy[[#This Row],[M-Score(1-5)]]</f>
        <v>244</v>
      </c>
      <c r="AA1714" s="2" t="str" cm="1">
        <f t="array" ref="AA17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4" s="2" t="str">
        <f>VLOOKUP(Auto_Sales_data___Copy[[#This Row],[Segment Name]],Table3[],2,FALSE)</f>
        <v>High-Touch  Win-Back</v>
      </c>
    </row>
    <row r="1715" spans="1:28" x14ac:dyDescent="0.25">
      <c r="A1715">
        <v>10107</v>
      </c>
      <c r="B1715">
        <v>25</v>
      </c>
      <c r="C1715">
        <v>113.83</v>
      </c>
      <c r="D1715">
        <v>3</v>
      </c>
      <c r="E1715">
        <v>2845.75</v>
      </c>
      <c r="F1715" s="1">
        <v>43155</v>
      </c>
      <c r="G1715" s="2" t="s">
        <v>19</v>
      </c>
      <c r="H1715" s="2" t="s">
        <v>20</v>
      </c>
      <c r="I1715">
        <v>112</v>
      </c>
      <c r="J1715" s="2" t="s">
        <v>667</v>
      </c>
      <c r="K1715" s="2" t="s">
        <v>22</v>
      </c>
      <c r="L1715" s="2" t="s">
        <v>23</v>
      </c>
      <c r="M1715" s="2" t="s">
        <v>24</v>
      </c>
      <c r="N1715" s="2" t="s">
        <v>25</v>
      </c>
      <c r="O1715" s="2" t="s">
        <v>26</v>
      </c>
      <c r="P1715" s="2" t="s">
        <v>27</v>
      </c>
      <c r="Q1715" s="2" t="s">
        <v>28</v>
      </c>
      <c r="R1715" s="2" t="s">
        <v>29</v>
      </c>
      <c r="S1715" s="2" t="s">
        <v>30</v>
      </c>
      <c r="T1715">
        <v>2243</v>
      </c>
      <c r="U1715">
        <f>VLOOKUP(Auto_Sales_data___Copy[[#This Row],[CUSTOMER_NAME]],$AF$2:$AH$90,2,FALSE)</f>
        <v>49</v>
      </c>
      <c r="V1715">
        <f>VLOOKUP(Auto_Sales_data___Copy[[#This Row],[CUSTOMER_NAME]],$AF$2:$AH$90,3,FALSE)</f>
        <v>164069.43999999997</v>
      </c>
      <c r="W1715" s="2">
        <f>6-MATCH(Auto_Sales_data___Copy[[#This Row],[DAYS_SINCE_LAST_ORDER]],Table2[R-Cutoff],1)</f>
        <v>2</v>
      </c>
      <c r="X1715" s="2">
        <f>MATCH(Auto_Sales_data___Copy[[#This Row],[Total_Orders_Per_Customer]],Table2[F-Cutoff],1)</f>
        <v>4</v>
      </c>
      <c r="Y1715" s="2">
        <f>MATCH(Auto_Sales_data___Copy[[#This Row],[Total_Sales_Per_Customer]],Table2[M-Cutoff],1)</f>
        <v>4</v>
      </c>
      <c r="Z1715" s="2" t="str">
        <f>Auto_Sales_data___Copy[[#This Row],[R-Score(1-5)]]&amp;Auto_Sales_data___Copy[[#This Row],[F-Score(1-5)]]&amp;Auto_Sales_data___Copy[[#This Row],[M-Score(1-5)]]</f>
        <v>244</v>
      </c>
      <c r="AA1715" s="2" t="str" cm="1">
        <f t="array" ref="AA17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5" s="2" t="str">
        <f>VLOOKUP(Auto_Sales_data___Copy[[#This Row],[Segment Name]],Table3[],2,FALSE)</f>
        <v>High-Touch  Win-Back</v>
      </c>
    </row>
    <row r="1716" spans="1:28" x14ac:dyDescent="0.25">
      <c r="A1716">
        <v>10107</v>
      </c>
      <c r="B1716">
        <v>38</v>
      </c>
      <c r="C1716">
        <v>83.03</v>
      </c>
      <c r="D1716">
        <v>7</v>
      </c>
      <c r="E1716">
        <v>3155.14</v>
      </c>
      <c r="F1716" s="1">
        <v>43155</v>
      </c>
      <c r="G1716" s="2" t="s">
        <v>19</v>
      </c>
      <c r="H1716" s="2" t="s">
        <v>20</v>
      </c>
      <c r="I1716">
        <v>76</v>
      </c>
      <c r="J1716" s="2" t="s">
        <v>671</v>
      </c>
      <c r="K1716" s="2" t="s">
        <v>22</v>
      </c>
      <c r="L1716" s="2" t="s">
        <v>23</v>
      </c>
      <c r="M1716" s="2" t="s">
        <v>24</v>
      </c>
      <c r="N1716" s="2" t="s">
        <v>25</v>
      </c>
      <c r="O1716" s="2" t="s">
        <v>26</v>
      </c>
      <c r="P1716" s="2" t="s">
        <v>27</v>
      </c>
      <c r="Q1716" s="2" t="s">
        <v>28</v>
      </c>
      <c r="R1716" s="2" t="s">
        <v>29</v>
      </c>
      <c r="S1716" s="2" t="s">
        <v>46</v>
      </c>
      <c r="T1716">
        <v>2338</v>
      </c>
      <c r="U1716">
        <f>VLOOKUP(Auto_Sales_data___Copy[[#This Row],[CUSTOMER_NAME]],$AF$2:$AH$90,2,FALSE)</f>
        <v>49</v>
      </c>
      <c r="V1716">
        <f>VLOOKUP(Auto_Sales_data___Copy[[#This Row],[CUSTOMER_NAME]],$AF$2:$AH$90,3,FALSE)</f>
        <v>164069.43999999997</v>
      </c>
      <c r="W1716" s="2">
        <f>6-MATCH(Auto_Sales_data___Copy[[#This Row],[DAYS_SINCE_LAST_ORDER]],Table2[R-Cutoff],1)</f>
        <v>2</v>
      </c>
      <c r="X1716" s="2">
        <f>MATCH(Auto_Sales_data___Copy[[#This Row],[Total_Orders_Per_Customer]],Table2[F-Cutoff],1)</f>
        <v>4</v>
      </c>
      <c r="Y1716" s="2">
        <f>MATCH(Auto_Sales_data___Copy[[#This Row],[Total_Sales_Per_Customer]],Table2[M-Cutoff],1)</f>
        <v>4</v>
      </c>
      <c r="Z1716" s="2" t="str">
        <f>Auto_Sales_data___Copy[[#This Row],[R-Score(1-5)]]&amp;Auto_Sales_data___Copy[[#This Row],[F-Score(1-5)]]&amp;Auto_Sales_data___Copy[[#This Row],[M-Score(1-5)]]</f>
        <v>244</v>
      </c>
      <c r="AA1716" s="2" t="str" cm="1">
        <f t="array" ref="AA17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6" s="2" t="str">
        <f>VLOOKUP(Auto_Sales_data___Copy[[#This Row],[Segment Name]],Table3[],2,FALSE)</f>
        <v>High-Touch  Win-Back</v>
      </c>
    </row>
    <row r="1717" spans="1:28" x14ac:dyDescent="0.25">
      <c r="A1717">
        <v>10110</v>
      </c>
      <c r="B1717">
        <v>28</v>
      </c>
      <c r="C1717">
        <v>89.27</v>
      </c>
      <c r="D1717">
        <v>8</v>
      </c>
      <c r="E1717">
        <v>2499.56</v>
      </c>
      <c r="F1717" s="1">
        <v>43177</v>
      </c>
      <c r="G1717" s="2" t="s">
        <v>19</v>
      </c>
      <c r="H1717" s="2" t="s">
        <v>589</v>
      </c>
      <c r="I1717">
        <v>92</v>
      </c>
      <c r="J1717" s="2" t="s">
        <v>659</v>
      </c>
      <c r="K1717" s="2" t="s">
        <v>523</v>
      </c>
      <c r="L1717" s="2" t="s">
        <v>524</v>
      </c>
      <c r="M1717" s="2" t="s">
        <v>525</v>
      </c>
      <c r="N1717" s="2" t="s">
        <v>526</v>
      </c>
      <c r="O1717" s="2" t="s">
        <v>527</v>
      </c>
      <c r="P1717" s="2" t="s">
        <v>171</v>
      </c>
      <c r="Q1717" s="2" t="s">
        <v>528</v>
      </c>
      <c r="R1717" s="2" t="s">
        <v>529</v>
      </c>
      <c r="S1717" s="2" t="s">
        <v>30</v>
      </c>
      <c r="T1717">
        <v>2026</v>
      </c>
      <c r="U1717">
        <f>VLOOKUP(Auto_Sales_data___Copy[[#This Row],[CUSTOMER_NAME]],$AF$2:$AH$90,2,FALSE)</f>
        <v>51</v>
      </c>
      <c r="V1717">
        <f>VLOOKUP(Auto_Sales_data___Copy[[#This Row],[CUSTOMER_NAME]],$AF$2:$AH$90,3,FALSE)</f>
        <v>157807.80999999994</v>
      </c>
      <c r="W1717" s="2">
        <f>6-MATCH(Auto_Sales_data___Copy[[#This Row],[DAYS_SINCE_LAST_ORDER]],Table2[R-Cutoff],1)</f>
        <v>2</v>
      </c>
      <c r="X1717" s="2">
        <f>MATCH(Auto_Sales_data___Copy[[#This Row],[Total_Orders_Per_Customer]],Table2[F-Cutoff],1)</f>
        <v>4</v>
      </c>
      <c r="Y1717" s="2">
        <f>MATCH(Auto_Sales_data___Copy[[#This Row],[Total_Sales_Per_Customer]],Table2[M-Cutoff],1)</f>
        <v>4</v>
      </c>
      <c r="Z1717" s="2" t="str">
        <f>Auto_Sales_data___Copy[[#This Row],[R-Score(1-5)]]&amp;Auto_Sales_data___Copy[[#This Row],[F-Score(1-5)]]&amp;Auto_Sales_data___Copy[[#This Row],[M-Score(1-5)]]</f>
        <v>244</v>
      </c>
      <c r="AA1717" s="2" t="str" cm="1">
        <f t="array" ref="AA17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7" s="2" t="str">
        <f>VLOOKUP(Auto_Sales_data___Copy[[#This Row],[Segment Name]],Table3[],2,FALSE)</f>
        <v>High-Touch  Win-Back</v>
      </c>
    </row>
    <row r="1718" spans="1:28" x14ac:dyDescent="0.25">
      <c r="A1718">
        <v>10110</v>
      </c>
      <c r="B1718">
        <v>42</v>
      </c>
      <c r="C1718">
        <v>61.29</v>
      </c>
      <c r="D1718">
        <v>9</v>
      </c>
      <c r="E1718">
        <v>2574.1799999999998</v>
      </c>
      <c r="F1718" s="1">
        <v>43177</v>
      </c>
      <c r="G1718" s="2" t="s">
        <v>19</v>
      </c>
      <c r="H1718" s="2" t="s">
        <v>183</v>
      </c>
      <c r="I1718">
        <v>71</v>
      </c>
      <c r="J1718" s="2" t="s">
        <v>664</v>
      </c>
      <c r="K1718" s="2" t="s">
        <v>523</v>
      </c>
      <c r="L1718" s="2" t="s">
        <v>524</v>
      </c>
      <c r="M1718" s="2" t="s">
        <v>525</v>
      </c>
      <c r="N1718" s="2" t="s">
        <v>526</v>
      </c>
      <c r="O1718" s="2" t="s">
        <v>527</v>
      </c>
      <c r="P1718" s="2" t="s">
        <v>171</v>
      </c>
      <c r="Q1718" s="2" t="s">
        <v>528</v>
      </c>
      <c r="R1718" s="2" t="s">
        <v>529</v>
      </c>
      <c r="S1718" s="2" t="s">
        <v>30</v>
      </c>
      <c r="T1718">
        <v>2148</v>
      </c>
      <c r="U1718">
        <f>VLOOKUP(Auto_Sales_data___Copy[[#This Row],[CUSTOMER_NAME]],$AF$2:$AH$90,2,FALSE)</f>
        <v>51</v>
      </c>
      <c r="V1718">
        <f>VLOOKUP(Auto_Sales_data___Copy[[#This Row],[CUSTOMER_NAME]],$AF$2:$AH$90,3,FALSE)</f>
        <v>157807.80999999994</v>
      </c>
      <c r="W1718" s="2">
        <f>6-MATCH(Auto_Sales_data___Copy[[#This Row],[DAYS_SINCE_LAST_ORDER]],Table2[R-Cutoff],1)</f>
        <v>2</v>
      </c>
      <c r="X1718" s="2">
        <f>MATCH(Auto_Sales_data___Copy[[#This Row],[Total_Orders_Per_Customer]],Table2[F-Cutoff],1)</f>
        <v>4</v>
      </c>
      <c r="Y1718" s="2">
        <f>MATCH(Auto_Sales_data___Copy[[#This Row],[Total_Sales_Per_Customer]],Table2[M-Cutoff],1)</f>
        <v>4</v>
      </c>
      <c r="Z1718" s="2" t="str">
        <f>Auto_Sales_data___Copy[[#This Row],[R-Score(1-5)]]&amp;Auto_Sales_data___Copy[[#This Row],[F-Score(1-5)]]&amp;Auto_Sales_data___Copy[[#This Row],[M-Score(1-5)]]</f>
        <v>244</v>
      </c>
      <c r="AA1718" s="2" t="str" cm="1">
        <f t="array" ref="AA17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8" s="2" t="str">
        <f>VLOOKUP(Auto_Sales_data___Copy[[#This Row],[Segment Name]],Table3[],2,FALSE)</f>
        <v>High-Touch  Win-Back</v>
      </c>
    </row>
    <row r="1719" spans="1:28" x14ac:dyDescent="0.25">
      <c r="A1719">
        <v>10110</v>
      </c>
      <c r="B1719">
        <v>36</v>
      </c>
      <c r="C1719">
        <v>85.25</v>
      </c>
      <c r="D1719">
        <v>13</v>
      </c>
      <c r="E1719">
        <v>3069</v>
      </c>
      <c r="F1719" s="1">
        <v>43177</v>
      </c>
      <c r="G1719" s="2" t="s">
        <v>19</v>
      </c>
      <c r="H1719" s="2" t="s">
        <v>183</v>
      </c>
      <c r="I1719">
        <v>73</v>
      </c>
      <c r="J1719" s="2" t="s">
        <v>665</v>
      </c>
      <c r="K1719" s="2" t="s">
        <v>523</v>
      </c>
      <c r="L1719" s="2" t="s">
        <v>524</v>
      </c>
      <c r="M1719" s="2" t="s">
        <v>525</v>
      </c>
      <c r="N1719" s="2" t="s">
        <v>526</v>
      </c>
      <c r="O1719" s="2" t="s">
        <v>527</v>
      </c>
      <c r="P1719" s="2" t="s">
        <v>171</v>
      </c>
      <c r="Q1719" s="2" t="s">
        <v>528</v>
      </c>
      <c r="R1719" s="2" t="s">
        <v>529</v>
      </c>
      <c r="S1719" s="2" t="s">
        <v>46</v>
      </c>
      <c r="T1719">
        <v>2170</v>
      </c>
      <c r="U1719">
        <f>VLOOKUP(Auto_Sales_data___Copy[[#This Row],[CUSTOMER_NAME]],$AF$2:$AH$90,2,FALSE)</f>
        <v>51</v>
      </c>
      <c r="V1719">
        <f>VLOOKUP(Auto_Sales_data___Copy[[#This Row],[CUSTOMER_NAME]],$AF$2:$AH$90,3,FALSE)</f>
        <v>157807.80999999994</v>
      </c>
      <c r="W1719" s="2">
        <f>6-MATCH(Auto_Sales_data___Copy[[#This Row],[DAYS_SINCE_LAST_ORDER]],Table2[R-Cutoff],1)</f>
        <v>2</v>
      </c>
      <c r="X1719" s="2">
        <f>MATCH(Auto_Sales_data___Copy[[#This Row],[Total_Orders_Per_Customer]],Table2[F-Cutoff],1)</f>
        <v>4</v>
      </c>
      <c r="Y1719" s="2">
        <f>MATCH(Auto_Sales_data___Copy[[#This Row],[Total_Sales_Per_Customer]],Table2[M-Cutoff],1)</f>
        <v>4</v>
      </c>
      <c r="Z1719" s="2" t="str">
        <f>Auto_Sales_data___Copy[[#This Row],[R-Score(1-5)]]&amp;Auto_Sales_data___Copy[[#This Row],[F-Score(1-5)]]&amp;Auto_Sales_data___Copy[[#This Row],[M-Score(1-5)]]</f>
        <v>244</v>
      </c>
      <c r="AA1719" s="2" t="str" cm="1">
        <f t="array" ref="AA17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9" s="2" t="str">
        <f>VLOOKUP(Auto_Sales_data___Copy[[#This Row],[Segment Name]],Table3[],2,FALSE)</f>
        <v>High-Touch  Win-Back</v>
      </c>
    </row>
    <row r="1720" spans="1:28" x14ac:dyDescent="0.25">
      <c r="A1720">
        <v>10110</v>
      </c>
      <c r="B1720">
        <v>29</v>
      </c>
      <c r="C1720">
        <v>59.37</v>
      </c>
      <c r="D1720">
        <v>15</v>
      </c>
      <c r="E1720">
        <v>1721.73</v>
      </c>
      <c r="F1720" s="1">
        <v>43177</v>
      </c>
      <c r="G1720" s="2" t="s">
        <v>19</v>
      </c>
      <c r="H1720" s="2" t="s">
        <v>183</v>
      </c>
      <c r="I1720">
        <v>50</v>
      </c>
      <c r="J1720" s="2" t="s">
        <v>668</v>
      </c>
      <c r="K1720" s="2" t="s">
        <v>523</v>
      </c>
      <c r="L1720" s="2" t="s">
        <v>524</v>
      </c>
      <c r="M1720" s="2" t="s">
        <v>525</v>
      </c>
      <c r="N1720" s="2" t="s">
        <v>526</v>
      </c>
      <c r="O1720" s="2" t="s">
        <v>527</v>
      </c>
      <c r="P1720" s="2" t="s">
        <v>171</v>
      </c>
      <c r="Q1720" s="2" t="s">
        <v>528</v>
      </c>
      <c r="R1720" s="2" t="s">
        <v>529</v>
      </c>
      <c r="S1720" s="2" t="s">
        <v>30</v>
      </c>
      <c r="T1720">
        <v>2245</v>
      </c>
      <c r="U1720">
        <f>VLOOKUP(Auto_Sales_data___Copy[[#This Row],[CUSTOMER_NAME]],$AF$2:$AH$90,2,FALSE)</f>
        <v>51</v>
      </c>
      <c r="V1720">
        <f>VLOOKUP(Auto_Sales_data___Copy[[#This Row],[CUSTOMER_NAME]],$AF$2:$AH$90,3,FALSE)</f>
        <v>157807.80999999994</v>
      </c>
      <c r="W1720" s="2">
        <f>6-MATCH(Auto_Sales_data___Copy[[#This Row],[DAYS_SINCE_LAST_ORDER]],Table2[R-Cutoff],1)</f>
        <v>2</v>
      </c>
      <c r="X1720" s="2">
        <f>MATCH(Auto_Sales_data___Copy[[#This Row],[Total_Orders_Per_Customer]],Table2[F-Cutoff],1)</f>
        <v>4</v>
      </c>
      <c r="Y1720" s="2">
        <f>MATCH(Auto_Sales_data___Copy[[#This Row],[Total_Sales_Per_Customer]],Table2[M-Cutoff],1)</f>
        <v>4</v>
      </c>
      <c r="Z1720" s="2" t="str">
        <f>Auto_Sales_data___Copy[[#This Row],[R-Score(1-5)]]&amp;Auto_Sales_data___Copy[[#This Row],[F-Score(1-5)]]&amp;Auto_Sales_data___Copy[[#This Row],[M-Score(1-5)]]</f>
        <v>244</v>
      </c>
      <c r="AA1720" s="2" t="str" cm="1">
        <f t="array" ref="AA17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0" s="2" t="str">
        <f>VLOOKUP(Auto_Sales_data___Copy[[#This Row],[Segment Name]],Table3[],2,FALSE)</f>
        <v>High-Touch  Win-Back</v>
      </c>
    </row>
    <row r="1721" spans="1:28" x14ac:dyDescent="0.25">
      <c r="A1721">
        <v>10110</v>
      </c>
      <c r="B1721">
        <v>20</v>
      </c>
      <c r="C1721">
        <v>35.51</v>
      </c>
      <c r="D1721">
        <v>3</v>
      </c>
      <c r="E1721">
        <v>710.2</v>
      </c>
      <c r="F1721" s="1">
        <v>43177</v>
      </c>
      <c r="G1721" s="2" t="s">
        <v>19</v>
      </c>
      <c r="H1721" s="2" t="s">
        <v>589</v>
      </c>
      <c r="I1721">
        <v>33</v>
      </c>
      <c r="J1721" s="2" t="s">
        <v>670</v>
      </c>
      <c r="K1721" s="2" t="s">
        <v>523</v>
      </c>
      <c r="L1721" s="2" t="s">
        <v>524</v>
      </c>
      <c r="M1721" s="2" t="s">
        <v>525</v>
      </c>
      <c r="N1721" s="2" t="s">
        <v>526</v>
      </c>
      <c r="O1721" s="2" t="s">
        <v>527</v>
      </c>
      <c r="P1721" s="2" t="s">
        <v>171</v>
      </c>
      <c r="Q1721" s="2" t="s">
        <v>528</v>
      </c>
      <c r="R1721" s="2" t="s">
        <v>529</v>
      </c>
      <c r="S1721" s="2" t="s">
        <v>30</v>
      </c>
      <c r="T1721">
        <v>2293</v>
      </c>
      <c r="U1721">
        <f>VLOOKUP(Auto_Sales_data___Copy[[#This Row],[CUSTOMER_NAME]],$AF$2:$AH$90,2,FALSE)</f>
        <v>51</v>
      </c>
      <c r="V1721">
        <f>VLOOKUP(Auto_Sales_data___Copy[[#This Row],[CUSTOMER_NAME]],$AF$2:$AH$90,3,FALSE)</f>
        <v>157807.80999999994</v>
      </c>
      <c r="W1721" s="2">
        <f>6-MATCH(Auto_Sales_data___Copy[[#This Row],[DAYS_SINCE_LAST_ORDER]],Table2[R-Cutoff],1)</f>
        <v>2</v>
      </c>
      <c r="X1721" s="2">
        <f>MATCH(Auto_Sales_data___Copy[[#This Row],[Total_Orders_Per_Customer]],Table2[F-Cutoff],1)</f>
        <v>4</v>
      </c>
      <c r="Y1721" s="2">
        <f>MATCH(Auto_Sales_data___Copy[[#This Row],[Total_Sales_Per_Customer]],Table2[M-Cutoff],1)</f>
        <v>4</v>
      </c>
      <c r="Z1721" s="2" t="str">
        <f>Auto_Sales_data___Copy[[#This Row],[R-Score(1-5)]]&amp;Auto_Sales_data___Copy[[#This Row],[F-Score(1-5)]]&amp;Auto_Sales_data___Copy[[#This Row],[M-Score(1-5)]]</f>
        <v>244</v>
      </c>
      <c r="AA1721" s="2" t="str" cm="1">
        <f t="array" ref="AA17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1" s="2" t="str">
        <f>VLOOKUP(Auto_Sales_data___Copy[[#This Row],[Segment Name]],Table3[],2,FALSE)</f>
        <v>High-Touch  Win-Back</v>
      </c>
    </row>
    <row r="1722" spans="1:28" x14ac:dyDescent="0.25">
      <c r="A1722">
        <v>10110</v>
      </c>
      <c r="B1722">
        <v>39</v>
      </c>
      <c r="C1722">
        <v>44.35</v>
      </c>
      <c r="D1722">
        <v>2</v>
      </c>
      <c r="E1722">
        <v>1729.65</v>
      </c>
      <c r="F1722" s="1">
        <v>43177</v>
      </c>
      <c r="G1722" s="2" t="s">
        <v>19</v>
      </c>
      <c r="H1722" s="2" t="s">
        <v>589</v>
      </c>
      <c r="I1722">
        <v>44</v>
      </c>
      <c r="J1722" s="2" t="s">
        <v>673</v>
      </c>
      <c r="K1722" s="2" t="s">
        <v>523</v>
      </c>
      <c r="L1722" s="2" t="s">
        <v>524</v>
      </c>
      <c r="M1722" s="2" t="s">
        <v>525</v>
      </c>
      <c r="N1722" s="2" t="s">
        <v>526</v>
      </c>
      <c r="O1722" s="2" t="s">
        <v>527</v>
      </c>
      <c r="P1722" s="2" t="s">
        <v>171</v>
      </c>
      <c r="Q1722" s="2" t="s">
        <v>528</v>
      </c>
      <c r="R1722" s="2" t="s">
        <v>529</v>
      </c>
      <c r="S1722" s="2" t="s">
        <v>30</v>
      </c>
      <c r="T1722">
        <v>2367</v>
      </c>
      <c r="U1722">
        <f>VLOOKUP(Auto_Sales_data___Copy[[#This Row],[CUSTOMER_NAME]],$AF$2:$AH$90,2,FALSE)</f>
        <v>51</v>
      </c>
      <c r="V1722">
        <f>VLOOKUP(Auto_Sales_data___Copy[[#This Row],[CUSTOMER_NAME]],$AF$2:$AH$90,3,FALSE)</f>
        <v>157807.80999999994</v>
      </c>
      <c r="W1722" s="2">
        <f>6-MATCH(Auto_Sales_data___Copy[[#This Row],[DAYS_SINCE_LAST_ORDER]],Table2[R-Cutoff],1)</f>
        <v>2</v>
      </c>
      <c r="X1722" s="2">
        <f>MATCH(Auto_Sales_data___Copy[[#This Row],[Total_Orders_Per_Customer]],Table2[F-Cutoff],1)</f>
        <v>4</v>
      </c>
      <c r="Y1722" s="2">
        <f>MATCH(Auto_Sales_data___Copy[[#This Row],[Total_Sales_Per_Customer]],Table2[M-Cutoff],1)</f>
        <v>4</v>
      </c>
      <c r="Z1722" s="2" t="str">
        <f>Auto_Sales_data___Copy[[#This Row],[R-Score(1-5)]]&amp;Auto_Sales_data___Copy[[#This Row],[F-Score(1-5)]]&amp;Auto_Sales_data___Copy[[#This Row],[M-Score(1-5)]]</f>
        <v>244</v>
      </c>
      <c r="AA1722" s="2" t="str" cm="1">
        <f t="array" ref="AA17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2" s="2" t="str">
        <f>VLOOKUP(Auto_Sales_data___Copy[[#This Row],[Segment Name]],Table3[],2,FALSE)</f>
        <v>High-Touch  Win-Back</v>
      </c>
    </row>
    <row r="1723" spans="1:28" x14ac:dyDescent="0.25">
      <c r="A1723">
        <v>10110</v>
      </c>
      <c r="B1723">
        <v>43</v>
      </c>
      <c r="C1723">
        <v>78.150000000000006</v>
      </c>
      <c r="D1723">
        <v>11</v>
      </c>
      <c r="E1723">
        <v>3360.45</v>
      </c>
      <c r="F1723" s="1">
        <v>43177</v>
      </c>
      <c r="G1723" s="2" t="s">
        <v>19</v>
      </c>
      <c r="H1723" s="2" t="s">
        <v>183</v>
      </c>
      <c r="I1723">
        <v>90</v>
      </c>
      <c r="J1723" s="2" t="s">
        <v>676</v>
      </c>
      <c r="K1723" s="2" t="s">
        <v>523</v>
      </c>
      <c r="L1723" s="2" t="s">
        <v>524</v>
      </c>
      <c r="M1723" s="2" t="s">
        <v>525</v>
      </c>
      <c r="N1723" s="2" t="s">
        <v>526</v>
      </c>
      <c r="O1723" s="2" t="s">
        <v>527</v>
      </c>
      <c r="P1723" s="2" t="s">
        <v>171</v>
      </c>
      <c r="Q1723" s="2" t="s">
        <v>528</v>
      </c>
      <c r="R1723" s="2" t="s">
        <v>529</v>
      </c>
      <c r="S1723" s="2" t="s">
        <v>46</v>
      </c>
      <c r="T1723">
        <v>2441</v>
      </c>
      <c r="U1723">
        <f>VLOOKUP(Auto_Sales_data___Copy[[#This Row],[CUSTOMER_NAME]],$AF$2:$AH$90,2,FALSE)</f>
        <v>51</v>
      </c>
      <c r="V1723">
        <f>VLOOKUP(Auto_Sales_data___Copy[[#This Row],[CUSTOMER_NAME]],$AF$2:$AH$90,3,FALSE)</f>
        <v>157807.80999999994</v>
      </c>
      <c r="W1723" s="2">
        <f>6-MATCH(Auto_Sales_data___Copy[[#This Row],[DAYS_SINCE_LAST_ORDER]],Table2[R-Cutoff],1)</f>
        <v>2</v>
      </c>
      <c r="X1723" s="2">
        <f>MATCH(Auto_Sales_data___Copy[[#This Row],[Total_Orders_Per_Customer]],Table2[F-Cutoff],1)</f>
        <v>4</v>
      </c>
      <c r="Y1723" s="2">
        <f>MATCH(Auto_Sales_data___Copy[[#This Row],[Total_Sales_Per_Customer]],Table2[M-Cutoff],1)</f>
        <v>4</v>
      </c>
      <c r="Z1723" s="2" t="str">
        <f>Auto_Sales_data___Copy[[#This Row],[R-Score(1-5)]]&amp;Auto_Sales_data___Copy[[#This Row],[F-Score(1-5)]]&amp;Auto_Sales_data___Copy[[#This Row],[M-Score(1-5)]]</f>
        <v>244</v>
      </c>
      <c r="AA1723" s="2" t="str" cm="1">
        <f t="array" ref="AA17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3" s="2" t="str">
        <f>VLOOKUP(Auto_Sales_data___Copy[[#This Row],[Segment Name]],Table3[],2,FALSE)</f>
        <v>High-Touch  Win-Back</v>
      </c>
    </row>
    <row r="1724" spans="1:28" x14ac:dyDescent="0.25">
      <c r="A1724">
        <v>10110</v>
      </c>
      <c r="B1724">
        <v>46</v>
      </c>
      <c r="C1724">
        <v>129.18</v>
      </c>
      <c r="D1724">
        <v>10</v>
      </c>
      <c r="E1724">
        <v>5942.28</v>
      </c>
      <c r="F1724" s="1">
        <v>43177</v>
      </c>
      <c r="G1724" s="2" t="s">
        <v>19</v>
      </c>
      <c r="H1724" s="2" t="s">
        <v>183</v>
      </c>
      <c r="I1724">
        <v>117</v>
      </c>
      <c r="J1724" s="2" t="s">
        <v>679</v>
      </c>
      <c r="K1724" s="2" t="s">
        <v>523</v>
      </c>
      <c r="L1724" s="2" t="s">
        <v>524</v>
      </c>
      <c r="M1724" s="2" t="s">
        <v>525</v>
      </c>
      <c r="N1724" s="2" t="s">
        <v>526</v>
      </c>
      <c r="O1724" s="2" t="s">
        <v>527</v>
      </c>
      <c r="P1724" s="2" t="s">
        <v>171</v>
      </c>
      <c r="Q1724" s="2" t="s">
        <v>528</v>
      </c>
      <c r="R1724" s="2" t="s">
        <v>529</v>
      </c>
      <c r="S1724" s="2" t="s">
        <v>46</v>
      </c>
      <c r="T1724">
        <v>2517</v>
      </c>
      <c r="U1724">
        <f>VLOOKUP(Auto_Sales_data___Copy[[#This Row],[CUSTOMER_NAME]],$AF$2:$AH$90,2,FALSE)</f>
        <v>51</v>
      </c>
      <c r="V1724">
        <f>VLOOKUP(Auto_Sales_data___Copy[[#This Row],[CUSTOMER_NAME]],$AF$2:$AH$90,3,FALSE)</f>
        <v>157807.80999999994</v>
      </c>
      <c r="W1724" s="2">
        <f>6-MATCH(Auto_Sales_data___Copy[[#This Row],[DAYS_SINCE_LAST_ORDER]],Table2[R-Cutoff],1)</f>
        <v>2</v>
      </c>
      <c r="X1724" s="2">
        <f>MATCH(Auto_Sales_data___Copy[[#This Row],[Total_Orders_Per_Customer]],Table2[F-Cutoff],1)</f>
        <v>4</v>
      </c>
      <c r="Y1724" s="2">
        <f>MATCH(Auto_Sales_data___Copy[[#This Row],[Total_Sales_Per_Customer]],Table2[M-Cutoff],1)</f>
        <v>4</v>
      </c>
      <c r="Z1724" s="2" t="str">
        <f>Auto_Sales_data___Copy[[#This Row],[R-Score(1-5)]]&amp;Auto_Sales_data___Copy[[#This Row],[F-Score(1-5)]]&amp;Auto_Sales_data___Copy[[#This Row],[M-Score(1-5)]]</f>
        <v>244</v>
      </c>
      <c r="AA1724" s="2" t="str" cm="1">
        <f t="array" ref="AA17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4" s="2" t="str">
        <f>VLOOKUP(Auto_Sales_data___Copy[[#This Row],[Segment Name]],Table3[],2,FALSE)</f>
        <v>High-Touch  Win-Back</v>
      </c>
    </row>
    <row r="1725" spans="1:28" x14ac:dyDescent="0.25">
      <c r="A1725">
        <v>10113</v>
      </c>
      <c r="B1725">
        <v>50</v>
      </c>
      <c r="C1725">
        <v>49.81</v>
      </c>
      <c r="D1725">
        <v>3</v>
      </c>
      <c r="E1725">
        <v>2490.5</v>
      </c>
      <c r="F1725" s="1">
        <v>43185</v>
      </c>
      <c r="G1725" s="2" t="s">
        <v>19</v>
      </c>
      <c r="H1725" s="2" t="s">
        <v>589</v>
      </c>
      <c r="I1725">
        <v>50</v>
      </c>
      <c r="J1725" s="2" t="s">
        <v>662</v>
      </c>
      <c r="K1725" s="2" t="s">
        <v>284</v>
      </c>
      <c r="L1725" s="2" t="s">
        <v>285</v>
      </c>
      <c r="M1725" s="2" t="s">
        <v>286</v>
      </c>
      <c r="N1725" s="2" t="s">
        <v>287</v>
      </c>
      <c r="O1725" s="2" t="s">
        <v>106</v>
      </c>
      <c r="P1725" s="2" t="s">
        <v>27</v>
      </c>
      <c r="Q1725" s="2" t="s">
        <v>288</v>
      </c>
      <c r="R1725" s="2" t="s">
        <v>289</v>
      </c>
      <c r="S1725" s="2" t="s">
        <v>30</v>
      </c>
      <c r="T1725">
        <v>2092</v>
      </c>
      <c r="U1725">
        <f>VLOOKUP(Auto_Sales_data___Copy[[#This Row],[CUSTOMER_NAME]],$AF$2:$AH$90,2,FALSE)</f>
        <v>180</v>
      </c>
      <c r="V1725">
        <f>VLOOKUP(Auto_Sales_data___Copy[[#This Row],[CUSTOMER_NAME]],$AF$2:$AH$90,3,FALSE)</f>
        <v>654858.06000000017</v>
      </c>
      <c r="W1725" s="2">
        <f>6-MATCH(Auto_Sales_data___Copy[[#This Row],[DAYS_SINCE_LAST_ORDER]],Table2[R-Cutoff],1)</f>
        <v>2</v>
      </c>
      <c r="X1725" s="2">
        <f>MATCH(Auto_Sales_data___Copy[[#This Row],[Total_Orders_Per_Customer]],Table2[F-Cutoff],1)</f>
        <v>4</v>
      </c>
      <c r="Y1725" s="2">
        <f>MATCH(Auto_Sales_data___Copy[[#This Row],[Total_Sales_Per_Customer]],Table2[M-Cutoff],1)</f>
        <v>4</v>
      </c>
      <c r="Z1725" s="2" t="str">
        <f>Auto_Sales_data___Copy[[#This Row],[R-Score(1-5)]]&amp;Auto_Sales_data___Copy[[#This Row],[F-Score(1-5)]]&amp;Auto_Sales_data___Copy[[#This Row],[M-Score(1-5)]]</f>
        <v>244</v>
      </c>
      <c r="AA1725" s="2" t="str" cm="1">
        <f t="array" ref="AA17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5" s="2" t="str">
        <f>VLOOKUP(Auto_Sales_data___Copy[[#This Row],[Segment Name]],Table3[],2,FALSE)</f>
        <v>High-Touch  Win-Back</v>
      </c>
    </row>
    <row r="1726" spans="1:28" x14ac:dyDescent="0.25">
      <c r="A1726">
        <v>10117</v>
      </c>
      <c r="B1726">
        <v>41</v>
      </c>
      <c r="C1726">
        <v>126.58</v>
      </c>
      <c r="D1726">
        <v>3</v>
      </c>
      <c r="E1726">
        <v>5189.78</v>
      </c>
      <c r="F1726" s="1">
        <v>43206</v>
      </c>
      <c r="G1726" s="2" t="s">
        <v>19</v>
      </c>
      <c r="H1726" s="2" t="s">
        <v>642</v>
      </c>
      <c r="I1726">
        <v>122</v>
      </c>
      <c r="J1726" s="2" t="s">
        <v>672</v>
      </c>
      <c r="K1726" s="2" t="s">
        <v>199</v>
      </c>
      <c r="L1726" s="2" t="s">
        <v>200</v>
      </c>
      <c r="M1726" s="2" t="s">
        <v>201</v>
      </c>
      <c r="N1726" s="2" t="s">
        <v>202</v>
      </c>
      <c r="O1726" s="2" t="s">
        <v>203</v>
      </c>
      <c r="P1726" s="2" t="s">
        <v>202</v>
      </c>
      <c r="Q1726" s="2" t="s">
        <v>204</v>
      </c>
      <c r="R1726" s="2" t="s">
        <v>205</v>
      </c>
      <c r="S1726" s="2" t="s">
        <v>46</v>
      </c>
      <c r="T1726">
        <v>2313</v>
      </c>
      <c r="U1726">
        <f>VLOOKUP(Auto_Sales_data___Copy[[#This Row],[CUSTOMER_NAME]],$AF$2:$AH$90,2,FALSE)</f>
        <v>43</v>
      </c>
      <c r="V1726">
        <f>VLOOKUP(Auto_Sales_data___Copy[[#This Row],[CUSTOMER_NAME]],$AF$2:$AH$90,3,FALSE)</f>
        <v>172989.68000000008</v>
      </c>
      <c r="W1726" s="2">
        <f>6-MATCH(Auto_Sales_data___Copy[[#This Row],[DAYS_SINCE_LAST_ORDER]],Table2[R-Cutoff],1)</f>
        <v>2</v>
      </c>
      <c r="X1726" s="2">
        <f>MATCH(Auto_Sales_data___Copy[[#This Row],[Total_Orders_Per_Customer]],Table2[F-Cutoff],1)</f>
        <v>4</v>
      </c>
      <c r="Y1726" s="2">
        <f>MATCH(Auto_Sales_data___Copy[[#This Row],[Total_Sales_Per_Customer]],Table2[M-Cutoff],1)</f>
        <v>4</v>
      </c>
      <c r="Z1726" s="2" t="str">
        <f>Auto_Sales_data___Copy[[#This Row],[R-Score(1-5)]]&amp;Auto_Sales_data___Copy[[#This Row],[F-Score(1-5)]]&amp;Auto_Sales_data___Copy[[#This Row],[M-Score(1-5)]]</f>
        <v>244</v>
      </c>
      <c r="AA1726" s="2" t="str" cm="1">
        <f t="array" ref="AA17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6" s="2" t="str">
        <f>VLOOKUP(Auto_Sales_data___Copy[[#This Row],[Segment Name]],Table3[],2,FALSE)</f>
        <v>High-Touch  Win-Back</v>
      </c>
    </row>
    <row r="1727" spans="1:28" x14ac:dyDescent="0.25">
      <c r="A1727">
        <v>10119</v>
      </c>
      <c r="B1727">
        <v>41</v>
      </c>
      <c r="C1727">
        <v>59.6</v>
      </c>
      <c r="D1727">
        <v>4</v>
      </c>
      <c r="E1727">
        <v>2443.6</v>
      </c>
      <c r="F1727" s="1">
        <v>43218</v>
      </c>
      <c r="G1727" s="2" t="s">
        <v>19</v>
      </c>
      <c r="H1727" s="2" t="s">
        <v>607</v>
      </c>
      <c r="I1727">
        <v>68</v>
      </c>
      <c r="J1727" s="2" t="s">
        <v>678</v>
      </c>
      <c r="K1727" s="2" t="s">
        <v>143</v>
      </c>
      <c r="L1727" s="2" t="s">
        <v>144</v>
      </c>
      <c r="M1727" s="2" t="s">
        <v>145</v>
      </c>
      <c r="N1727" s="2" t="s">
        <v>146</v>
      </c>
      <c r="O1727" s="2" t="s">
        <v>147</v>
      </c>
      <c r="P1727" s="2" t="s">
        <v>148</v>
      </c>
      <c r="Q1727" s="2" t="s">
        <v>149</v>
      </c>
      <c r="R1727" s="2" t="s">
        <v>150</v>
      </c>
      <c r="S1727" s="2" t="s">
        <v>30</v>
      </c>
      <c r="T1727">
        <v>2452</v>
      </c>
      <c r="U1727">
        <f>VLOOKUP(Auto_Sales_data___Copy[[#This Row],[CUSTOMER_NAME]],$AF$2:$AH$90,2,FALSE)</f>
        <v>40</v>
      </c>
      <c r="V1727">
        <f>VLOOKUP(Auto_Sales_data___Copy[[#This Row],[CUSTOMER_NAME]],$AF$2:$AH$90,3,FALSE)</f>
        <v>149798.63</v>
      </c>
      <c r="W1727" s="2">
        <f>6-MATCH(Auto_Sales_data___Copy[[#This Row],[DAYS_SINCE_LAST_ORDER]],Table2[R-Cutoff],1)</f>
        <v>2</v>
      </c>
      <c r="X1727" s="2">
        <f>MATCH(Auto_Sales_data___Copy[[#This Row],[Total_Orders_Per_Customer]],Table2[F-Cutoff],1)</f>
        <v>4</v>
      </c>
      <c r="Y1727" s="2">
        <f>MATCH(Auto_Sales_data___Copy[[#This Row],[Total_Sales_Per_Customer]],Table2[M-Cutoff],1)</f>
        <v>4</v>
      </c>
      <c r="Z1727" s="2" t="str">
        <f>Auto_Sales_data___Copy[[#This Row],[R-Score(1-5)]]&amp;Auto_Sales_data___Copy[[#This Row],[F-Score(1-5)]]&amp;Auto_Sales_data___Copy[[#This Row],[M-Score(1-5)]]</f>
        <v>244</v>
      </c>
      <c r="AA1727" s="2" t="str" cm="1">
        <f t="array" ref="AA17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7" s="2" t="str">
        <f>VLOOKUP(Auto_Sales_data___Copy[[#This Row],[Segment Name]],Table3[],2,FALSE)</f>
        <v>High-Touch  Win-Back</v>
      </c>
    </row>
    <row r="1728" spans="1:28" x14ac:dyDescent="0.25">
      <c r="A1728">
        <v>10119</v>
      </c>
      <c r="B1728">
        <v>35</v>
      </c>
      <c r="C1728">
        <v>87.62</v>
      </c>
      <c r="D1728">
        <v>13</v>
      </c>
      <c r="E1728">
        <v>3066.7</v>
      </c>
      <c r="F1728" s="1">
        <v>43218</v>
      </c>
      <c r="G1728" s="2" t="s">
        <v>19</v>
      </c>
      <c r="H1728" s="2" t="s">
        <v>589</v>
      </c>
      <c r="I1728">
        <v>88</v>
      </c>
      <c r="J1728" s="2" t="s">
        <v>681</v>
      </c>
      <c r="K1728" s="2" t="s">
        <v>143</v>
      </c>
      <c r="L1728" s="2" t="s">
        <v>144</v>
      </c>
      <c r="M1728" s="2" t="s">
        <v>145</v>
      </c>
      <c r="N1728" s="2" t="s">
        <v>146</v>
      </c>
      <c r="O1728" s="2" t="s">
        <v>147</v>
      </c>
      <c r="P1728" s="2" t="s">
        <v>148</v>
      </c>
      <c r="Q1728" s="2" t="s">
        <v>149</v>
      </c>
      <c r="R1728" s="2" t="s">
        <v>150</v>
      </c>
      <c r="S1728" s="2" t="s">
        <v>46</v>
      </c>
      <c r="T1728">
        <v>2525</v>
      </c>
      <c r="U1728">
        <f>VLOOKUP(Auto_Sales_data___Copy[[#This Row],[CUSTOMER_NAME]],$AF$2:$AH$90,2,FALSE)</f>
        <v>40</v>
      </c>
      <c r="V1728">
        <f>VLOOKUP(Auto_Sales_data___Copy[[#This Row],[CUSTOMER_NAME]],$AF$2:$AH$90,3,FALSE)</f>
        <v>149798.63</v>
      </c>
      <c r="W1728" s="2">
        <f>6-MATCH(Auto_Sales_data___Copy[[#This Row],[DAYS_SINCE_LAST_ORDER]],Table2[R-Cutoff],1)</f>
        <v>2</v>
      </c>
      <c r="X1728" s="2">
        <f>MATCH(Auto_Sales_data___Copy[[#This Row],[Total_Orders_Per_Customer]],Table2[F-Cutoff],1)</f>
        <v>4</v>
      </c>
      <c r="Y1728" s="2">
        <f>MATCH(Auto_Sales_data___Copy[[#This Row],[Total_Sales_Per_Customer]],Table2[M-Cutoff],1)</f>
        <v>4</v>
      </c>
      <c r="Z1728" s="2" t="str">
        <f>Auto_Sales_data___Copy[[#This Row],[R-Score(1-5)]]&amp;Auto_Sales_data___Copy[[#This Row],[F-Score(1-5)]]&amp;Auto_Sales_data___Copy[[#This Row],[M-Score(1-5)]]</f>
        <v>244</v>
      </c>
      <c r="AA1728" s="2" t="str" cm="1">
        <f t="array" ref="AA17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8" s="2" t="str">
        <f>VLOOKUP(Auto_Sales_data___Copy[[#This Row],[Segment Name]],Table3[],2,FALSE)</f>
        <v>High-Touch  Win-Back</v>
      </c>
    </row>
    <row r="1729" spans="1:28" x14ac:dyDescent="0.25">
      <c r="A1729">
        <v>10120</v>
      </c>
      <c r="B1729">
        <v>35</v>
      </c>
      <c r="C1729">
        <v>98.05</v>
      </c>
      <c r="D1729">
        <v>1</v>
      </c>
      <c r="E1729">
        <v>3431.75</v>
      </c>
      <c r="F1729" s="1">
        <v>43219</v>
      </c>
      <c r="G1729" s="2" t="s">
        <v>19</v>
      </c>
      <c r="H1729" s="2" t="s">
        <v>20</v>
      </c>
      <c r="I1729">
        <v>112</v>
      </c>
      <c r="J1729" s="2" t="s">
        <v>667</v>
      </c>
      <c r="K1729" s="2" t="s">
        <v>82</v>
      </c>
      <c r="L1729" s="2" t="s">
        <v>83</v>
      </c>
      <c r="M1729" s="2" t="s">
        <v>84</v>
      </c>
      <c r="N1729" s="2" t="s">
        <v>85</v>
      </c>
      <c r="O1729" s="2" t="s">
        <v>86</v>
      </c>
      <c r="P1729" s="2" t="s">
        <v>87</v>
      </c>
      <c r="Q1729" s="2" t="s">
        <v>88</v>
      </c>
      <c r="R1729" s="2" t="s">
        <v>89</v>
      </c>
      <c r="S1729" s="2" t="s">
        <v>46</v>
      </c>
      <c r="T1729">
        <v>2180</v>
      </c>
      <c r="U1729">
        <f>VLOOKUP(Auto_Sales_data___Copy[[#This Row],[CUSTOMER_NAME]],$AF$2:$AH$90,2,FALSE)</f>
        <v>55</v>
      </c>
      <c r="V1729">
        <f>VLOOKUP(Auto_Sales_data___Copy[[#This Row],[CUSTOMER_NAME]],$AF$2:$AH$90,3,FALSE)</f>
        <v>200995.41000000006</v>
      </c>
      <c r="W1729" s="2">
        <f>6-MATCH(Auto_Sales_data___Copy[[#This Row],[DAYS_SINCE_LAST_ORDER]],Table2[R-Cutoff],1)</f>
        <v>2</v>
      </c>
      <c r="X1729" s="2">
        <f>MATCH(Auto_Sales_data___Copy[[#This Row],[Total_Orders_Per_Customer]],Table2[F-Cutoff],1)</f>
        <v>4</v>
      </c>
      <c r="Y1729" s="2">
        <f>MATCH(Auto_Sales_data___Copy[[#This Row],[Total_Sales_Per_Customer]],Table2[M-Cutoff],1)</f>
        <v>4</v>
      </c>
      <c r="Z1729" s="2" t="str">
        <f>Auto_Sales_data___Copy[[#This Row],[R-Score(1-5)]]&amp;Auto_Sales_data___Copy[[#This Row],[F-Score(1-5)]]&amp;Auto_Sales_data___Copy[[#This Row],[M-Score(1-5)]]</f>
        <v>244</v>
      </c>
      <c r="AA1729" s="2" t="str" cm="1">
        <f t="array" ref="AA17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9" s="2" t="str">
        <f>VLOOKUP(Auto_Sales_data___Copy[[#This Row],[Segment Name]],Table3[],2,FALSE)</f>
        <v>High-Touch  Win-Back</v>
      </c>
    </row>
    <row r="1730" spans="1:28" x14ac:dyDescent="0.25">
      <c r="A1730">
        <v>10120</v>
      </c>
      <c r="B1730">
        <v>39</v>
      </c>
      <c r="C1730">
        <v>119.27</v>
      </c>
      <c r="D1730">
        <v>10</v>
      </c>
      <c r="E1730">
        <v>4651.53</v>
      </c>
      <c r="F1730" s="1">
        <v>43219</v>
      </c>
      <c r="G1730" s="2" t="s">
        <v>19</v>
      </c>
      <c r="H1730" s="2" t="s">
        <v>607</v>
      </c>
      <c r="I1730">
        <v>109</v>
      </c>
      <c r="J1730" s="2" t="s">
        <v>669</v>
      </c>
      <c r="K1730" s="2" t="s">
        <v>82</v>
      </c>
      <c r="L1730" s="2" t="s">
        <v>83</v>
      </c>
      <c r="M1730" s="2" t="s">
        <v>84</v>
      </c>
      <c r="N1730" s="2" t="s">
        <v>85</v>
      </c>
      <c r="O1730" s="2" t="s">
        <v>86</v>
      </c>
      <c r="P1730" s="2" t="s">
        <v>87</v>
      </c>
      <c r="Q1730" s="2" t="s">
        <v>88</v>
      </c>
      <c r="R1730" s="2" t="s">
        <v>89</v>
      </c>
      <c r="S1730" s="2" t="s">
        <v>46</v>
      </c>
      <c r="T1730">
        <v>2228</v>
      </c>
      <c r="U1730">
        <f>VLOOKUP(Auto_Sales_data___Copy[[#This Row],[CUSTOMER_NAME]],$AF$2:$AH$90,2,FALSE)</f>
        <v>55</v>
      </c>
      <c r="V1730">
        <f>VLOOKUP(Auto_Sales_data___Copy[[#This Row],[CUSTOMER_NAME]],$AF$2:$AH$90,3,FALSE)</f>
        <v>200995.41000000006</v>
      </c>
      <c r="W1730" s="2">
        <f>6-MATCH(Auto_Sales_data___Copy[[#This Row],[DAYS_SINCE_LAST_ORDER]],Table2[R-Cutoff],1)</f>
        <v>2</v>
      </c>
      <c r="X1730" s="2">
        <f>MATCH(Auto_Sales_data___Copy[[#This Row],[Total_Orders_Per_Customer]],Table2[F-Cutoff],1)</f>
        <v>4</v>
      </c>
      <c r="Y1730" s="2">
        <f>MATCH(Auto_Sales_data___Copy[[#This Row],[Total_Sales_Per_Customer]],Table2[M-Cutoff],1)</f>
        <v>4</v>
      </c>
      <c r="Z1730" s="2" t="str">
        <f>Auto_Sales_data___Copy[[#This Row],[R-Score(1-5)]]&amp;Auto_Sales_data___Copy[[#This Row],[F-Score(1-5)]]&amp;Auto_Sales_data___Copy[[#This Row],[M-Score(1-5)]]</f>
        <v>244</v>
      </c>
      <c r="AA1730" s="2" t="str" cm="1">
        <f t="array" ref="AA17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0" s="2" t="str">
        <f>VLOOKUP(Auto_Sales_data___Copy[[#This Row],[Segment Name]],Table3[],2,FALSE)</f>
        <v>High-Touch  Win-Back</v>
      </c>
    </row>
    <row r="1731" spans="1:28" x14ac:dyDescent="0.25">
      <c r="A1731">
        <v>10120</v>
      </c>
      <c r="B1731">
        <v>34</v>
      </c>
      <c r="C1731">
        <v>83.79</v>
      </c>
      <c r="D1731">
        <v>5</v>
      </c>
      <c r="E1731">
        <v>2848.86</v>
      </c>
      <c r="F1731" s="1">
        <v>43219</v>
      </c>
      <c r="G1731" s="2" t="s">
        <v>19</v>
      </c>
      <c r="H1731" s="2" t="s">
        <v>20</v>
      </c>
      <c r="I1731">
        <v>76</v>
      </c>
      <c r="J1731" s="2" t="s">
        <v>671</v>
      </c>
      <c r="K1731" s="2" t="s">
        <v>82</v>
      </c>
      <c r="L1731" s="2" t="s">
        <v>83</v>
      </c>
      <c r="M1731" s="2" t="s">
        <v>84</v>
      </c>
      <c r="N1731" s="2" t="s">
        <v>85</v>
      </c>
      <c r="O1731" s="2" t="s">
        <v>86</v>
      </c>
      <c r="P1731" s="2" t="s">
        <v>87</v>
      </c>
      <c r="Q1731" s="2" t="s">
        <v>88</v>
      </c>
      <c r="R1731" s="2" t="s">
        <v>89</v>
      </c>
      <c r="S1731" s="2" t="s">
        <v>30</v>
      </c>
      <c r="T1731">
        <v>2275</v>
      </c>
      <c r="U1731">
        <f>VLOOKUP(Auto_Sales_data___Copy[[#This Row],[CUSTOMER_NAME]],$AF$2:$AH$90,2,FALSE)</f>
        <v>55</v>
      </c>
      <c r="V1731">
        <f>VLOOKUP(Auto_Sales_data___Copy[[#This Row],[CUSTOMER_NAME]],$AF$2:$AH$90,3,FALSE)</f>
        <v>200995.41000000006</v>
      </c>
      <c r="W1731" s="2">
        <f>6-MATCH(Auto_Sales_data___Copy[[#This Row],[DAYS_SINCE_LAST_ORDER]],Table2[R-Cutoff],1)</f>
        <v>2</v>
      </c>
      <c r="X1731" s="2">
        <f>MATCH(Auto_Sales_data___Copy[[#This Row],[Total_Orders_Per_Customer]],Table2[F-Cutoff],1)</f>
        <v>4</v>
      </c>
      <c r="Y1731" s="2">
        <f>MATCH(Auto_Sales_data___Copy[[#This Row],[Total_Sales_Per_Customer]],Table2[M-Cutoff],1)</f>
        <v>4</v>
      </c>
      <c r="Z1731" s="2" t="str">
        <f>Auto_Sales_data___Copy[[#This Row],[R-Score(1-5)]]&amp;Auto_Sales_data___Copy[[#This Row],[F-Score(1-5)]]&amp;Auto_Sales_data___Copy[[#This Row],[M-Score(1-5)]]</f>
        <v>244</v>
      </c>
      <c r="AA1731" s="2" t="str" cm="1">
        <f t="array" ref="AA17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1" s="2" t="str">
        <f>VLOOKUP(Auto_Sales_data___Copy[[#This Row],[Segment Name]],Table3[],2,FALSE)</f>
        <v>High-Touch  Win-Back</v>
      </c>
    </row>
    <row r="1732" spans="1:28" x14ac:dyDescent="0.25">
      <c r="A1732">
        <v>10121</v>
      </c>
      <c r="B1732">
        <v>32</v>
      </c>
      <c r="C1732">
        <v>76.88</v>
      </c>
      <c r="D1732">
        <v>2</v>
      </c>
      <c r="E1732">
        <v>2460.16</v>
      </c>
      <c r="F1732" s="1">
        <v>43227</v>
      </c>
      <c r="G1732" s="2" t="s">
        <v>19</v>
      </c>
      <c r="H1732" s="2" t="s">
        <v>20</v>
      </c>
      <c r="I1732">
        <v>69</v>
      </c>
      <c r="J1732" s="2" t="s">
        <v>675</v>
      </c>
      <c r="K1732" s="2" t="s">
        <v>31</v>
      </c>
      <c r="L1732" s="2" t="s">
        <v>32</v>
      </c>
      <c r="M1732" s="2" t="s">
        <v>33</v>
      </c>
      <c r="N1732" s="2" t="s">
        <v>34</v>
      </c>
      <c r="O1732" s="2" t="s">
        <v>35</v>
      </c>
      <c r="P1732" s="2" t="s">
        <v>36</v>
      </c>
      <c r="Q1732" s="2" t="s">
        <v>37</v>
      </c>
      <c r="R1732" s="2" t="s">
        <v>38</v>
      </c>
      <c r="S1732" s="2" t="s">
        <v>30</v>
      </c>
      <c r="T1732">
        <v>2368</v>
      </c>
      <c r="U1732">
        <f>VLOOKUP(Auto_Sales_data___Copy[[#This Row],[CUSTOMER_NAME]],$AF$2:$AH$90,2,FALSE)</f>
        <v>41</v>
      </c>
      <c r="V1732">
        <f>VLOOKUP(Auto_Sales_data___Copy[[#This Row],[CUSTOMER_NAME]],$AF$2:$AH$90,3,FALSE)</f>
        <v>135042.94</v>
      </c>
      <c r="W1732" s="2">
        <f>6-MATCH(Auto_Sales_data___Copy[[#This Row],[DAYS_SINCE_LAST_ORDER]],Table2[R-Cutoff],1)</f>
        <v>2</v>
      </c>
      <c r="X1732" s="2">
        <f>MATCH(Auto_Sales_data___Copy[[#This Row],[Total_Orders_Per_Customer]],Table2[F-Cutoff],1)</f>
        <v>4</v>
      </c>
      <c r="Y1732" s="2">
        <f>MATCH(Auto_Sales_data___Copy[[#This Row],[Total_Sales_Per_Customer]],Table2[M-Cutoff],1)</f>
        <v>4</v>
      </c>
      <c r="Z1732" s="2" t="str">
        <f>Auto_Sales_data___Copy[[#This Row],[R-Score(1-5)]]&amp;Auto_Sales_data___Copy[[#This Row],[F-Score(1-5)]]&amp;Auto_Sales_data___Copy[[#This Row],[M-Score(1-5)]]</f>
        <v>244</v>
      </c>
      <c r="AA1732" s="2" t="str" cm="1">
        <f t="array" ref="AA17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2" s="2" t="str">
        <f>VLOOKUP(Auto_Sales_data___Copy[[#This Row],[Segment Name]],Table3[],2,FALSE)</f>
        <v>High-Touch  Win-Back</v>
      </c>
    </row>
    <row r="1733" spans="1:28" x14ac:dyDescent="0.25">
      <c r="A1733">
        <v>10126</v>
      </c>
      <c r="B1733">
        <v>43</v>
      </c>
      <c r="C1733">
        <v>53.83</v>
      </c>
      <c r="D1733">
        <v>9</v>
      </c>
      <c r="E1733">
        <v>2314.69</v>
      </c>
      <c r="F1733" s="1">
        <v>43248</v>
      </c>
      <c r="G1733" s="2" t="s">
        <v>19</v>
      </c>
      <c r="H1733" s="2" t="s">
        <v>589</v>
      </c>
      <c r="I1733">
        <v>50</v>
      </c>
      <c r="J1733" s="2" t="s">
        <v>662</v>
      </c>
      <c r="K1733" s="2" t="s">
        <v>193</v>
      </c>
      <c r="L1733" s="2" t="s">
        <v>194</v>
      </c>
      <c r="M1733" s="2" t="s">
        <v>195</v>
      </c>
      <c r="N1733" s="2" t="s">
        <v>178</v>
      </c>
      <c r="O1733" s="2" t="s">
        <v>196</v>
      </c>
      <c r="P1733" s="2" t="s">
        <v>180</v>
      </c>
      <c r="Q1733" s="2" t="s">
        <v>197</v>
      </c>
      <c r="R1733" s="2" t="s">
        <v>198</v>
      </c>
      <c r="S1733" s="2" t="s">
        <v>30</v>
      </c>
      <c r="T1733">
        <v>2030</v>
      </c>
      <c r="U1733">
        <f>VLOOKUP(Auto_Sales_data___Copy[[#This Row],[CUSTOMER_NAME]],$AF$2:$AH$90,2,FALSE)</f>
        <v>32</v>
      </c>
      <c r="V1733">
        <f>VLOOKUP(Auto_Sales_data___Copy[[#This Row],[CUSTOMER_NAME]],$AF$2:$AH$90,3,FALSE)</f>
        <v>120615.28</v>
      </c>
      <c r="W1733" s="2">
        <f>6-MATCH(Auto_Sales_data___Copy[[#This Row],[DAYS_SINCE_LAST_ORDER]],Table2[R-Cutoff],1)</f>
        <v>2</v>
      </c>
      <c r="X1733" s="2">
        <f>MATCH(Auto_Sales_data___Copy[[#This Row],[Total_Orders_Per_Customer]],Table2[F-Cutoff],1)</f>
        <v>4</v>
      </c>
      <c r="Y1733" s="2">
        <f>MATCH(Auto_Sales_data___Copy[[#This Row],[Total_Sales_Per_Customer]],Table2[M-Cutoff],1)</f>
        <v>4</v>
      </c>
      <c r="Z1733" s="2" t="str">
        <f>Auto_Sales_data___Copy[[#This Row],[R-Score(1-5)]]&amp;Auto_Sales_data___Copy[[#This Row],[F-Score(1-5)]]&amp;Auto_Sales_data___Copy[[#This Row],[M-Score(1-5)]]</f>
        <v>244</v>
      </c>
      <c r="AA1733" s="2" t="str" cm="1">
        <f t="array" ref="AA17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3" s="2" t="str">
        <f>VLOOKUP(Auto_Sales_data___Copy[[#This Row],[Segment Name]],Table3[],2,FALSE)</f>
        <v>High-Touch  Win-Back</v>
      </c>
    </row>
    <row r="1734" spans="1:28" x14ac:dyDescent="0.25">
      <c r="A1734">
        <v>10126</v>
      </c>
      <c r="B1734">
        <v>27</v>
      </c>
      <c r="C1734">
        <v>126.51</v>
      </c>
      <c r="D1734">
        <v>1</v>
      </c>
      <c r="E1734">
        <v>3415.77</v>
      </c>
      <c r="F1734" s="1">
        <v>43248</v>
      </c>
      <c r="G1734" s="2" t="s">
        <v>19</v>
      </c>
      <c r="H1734" s="2" t="s">
        <v>537</v>
      </c>
      <c r="I1734">
        <v>127</v>
      </c>
      <c r="J1734" s="2" t="s">
        <v>674</v>
      </c>
      <c r="K1734" s="2" t="s">
        <v>193</v>
      </c>
      <c r="L1734" s="2" t="s">
        <v>194</v>
      </c>
      <c r="M1734" s="2" t="s">
        <v>195</v>
      </c>
      <c r="N1734" s="2" t="s">
        <v>178</v>
      </c>
      <c r="O1734" s="2" t="s">
        <v>196</v>
      </c>
      <c r="P1734" s="2" t="s">
        <v>180</v>
      </c>
      <c r="Q1734" s="2" t="s">
        <v>197</v>
      </c>
      <c r="R1734" s="2" t="s">
        <v>198</v>
      </c>
      <c r="S1734" s="2" t="s">
        <v>46</v>
      </c>
      <c r="T1734">
        <v>2321</v>
      </c>
      <c r="U1734">
        <f>VLOOKUP(Auto_Sales_data___Copy[[#This Row],[CUSTOMER_NAME]],$AF$2:$AH$90,2,FALSE)</f>
        <v>32</v>
      </c>
      <c r="V1734">
        <f>VLOOKUP(Auto_Sales_data___Copy[[#This Row],[CUSTOMER_NAME]],$AF$2:$AH$90,3,FALSE)</f>
        <v>120615.28</v>
      </c>
      <c r="W1734" s="2">
        <f>6-MATCH(Auto_Sales_data___Copy[[#This Row],[DAYS_SINCE_LAST_ORDER]],Table2[R-Cutoff],1)</f>
        <v>2</v>
      </c>
      <c r="X1734" s="2">
        <f>MATCH(Auto_Sales_data___Copy[[#This Row],[Total_Orders_Per_Customer]],Table2[F-Cutoff],1)</f>
        <v>4</v>
      </c>
      <c r="Y1734" s="2">
        <f>MATCH(Auto_Sales_data___Copy[[#This Row],[Total_Sales_Per_Customer]],Table2[M-Cutoff],1)</f>
        <v>4</v>
      </c>
      <c r="Z1734" s="2" t="str">
        <f>Auto_Sales_data___Copy[[#This Row],[R-Score(1-5)]]&amp;Auto_Sales_data___Copy[[#This Row],[F-Score(1-5)]]&amp;Auto_Sales_data___Copy[[#This Row],[M-Score(1-5)]]</f>
        <v>244</v>
      </c>
      <c r="AA1734" s="2" t="str" cm="1">
        <f t="array" ref="AA17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4" s="2" t="str">
        <f>VLOOKUP(Auto_Sales_data___Copy[[#This Row],[Segment Name]],Table3[],2,FALSE)</f>
        <v>High-Touch  Win-Back</v>
      </c>
    </row>
    <row r="1735" spans="1:28" x14ac:dyDescent="0.25">
      <c r="A1735">
        <v>10127</v>
      </c>
      <c r="B1735">
        <v>20</v>
      </c>
      <c r="C1735">
        <v>60.69</v>
      </c>
      <c r="D1735">
        <v>8</v>
      </c>
      <c r="E1735">
        <v>1213.8</v>
      </c>
      <c r="F1735" s="1">
        <v>43254</v>
      </c>
      <c r="G1735" s="2" t="s">
        <v>19</v>
      </c>
      <c r="H1735" s="2" t="s">
        <v>183</v>
      </c>
      <c r="I1735">
        <v>57</v>
      </c>
      <c r="J1735" s="2" t="s">
        <v>666</v>
      </c>
      <c r="K1735" s="2" t="s">
        <v>506</v>
      </c>
      <c r="L1735" s="2" t="s">
        <v>507</v>
      </c>
      <c r="M1735" s="2" t="s">
        <v>508</v>
      </c>
      <c r="N1735" s="2" t="s">
        <v>25</v>
      </c>
      <c r="O1735" s="2" t="s">
        <v>26</v>
      </c>
      <c r="P1735" s="2" t="s">
        <v>27</v>
      </c>
      <c r="Q1735" s="2" t="s">
        <v>52</v>
      </c>
      <c r="R1735" s="2" t="s">
        <v>509</v>
      </c>
      <c r="S1735" s="2" t="s">
        <v>30</v>
      </c>
      <c r="T1735">
        <v>2118</v>
      </c>
      <c r="U1735">
        <f>VLOOKUP(Auto_Sales_data___Copy[[#This Row],[CUSTOMER_NAME]],$AF$2:$AH$90,2,FALSE)</f>
        <v>48</v>
      </c>
      <c r="V1735">
        <f>VLOOKUP(Auto_Sales_data___Copy[[#This Row],[CUSTOMER_NAME]],$AF$2:$AH$90,3,FALSE)</f>
        <v>197736.93999999997</v>
      </c>
      <c r="W1735" s="2">
        <f>6-MATCH(Auto_Sales_data___Copy[[#This Row],[DAYS_SINCE_LAST_ORDER]],Table2[R-Cutoff],1)</f>
        <v>2</v>
      </c>
      <c r="X1735" s="2">
        <f>MATCH(Auto_Sales_data___Copy[[#This Row],[Total_Orders_Per_Customer]],Table2[F-Cutoff],1)</f>
        <v>4</v>
      </c>
      <c r="Y1735" s="2">
        <f>MATCH(Auto_Sales_data___Copy[[#This Row],[Total_Sales_Per_Customer]],Table2[M-Cutoff],1)</f>
        <v>4</v>
      </c>
      <c r="Z1735" s="2" t="str">
        <f>Auto_Sales_data___Copy[[#This Row],[R-Score(1-5)]]&amp;Auto_Sales_data___Copy[[#This Row],[F-Score(1-5)]]&amp;Auto_Sales_data___Copy[[#This Row],[M-Score(1-5)]]</f>
        <v>244</v>
      </c>
      <c r="AA1735" s="2" t="str" cm="1">
        <f t="array" ref="AA17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5" s="2" t="str">
        <f>VLOOKUP(Auto_Sales_data___Copy[[#This Row],[Segment Name]],Table3[],2,FALSE)</f>
        <v>High-Touch  Win-Back</v>
      </c>
    </row>
    <row r="1736" spans="1:28" x14ac:dyDescent="0.25">
      <c r="A1736">
        <v>10127</v>
      </c>
      <c r="B1736">
        <v>39</v>
      </c>
      <c r="C1736">
        <v>38.19</v>
      </c>
      <c r="D1736">
        <v>12</v>
      </c>
      <c r="E1736">
        <v>1489.41</v>
      </c>
      <c r="F1736" s="1">
        <v>43254</v>
      </c>
      <c r="G1736" s="2" t="s">
        <v>19</v>
      </c>
      <c r="H1736" s="2" t="s">
        <v>183</v>
      </c>
      <c r="I1736">
        <v>35</v>
      </c>
      <c r="J1736" s="2" t="s">
        <v>677</v>
      </c>
      <c r="K1736" s="2" t="s">
        <v>506</v>
      </c>
      <c r="L1736" s="2" t="s">
        <v>507</v>
      </c>
      <c r="M1736" s="2" t="s">
        <v>508</v>
      </c>
      <c r="N1736" s="2" t="s">
        <v>25</v>
      </c>
      <c r="O1736" s="2" t="s">
        <v>26</v>
      </c>
      <c r="P1736" s="2" t="s">
        <v>27</v>
      </c>
      <c r="Q1736" s="2" t="s">
        <v>52</v>
      </c>
      <c r="R1736" s="2" t="s">
        <v>509</v>
      </c>
      <c r="S1736" s="2" t="s">
        <v>30</v>
      </c>
      <c r="T1736">
        <v>2389</v>
      </c>
      <c r="U1736">
        <f>VLOOKUP(Auto_Sales_data___Copy[[#This Row],[CUSTOMER_NAME]],$AF$2:$AH$90,2,FALSE)</f>
        <v>48</v>
      </c>
      <c r="V1736">
        <f>VLOOKUP(Auto_Sales_data___Copy[[#This Row],[CUSTOMER_NAME]],$AF$2:$AH$90,3,FALSE)</f>
        <v>197736.93999999997</v>
      </c>
      <c r="W1736" s="2">
        <f>6-MATCH(Auto_Sales_data___Copy[[#This Row],[DAYS_SINCE_LAST_ORDER]],Table2[R-Cutoff],1)</f>
        <v>2</v>
      </c>
      <c r="X1736" s="2">
        <f>MATCH(Auto_Sales_data___Copy[[#This Row],[Total_Orders_Per_Customer]],Table2[F-Cutoff],1)</f>
        <v>4</v>
      </c>
      <c r="Y1736" s="2">
        <f>MATCH(Auto_Sales_data___Copy[[#This Row],[Total_Sales_Per_Customer]],Table2[M-Cutoff],1)</f>
        <v>4</v>
      </c>
      <c r="Z1736" s="2" t="str">
        <f>Auto_Sales_data___Copy[[#This Row],[R-Score(1-5)]]&amp;Auto_Sales_data___Copy[[#This Row],[F-Score(1-5)]]&amp;Auto_Sales_data___Copy[[#This Row],[M-Score(1-5)]]</f>
        <v>244</v>
      </c>
      <c r="AA1736" s="2" t="str" cm="1">
        <f t="array" ref="AA17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6" s="2" t="str">
        <f>VLOOKUP(Auto_Sales_data___Copy[[#This Row],[Segment Name]],Table3[],2,FALSE)</f>
        <v>High-Touch  Win-Back</v>
      </c>
    </row>
    <row r="1737" spans="1:28" x14ac:dyDescent="0.25">
      <c r="A1737">
        <v>10135</v>
      </c>
      <c r="B1737">
        <v>29</v>
      </c>
      <c r="C1737">
        <v>61.64</v>
      </c>
      <c r="D1737">
        <v>16</v>
      </c>
      <c r="E1737">
        <v>1787.56</v>
      </c>
      <c r="F1737" s="1">
        <v>43283</v>
      </c>
      <c r="G1737" s="2" t="s">
        <v>19</v>
      </c>
      <c r="H1737" s="2" t="s">
        <v>20</v>
      </c>
      <c r="I1737">
        <v>69</v>
      </c>
      <c r="J1737" s="2" t="s">
        <v>675</v>
      </c>
      <c r="K1737" s="2" t="s">
        <v>284</v>
      </c>
      <c r="L1737" s="2" t="s">
        <v>285</v>
      </c>
      <c r="M1737" s="2" t="s">
        <v>286</v>
      </c>
      <c r="N1737" s="2" t="s">
        <v>287</v>
      </c>
      <c r="O1737" s="2" t="s">
        <v>106</v>
      </c>
      <c r="P1737" s="2" t="s">
        <v>27</v>
      </c>
      <c r="Q1737" s="2" t="s">
        <v>288</v>
      </c>
      <c r="R1737" s="2" t="s">
        <v>289</v>
      </c>
      <c r="S1737" s="2" t="s">
        <v>30</v>
      </c>
      <c r="T1737">
        <v>2313</v>
      </c>
      <c r="U1737">
        <f>VLOOKUP(Auto_Sales_data___Copy[[#This Row],[CUSTOMER_NAME]],$AF$2:$AH$90,2,FALSE)</f>
        <v>180</v>
      </c>
      <c r="V1737">
        <f>VLOOKUP(Auto_Sales_data___Copy[[#This Row],[CUSTOMER_NAME]],$AF$2:$AH$90,3,FALSE)</f>
        <v>654858.06000000017</v>
      </c>
      <c r="W1737" s="2">
        <f>6-MATCH(Auto_Sales_data___Copy[[#This Row],[DAYS_SINCE_LAST_ORDER]],Table2[R-Cutoff],1)</f>
        <v>2</v>
      </c>
      <c r="X1737" s="2">
        <f>MATCH(Auto_Sales_data___Copy[[#This Row],[Total_Orders_Per_Customer]],Table2[F-Cutoff],1)</f>
        <v>4</v>
      </c>
      <c r="Y1737" s="2">
        <f>MATCH(Auto_Sales_data___Copy[[#This Row],[Total_Sales_Per_Customer]],Table2[M-Cutoff],1)</f>
        <v>4</v>
      </c>
      <c r="Z1737" s="2" t="str">
        <f>Auto_Sales_data___Copy[[#This Row],[R-Score(1-5)]]&amp;Auto_Sales_data___Copy[[#This Row],[F-Score(1-5)]]&amp;Auto_Sales_data___Copy[[#This Row],[M-Score(1-5)]]</f>
        <v>244</v>
      </c>
      <c r="AA1737" s="2" t="str" cm="1">
        <f t="array" ref="AA17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7" s="2" t="str">
        <f>VLOOKUP(Auto_Sales_data___Copy[[#This Row],[Segment Name]],Table3[],2,FALSE)</f>
        <v>High-Touch  Win-Back</v>
      </c>
    </row>
    <row r="1738" spans="1:28" x14ac:dyDescent="0.25">
      <c r="A1738">
        <v>10135</v>
      </c>
      <c r="B1738">
        <v>20</v>
      </c>
      <c r="C1738">
        <v>35.869999999999997</v>
      </c>
      <c r="D1738">
        <v>1</v>
      </c>
      <c r="E1738">
        <v>717.4</v>
      </c>
      <c r="F1738" s="1">
        <v>43283</v>
      </c>
      <c r="G1738" s="2" t="s">
        <v>19</v>
      </c>
      <c r="H1738" s="2" t="s">
        <v>183</v>
      </c>
      <c r="I1738">
        <v>37</v>
      </c>
      <c r="J1738" s="2" t="s">
        <v>680</v>
      </c>
      <c r="K1738" s="2" t="s">
        <v>284</v>
      </c>
      <c r="L1738" s="2" t="s">
        <v>285</v>
      </c>
      <c r="M1738" s="2" t="s">
        <v>286</v>
      </c>
      <c r="N1738" s="2" t="s">
        <v>287</v>
      </c>
      <c r="O1738" s="2" t="s">
        <v>106</v>
      </c>
      <c r="P1738" s="2" t="s">
        <v>27</v>
      </c>
      <c r="Q1738" s="2" t="s">
        <v>288</v>
      </c>
      <c r="R1738" s="2" t="s">
        <v>289</v>
      </c>
      <c r="S1738" s="2" t="s">
        <v>30</v>
      </c>
      <c r="T1738">
        <v>2435</v>
      </c>
      <c r="U1738">
        <f>VLOOKUP(Auto_Sales_data___Copy[[#This Row],[CUSTOMER_NAME]],$AF$2:$AH$90,2,FALSE)</f>
        <v>180</v>
      </c>
      <c r="V1738">
        <f>VLOOKUP(Auto_Sales_data___Copy[[#This Row],[CUSTOMER_NAME]],$AF$2:$AH$90,3,FALSE)</f>
        <v>654858.06000000017</v>
      </c>
      <c r="W1738" s="2">
        <f>6-MATCH(Auto_Sales_data___Copy[[#This Row],[DAYS_SINCE_LAST_ORDER]],Table2[R-Cutoff],1)</f>
        <v>2</v>
      </c>
      <c r="X1738" s="2">
        <f>MATCH(Auto_Sales_data___Copy[[#This Row],[Total_Orders_Per_Customer]],Table2[F-Cutoff],1)</f>
        <v>4</v>
      </c>
      <c r="Y1738" s="2">
        <f>MATCH(Auto_Sales_data___Copy[[#This Row],[Total_Sales_Per_Customer]],Table2[M-Cutoff],1)</f>
        <v>4</v>
      </c>
      <c r="Z1738" s="2" t="str">
        <f>Auto_Sales_data___Copy[[#This Row],[R-Score(1-5)]]&amp;Auto_Sales_data___Copy[[#This Row],[F-Score(1-5)]]&amp;Auto_Sales_data___Copy[[#This Row],[M-Score(1-5)]]</f>
        <v>244</v>
      </c>
      <c r="AA1738" s="2" t="str" cm="1">
        <f t="array" ref="AA17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8" s="2" t="str">
        <f>VLOOKUP(Auto_Sales_data___Copy[[#This Row],[Segment Name]],Table3[],2,FALSE)</f>
        <v>High-Touch  Win-Back</v>
      </c>
    </row>
    <row r="1739" spans="1:28" x14ac:dyDescent="0.25">
      <c r="A1739">
        <v>10135</v>
      </c>
      <c r="B1739">
        <v>27</v>
      </c>
      <c r="C1739">
        <v>66.13</v>
      </c>
      <c r="D1739">
        <v>6</v>
      </c>
      <c r="E1739">
        <v>1785.51</v>
      </c>
      <c r="F1739" s="1">
        <v>43283</v>
      </c>
      <c r="G1739" s="2" t="s">
        <v>19</v>
      </c>
      <c r="H1739" s="2" t="s">
        <v>183</v>
      </c>
      <c r="I1739">
        <v>61</v>
      </c>
      <c r="J1739" s="2" t="s">
        <v>683</v>
      </c>
      <c r="K1739" s="2" t="s">
        <v>284</v>
      </c>
      <c r="L1739" s="2" t="s">
        <v>285</v>
      </c>
      <c r="M1739" s="2" t="s">
        <v>286</v>
      </c>
      <c r="N1739" s="2" t="s">
        <v>287</v>
      </c>
      <c r="O1739" s="2" t="s">
        <v>106</v>
      </c>
      <c r="P1739" s="2" t="s">
        <v>27</v>
      </c>
      <c r="Q1739" s="2" t="s">
        <v>288</v>
      </c>
      <c r="R1739" s="2" t="s">
        <v>289</v>
      </c>
      <c r="S1739" s="2" t="s">
        <v>30</v>
      </c>
      <c r="T1739">
        <v>2509</v>
      </c>
      <c r="U1739">
        <f>VLOOKUP(Auto_Sales_data___Copy[[#This Row],[CUSTOMER_NAME]],$AF$2:$AH$90,2,FALSE)</f>
        <v>180</v>
      </c>
      <c r="V1739">
        <f>VLOOKUP(Auto_Sales_data___Copy[[#This Row],[CUSTOMER_NAME]],$AF$2:$AH$90,3,FALSE)</f>
        <v>654858.06000000017</v>
      </c>
      <c r="W1739" s="2">
        <f>6-MATCH(Auto_Sales_data___Copy[[#This Row],[DAYS_SINCE_LAST_ORDER]],Table2[R-Cutoff],1)</f>
        <v>2</v>
      </c>
      <c r="X1739" s="2">
        <f>MATCH(Auto_Sales_data___Copy[[#This Row],[Total_Orders_Per_Customer]],Table2[F-Cutoff],1)</f>
        <v>4</v>
      </c>
      <c r="Y1739" s="2">
        <f>MATCH(Auto_Sales_data___Copy[[#This Row],[Total_Sales_Per_Customer]],Table2[M-Cutoff],1)</f>
        <v>4</v>
      </c>
      <c r="Z1739" s="2" t="str">
        <f>Auto_Sales_data___Copy[[#This Row],[R-Score(1-5)]]&amp;Auto_Sales_data___Copy[[#This Row],[F-Score(1-5)]]&amp;Auto_Sales_data___Copy[[#This Row],[M-Score(1-5)]]</f>
        <v>244</v>
      </c>
      <c r="AA1739" s="2" t="str" cm="1">
        <f t="array" ref="AA17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9" s="2" t="str">
        <f>VLOOKUP(Auto_Sales_data___Copy[[#This Row],[Segment Name]],Table3[],2,FALSE)</f>
        <v>High-Touch  Win-Back</v>
      </c>
    </row>
    <row r="1740" spans="1:28" x14ac:dyDescent="0.25">
      <c r="A1740">
        <v>10137</v>
      </c>
      <c r="B1740">
        <v>26</v>
      </c>
      <c r="C1740">
        <v>49.81</v>
      </c>
      <c r="D1740">
        <v>1</v>
      </c>
      <c r="E1740">
        <v>1295.06</v>
      </c>
      <c r="F1740" s="1">
        <v>43291</v>
      </c>
      <c r="G1740" s="2" t="s">
        <v>19</v>
      </c>
      <c r="H1740" s="2" t="s">
        <v>183</v>
      </c>
      <c r="I1740">
        <v>50</v>
      </c>
      <c r="J1740" s="2" t="s">
        <v>668</v>
      </c>
      <c r="K1740" s="2" t="s">
        <v>31</v>
      </c>
      <c r="L1740" s="2" t="s">
        <v>32</v>
      </c>
      <c r="M1740" s="2" t="s">
        <v>33</v>
      </c>
      <c r="N1740" s="2" t="s">
        <v>34</v>
      </c>
      <c r="O1740" s="2" t="s">
        <v>35</v>
      </c>
      <c r="P1740" s="2" t="s">
        <v>36</v>
      </c>
      <c r="Q1740" s="2" t="s">
        <v>37</v>
      </c>
      <c r="R1740" s="2" t="s">
        <v>38</v>
      </c>
      <c r="S1740" s="2" t="s">
        <v>30</v>
      </c>
      <c r="T1740">
        <v>2133</v>
      </c>
      <c r="U1740">
        <f>VLOOKUP(Auto_Sales_data___Copy[[#This Row],[CUSTOMER_NAME]],$AF$2:$AH$90,2,FALSE)</f>
        <v>41</v>
      </c>
      <c r="V1740">
        <f>VLOOKUP(Auto_Sales_data___Copy[[#This Row],[CUSTOMER_NAME]],$AF$2:$AH$90,3,FALSE)</f>
        <v>135042.94</v>
      </c>
      <c r="W1740" s="2">
        <f>6-MATCH(Auto_Sales_data___Copy[[#This Row],[DAYS_SINCE_LAST_ORDER]],Table2[R-Cutoff],1)</f>
        <v>2</v>
      </c>
      <c r="X1740" s="2">
        <f>MATCH(Auto_Sales_data___Copy[[#This Row],[Total_Orders_Per_Customer]],Table2[F-Cutoff],1)</f>
        <v>4</v>
      </c>
      <c r="Y1740" s="2">
        <f>MATCH(Auto_Sales_data___Copy[[#This Row],[Total_Sales_Per_Customer]],Table2[M-Cutoff],1)</f>
        <v>4</v>
      </c>
      <c r="Z1740" s="2" t="str">
        <f>Auto_Sales_data___Copy[[#This Row],[R-Score(1-5)]]&amp;Auto_Sales_data___Copy[[#This Row],[F-Score(1-5)]]&amp;Auto_Sales_data___Copy[[#This Row],[M-Score(1-5)]]</f>
        <v>244</v>
      </c>
      <c r="AA1740" s="2" t="str" cm="1">
        <f t="array" ref="AA17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0" s="2" t="str">
        <f>VLOOKUP(Auto_Sales_data___Copy[[#This Row],[Segment Name]],Table3[],2,FALSE)</f>
        <v>High-Touch  Win-Back</v>
      </c>
    </row>
    <row r="1741" spans="1:28" x14ac:dyDescent="0.25">
      <c r="A1741">
        <v>10140</v>
      </c>
      <c r="B1741">
        <v>47</v>
      </c>
      <c r="C1741">
        <v>108.62</v>
      </c>
      <c r="D1741">
        <v>1</v>
      </c>
      <c r="E1741">
        <v>5105.1400000000003</v>
      </c>
      <c r="F1741" s="1">
        <v>43305</v>
      </c>
      <c r="G1741" s="2" t="s">
        <v>19</v>
      </c>
      <c r="H1741" s="2" t="s">
        <v>537</v>
      </c>
      <c r="I1741">
        <v>127</v>
      </c>
      <c r="J1741" s="2" t="s">
        <v>674</v>
      </c>
      <c r="K1741" s="2" t="s">
        <v>54</v>
      </c>
      <c r="L1741" s="2" t="s">
        <v>55</v>
      </c>
      <c r="M1741" s="2" t="s">
        <v>56</v>
      </c>
      <c r="N1741" s="2" t="s">
        <v>57</v>
      </c>
      <c r="O1741" s="2" t="s">
        <v>58</v>
      </c>
      <c r="P1741" s="2" t="s">
        <v>27</v>
      </c>
      <c r="Q1741" s="2" t="s">
        <v>59</v>
      </c>
      <c r="R1741" s="2" t="s">
        <v>60</v>
      </c>
      <c r="S1741" s="2" t="s">
        <v>46</v>
      </c>
      <c r="T1741">
        <v>2265</v>
      </c>
      <c r="U1741">
        <f>VLOOKUP(Auto_Sales_data___Copy[[#This Row],[CUSTOMER_NAME]],$AF$2:$AH$90,2,FALSE)</f>
        <v>34</v>
      </c>
      <c r="V1741">
        <f>VLOOKUP(Auto_Sales_data___Copy[[#This Row],[CUSTOMER_NAME]],$AF$2:$AH$90,3,FALSE)</f>
        <v>120783.07</v>
      </c>
      <c r="W1741" s="2">
        <f>6-MATCH(Auto_Sales_data___Copy[[#This Row],[DAYS_SINCE_LAST_ORDER]],Table2[R-Cutoff],1)</f>
        <v>2</v>
      </c>
      <c r="X1741" s="2">
        <f>MATCH(Auto_Sales_data___Copy[[#This Row],[Total_Orders_Per_Customer]],Table2[F-Cutoff],1)</f>
        <v>4</v>
      </c>
      <c r="Y1741" s="2">
        <f>MATCH(Auto_Sales_data___Copy[[#This Row],[Total_Sales_Per_Customer]],Table2[M-Cutoff],1)</f>
        <v>4</v>
      </c>
      <c r="Z1741" s="2" t="str">
        <f>Auto_Sales_data___Copy[[#This Row],[R-Score(1-5)]]&amp;Auto_Sales_data___Copy[[#This Row],[F-Score(1-5)]]&amp;Auto_Sales_data___Copy[[#This Row],[M-Score(1-5)]]</f>
        <v>244</v>
      </c>
      <c r="AA1741" s="2" t="str" cm="1">
        <f t="array" ref="AA17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1" s="2" t="str">
        <f>VLOOKUP(Auto_Sales_data___Copy[[#This Row],[Segment Name]],Table3[],2,FALSE)</f>
        <v>High-Touch  Win-Back</v>
      </c>
    </row>
    <row r="1742" spans="1:28" x14ac:dyDescent="0.25">
      <c r="A1742">
        <v>10141</v>
      </c>
      <c r="B1742">
        <v>20</v>
      </c>
      <c r="C1742">
        <v>54.33</v>
      </c>
      <c r="D1742">
        <v>2</v>
      </c>
      <c r="E1742">
        <v>1086.5999999999999</v>
      </c>
      <c r="F1742" s="1">
        <v>43313</v>
      </c>
      <c r="G1742" s="2" t="s">
        <v>19</v>
      </c>
      <c r="H1742" s="2" t="s">
        <v>183</v>
      </c>
      <c r="I1742">
        <v>57</v>
      </c>
      <c r="J1742" s="2" t="s">
        <v>666</v>
      </c>
      <c r="K1742" s="2" t="s">
        <v>498</v>
      </c>
      <c r="L1742" s="2" t="s">
        <v>499</v>
      </c>
      <c r="M1742" s="2" t="s">
        <v>500</v>
      </c>
      <c r="N1742" s="2" t="s">
        <v>501</v>
      </c>
      <c r="O1742" s="2" t="s">
        <v>502</v>
      </c>
      <c r="P1742" s="2" t="s">
        <v>127</v>
      </c>
      <c r="Q1742" s="2" t="s">
        <v>503</v>
      </c>
      <c r="R1742" s="2" t="s">
        <v>504</v>
      </c>
      <c r="S1742" s="2" t="s">
        <v>30</v>
      </c>
      <c r="T1742">
        <v>2060</v>
      </c>
      <c r="U1742">
        <f>VLOOKUP(Auto_Sales_data___Copy[[#This Row],[CUSTOMER_NAME]],$AF$2:$AH$90,2,FALSE)</f>
        <v>30</v>
      </c>
      <c r="V1742">
        <f>VLOOKUP(Auto_Sales_data___Copy[[#This Row],[CUSTOMER_NAME]],$AF$2:$AH$90,3,FALSE)</f>
        <v>113961.14999999997</v>
      </c>
      <c r="W1742" s="2">
        <f>6-MATCH(Auto_Sales_data___Copy[[#This Row],[DAYS_SINCE_LAST_ORDER]],Table2[R-Cutoff],1)</f>
        <v>2</v>
      </c>
      <c r="X1742" s="2">
        <f>MATCH(Auto_Sales_data___Copy[[#This Row],[Total_Orders_Per_Customer]],Table2[F-Cutoff],1)</f>
        <v>4</v>
      </c>
      <c r="Y1742" s="2">
        <f>MATCH(Auto_Sales_data___Copy[[#This Row],[Total_Sales_Per_Customer]],Table2[M-Cutoff],1)</f>
        <v>4</v>
      </c>
      <c r="Z1742" s="2" t="str">
        <f>Auto_Sales_data___Copy[[#This Row],[R-Score(1-5)]]&amp;Auto_Sales_data___Copy[[#This Row],[F-Score(1-5)]]&amp;Auto_Sales_data___Copy[[#This Row],[M-Score(1-5)]]</f>
        <v>244</v>
      </c>
      <c r="AA1742" s="2" t="str" cm="1">
        <f t="array" ref="AA17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2" s="2" t="str">
        <f>VLOOKUP(Auto_Sales_data___Copy[[#This Row],[Segment Name]],Table3[],2,FALSE)</f>
        <v>High-Touch  Win-Back</v>
      </c>
    </row>
    <row r="1743" spans="1:28" x14ac:dyDescent="0.25">
      <c r="A1743">
        <v>10141</v>
      </c>
      <c r="B1743">
        <v>21</v>
      </c>
      <c r="C1743">
        <v>42.43</v>
      </c>
      <c r="D1743">
        <v>6</v>
      </c>
      <c r="E1743">
        <v>891.03</v>
      </c>
      <c r="F1743" s="1">
        <v>43313</v>
      </c>
      <c r="G1743" s="2" t="s">
        <v>19</v>
      </c>
      <c r="H1743" s="2" t="s">
        <v>183</v>
      </c>
      <c r="I1743">
        <v>35</v>
      </c>
      <c r="J1743" s="2" t="s">
        <v>677</v>
      </c>
      <c r="K1743" s="2" t="s">
        <v>498</v>
      </c>
      <c r="L1743" s="2" t="s">
        <v>499</v>
      </c>
      <c r="M1743" s="2" t="s">
        <v>500</v>
      </c>
      <c r="N1743" s="2" t="s">
        <v>501</v>
      </c>
      <c r="O1743" s="2" t="s">
        <v>502</v>
      </c>
      <c r="P1743" s="2" t="s">
        <v>127</v>
      </c>
      <c r="Q1743" s="2" t="s">
        <v>503</v>
      </c>
      <c r="R1743" s="2" t="s">
        <v>504</v>
      </c>
      <c r="S1743" s="2" t="s">
        <v>30</v>
      </c>
      <c r="T1743">
        <v>2331</v>
      </c>
      <c r="U1743">
        <f>VLOOKUP(Auto_Sales_data___Copy[[#This Row],[CUSTOMER_NAME]],$AF$2:$AH$90,2,FALSE)</f>
        <v>30</v>
      </c>
      <c r="V1743">
        <f>VLOOKUP(Auto_Sales_data___Copy[[#This Row],[CUSTOMER_NAME]],$AF$2:$AH$90,3,FALSE)</f>
        <v>113961.14999999997</v>
      </c>
      <c r="W1743" s="2">
        <f>6-MATCH(Auto_Sales_data___Copy[[#This Row],[DAYS_SINCE_LAST_ORDER]],Table2[R-Cutoff],1)</f>
        <v>2</v>
      </c>
      <c r="X1743" s="2">
        <f>MATCH(Auto_Sales_data___Copy[[#This Row],[Total_Orders_Per_Customer]],Table2[F-Cutoff],1)</f>
        <v>4</v>
      </c>
      <c r="Y1743" s="2">
        <f>MATCH(Auto_Sales_data___Copy[[#This Row],[Total_Sales_Per_Customer]],Table2[M-Cutoff],1)</f>
        <v>4</v>
      </c>
      <c r="Z1743" s="2" t="str">
        <f>Auto_Sales_data___Copy[[#This Row],[R-Score(1-5)]]&amp;Auto_Sales_data___Copy[[#This Row],[F-Score(1-5)]]&amp;Auto_Sales_data___Copy[[#This Row],[M-Score(1-5)]]</f>
        <v>244</v>
      </c>
      <c r="AA1743" s="2" t="str" cm="1">
        <f t="array" ref="AA17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3" s="2" t="str">
        <f>VLOOKUP(Auto_Sales_data___Copy[[#This Row],[Segment Name]],Table3[],2,FALSE)</f>
        <v>High-Touch  Win-Back</v>
      </c>
    </row>
    <row r="1744" spans="1:28" x14ac:dyDescent="0.25">
      <c r="A1744">
        <v>10142</v>
      </c>
      <c r="B1744">
        <v>33</v>
      </c>
      <c r="C1744">
        <v>102</v>
      </c>
      <c r="D1744">
        <v>6</v>
      </c>
      <c r="E1744">
        <v>3366</v>
      </c>
      <c r="F1744" s="1">
        <v>43320</v>
      </c>
      <c r="G1744" s="2" t="s">
        <v>19</v>
      </c>
      <c r="H1744" s="2" t="s">
        <v>642</v>
      </c>
      <c r="I1744">
        <v>122</v>
      </c>
      <c r="J1744" s="2" t="s">
        <v>672</v>
      </c>
      <c r="K1744" s="2" t="s">
        <v>284</v>
      </c>
      <c r="L1744" s="2" t="s">
        <v>285</v>
      </c>
      <c r="M1744" s="2" t="s">
        <v>286</v>
      </c>
      <c r="N1744" s="2" t="s">
        <v>287</v>
      </c>
      <c r="O1744" s="2" t="s">
        <v>106</v>
      </c>
      <c r="P1744" s="2" t="s">
        <v>27</v>
      </c>
      <c r="Q1744" s="2" t="s">
        <v>288</v>
      </c>
      <c r="R1744" s="2" t="s">
        <v>289</v>
      </c>
      <c r="S1744" s="2" t="s">
        <v>46</v>
      </c>
      <c r="T1744">
        <v>2201</v>
      </c>
      <c r="U1744">
        <f>VLOOKUP(Auto_Sales_data___Copy[[#This Row],[CUSTOMER_NAME]],$AF$2:$AH$90,2,FALSE)</f>
        <v>180</v>
      </c>
      <c r="V1744">
        <f>VLOOKUP(Auto_Sales_data___Copy[[#This Row],[CUSTOMER_NAME]],$AF$2:$AH$90,3,FALSE)</f>
        <v>654858.06000000017</v>
      </c>
      <c r="W1744" s="2">
        <f>6-MATCH(Auto_Sales_data___Copy[[#This Row],[DAYS_SINCE_LAST_ORDER]],Table2[R-Cutoff],1)</f>
        <v>2</v>
      </c>
      <c r="X1744" s="2">
        <f>MATCH(Auto_Sales_data___Copy[[#This Row],[Total_Orders_Per_Customer]],Table2[F-Cutoff],1)</f>
        <v>4</v>
      </c>
      <c r="Y1744" s="2">
        <f>MATCH(Auto_Sales_data___Copy[[#This Row],[Total_Sales_Per_Customer]],Table2[M-Cutoff],1)</f>
        <v>4</v>
      </c>
      <c r="Z1744" s="2" t="str">
        <f>Auto_Sales_data___Copy[[#This Row],[R-Score(1-5)]]&amp;Auto_Sales_data___Copy[[#This Row],[F-Score(1-5)]]&amp;Auto_Sales_data___Copy[[#This Row],[M-Score(1-5)]]</f>
        <v>244</v>
      </c>
      <c r="AA1744" s="2" t="str" cm="1">
        <f t="array" ref="AA17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4" s="2" t="str">
        <f>VLOOKUP(Auto_Sales_data___Copy[[#This Row],[Segment Name]],Table3[],2,FALSE)</f>
        <v>High-Touch  Win-Back</v>
      </c>
    </row>
    <row r="1745" spans="1:28" x14ac:dyDescent="0.25">
      <c r="A1745">
        <v>10142</v>
      </c>
      <c r="B1745">
        <v>49</v>
      </c>
      <c r="C1745">
        <v>98.25</v>
      </c>
      <c r="D1745">
        <v>1</v>
      </c>
      <c r="E1745">
        <v>4814.25</v>
      </c>
      <c r="F1745" s="1">
        <v>43320</v>
      </c>
      <c r="G1745" s="2" t="s">
        <v>19</v>
      </c>
      <c r="H1745" s="2" t="s">
        <v>589</v>
      </c>
      <c r="I1745">
        <v>88</v>
      </c>
      <c r="J1745" s="2" t="s">
        <v>681</v>
      </c>
      <c r="K1745" s="2" t="s">
        <v>284</v>
      </c>
      <c r="L1745" s="2" t="s">
        <v>285</v>
      </c>
      <c r="M1745" s="2" t="s">
        <v>286</v>
      </c>
      <c r="N1745" s="2" t="s">
        <v>287</v>
      </c>
      <c r="O1745" s="2" t="s">
        <v>106</v>
      </c>
      <c r="P1745" s="2" t="s">
        <v>27</v>
      </c>
      <c r="Q1745" s="2" t="s">
        <v>288</v>
      </c>
      <c r="R1745" s="2" t="s">
        <v>289</v>
      </c>
      <c r="S1745" s="2" t="s">
        <v>46</v>
      </c>
      <c r="T1745">
        <v>2425</v>
      </c>
      <c r="U1745">
        <f>VLOOKUP(Auto_Sales_data___Copy[[#This Row],[CUSTOMER_NAME]],$AF$2:$AH$90,2,FALSE)</f>
        <v>180</v>
      </c>
      <c r="V1745">
        <f>VLOOKUP(Auto_Sales_data___Copy[[#This Row],[CUSTOMER_NAME]],$AF$2:$AH$90,3,FALSE)</f>
        <v>654858.06000000017</v>
      </c>
      <c r="W1745" s="2">
        <f>6-MATCH(Auto_Sales_data___Copy[[#This Row],[DAYS_SINCE_LAST_ORDER]],Table2[R-Cutoff],1)</f>
        <v>2</v>
      </c>
      <c r="X1745" s="2">
        <f>MATCH(Auto_Sales_data___Copy[[#This Row],[Total_Orders_Per_Customer]],Table2[F-Cutoff],1)</f>
        <v>4</v>
      </c>
      <c r="Y1745" s="2">
        <f>MATCH(Auto_Sales_data___Copy[[#This Row],[Total_Sales_Per_Customer]],Table2[M-Cutoff],1)</f>
        <v>4</v>
      </c>
      <c r="Z1745" s="2" t="str">
        <f>Auto_Sales_data___Copy[[#This Row],[R-Score(1-5)]]&amp;Auto_Sales_data___Copy[[#This Row],[F-Score(1-5)]]&amp;Auto_Sales_data___Copy[[#This Row],[M-Score(1-5)]]</f>
        <v>244</v>
      </c>
      <c r="AA1745" s="2" t="str" cm="1">
        <f t="array" ref="AA17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5" s="2" t="str">
        <f>VLOOKUP(Auto_Sales_data___Copy[[#This Row],[Segment Name]],Table3[],2,FALSE)</f>
        <v>High-Touch  Win-Back</v>
      </c>
    </row>
    <row r="1746" spans="1:28" x14ac:dyDescent="0.25">
      <c r="A1746">
        <v>10143</v>
      </c>
      <c r="B1746">
        <v>27</v>
      </c>
      <c r="C1746">
        <v>60.97</v>
      </c>
      <c r="D1746">
        <v>8</v>
      </c>
      <c r="E1746">
        <v>1646.19</v>
      </c>
      <c r="F1746" s="1">
        <v>43322</v>
      </c>
      <c r="G1746" s="2" t="s">
        <v>19</v>
      </c>
      <c r="H1746" s="2" t="s">
        <v>607</v>
      </c>
      <c r="I1746">
        <v>68</v>
      </c>
      <c r="J1746" s="2" t="s">
        <v>678</v>
      </c>
      <c r="K1746" s="2" t="s">
        <v>353</v>
      </c>
      <c r="L1746" s="2" t="s">
        <v>354</v>
      </c>
      <c r="M1746" s="2" t="s">
        <v>355</v>
      </c>
      <c r="N1746" s="2" t="s">
        <v>162</v>
      </c>
      <c r="O1746" s="2" t="s">
        <v>163</v>
      </c>
      <c r="P1746" s="2" t="s">
        <v>27</v>
      </c>
      <c r="Q1746" s="2" t="s">
        <v>356</v>
      </c>
      <c r="R1746" s="2" t="s">
        <v>357</v>
      </c>
      <c r="S1746" s="2" t="s">
        <v>30</v>
      </c>
      <c r="T1746">
        <v>2350</v>
      </c>
      <c r="U1746">
        <f>VLOOKUP(Auto_Sales_data___Copy[[#This Row],[CUSTOMER_NAME]],$AF$2:$AH$90,2,FALSE)</f>
        <v>35</v>
      </c>
      <c r="V1746">
        <f>VLOOKUP(Auto_Sales_data___Copy[[#This Row],[CUSTOMER_NAME]],$AF$2:$AH$90,3,FALSE)</f>
        <v>108951.12999999998</v>
      </c>
      <c r="W1746" s="2">
        <f>6-MATCH(Auto_Sales_data___Copy[[#This Row],[DAYS_SINCE_LAST_ORDER]],Table2[R-Cutoff],1)</f>
        <v>2</v>
      </c>
      <c r="X1746" s="2">
        <f>MATCH(Auto_Sales_data___Copy[[#This Row],[Total_Orders_Per_Customer]],Table2[F-Cutoff],1)</f>
        <v>4</v>
      </c>
      <c r="Y1746" s="2">
        <f>MATCH(Auto_Sales_data___Copy[[#This Row],[Total_Sales_Per_Customer]],Table2[M-Cutoff],1)</f>
        <v>4</v>
      </c>
      <c r="Z1746" s="2" t="str">
        <f>Auto_Sales_data___Copy[[#This Row],[R-Score(1-5)]]&amp;Auto_Sales_data___Copy[[#This Row],[F-Score(1-5)]]&amp;Auto_Sales_data___Copy[[#This Row],[M-Score(1-5)]]</f>
        <v>244</v>
      </c>
      <c r="AA1746" s="2" t="str" cm="1">
        <f t="array" ref="AA17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6" s="2" t="str">
        <f>VLOOKUP(Auto_Sales_data___Copy[[#This Row],[Segment Name]],Table3[],2,FALSE)</f>
        <v>High-Touch  Win-Back</v>
      </c>
    </row>
    <row r="1747" spans="1:28" x14ac:dyDescent="0.25">
      <c r="A1747">
        <v>10143</v>
      </c>
      <c r="B1747">
        <v>33</v>
      </c>
      <c r="C1747">
        <v>77.59</v>
      </c>
      <c r="D1747">
        <v>9</v>
      </c>
      <c r="E1747">
        <v>2560.4699999999998</v>
      </c>
      <c r="F1747" s="1">
        <v>43322</v>
      </c>
      <c r="G1747" s="2" t="s">
        <v>19</v>
      </c>
      <c r="H1747" s="2" t="s">
        <v>589</v>
      </c>
      <c r="I1747">
        <v>65</v>
      </c>
      <c r="J1747" s="2" t="s">
        <v>684</v>
      </c>
      <c r="K1747" s="2" t="s">
        <v>353</v>
      </c>
      <c r="L1747" s="2" t="s">
        <v>354</v>
      </c>
      <c r="M1747" s="2" t="s">
        <v>355</v>
      </c>
      <c r="N1747" s="2" t="s">
        <v>162</v>
      </c>
      <c r="O1747" s="2" t="s">
        <v>163</v>
      </c>
      <c r="P1747" s="2" t="s">
        <v>27</v>
      </c>
      <c r="Q1747" s="2" t="s">
        <v>356</v>
      </c>
      <c r="R1747" s="2" t="s">
        <v>357</v>
      </c>
      <c r="S1747" s="2" t="s">
        <v>30</v>
      </c>
      <c r="T1747">
        <v>2496</v>
      </c>
      <c r="U1747">
        <f>VLOOKUP(Auto_Sales_data___Copy[[#This Row],[CUSTOMER_NAME]],$AF$2:$AH$90,2,FALSE)</f>
        <v>35</v>
      </c>
      <c r="V1747">
        <f>VLOOKUP(Auto_Sales_data___Copy[[#This Row],[CUSTOMER_NAME]],$AF$2:$AH$90,3,FALSE)</f>
        <v>108951.12999999998</v>
      </c>
      <c r="W1747" s="2">
        <f>6-MATCH(Auto_Sales_data___Copy[[#This Row],[DAYS_SINCE_LAST_ORDER]],Table2[R-Cutoff],1)</f>
        <v>2</v>
      </c>
      <c r="X1747" s="2">
        <f>MATCH(Auto_Sales_data___Copy[[#This Row],[Total_Orders_Per_Customer]],Table2[F-Cutoff],1)</f>
        <v>4</v>
      </c>
      <c r="Y1747" s="2">
        <f>MATCH(Auto_Sales_data___Copy[[#This Row],[Total_Sales_Per_Customer]],Table2[M-Cutoff],1)</f>
        <v>4</v>
      </c>
      <c r="Z1747" s="2" t="str">
        <f>Auto_Sales_data___Copy[[#This Row],[R-Score(1-5)]]&amp;Auto_Sales_data___Copy[[#This Row],[F-Score(1-5)]]&amp;Auto_Sales_data___Copy[[#This Row],[M-Score(1-5)]]</f>
        <v>244</v>
      </c>
      <c r="AA1747" s="2" t="str" cm="1">
        <f t="array" ref="AA17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7" s="2" t="str">
        <f>VLOOKUP(Auto_Sales_data___Copy[[#This Row],[Segment Name]],Table3[],2,FALSE)</f>
        <v>High-Touch  Win-Back</v>
      </c>
    </row>
    <row r="1748" spans="1:28" x14ac:dyDescent="0.25">
      <c r="A1748">
        <v>10143</v>
      </c>
      <c r="B1748">
        <v>23</v>
      </c>
      <c r="C1748">
        <v>80.510000000000005</v>
      </c>
      <c r="D1748">
        <v>14</v>
      </c>
      <c r="E1748">
        <v>1851.73</v>
      </c>
      <c r="F1748" s="1">
        <v>43322</v>
      </c>
      <c r="G1748" s="2" t="s">
        <v>19</v>
      </c>
      <c r="H1748" s="2" t="s">
        <v>589</v>
      </c>
      <c r="I1748">
        <v>83</v>
      </c>
      <c r="J1748" s="2" t="s">
        <v>686</v>
      </c>
      <c r="K1748" s="2" t="s">
        <v>353</v>
      </c>
      <c r="L1748" s="2" t="s">
        <v>354</v>
      </c>
      <c r="M1748" s="2" t="s">
        <v>355</v>
      </c>
      <c r="N1748" s="2" t="s">
        <v>162</v>
      </c>
      <c r="O1748" s="2" t="s">
        <v>163</v>
      </c>
      <c r="P1748" s="2" t="s">
        <v>27</v>
      </c>
      <c r="Q1748" s="2" t="s">
        <v>356</v>
      </c>
      <c r="R1748" s="2" t="s">
        <v>357</v>
      </c>
      <c r="S1748" s="2" t="s">
        <v>30</v>
      </c>
      <c r="T1748">
        <v>2545</v>
      </c>
      <c r="U1748">
        <f>VLOOKUP(Auto_Sales_data___Copy[[#This Row],[CUSTOMER_NAME]],$AF$2:$AH$90,2,FALSE)</f>
        <v>35</v>
      </c>
      <c r="V1748">
        <f>VLOOKUP(Auto_Sales_data___Copy[[#This Row],[CUSTOMER_NAME]],$AF$2:$AH$90,3,FALSE)</f>
        <v>108951.12999999998</v>
      </c>
      <c r="W1748" s="2">
        <f>6-MATCH(Auto_Sales_data___Copy[[#This Row],[DAYS_SINCE_LAST_ORDER]],Table2[R-Cutoff],1)</f>
        <v>2</v>
      </c>
      <c r="X1748" s="2">
        <f>MATCH(Auto_Sales_data___Copy[[#This Row],[Total_Orders_Per_Customer]],Table2[F-Cutoff],1)</f>
        <v>4</v>
      </c>
      <c r="Y1748" s="2">
        <f>MATCH(Auto_Sales_data___Copy[[#This Row],[Total_Sales_Per_Customer]],Table2[M-Cutoff],1)</f>
        <v>4</v>
      </c>
      <c r="Z1748" s="2" t="str">
        <f>Auto_Sales_data___Copy[[#This Row],[R-Score(1-5)]]&amp;Auto_Sales_data___Copy[[#This Row],[F-Score(1-5)]]&amp;Auto_Sales_data___Copy[[#This Row],[M-Score(1-5)]]</f>
        <v>244</v>
      </c>
      <c r="AA1748" s="2" t="str" cm="1">
        <f t="array" ref="AA17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8" s="2" t="str">
        <f>VLOOKUP(Auto_Sales_data___Copy[[#This Row],[Segment Name]],Table3[],2,FALSE)</f>
        <v>High-Touch  Win-Back</v>
      </c>
    </row>
    <row r="1749" spans="1:28" x14ac:dyDescent="0.25">
      <c r="A1749">
        <v>10145</v>
      </c>
      <c r="B1749">
        <v>43</v>
      </c>
      <c r="C1749">
        <v>95.8</v>
      </c>
      <c r="D1749">
        <v>7</v>
      </c>
      <c r="E1749">
        <v>4119.3999999999996</v>
      </c>
      <c r="F1749" s="1">
        <v>43337</v>
      </c>
      <c r="G1749" s="2" t="s">
        <v>19</v>
      </c>
      <c r="H1749" s="2" t="s">
        <v>20</v>
      </c>
      <c r="I1749">
        <v>112</v>
      </c>
      <c r="J1749" s="2" t="s">
        <v>667</v>
      </c>
      <c r="K1749" s="2" t="s">
        <v>47</v>
      </c>
      <c r="L1749" s="2" t="s">
        <v>48</v>
      </c>
      <c r="M1749" s="2" t="s">
        <v>49</v>
      </c>
      <c r="N1749" s="2" t="s">
        <v>50</v>
      </c>
      <c r="O1749" s="2" t="s">
        <v>51</v>
      </c>
      <c r="P1749" s="2" t="s">
        <v>27</v>
      </c>
      <c r="Q1749" s="2" t="s">
        <v>52</v>
      </c>
      <c r="R1749" s="2" t="s">
        <v>53</v>
      </c>
      <c r="S1749" s="2" t="s">
        <v>46</v>
      </c>
      <c r="T1749">
        <v>2064</v>
      </c>
      <c r="U1749">
        <f>VLOOKUP(Auto_Sales_data___Copy[[#This Row],[CUSTOMER_NAME]],$AF$2:$AH$90,2,FALSE)</f>
        <v>30</v>
      </c>
      <c r="V1749">
        <f>VLOOKUP(Auto_Sales_data___Copy[[#This Row],[CUSTOMER_NAME]],$AF$2:$AH$90,3,FALSE)</f>
        <v>104561.95999999999</v>
      </c>
      <c r="W1749" s="2">
        <f>6-MATCH(Auto_Sales_data___Copy[[#This Row],[DAYS_SINCE_LAST_ORDER]],Table2[R-Cutoff],1)</f>
        <v>2</v>
      </c>
      <c r="X1749" s="2">
        <f>MATCH(Auto_Sales_data___Copy[[#This Row],[Total_Orders_Per_Customer]],Table2[F-Cutoff],1)</f>
        <v>4</v>
      </c>
      <c r="Y1749" s="2">
        <f>MATCH(Auto_Sales_data___Copy[[#This Row],[Total_Sales_Per_Customer]],Table2[M-Cutoff],1)</f>
        <v>4</v>
      </c>
      <c r="Z1749" s="2" t="str">
        <f>Auto_Sales_data___Copy[[#This Row],[R-Score(1-5)]]&amp;Auto_Sales_data___Copy[[#This Row],[F-Score(1-5)]]&amp;Auto_Sales_data___Copy[[#This Row],[M-Score(1-5)]]</f>
        <v>244</v>
      </c>
      <c r="AA1749" s="2" t="str" cm="1">
        <f t="array" ref="AA17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9" s="2" t="str">
        <f>VLOOKUP(Auto_Sales_data___Copy[[#This Row],[Segment Name]],Table3[],2,FALSE)</f>
        <v>High-Touch  Win-Back</v>
      </c>
    </row>
    <row r="1750" spans="1:28" x14ac:dyDescent="0.25">
      <c r="A1750">
        <v>10145</v>
      </c>
      <c r="B1750">
        <v>40</v>
      </c>
      <c r="C1750">
        <v>87.54</v>
      </c>
      <c r="D1750">
        <v>16</v>
      </c>
      <c r="E1750">
        <v>3501.6</v>
      </c>
      <c r="F1750" s="1">
        <v>43337</v>
      </c>
      <c r="G1750" s="2" t="s">
        <v>19</v>
      </c>
      <c r="H1750" s="2" t="s">
        <v>607</v>
      </c>
      <c r="I1750">
        <v>109</v>
      </c>
      <c r="J1750" s="2" t="s">
        <v>669</v>
      </c>
      <c r="K1750" s="2" t="s">
        <v>47</v>
      </c>
      <c r="L1750" s="2" t="s">
        <v>48</v>
      </c>
      <c r="M1750" s="2" t="s">
        <v>49</v>
      </c>
      <c r="N1750" s="2" t="s">
        <v>50</v>
      </c>
      <c r="O1750" s="2" t="s">
        <v>51</v>
      </c>
      <c r="P1750" s="2" t="s">
        <v>27</v>
      </c>
      <c r="Q1750" s="2" t="s">
        <v>52</v>
      </c>
      <c r="R1750" s="2" t="s">
        <v>53</v>
      </c>
      <c r="S1750" s="2" t="s">
        <v>46</v>
      </c>
      <c r="T1750">
        <v>2112</v>
      </c>
      <c r="U1750">
        <f>VLOOKUP(Auto_Sales_data___Copy[[#This Row],[CUSTOMER_NAME]],$AF$2:$AH$90,2,FALSE)</f>
        <v>30</v>
      </c>
      <c r="V1750">
        <f>VLOOKUP(Auto_Sales_data___Copy[[#This Row],[CUSTOMER_NAME]],$AF$2:$AH$90,3,FALSE)</f>
        <v>104561.95999999999</v>
      </c>
      <c r="W1750" s="2">
        <f>6-MATCH(Auto_Sales_data___Copy[[#This Row],[DAYS_SINCE_LAST_ORDER]],Table2[R-Cutoff],1)</f>
        <v>2</v>
      </c>
      <c r="X1750" s="2">
        <f>MATCH(Auto_Sales_data___Copy[[#This Row],[Total_Orders_Per_Customer]],Table2[F-Cutoff],1)</f>
        <v>4</v>
      </c>
      <c r="Y1750" s="2">
        <f>MATCH(Auto_Sales_data___Copy[[#This Row],[Total_Sales_Per_Customer]],Table2[M-Cutoff],1)</f>
        <v>4</v>
      </c>
      <c r="Z1750" s="2" t="str">
        <f>Auto_Sales_data___Copy[[#This Row],[R-Score(1-5)]]&amp;Auto_Sales_data___Copy[[#This Row],[F-Score(1-5)]]&amp;Auto_Sales_data___Copy[[#This Row],[M-Score(1-5)]]</f>
        <v>244</v>
      </c>
      <c r="AA1750" s="2" t="str" cm="1">
        <f t="array" ref="AA17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0" s="2" t="str">
        <f>VLOOKUP(Auto_Sales_data___Copy[[#This Row],[Segment Name]],Table3[],2,FALSE)</f>
        <v>High-Touch  Win-Back</v>
      </c>
    </row>
    <row r="1751" spans="1:28" x14ac:dyDescent="0.25">
      <c r="A1751">
        <v>10145</v>
      </c>
      <c r="B1751">
        <v>47</v>
      </c>
      <c r="C1751">
        <v>83.03</v>
      </c>
      <c r="D1751">
        <v>11</v>
      </c>
      <c r="E1751">
        <v>3902.41</v>
      </c>
      <c r="F1751" s="1">
        <v>43337</v>
      </c>
      <c r="G1751" s="2" t="s">
        <v>19</v>
      </c>
      <c r="H1751" s="2" t="s">
        <v>20</v>
      </c>
      <c r="I1751">
        <v>76</v>
      </c>
      <c r="J1751" s="2" t="s">
        <v>671</v>
      </c>
      <c r="K1751" s="2" t="s">
        <v>47</v>
      </c>
      <c r="L1751" s="2" t="s">
        <v>48</v>
      </c>
      <c r="M1751" s="2" t="s">
        <v>49</v>
      </c>
      <c r="N1751" s="2" t="s">
        <v>50</v>
      </c>
      <c r="O1751" s="2" t="s">
        <v>51</v>
      </c>
      <c r="P1751" s="2" t="s">
        <v>27</v>
      </c>
      <c r="Q1751" s="2" t="s">
        <v>52</v>
      </c>
      <c r="R1751" s="2" t="s">
        <v>53</v>
      </c>
      <c r="S1751" s="2" t="s">
        <v>46</v>
      </c>
      <c r="T1751">
        <v>2159</v>
      </c>
      <c r="U1751">
        <f>VLOOKUP(Auto_Sales_data___Copy[[#This Row],[CUSTOMER_NAME]],$AF$2:$AH$90,2,FALSE)</f>
        <v>30</v>
      </c>
      <c r="V1751">
        <f>VLOOKUP(Auto_Sales_data___Copy[[#This Row],[CUSTOMER_NAME]],$AF$2:$AH$90,3,FALSE)</f>
        <v>104561.95999999999</v>
      </c>
      <c r="W1751" s="2">
        <f>6-MATCH(Auto_Sales_data___Copy[[#This Row],[DAYS_SINCE_LAST_ORDER]],Table2[R-Cutoff],1)</f>
        <v>2</v>
      </c>
      <c r="X1751" s="2">
        <f>MATCH(Auto_Sales_data___Copy[[#This Row],[Total_Orders_Per_Customer]],Table2[F-Cutoff],1)</f>
        <v>4</v>
      </c>
      <c r="Y1751" s="2">
        <f>MATCH(Auto_Sales_data___Copy[[#This Row],[Total_Sales_Per_Customer]],Table2[M-Cutoff],1)</f>
        <v>4</v>
      </c>
      <c r="Z1751" s="2" t="str">
        <f>Auto_Sales_data___Copy[[#This Row],[R-Score(1-5)]]&amp;Auto_Sales_data___Copy[[#This Row],[F-Score(1-5)]]&amp;Auto_Sales_data___Copy[[#This Row],[M-Score(1-5)]]</f>
        <v>244</v>
      </c>
      <c r="AA1751" s="2" t="str" cm="1">
        <f t="array" ref="AA17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1" s="2" t="str">
        <f>VLOOKUP(Auto_Sales_data___Copy[[#This Row],[Segment Name]],Table3[],2,FALSE)</f>
        <v>High-Touch  Win-Back</v>
      </c>
    </row>
    <row r="1752" spans="1:28" x14ac:dyDescent="0.25">
      <c r="A1752">
        <v>10145</v>
      </c>
      <c r="B1752">
        <v>27</v>
      </c>
      <c r="C1752">
        <v>60.95</v>
      </c>
      <c r="D1752">
        <v>3</v>
      </c>
      <c r="E1752">
        <v>1645.65</v>
      </c>
      <c r="F1752" s="1">
        <v>43337</v>
      </c>
      <c r="G1752" s="2" t="s">
        <v>19</v>
      </c>
      <c r="H1752" s="2" t="s">
        <v>20</v>
      </c>
      <c r="I1752">
        <v>69</v>
      </c>
      <c r="J1752" s="2" t="s">
        <v>675</v>
      </c>
      <c r="K1752" s="2" t="s">
        <v>47</v>
      </c>
      <c r="L1752" s="2" t="s">
        <v>48</v>
      </c>
      <c r="M1752" s="2" t="s">
        <v>49</v>
      </c>
      <c r="N1752" s="2" t="s">
        <v>50</v>
      </c>
      <c r="O1752" s="2" t="s">
        <v>51</v>
      </c>
      <c r="P1752" s="2" t="s">
        <v>27</v>
      </c>
      <c r="Q1752" s="2" t="s">
        <v>52</v>
      </c>
      <c r="R1752" s="2" t="s">
        <v>53</v>
      </c>
      <c r="S1752" s="2" t="s">
        <v>30</v>
      </c>
      <c r="T1752">
        <v>2260</v>
      </c>
      <c r="U1752">
        <f>VLOOKUP(Auto_Sales_data___Copy[[#This Row],[CUSTOMER_NAME]],$AF$2:$AH$90,2,FALSE)</f>
        <v>30</v>
      </c>
      <c r="V1752">
        <f>VLOOKUP(Auto_Sales_data___Copy[[#This Row],[CUSTOMER_NAME]],$AF$2:$AH$90,3,FALSE)</f>
        <v>104561.95999999999</v>
      </c>
      <c r="W1752" s="2">
        <f>6-MATCH(Auto_Sales_data___Copy[[#This Row],[DAYS_SINCE_LAST_ORDER]],Table2[R-Cutoff],1)</f>
        <v>2</v>
      </c>
      <c r="X1752" s="2">
        <f>MATCH(Auto_Sales_data___Copy[[#This Row],[Total_Orders_Per_Customer]],Table2[F-Cutoff],1)</f>
        <v>4</v>
      </c>
      <c r="Y1752" s="2">
        <f>MATCH(Auto_Sales_data___Copy[[#This Row],[Total_Sales_Per_Customer]],Table2[M-Cutoff],1)</f>
        <v>4</v>
      </c>
      <c r="Z1752" s="2" t="str">
        <f>Auto_Sales_data___Copy[[#This Row],[R-Score(1-5)]]&amp;Auto_Sales_data___Copy[[#This Row],[F-Score(1-5)]]&amp;Auto_Sales_data___Copy[[#This Row],[M-Score(1-5)]]</f>
        <v>244</v>
      </c>
      <c r="AA1752" s="2" t="str" cm="1">
        <f t="array" ref="AA17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2" s="2" t="str">
        <f>VLOOKUP(Auto_Sales_data___Copy[[#This Row],[Segment Name]],Table3[],2,FALSE)</f>
        <v>High-Touch  Win-Back</v>
      </c>
    </row>
    <row r="1753" spans="1:28" x14ac:dyDescent="0.25">
      <c r="A1753">
        <v>10148</v>
      </c>
      <c r="B1753">
        <v>47</v>
      </c>
      <c r="C1753">
        <v>56.85</v>
      </c>
      <c r="D1753">
        <v>8</v>
      </c>
      <c r="E1753">
        <v>2671.95</v>
      </c>
      <c r="F1753" s="1">
        <v>43354</v>
      </c>
      <c r="G1753" s="2" t="s">
        <v>19</v>
      </c>
      <c r="H1753" s="2" t="s">
        <v>183</v>
      </c>
      <c r="I1753">
        <v>50</v>
      </c>
      <c r="J1753" s="2" t="s">
        <v>668</v>
      </c>
      <c r="K1753" s="2" t="s">
        <v>300</v>
      </c>
      <c r="L1753" s="2" t="s">
        <v>301</v>
      </c>
      <c r="M1753" s="2" t="s">
        <v>302</v>
      </c>
      <c r="N1753" s="2" t="s">
        <v>303</v>
      </c>
      <c r="O1753" s="2" t="s">
        <v>304</v>
      </c>
      <c r="P1753" s="2" t="s">
        <v>87</v>
      </c>
      <c r="Q1753" s="2" t="s">
        <v>305</v>
      </c>
      <c r="R1753" s="2" t="s">
        <v>306</v>
      </c>
      <c r="S1753" s="2" t="s">
        <v>30</v>
      </c>
      <c r="T1753">
        <v>2071</v>
      </c>
      <c r="U1753">
        <f>VLOOKUP(Auto_Sales_data___Copy[[#This Row],[CUSTOMER_NAME]],$AF$2:$AH$90,2,FALSE)</f>
        <v>46</v>
      </c>
      <c r="V1753">
        <f>VLOOKUP(Auto_Sales_data___Copy[[#This Row],[CUSTOMER_NAME]],$AF$2:$AH$90,3,FALSE)</f>
        <v>153996.12999999998</v>
      </c>
      <c r="W1753" s="2">
        <f>6-MATCH(Auto_Sales_data___Copy[[#This Row],[DAYS_SINCE_LAST_ORDER]],Table2[R-Cutoff],1)</f>
        <v>2</v>
      </c>
      <c r="X1753" s="2">
        <f>MATCH(Auto_Sales_data___Copy[[#This Row],[Total_Orders_Per_Customer]],Table2[F-Cutoff],1)</f>
        <v>4</v>
      </c>
      <c r="Y1753" s="2">
        <f>MATCH(Auto_Sales_data___Copy[[#This Row],[Total_Sales_Per_Customer]],Table2[M-Cutoff],1)</f>
        <v>4</v>
      </c>
      <c r="Z1753" s="2" t="str">
        <f>Auto_Sales_data___Copy[[#This Row],[R-Score(1-5)]]&amp;Auto_Sales_data___Copy[[#This Row],[F-Score(1-5)]]&amp;Auto_Sales_data___Copy[[#This Row],[M-Score(1-5)]]</f>
        <v>244</v>
      </c>
      <c r="AA1753" s="2" t="str" cm="1">
        <f t="array" ref="AA17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3" s="2" t="str">
        <f>VLOOKUP(Auto_Sales_data___Copy[[#This Row],[Segment Name]],Table3[],2,FALSE)</f>
        <v>High-Touch  Win-Back</v>
      </c>
    </row>
    <row r="1754" spans="1:28" x14ac:dyDescent="0.25">
      <c r="A1754">
        <v>10148</v>
      </c>
      <c r="B1754">
        <v>21</v>
      </c>
      <c r="C1754">
        <v>73.599999999999994</v>
      </c>
      <c r="D1754">
        <v>4</v>
      </c>
      <c r="E1754">
        <v>1545.6</v>
      </c>
      <c r="F1754" s="1">
        <v>43354</v>
      </c>
      <c r="G1754" s="2" t="s">
        <v>19</v>
      </c>
      <c r="H1754" s="2" t="s">
        <v>183</v>
      </c>
      <c r="I1754">
        <v>90</v>
      </c>
      <c r="J1754" s="2" t="s">
        <v>676</v>
      </c>
      <c r="K1754" s="2" t="s">
        <v>300</v>
      </c>
      <c r="L1754" s="2" t="s">
        <v>301</v>
      </c>
      <c r="M1754" s="2" t="s">
        <v>302</v>
      </c>
      <c r="N1754" s="2" t="s">
        <v>303</v>
      </c>
      <c r="O1754" s="2" t="s">
        <v>304</v>
      </c>
      <c r="P1754" s="2" t="s">
        <v>87</v>
      </c>
      <c r="Q1754" s="2" t="s">
        <v>305</v>
      </c>
      <c r="R1754" s="2" t="s">
        <v>306</v>
      </c>
      <c r="S1754" s="2" t="s">
        <v>30</v>
      </c>
      <c r="T1754">
        <v>2266</v>
      </c>
      <c r="U1754">
        <f>VLOOKUP(Auto_Sales_data___Copy[[#This Row],[CUSTOMER_NAME]],$AF$2:$AH$90,2,FALSE)</f>
        <v>46</v>
      </c>
      <c r="V1754">
        <f>VLOOKUP(Auto_Sales_data___Copy[[#This Row],[CUSTOMER_NAME]],$AF$2:$AH$90,3,FALSE)</f>
        <v>153996.12999999998</v>
      </c>
      <c r="W1754" s="2">
        <f>6-MATCH(Auto_Sales_data___Copy[[#This Row],[DAYS_SINCE_LAST_ORDER]],Table2[R-Cutoff],1)</f>
        <v>2</v>
      </c>
      <c r="X1754" s="2">
        <f>MATCH(Auto_Sales_data___Copy[[#This Row],[Total_Orders_Per_Customer]],Table2[F-Cutoff],1)</f>
        <v>4</v>
      </c>
      <c r="Y1754" s="2">
        <f>MATCH(Auto_Sales_data___Copy[[#This Row],[Total_Sales_Per_Customer]],Table2[M-Cutoff],1)</f>
        <v>4</v>
      </c>
      <c r="Z1754" s="2" t="str">
        <f>Auto_Sales_data___Copy[[#This Row],[R-Score(1-5)]]&amp;Auto_Sales_data___Copy[[#This Row],[F-Score(1-5)]]&amp;Auto_Sales_data___Copy[[#This Row],[M-Score(1-5)]]</f>
        <v>244</v>
      </c>
      <c r="AA1754" s="2" t="str" cm="1">
        <f t="array" ref="AA17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4" s="2" t="str">
        <f>VLOOKUP(Auto_Sales_data___Copy[[#This Row],[Segment Name]],Table3[],2,FALSE)</f>
        <v>High-Touch  Win-Back</v>
      </c>
    </row>
    <row r="1755" spans="1:28" x14ac:dyDescent="0.25">
      <c r="A1755">
        <v>10148</v>
      </c>
      <c r="B1755">
        <v>34</v>
      </c>
      <c r="C1755">
        <v>129.18</v>
      </c>
      <c r="D1755">
        <v>3</v>
      </c>
      <c r="E1755">
        <v>4392.12</v>
      </c>
      <c r="F1755" s="1">
        <v>43354</v>
      </c>
      <c r="G1755" s="2" t="s">
        <v>19</v>
      </c>
      <c r="H1755" s="2" t="s">
        <v>183</v>
      </c>
      <c r="I1755">
        <v>117</v>
      </c>
      <c r="J1755" s="2" t="s">
        <v>679</v>
      </c>
      <c r="K1755" s="2" t="s">
        <v>300</v>
      </c>
      <c r="L1755" s="2" t="s">
        <v>301</v>
      </c>
      <c r="M1755" s="2" t="s">
        <v>302</v>
      </c>
      <c r="N1755" s="2" t="s">
        <v>303</v>
      </c>
      <c r="O1755" s="2" t="s">
        <v>304</v>
      </c>
      <c r="P1755" s="2" t="s">
        <v>87</v>
      </c>
      <c r="Q1755" s="2" t="s">
        <v>305</v>
      </c>
      <c r="R1755" s="2" t="s">
        <v>306</v>
      </c>
      <c r="S1755" s="2" t="s">
        <v>46</v>
      </c>
      <c r="T1755">
        <v>2342</v>
      </c>
      <c r="U1755">
        <f>VLOOKUP(Auto_Sales_data___Copy[[#This Row],[CUSTOMER_NAME]],$AF$2:$AH$90,2,FALSE)</f>
        <v>46</v>
      </c>
      <c r="V1755">
        <f>VLOOKUP(Auto_Sales_data___Copy[[#This Row],[CUSTOMER_NAME]],$AF$2:$AH$90,3,FALSE)</f>
        <v>153996.12999999998</v>
      </c>
      <c r="W1755" s="2">
        <f>6-MATCH(Auto_Sales_data___Copy[[#This Row],[DAYS_SINCE_LAST_ORDER]],Table2[R-Cutoff],1)</f>
        <v>2</v>
      </c>
      <c r="X1755" s="2">
        <f>MATCH(Auto_Sales_data___Copy[[#This Row],[Total_Orders_Per_Customer]],Table2[F-Cutoff],1)</f>
        <v>4</v>
      </c>
      <c r="Y1755" s="2">
        <f>MATCH(Auto_Sales_data___Copy[[#This Row],[Total_Sales_Per_Customer]],Table2[M-Cutoff],1)</f>
        <v>4</v>
      </c>
      <c r="Z1755" s="2" t="str">
        <f>Auto_Sales_data___Copy[[#This Row],[R-Score(1-5)]]&amp;Auto_Sales_data___Copy[[#This Row],[F-Score(1-5)]]&amp;Auto_Sales_data___Copy[[#This Row],[M-Score(1-5)]]</f>
        <v>244</v>
      </c>
      <c r="AA1755" s="2" t="str" cm="1">
        <f t="array" ref="AA17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5" s="2" t="str">
        <f>VLOOKUP(Auto_Sales_data___Copy[[#This Row],[Segment Name]],Table3[],2,FALSE)</f>
        <v>High-Touch  Win-Back</v>
      </c>
    </row>
    <row r="1756" spans="1:28" x14ac:dyDescent="0.25">
      <c r="A1756">
        <v>10148</v>
      </c>
      <c r="B1756">
        <v>31</v>
      </c>
      <c r="C1756">
        <v>73.62</v>
      </c>
      <c r="D1756">
        <v>5</v>
      </c>
      <c r="E1756">
        <v>2282.2199999999998</v>
      </c>
      <c r="F1756" s="1">
        <v>43354</v>
      </c>
      <c r="G1756" s="2" t="s">
        <v>19</v>
      </c>
      <c r="H1756" s="2" t="s">
        <v>183</v>
      </c>
      <c r="I1756">
        <v>85</v>
      </c>
      <c r="J1756" s="2" t="s">
        <v>682</v>
      </c>
      <c r="K1756" s="2" t="s">
        <v>300</v>
      </c>
      <c r="L1756" s="2" t="s">
        <v>301</v>
      </c>
      <c r="M1756" s="2" t="s">
        <v>302</v>
      </c>
      <c r="N1756" s="2" t="s">
        <v>303</v>
      </c>
      <c r="O1756" s="2" t="s">
        <v>304</v>
      </c>
      <c r="P1756" s="2" t="s">
        <v>87</v>
      </c>
      <c r="Q1756" s="2" t="s">
        <v>305</v>
      </c>
      <c r="R1756" s="2" t="s">
        <v>306</v>
      </c>
      <c r="S1756" s="2" t="s">
        <v>30</v>
      </c>
      <c r="T1756">
        <v>2415</v>
      </c>
      <c r="U1756">
        <f>VLOOKUP(Auto_Sales_data___Copy[[#This Row],[CUSTOMER_NAME]],$AF$2:$AH$90,2,FALSE)</f>
        <v>46</v>
      </c>
      <c r="V1756">
        <f>VLOOKUP(Auto_Sales_data___Copy[[#This Row],[CUSTOMER_NAME]],$AF$2:$AH$90,3,FALSE)</f>
        <v>153996.12999999998</v>
      </c>
      <c r="W1756" s="2">
        <f>6-MATCH(Auto_Sales_data___Copy[[#This Row],[DAYS_SINCE_LAST_ORDER]],Table2[R-Cutoff],1)</f>
        <v>2</v>
      </c>
      <c r="X1756" s="2">
        <f>MATCH(Auto_Sales_data___Copy[[#This Row],[Total_Orders_Per_Customer]],Table2[F-Cutoff],1)</f>
        <v>4</v>
      </c>
      <c r="Y1756" s="2">
        <f>MATCH(Auto_Sales_data___Copy[[#This Row],[Total_Sales_Per_Customer]],Table2[M-Cutoff],1)</f>
        <v>4</v>
      </c>
      <c r="Z1756" s="2" t="str">
        <f>Auto_Sales_data___Copy[[#This Row],[R-Score(1-5)]]&amp;Auto_Sales_data___Copy[[#This Row],[F-Score(1-5)]]&amp;Auto_Sales_data___Copy[[#This Row],[M-Score(1-5)]]</f>
        <v>244</v>
      </c>
      <c r="AA1756" s="2" t="str" cm="1">
        <f t="array" ref="AA17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6" s="2" t="str">
        <f>VLOOKUP(Auto_Sales_data___Copy[[#This Row],[Segment Name]],Table3[],2,FALSE)</f>
        <v>High-Touch  Win-Back</v>
      </c>
    </row>
    <row r="1757" spans="1:28" x14ac:dyDescent="0.25">
      <c r="A1757">
        <v>10148</v>
      </c>
      <c r="B1757">
        <v>27</v>
      </c>
      <c r="C1757">
        <v>128.5</v>
      </c>
      <c r="D1757">
        <v>7</v>
      </c>
      <c r="E1757">
        <v>3469.5</v>
      </c>
      <c r="F1757" s="1">
        <v>43354</v>
      </c>
      <c r="G1757" s="2" t="s">
        <v>19</v>
      </c>
      <c r="H1757" s="2" t="s">
        <v>183</v>
      </c>
      <c r="I1757">
        <v>107</v>
      </c>
      <c r="J1757" s="2" t="s">
        <v>685</v>
      </c>
      <c r="K1757" s="2" t="s">
        <v>300</v>
      </c>
      <c r="L1757" s="2" t="s">
        <v>301</v>
      </c>
      <c r="M1757" s="2" t="s">
        <v>302</v>
      </c>
      <c r="N1757" s="2" t="s">
        <v>303</v>
      </c>
      <c r="O1757" s="2" t="s">
        <v>304</v>
      </c>
      <c r="P1757" s="2" t="s">
        <v>87</v>
      </c>
      <c r="Q1757" s="2" t="s">
        <v>305</v>
      </c>
      <c r="R1757" s="2" t="s">
        <v>306</v>
      </c>
      <c r="S1757" s="2" t="s">
        <v>46</v>
      </c>
      <c r="T1757">
        <v>2489</v>
      </c>
      <c r="U1757">
        <f>VLOOKUP(Auto_Sales_data___Copy[[#This Row],[CUSTOMER_NAME]],$AF$2:$AH$90,2,FALSE)</f>
        <v>46</v>
      </c>
      <c r="V1757">
        <f>VLOOKUP(Auto_Sales_data___Copy[[#This Row],[CUSTOMER_NAME]],$AF$2:$AH$90,3,FALSE)</f>
        <v>153996.12999999998</v>
      </c>
      <c r="W1757" s="2">
        <f>6-MATCH(Auto_Sales_data___Copy[[#This Row],[DAYS_SINCE_LAST_ORDER]],Table2[R-Cutoff],1)</f>
        <v>2</v>
      </c>
      <c r="X1757" s="2">
        <f>MATCH(Auto_Sales_data___Copy[[#This Row],[Total_Orders_Per_Customer]],Table2[F-Cutoff],1)</f>
        <v>4</v>
      </c>
      <c r="Y1757" s="2">
        <f>MATCH(Auto_Sales_data___Copy[[#This Row],[Total_Sales_Per_Customer]],Table2[M-Cutoff],1)</f>
        <v>4</v>
      </c>
      <c r="Z1757" s="2" t="str">
        <f>Auto_Sales_data___Copy[[#This Row],[R-Score(1-5)]]&amp;Auto_Sales_data___Copy[[#This Row],[F-Score(1-5)]]&amp;Auto_Sales_data___Copy[[#This Row],[M-Score(1-5)]]</f>
        <v>244</v>
      </c>
      <c r="AA1757" s="2" t="str" cm="1">
        <f t="array" ref="AA17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7" s="2" t="str">
        <f>VLOOKUP(Auto_Sales_data___Copy[[#This Row],[Segment Name]],Table3[],2,FALSE)</f>
        <v>High-Touch  Win-Back</v>
      </c>
    </row>
    <row r="1758" spans="1:28" x14ac:dyDescent="0.25">
      <c r="A1758">
        <v>10151</v>
      </c>
      <c r="B1758">
        <v>42</v>
      </c>
      <c r="C1758">
        <v>121.4</v>
      </c>
      <c r="D1758">
        <v>8</v>
      </c>
      <c r="E1758">
        <v>5098.8</v>
      </c>
      <c r="F1758" s="1">
        <v>43364</v>
      </c>
      <c r="G1758" s="2" t="s">
        <v>19</v>
      </c>
      <c r="H1758" s="2" t="s">
        <v>537</v>
      </c>
      <c r="I1758">
        <v>127</v>
      </c>
      <c r="J1758" s="2" t="s">
        <v>674</v>
      </c>
      <c r="K1758" s="2" t="s">
        <v>411</v>
      </c>
      <c r="L1758" s="2" t="s">
        <v>412</v>
      </c>
      <c r="M1758" s="2" t="s">
        <v>413</v>
      </c>
      <c r="N1758" s="2" t="s">
        <v>414</v>
      </c>
      <c r="O1758" s="2" t="s">
        <v>415</v>
      </c>
      <c r="P1758" s="2" t="s">
        <v>127</v>
      </c>
      <c r="Q1758" s="2" t="s">
        <v>416</v>
      </c>
      <c r="R1758" s="2" t="s">
        <v>417</v>
      </c>
      <c r="S1758" s="2" t="s">
        <v>46</v>
      </c>
      <c r="T1758">
        <v>2207</v>
      </c>
      <c r="U1758">
        <f>VLOOKUP(Auto_Sales_data___Copy[[#This Row],[CUSTOMER_NAME]],$AF$2:$AH$90,2,FALSE)</f>
        <v>32</v>
      </c>
      <c r="V1758">
        <f>VLOOKUP(Auto_Sales_data___Copy[[#This Row],[CUSTOMER_NAME]],$AF$2:$AH$90,3,FALSE)</f>
        <v>104370.37999999999</v>
      </c>
      <c r="W1758" s="2">
        <f>6-MATCH(Auto_Sales_data___Copy[[#This Row],[DAYS_SINCE_LAST_ORDER]],Table2[R-Cutoff],1)</f>
        <v>2</v>
      </c>
      <c r="X1758" s="2">
        <f>MATCH(Auto_Sales_data___Copy[[#This Row],[Total_Orders_Per_Customer]],Table2[F-Cutoff],1)</f>
        <v>4</v>
      </c>
      <c r="Y1758" s="2">
        <f>MATCH(Auto_Sales_data___Copy[[#This Row],[Total_Sales_Per_Customer]],Table2[M-Cutoff],1)</f>
        <v>4</v>
      </c>
      <c r="Z1758" s="2" t="str">
        <f>Auto_Sales_data___Copy[[#This Row],[R-Score(1-5)]]&amp;Auto_Sales_data___Copy[[#This Row],[F-Score(1-5)]]&amp;Auto_Sales_data___Copy[[#This Row],[M-Score(1-5)]]</f>
        <v>244</v>
      </c>
      <c r="AA1758" s="2" t="str" cm="1">
        <f t="array" ref="AA17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8" s="2" t="str">
        <f>VLOOKUP(Auto_Sales_data___Copy[[#This Row],[Segment Name]],Table3[],2,FALSE)</f>
        <v>High-Touch  Win-Back</v>
      </c>
    </row>
    <row r="1759" spans="1:28" x14ac:dyDescent="0.25">
      <c r="A1759">
        <v>10151</v>
      </c>
      <c r="B1759">
        <v>30</v>
      </c>
      <c r="C1759">
        <v>40.31</v>
      </c>
      <c r="D1759">
        <v>4</v>
      </c>
      <c r="E1759">
        <v>1209.3</v>
      </c>
      <c r="F1759" s="1">
        <v>43364</v>
      </c>
      <c r="G1759" s="2" t="s">
        <v>19</v>
      </c>
      <c r="H1759" s="2" t="s">
        <v>183</v>
      </c>
      <c r="I1759">
        <v>35</v>
      </c>
      <c r="J1759" s="2" t="s">
        <v>677</v>
      </c>
      <c r="K1759" s="2" t="s">
        <v>411</v>
      </c>
      <c r="L1759" s="2" t="s">
        <v>412</v>
      </c>
      <c r="M1759" s="2" t="s">
        <v>413</v>
      </c>
      <c r="N1759" s="2" t="s">
        <v>414</v>
      </c>
      <c r="O1759" s="2" t="s">
        <v>415</v>
      </c>
      <c r="P1759" s="2" t="s">
        <v>127</v>
      </c>
      <c r="Q1759" s="2" t="s">
        <v>416</v>
      </c>
      <c r="R1759" s="2" t="s">
        <v>417</v>
      </c>
      <c r="S1759" s="2" t="s">
        <v>30</v>
      </c>
      <c r="T1759">
        <v>2281</v>
      </c>
      <c r="U1759">
        <f>VLOOKUP(Auto_Sales_data___Copy[[#This Row],[CUSTOMER_NAME]],$AF$2:$AH$90,2,FALSE)</f>
        <v>32</v>
      </c>
      <c r="V1759">
        <f>VLOOKUP(Auto_Sales_data___Copy[[#This Row],[CUSTOMER_NAME]],$AF$2:$AH$90,3,FALSE)</f>
        <v>104370.37999999999</v>
      </c>
      <c r="W1759" s="2">
        <f>6-MATCH(Auto_Sales_data___Copy[[#This Row],[DAYS_SINCE_LAST_ORDER]],Table2[R-Cutoff],1)</f>
        <v>2</v>
      </c>
      <c r="X1759" s="2">
        <f>MATCH(Auto_Sales_data___Copy[[#This Row],[Total_Orders_Per_Customer]],Table2[F-Cutoff],1)</f>
        <v>4</v>
      </c>
      <c r="Y1759" s="2">
        <f>MATCH(Auto_Sales_data___Copy[[#This Row],[Total_Sales_Per_Customer]],Table2[M-Cutoff],1)</f>
        <v>4</v>
      </c>
      <c r="Z1759" s="2" t="str">
        <f>Auto_Sales_data___Copy[[#This Row],[R-Score(1-5)]]&amp;Auto_Sales_data___Copy[[#This Row],[F-Score(1-5)]]&amp;Auto_Sales_data___Copy[[#This Row],[M-Score(1-5)]]</f>
        <v>244</v>
      </c>
      <c r="AA1759" s="2" t="str" cm="1">
        <f t="array" ref="AA17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9" s="2" t="str">
        <f>VLOOKUP(Auto_Sales_data___Copy[[#This Row],[Segment Name]],Table3[],2,FALSE)</f>
        <v>High-Touch  Win-Back</v>
      </c>
    </row>
    <row r="1760" spans="1:28" x14ac:dyDescent="0.25">
      <c r="A1760">
        <v>10302</v>
      </c>
      <c r="B1760">
        <v>49</v>
      </c>
      <c r="C1760">
        <v>108.14</v>
      </c>
      <c r="D1760">
        <v>5</v>
      </c>
      <c r="E1760">
        <v>5298.86</v>
      </c>
      <c r="F1760" s="1">
        <v>43379</v>
      </c>
      <c r="G1760" s="2" t="s">
        <v>19</v>
      </c>
      <c r="H1760" s="2" t="s">
        <v>183</v>
      </c>
      <c r="I1760">
        <v>90</v>
      </c>
      <c r="J1760" s="2" t="s">
        <v>676</v>
      </c>
      <c r="K1760" s="2" t="s">
        <v>166</v>
      </c>
      <c r="L1760" s="2" t="s">
        <v>167</v>
      </c>
      <c r="M1760" s="2" t="s">
        <v>168</v>
      </c>
      <c r="N1760" s="2" t="s">
        <v>169</v>
      </c>
      <c r="O1760" s="2" t="s">
        <v>170</v>
      </c>
      <c r="P1760" s="2" t="s">
        <v>171</v>
      </c>
      <c r="Q1760" s="2" t="s">
        <v>172</v>
      </c>
      <c r="R1760" s="2" t="s">
        <v>173</v>
      </c>
      <c r="S1760" s="2" t="s">
        <v>46</v>
      </c>
      <c r="T1760">
        <v>2253</v>
      </c>
      <c r="U1760">
        <f>VLOOKUP(Auto_Sales_data___Copy[[#This Row],[CUSTOMER_NAME]],$AF$2:$AH$90,2,FALSE)</f>
        <v>29</v>
      </c>
      <c r="V1760">
        <f>VLOOKUP(Auto_Sales_data___Copy[[#This Row],[CUSTOMER_NAME]],$AF$2:$AH$90,3,FALSE)</f>
        <v>118008.26999999999</v>
      </c>
      <c r="W1760" s="2">
        <f>6-MATCH(Auto_Sales_data___Copy[[#This Row],[DAYS_SINCE_LAST_ORDER]],Table2[R-Cutoff],1)</f>
        <v>2</v>
      </c>
      <c r="X1760" s="2">
        <f>MATCH(Auto_Sales_data___Copy[[#This Row],[Total_Orders_Per_Customer]],Table2[F-Cutoff],1)</f>
        <v>4</v>
      </c>
      <c r="Y1760" s="2">
        <f>MATCH(Auto_Sales_data___Copy[[#This Row],[Total_Sales_Per_Customer]],Table2[M-Cutoff],1)</f>
        <v>4</v>
      </c>
      <c r="Z1760" s="2" t="str">
        <f>Auto_Sales_data___Copy[[#This Row],[R-Score(1-5)]]&amp;Auto_Sales_data___Copy[[#This Row],[F-Score(1-5)]]&amp;Auto_Sales_data___Copy[[#This Row],[M-Score(1-5)]]</f>
        <v>244</v>
      </c>
      <c r="AA1760" s="2" t="str" cm="1">
        <f t="array" ref="AA17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0" s="2" t="str">
        <f>VLOOKUP(Auto_Sales_data___Copy[[#This Row],[Segment Name]],Table3[],2,FALSE)</f>
        <v>High-Touch  Win-Back</v>
      </c>
    </row>
    <row r="1761" spans="1:28" x14ac:dyDescent="0.25">
      <c r="A1761">
        <v>10155</v>
      </c>
      <c r="B1761">
        <v>23</v>
      </c>
      <c r="C1761">
        <v>72.62</v>
      </c>
      <c r="D1761">
        <v>6</v>
      </c>
      <c r="E1761">
        <v>1670.26</v>
      </c>
      <c r="F1761" s="1">
        <v>43379</v>
      </c>
      <c r="G1761" s="2" t="s">
        <v>19</v>
      </c>
      <c r="H1761" s="2" t="s">
        <v>607</v>
      </c>
      <c r="I1761">
        <v>68</v>
      </c>
      <c r="J1761" s="2" t="s">
        <v>678</v>
      </c>
      <c r="K1761" s="2" t="s">
        <v>122</v>
      </c>
      <c r="L1761" s="2" t="s">
        <v>123</v>
      </c>
      <c r="M1761" s="2" t="s">
        <v>124</v>
      </c>
      <c r="N1761" s="2" t="s">
        <v>125</v>
      </c>
      <c r="O1761" s="2" t="s">
        <v>126</v>
      </c>
      <c r="P1761" s="2" t="s">
        <v>127</v>
      </c>
      <c r="Q1761" s="2" t="s">
        <v>128</v>
      </c>
      <c r="R1761" s="2" t="s">
        <v>129</v>
      </c>
      <c r="S1761" s="2" t="s">
        <v>30</v>
      </c>
      <c r="T1761">
        <v>2294</v>
      </c>
      <c r="U1761">
        <f>VLOOKUP(Auto_Sales_data___Copy[[#This Row],[CUSTOMER_NAME]],$AF$2:$AH$90,2,FALSE)</f>
        <v>30</v>
      </c>
      <c r="V1761">
        <f>VLOOKUP(Auto_Sales_data___Copy[[#This Row],[CUSTOMER_NAME]],$AF$2:$AH$90,3,FALSE)</f>
        <v>111250.37999999999</v>
      </c>
      <c r="W1761" s="2">
        <f>6-MATCH(Auto_Sales_data___Copy[[#This Row],[DAYS_SINCE_LAST_ORDER]],Table2[R-Cutoff],1)</f>
        <v>2</v>
      </c>
      <c r="X1761" s="2">
        <f>MATCH(Auto_Sales_data___Copy[[#This Row],[Total_Orders_Per_Customer]],Table2[F-Cutoff],1)</f>
        <v>4</v>
      </c>
      <c r="Y1761" s="2">
        <f>MATCH(Auto_Sales_data___Copy[[#This Row],[Total_Sales_Per_Customer]],Table2[M-Cutoff],1)</f>
        <v>4</v>
      </c>
      <c r="Z1761" s="2" t="str">
        <f>Auto_Sales_data___Copy[[#This Row],[R-Score(1-5)]]&amp;Auto_Sales_data___Copy[[#This Row],[F-Score(1-5)]]&amp;Auto_Sales_data___Copy[[#This Row],[M-Score(1-5)]]</f>
        <v>244</v>
      </c>
      <c r="AA1761" s="2" t="str" cm="1">
        <f t="array" ref="AA17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1" s="2" t="str">
        <f>VLOOKUP(Auto_Sales_data___Copy[[#This Row],[Segment Name]],Table3[],2,FALSE)</f>
        <v>High-Touch  Win-Back</v>
      </c>
    </row>
    <row r="1762" spans="1:28" x14ac:dyDescent="0.25">
      <c r="A1762">
        <v>10302</v>
      </c>
      <c r="B1762">
        <v>45</v>
      </c>
      <c r="C1762">
        <v>123.31</v>
      </c>
      <c r="D1762">
        <v>4</v>
      </c>
      <c r="E1762">
        <v>5548.95</v>
      </c>
      <c r="F1762" s="1">
        <v>43379</v>
      </c>
      <c r="G1762" s="2" t="s">
        <v>19</v>
      </c>
      <c r="H1762" s="2" t="s">
        <v>183</v>
      </c>
      <c r="I1762">
        <v>117</v>
      </c>
      <c r="J1762" s="2" t="s">
        <v>679</v>
      </c>
      <c r="K1762" s="2" t="s">
        <v>166</v>
      </c>
      <c r="L1762" s="2" t="s">
        <v>167</v>
      </c>
      <c r="M1762" s="2" t="s">
        <v>168</v>
      </c>
      <c r="N1762" s="2" t="s">
        <v>169</v>
      </c>
      <c r="O1762" s="2" t="s">
        <v>170</v>
      </c>
      <c r="P1762" s="2" t="s">
        <v>171</v>
      </c>
      <c r="Q1762" s="2" t="s">
        <v>172</v>
      </c>
      <c r="R1762" s="2" t="s">
        <v>173</v>
      </c>
      <c r="S1762" s="2" t="s">
        <v>46</v>
      </c>
      <c r="T1762">
        <v>2329</v>
      </c>
      <c r="U1762">
        <f>VLOOKUP(Auto_Sales_data___Copy[[#This Row],[CUSTOMER_NAME]],$AF$2:$AH$90,2,FALSE)</f>
        <v>29</v>
      </c>
      <c r="V1762">
        <f>VLOOKUP(Auto_Sales_data___Copy[[#This Row],[CUSTOMER_NAME]],$AF$2:$AH$90,3,FALSE)</f>
        <v>118008.26999999999</v>
      </c>
      <c r="W1762" s="2">
        <f>6-MATCH(Auto_Sales_data___Copy[[#This Row],[DAYS_SINCE_LAST_ORDER]],Table2[R-Cutoff],1)</f>
        <v>2</v>
      </c>
      <c r="X1762" s="2">
        <f>MATCH(Auto_Sales_data___Copy[[#This Row],[Total_Orders_Per_Customer]],Table2[F-Cutoff],1)</f>
        <v>4</v>
      </c>
      <c r="Y1762" s="2">
        <f>MATCH(Auto_Sales_data___Copy[[#This Row],[Total_Sales_Per_Customer]],Table2[M-Cutoff],1)</f>
        <v>4</v>
      </c>
      <c r="Z1762" s="2" t="str">
        <f>Auto_Sales_data___Copy[[#This Row],[R-Score(1-5)]]&amp;Auto_Sales_data___Copy[[#This Row],[F-Score(1-5)]]&amp;Auto_Sales_data___Copy[[#This Row],[M-Score(1-5)]]</f>
        <v>244</v>
      </c>
      <c r="AA1762" s="2" t="str" cm="1">
        <f t="array" ref="AA17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2" s="2" t="str">
        <f>VLOOKUP(Auto_Sales_data___Copy[[#This Row],[Segment Name]],Table3[],2,FALSE)</f>
        <v>High-Touch  Win-Back</v>
      </c>
    </row>
    <row r="1763" spans="1:28" x14ac:dyDescent="0.25">
      <c r="A1763">
        <v>10302</v>
      </c>
      <c r="B1763">
        <v>48</v>
      </c>
      <c r="C1763">
        <v>74.48</v>
      </c>
      <c r="D1763">
        <v>6</v>
      </c>
      <c r="E1763">
        <v>3575.04</v>
      </c>
      <c r="F1763" s="1">
        <v>43379</v>
      </c>
      <c r="G1763" s="2" t="s">
        <v>19</v>
      </c>
      <c r="H1763" s="2" t="s">
        <v>183</v>
      </c>
      <c r="I1763">
        <v>85</v>
      </c>
      <c r="J1763" s="2" t="s">
        <v>682</v>
      </c>
      <c r="K1763" s="2" t="s">
        <v>166</v>
      </c>
      <c r="L1763" s="2" t="s">
        <v>167</v>
      </c>
      <c r="M1763" s="2" t="s">
        <v>168</v>
      </c>
      <c r="N1763" s="2" t="s">
        <v>169</v>
      </c>
      <c r="O1763" s="2" t="s">
        <v>170</v>
      </c>
      <c r="P1763" s="2" t="s">
        <v>171</v>
      </c>
      <c r="Q1763" s="2" t="s">
        <v>172</v>
      </c>
      <c r="R1763" s="2" t="s">
        <v>173</v>
      </c>
      <c r="S1763" s="2" t="s">
        <v>46</v>
      </c>
      <c r="T1763">
        <v>2402</v>
      </c>
      <c r="U1763">
        <f>VLOOKUP(Auto_Sales_data___Copy[[#This Row],[CUSTOMER_NAME]],$AF$2:$AH$90,2,FALSE)</f>
        <v>29</v>
      </c>
      <c r="V1763">
        <f>VLOOKUP(Auto_Sales_data___Copy[[#This Row],[CUSTOMER_NAME]],$AF$2:$AH$90,3,FALSE)</f>
        <v>118008.26999999999</v>
      </c>
      <c r="W1763" s="2">
        <f>6-MATCH(Auto_Sales_data___Copy[[#This Row],[DAYS_SINCE_LAST_ORDER]],Table2[R-Cutoff],1)</f>
        <v>2</v>
      </c>
      <c r="X1763" s="2">
        <f>MATCH(Auto_Sales_data___Copy[[#This Row],[Total_Orders_Per_Customer]],Table2[F-Cutoff],1)</f>
        <v>4</v>
      </c>
      <c r="Y1763" s="2">
        <f>MATCH(Auto_Sales_data___Copy[[#This Row],[Total_Sales_Per_Customer]],Table2[M-Cutoff],1)</f>
        <v>4</v>
      </c>
      <c r="Z1763" s="2" t="str">
        <f>Auto_Sales_data___Copy[[#This Row],[R-Score(1-5)]]&amp;Auto_Sales_data___Copy[[#This Row],[F-Score(1-5)]]&amp;Auto_Sales_data___Copy[[#This Row],[M-Score(1-5)]]</f>
        <v>244</v>
      </c>
      <c r="AA1763" s="2" t="str" cm="1">
        <f t="array" ref="AA17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3" s="2" t="str">
        <f>VLOOKUP(Auto_Sales_data___Copy[[#This Row],[Segment Name]],Table3[],2,FALSE)</f>
        <v>High-Touch  Win-Back</v>
      </c>
    </row>
    <row r="1764" spans="1:28" x14ac:dyDescent="0.25">
      <c r="A1764">
        <v>10155</v>
      </c>
      <c r="B1764">
        <v>34</v>
      </c>
      <c r="C1764">
        <v>55.89</v>
      </c>
      <c r="D1764">
        <v>7</v>
      </c>
      <c r="E1764">
        <v>1900.26</v>
      </c>
      <c r="F1764" s="1">
        <v>43379</v>
      </c>
      <c r="G1764" s="2" t="s">
        <v>19</v>
      </c>
      <c r="H1764" s="2" t="s">
        <v>589</v>
      </c>
      <c r="I1764">
        <v>65</v>
      </c>
      <c r="J1764" s="2" t="s">
        <v>684</v>
      </c>
      <c r="K1764" s="2" t="s">
        <v>122</v>
      </c>
      <c r="L1764" s="2" t="s">
        <v>123</v>
      </c>
      <c r="M1764" s="2" t="s">
        <v>124</v>
      </c>
      <c r="N1764" s="2" t="s">
        <v>125</v>
      </c>
      <c r="O1764" s="2" t="s">
        <v>126</v>
      </c>
      <c r="P1764" s="2" t="s">
        <v>127</v>
      </c>
      <c r="Q1764" s="2" t="s">
        <v>128</v>
      </c>
      <c r="R1764" s="2" t="s">
        <v>129</v>
      </c>
      <c r="S1764" s="2" t="s">
        <v>30</v>
      </c>
      <c r="T1764">
        <v>2440</v>
      </c>
      <c r="U1764">
        <f>VLOOKUP(Auto_Sales_data___Copy[[#This Row],[CUSTOMER_NAME]],$AF$2:$AH$90,2,FALSE)</f>
        <v>30</v>
      </c>
      <c r="V1764">
        <f>VLOOKUP(Auto_Sales_data___Copy[[#This Row],[CUSTOMER_NAME]],$AF$2:$AH$90,3,FALSE)</f>
        <v>111250.37999999999</v>
      </c>
      <c r="W1764" s="2">
        <f>6-MATCH(Auto_Sales_data___Copy[[#This Row],[DAYS_SINCE_LAST_ORDER]],Table2[R-Cutoff],1)</f>
        <v>2</v>
      </c>
      <c r="X1764" s="2">
        <f>MATCH(Auto_Sales_data___Copy[[#This Row],[Total_Orders_Per_Customer]],Table2[F-Cutoff],1)</f>
        <v>4</v>
      </c>
      <c r="Y1764" s="2">
        <f>MATCH(Auto_Sales_data___Copy[[#This Row],[Total_Sales_Per_Customer]],Table2[M-Cutoff],1)</f>
        <v>4</v>
      </c>
      <c r="Z1764" s="2" t="str">
        <f>Auto_Sales_data___Copy[[#This Row],[R-Score(1-5)]]&amp;Auto_Sales_data___Copy[[#This Row],[F-Score(1-5)]]&amp;Auto_Sales_data___Copy[[#This Row],[M-Score(1-5)]]</f>
        <v>244</v>
      </c>
      <c r="AA1764" s="2" t="str" cm="1">
        <f t="array" ref="AA17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4" s="2" t="str">
        <f>VLOOKUP(Auto_Sales_data___Copy[[#This Row],[Segment Name]],Table3[],2,FALSE)</f>
        <v>High-Touch  Win-Back</v>
      </c>
    </row>
    <row r="1765" spans="1:28" x14ac:dyDescent="0.25">
      <c r="A1765">
        <v>10155</v>
      </c>
      <c r="B1765">
        <v>37</v>
      </c>
      <c r="C1765">
        <v>67.930000000000007</v>
      </c>
      <c r="D1765">
        <v>12</v>
      </c>
      <c r="E1765">
        <v>2513.41</v>
      </c>
      <c r="F1765" s="1">
        <v>43379</v>
      </c>
      <c r="G1765" s="2" t="s">
        <v>19</v>
      </c>
      <c r="H1765" s="2" t="s">
        <v>589</v>
      </c>
      <c r="I1765">
        <v>83</v>
      </c>
      <c r="J1765" s="2" t="s">
        <v>686</v>
      </c>
      <c r="K1765" s="2" t="s">
        <v>122</v>
      </c>
      <c r="L1765" s="2" t="s">
        <v>123</v>
      </c>
      <c r="M1765" s="2" t="s">
        <v>124</v>
      </c>
      <c r="N1765" s="2" t="s">
        <v>125</v>
      </c>
      <c r="O1765" s="2" t="s">
        <v>126</v>
      </c>
      <c r="P1765" s="2" t="s">
        <v>127</v>
      </c>
      <c r="Q1765" s="2" t="s">
        <v>128</v>
      </c>
      <c r="R1765" s="2" t="s">
        <v>129</v>
      </c>
      <c r="S1765" s="2" t="s">
        <v>30</v>
      </c>
      <c r="T1765">
        <v>2489</v>
      </c>
      <c r="U1765">
        <f>VLOOKUP(Auto_Sales_data___Copy[[#This Row],[CUSTOMER_NAME]],$AF$2:$AH$90,2,FALSE)</f>
        <v>30</v>
      </c>
      <c r="V1765">
        <f>VLOOKUP(Auto_Sales_data___Copy[[#This Row],[CUSTOMER_NAME]],$AF$2:$AH$90,3,FALSE)</f>
        <v>111250.37999999999</v>
      </c>
      <c r="W1765" s="2">
        <f>6-MATCH(Auto_Sales_data___Copy[[#This Row],[DAYS_SINCE_LAST_ORDER]],Table2[R-Cutoff],1)</f>
        <v>2</v>
      </c>
      <c r="X1765" s="2">
        <f>MATCH(Auto_Sales_data___Copy[[#This Row],[Total_Orders_Per_Customer]],Table2[F-Cutoff],1)</f>
        <v>4</v>
      </c>
      <c r="Y1765" s="2">
        <f>MATCH(Auto_Sales_data___Copy[[#This Row],[Total_Sales_Per_Customer]],Table2[M-Cutoff],1)</f>
        <v>4</v>
      </c>
      <c r="Z1765" s="2" t="str">
        <f>Auto_Sales_data___Copy[[#This Row],[R-Score(1-5)]]&amp;Auto_Sales_data___Copy[[#This Row],[F-Score(1-5)]]&amp;Auto_Sales_data___Copy[[#This Row],[M-Score(1-5)]]</f>
        <v>244</v>
      </c>
      <c r="AA1765" s="2" t="str" cm="1">
        <f t="array" ref="AA17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5" s="2" t="str">
        <f>VLOOKUP(Auto_Sales_data___Copy[[#This Row],[Segment Name]],Table3[],2,FALSE)</f>
        <v>High-Touch  Win-Back</v>
      </c>
    </row>
    <row r="1766" spans="1:28" x14ac:dyDescent="0.25">
      <c r="A1766">
        <v>10155</v>
      </c>
      <c r="B1766">
        <v>44</v>
      </c>
      <c r="C1766">
        <v>77.11</v>
      </c>
      <c r="D1766">
        <v>4</v>
      </c>
      <c r="E1766">
        <v>3392.84</v>
      </c>
      <c r="F1766" s="1">
        <v>43379</v>
      </c>
      <c r="G1766" s="2" t="s">
        <v>19</v>
      </c>
      <c r="H1766" s="2" t="s">
        <v>607</v>
      </c>
      <c r="I1766">
        <v>68</v>
      </c>
      <c r="J1766" s="2" t="s">
        <v>688</v>
      </c>
      <c r="K1766" s="2" t="s">
        <v>122</v>
      </c>
      <c r="L1766" s="2" t="s">
        <v>123</v>
      </c>
      <c r="M1766" s="2" t="s">
        <v>124</v>
      </c>
      <c r="N1766" s="2" t="s">
        <v>125</v>
      </c>
      <c r="O1766" s="2" t="s">
        <v>126</v>
      </c>
      <c r="P1766" s="2" t="s">
        <v>127</v>
      </c>
      <c r="Q1766" s="2" t="s">
        <v>128</v>
      </c>
      <c r="R1766" s="2" t="s">
        <v>129</v>
      </c>
      <c r="S1766" s="2" t="s">
        <v>46</v>
      </c>
      <c r="T1766">
        <v>2540</v>
      </c>
      <c r="U1766">
        <f>VLOOKUP(Auto_Sales_data___Copy[[#This Row],[CUSTOMER_NAME]],$AF$2:$AH$90,2,FALSE)</f>
        <v>30</v>
      </c>
      <c r="V1766">
        <f>VLOOKUP(Auto_Sales_data___Copy[[#This Row],[CUSTOMER_NAME]],$AF$2:$AH$90,3,FALSE)</f>
        <v>111250.37999999999</v>
      </c>
      <c r="W1766" s="2">
        <f>6-MATCH(Auto_Sales_data___Copy[[#This Row],[DAYS_SINCE_LAST_ORDER]],Table2[R-Cutoff],1)</f>
        <v>2</v>
      </c>
      <c r="X1766" s="2">
        <f>MATCH(Auto_Sales_data___Copy[[#This Row],[Total_Orders_Per_Customer]],Table2[F-Cutoff],1)</f>
        <v>4</v>
      </c>
      <c r="Y1766" s="2">
        <f>MATCH(Auto_Sales_data___Copy[[#This Row],[Total_Sales_Per_Customer]],Table2[M-Cutoff],1)</f>
        <v>4</v>
      </c>
      <c r="Z1766" s="2" t="str">
        <f>Auto_Sales_data___Copy[[#This Row],[R-Score(1-5)]]&amp;Auto_Sales_data___Copy[[#This Row],[F-Score(1-5)]]&amp;Auto_Sales_data___Copy[[#This Row],[M-Score(1-5)]]</f>
        <v>244</v>
      </c>
      <c r="AA1766" s="2" t="str" cm="1">
        <f t="array" ref="AA17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6" s="2" t="str">
        <f>VLOOKUP(Auto_Sales_data___Copy[[#This Row],[Segment Name]],Table3[],2,FALSE)</f>
        <v>High-Touch  Win-Back</v>
      </c>
    </row>
    <row r="1767" spans="1:28" x14ac:dyDescent="0.25">
      <c r="A1767">
        <v>10158</v>
      </c>
      <c r="B1767">
        <v>22</v>
      </c>
      <c r="C1767">
        <v>67.03</v>
      </c>
      <c r="D1767">
        <v>1</v>
      </c>
      <c r="E1767">
        <v>1474.66</v>
      </c>
      <c r="F1767" s="1">
        <v>43383</v>
      </c>
      <c r="G1767" s="2" t="s">
        <v>19</v>
      </c>
      <c r="H1767" s="2" t="s">
        <v>20</v>
      </c>
      <c r="I1767">
        <v>76</v>
      </c>
      <c r="J1767" s="2" t="s">
        <v>671</v>
      </c>
      <c r="K1767" s="2" t="s">
        <v>130</v>
      </c>
      <c r="L1767" s="2" t="s">
        <v>131</v>
      </c>
      <c r="M1767" s="2" t="s">
        <v>132</v>
      </c>
      <c r="N1767" s="2" t="s">
        <v>133</v>
      </c>
      <c r="O1767" s="2" t="s">
        <v>134</v>
      </c>
      <c r="P1767" s="2" t="s">
        <v>73</v>
      </c>
      <c r="Q1767" s="2" t="s">
        <v>135</v>
      </c>
      <c r="R1767" s="2" t="s">
        <v>136</v>
      </c>
      <c r="S1767" s="2" t="s">
        <v>30</v>
      </c>
      <c r="T1767">
        <v>2114</v>
      </c>
      <c r="U1767">
        <f>VLOOKUP(Auto_Sales_data___Copy[[#This Row],[CUSTOMER_NAME]],$AF$2:$AH$90,2,FALSE)</f>
        <v>32</v>
      </c>
      <c r="V1767">
        <f>VLOOKUP(Auto_Sales_data___Copy[[#This Row],[CUSTOMER_NAME]],$AF$2:$AH$90,3,FALSE)</f>
        <v>116599.18999999999</v>
      </c>
      <c r="W1767" s="2">
        <f>6-MATCH(Auto_Sales_data___Copy[[#This Row],[DAYS_SINCE_LAST_ORDER]],Table2[R-Cutoff],1)</f>
        <v>2</v>
      </c>
      <c r="X1767" s="2">
        <f>MATCH(Auto_Sales_data___Copy[[#This Row],[Total_Orders_Per_Customer]],Table2[F-Cutoff],1)</f>
        <v>4</v>
      </c>
      <c r="Y1767" s="2">
        <f>MATCH(Auto_Sales_data___Copy[[#This Row],[Total_Sales_Per_Customer]],Table2[M-Cutoff],1)</f>
        <v>4</v>
      </c>
      <c r="Z1767" s="2" t="str">
        <f>Auto_Sales_data___Copy[[#This Row],[R-Score(1-5)]]&amp;Auto_Sales_data___Copy[[#This Row],[F-Score(1-5)]]&amp;Auto_Sales_data___Copy[[#This Row],[M-Score(1-5)]]</f>
        <v>244</v>
      </c>
      <c r="AA1767" s="2" t="str" cm="1">
        <f t="array" ref="AA17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7" s="2" t="str">
        <f>VLOOKUP(Auto_Sales_data___Copy[[#This Row],[Segment Name]],Table3[],2,FALSE)</f>
        <v>High-Touch  Win-Back</v>
      </c>
    </row>
    <row r="1768" spans="1:28" x14ac:dyDescent="0.25">
      <c r="A1768">
        <v>10161</v>
      </c>
      <c r="B1768">
        <v>23</v>
      </c>
      <c r="C1768">
        <v>53.33</v>
      </c>
      <c r="D1768">
        <v>7</v>
      </c>
      <c r="E1768">
        <v>1226.5899999999999</v>
      </c>
      <c r="F1768" s="1">
        <v>43390</v>
      </c>
      <c r="G1768" s="2" t="s">
        <v>19</v>
      </c>
      <c r="H1768" s="2" t="s">
        <v>183</v>
      </c>
      <c r="I1768">
        <v>50</v>
      </c>
      <c r="J1768" s="2" t="s">
        <v>668</v>
      </c>
      <c r="K1768" s="2" t="s">
        <v>530</v>
      </c>
      <c r="L1768" s="2" t="s">
        <v>531</v>
      </c>
      <c r="M1768" s="2" t="s">
        <v>532</v>
      </c>
      <c r="N1768" s="2" t="s">
        <v>533</v>
      </c>
      <c r="O1768" s="2" t="s">
        <v>534</v>
      </c>
      <c r="P1768" s="2" t="s">
        <v>344</v>
      </c>
      <c r="Q1768" s="2" t="s">
        <v>535</v>
      </c>
      <c r="R1768" s="2" t="s">
        <v>536</v>
      </c>
      <c r="S1768" s="2" t="s">
        <v>30</v>
      </c>
      <c r="T1768">
        <v>2036</v>
      </c>
      <c r="U1768">
        <f>VLOOKUP(Auto_Sales_data___Copy[[#This Row],[CUSTOMER_NAME]],$AF$2:$AH$90,2,FALSE)</f>
        <v>27</v>
      </c>
      <c r="V1768">
        <f>VLOOKUP(Auto_Sales_data___Copy[[#This Row],[CUSTOMER_NAME]],$AF$2:$AH$90,3,FALSE)</f>
        <v>100595.54999999999</v>
      </c>
      <c r="W1768" s="2">
        <f>6-MATCH(Auto_Sales_data___Copy[[#This Row],[DAYS_SINCE_LAST_ORDER]],Table2[R-Cutoff],1)</f>
        <v>2</v>
      </c>
      <c r="X1768" s="2">
        <f>MATCH(Auto_Sales_data___Copy[[#This Row],[Total_Orders_Per_Customer]],Table2[F-Cutoff],1)</f>
        <v>4</v>
      </c>
      <c r="Y1768" s="2">
        <f>MATCH(Auto_Sales_data___Copy[[#This Row],[Total_Sales_Per_Customer]],Table2[M-Cutoff],1)</f>
        <v>4</v>
      </c>
      <c r="Z1768" s="2" t="str">
        <f>Auto_Sales_data___Copy[[#This Row],[R-Score(1-5)]]&amp;Auto_Sales_data___Copy[[#This Row],[F-Score(1-5)]]&amp;Auto_Sales_data___Copy[[#This Row],[M-Score(1-5)]]</f>
        <v>244</v>
      </c>
      <c r="AA1768" s="2" t="str" cm="1">
        <f t="array" ref="AA17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8" s="2" t="str">
        <f>VLOOKUP(Auto_Sales_data___Copy[[#This Row],[Segment Name]],Table3[],2,FALSE)</f>
        <v>High-Touch  Win-Back</v>
      </c>
    </row>
    <row r="1769" spans="1:28" x14ac:dyDescent="0.25">
      <c r="A1769">
        <v>10161</v>
      </c>
      <c r="B1769">
        <v>20</v>
      </c>
      <c r="C1769">
        <v>107.23</v>
      </c>
      <c r="D1769">
        <v>3</v>
      </c>
      <c r="E1769">
        <v>2144.6</v>
      </c>
      <c r="F1769" s="1">
        <v>43390</v>
      </c>
      <c r="G1769" s="2" t="s">
        <v>19</v>
      </c>
      <c r="H1769" s="2" t="s">
        <v>183</v>
      </c>
      <c r="I1769">
        <v>90</v>
      </c>
      <c r="J1769" s="2" t="s">
        <v>676</v>
      </c>
      <c r="K1769" s="2" t="s">
        <v>530</v>
      </c>
      <c r="L1769" s="2" t="s">
        <v>531</v>
      </c>
      <c r="M1769" s="2" t="s">
        <v>532</v>
      </c>
      <c r="N1769" s="2" t="s">
        <v>533</v>
      </c>
      <c r="O1769" s="2" t="s">
        <v>534</v>
      </c>
      <c r="P1769" s="2" t="s">
        <v>344</v>
      </c>
      <c r="Q1769" s="2" t="s">
        <v>535</v>
      </c>
      <c r="R1769" s="2" t="s">
        <v>536</v>
      </c>
      <c r="S1769" s="2" t="s">
        <v>30</v>
      </c>
      <c r="T1769">
        <v>2231</v>
      </c>
      <c r="U1769">
        <f>VLOOKUP(Auto_Sales_data___Copy[[#This Row],[CUSTOMER_NAME]],$AF$2:$AH$90,2,FALSE)</f>
        <v>27</v>
      </c>
      <c r="V1769">
        <f>VLOOKUP(Auto_Sales_data___Copy[[#This Row],[CUSTOMER_NAME]],$AF$2:$AH$90,3,FALSE)</f>
        <v>100595.54999999999</v>
      </c>
      <c r="W1769" s="2">
        <f>6-MATCH(Auto_Sales_data___Copy[[#This Row],[DAYS_SINCE_LAST_ORDER]],Table2[R-Cutoff],1)</f>
        <v>2</v>
      </c>
      <c r="X1769" s="2">
        <f>MATCH(Auto_Sales_data___Copy[[#This Row],[Total_Orders_Per_Customer]],Table2[F-Cutoff],1)</f>
        <v>4</v>
      </c>
      <c r="Y1769" s="2">
        <f>MATCH(Auto_Sales_data___Copy[[#This Row],[Total_Sales_Per_Customer]],Table2[M-Cutoff],1)</f>
        <v>4</v>
      </c>
      <c r="Z1769" s="2" t="str">
        <f>Auto_Sales_data___Copy[[#This Row],[R-Score(1-5)]]&amp;Auto_Sales_data___Copy[[#This Row],[F-Score(1-5)]]&amp;Auto_Sales_data___Copy[[#This Row],[M-Score(1-5)]]</f>
        <v>244</v>
      </c>
      <c r="AA1769" s="2" t="str" cm="1">
        <f t="array" ref="AA17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9" s="2" t="str">
        <f>VLOOKUP(Auto_Sales_data___Copy[[#This Row],[Segment Name]],Table3[],2,FALSE)</f>
        <v>High-Touch  Win-Back</v>
      </c>
    </row>
    <row r="1770" spans="1:28" x14ac:dyDescent="0.25">
      <c r="A1770">
        <v>10161</v>
      </c>
      <c r="B1770">
        <v>25</v>
      </c>
      <c r="C1770">
        <v>110.39</v>
      </c>
      <c r="D1770">
        <v>2</v>
      </c>
      <c r="E1770">
        <v>2759.75</v>
      </c>
      <c r="F1770" s="1">
        <v>43390</v>
      </c>
      <c r="G1770" s="2" t="s">
        <v>19</v>
      </c>
      <c r="H1770" s="2" t="s">
        <v>183</v>
      </c>
      <c r="I1770">
        <v>117</v>
      </c>
      <c r="J1770" s="2" t="s">
        <v>679</v>
      </c>
      <c r="K1770" s="2" t="s">
        <v>530</v>
      </c>
      <c r="L1770" s="2" t="s">
        <v>531</v>
      </c>
      <c r="M1770" s="2" t="s">
        <v>532</v>
      </c>
      <c r="N1770" s="2" t="s">
        <v>533</v>
      </c>
      <c r="O1770" s="2" t="s">
        <v>534</v>
      </c>
      <c r="P1770" s="2" t="s">
        <v>344</v>
      </c>
      <c r="Q1770" s="2" t="s">
        <v>535</v>
      </c>
      <c r="R1770" s="2" t="s">
        <v>536</v>
      </c>
      <c r="S1770" s="2" t="s">
        <v>30</v>
      </c>
      <c r="T1770">
        <v>2307</v>
      </c>
      <c r="U1770">
        <f>VLOOKUP(Auto_Sales_data___Copy[[#This Row],[CUSTOMER_NAME]],$AF$2:$AH$90,2,FALSE)</f>
        <v>27</v>
      </c>
      <c r="V1770">
        <f>VLOOKUP(Auto_Sales_data___Copy[[#This Row],[CUSTOMER_NAME]],$AF$2:$AH$90,3,FALSE)</f>
        <v>100595.54999999999</v>
      </c>
      <c r="W1770" s="2">
        <f>6-MATCH(Auto_Sales_data___Copy[[#This Row],[DAYS_SINCE_LAST_ORDER]],Table2[R-Cutoff],1)</f>
        <v>2</v>
      </c>
      <c r="X1770" s="2">
        <f>MATCH(Auto_Sales_data___Copy[[#This Row],[Total_Orders_Per_Customer]],Table2[F-Cutoff],1)</f>
        <v>4</v>
      </c>
      <c r="Y1770" s="2">
        <f>MATCH(Auto_Sales_data___Copy[[#This Row],[Total_Sales_Per_Customer]],Table2[M-Cutoff],1)</f>
        <v>4</v>
      </c>
      <c r="Z1770" s="2" t="str">
        <f>Auto_Sales_data___Copy[[#This Row],[R-Score(1-5)]]&amp;Auto_Sales_data___Copy[[#This Row],[F-Score(1-5)]]&amp;Auto_Sales_data___Copy[[#This Row],[M-Score(1-5)]]</f>
        <v>244</v>
      </c>
      <c r="AA1770" s="2" t="str" cm="1">
        <f t="array" ref="AA17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0" s="2" t="str">
        <f>VLOOKUP(Auto_Sales_data___Copy[[#This Row],[Segment Name]],Table3[],2,FALSE)</f>
        <v>High-Touch  Win-Back</v>
      </c>
    </row>
    <row r="1771" spans="1:28" x14ac:dyDescent="0.25">
      <c r="A1771">
        <v>10161</v>
      </c>
      <c r="B1771">
        <v>20</v>
      </c>
      <c r="C1771">
        <v>77.05</v>
      </c>
      <c r="D1771">
        <v>4</v>
      </c>
      <c r="E1771">
        <v>1541</v>
      </c>
      <c r="F1771" s="1">
        <v>43390</v>
      </c>
      <c r="G1771" s="2" t="s">
        <v>19</v>
      </c>
      <c r="H1771" s="2" t="s">
        <v>183</v>
      </c>
      <c r="I1771">
        <v>85</v>
      </c>
      <c r="J1771" s="2" t="s">
        <v>682</v>
      </c>
      <c r="K1771" s="2" t="s">
        <v>530</v>
      </c>
      <c r="L1771" s="2" t="s">
        <v>531</v>
      </c>
      <c r="M1771" s="2" t="s">
        <v>532</v>
      </c>
      <c r="N1771" s="2" t="s">
        <v>533</v>
      </c>
      <c r="O1771" s="2" t="s">
        <v>534</v>
      </c>
      <c r="P1771" s="2" t="s">
        <v>344</v>
      </c>
      <c r="Q1771" s="2" t="s">
        <v>535</v>
      </c>
      <c r="R1771" s="2" t="s">
        <v>536</v>
      </c>
      <c r="S1771" s="2" t="s">
        <v>30</v>
      </c>
      <c r="T1771">
        <v>2380</v>
      </c>
      <c r="U1771">
        <f>VLOOKUP(Auto_Sales_data___Copy[[#This Row],[CUSTOMER_NAME]],$AF$2:$AH$90,2,FALSE)</f>
        <v>27</v>
      </c>
      <c r="V1771">
        <f>VLOOKUP(Auto_Sales_data___Copy[[#This Row],[CUSTOMER_NAME]],$AF$2:$AH$90,3,FALSE)</f>
        <v>100595.54999999999</v>
      </c>
      <c r="W1771" s="2">
        <f>6-MATCH(Auto_Sales_data___Copy[[#This Row],[DAYS_SINCE_LAST_ORDER]],Table2[R-Cutoff],1)</f>
        <v>2</v>
      </c>
      <c r="X1771" s="2">
        <f>MATCH(Auto_Sales_data___Copy[[#This Row],[Total_Orders_Per_Customer]],Table2[F-Cutoff],1)</f>
        <v>4</v>
      </c>
      <c r="Y1771" s="2">
        <f>MATCH(Auto_Sales_data___Copy[[#This Row],[Total_Sales_Per_Customer]],Table2[M-Cutoff],1)</f>
        <v>4</v>
      </c>
      <c r="Z1771" s="2" t="str">
        <f>Auto_Sales_data___Copy[[#This Row],[R-Score(1-5)]]&amp;Auto_Sales_data___Copy[[#This Row],[F-Score(1-5)]]&amp;Auto_Sales_data___Copy[[#This Row],[M-Score(1-5)]]</f>
        <v>244</v>
      </c>
      <c r="AA1771" s="2" t="str" cm="1">
        <f t="array" ref="AA17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1" s="2" t="str">
        <f>VLOOKUP(Auto_Sales_data___Copy[[#This Row],[Segment Name]],Table3[],2,FALSE)</f>
        <v>High-Touch  Win-Back</v>
      </c>
    </row>
    <row r="1772" spans="1:28" x14ac:dyDescent="0.25">
      <c r="A1772">
        <v>10161</v>
      </c>
      <c r="B1772">
        <v>30</v>
      </c>
      <c r="C1772">
        <v>104.94</v>
      </c>
      <c r="D1772">
        <v>6</v>
      </c>
      <c r="E1772">
        <v>3148.2</v>
      </c>
      <c r="F1772" s="1">
        <v>43390</v>
      </c>
      <c r="G1772" s="2" t="s">
        <v>19</v>
      </c>
      <c r="H1772" s="2" t="s">
        <v>183</v>
      </c>
      <c r="I1772">
        <v>107</v>
      </c>
      <c r="J1772" s="2" t="s">
        <v>685</v>
      </c>
      <c r="K1772" s="2" t="s">
        <v>530</v>
      </c>
      <c r="L1772" s="2" t="s">
        <v>531</v>
      </c>
      <c r="M1772" s="2" t="s">
        <v>532</v>
      </c>
      <c r="N1772" s="2" t="s">
        <v>533</v>
      </c>
      <c r="O1772" s="2" t="s">
        <v>534</v>
      </c>
      <c r="P1772" s="2" t="s">
        <v>344</v>
      </c>
      <c r="Q1772" s="2" t="s">
        <v>535</v>
      </c>
      <c r="R1772" s="2" t="s">
        <v>536</v>
      </c>
      <c r="S1772" s="2" t="s">
        <v>46</v>
      </c>
      <c r="T1772">
        <v>2454</v>
      </c>
      <c r="U1772">
        <f>VLOOKUP(Auto_Sales_data___Copy[[#This Row],[CUSTOMER_NAME]],$AF$2:$AH$90,2,FALSE)</f>
        <v>27</v>
      </c>
      <c r="V1772">
        <f>VLOOKUP(Auto_Sales_data___Copy[[#This Row],[CUSTOMER_NAME]],$AF$2:$AH$90,3,FALSE)</f>
        <v>100595.54999999999</v>
      </c>
      <c r="W1772" s="2">
        <f>6-MATCH(Auto_Sales_data___Copy[[#This Row],[DAYS_SINCE_LAST_ORDER]],Table2[R-Cutoff],1)</f>
        <v>2</v>
      </c>
      <c r="X1772" s="2">
        <f>MATCH(Auto_Sales_data___Copy[[#This Row],[Total_Orders_Per_Customer]],Table2[F-Cutoff],1)</f>
        <v>4</v>
      </c>
      <c r="Y1772" s="2">
        <f>MATCH(Auto_Sales_data___Copy[[#This Row],[Total_Sales_Per_Customer]],Table2[M-Cutoff],1)</f>
        <v>4</v>
      </c>
      <c r="Z1772" s="2" t="str">
        <f>Auto_Sales_data___Copy[[#This Row],[R-Score(1-5)]]&amp;Auto_Sales_data___Copy[[#This Row],[F-Score(1-5)]]&amp;Auto_Sales_data___Copy[[#This Row],[M-Score(1-5)]]</f>
        <v>244</v>
      </c>
      <c r="AA1772" s="2" t="str" cm="1">
        <f t="array" ref="AA17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2" s="2" t="str">
        <f>VLOOKUP(Auto_Sales_data___Copy[[#This Row],[Segment Name]],Table3[],2,FALSE)</f>
        <v>High-Touch  Win-Back</v>
      </c>
    </row>
    <row r="1773" spans="1:28" x14ac:dyDescent="0.25">
      <c r="A1773">
        <v>10165</v>
      </c>
      <c r="B1773">
        <v>32</v>
      </c>
      <c r="C1773">
        <v>145.68</v>
      </c>
      <c r="D1773">
        <v>17</v>
      </c>
      <c r="E1773">
        <v>4661.76</v>
      </c>
      <c r="F1773" s="1">
        <v>43395</v>
      </c>
      <c r="G1773" s="2" t="s">
        <v>19</v>
      </c>
      <c r="H1773" s="2" t="s">
        <v>537</v>
      </c>
      <c r="I1773">
        <v>127</v>
      </c>
      <c r="J1773" s="2" t="s">
        <v>674</v>
      </c>
      <c r="K1773" s="2" t="s">
        <v>199</v>
      </c>
      <c r="L1773" s="2" t="s">
        <v>200</v>
      </c>
      <c r="M1773" s="2" t="s">
        <v>201</v>
      </c>
      <c r="N1773" s="2" t="s">
        <v>202</v>
      </c>
      <c r="O1773" s="2" t="s">
        <v>203</v>
      </c>
      <c r="P1773" s="2" t="s">
        <v>202</v>
      </c>
      <c r="Q1773" s="2" t="s">
        <v>204</v>
      </c>
      <c r="R1773" s="2" t="s">
        <v>205</v>
      </c>
      <c r="S1773" s="2" t="s">
        <v>46</v>
      </c>
      <c r="T1773">
        <v>2177</v>
      </c>
      <c r="U1773">
        <f>VLOOKUP(Auto_Sales_data___Copy[[#This Row],[CUSTOMER_NAME]],$AF$2:$AH$90,2,FALSE)</f>
        <v>43</v>
      </c>
      <c r="V1773">
        <f>VLOOKUP(Auto_Sales_data___Copy[[#This Row],[CUSTOMER_NAME]],$AF$2:$AH$90,3,FALSE)</f>
        <v>172989.68000000008</v>
      </c>
      <c r="W1773" s="2">
        <f>6-MATCH(Auto_Sales_data___Copy[[#This Row],[DAYS_SINCE_LAST_ORDER]],Table2[R-Cutoff],1)</f>
        <v>2</v>
      </c>
      <c r="X1773" s="2">
        <f>MATCH(Auto_Sales_data___Copy[[#This Row],[Total_Orders_Per_Customer]],Table2[F-Cutoff],1)</f>
        <v>4</v>
      </c>
      <c r="Y1773" s="2">
        <f>MATCH(Auto_Sales_data___Copy[[#This Row],[Total_Sales_Per_Customer]],Table2[M-Cutoff],1)</f>
        <v>4</v>
      </c>
      <c r="Z1773" s="2" t="str">
        <f>Auto_Sales_data___Copy[[#This Row],[R-Score(1-5)]]&amp;Auto_Sales_data___Copy[[#This Row],[F-Score(1-5)]]&amp;Auto_Sales_data___Copy[[#This Row],[M-Score(1-5)]]</f>
        <v>244</v>
      </c>
      <c r="AA1773" s="2" t="str" cm="1">
        <f t="array" ref="AA17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3" s="2" t="str">
        <f>VLOOKUP(Auto_Sales_data___Copy[[#This Row],[Segment Name]],Table3[],2,FALSE)</f>
        <v>High-Touch  Win-Back</v>
      </c>
    </row>
    <row r="1774" spans="1:28" x14ac:dyDescent="0.25">
      <c r="A1774">
        <v>10165</v>
      </c>
      <c r="B1774">
        <v>27</v>
      </c>
      <c r="C1774">
        <v>31.82</v>
      </c>
      <c r="D1774">
        <v>13</v>
      </c>
      <c r="E1774">
        <v>859.14</v>
      </c>
      <c r="F1774" s="1">
        <v>43395</v>
      </c>
      <c r="G1774" s="2" t="s">
        <v>19</v>
      </c>
      <c r="H1774" s="2" t="s">
        <v>183</v>
      </c>
      <c r="I1774">
        <v>35</v>
      </c>
      <c r="J1774" s="2" t="s">
        <v>677</v>
      </c>
      <c r="K1774" s="2" t="s">
        <v>199</v>
      </c>
      <c r="L1774" s="2" t="s">
        <v>200</v>
      </c>
      <c r="M1774" s="2" t="s">
        <v>201</v>
      </c>
      <c r="N1774" s="2" t="s">
        <v>202</v>
      </c>
      <c r="O1774" s="2" t="s">
        <v>203</v>
      </c>
      <c r="P1774" s="2" t="s">
        <v>202</v>
      </c>
      <c r="Q1774" s="2" t="s">
        <v>204</v>
      </c>
      <c r="R1774" s="2" t="s">
        <v>205</v>
      </c>
      <c r="S1774" s="2" t="s">
        <v>30</v>
      </c>
      <c r="T1774">
        <v>2251</v>
      </c>
      <c r="U1774">
        <f>VLOOKUP(Auto_Sales_data___Copy[[#This Row],[CUSTOMER_NAME]],$AF$2:$AH$90,2,FALSE)</f>
        <v>43</v>
      </c>
      <c r="V1774">
        <f>VLOOKUP(Auto_Sales_data___Copy[[#This Row],[CUSTOMER_NAME]],$AF$2:$AH$90,3,FALSE)</f>
        <v>172989.68000000008</v>
      </c>
      <c r="W1774" s="2">
        <f>6-MATCH(Auto_Sales_data___Copy[[#This Row],[DAYS_SINCE_LAST_ORDER]],Table2[R-Cutoff],1)</f>
        <v>2</v>
      </c>
      <c r="X1774" s="2">
        <f>MATCH(Auto_Sales_data___Copy[[#This Row],[Total_Orders_Per_Customer]],Table2[F-Cutoff],1)</f>
        <v>4</v>
      </c>
      <c r="Y1774" s="2">
        <f>MATCH(Auto_Sales_data___Copy[[#This Row],[Total_Sales_Per_Customer]],Table2[M-Cutoff],1)</f>
        <v>4</v>
      </c>
      <c r="Z1774" s="2" t="str">
        <f>Auto_Sales_data___Copy[[#This Row],[R-Score(1-5)]]&amp;Auto_Sales_data___Copy[[#This Row],[F-Score(1-5)]]&amp;Auto_Sales_data___Copy[[#This Row],[M-Score(1-5)]]</f>
        <v>244</v>
      </c>
      <c r="AA1774" s="2" t="str" cm="1">
        <f t="array" ref="AA17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4" s="2" t="str">
        <f>VLOOKUP(Auto_Sales_data___Copy[[#This Row],[Segment Name]],Table3[],2,FALSE)</f>
        <v>High-Touch  Win-Back</v>
      </c>
    </row>
    <row r="1775" spans="1:28" x14ac:dyDescent="0.25">
      <c r="A1775">
        <v>10167</v>
      </c>
      <c r="B1775">
        <v>33</v>
      </c>
      <c r="C1775">
        <v>115.52</v>
      </c>
      <c r="D1775">
        <v>16</v>
      </c>
      <c r="E1775">
        <v>3812.16</v>
      </c>
      <c r="F1775" s="1">
        <v>43396</v>
      </c>
      <c r="G1775" s="2" t="s">
        <v>358</v>
      </c>
      <c r="H1775" s="2" t="s">
        <v>642</v>
      </c>
      <c r="I1775">
        <v>122</v>
      </c>
      <c r="J1775" s="2" t="s">
        <v>672</v>
      </c>
      <c r="K1775" s="2" t="s">
        <v>272</v>
      </c>
      <c r="L1775" s="2" t="s">
        <v>273</v>
      </c>
      <c r="M1775" s="2" t="s">
        <v>274</v>
      </c>
      <c r="N1775" s="2" t="s">
        <v>275</v>
      </c>
      <c r="O1775" s="2" t="s">
        <v>276</v>
      </c>
      <c r="P1775" s="2" t="s">
        <v>190</v>
      </c>
      <c r="Q1775" s="2" t="s">
        <v>277</v>
      </c>
      <c r="R1775" s="2" t="s">
        <v>209</v>
      </c>
      <c r="S1775" s="2" t="s">
        <v>46</v>
      </c>
      <c r="T1775">
        <v>2127</v>
      </c>
      <c r="U1775">
        <f>VLOOKUP(Auto_Sales_data___Copy[[#This Row],[CUSTOMER_NAME]],$AF$2:$AH$90,2,FALSE)</f>
        <v>38</v>
      </c>
      <c r="V1775">
        <f>VLOOKUP(Auto_Sales_data___Copy[[#This Row],[CUSTOMER_NAME]],$AF$2:$AH$90,3,FALSE)</f>
        <v>134259.32999999996</v>
      </c>
      <c r="W1775" s="2">
        <f>6-MATCH(Auto_Sales_data___Copy[[#This Row],[DAYS_SINCE_LAST_ORDER]],Table2[R-Cutoff],1)</f>
        <v>2</v>
      </c>
      <c r="X1775" s="2">
        <f>MATCH(Auto_Sales_data___Copy[[#This Row],[Total_Orders_Per_Customer]],Table2[F-Cutoff],1)</f>
        <v>4</v>
      </c>
      <c r="Y1775" s="2">
        <f>MATCH(Auto_Sales_data___Copy[[#This Row],[Total_Sales_Per_Customer]],Table2[M-Cutoff],1)</f>
        <v>4</v>
      </c>
      <c r="Z1775" s="2" t="str">
        <f>Auto_Sales_data___Copy[[#This Row],[R-Score(1-5)]]&amp;Auto_Sales_data___Copy[[#This Row],[F-Score(1-5)]]&amp;Auto_Sales_data___Copy[[#This Row],[M-Score(1-5)]]</f>
        <v>244</v>
      </c>
      <c r="AA1775" s="2" t="str" cm="1">
        <f t="array" ref="AA17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5" s="2" t="str">
        <f>VLOOKUP(Auto_Sales_data___Copy[[#This Row],[Segment Name]],Table3[],2,FALSE)</f>
        <v>High-Touch  Win-Back</v>
      </c>
    </row>
    <row r="1776" spans="1:28" x14ac:dyDescent="0.25">
      <c r="A1776">
        <v>10167</v>
      </c>
      <c r="B1776">
        <v>21</v>
      </c>
      <c r="C1776">
        <v>69.88</v>
      </c>
      <c r="D1776">
        <v>2</v>
      </c>
      <c r="E1776">
        <v>1467.48</v>
      </c>
      <c r="F1776" s="1">
        <v>43396</v>
      </c>
      <c r="G1776" s="2" t="s">
        <v>358</v>
      </c>
      <c r="H1776" s="2" t="s">
        <v>607</v>
      </c>
      <c r="I1776">
        <v>68</v>
      </c>
      <c r="J1776" s="2" t="s">
        <v>678</v>
      </c>
      <c r="K1776" s="2" t="s">
        <v>272</v>
      </c>
      <c r="L1776" s="2" t="s">
        <v>273</v>
      </c>
      <c r="M1776" s="2" t="s">
        <v>274</v>
      </c>
      <c r="N1776" s="2" t="s">
        <v>275</v>
      </c>
      <c r="O1776" s="2" t="s">
        <v>276</v>
      </c>
      <c r="P1776" s="2" t="s">
        <v>190</v>
      </c>
      <c r="Q1776" s="2" t="s">
        <v>277</v>
      </c>
      <c r="R1776" s="2" t="s">
        <v>209</v>
      </c>
      <c r="S1776" s="2" t="s">
        <v>30</v>
      </c>
      <c r="T1776">
        <v>2278</v>
      </c>
      <c r="U1776">
        <f>VLOOKUP(Auto_Sales_data___Copy[[#This Row],[CUSTOMER_NAME]],$AF$2:$AH$90,2,FALSE)</f>
        <v>38</v>
      </c>
      <c r="V1776">
        <f>VLOOKUP(Auto_Sales_data___Copy[[#This Row],[CUSTOMER_NAME]],$AF$2:$AH$90,3,FALSE)</f>
        <v>134259.32999999996</v>
      </c>
      <c r="W1776" s="2">
        <f>6-MATCH(Auto_Sales_data___Copy[[#This Row],[DAYS_SINCE_LAST_ORDER]],Table2[R-Cutoff],1)</f>
        <v>2</v>
      </c>
      <c r="X1776" s="2">
        <f>MATCH(Auto_Sales_data___Copy[[#This Row],[Total_Orders_Per_Customer]],Table2[F-Cutoff],1)</f>
        <v>4</v>
      </c>
      <c r="Y1776" s="2">
        <f>MATCH(Auto_Sales_data___Copy[[#This Row],[Total_Sales_Per_Customer]],Table2[M-Cutoff],1)</f>
        <v>4</v>
      </c>
      <c r="Z1776" s="2" t="str">
        <f>Auto_Sales_data___Copy[[#This Row],[R-Score(1-5)]]&amp;Auto_Sales_data___Copy[[#This Row],[F-Score(1-5)]]&amp;Auto_Sales_data___Copy[[#This Row],[M-Score(1-5)]]</f>
        <v>244</v>
      </c>
      <c r="AA1776" s="2" t="str" cm="1">
        <f t="array" ref="AA17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6" s="2" t="str">
        <f>VLOOKUP(Auto_Sales_data___Copy[[#This Row],[Segment Name]],Table3[],2,FALSE)</f>
        <v>High-Touch  Win-Back</v>
      </c>
    </row>
    <row r="1777" spans="1:28" x14ac:dyDescent="0.25">
      <c r="A1777">
        <v>10167</v>
      </c>
      <c r="B1777">
        <v>20</v>
      </c>
      <c r="C1777">
        <v>79.66</v>
      </c>
      <c r="D1777">
        <v>11</v>
      </c>
      <c r="E1777">
        <v>1593.2</v>
      </c>
      <c r="F1777" s="1">
        <v>43396</v>
      </c>
      <c r="G1777" s="2" t="s">
        <v>358</v>
      </c>
      <c r="H1777" s="2" t="s">
        <v>589</v>
      </c>
      <c r="I1777">
        <v>88</v>
      </c>
      <c r="J1777" s="2" t="s">
        <v>681</v>
      </c>
      <c r="K1777" s="2" t="s">
        <v>272</v>
      </c>
      <c r="L1777" s="2" t="s">
        <v>273</v>
      </c>
      <c r="M1777" s="2" t="s">
        <v>274</v>
      </c>
      <c r="N1777" s="2" t="s">
        <v>275</v>
      </c>
      <c r="O1777" s="2" t="s">
        <v>276</v>
      </c>
      <c r="P1777" s="2" t="s">
        <v>190</v>
      </c>
      <c r="Q1777" s="2" t="s">
        <v>277</v>
      </c>
      <c r="R1777" s="2" t="s">
        <v>209</v>
      </c>
      <c r="S1777" s="2" t="s">
        <v>30</v>
      </c>
      <c r="T1777">
        <v>2351</v>
      </c>
      <c r="U1777">
        <f>VLOOKUP(Auto_Sales_data___Copy[[#This Row],[CUSTOMER_NAME]],$AF$2:$AH$90,2,FALSE)</f>
        <v>38</v>
      </c>
      <c r="V1777">
        <f>VLOOKUP(Auto_Sales_data___Copy[[#This Row],[CUSTOMER_NAME]],$AF$2:$AH$90,3,FALSE)</f>
        <v>134259.32999999996</v>
      </c>
      <c r="W1777" s="2">
        <f>6-MATCH(Auto_Sales_data___Copy[[#This Row],[DAYS_SINCE_LAST_ORDER]],Table2[R-Cutoff],1)</f>
        <v>2</v>
      </c>
      <c r="X1777" s="2">
        <f>MATCH(Auto_Sales_data___Copy[[#This Row],[Total_Orders_Per_Customer]],Table2[F-Cutoff],1)</f>
        <v>4</v>
      </c>
      <c r="Y1777" s="2">
        <f>MATCH(Auto_Sales_data___Copy[[#This Row],[Total_Sales_Per_Customer]],Table2[M-Cutoff],1)</f>
        <v>4</v>
      </c>
      <c r="Z1777" s="2" t="str">
        <f>Auto_Sales_data___Copy[[#This Row],[R-Score(1-5)]]&amp;Auto_Sales_data___Copy[[#This Row],[F-Score(1-5)]]&amp;Auto_Sales_data___Copy[[#This Row],[M-Score(1-5)]]</f>
        <v>244</v>
      </c>
      <c r="AA1777" s="2" t="str" cm="1">
        <f t="array" ref="AA17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7" s="2" t="str">
        <f>VLOOKUP(Auto_Sales_data___Copy[[#This Row],[Segment Name]],Table3[],2,FALSE)</f>
        <v>High-Touch  Win-Back</v>
      </c>
    </row>
    <row r="1778" spans="1:28" x14ac:dyDescent="0.25">
      <c r="A1778">
        <v>10167</v>
      </c>
      <c r="B1778">
        <v>32</v>
      </c>
      <c r="C1778">
        <v>63.12</v>
      </c>
      <c r="D1778">
        <v>3</v>
      </c>
      <c r="E1778">
        <v>2019.84</v>
      </c>
      <c r="F1778" s="1">
        <v>43396</v>
      </c>
      <c r="G1778" s="2" t="s">
        <v>358</v>
      </c>
      <c r="H1778" s="2" t="s">
        <v>589</v>
      </c>
      <c r="I1778">
        <v>65</v>
      </c>
      <c r="J1778" s="2" t="s">
        <v>684</v>
      </c>
      <c r="K1778" s="2" t="s">
        <v>272</v>
      </c>
      <c r="L1778" s="2" t="s">
        <v>273</v>
      </c>
      <c r="M1778" s="2" t="s">
        <v>274</v>
      </c>
      <c r="N1778" s="2" t="s">
        <v>275</v>
      </c>
      <c r="O1778" s="2" t="s">
        <v>276</v>
      </c>
      <c r="P1778" s="2" t="s">
        <v>190</v>
      </c>
      <c r="Q1778" s="2" t="s">
        <v>277</v>
      </c>
      <c r="R1778" s="2" t="s">
        <v>209</v>
      </c>
      <c r="S1778" s="2" t="s">
        <v>30</v>
      </c>
      <c r="T1778">
        <v>2424</v>
      </c>
      <c r="U1778">
        <f>VLOOKUP(Auto_Sales_data___Copy[[#This Row],[CUSTOMER_NAME]],$AF$2:$AH$90,2,FALSE)</f>
        <v>38</v>
      </c>
      <c r="V1778">
        <f>VLOOKUP(Auto_Sales_data___Copy[[#This Row],[CUSTOMER_NAME]],$AF$2:$AH$90,3,FALSE)</f>
        <v>134259.32999999996</v>
      </c>
      <c r="W1778" s="2">
        <f>6-MATCH(Auto_Sales_data___Copy[[#This Row],[DAYS_SINCE_LAST_ORDER]],Table2[R-Cutoff],1)</f>
        <v>2</v>
      </c>
      <c r="X1778" s="2">
        <f>MATCH(Auto_Sales_data___Copy[[#This Row],[Total_Orders_Per_Customer]],Table2[F-Cutoff],1)</f>
        <v>4</v>
      </c>
      <c r="Y1778" s="2">
        <f>MATCH(Auto_Sales_data___Copy[[#This Row],[Total_Sales_Per_Customer]],Table2[M-Cutoff],1)</f>
        <v>4</v>
      </c>
      <c r="Z1778" s="2" t="str">
        <f>Auto_Sales_data___Copy[[#This Row],[R-Score(1-5)]]&amp;Auto_Sales_data___Copy[[#This Row],[F-Score(1-5)]]&amp;Auto_Sales_data___Copy[[#This Row],[M-Score(1-5)]]</f>
        <v>244</v>
      </c>
      <c r="AA1778" s="2" t="str" cm="1">
        <f t="array" ref="AA17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8" s="2" t="str">
        <f>VLOOKUP(Auto_Sales_data___Copy[[#This Row],[Segment Name]],Table3[],2,FALSE)</f>
        <v>High-Touch  Win-Back</v>
      </c>
    </row>
    <row r="1779" spans="1:28" x14ac:dyDescent="0.25">
      <c r="A1779">
        <v>10167</v>
      </c>
      <c r="B1779">
        <v>29</v>
      </c>
      <c r="C1779">
        <v>83.86</v>
      </c>
      <c r="D1779">
        <v>8</v>
      </c>
      <c r="E1779">
        <v>2431.94</v>
      </c>
      <c r="F1779" s="1">
        <v>43396</v>
      </c>
      <c r="G1779" s="2" t="s">
        <v>358</v>
      </c>
      <c r="H1779" s="2" t="s">
        <v>589</v>
      </c>
      <c r="I1779">
        <v>83</v>
      </c>
      <c r="J1779" s="2" t="s">
        <v>686</v>
      </c>
      <c r="K1779" s="2" t="s">
        <v>272</v>
      </c>
      <c r="L1779" s="2" t="s">
        <v>273</v>
      </c>
      <c r="M1779" s="2" t="s">
        <v>274</v>
      </c>
      <c r="N1779" s="2" t="s">
        <v>275</v>
      </c>
      <c r="O1779" s="2" t="s">
        <v>276</v>
      </c>
      <c r="P1779" s="2" t="s">
        <v>190</v>
      </c>
      <c r="Q1779" s="2" t="s">
        <v>277</v>
      </c>
      <c r="R1779" s="2" t="s">
        <v>209</v>
      </c>
      <c r="S1779" s="2" t="s">
        <v>30</v>
      </c>
      <c r="T1779">
        <v>2473</v>
      </c>
      <c r="U1779">
        <f>VLOOKUP(Auto_Sales_data___Copy[[#This Row],[CUSTOMER_NAME]],$AF$2:$AH$90,2,FALSE)</f>
        <v>38</v>
      </c>
      <c r="V1779">
        <f>VLOOKUP(Auto_Sales_data___Copy[[#This Row],[CUSTOMER_NAME]],$AF$2:$AH$90,3,FALSE)</f>
        <v>134259.32999999996</v>
      </c>
      <c r="W1779" s="2">
        <f>6-MATCH(Auto_Sales_data___Copy[[#This Row],[DAYS_SINCE_LAST_ORDER]],Table2[R-Cutoff],1)</f>
        <v>2</v>
      </c>
      <c r="X1779" s="2">
        <f>MATCH(Auto_Sales_data___Copy[[#This Row],[Total_Orders_Per_Customer]],Table2[F-Cutoff],1)</f>
        <v>4</v>
      </c>
      <c r="Y1779" s="2">
        <f>MATCH(Auto_Sales_data___Copy[[#This Row],[Total_Sales_Per_Customer]],Table2[M-Cutoff],1)</f>
        <v>4</v>
      </c>
      <c r="Z1779" s="2" t="str">
        <f>Auto_Sales_data___Copy[[#This Row],[R-Score(1-5)]]&amp;Auto_Sales_data___Copy[[#This Row],[F-Score(1-5)]]&amp;Auto_Sales_data___Copy[[#This Row],[M-Score(1-5)]]</f>
        <v>244</v>
      </c>
      <c r="AA1779" s="2" t="str" cm="1">
        <f t="array" ref="AA17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9" s="2" t="str">
        <f>VLOOKUP(Auto_Sales_data___Copy[[#This Row],[Segment Name]],Table3[],2,FALSE)</f>
        <v>High-Touch  Win-Back</v>
      </c>
    </row>
    <row r="1780" spans="1:28" x14ac:dyDescent="0.25">
      <c r="A1780">
        <v>10168</v>
      </c>
      <c r="B1780">
        <v>49</v>
      </c>
      <c r="C1780">
        <v>131.30000000000001</v>
      </c>
      <c r="D1780">
        <v>11</v>
      </c>
      <c r="E1780">
        <v>6433.7</v>
      </c>
      <c r="F1780" s="1">
        <v>43401</v>
      </c>
      <c r="G1780" s="2" t="s">
        <v>19</v>
      </c>
      <c r="H1780" s="2" t="s">
        <v>607</v>
      </c>
      <c r="I1780">
        <v>109</v>
      </c>
      <c r="J1780" s="2" t="s">
        <v>669</v>
      </c>
      <c r="K1780" s="2" t="s">
        <v>54</v>
      </c>
      <c r="L1780" s="2" t="s">
        <v>55</v>
      </c>
      <c r="M1780" s="2" t="s">
        <v>56</v>
      </c>
      <c r="N1780" s="2" t="s">
        <v>57</v>
      </c>
      <c r="O1780" s="2" t="s">
        <v>58</v>
      </c>
      <c r="P1780" s="2" t="s">
        <v>27</v>
      </c>
      <c r="Q1780" s="2" t="s">
        <v>59</v>
      </c>
      <c r="R1780" s="2" t="s">
        <v>60</v>
      </c>
      <c r="S1780" s="2" t="s">
        <v>46</v>
      </c>
      <c r="T1780">
        <v>2049</v>
      </c>
      <c r="U1780">
        <f>VLOOKUP(Auto_Sales_data___Copy[[#This Row],[CUSTOMER_NAME]],$AF$2:$AH$90,2,FALSE)</f>
        <v>34</v>
      </c>
      <c r="V1780">
        <f>VLOOKUP(Auto_Sales_data___Copy[[#This Row],[CUSTOMER_NAME]],$AF$2:$AH$90,3,FALSE)</f>
        <v>120783.07</v>
      </c>
      <c r="W1780" s="2">
        <f>6-MATCH(Auto_Sales_data___Copy[[#This Row],[DAYS_SINCE_LAST_ORDER]],Table2[R-Cutoff],1)</f>
        <v>2</v>
      </c>
      <c r="X1780" s="2">
        <f>MATCH(Auto_Sales_data___Copy[[#This Row],[Total_Orders_Per_Customer]],Table2[F-Cutoff],1)</f>
        <v>4</v>
      </c>
      <c r="Y1780" s="2">
        <f>MATCH(Auto_Sales_data___Copy[[#This Row],[Total_Sales_Per_Customer]],Table2[M-Cutoff],1)</f>
        <v>4</v>
      </c>
      <c r="Z1780" s="2" t="str">
        <f>Auto_Sales_data___Copy[[#This Row],[R-Score(1-5)]]&amp;Auto_Sales_data___Copy[[#This Row],[F-Score(1-5)]]&amp;Auto_Sales_data___Copy[[#This Row],[M-Score(1-5)]]</f>
        <v>244</v>
      </c>
      <c r="AA1780" s="2" t="str" cm="1">
        <f t="array" ref="AA17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0" s="2" t="str">
        <f>VLOOKUP(Auto_Sales_data___Copy[[#This Row],[Segment Name]],Table3[],2,FALSE)</f>
        <v>High-Touch  Win-Back</v>
      </c>
    </row>
    <row r="1781" spans="1:28" x14ac:dyDescent="0.25">
      <c r="A1781">
        <v>10168</v>
      </c>
      <c r="B1781">
        <v>29</v>
      </c>
      <c r="C1781">
        <v>75.41</v>
      </c>
      <c r="D1781">
        <v>6</v>
      </c>
      <c r="E1781">
        <v>2186.89</v>
      </c>
      <c r="F1781" s="1">
        <v>43401</v>
      </c>
      <c r="G1781" s="2" t="s">
        <v>19</v>
      </c>
      <c r="H1781" s="2" t="s">
        <v>20</v>
      </c>
      <c r="I1781">
        <v>76</v>
      </c>
      <c r="J1781" s="2" t="s">
        <v>671</v>
      </c>
      <c r="K1781" s="2" t="s">
        <v>54</v>
      </c>
      <c r="L1781" s="2" t="s">
        <v>55</v>
      </c>
      <c r="M1781" s="2" t="s">
        <v>56</v>
      </c>
      <c r="N1781" s="2" t="s">
        <v>57</v>
      </c>
      <c r="O1781" s="2" t="s">
        <v>58</v>
      </c>
      <c r="P1781" s="2" t="s">
        <v>27</v>
      </c>
      <c r="Q1781" s="2" t="s">
        <v>59</v>
      </c>
      <c r="R1781" s="2" t="s">
        <v>60</v>
      </c>
      <c r="S1781" s="2" t="s">
        <v>30</v>
      </c>
      <c r="T1781">
        <v>2097</v>
      </c>
      <c r="U1781">
        <f>VLOOKUP(Auto_Sales_data___Copy[[#This Row],[CUSTOMER_NAME]],$AF$2:$AH$90,2,FALSE)</f>
        <v>34</v>
      </c>
      <c r="V1781">
        <f>VLOOKUP(Auto_Sales_data___Copy[[#This Row],[CUSTOMER_NAME]],$AF$2:$AH$90,3,FALSE)</f>
        <v>120783.07</v>
      </c>
      <c r="W1781" s="2">
        <f>6-MATCH(Auto_Sales_data___Copy[[#This Row],[DAYS_SINCE_LAST_ORDER]],Table2[R-Cutoff],1)</f>
        <v>2</v>
      </c>
      <c r="X1781" s="2">
        <f>MATCH(Auto_Sales_data___Copy[[#This Row],[Total_Orders_Per_Customer]],Table2[F-Cutoff],1)</f>
        <v>4</v>
      </c>
      <c r="Y1781" s="2">
        <f>MATCH(Auto_Sales_data___Copy[[#This Row],[Total_Sales_Per_Customer]],Table2[M-Cutoff],1)</f>
        <v>4</v>
      </c>
      <c r="Z1781" s="2" t="str">
        <f>Auto_Sales_data___Copy[[#This Row],[R-Score(1-5)]]&amp;Auto_Sales_data___Copy[[#This Row],[F-Score(1-5)]]&amp;Auto_Sales_data___Copy[[#This Row],[M-Score(1-5)]]</f>
        <v>244</v>
      </c>
      <c r="AA1781" s="2" t="str" cm="1">
        <f t="array" ref="AA17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1" s="2" t="str">
        <f>VLOOKUP(Auto_Sales_data___Copy[[#This Row],[Segment Name]],Table3[],2,FALSE)</f>
        <v>High-Touch  Win-Back</v>
      </c>
    </row>
    <row r="1782" spans="1:28" x14ac:dyDescent="0.25">
      <c r="A1782">
        <v>10168</v>
      </c>
      <c r="B1782">
        <v>27</v>
      </c>
      <c r="C1782">
        <v>73.02</v>
      </c>
      <c r="D1782">
        <v>18</v>
      </c>
      <c r="E1782">
        <v>1971.54</v>
      </c>
      <c r="F1782" s="1">
        <v>43401</v>
      </c>
      <c r="G1782" s="2" t="s">
        <v>19</v>
      </c>
      <c r="H1782" s="2" t="s">
        <v>607</v>
      </c>
      <c r="I1782">
        <v>68</v>
      </c>
      <c r="J1782" s="2" t="s">
        <v>688</v>
      </c>
      <c r="K1782" s="2" t="s">
        <v>54</v>
      </c>
      <c r="L1782" s="2" t="s">
        <v>55</v>
      </c>
      <c r="M1782" s="2" t="s">
        <v>56</v>
      </c>
      <c r="N1782" s="2" t="s">
        <v>57</v>
      </c>
      <c r="O1782" s="2" t="s">
        <v>58</v>
      </c>
      <c r="P1782" s="2" t="s">
        <v>27</v>
      </c>
      <c r="Q1782" s="2" t="s">
        <v>59</v>
      </c>
      <c r="R1782" s="2" t="s">
        <v>60</v>
      </c>
      <c r="S1782" s="2" t="s">
        <v>30</v>
      </c>
      <c r="T1782">
        <v>2519</v>
      </c>
      <c r="U1782">
        <f>VLOOKUP(Auto_Sales_data___Copy[[#This Row],[CUSTOMER_NAME]],$AF$2:$AH$90,2,FALSE)</f>
        <v>34</v>
      </c>
      <c r="V1782">
        <f>VLOOKUP(Auto_Sales_data___Copy[[#This Row],[CUSTOMER_NAME]],$AF$2:$AH$90,3,FALSE)</f>
        <v>120783.07</v>
      </c>
      <c r="W1782" s="2">
        <f>6-MATCH(Auto_Sales_data___Copy[[#This Row],[DAYS_SINCE_LAST_ORDER]],Table2[R-Cutoff],1)</f>
        <v>2</v>
      </c>
      <c r="X1782" s="2">
        <f>MATCH(Auto_Sales_data___Copy[[#This Row],[Total_Orders_Per_Customer]],Table2[F-Cutoff],1)</f>
        <v>4</v>
      </c>
      <c r="Y1782" s="2">
        <f>MATCH(Auto_Sales_data___Copy[[#This Row],[Total_Sales_Per_Customer]],Table2[M-Cutoff],1)</f>
        <v>4</v>
      </c>
      <c r="Z1782" s="2" t="str">
        <f>Auto_Sales_data___Copy[[#This Row],[R-Score(1-5)]]&amp;Auto_Sales_data___Copy[[#This Row],[F-Score(1-5)]]&amp;Auto_Sales_data___Copy[[#This Row],[M-Score(1-5)]]</f>
        <v>244</v>
      </c>
      <c r="AA1782" s="2" t="str" cm="1">
        <f t="array" ref="AA17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2" s="2" t="str">
        <f>VLOOKUP(Auto_Sales_data___Copy[[#This Row],[Segment Name]],Table3[],2,FALSE)</f>
        <v>High-Touch  Win-Back</v>
      </c>
    </row>
    <row r="1783" spans="1:28" x14ac:dyDescent="0.25">
      <c r="A1783">
        <v>10169</v>
      </c>
      <c r="B1783">
        <v>38</v>
      </c>
      <c r="C1783">
        <v>74.11</v>
      </c>
      <c r="D1783">
        <v>11</v>
      </c>
      <c r="E1783">
        <v>2816.18</v>
      </c>
      <c r="F1783" s="1">
        <v>43408</v>
      </c>
      <c r="G1783" s="2" t="s">
        <v>19</v>
      </c>
      <c r="H1783" s="2" t="s">
        <v>20</v>
      </c>
      <c r="I1783">
        <v>69</v>
      </c>
      <c r="J1783" s="2" t="s">
        <v>675</v>
      </c>
      <c r="K1783" s="2" t="s">
        <v>300</v>
      </c>
      <c r="L1783" s="2" t="s">
        <v>301</v>
      </c>
      <c r="M1783" s="2" t="s">
        <v>302</v>
      </c>
      <c r="N1783" s="2" t="s">
        <v>303</v>
      </c>
      <c r="O1783" s="2" t="s">
        <v>304</v>
      </c>
      <c r="P1783" s="2" t="s">
        <v>87</v>
      </c>
      <c r="Q1783" s="2" t="s">
        <v>305</v>
      </c>
      <c r="R1783" s="2" t="s">
        <v>306</v>
      </c>
      <c r="S1783" s="2" t="s">
        <v>30</v>
      </c>
      <c r="T1783">
        <v>2190</v>
      </c>
      <c r="U1783">
        <f>VLOOKUP(Auto_Sales_data___Copy[[#This Row],[CUSTOMER_NAME]],$AF$2:$AH$90,2,FALSE)</f>
        <v>46</v>
      </c>
      <c r="V1783">
        <f>VLOOKUP(Auto_Sales_data___Copy[[#This Row],[CUSTOMER_NAME]],$AF$2:$AH$90,3,FALSE)</f>
        <v>153996.12999999998</v>
      </c>
      <c r="W1783" s="2">
        <f>6-MATCH(Auto_Sales_data___Copy[[#This Row],[DAYS_SINCE_LAST_ORDER]],Table2[R-Cutoff],1)</f>
        <v>2</v>
      </c>
      <c r="X1783" s="2">
        <f>MATCH(Auto_Sales_data___Copy[[#This Row],[Total_Orders_Per_Customer]],Table2[F-Cutoff],1)</f>
        <v>4</v>
      </c>
      <c r="Y1783" s="2">
        <f>MATCH(Auto_Sales_data___Copy[[#This Row],[Total_Sales_Per_Customer]],Table2[M-Cutoff],1)</f>
        <v>4</v>
      </c>
      <c r="Z1783" s="2" t="str">
        <f>Auto_Sales_data___Copy[[#This Row],[R-Score(1-5)]]&amp;Auto_Sales_data___Copy[[#This Row],[F-Score(1-5)]]&amp;Auto_Sales_data___Copy[[#This Row],[M-Score(1-5)]]</f>
        <v>244</v>
      </c>
      <c r="AA1783" s="2" t="str" cm="1">
        <f t="array" ref="AA17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3" s="2" t="str">
        <f>VLOOKUP(Auto_Sales_data___Copy[[#This Row],[Segment Name]],Table3[],2,FALSE)</f>
        <v>High-Touch  Win-Back</v>
      </c>
    </row>
    <row r="1784" spans="1:28" x14ac:dyDescent="0.25">
      <c r="A1784">
        <v>10169</v>
      </c>
      <c r="B1784">
        <v>34</v>
      </c>
      <c r="C1784">
        <v>50.21</v>
      </c>
      <c r="D1784">
        <v>1</v>
      </c>
      <c r="E1784">
        <v>1707.14</v>
      </c>
      <c r="F1784" s="1">
        <v>43408</v>
      </c>
      <c r="G1784" s="2" t="s">
        <v>19</v>
      </c>
      <c r="H1784" s="2" t="s">
        <v>183</v>
      </c>
      <c r="I1784">
        <v>61</v>
      </c>
      <c r="J1784" s="2" t="s">
        <v>683</v>
      </c>
      <c r="K1784" s="2" t="s">
        <v>300</v>
      </c>
      <c r="L1784" s="2" t="s">
        <v>301</v>
      </c>
      <c r="M1784" s="2" t="s">
        <v>302</v>
      </c>
      <c r="N1784" s="2" t="s">
        <v>303</v>
      </c>
      <c r="O1784" s="2" t="s">
        <v>304</v>
      </c>
      <c r="P1784" s="2" t="s">
        <v>87</v>
      </c>
      <c r="Q1784" s="2" t="s">
        <v>305</v>
      </c>
      <c r="R1784" s="2" t="s">
        <v>306</v>
      </c>
      <c r="S1784" s="2" t="s">
        <v>30</v>
      </c>
      <c r="T1784">
        <v>2386</v>
      </c>
      <c r="U1784">
        <f>VLOOKUP(Auto_Sales_data___Copy[[#This Row],[CUSTOMER_NAME]],$AF$2:$AH$90,2,FALSE)</f>
        <v>46</v>
      </c>
      <c r="V1784">
        <f>VLOOKUP(Auto_Sales_data___Copy[[#This Row],[CUSTOMER_NAME]],$AF$2:$AH$90,3,FALSE)</f>
        <v>153996.12999999998</v>
      </c>
      <c r="W1784" s="2">
        <f>6-MATCH(Auto_Sales_data___Copy[[#This Row],[DAYS_SINCE_LAST_ORDER]],Table2[R-Cutoff],1)</f>
        <v>2</v>
      </c>
      <c r="X1784" s="2">
        <f>MATCH(Auto_Sales_data___Copy[[#This Row],[Total_Orders_Per_Customer]],Table2[F-Cutoff],1)</f>
        <v>4</v>
      </c>
      <c r="Y1784" s="2">
        <f>MATCH(Auto_Sales_data___Copy[[#This Row],[Total_Sales_Per_Customer]],Table2[M-Cutoff],1)</f>
        <v>4</v>
      </c>
      <c r="Z1784" s="2" t="str">
        <f>Auto_Sales_data___Copy[[#This Row],[R-Score(1-5)]]&amp;Auto_Sales_data___Copy[[#This Row],[F-Score(1-5)]]&amp;Auto_Sales_data___Copy[[#This Row],[M-Score(1-5)]]</f>
        <v>244</v>
      </c>
      <c r="AA1784" s="2" t="str" cm="1">
        <f t="array" ref="AA17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4" s="2" t="str">
        <f>VLOOKUP(Auto_Sales_data___Copy[[#This Row],[Segment Name]],Table3[],2,FALSE)</f>
        <v>High-Touch  Win-Back</v>
      </c>
    </row>
    <row r="1785" spans="1:28" x14ac:dyDescent="0.25">
      <c r="A1785">
        <v>10173</v>
      </c>
      <c r="B1785">
        <v>31</v>
      </c>
      <c r="C1785">
        <v>31.53</v>
      </c>
      <c r="D1785">
        <v>9</v>
      </c>
      <c r="E1785">
        <v>977.43</v>
      </c>
      <c r="F1785" s="1">
        <v>43409</v>
      </c>
      <c r="G1785" s="2" t="s">
        <v>19</v>
      </c>
      <c r="H1785" s="2" t="s">
        <v>589</v>
      </c>
      <c r="I1785">
        <v>33</v>
      </c>
      <c r="J1785" s="2" t="s">
        <v>670</v>
      </c>
      <c r="K1785" s="2" t="s">
        <v>591</v>
      </c>
      <c r="L1785" s="2" t="s">
        <v>592</v>
      </c>
      <c r="M1785" s="2" t="s">
        <v>593</v>
      </c>
      <c r="N1785" s="2" t="s">
        <v>594</v>
      </c>
      <c r="O1785" s="2" t="s">
        <v>595</v>
      </c>
      <c r="P1785" s="2" t="s">
        <v>269</v>
      </c>
      <c r="Q1785" s="2" t="s">
        <v>596</v>
      </c>
      <c r="R1785" s="2" t="s">
        <v>597</v>
      </c>
      <c r="S1785" s="2" t="s">
        <v>30</v>
      </c>
      <c r="T1785">
        <v>2064</v>
      </c>
      <c r="U1785">
        <f>VLOOKUP(Auto_Sales_data___Copy[[#This Row],[CUSTOMER_NAME]],$AF$2:$AH$90,2,FALSE)</f>
        <v>48</v>
      </c>
      <c r="V1785">
        <f>VLOOKUP(Auto_Sales_data___Copy[[#This Row],[CUSTOMER_NAME]],$AF$2:$AH$90,3,FALSE)</f>
        <v>137955.72</v>
      </c>
      <c r="W1785" s="2">
        <f>6-MATCH(Auto_Sales_data___Copy[[#This Row],[DAYS_SINCE_LAST_ORDER]],Table2[R-Cutoff],1)</f>
        <v>2</v>
      </c>
      <c r="X1785" s="2">
        <f>MATCH(Auto_Sales_data___Copy[[#This Row],[Total_Orders_Per_Customer]],Table2[F-Cutoff],1)</f>
        <v>4</v>
      </c>
      <c r="Y1785" s="2">
        <f>MATCH(Auto_Sales_data___Copy[[#This Row],[Total_Sales_Per_Customer]],Table2[M-Cutoff],1)</f>
        <v>4</v>
      </c>
      <c r="Z1785" s="2" t="str">
        <f>Auto_Sales_data___Copy[[#This Row],[R-Score(1-5)]]&amp;Auto_Sales_data___Copy[[#This Row],[F-Score(1-5)]]&amp;Auto_Sales_data___Copy[[#This Row],[M-Score(1-5)]]</f>
        <v>244</v>
      </c>
      <c r="AA1785" s="2" t="str" cm="1">
        <f t="array" ref="AA17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5" s="2" t="str">
        <f>VLOOKUP(Auto_Sales_data___Copy[[#This Row],[Segment Name]],Table3[],2,FALSE)</f>
        <v>High-Touch  Win-Back</v>
      </c>
    </row>
    <row r="1786" spans="1:28" x14ac:dyDescent="0.25">
      <c r="A1786">
        <v>10173</v>
      </c>
      <c r="B1786">
        <v>27</v>
      </c>
      <c r="C1786">
        <v>41.22</v>
      </c>
      <c r="D1786">
        <v>8</v>
      </c>
      <c r="E1786">
        <v>1112.94</v>
      </c>
      <c r="F1786" s="1">
        <v>43409</v>
      </c>
      <c r="G1786" s="2" t="s">
        <v>19</v>
      </c>
      <c r="H1786" s="2" t="s">
        <v>589</v>
      </c>
      <c r="I1786">
        <v>44</v>
      </c>
      <c r="J1786" s="2" t="s">
        <v>673</v>
      </c>
      <c r="K1786" s="2" t="s">
        <v>591</v>
      </c>
      <c r="L1786" s="2" t="s">
        <v>592</v>
      </c>
      <c r="M1786" s="2" t="s">
        <v>593</v>
      </c>
      <c r="N1786" s="2" t="s">
        <v>594</v>
      </c>
      <c r="O1786" s="2" t="s">
        <v>595</v>
      </c>
      <c r="P1786" s="2" t="s">
        <v>269</v>
      </c>
      <c r="Q1786" s="2" t="s">
        <v>596</v>
      </c>
      <c r="R1786" s="2" t="s">
        <v>597</v>
      </c>
      <c r="S1786" s="2" t="s">
        <v>30</v>
      </c>
      <c r="T1786">
        <v>2138</v>
      </c>
      <c r="U1786">
        <f>VLOOKUP(Auto_Sales_data___Copy[[#This Row],[CUSTOMER_NAME]],$AF$2:$AH$90,2,FALSE)</f>
        <v>48</v>
      </c>
      <c r="V1786">
        <f>VLOOKUP(Auto_Sales_data___Copy[[#This Row],[CUSTOMER_NAME]],$AF$2:$AH$90,3,FALSE)</f>
        <v>137955.72</v>
      </c>
      <c r="W1786" s="2">
        <f>6-MATCH(Auto_Sales_data___Copy[[#This Row],[DAYS_SINCE_LAST_ORDER]],Table2[R-Cutoff],1)</f>
        <v>2</v>
      </c>
      <c r="X1786" s="2">
        <f>MATCH(Auto_Sales_data___Copy[[#This Row],[Total_Orders_Per_Customer]],Table2[F-Cutoff],1)</f>
        <v>4</v>
      </c>
      <c r="Y1786" s="2">
        <f>MATCH(Auto_Sales_data___Copy[[#This Row],[Total_Sales_Per_Customer]],Table2[M-Cutoff],1)</f>
        <v>4</v>
      </c>
      <c r="Z1786" s="2" t="str">
        <f>Auto_Sales_data___Copy[[#This Row],[R-Score(1-5)]]&amp;Auto_Sales_data___Copy[[#This Row],[F-Score(1-5)]]&amp;Auto_Sales_data___Copy[[#This Row],[M-Score(1-5)]]</f>
        <v>244</v>
      </c>
      <c r="AA1786" s="2" t="str" cm="1">
        <f t="array" ref="AA17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6" s="2" t="str">
        <f>VLOOKUP(Auto_Sales_data___Copy[[#This Row],[Segment Name]],Table3[],2,FALSE)</f>
        <v>High-Touch  Win-Back</v>
      </c>
    </row>
    <row r="1787" spans="1:28" x14ac:dyDescent="0.25">
      <c r="A1787">
        <v>10173</v>
      </c>
      <c r="B1787">
        <v>23</v>
      </c>
      <c r="C1787">
        <v>118.61</v>
      </c>
      <c r="D1787">
        <v>16</v>
      </c>
      <c r="E1787">
        <v>2728.03</v>
      </c>
      <c r="F1787" s="1">
        <v>43409</v>
      </c>
      <c r="G1787" s="2" t="s">
        <v>19</v>
      </c>
      <c r="H1787" s="2" t="s">
        <v>183</v>
      </c>
      <c r="I1787">
        <v>117</v>
      </c>
      <c r="J1787" s="2" t="s">
        <v>679</v>
      </c>
      <c r="K1787" s="2" t="s">
        <v>591</v>
      </c>
      <c r="L1787" s="2" t="s">
        <v>592</v>
      </c>
      <c r="M1787" s="2" t="s">
        <v>593</v>
      </c>
      <c r="N1787" s="2" t="s">
        <v>594</v>
      </c>
      <c r="O1787" s="2" t="s">
        <v>595</v>
      </c>
      <c r="P1787" s="2" t="s">
        <v>269</v>
      </c>
      <c r="Q1787" s="2" t="s">
        <v>596</v>
      </c>
      <c r="R1787" s="2" t="s">
        <v>597</v>
      </c>
      <c r="S1787" s="2" t="s">
        <v>30</v>
      </c>
      <c r="T1787">
        <v>2289</v>
      </c>
      <c r="U1787">
        <f>VLOOKUP(Auto_Sales_data___Copy[[#This Row],[CUSTOMER_NAME]],$AF$2:$AH$90,2,FALSE)</f>
        <v>48</v>
      </c>
      <c r="V1787">
        <f>VLOOKUP(Auto_Sales_data___Copy[[#This Row],[CUSTOMER_NAME]],$AF$2:$AH$90,3,FALSE)</f>
        <v>137955.72</v>
      </c>
      <c r="W1787" s="2">
        <f>6-MATCH(Auto_Sales_data___Copy[[#This Row],[DAYS_SINCE_LAST_ORDER]],Table2[R-Cutoff],1)</f>
        <v>2</v>
      </c>
      <c r="X1787" s="2">
        <f>MATCH(Auto_Sales_data___Copy[[#This Row],[Total_Orders_Per_Customer]],Table2[F-Cutoff],1)</f>
        <v>4</v>
      </c>
      <c r="Y1787" s="2">
        <f>MATCH(Auto_Sales_data___Copy[[#This Row],[Total_Sales_Per_Customer]],Table2[M-Cutoff],1)</f>
        <v>4</v>
      </c>
      <c r="Z1787" s="2" t="str">
        <f>Auto_Sales_data___Copy[[#This Row],[R-Score(1-5)]]&amp;Auto_Sales_data___Copy[[#This Row],[F-Score(1-5)]]&amp;Auto_Sales_data___Copy[[#This Row],[M-Score(1-5)]]</f>
        <v>244</v>
      </c>
      <c r="AA1787" s="2" t="str" cm="1">
        <f t="array" ref="AA17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7" s="2" t="str">
        <f>VLOOKUP(Auto_Sales_data___Copy[[#This Row],[Segment Name]],Table3[],2,FALSE)</f>
        <v>High-Touch  Win-Back</v>
      </c>
    </row>
    <row r="1788" spans="1:28" x14ac:dyDescent="0.25">
      <c r="A1788">
        <v>10173</v>
      </c>
      <c r="B1788">
        <v>35</v>
      </c>
      <c r="C1788">
        <v>33.229999999999997</v>
      </c>
      <c r="D1788">
        <v>11</v>
      </c>
      <c r="E1788">
        <v>1163.05</v>
      </c>
      <c r="F1788" s="1">
        <v>43409</v>
      </c>
      <c r="G1788" s="2" t="s">
        <v>19</v>
      </c>
      <c r="H1788" s="2" t="s">
        <v>589</v>
      </c>
      <c r="I1788">
        <v>41</v>
      </c>
      <c r="J1788" s="2" t="s">
        <v>689</v>
      </c>
      <c r="K1788" s="2" t="s">
        <v>591</v>
      </c>
      <c r="L1788" s="2" t="s">
        <v>592</v>
      </c>
      <c r="M1788" s="2" t="s">
        <v>593</v>
      </c>
      <c r="N1788" s="2" t="s">
        <v>594</v>
      </c>
      <c r="O1788" s="2" t="s">
        <v>595</v>
      </c>
      <c r="P1788" s="2" t="s">
        <v>269</v>
      </c>
      <c r="Q1788" s="2" t="s">
        <v>596</v>
      </c>
      <c r="R1788" s="2" t="s">
        <v>597</v>
      </c>
      <c r="S1788" s="2" t="s">
        <v>30</v>
      </c>
      <c r="T1788">
        <v>2537</v>
      </c>
      <c r="U1788">
        <f>VLOOKUP(Auto_Sales_data___Copy[[#This Row],[CUSTOMER_NAME]],$AF$2:$AH$90,2,FALSE)</f>
        <v>48</v>
      </c>
      <c r="V1788">
        <f>VLOOKUP(Auto_Sales_data___Copy[[#This Row],[CUSTOMER_NAME]],$AF$2:$AH$90,3,FALSE)</f>
        <v>137955.72</v>
      </c>
      <c r="W1788" s="2">
        <f>6-MATCH(Auto_Sales_data___Copy[[#This Row],[DAYS_SINCE_LAST_ORDER]],Table2[R-Cutoff],1)</f>
        <v>2</v>
      </c>
      <c r="X1788" s="2">
        <f>MATCH(Auto_Sales_data___Copy[[#This Row],[Total_Orders_Per_Customer]],Table2[F-Cutoff],1)</f>
        <v>4</v>
      </c>
      <c r="Y1788" s="2">
        <f>MATCH(Auto_Sales_data___Copy[[#This Row],[Total_Sales_Per_Customer]],Table2[M-Cutoff],1)</f>
        <v>4</v>
      </c>
      <c r="Z1788" s="2" t="str">
        <f>Auto_Sales_data___Copy[[#This Row],[R-Score(1-5)]]&amp;Auto_Sales_data___Copy[[#This Row],[F-Score(1-5)]]&amp;Auto_Sales_data___Copy[[#This Row],[M-Score(1-5)]]</f>
        <v>244</v>
      </c>
      <c r="AA1788" s="2" t="str" cm="1">
        <f t="array" ref="AA17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8" s="2" t="str">
        <f>VLOOKUP(Auto_Sales_data___Copy[[#This Row],[Segment Name]],Table3[],2,FALSE)</f>
        <v>High-Touch  Win-Back</v>
      </c>
    </row>
    <row r="1789" spans="1:28" x14ac:dyDescent="0.25">
      <c r="A1789">
        <v>10176</v>
      </c>
      <c r="B1789">
        <v>29</v>
      </c>
      <c r="C1789">
        <v>100.54</v>
      </c>
      <c r="D1789">
        <v>7</v>
      </c>
      <c r="E1789">
        <v>2915.66</v>
      </c>
      <c r="F1789" s="1">
        <v>43410</v>
      </c>
      <c r="G1789" s="2" t="s">
        <v>19</v>
      </c>
      <c r="H1789" s="2" t="s">
        <v>183</v>
      </c>
      <c r="I1789">
        <v>118</v>
      </c>
      <c r="J1789" s="2" t="s">
        <v>690</v>
      </c>
      <c r="K1789" s="2" t="s">
        <v>480</v>
      </c>
      <c r="L1789" s="2" t="s">
        <v>481</v>
      </c>
      <c r="M1789" s="2" t="s">
        <v>482</v>
      </c>
      <c r="N1789" s="2" t="s">
        <v>483</v>
      </c>
      <c r="O1789" s="2" t="s">
        <v>484</v>
      </c>
      <c r="P1789" s="2" t="s">
        <v>269</v>
      </c>
      <c r="Q1789" s="2" t="s">
        <v>485</v>
      </c>
      <c r="R1789" s="2" t="s">
        <v>486</v>
      </c>
      <c r="S1789" s="2" t="s">
        <v>30</v>
      </c>
      <c r="T1789">
        <v>2559</v>
      </c>
      <c r="U1789">
        <f>VLOOKUP(Auto_Sales_data___Copy[[#This Row],[CUSTOMER_NAME]],$AF$2:$AH$90,2,FALSE)</f>
        <v>39</v>
      </c>
      <c r="V1789">
        <f>VLOOKUP(Auto_Sales_data___Copy[[#This Row],[CUSTOMER_NAME]],$AF$2:$AH$90,3,FALSE)</f>
        <v>142601.33000000002</v>
      </c>
      <c r="W1789" s="2">
        <f>6-MATCH(Auto_Sales_data___Copy[[#This Row],[DAYS_SINCE_LAST_ORDER]],Table2[R-Cutoff],1)</f>
        <v>2</v>
      </c>
      <c r="X1789" s="2">
        <f>MATCH(Auto_Sales_data___Copy[[#This Row],[Total_Orders_Per_Customer]],Table2[F-Cutoff],1)</f>
        <v>4</v>
      </c>
      <c r="Y1789" s="2">
        <f>MATCH(Auto_Sales_data___Copy[[#This Row],[Total_Sales_Per_Customer]],Table2[M-Cutoff],1)</f>
        <v>4</v>
      </c>
      <c r="Z1789" s="2" t="str">
        <f>Auto_Sales_data___Copy[[#This Row],[R-Score(1-5)]]&amp;Auto_Sales_data___Copy[[#This Row],[F-Score(1-5)]]&amp;Auto_Sales_data___Copy[[#This Row],[M-Score(1-5)]]</f>
        <v>244</v>
      </c>
      <c r="AA1789" s="2" t="str" cm="1">
        <f t="array" ref="AA17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9" s="2" t="str">
        <f>VLOOKUP(Auto_Sales_data___Copy[[#This Row],[Segment Name]],Table3[],2,FALSE)</f>
        <v>High-Touch  Win-Back</v>
      </c>
    </row>
    <row r="1790" spans="1:28" x14ac:dyDescent="0.25">
      <c r="A1790">
        <v>10182</v>
      </c>
      <c r="B1790">
        <v>39</v>
      </c>
      <c r="C1790">
        <v>36.840000000000003</v>
      </c>
      <c r="D1790">
        <v>6</v>
      </c>
      <c r="E1790">
        <v>1436.76</v>
      </c>
      <c r="F1790" s="1">
        <v>43416</v>
      </c>
      <c r="G1790" s="2" t="s">
        <v>19</v>
      </c>
      <c r="H1790" s="2" t="s">
        <v>589</v>
      </c>
      <c r="I1790">
        <v>33</v>
      </c>
      <c r="J1790" s="2" t="s">
        <v>670</v>
      </c>
      <c r="K1790" s="2" t="s">
        <v>284</v>
      </c>
      <c r="L1790" s="2" t="s">
        <v>285</v>
      </c>
      <c r="M1790" s="2" t="s">
        <v>286</v>
      </c>
      <c r="N1790" s="2" t="s">
        <v>287</v>
      </c>
      <c r="O1790" s="2" t="s">
        <v>106</v>
      </c>
      <c r="P1790" s="2" t="s">
        <v>27</v>
      </c>
      <c r="Q1790" s="2" t="s">
        <v>288</v>
      </c>
      <c r="R1790" s="2" t="s">
        <v>289</v>
      </c>
      <c r="S1790" s="2" t="s">
        <v>30</v>
      </c>
      <c r="T1790">
        <v>2058</v>
      </c>
      <c r="U1790">
        <f>VLOOKUP(Auto_Sales_data___Copy[[#This Row],[CUSTOMER_NAME]],$AF$2:$AH$90,2,FALSE)</f>
        <v>180</v>
      </c>
      <c r="V1790">
        <f>VLOOKUP(Auto_Sales_data___Copy[[#This Row],[CUSTOMER_NAME]],$AF$2:$AH$90,3,FALSE)</f>
        <v>654858.06000000017</v>
      </c>
      <c r="W1790" s="2">
        <f>6-MATCH(Auto_Sales_data___Copy[[#This Row],[DAYS_SINCE_LAST_ORDER]],Table2[R-Cutoff],1)</f>
        <v>2</v>
      </c>
      <c r="X1790" s="2">
        <f>MATCH(Auto_Sales_data___Copy[[#This Row],[Total_Orders_Per_Customer]],Table2[F-Cutoff],1)</f>
        <v>4</v>
      </c>
      <c r="Y1790" s="2">
        <f>MATCH(Auto_Sales_data___Copy[[#This Row],[Total_Sales_Per_Customer]],Table2[M-Cutoff],1)</f>
        <v>4</v>
      </c>
      <c r="Z1790" s="2" t="str">
        <f>Auto_Sales_data___Copy[[#This Row],[R-Score(1-5)]]&amp;Auto_Sales_data___Copy[[#This Row],[F-Score(1-5)]]&amp;Auto_Sales_data___Copy[[#This Row],[M-Score(1-5)]]</f>
        <v>244</v>
      </c>
      <c r="AA1790" s="2" t="str" cm="1">
        <f t="array" ref="AA17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0" s="2" t="str">
        <f>VLOOKUP(Auto_Sales_data___Copy[[#This Row],[Segment Name]],Table3[],2,FALSE)</f>
        <v>High-Touch  Win-Back</v>
      </c>
    </row>
    <row r="1791" spans="1:28" x14ac:dyDescent="0.25">
      <c r="A1791">
        <v>10182</v>
      </c>
      <c r="B1791">
        <v>31</v>
      </c>
      <c r="C1791">
        <v>36.74</v>
      </c>
      <c r="D1791">
        <v>5</v>
      </c>
      <c r="E1791">
        <v>1138.94</v>
      </c>
      <c r="F1791" s="1">
        <v>43416</v>
      </c>
      <c r="G1791" s="2" t="s">
        <v>19</v>
      </c>
      <c r="H1791" s="2" t="s">
        <v>589</v>
      </c>
      <c r="I1791">
        <v>44</v>
      </c>
      <c r="J1791" s="2" t="s">
        <v>673</v>
      </c>
      <c r="K1791" s="2" t="s">
        <v>284</v>
      </c>
      <c r="L1791" s="2" t="s">
        <v>285</v>
      </c>
      <c r="M1791" s="2" t="s">
        <v>286</v>
      </c>
      <c r="N1791" s="2" t="s">
        <v>287</v>
      </c>
      <c r="O1791" s="2" t="s">
        <v>106</v>
      </c>
      <c r="P1791" s="2" t="s">
        <v>27</v>
      </c>
      <c r="Q1791" s="2" t="s">
        <v>288</v>
      </c>
      <c r="R1791" s="2" t="s">
        <v>289</v>
      </c>
      <c r="S1791" s="2" t="s">
        <v>30</v>
      </c>
      <c r="T1791">
        <v>2132</v>
      </c>
      <c r="U1791">
        <f>VLOOKUP(Auto_Sales_data___Copy[[#This Row],[CUSTOMER_NAME]],$AF$2:$AH$90,2,FALSE)</f>
        <v>180</v>
      </c>
      <c r="V1791">
        <f>VLOOKUP(Auto_Sales_data___Copy[[#This Row],[CUSTOMER_NAME]],$AF$2:$AH$90,3,FALSE)</f>
        <v>654858.06000000017</v>
      </c>
      <c r="W1791" s="2">
        <f>6-MATCH(Auto_Sales_data___Copy[[#This Row],[DAYS_SINCE_LAST_ORDER]],Table2[R-Cutoff],1)</f>
        <v>2</v>
      </c>
      <c r="X1791" s="2">
        <f>MATCH(Auto_Sales_data___Copy[[#This Row],[Total_Orders_Per_Customer]],Table2[F-Cutoff],1)</f>
        <v>4</v>
      </c>
      <c r="Y1791" s="2">
        <f>MATCH(Auto_Sales_data___Copy[[#This Row],[Total_Sales_Per_Customer]],Table2[M-Cutoff],1)</f>
        <v>4</v>
      </c>
      <c r="Z1791" s="2" t="str">
        <f>Auto_Sales_data___Copy[[#This Row],[R-Score(1-5)]]&amp;Auto_Sales_data___Copy[[#This Row],[F-Score(1-5)]]&amp;Auto_Sales_data___Copy[[#This Row],[M-Score(1-5)]]</f>
        <v>244</v>
      </c>
      <c r="AA1791" s="2" t="str" cm="1">
        <f t="array" ref="AA17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1" s="2" t="str">
        <f>VLOOKUP(Auto_Sales_data___Copy[[#This Row],[Segment Name]],Table3[],2,FALSE)</f>
        <v>High-Touch  Win-Back</v>
      </c>
    </row>
    <row r="1792" spans="1:28" x14ac:dyDescent="0.25">
      <c r="A1792">
        <v>10182</v>
      </c>
      <c r="B1792">
        <v>36</v>
      </c>
      <c r="C1792">
        <v>73.599999999999994</v>
      </c>
      <c r="D1792">
        <v>14</v>
      </c>
      <c r="E1792">
        <v>2649.6</v>
      </c>
      <c r="F1792" s="1">
        <v>43416</v>
      </c>
      <c r="G1792" s="2" t="s">
        <v>19</v>
      </c>
      <c r="H1792" s="2" t="s">
        <v>183</v>
      </c>
      <c r="I1792">
        <v>90</v>
      </c>
      <c r="J1792" s="2" t="s">
        <v>676</v>
      </c>
      <c r="K1792" s="2" t="s">
        <v>284</v>
      </c>
      <c r="L1792" s="2" t="s">
        <v>285</v>
      </c>
      <c r="M1792" s="2" t="s">
        <v>286</v>
      </c>
      <c r="N1792" s="2" t="s">
        <v>287</v>
      </c>
      <c r="O1792" s="2" t="s">
        <v>106</v>
      </c>
      <c r="P1792" s="2" t="s">
        <v>27</v>
      </c>
      <c r="Q1792" s="2" t="s">
        <v>288</v>
      </c>
      <c r="R1792" s="2" t="s">
        <v>289</v>
      </c>
      <c r="S1792" s="2" t="s">
        <v>30</v>
      </c>
      <c r="T1792">
        <v>2207</v>
      </c>
      <c r="U1792">
        <f>VLOOKUP(Auto_Sales_data___Copy[[#This Row],[CUSTOMER_NAME]],$AF$2:$AH$90,2,FALSE)</f>
        <v>180</v>
      </c>
      <c r="V1792">
        <f>VLOOKUP(Auto_Sales_data___Copy[[#This Row],[CUSTOMER_NAME]],$AF$2:$AH$90,3,FALSE)</f>
        <v>654858.06000000017</v>
      </c>
      <c r="W1792" s="2">
        <f>6-MATCH(Auto_Sales_data___Copy[[#This Row],[DAYS_SINCE_LAST_ORDER]],Table2[R-Cutoff],1)</f>
        <v>2</v>
      </c>
      <c r="X1792" s="2">
        <f>MATCH(Auto_Sales_data___Copy[[#This Row],[Total_Orders_Per_Customer]],Table2[F-Cutoff],1)</f>
        <v>4</v>
      </c>
      <c r="Y1792" s="2">
        <f>MATCH(Auto_Sales_data___Copy[[#This Row],[Total_Sales_Per_Customer]],Table2[M-Cutoff],1)</f>
        <v>4</v>
      </c>
      <c r="Z1792" s="2" t="str">
        <f>Auto_Sales_data___Copy[[#This Row],[R-Score(1-5)]]&amp;Auto_Sales_data___Copy[[#This Row],[F-Score(1-5)]]&amp;Auto_Sales_data___Copy[[#This Row],[M-Score(1-5)]]</f>
        <v>244</v>
      </c>
      <c r="AA1792" s="2" t="str" cm="1">
        <f t="array" ref="AA17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2" s="2" t="str">
        <f>VLOOKUP(Auto_Sales_data___Copy[[#This Row],[Segment Name]],Table3[],2,FALSE)</f>
        <v>High-Touch  Win-Back</v>
      </c>
    </row>
    <row r="1793" spans="1:28" x14ac:dyDescent="0.25">
      <c r="A1793">
        <v>10182</v>
      </c>
      <c r="B1793">
        <v>20</v>
      </c>
      <c r="C1793">
        <v>119.79</v>
      </c>
      <c r="D1793">
        <v>13</v>
      </c>
      <c r="E1793">
        <v>2395.8000000000002</v>
      </c>
      <c r="F1793" s="1">
        <v>43416</v>
      </c>
      <c r="G1793" s="2" t="s">
        <v>19</v>
      </c>
      <c r="H1793" s="2" t="s">
        <v>183</v>
      </c>
      <c r="I1793">
        <v>117</v>
      </c>
      <c r="J1793" s="2" t="s">
        <v>679</v>
      </c>
      <c r="K1793" s="2" t="s">
        <v>284</v>
      </c>
      <c r="L1793" s="2" t="s">
        <v>285</v>
      </c>
      <c r="M1793" s="2" t="s">
        <v>286</v>
      </c>
      <c r="N1793" s="2" t="s">
        <v>287</v>
      </c>
      <c r="O1793" s="2" t="s">
        <v>106</v>
      </c>
      <c r="P1793" s="2" t="s">
        <v>27</v>
      </c>
      <c r="Q1793" s="2" t="s">
        <v>288</v>
      </c>
      <c r="R1793" s="2" t="s">
        <v>289</v>
      </c>
      <c r="S1793" s="2" t="s">
        <v>30</v>
      </c>
      <c r="T1793">
        <v>2283</v>
      </c>
      <c r="U1793">
        <f>VLOOKUP(Auto_Sales_data___Copy[[#This Row],[CUSTOMER_NAME]],$AF$2:$AH$90,2,FALSE)</f>
        <v>180</v>
      </c>
      <c r="V1793">
        <f>VLOOKUP(Auto_Sales_data___Copy[[#This Row],[CUSTOMER_NAME]],$AF$2:$AH$90,3,FALSE)</f>
        <v>654858.06000000017</v>
      </c>
      <c r="W1793" s="2">
        <f>6-MATCH(Auto_Sales_data___Copy[[#This Row],[DAYS_SINCE_LAST_ORDER]],Table2[R-Cutoff],1)</f>
        <v>2</v>
      </c>
      <c r="X1793" s="2">
        <f>MATCH(Auto_Sales_data___Copy[[#This Row],[Total_Orders_Per_Customer]],Table2[F-Cutoff],1)</f>
        <v>4</v>
      </c>
      <c r="Y1793" s="2">
        <f>MATCH(Auto_Sales_data___Copy[[#This Row],[Total_Sales_Per_Customer]],Table2[M-Cutoff],1)</f>
        <v>4</v>
      </c>
      <c r="Z1793" s="2" t="str">
        <f>Auto_Sales_data___Copy[[#This Row],[R-Score(1-5)]]&amp;Auto_Sales_data___Copy[[#This Row],[F-Score(1-5)]]&amp;Auto_Sales_data___Copy[[#This Row],[M-Score(1-5)]]</f>
        <v>244</v>
      </c>
      <c r="AA1793" s="2" t="str" cm="1">
        <f t="array" ref="AA17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3" s="2" t="str">
        <f>VLOOKUP(Auto_Sales_data___Copy[[#This Row],[Segment Name]],Table3[],2,FALSE)</f>
        <v>High-Touch  Win-Back</v>
      </c>
    </row>
    <row r="1794" spans="1:28" x14ac:dyDescent="0.25">
      <c r="A1794">
        <v>10181</v>
      </c>
      <c r="B1794">
        <v>37</v>
      </c>
      <c r="C1794">
        <v>42.67</v>
      </c>
      <c r="D1794">
        <v>8</v>
      </c>
      <c r="E1794">
        <v>1578.79</v>
      </c>
      <c r="F1794" s="1">
        <v>43416</v>
      </c>
      <c r="G1794" s="2" t="s">
        <v>19</v>
      </c>
      <c r="H1794" s="2" t="s">
        <v>183</v>
      </c>
      <c r="I1794">
        <v>37</v>
      </c>
      <c r="J1794" s="2" t="s">
        <v>680</v>
      </c>
      <c r="K1794" s="2" t="s">
        <v>68</v>
      </c>
      <c r="L1794" s="2" t="s">
        <v>69</v>
      </c>
      <c r="M1794" s="2" t="s">
        <v>70</v>
      </c>
      <c r="N1794" s="2" t="s">
        <v>71</v>
      </c>
      <c r="O1794" s="2" t="s">
        <v>72</v>
      </c>
      <c r="P1794" s="2" t="s">
        <v>73</v>
      </c>
      <c r="Q1794" s="2" t="s">
        <v>74</v>
      </c>
      <c r="R1794" s="2" t="s">
        <v>75</v>
      </c>
      <c r="S1794" s="2" t="s">
        <v>30</v>
      </c>
      <c r="T1794">
        <v>2305</v>
      </c>
      <c r="U1794">
        <f>VLOOKUP(Auto_Sales_data___Copy[[#This Row],[CUSTOMER_NAME]],$AF$2:$AH$90,2,FALSE)</f>
        <v>29</v>
      </c>
      <c r="V1794">
        <f>VLOOKUP(Auto_Sales_data___Copy[[#This Row],[CUSTOMER_NAME]],$AF$2:$AH$90,3,FALSE)</f>
        <v>111640.28</v>
      </c>
      <c r="W1794" s="2">
        <f>6-MATCH(Auto_Sales_data___Copy[[#This Row],[DAYS_SINCE_LAST_ORDER]],Table2[R-Cutoff],1)</f>
        <v>2</v>
      </c>
      <c r="X1794" s="2">
        <f>MATCH(Auto_Sales_data___Copy[[#This Row],[Total_Orders_Per_Customer]],Table2[F-Cutoff],1)</f>
        <v>4</v>
      </c>
      <c r="Y1794" s="2">
        <f>MATCH(Auto_Sales_data___Copy[[#This Row],[Total_Sales_Per_Customer]],Table2[M-Cutoff],1)</f>
        <v>4</v>
      </c>
      <c r="Z1794" s="2" t="str">
        <f>Auto_Sales_data___Copy[[#This Row],[R-Score(1-5)]]&amp;Auto_Sales_data___Copy[[#This Row],[F-Score(1-5)]]&amp;Auto_Sales_data___Copy[[#This Row],[M-Score(1-5)]]</f>
        <v>244</v>
      </c>
      <c r="AA1794" s="2" t="str" cm="1">
        <f t="array" ref="AA17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4" s="2" t="str">
        <f>VLOOKUP(Auto_Sales_data___Copy[[#This Row],[Segment Name]],Table3[],2,FALSE)</f>
        <v>High-Touch  Win-Back</v>
      </c>
    </row>
    <row r="1795" spans="1:28" x14ac:dyDescent="0.25">
      <c r="A1795">
        <v>10182</v>
      </c>
      <c r="B1795">
        <v>33</v>
      </c>
      <c r="C1795">
        <v>94.17</v>
      </c>
      <c r="D1795">
        <v>15</v>
      </c>
      <c r="E1795">
        <v>3107.61</v>
      </c>
      <c r="F1795" s="1">
        <v>43416</v>
      </c>
      <c r="G1795" s="2" t="s">
        <v>19</v>
      </c>
      <c r="H1795" s="2" t="s">
        <v>183</v>
      </c>
      <c r="I1795">
        <v>85</v>
      </c>
      <c r="J1795" s="2" t="s">
        <v>682</v>
      </c>
      <c r="K1795" s="2" t="s">
        <v>284</v>
      </c>
      <c r="L1795" s="2" t="s">
        <v>285</v>
      </c>
      <c r="M1795" s="2" t="s">
        <v>286</v>
      </c>
      <c r="N1795" s="2" t="s">
        <v>287</v>
      </c>
      <c r="O1795" s="2" t="s">
        <v>106</v>
      </c>
      <c r="P1795" s="2" t="s">
        <v>27</v>
      </c>
      <c r="Q1795" s="2" t="s">
        <v>288</v>
      </c>
      <c r="R1795" s="2" t="s">
        <v>289</v>
      </c>
      <c r="S1795" s="2" t="s">
        <v>46</v>
      </c>
      <c r="T1795">
        <v>2356</v>
      </c>
      <c r="U1795">
        <f>VLOOKUP(Auto_Sales_data___Copy[[#This Row],[CUSTOMER_NAME]],$AF$2:$AH$90,2,FALSE)</f>
        <v>180</v>
      </c>
      <c r="V1795">
        <f>VLOOKUP(Auto_Sales_data___Copy[[#This Row],[CUSTOMER_NAME]],$AF$2:$AH$90,3,FALSE)</f>
        <v>654858.06000000017</v>
      </c>
      <c r="W1795" s="2">
        <f>6-MATCH(Auto_Sales_data___Copy[[#This Row],[DAYS_SINCE_LAST_ORDER]],Table2[R-Cutoff],1)</f>
        <v>2</v>
      </c>
      <c r="X1795" s="2">
        <f>MATCH(Auto_Sales_data___Copy[[#This Row],[Total_Orders_Per_Customer]],Table2[F-Cutoff],1)</f>
        <v>4</v>
      </c>
      <c r="Y1795" s="2">
        <f>MATCH(Auto_Sales_data___Copy[[#This Row],[Total_Sales_Per_Customer]],Table2[M-Cutoff],1)</f>
        <v>4</v>
      </c>
      <c r="Z1795" s="2" t="str">
        <f>Auto_Sales_data___Copy[[#This Row],[R-Score(1-5)]]&amp;Auto_Sales_data___Copy[[#This Row],[F-Score(1-5)]]&amp;Auto_Sales_data___Copy[[#This Row],[M-Score(1-5)]]</f>
        <v>244</v>
      </c>
      <c r="AA1795" s="2" t="str" cm="1">
        <f t="array" ref="AA17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5" s="2" t="str">
        <f>VLOOKUP(Auto_Sales_data___Copy[[#This Row],[Segment Name]],Table3[],2,FALSE)</f>
        <v>High-Touch  Win-Back</v>
      </c>
    </row>
    <row r="1796" spans="1:28" x14ac:dyDescent="0.25">
      <c r="A1796">
        <v>10181</v>
      </c>
      <c r="B1796">
        <v>23</v>
      </c>
      <c r="C1796">
        <v>65.52</v>
      </c>
      <c r="D1796">
        <v>13</v>
      </c>
      <c r="E1796">
        <v>1506.96</v>
      </c>
      <c r="F1796" s="1">
        <v>43416</v>
      </c>
      <c r="G1796" s="2" t="s">
        <v>19</v>
      </c>
      <c r="H1796" s="2" t="s">
        <v>183</v>
      </c>
      <c r="I1796">
        <v>61</v>
      </c>
      <c r="J1796" s="2" t="s">
        <v>683</v>
      </c>
      <c r="K1796" s="2" t="s">
        <v>68</v>
      </c>
      <c r="L1796" s="2" t="s">
        <v>69</v>
      </c>
      <c r="M1796" s="2" t="s">
        <v>70</v>
      </c>
      <c r="N1796" s="2" t="s">
        <v>71</v>
      </c>
      <c r="O1796" s="2" t="s">
        <v>72</v>
      </c>
      <c r="P1796" s="2" t="s">
        <v>73</v>
      </c>
      <c r="Q1796" s="2" t="s">
        <v>74</v>
      </c>
      <c r="R1796" s="2" t="s">
        <v>75</v>
      </c>
      <c r="S1796" s="2" t="s">
        <v>30</v>
      </c>
      <c r="T1796">
        <v>2379</v>
      </c>
      <c r="U1796">
        <f>VLOOKUP(Auto_Sales_data___Copy[[#This Row],[CUSTOMER_NAME]],$AF$2:$AH$90,2,FALSE)</f>
        <v>29</v>
      </c>
      <c r="V1796">
        <f>VLOOKUP(Auto_Sales_data___Copy[[#This Row],[CUSTOMER_NAME]],$AF$2:$AH$90,3,FALSE)</f>
        <v>111640.28</v>
      </c>
      <c r="W1796" s="2">
        <f>6-MATCH(Auto_Sales_data___Copy[[#This Row],[DAYS_SINCE_LAST_ORDER]],Table2[R-Cutoff],1)</f>
        <v>2</v>
      </c>
      <c r="X1796" s="2">
        <f>MATCH(Auto_Sales_data___Copy[[#This Row],[Total_Orders_Per_Customer]],Table2[F-Cutoff],1)</f>
        <v>4</v>
      </c>
      <c r="Y1796" s="2">
        <f>MATCH(Auto_Sales_data___Copy[[#This Row],[Total_Sales_Per_Customer]],Table2[M-Cutoff],1)</f>
        <v>4</v>
      </c>
      <c r="Z1796" s="2" t="str">
        <f>Auto_Sales_data___Copy[[#This Row],[R-Score(1-5)]]&amp;Auto_Sales_data___Copy[[#This Row],[F-Score(1-5)]]&amp;Auto_Sales_data___Copy[[#This Row],[M-Score(1-5)]]</f>
        <v>244</v>
      </c>
      <c r="AA1796" s="2" t="str" cm="1">
        <f t="array" ref="AA17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6" s="2" t="str">
        <f>VLOOKUP(Auto_Sales_data___Copy[[#This Row],[Segment Name]],Table3[],2,FALSE)</f>
        <v>High-Touch  Win-Back</v>
      </c>
    </row>
    <row r="1797" spans="1:28" x14ac:dyDescent="0.25">
      <c r="A1797">
        <v>10182</v>
      </c>
      <c r="B1797">
        <v>49</v>
      </c>
      <c r="C1797">
        <v>127.43</v>
      </c>
      <c r="D1797">
        <v>17</v>
      </c>
      <c r="E1797">
        <v>6244.07</v>
      </c>
      <c r="F1797" s="1">
        <v>43416</v>
      </c>
      <c r="G1797" s="2" t="s">
        <v>19</v>
      </c>
      <c r="H1797" s="2" t="s">
        <v>183</v>
      </c>
      <c r="I1797">
        <v>107</v>
      </c>
      <c r="J1797" s="2" t="s">
        <v>685</v>
      </c>
      <c r="K1797" s="2" t="s">
        <v>284</v>
      </c>
      <c r="L1797" s="2" t="s">
        <v>285</v>
      </c>
      <c r="M1797" s="2" t="s">
        <v>286</v>
      </c>
      <c r="N1797" s="2" t="s">
        <v>287</v>
      </c>
      <c r="O1797" s="2" t="s">
        <v>106</v>
      </c>
      <c r="P1797" s="2" t="s">
        <v>27</v>
      </c>
      <c r="Q1797" s="2" t="s">
        <v>288</v>
      </c>
      <c r="R1797" s="2" t="s">
        <v>289</v>
      </c>
      <c r="S1797" s="2" t="s">
        <v>46</v>
      </c>
      <c r="T1797">
        <v>2430</v>
      </c>
      <c r="U1797">
        <f>VLOOKUP(Auto_Sales_data___Copy[[#This Row],[CUSTOMER_NAME]],$AF$2:$AH$90,2,FALSE)</f>
        <v>180</v>
      </c>
      <c r="V1797">
        <f>VLOOKUP(Auto_Sales_data___Copy[[#This Row],[CUSTOMER_NAME]],$AF$2:$AH$90,3,FALSE)</f>
        <v>654858.06000000017</v>
      </c>
      <c r="W1797" s="2">
        <f>6-MATCH(Auto_Sales_data___Copy[[#This Row],[DAYS_SINCE_LAST_ORDER]],Table2[R-Cutoff],1)</f>
        <v>2</v>
      </c>
      <c r="X1797" s="2">
        <f>MATCH(Auto_Sales_data___Copy[[#This Row],[Total_Orders_Per_Customer]],Table2[F-Cutoff],1)</f>
        <v>4</v>
      </c>
      <c r="Y1797" s="2">
        <f>MATCH(Auto_Sales_data___Copy[[#This Row],[Total_Sales_Per_Customer]],Table2[M-Cutoff],1)</f>
        <v>4</v>
      </c>
      <c r="Z1797" s="2" t="str">
        <f>Auto_Sales_data___Copy[[#This Row],[R-Score(1-5)]]&amp;Auto_Sales_data___Copy[[#This Row],[F-Score(1-5)]]&amp;Auto_Sales_data___Copy[[#This Row],[M-Score(1-5)]]</f>
        <v>244</v>
      </c>
      <c r="AA1797" s="2" t="str" cm="1">
        <f t="array" ref="AA17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7" s="2" t="str">
        <f>VLOOKUP(Auto_Sales_data___Copy[[#This Row],[Segment Name]],Table3[],2,FALSE)</f>
        <v>High-Touch  Win-Back</v>
      </c>
    </row>
    <row r="1798" spans="1:28" x14ac:dyDescent="0.25">
      <c r="A1798">
        <v>10181</v>
      </c>
      <c r="B1798">
        <v>25</v>
      </c>
      <c r="C1798">
        <v>154.47</v>
      </c>
      <c r="D1798">
        <v>9</v>
      </c>
      <c r="E1798">
        <v>3861.75</v>
      </c>
      <c r="F1798" s="1">
        <v>43416</v>
      </c>
      <c r="G1798" s="2" t="s">
        <v>19</v>
      </c>
      <c r="H1798" s="2" t="s">
        <v>183</v>
      </c>
      <c r="I1798">
        <v>140</v>
      </c>
      <c r="J1798" s="2" t="s">
        <v>687</v>
      </c>
      <c r="K1798" s="2" t="s">
        <v>68</v>
      </c>
      <c r="L1798" s="2" t="s">
        <v>69</v>
      </c>
      <c r="M1798" s="2" t="s">
        <v>70</v>
      </c>
      <c r="N1798" s="2" t="s">
        <v>71</v>
      </c>
      <c r="O1798" s="2" t="s">
        <v>72</v>
      </c>
      <c r="P1798" s="2" t="s">
        <v>73</v>
      </c>
      <c r="Q1798" s="2" t="s">
        <v>74</v>
      </c>
      <c r="R1798" s="2" t="s">
        <v>75</v>
      </c>
      <c r="S1798" s="2" t="s">
        <v>46</v>
      </c>
      <c r="T1798">
        <v>2478</v>
      </c>
      <c r="U1798">
        <f>VLOOKUP(Auto_Sales_data___Copy[[#This Row],[CUSTOMER_NAME]],$AF$2:$AH$90,2,FALSE)</f>
        <v>29</v>
      </c>
      <c r="V1798">
        <f>VLOOKUP(Auto_Sales_data___Copy[[#This Row],[CUSTOMER_NAME]],$AF$2:$AH$90,3,FALSE)</f>
        <v>111640.28</v>
      </c>
      <c r="W1798" s="2">
        <f>6-MATCH(Auto_Sales_data___Copy[[#This Row],[DAYS_SINCE_LAST_ORDER]],Table2[R-Cutoff],1)</f>
        <v>2</v>
      </c>
      <c r="X1798" s="2">
        <f>MATCH(Auto_Sales_data___Copy[[#This Row],[Total_Orders_Per_Customer]],Table2[F-Cutoff],1)</f>
        <v>4</v>
      </c>
      <c r="Y1798" s="2">
        <f>MATCH(Auto_Sales_data___Copy[[#This Row],[Total_Sales_Per_Customer]],Table2[M-Cutoff],1)</f>
        <v>4</v>
      </c>
      <c r="Z1798" s="2" t="str">
        <f>Auto_Sales_data___Copy[[#This Row],[R-Score(1-5)]]&amp;Auto_Sales_data___Copy[[#This Row],[F-Score(1-5)]]&amp;Auto_Sales_data___Copy[[#This Row],[M-Score(1-5)]]</f>
        <v>244</v>
      </c>
      <c r="AA1798" s="2" t="str" cm="1">
        <f t="array" ref="AA17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8" s="2" t="str">
        <f>VLOOKUP(Auto_Sales_data___Copy[[#This Row],[Segment Name]],Table3[],2,FALSE)</f>
        <v>High-Touch  Win-Back</v>
      </c>
    </row>
    <row r="1799" spans="1:28" x14ac:dyDescent="0.25">
      <c r="A1799">
        <v>10182</v>
      </c>
      <c r="B1799">
        <v>23</v>
      </c>
      <c r="C1799">
        <v>42.26</v>
      </c>
      <c r="D1799">
        <v>8</v>
      </c>
      <c r="E1799">
        <v>971.98</v>
      </c>
      <c r="F1799" s="1">
        <v>43416</v>
      </c>
      <c r="G1799" s="2" t="s">
        <v>19</v>
      </c>
      <c r="H1799" s="2" t="s">
        <v>589</v>
      </c>
      <c r="I1799">
        <v>41</v>
      </c>
      <c r="J1799" s="2" t="s">
        <v>689</v>
      </c>
      <c r="K1799" s="2" t="s">
        <v>284</v>
      </c>
      <c r="L1799" s="2" t="s">
        <v>285</v>
      </c>
      <c r="M1799" s="2" t="s">
        <v>286</v>
      </c>
      <c r="N1799" s="2" t="s">
        <v>287</v>
      </c>
      <c r="O1799" s="2" t="s">
        <v>106</v>
      </c>
      <c r="P1799" s="2" t="s">
        <v>27</v>
      </c>
      <c r="Q1799" s="2" t="s">
        <v>288</v>
      </c>
      <c r="R1799" s="2" t="s">
        <v>289</v>
      </c>
      <c r="S1799" s="2" t="s">
        <v>30</v>
      </c>
      <c r="T1799">
        <v>2531</v>
      </c>
      <c r="U1799">
        <f>VLOOKUP(Auto_Sales_data___Copy[[#This Row],[CUSTOMER_NAME]],$AF$2:$AH$90,2,FALSE)</f>
        <v>180</v>
      </c>
      <c r="V1799">
        <f>VLOOKUP(Auto_Sales_data___Copy[[#This Row],[CUSTOMER_NAME]],$AF$2:$AH$90,3,FALSE)</f>
        <v>654858.06000000017</v>
      </c>
      <c r="W1799" s="2">
        <f>6-MATCH(Auto_Sales_data___Copy[[#This Row],[DAYS_SINCE_LAST_ORDER]],Table2[R-Cutoff],1)</f>
        <v>2</v>
      </c>
      <c r="X1799" s="2">
        <f>MATCH(Auto_Sales_data___Copy[[#This Row],[Total_Orders_Per_Customer]],Table2[F-Cutoff],1)</f>
        <v>4</v>
      </c>
      <c r="Y1799" s="2">
        <f>MATCH(Auto_Sales_data___Copy[[#This Row],[Total_Sales_Per_Customer]],Table2[M-Cutoff],1)</f>
        <v>4</v>
      </c>
      <c r="Z1799" s="2" t="str">
        <f>Auto_Sales_data___Copy[[#This Row],[R-Score(1-5)]]&amp;Auto_Sales_data___Copy[[#This Row],[F-Score(1-5)]]&amp;Auto_Sales_data___Copy[[#This Row],[M-Score(1-5)]]</f>
        <v>244</v>
      </c>
      <c r="AA1799" s="2" t="str" cm="1">
        <f t="array" ref="AA17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9" s="2" t="str">
        <f>VLOOKUP(Auto_Sales_data___Copy[[#This Row],[Segment Name]],Table3[],2,FALSE)</f>
        <v>High-Touch  Win-Back</v>
      </c>
    </row>
    <row r="1800" spans="1:28" x14ac:dyDescent="0.25">
      <c r="A1800">
        <v>10185</v>
      </c>
      <c r="B1800">
        <v>30</v>
      </c>
      <c r="C1800">
        <v>105.69</v>
      </c>
      <c r="D1800">
        <v>7</v>
      </c>
      <c r="E1800">
        <v>3170.7</v>
      </c>
      <c r="F1800" s="1">
        <v>43418</v>
      </c>
      <c r="G1800" s="2" t="s">
        <v>19</v>
      </c>
      <c r="H1800" s="2" t="s">
        <v>642</v>
      </c>
      <c r="I1800">
        <v>122</v>
      </c>
      <c r="J1800" s="2" t="s">
        <v>672</v>
      </c>
      <c r="K1800" s="2" t="s">
        <v>353</v>
      </c>
      <c r="L1800" s="2" t="s">
        <v>354</v>
      </c>
      <c r="M1800" s="2" t="s">
        <v>355</v>
      </c>
      <c r="N1800" s="2" t="s">
        <v>162</v>
      </c>
      <c r="O1800" s="2" t="s">
        <v>163</v>
      </c>
      <c r="P1800" s="2" t="s">
        <v>27</v>
      </c>
      <c r="Q1800" s="2" t="s">
        <v>356</v>
      </c>
      <c r="R1800" s="2" t="s">
        <v>357</v>
      </c>
      <c r="S1800" s="2" t="s">
        <v>46</v>
      </c>
      <c r="T1800">
        <v>2107</v>
      </c>
      <c r="U1800">
        <f>VLOOKUP(Auto_Sales_data___Copy[[#This Row],[CUSTOMER_NAME]],$AF$2:$AH$90,2,FALSE)</f>
        <v>35</v>
      </c>
      <c r="V1800">
        <f>VLOOKUP(Auto_Sales_data___Copy[[#This Row],[CUSTOMER_NAME]],$AF$2:$AH$90,3,FALSE)</f>
        <v>108951.12999999998</v>
      </c>
      <c r="W1800" s="2">
        <f>6-MATCH(Auto_Sales_data___Copy[[#This Row],[DAYS_SINCE_LAST_ORDER]],Table2[R-Cutoff],1)</f>
        <v>2</v>
      </c>
      <c r="X1800" s="2">
        <f>MATCH(Auto_Sales_data___Copy[[#This Row],[Total_Orders_Per_Customer]],Table2[F-Cutoff],1)</f>
        <v>4</v>
      </c>
      <c r="Y1800" s="2">
        <f>MATCH(Auto_Sales_data___Copy[[#This Row],[Total_Sales_Per_Customer]],Table2[M-Cutoff],1)</f>
        <v>4</v>
      </c>
      <c r="Z1800" s="2" t="str">
        <f>Auto_Sales_data___Copy[[#This Row],[R-Score(1-5)]]&amp;Auto_Sales_data___Copy[[#This Row],[F-Score(1-5)]]&amp;Auto_Sales_data___Copy[[#This Row],[M-Score(1-5)]]</f>
        <v>244</v>
      </c>
      <c r="AA1800" s="2" t="str" cm="1">
        <f t="array" ref="AA18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0" s="2" t="str">
        <f>VLOOKUP(Auto_Sales_data___Copy[[#This Row],[Segment Name]],Table3[],2,FALSE)</f>
        <v>High-Touch  Win-Back</v>
      </c>
    </row>
    <row r="1801" spans="1:28" x14ac:dyDescent="0.25">
      <c r="A1801">
        <v>10185</v>
      </c>
      <c r="B1801">
        <v>33</v>
      </c>
      <c r="C1801">
        <v>74.349999999999994</v>
      </c>
      <c r="D1801">
        <v>2</v>
      </c>
      <c r="E1801">
        <v>2453.5500000000002</v>
      </c>
      <c r="F1801" s="1">
        <v>43418</v>
      </c>
      <c r="G1801" s="2" t="s">
        <v>19</v>
      </c>
      <c r="H1801" s="2" t="s">
        <v>589</v>
      </c>
      <c r="I1801">
        <v>88</v>
      </c>
      <c r="J1801" s="2" t="s">
        <v>681</v>
      </c>
      <c r="K1801" s="2" t="s">
        <v>353</v>
      </c>
      <c r="L1801" s="2" t="s">
        <v>354</v>
      </c>
      <c r="M1801" s="2" t="s">
        <v>355</v>
      </c>
      <c r="N1801" s="2" t="s">
        <v>162</v>
      </c>
      <c r="O1801" s="2" t="s">
        <v>163</v>
      </c>
      <c r="P1801" s="2" t="s">
        <v>27</v>
      </c>
      <c r="Q1801" s="2" t="s">
        <v>356</v>
      </c>
      <c r="R1801" s="2" t="s">
        <v>357</v>
      </c>
      <c r="S1801" s="2" t="s">
        <v>30</v>
      </c>
      <c r="T1801">
        <v>2331</v>
      </c>
      <c r="U1801">
        <f>VLOOKUP(Auto_Sales_data___Copy[[#This Row],[CUSTOMER_NAME]],$AF$2:$AH$90,2,FALSE)</f>
        <v>35</v>
      </c>
      <c r="V1801">
        <f>VLOOKUP(Auto_Sales_data___Copy[[#This Row],[CUSTOMER_NAME]],$AF$2:$AH$90,3,FALSE)</f>
        <v>108951.12999999998</v>
      </c>
      <c r="W1801" s="2">
        <f>6-MATCH(Auto_Sales_data___Copy[[#This Row],[DAYS_SINCE_LAST_ORDER]],Table2[R-Cutoff],1)</f>
        <v>2</v>
      </c>
      <c r="X1801" s="2">
        <f>MATCH(Auto_Sales_data___Copy[[#This Row],[Total_Orders_Per_Customer]],Table2[F-Cutoff],1)</f>
        <v>4</v>
      </c>
      <c r="Y1801" s="2">
        <f>MATCH(Auto_Sales_data___Copy[[#This Row],[Total_Sales_Per_Customer]],Table2[M-Cutoff],1)</f>
        <v>4</v>
      </c>
      <c r="Z1801" s="2" t="str">
        <f>Auto_Sales_data___Copy[[#This Row],[R-Score(1-5)]]&amp;Auto_Sales_data___Copy[[#This Row],[F-Score(1-5)]]&amp;Auto_Sales_data___Copy[[#This Row],[M-Score(1-5)]]</f>
        <v>244</v>
      </c>
      <c r="AA1801" s="2" t="str" cm="1">
        <f t="array" ref="AA18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1" s="2" t="str">
        <f>VLOOKUP(Auto_Sales_data___Copy[[#This Row],[Segment Name]],Table3[],2,FALSE)</f>
        <v>High-Touch  Win-Back</v>
      </c>
    </row>
    <row r="1802" spans="1:28" x14ac:dyDescent="0.25">
      <c r="A1802">
        <v>10188</v>
      </c>
      <c r="B1802">
        <v>40</v>
      </c>
      <c r="C1802">
        <v>91.4</v>
      </c>
      <c r="D1802">
        <v>6</v>
      </c>
      <c r="E1802">
        <v>3656</v>
      </c>
      <c r="F1802" s="1">
        <v>43422</v>
      </c>
      <c r="G1802" s="2" t="s">
        <v>19</v>
      </c>
      <c r="H1802" s="2" t="s">
        <v>20</v>
      </c>
      <c r="I1802">
        <v>76</v>
      </c>
      <c r="J1802" s="2" t="s">
        <v>671</v>
      </c>
      <c r="K1802" s="2" t="s">
        <v>68</v>
      </c>
      <c r="L1802" s="2" t="s">
        <v>69</v>
      </c>
      <c r="M1802" s="2" t="s">
        <v>70</v>
      </c>
      <c r="N1802" s="2" t="s">
        <v>71</v>
      </c>
      <c r="O1802" s="2" t="s">
        <v>72</v>
      </c>
      <c r="P1802" s="2" t="s">
        <v>73</v>
      </c>
      <c r="Q1802" s="2" t="s">
        <v>74</v>
      </c>
      <c r="R1802" s="2" t="s">
        <v>75</v>
      </c>
      <c r="S1802" s="2" t="s">
        <v>46</v>
      </c>
      <c r="T1802">
        <v>2078</v>
      </c>
      <c r="U1802">
        <f>VLOOKUP(Auto_Sales_data___Copy[[#This Row],[CUSTOMER_NAME]],$AF$2:$AH$90,2,FALSE)</f>
        <v>29</v>
      </c>
      <c r="V1802">
        <f>VLOOKUP(Auto_Sales_data___Copy[[#This Row],[CUSTOMER_NAME]],$AF$2:$AH$90,3,FALSE)</f>
        <v>111640.28</v>
      </c>
      <c r="W1802" s="2">
        <f>6-MATCH(Auto_Sales_data___Copy[[#This Row],[DAYS_SINCE_LAST_ORDER]],Table2[R-Cutoff],1)</f>
        <v>2</v>
      </c>
      <c r="X1802" s="2">
        <f>MATCH(Auto_Sales_data___Copy[[#This Row],[Total_Orders_Per_Customer]],Table2[F-Cutoff],1)</f>
        <v>4</v>
      </c>
      <c r="Y1802" s="2">
        <f>MATCH(Auto_Sales_data___Copy[[#This Row],[Total_Sales_Per_Customer]],Table2[M-Cutoff],1)</f>
        <v>4</v>
      </c>
      <c r="Z1802" s="2" t="str">
        <f>Auto_Sales_data___Copy[[#This Row],[R-Score(1-5)]]&amp;Auto_Sales_data___Copy[[#This Row],[F-Score(1-5)]]&amp;Auto_Sales_data___Copy[[#This Row],[M-Score(1-5)]]</f>
        <v>244</v>
      </c>
      <c r="AA1802" s="2" t="str" cm="1">
        <f t="array" ref="AA18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2" s="2" t="str">
        <f>VLOOKUP(Auto_Sales_data___Copy[[#This Row],[Segment Name]],Table3[],2,FALSE)</f>
        <v>High-Touch  Win-Back</v>
      </c>
    </row>
    <row r="1803" spans="1:28" x14ac:dyDescent="0.25">
      <c r="A1803">
        <v>10192</v>
      </c>
      <c r="B1803">
        <v>46</v>
      </c>
      <c r="C1803">
        <v>83.6</v>
      </c>
      <c r="D1803">
        <v>2</v>
      </c>
      <c r="E1803">
        <v>3845.6</v>
      </c>
      <c r="F1803" s="1">
        <v>43424</v>
      </c>
      <c r="G1803" s="2" t="s">
        <v>19</v>
      </c>
      <c r="H1803" s="2" t="s">
        <v>183</v>
      </c>
      <c r="I1803">
        <v>90</v>
      </c>
      <c r="J1803" s="2" t="s">
        <v>676</v>
      </c>
      <c r="K1803" s="2" t="s">
        <v>290</v>
      </c>
      <c r="L1803" s="2" t="s">
        <v>291</v>
      </c>
      <c r="M1803" s="2" t="s">
        <v>292</v>
      </c>
      <c r="N1803" s="2" t="s">
        <v>293</v>
      </c>
      <c r="O1803" s="2" t="s">
        <v>294</v>
      </c>
      <c r="P1803" s="2" t="s">
        <v>27</v>
      </c>
      <c r="Q1803" s="2" t="s">
        <v>52</v>
      </c>
      <c r="R1803" s="2" t="s">
        <v>289</v>
      </c>
      <c r="S1803" s="2" t="s">
        <v>46</v>
      </c>
      <c r="T1803">
        <v>2200</v>
      </c>
      <c r="U1803">
        <f>VLOOKUP(Auto_Sales_data___Copy[[#This Row],[CUSTOMER_NAME]],$AF$2:$AH$90,2,FALSE)</f>
        <v>34</v>
      </c>
      <c r="V1803">
        <f>VLOOKUP(Auto_Sales_data___Copy[[#This Row],[CUSTOMER_NAME]],$AF$2:$AH$90,3,FALSE)</f>
        <v>131685.29999999999</v>
      </c>
      <c r="W1803" s="2">
        <f>6-MATCH(Auto_Sales_data___Copy[[#This Row],[DAYS_SINCE_LAST_ORDER]],Table2[R-Cutoff],1)</f>
        <v>2</v>
      </c>
      <c r="X1803" s="2">
        <f>MATCH(Auto_Sales_data___Copy[[#This Row],[Total_Orders_Per_Customer]],Table2[F-Cutoff],1)</f>
        <v>4</v>
      </c>
      <c r="Y1803" s="2">
        <f>MATCH(Auto_Sales_data___Copy[[#This Row],[Total_Sales_Per_Customer]],Table2[M-Cutoff],1)</f>
        <v>4</v>
      </c>
      <c r="Z1803" s="2" t="str">
        <f>Auto_Sales_data___Copy[[#This Row],[R-Score(1-5)]]&amp;Auto_Sales_data___Copy[[#This Row],[F-Score(1-5)]]&amp;Auto_Sales_data___Copy[[#This Row],[M-Score(1-5)]]</f>
        <v>244</v>
      </c>
      <c r="AA1803" s="2" t="str" cm="1">
        <f t="array" ref="AA18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3" s="2" t="str">
        <f>VLOOKUP(Auto_Sales_data___Copy[[#This Row],[Segment Name]],Table3[],2,FALSE)</f>
        <v>High-Touch  Win-Back</v>
      </c>
    </row>
    <row r="1804" spans="1:28" x14ac:dyDescent="0.25">
      <c r="A1804">
        <v>10192</v>
      </c>
      <c r="B1804">
        <v>23</v>
      </c>
      <c r="C1804">
        <v>132.71</v>
      </c>
      <c r="D1804">
        <v>1</v>
      </c>
      <c r="E1804">
        <v>3052.33</v>
      </c>
      <c r="F1804" s="1">
        <v>43424</v>
      </c>
      <c r="G1804" s="2" t="s">
        <v>19</v>
      </c>
      <c r="H1804" s="2" t="s">
        <v>183</v>
      </c>
      <c r="I1804">
        <v>117</v>
      </c>
      <c r="J1804" s="2" t="s">
        <v>679</v>
      </c>
      <c r="K1804" s="2" t="s">
        <v>290</v>
      </c>
      <c r="L1804" s="2" t="s">
        <v>291</v>
      </c>
      <c r="M1804" s="2" t="s">
        <v>292</v>
      </c>
      <c r="N1804" s="2" t="s">
        <v>293</v>
      </c>
      <c r="O1804" s="2" t="s">
        <v>294</v>
      </c>
      <c r="P1804" s="2" t="s">
        <v>27</v>
      </c>
      <c r="Q1804" s="2" t="s">
        <v>52</v>
      </c>
      <c r="R1804" s="2" t="s">
        <v>289</v>
      </c>
      <c r="S1804" s="2" t="s">
        <v>46</v>
      </c>
      <c r="T1804">
        <v>2276</v>
      </c>
      <c r="U1804">
        <f>VLOOKUP(Auto_Sales_data___Copy[[#This Row],[CUSTOMER_NAME]],$AF$2:$AH$90,2,FALSE)</f>
        <v>34</v>
      </c>
      <c r="V1804">
        <f>VLOOKUP(Auto_Sales_data___Copy[[#This Row],[CUSTOMER_NAME]],$AF$2:$AH$90,3,FALSE)</f>
        <v>131685.29999999999</v>
      </c>
      <c r="W1804" s="2">
        <f>6-MATCH(Auto_Sales_data___Copy[[#This Row],[DAYS_SINCE_LAST_ORDER]],Table2[R-Cutoff],1)</f>
        <v>2</v>
      </c>
      <c r="X1804" s="2">
        <f>MATCH(Auto_Sales_data___Copy[[#This Row],[Total_Orders_Per_Customer]],Table2[F-Cutoff],1)</f>
        <v>4</v>
      </c>
      <c r="Y1804" s="2">
        <f>MATCH(Auto_Sales_data___Copy[[#This Row],[Total_Sales_Per_Customer]],Table2[M-Cutoff],1)</f>
        <v>4</v>
      </c>
      <c r="Z1804" s="2" t="str">
        <f>Auto_Sales_data___Copy[[#This Row],[R-Score(1-5)]]&amp;Auto_Sales_data___Copy[[#This Row],[F-Score(1-5)]]&amp;Auto_Sales_data___Copy[[#This Row],[M-Score(1-5)]]</f>
        <v>244</v>
      </c>
      <c r="AA1804" s="2" t="str" cm="1">
        <f t="array" ref="AA18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4" s="2" t="str">
        <f>VLOOKUP(Auto_Sales_data___Copy[[#This Row],[Segment Name]],Table3[],2,FALSE)</f>
        <v>High-Touch  Win-Back</v>
      </c>
    </row>
    <row r="1805" spans="1:28" x14ac:dyDescent="0.25">
      <c r="A1805">
        <v>10192</v>
      </c>
      <c r="B1805">
        <v>30</v>
      </c>
      <c r="C1805">
        <v>30.59</v>
      </c>
      <c r="D1805">
        <v>13</v>
      </c>
      <c r="E1805">
        <v>917.7</v>
      </c>
      <c r="F1805" s="1">
        <v>43424</v>
      </c>
      <c r="G1805" s="2" t="s">
        <v>19</v>
      </c>
      <c r="H1805" s="2" t="s">
        <v>183</v>
      </c>
      <c r="I1805">
        <v>37</v>
      </c>
      <c r="J1805" s="2" t="s">
        <v>680</v>
      </c>
      <c r="K1805" s="2" t="s">
        <v>290</v>
      </c>
      <c r="L1805" s="2" t="s">
        <v>291</v>
      </c>
      <c r="M1805" s="2" t="s">
        <v>292</v>
      </c>
      <c r="N1805" s="2" t="s">
        <v>293</v>
      </c>
      <c r="O1805" s="2" t="s">
        <v>294</v>
      </c>
      <c r="P1805" s="2" t="s">
        <v>27</v>
      </c>
      <c r="Q1805" s="2" t="s">
        <v>52</v>
      </c>
      <c r="R1805" s="2" t="s">
        <v>289</v>
      </c>
      <c r="S1805" s="2" t="s">
        <v>30</v>
      </c>
      <c r="T1805">
        <v>2298</v>
      </c>
      <c r="U1805">
        <f>VLOOKUP(Auto_Sales_data___Copy[[#This Row],[CUSTOMER_NAME]],$AF$2:$AH$90,2,FALSE)</f>
        <v>34</v>
      </c>
      <c r="V1805">
        <f>VLOOKUP(Auto_Sales_data___Copy[[#This Row],[CUSTOMER_NAME]],$AF$2:$AH$90,3,FALSE)</f>
        <v>131685.29999999999</v>
      </c>
      <c r="W1805" s="2">
        <f>6-MATCH(Auto_Sales_data___Copy[[#This Row],[DAYS_SINCE_LAST_ORDER]],Table2[R-Cutoff],1)</f>
        <v>2</v>
      </c>
      <c r="X1805" s="2">
        <f>MATCH(Auto_Sales_data___Copy[[#This Row],[Total_Orders_Per_Customer]],Table2[F-Cutoff],1)</f>
        <v>4</v>
      </c>
      <c r="Y1805" s="2">
        <f>MATCH(Auto_Sales_data___Copy[[#This Row],[Total_Sales_Per_Customer]],Table2[M-Cutoff],1)</f>
        <v>4</v>
      </c>
      <c r="Z1805" s="2" t="str">
        <f>Auto_Sales_data___Copy[[#This Row],[R-Score(1-5)]]&amp;Auto_Sales_data___Copy[[#This Row],[F-Score(1-5)]]&amp;Auto_Sales_data___Copy[[#This Row],[M-Score(1-5)]]</f>
        <v>244</v>
      </c>
      <c r="AA1805" s="2" t="str" cm="1">
        <f t="array" ref="AA18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5" s="2" t="str">
        <f>VLOOKUP(Auto_Sales_data___Copy[[#This Row],[Segment Name]],Table3[],2,FALSE)</f>
        <v>High-Touch  Win-Back</v>
      </c>
    </row>
    <row r="1806" spans="1:28" x14ac:dyDescent="0.25">
      <c r="A1806">
        <v>10192</v>
      </c>
      <c r="B1806">
        <v>32</v>
      </c>
      <c r="C1806">
        <v>72.77</v>
      </c>
      <c r="D1806">
        <v>3</v>
      </c>
      <c r="E1806">
        <v>2328.64</v>
      </c>
      <c r="F1806" s="1">
        <v>43424</v>
      </c>
      <c r="G1806" s="2" t="s">
        <v>19</v>
      </c>
      <c r="H1806" s="2" t="s">
        <v>183</v>
      </c>
      <c r="I1806">
        <v>85</v>
      </c>
      <c r="J1806" s="2" t="s">
        <v>682</v>
      </c>
      <c r="K1806" s="2" t="s">
        <v>290</v>
      </c>
      <c r="L1806" s="2" t="s">
        <v>291</v>
      </c>
      <c r="M1806" s="2" t="s">
        <v>292</v>
      </c>
      <c r="N1806" s="2" t="s">
        <v>293</v>
      </c>
      <c r="O1806" s="2" t="s">
        <v>294</v>
      </c>
      <c r="P1806" s="2" t="s">
        <v>27</v>
      </c>
      <c r="Q1806" s="2" t="s">
        <v>52</v>
      </c>
      <c r="R1806" s="2" t="s">
        <v>289</v>
      </c>
      <c r="S1806" s="2" t="s">
        <v>30</v>
      </c>
      <c r="T1806">
        <v>2349</v>
      </c>
      <c r="U1806">
        <f>VLOOKUP(Auto_Sales_data___Copy[[#This Row],[CUSTOMER_NAME]],$AF$2:$AH$90,2,FALSE)</f>
        <v>34</v>
      </c>
      <c r="V1806">
        <f>VLOOKUP(Auto_Sales_data___Copy[[#This Row],[CUSTOMER_NAME]],$AF$2:$AH$90,3,FALSE)</f>
        <v>131685.29999999999</v>
      </c>
      <c r="W1806" s="2">
        <f>6-MATCH(Auto_Sales_data___Copy[[#This Row],[DAYS_SINCE_LAST_ORDER]],Table2[R-Cutoff],1)</f>
        <v>2</v>
      </c>
      <c r="X1806" s="2">
        <f>MATCH(Auto_Sales_data___Copy[[#This Row],[Total_Orders_Per_Customer]],Table2[F-Cutoff],1)</f>
        <v>4</v>
      </c>
      <c r="Y1806" s="2">
        <f>MATCH(Auto_Sales_data___Copy[[#This Row],[Total_Sales_Per_Customer]],Table2[M-Cutoff],1)</f>
        <v>4</v>
      </c>
      <c r="Z1806" s="2" t="str">
        <f>Auto_Sales_data___Copy[[#This Row],[R-Score(1-5)]]&amp;Auto_Sales_data___Copy[[#This Row],[F-Score(1-5)]]&amp;Auto_Sales_data___Copy[[#This Row],[M-Score(1-5)]]</f>
        <v>244</v>
      </c>
      <c r="AA1806" s="2" t="str" cm="1">
        <f t="array" ref="AA18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6" s="2" t="str">
        <f>VLOOKUP(Auto_Sales_data___Copy[[#This Row],[Segment Name]],Table3[],2,FALSE)</f>
        <v>High-Touch  Win-Back</v>
      </c>
    </row>
    <row r="1807" spans="1:28" x14ac:dyDescent="0.25">
      <c r="A1807">
        <v>10192</v>
      </c>
      <c r="B1807">
        <v>46</v>
      </c>
      <c r="C1807">
        <v>121</v>
      </c>
      <c r="D1807">
        <v>5</v>
      </c>
      <c r="E1807">
        <v>5566</v>
      </c>
      <c r="F1807" s="1">
        <v>43424</v>
      </c>
      <c r="G1807" s="2" t="s">
        <v>19</v>
      </c>
      <c r="H1807" s="2" t="s">
        <v>183</v>
      </c>
      <c r="I1807">
        <v>107</v>
      </c>
      <c r="J1807" s="2" t="s">
        <v>685</v>
      </c>
      <c r="K1807" s="2" t="s">
        <v>290</v>
      </c>
      <c r="L1807" s="2" t="s">
        <v>291</v>
      </c>
      <c r="M1807" s="2" t="s">
        <v>292</v>
      </c>
      <c r="N1807" s="2" t="s">
        <v>293</v>
      </c>
      <c r="O1807" s="2" t="s">
        <v>294</v>
      </c>
      <c r="P1807" s="2" t="s">
        <v>27</v>
      </c>
      <c r="Q1807" s="2" t="s">
        <v>52</v>
      </c>
      <c r="R1807" s="2" t="s">
        <v>289</v>
      </c>
      <c r="S1807" s="2" t="s">
        <v>46</v>
      </c>
      <c r="T1807">
        <v>2423</v>
      </c>
      <c r="U1807">
        <f>VLOOKUP(Auto_Sales_data___Copy[[#This Row],[CUSTOMER_NAME]],$AF$2:$AH$90,2,FALSE)</f>
        <v>34</v>
      </c>
      <c r="V1807">
        <f>VLOOKUP(Auto_Sales_data___Copy[[#This Row],[CUSTOMER_NAME]],$AF$2:$AH$90,3,FALSE)</f>
        <v>131685.29999999999</v>
      </c>
      <c r="W1807" s="2">
        <f>6-MATCH(Auto_Sales_data___Copy[[#This Row],[DAYS_SINCE_LAST_ORDER]],Table2[R-Cutoff],1)</f>
        <v>2</v>
      </c>
      <c r="X1807" s="2">
        <f>MATCH(Auto_Sales_data___Copy[[#This Row],[Total_Orders_Per_Customer]],Table2[F-Cutoff],1)</f>
        <v>4</v>
      </c>
      <c r="Y1807" s="2">
        <f>MATCH(Auto_Sales_data___Copy[[#This Row],[Total_Sales_Per_Customer]],Table2[M-Cutoff],1)</f>
        <v>4</v>
      </c>
      <c r="Z1807" s="2" t="str">
        <f>Auto_Sales_data___Copy[[#This Row],[R-Score(1-5)]]&amp;Auto_Sales_data___Copy[[#This Row],[F-Score(1-5)]]&amp;Auto_Sales_data___Copy[[#This Row],[M-Score(1-5)]]</f>
        <v>244</v>
      </c>
      <c r="AA1807" s="2" t="str" cm="1">
        <f t="array" ref="AA18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7" s="2" t="str">
        <f>VLOOKUP(Auto_Sales_data___Copy[[#This Row],[Segment Name]],Table3[],2,FALSE)</f>
        <v>High-Touch  Win-Back</v>
      </c>
    </row>
    <row r="1808" spans="1:28" x14ac:dyDescent="0.25">
      <c r="A1808">
        <v>10192</v>
      </c>
      <c r="B1808">
        <v>45</v>
      </c>
      <c r="C1808">
        <v>140.43</v>
      </c>
      <c r="D1808">
        <v>14</v>
      </c>
      <c r="E1808">
        <v>6319.35</v>
      </c>
      <c r="F1808" s="1">
        <v>43424</v>
      </c>
      <c r="G1808" s="2" t="s">
        <v>19</v>
      </c>
      <c r="H1808" s="2" t="s">
        <v>183</v>
      </c>
      <c r="I1808">
        <v>140</v>
      </c>
      <c r="J1808" s="2" t="s">
        <v>687</v>
      </c>
      <c r="K1808" s="2" t="s">
        <v>290</v>
      </c>
      <c r="L1808" s="2" t="s">
        <v>291</v>
      </c>
      <c r="M1808" s="2" t="s">
        <v>292</v>
      </c>
      <c r="N1808" s="2" t="s">
        <v>293</v>
      </c>
      <c r="O1808" s="2" t="s">
        <v>294</v>
      </c>
      <c r="P1808" s="2" t="s">
        <v>27</v>
      </c>
      <c r="Q1808" s="2" t="s">
        <v>52</v>
      </c>
      <c r="R1808" s="2" t="s">
        <v>289</v>
      </c>
      <c r="S1808" s="2" t="s">
        <v>46</v>
      </c>
      <c r="T1808">
        <v>2471</v>
      </c>
      <c r="U1808">
        <f>VLOOKUP(Auto_Sales_data___Copy[[#This Row],[CUSTOMER_NAME]],$AF$2:$AH$90,2,FALSE)</f>
        <v>34</v>
      </c>
      <c r="V1808">
        <f>VLOOKUP(Auto_Sales_data___Copy[[#This Row],[CUSTOMER_NAME]],$AF$2:$AH$90,3,FALSE)</f>
        <v>131685.29999999999</v>
      </c>
      <c r="W1808" s="2">
        <f>6-MATCH(Auto_Sales_data___Copy[[#This Row],[DAYS_SINCE_LAST_ORDER]],Table2[R-Cutoff],1)</f>
        <v>2</v>
      </c>
      <c r="X1808" s="2">
        <f>MATCH(Auto_Sales_data___Copy[[#This Row],[Total_Orders_Per_Customer]],Table2[F-Cutoff],1)</f>
        <v>4</v>
      </c>
      <c r="Y1808" s="2">
        <f>MATCH(Auto_Sales_data___Copy[[#This Row],[Total_Sales_Per_Customer]],Table2[M-Cutoff],1)</f>
        <v>4</v>
      </c>
      <c r="Z1808" s="2" t="str">
        <f>Auto_Sales_data___Copy[[#This Row],[R-Score(1-5)]]&amp;Auto_Sales_data___Copy[[#This Row],[F-Score(1-5)]]&amp;Auto_Sales_data___Copy[[#This Row],[M-Score(1-5)]]</f>
        <v>244</v>
      </c>
      <c r="AA1808" s="2" t="str" cm="1">
        <f t="array" ref="AA18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8" s="2" t="str">
        <f>VLOOKUP(Auto_Sales_data___Copy[[#This Row],[Segment Name]],Table3[],2,FALSE)</f>
        <v>High-Touch  Win-Back</v>
      </c>
    </row>
    <row r="1809" spans="1:28" x14ac:dyDescent="0.25">
      <c r="A1809">
        <v>10194</v>
      </c>
      <c r="B1809">
        <v>49</v>
      </c>
      <c r="C1809">
        <v>117.57</v>
      </c>
      <c r="D1809">
        <v>1</v>
      </c>
      <c r="E1809">
        <v>5760.93</v>
      </c>
      <c r="F1809" s="1">
        <v>43429</v>
      </c>
      <c r="G1809" s="2" t="s">
        <v>19</v>
      </c>
      <c r="H1809" s="2" t="s">
        <v>537</v>
      </c>
      <c r="I1809">
        <v>127</v>
      </c>
      <c r="J1809" s="2" t="s">
        <v>674</v>
      </c>
      <c r="K1809" s="2" t="s">
        <v>224</v>
      </c>
      <c r="L1809" s="2" t="s">
        <v>225</v>
      </c>
      <c r="M1809" s="2" t="s">
        <v>226</v>
      </c>
      <c r="N1809" s="2" t="s">
        <v>227</v>
      </c>
      <c r="O1809" s="2" t="s">
        <v>228</v>
      </c>
      <c r="P1809" s="2" t="s">
        <v>36</v>
      </c>
      <c r="Q1809" s="2" t="s">
        <v>229</v>
      </c>
      <c r="R1809" s="2" t="s">
        <v>230</v>
      </c>
      <c r="S1809" s="2" t="s">
        <v>46</v>
      </c>
      <c r="T1809">
        <v>2146</v>
      </c>
      <c r="U1809">
        <f>VLOOKUP(Auto_Sales_data___Copy[[#This Row],[CUSTOMER_NAME]],$AF$2:$AH$90,2,FALSE)</f>
        <v>41</v>
      </c>
      <c r="V1809">
        <f>VLOOKUP(Auto_Sales_data___Copy[[#This Row],[CUSTOMER_NAME]],$AF$2:$AH$90,3,FALSE)</f>
        <v>142874.24999999997</v>
      </c>
      <c r="W1809" s="2">
        <f>6-MATCH(Auto_Sales_data___Copy[[#This Row],[DAYS_SINCE_LAST_ORDER]],Table2[R-Cutoff],1)</f>
        <v>2</v>
      </c>
      <c r="X1809" s="2">
        <f>MATCH(Auto_Sales_data___Copy[[#This Row],[Total_Orders_Per_Customer]],Table2[F-Cutoff],1)</f>
        <v>4</v>
      </c>
      <c r="Y1809" s="2">
        <f>MATCH(Auto_Sales_data___Copy[[#This Row],[Total_Sales_Per_Customer]],Table2[M-Cutoff],1)</f>
        <v>4</v>
      </c>
      <c r="Z1809" s="2" t="str">
        <f>Auto_Sales_data___Copy[[#This Row],[R-Score(1-5)]]&amp;Auto_Sales_data___Copy[[#This Row],[F-Score(1-5)]]&amp;Auto_Sales_data___Copy[[#This Row],[M-Score(1-5)]]</f>
        <v>244</v>
      </c>
      <c r="AA1809" s="2" t="str" cm="1">
        <f t="array" ref="AA18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9" s="2" t="str">
        <f>VLOOKUP(Auto_Sales_data___Copy[[#This Row],[Segment Name]],Table3[],2,FALSE)</f>
        <v>High-Touch  Win-Back</v>
      </c>
    </row>
    <row r="1810" spans="1:28" x14ac:dyDescent="0.25">
      <c r="A1810">
        <v>10204</v>
      </c>
      <c r="B1810">
        <v>47</v>
      </c>
      <c r="C1810">
        <v>96.32</v>
      </c>
      <c r="D1810">
        <v>8</v>
      </c>
      <c r="E1810">
        <v>4527.04</v>
      </c>
      <c r="F1810" s="1">
        <v>43436</v>
      </c>
      <c r="G1810" s="2" t="s">
        <v>19</v>
      </c>
      <c r="H1810" s="2" t="s">
        <v>183</v>
      </c>
      <c r="I1810">
        <v>90</v>
      </c>
      <c r="J1810" s="2" t="s">
        <v>676</v>
      </c>
      <c r="K1810" s="2" t="s">
        <v>506</v>
      </c>
      <c r="L1810" s="2" t="s">
        <v>507</v>
      </c>
      <c r="M1810" s="2" t="s">
        <v>508</v>
      </c>
      <c r="N1810" s="2" t="s">
        <v>25</v>
      </c>
      <c r="O1810" s="2" t="s">
        <v>26</v>
      </c>
      <c r="P1810" s="2" t="s">
        <v>27</v>
      </c>
      <c r="Q1810" s="2" t="s">
        <v>52</v>
      </c>
      <c r="R1810" s="2" t="s">
        <v>509</v>
      </c>
      <c r="S1810" s="2" t="s">
        <v>46</v>
      </c>
      <c r="T1810">
        <v>2189</v>
      </c>
      <c r="U1810">
        <f>VLOOKUP(Auto_Sales_data___Copy[[#This Row],[CUSTOMER_NAME]],$AF$2:$AH$90,2,FALSE)</f>
        <v>48</v>
      </c>
      <c r="V1810">
        <f>VLOOKUP(Auto_Sales_data___Copy[[#This Row],[CUSTOMER_NAME]],$AF$2:$AH$90,3,FALSE)</f>
        <v>197736.93999999997</v>
      </c>
      <c r="W1810" s="2">
        <f>6-MATCH(Auto_Sales_data___Copy[[#This Row],[DAYS_SINCE_LAST_ORDER]],Table2[R-Cutoff],1)</f>
        <v>2</v>
      </c>
      <c r="X1810" s="2">
        <f>MATCH(Auto_Sales_data___Copy[[#This Row],[Total_Orders_Per_Customer]],Table2[F-Cutoff],1)</f>
        <v>4</v>
      </c>
      <c r="Y1810" s="2">
        <f>MATCH(Auto_Sales_data___Copy[[#This Row],[Total_Sales_Per_Customer]],Table2[M-Cutoff],1)</f>
        <v>4</v>
      </c>
      <c r="Z1810" s="2" t="str">
        <f>Auto_Sales_data___Copy[[#This Row],[R-Score(1-5)]]&amp;Auto_Sales_data___Copy[[#This Row],[F-Score(1-5)]]&amp;Auto_Sales_data___Copy[[#This Row],[M-Score(1-5)]]</f>
        <v>244</v>
      </c>
      <c r="AA1810" s="2" t="str" cm="1">
        <f t="array" ref="AA18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0" s="2" t="str">
        <f>VLOOKUP(Auto_Sales_data___Copy[[#This Row],[Segment Name]],Table3[],2,FALSE)</f>
        <v>High-Touch  Win-Back</v>
      </c>
    </row>
    <row r="1811" spans="1:28" x14ac:dyDescent="0.25">
      <c r="A1811">
        <v>10204</v>
      </c>
      <c r="B1811">
        <v>42</v>
      </c>
      <c r="C1811">
        <v>101</v>
      </c>
      <c r="D1811">
        <v>7</v>
      </c>
      <c r="E1811">
        <v>4242</v>
      </c>
      <c r="F1811" s="1">
        <v>43436</v>
      </c>
      <c r="G1811" s="2" t="s">
        <v>19</v>
      </c>
      <c r="H1811" s="2" t="s">
        <v>183</v>
      </c>
      <c r="I1811">
        <v>117</v>
      </c>
      <c r="J1811" s="2" t="s">
        <v>679</v>
      </c>
      <c r="K1811" s="2" t="s">
        <v>506</v>
      </c>
      <c r="L1811" s="2" t="s">
        <v>507</v>
      </c>
      <c r="M1811" s="2" t="s">
        <v>508</v>
      </c>
      <c r="N1811" s="2" t="s">
        <v>25</v>
      </c>
      <c r="O1811" s="2" t="s">
        <v>26</v>
      </c>
      <c r="P1811" s="2" t="s">
        <v>27</v>
      </c>
      <c r="Q1811" s="2" t="s">
        <v>52</v>
      </c>
      <c r="R1811" s="2" t="s">
        <v>509</v>
      </c>
      <c r="S1811" s="2" t="s">
        <v>46</v>
      </c>
      <c r="T1811">
        <v>2265</v>
      </c>
      <c r="U1811">
        <f>VLOOKUP(Auto_Sales_data___Copy[[#This Row],[CUSTOMER_NAME]],$AF$2:$AH$90,2,FALSE)</f>
        <v>48</v>
      </c>
      <c r="V1811">
        <f>VLOOKUP(Auto_Sales_data___Copy[[#This Row],[CUSTOMER_NAME]],$AF$2:$AH$90,3,FALSE)</f>
        <v>197736.93999999997</v>
      </c>
      <c r="W1811" s="2">
        <f>6-MATCH(Auto_Sales_data___Copy[[#This Row],[DAYS_SINCE_LAST_ORDER]],Table2[R-Cutoff],1)</f>
        <v>2</v>
      </c>
      <c r="X1811" s="2">
        <f>MATCH(Auto_Sales_data___Copy[[#This Row],[Total_Orders_Per_Customer]],Table2[F-Cutoff],1)</f>
        <v>4</v>
      </c>
      <c r="Y1811" s="2">
        <f>MATCH(Auto_Sales_data___Copy[[#This Row],[Total_Sales_Per_Customer]],Table2[M-Cutoff],1)</f>
        <v>4</v>
      </c>
      <c r="Z1811" s="2" t="str">
        <f>Auto_Sales_data___Copy[[#This Row],[R-Score(1-5)]]&amp;Auto_Sales_data___Copy[[#This Row],[F-Score(1-5)]]&amp;Auto_Sales_data___Copy[[#This Row],[M-Score(1-5)]]</f>
        <v>244</v>
      </c>
      <c r="AA1811" s="2" t="str" cm="1">
        <f t="array" ref="AA18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1" s="2" t="str">
        <f>VLOOKUP(Auto_Sales_data___Copy[[#This Row],[Segment Name]],Table3[],2,FALSE)</f>
        <v>High-Touch  Win-Back</v>
      </c>
    </row>
    <row r="1812" spans="1:28" x14ac:dyDescent="0.25">
      <c r="A1812">
        <v>10204</v>
      </c>
      <c r="B1812">
        <v>40</v>
      </c>
      <c r="C1812">
        <v>79.62</v>
      </c>
      <c r="D1812">
        <v>9</v>
      </c>
      <c r="E1812">
        <v>3184.8</v>
      </c>
      <c r="F1812" s="1">
        <v>43436</v>
      </c>
      <c r="G1812" s="2" t="s">
        <v>19</v>
      </c>
      <c r="H1812" s="2" t="s">
        <v>183</v>
      </c>
      <c r="I1812">
        <v>85</v>
      </c>
      <c r="J1812" s="2" t="s">
        <v>682</v>
      </c>
      <c r="K1812" s="2" t="s">
        <v>506</v>
      </c>
      <c r="L1812" s="2" t="s">
        <v>507</v>
      </c>
      <c r="M1812" s="2" t="s">
        <v>508</v>
      </c>
      <c r="N1812" s="2" t="s">
        <v>25</v>
      </c>
      <c r="O1812" s="2" t="s">
        <v>26</v>
      </c>
      <c r="P1812" s="2" t="s">
        <v>27</v>
      </c>
      <c r="Q1812" s="2" t="s">
        <v>52</v>
      </c>
      <c r="R1812" s="2" t="s">
        <v>509</v>
      </c>
      <c r="S1812" s="2" t="s">
        <v>46</v>
      </c>
      <c r="T1812">
        <v>2338</v>
      </c>
      <c r="U1812">
        <f>VLOOKUP(Auto_Sales_data___Copy[[#This Row],[CUSTOMER_NAME]],$AF$2:$AH$90,2,FALSE)</f>
        <v>48</v>
      </c>
      <c r="V1812">
        <f>VLOOKUP(Auto_Sales_data___Copy[[#This Row],[CUSTOMER_NAME]],$AF$2:$AH$90,3,FALSE)</f>
        <v>197736.93999999997</v>
      </c>
      <c r="W1812" s="2">
        <f>6-MATCH(Auto_Sales_data___Copy[[#This Row],[DAYS_SINCE_LAST_ORDER]],Table2[R-Cutoff],1)</f>
        <v>2</v>
      </c>
      <c r="X1812" s="2">
        <f>MATCH(Auto_Sales_data___Copy[[#This Row],[Total_Orders_Per_Customer]],Table2[F-Cutoff],1)</f>
        <v>4</v>
      </c>
      <c r="Y1812" s="2">
        <f>MATCH(Auto_Sales_data___Copy[[#This Row],[Total_Sales_Per_Customer]],Table2[M-Cutoff],1)</f>
        <v>4</v>
      </c>
      <c r="Z1812" s="2" t="str">
        <f>Auto_Sales_data___Copy[[#This Row],[R-Score(1-5)]]&amp;Auto_Sales_data___Copy[[#This Row],[F-Score(1-5)]]&amp;Auto_Sales_data___Copy[[#This Row],[M-Score(1-5)]]</f>
        <v>244</v>
      </c>
      <c r="AA1812" s="2" t="str" cm="1">
        <f t="array" ref="AA18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2" s="2" t="str">
        <f>VLOOKUP(Auto_Sales_data___Copy[[#This Row],[Segment Name]],Table3[],2,FALSE)</f>
        <v>High-Touch  Win-Back</v>
      </c>
    </row>
    <row r="1813" spans="1:28" x14ac:dyDescent="0.25">
      <c r="A1813">
        <v>10204</v>
      </c>
      <c r="B1813">
        <v>48</v>
      </c>
      <c r="C1813">
        <v>91.02</v>
      </c>
      <c r="D1813">
        <v>11</v>
      </c>
      <c r="E1813">
        <v>4368.96</v>
      </c>
      <c r="F1813" s="1">
        <v>43436</v>
      </c>
      <c r="G1813" s="2" t="s">
        <v>19</v>
      </c>
      <c r="H1813" s="2" t="s">
        <v>183</v>
      </c>
      <c r="I1813">
        <v>107</v>
      </c>
      <c r="J1813" s="2" t="s">
        <v>685</v>
      </c>
      <c r="K1813" s="2" t="s">
        <v>506</v>
      </c>
      <c r="L1813" s="2" t="s">
        <v>507</v>
      </c>
      <c r="M1813" s="2" t="s">
        <v>508</v>
      </c>
      <c r="N1813" s="2" t="s">
        <v>25</v>
      </c>
      <c r="O1813" s="2" t="s">
        <v>26</v>
      </c>
      <c r="P1813" s="2" t="s">
        <v>27</v>
      </c>
      <c r="Q1813" s="2" t="s">
        <v>52</v>
      </c>
      <c r="R1813" s="2" t="s">
        <v>509</v>
      </c>
      <c r="S1813" s="2" t="s">
        <v>46</v>
      </c>
      <c r="T1813">
        <v>2412</v>
      </c>
      <c r="U1813">
        <f>VLOOKUP(Auto_Sales_data___Copy[[#This Row],[CUSTOMER_NAME]],$AF$2:$AH$90,2,FALSE)</f>
        <v>48</v>
      </c>
      <c r="V1813">
        <f>VLOOKUP(Auto_Sales_data___Copy[[#This Row],[CUSTOMER_NAME]],$AF$2:$AH$90,3,FALSE)</f>
        <v>197736.93999999997</v>
      </c>
      <c r="W1813" s="2">
        <f>6-MATCH(Auto_Sales_data___Copy[[#This Row],[DAYS_SINCE_LAST_ORDER]],Table2[R-Cutoff],1)</f>
        <v>2</v>
      </c>
      <c r="X1813" s="2">
        <f>MATCH(Auto_Sales_data___Copy[[#This Row],[Total_Orders_Per_Customer]],Table2[F-Cutoff],1)</f>
        <v>4</v>
      </c>
      <c r="Y1813" s="2">
        <f>MATCH(Auto_Sales_data___Copy[[#This Row],[Total_Sales_Per_Customer]],Table2[M-Cutoff],1)</f>
        <v>4</v>
      </c>
      <c r="Z1813" s="2" t="str">
        <f>Auto_Sales_data___Copy[[#This Row],[R-Score(1-5)]]&amp;Auto_Sales_data___Copy[[#This Row],[F-Score(1-5)]]&amp;Auto_Sales_data___Copy[[#This Row],[M-Score(1-5)]]</f>
        <v>244</v>
      </c>
      <c r="AA1813" s="2" t="str" cm="1">
        <f t="array" ref="AA18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3" s="2" t="str">
        <f>VLOOKUP(Auto_Sales_data___Copy[[#This Row],[Segment Name]],Table3[],2,FALSE)</f>
        <v>High-Touch  Win-Back</v>
      </c>
    </row>
    <row r="1814" spans="1:28" x14ac:dyDescent="0.25">
      <c r="A1814">
        <v>10204</v>
      </c>
      <c r="B1814">
        <v>39</v>
      </c>
      <c r="C1814">
        <v>33.229999999999997</v>
      </c>
      <c r="D1814">
        <v>2</v>
      </c>
      <c r="E1814">
        <v>1295.97</v>
      </c>
      <c r="F1814" s="1">
        <v>43436</v>
      </c>
      <c r="G1814" s="2" t="s">
        <v>19</v>
      </c>
      <c r="H1814" s="2" t="s">
        <v>589</v>
      </c>
      <c r="I1814">
        <v>41</v>
      </c>
      <c r="J1814" s="2" t="s">
        <v>689</v>
      </c>
      <c r="K1814" s="2" t="s">
        <v>506</v>
      </c>
      <c r="L1814" s="2" t="s">
        <v>507</v>
      </c>
      <c r="M1814" s="2" t="s">
        <v>508</v>
      </c>
      <c r="N1814" s="2" t="s">
        <v>25</v>
      </c>
      <c r="O1814" s="2" t="s">
        <v>26</v>
      </c>
      <c r="P1814" s="2" t="s">
        <v>27</v>
      </c>
      <c r="Q1814" s="2" t="s">
        <v>52</v>
      </c>
      <c r="R1814" s="2" t="s">
        <v>509</v>
      </c>
      <c r="S1814" s="2" t="s">
        <v>30</v>
      </c>
      <c r="T1814">
        <v>2513</v>
      </c>
      <c r="U1814">
        <f>VLOOKUP(Auto_Sales_data___Copy[[#This Row],[CUSTOMER_NAME]],$AF$2:$AH$90,2,FALSE)</f>
        <v>48</v>
      </c>
      <c r="V1814">
        <f>VLOOKUP(Auto_Sales_data___Copy[[#This Row],[CUSTOMER_NAME]],$AF$2:$AH$90,3,FALSE)</f>
        <v>197736.93999999997</v>
      </c>
      <c r="W1814" s="2">
        <f>6-MATCH(Auto_Sales_data___Copy[[#This Row],[DAYS_SINCE_LAST_ORDER]],Table2[R-Cutoff],1)</f>
        <v>2</v>
      </c>
      <c r="X1814" s="2">
        <f>MATCH(Auto_Sales_data___Copy[[#This Row],[Total_Orders_Per_Customer]],Table2[F-Cutoff],1)</f>
        <v>4</v>
      </c>
      <c r="Y1814" s="2">
        <f>MATCH(Auto_Sales_data___Copy[[#This Row],[Total_Sales_Per_Customer]],Table2[M-Cutoff],1)</f>
        <v>4</v>
      </c>
      <c r="Z1814" s="2" t="str">
        <f>Auto_Sales_data___Copy[[#This Row],[R-Score(1-5)]]&amp;Auto_Sales_data___Copy[[#This Row],[F-Score(1-5)]]&amp;Auto_Sales_data___Copy[[#This Row],[M-Score(1-5)]]</f>
        <v>244</v>
      </c>
      <c r="AA1814" s="2" t="str" cm="1">
        <f t="array" ref="AA18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4" s="2" t="str">
        <f>VLOOKUP(Auto_Sales_data___Copy[[#This Row],[Segment Name]],Table3[],2,FALSE)</f>
        <v>High-Touch  Win-Back</v>
      </c>
    </row>
    <row r="1815" spans="1:28" x14ac:dyDescent="0.25">
      <c r="A1815">
        <v>10208</v>
      </c>
      <c r="B1815">
        <v>35</v>
      </c>
      <c r="C1815">
        <v>122.89</v>
      </c>
      <c r="D1815">
        <v>7</v>
      </c>
      <c r="E1815">
        <v>4301.1499999999996</v>
      </c>
      <c r="F1815" s="1">
        <v>43467</v>
      </c>
      <c r="G1815" s="2" t="s">
        <v>19</v>
      </c>
      <c r="H1815" s="2" t="s">
        <v>642</v>
      </c>
      <c r="I1815">
        <v>122</v>
      </c>
      <c r="J1815" s="2" t="s">
        <v>672</v>
      </c>
      <c r="K1815" s="2" t="s">
        <v>224</v>
      </c>
      <c r="L1815" s="2" t="s">
        <v>225</v>
      </c>
      <c r="M1815" s="2" t="s">
        <v>226</v>
      </c>
      <c r="N1815" s="2" t="s">
        <v>227</v>
      </c>
      <c r="O1815" s="2" t="s">
        <v>228</v>
      </c>
      <c r="P1815" s="2" t="s">
        <v>36</v>
      </c>
      <c r="Q1815" s="2" t="s">
        <v>229</v>
      </c>
      <c r="R1815" s="2" t="s">
        <v>230</v>
      </c>
      <c r="S1815" s="2" t="s">
        <v>46</v>
      </c>
      <c r="T1815">
        <v>2060</v>
      </c>
      <c r="U1815">
        <f>VLOOKUP(Auto_Sales_data___Copy[[#This Row],[CUSTOMER_NAME]],$AF$2:$AH$90,2,FALSE)</f>
        <v>41</v>
      </c>
      <c r="V1815">
        <f>VLOOKUP(Auto_Sales_data___Copy[[#This Row],[CUSTOMER_NAME]],$AF$2:$AH$90,3,FALSE)</f>
        <v>142874.24999999997</v>
      </c>
      <c r="W1815" s="2">
        <f>6-MATCH(Auto_Sales_data___Copy[[#This Row],[DAYS_SINCE_LAST_ORDER]],Table2[R-Cutoff],1)</f>
        <v>2</v>
      </c>
      <c r="X1815" s="2">
        <f>MATCH(Auto_Sales_data___Copy[[#This Row],[Total_Orders_Per_Customer]],Table2[F-Cutoff],1)</f>
        <v>4</v>
      </c>
      <c r="Y1815" s="2">
        <f>MATCH(Auto_Sales_data___Copy[[#This Row],[Total_Sales_Per_Customer]],Table2[M-Cutoff],1)</f>
        <v>4</v>
      </c>
      <c r="Z1815" s="2" t="str">
        <f>Auto_Sales_data___Copy[[#This Row],[R-Score(1-5)]]&amp;Auto_Sales_data___Copy[[#This Row],[F-Score(1-5)]]&amp;Auto_Sales_data___Copy[[#This Row],[M-Score(1-5)]]</f>
        <v>244</v>
      </c>
      <c r="AA1815" s="2" t="str" cm="1">
        <f t="array" ref="AA18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5" s="2" t="str">
        <f>VLOOKUP(Auto_Sales_data___Copy[[#This Row],[Segment Name]],Table3[],2,FALSE)</f>
        <v>High-Touch  Win-Back</v>
      </c>
    </row>
    <row r="1816" spans="1:28" x14ac:dyDescent="0.25">
      <c r="A1816">
        <v>10208</v>
      </c>
      <c r="B1816">
        <v>20</v>
      </c>
      <c r="C1816">
        <v>89.4</v>
      </c>
      <c r="D1816">
        <v>2</v>
      </c>
      <c r="E1816">
        <v>1788</v>
      </c>
      <c r="F1816" s="1">
        <v>43467</v>
      </c>
      <c r="G1816" s="2" t="s">
        <v>19</v>
      </c>
      <c r="H1816" s="2" t="s">
        <v>589</v>
      </c>
      <c r="I1816">
        <v>88</v>
      </c>
      <c r="J1816" s="2" t="s">
        <v>681</v>
      </c>
      <c r="K1816" s="2" t="s">
        <v>224</v>
      </c>
      <c r="L1816" s="2" t="s">
        <v>225</v>
      </c>
      <c r="M1816" s="2" t="s">
        <v>226</v>
      </c>
      <c r="N1816" s="2" t="s">
        <v>227</v>
      </c>
      <c r="O1816" s="2" t="s">
        <v>228</v>
      </c>
      <c r="P1816" s="2" t="s">
        <v>36</v>
      </c>
      <c r="Q1816" s="2" t="s">
        <v>229</v>
      </c>
      <c r="R1816" s="2" t="s">
        <v>230</v>
      </c>
      <c r="S1816" s="2" t="s">
        <v>30</v>
      </c>
      <c r="T1816">
        <v>2284</v>
      </c>
      <c r="U1816">
        <f>VLOOKUP(Auto_Sales_data___Copy[[#This Row],[CUSTOMER_NAME]],$AF$2:$AH$90,2,FALSE)</f>
        <v>41</v>
      </c>
      <c r="V1816">
        <f>VLOOKUP(Auto_Sales_data___Copy[[#This Row],[CUSTOMER_NAME]],$AF$2:$AH$90,3,FALSE)</f>
        <v>142874.24999999997</v>
      </c>
      <c r="W1816" s="2">
        <f>6-MATCH(Auto_Sales_data___Copy[[#This Row],[DAYS_SINCE_LAST_ORDER]],Table2[R-Cutoff],1)</f>
        <v>2</v>
      </c>
      <c r="X1816" s="2">
        <f>MATCH(Auto_Sales_data___Copy[[#This Row],[Total_Orders_Per_Customer]],Table2[F-Cutoff],1)</f>
        <v>4</v>
      </c>
      <c r="Y1816" s="2">
        <f>MATCH(Auto_Sales_data___Copy[[#This Row],[Total_Sales_Per_Customer]],Table2[M-Cutoff],1)</f>
        <v>4</v>
      </c>
      <c r="Z1816" s="2" t="str">
        <f>Auto_Sales_data___Copy[[#This Row],[R-Score(1-5)]]&amp;Auto_Sales_data___Copy[[#This Row],[F-Score(1-5)]]&amp;Auto_Sales_data___Copy[[#This Row],[M-Score(1-5)]]</f>
        <v>244</v>
      </c>
      <c r="AA1816" s="2" t="str" cm="1">
        <f t="array" ref="AA18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6" s="2" t="str">
        <f>VLOOKUP(Auto_Sales_data___Copy[[#This Row],[Segment Name]],Table3[],2,FALSE)</f>
        <v>High-Touch  Win-Back</v>
      </c>
    </row>
    <row r="1817" spans="1:28" x14ac:dyDescent="0.25">
      <c r="A1817">
        <v>10214</v>
      </c>
      <c r="B1817">
        <v>49</v>
      </c>
      <c r="C1817">
        <v>47.94</v>
      </c>
      <c r="D1817">
        <v>2</v>
      </c>
      <c r="E1817">
        <v>2349.06</v>
      </c>
      <c r="F1817" s="1">
        <v>43491</v>
      </c>
      <c r="G1817" s="2" t="s">
        <v>19</v>
      </c>
      <c r="H1817" s="2" t="s">
        <v>589</v>
      </c>
      <c r="I1817">
        <v>44</v>
      </c>
      <c r="J1817" s="2" t="s">
        <v>673</v>
      </c>
      <c r="K1817" s="2" t="s">
        <v>193</v>
      </c>
      <c r="L1817" s="2" t="s">
        <v>194</v>
      </c>
      <c r="M1817" s="2" t="s">
        <v>195</v>
      </c>
      <c r="N1817" s="2" t="s">
        <v>178</v>
      </c>
      <c r="O1817" s="2" t="s">
        <v>196</v>
      </c>
      <c r="P1817" s="2" t="s">
        <v>180</v>
      </c>
      <c r="Q1817" s="2" t="s">
        <v>197</v>
      </c>
      <c r="R1817" s="2" t="s">
        <v>198</v>
      </c>
      <c r="S1817" s="2" t="s">
        <v>30</v>
      </c>
      <c r="T1817">
        <v>2060</v>
      </c>
      <c r="U1817">
        <f>VLOOKUP(Auto_Sales_data___Copy[[#This Row],[CUSTOMER_NAME]],$AF$2:$AH$90,2,FALSE)</f>
        <v>32</v>
      </c>
      <c r="V1817">
        <f>VLOOKUP(Auto_Sales_data___Copy[[#This Row],[CUSTOMER_NAME]],$AF$2:$AH$90,3,FALSE)</f>
        <v>120615.28</v>
      </c>
      <c r="W1817" s="2">
        <f>6-MATCH(Auto_Sales_data___Copy[[#This Row],[DAYS_SINCE_LAST_ORDER]],Table2[R-Cutoff],1)</f>
        <v>2</v>
      </c>
      <c r="X1817" s="2">
        <f>MATCH(Auto_Sales_data___Copy[[#This Row],[Total_Orders_Per_Customer]],Table2[F-Cutoff],1)</f>
        <v>4</v>
      </c>
      <c r="Y1817" s="2">
        <f>MATCH(Auto_Sales_data___Copy[[#This Row],[Total_Sales_Per_Customer]],Table2[M-Cutoff],1)</f>
        <v>4</v>
      </c>
      <c r="Z1817" s="2" t="str">
        <f>Auto_Sales_data___Copy[[#This Row],[R-Score(1-5)]]&amp;Auto_Sales_data___Copy[[#This Row],[F-Score(1-5)]]&amp;Auto_Sales_data___Copy[[#This Row],[M-Score(1-5)]]</f>
        <v>244</v>
      </c>
      <c r="AA1817" s="2" t="str" cm="1">
        <f t="array" ref="AA18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7" s="2" t="str">
        <f>VLOOKUP(Auto_Sales_data___Copy[[#This Row],[Segment Name]],Table3[],2,FALSE)</f>
        <v>High-Touch  Win-Back</v>
      </c>
    </row>
    <row r="1818" spans="1:28" x14ac:dyDescent="0.25">
      <c r="A1818">
        <v>10214</v>
      </c>
      <c r="B1818">
        <v>44</v>
      </c>
      <c r="C1818">
        <v>34.880000000000003</v>
      </c>
      <c r="D1818">
        <v>5</v>
      </c>
      <c r="E1818">
        <v>1534.72</v>
      </c>
      <c r="F1818" s="1">
        <v>43491</v>
      </c>
      <c r="G1818" s="2" t="s">
        <v>19</v>
      </c>
      <c r="H1818" s="2" t="s">
        <v>589</v>
      </c>
      <c r="I1818">
        <v>41</v>
      </c>
      <c r="J1818" s="2" t="s">
        <v>689</v>
      </c>
      <c r="K1818" s="2" t="s">
        <v>193</v>
      </c>
      <c r="L1818" s="2" t="s">
        <v>194</v>
      </c>
      <c r="M1818" s="2" t="s">
        <v>195</v>
      </c>
      <c r="N1818" s="2" t="s">
        <v>178</v>
      </c>
      <c r="O1818" s="2" t="s">
        <v>196</v>
      </c>
      <c r="P1818" s="2" t="s">
        <v>180</v>
      </c>
      <c r="Q1818" s="2" t="s">
        <v>197</v>
      </c>
      <c r="R1818" s="2" t="s">
        <v>198</v>
      </c>
      <c r="S1818" s="2" t="s">
        <v>30</v>
      </c>
      <c r="T1818">
        <v>2459</v>
      </c>
      <c r="U1818">
        <f>VLOOKUP(Auto_Sales_data___Copy[[#This Row],[CUSTOMER_NAME]],$AF$2:$AH$90,2,FALSE)</f>
        <v>32</v>
      </c>
      <c r="V1818">
        <f>VLOOKUP(Auto_Sales_data___Copy[[#This Row],[CUSTOMER_NAME]],$AF$2:$AH$90,3,FALSE)</f>
        <v>120615.28</v>
      </c>
      <c r="W1818" s="2">
        <f>6-MATCH(Auto_Sales_data___Copy[[#This Row],[DAYS_SINCE_LAST_ORDER]],Table2[R-Cutoff],1)</f>
        <v>2</v>
      </c>
      <c r="X1818" s="2">
        <f>MATCH(Auto_Sales_data___Copy[[#This Row],[Total_Orders_Per_Customer]],Table2[F-Cutoff],1)</f>
        <v>4</v>
      </c>
      <c r="Y1818" s="2">
        <f>MATCH(Auto_Sales_data___Copy[[#This Row],[Total_Sales_Per_Customer]],Table2[M-Cutoff],1)</f>
        <v>4</v>
      </c>
      <c r="Z1818" s="2" t="str">
        <f>Auto_Sales_data___Copy[[#This Row],[R-Score(1-5)]]&amp;Auto_Sales_data___Copy[[#This Row],[F-Score(1-5)]]&amp;Auto_Sales_data___Copy[[#This Row],[M-Score(1-5)]]</f>
        <v>244</v>
      </c>
      <c r="AA1818" s="2" t="str" cm="1">
        <f t="array" ref="AA18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8" s="2" t="str">
        <f>VLOOKUP(Auto_Sales_data___Copy[[#This Row],[Segment Name]],Table3[],2,FALSE)</f>
        <v>High-Touch  Win-Back</v>
      </c>
    </row>
    <row r="1819" spans="1:28" x14ac:dyDescent="0.25">
      <c r="A1819">
        <v>10217</v>
      </c>
      <c r="B1819">
        <v>28</v>
      </c>
      <c r="C1819">
        <v>112.46</v>
      </c>
      <c r="D1819">
        <v>1</v>
      </c>
      <c r="E1819">
        <v>3148.88</v>
      </c>
      <c r="F1819" s="1">
        <v>43500</v>
      </c>
      <c r="G1819" s="2" t="s">
        <v>19</v>
      </c>
      <c r="H1819" s="2" t="s">
        <v>537</v>
      </c>
      <c r="I1819">
        <v>127</v>
      </c>
      <c r="J1819" s="2" t="s">
        <v>674</v>
      </c>
      <c r="K1819" s="2" t="s">
        <v>443</v>
      </c>
      <c r="L1819" s="2" t="s">
        <v>444</v>
      </c>
      <c r="M1819" s="2" t="s">
        <v>445</v>
      </c>
      <c r="N1819" s="2" t="s">
        <v>202</v>
      </c>
      <c r="O1819" s="2" t="s">
        <v>446</v>
      </c>
      <c r="P1819" s="2" t="s">
        <v>202</v>
      </c>
      <c r="Q1819" s="2" t="s">
        <v>447</v>
      </c>
      <c r="R1819" s="2" t="s">
        <v>448</v>
      </c>
      <c r="S1819" s="2" t="s">
        <v>46</v>
      </c>
      <c r="T1819">
        <v>2077</v>
      </c>
      <c r="U1819">
        <f>VLOOKUP(Auto_Sales_data___Copy[[#This Row],[CUSTOMER_NAME]],$AF$2:$AH$90,2,FALSE)</f>
        <v>36</v>
      </c>
      <c r="V1819">
        <f>VLOOKUP(Auto_Sales_data___Copy[[#This Row],[CUSTOMER_NAME]],$AF$2:$AH$90,3,FALSE)</f>
        <v>115498.72999999998</v>
      </c>
      <c r="W1819" s="2">
        <f>6-MATCH(Auto_Sales_data___Copy[[#This Row],[DAYS_SINCE_LAST_ORDER]],Table2[R-Cutoff],1)</f>
        <v>2</v>
      </c>
      <c r="X1819" s="2">
        <f>MATCH(Auto_Sales_data___Copy[[#This Row],[Total_Orders_Per_Customer]],Table2[F-Cutoff],1)</f>
        <v>4</v>
      </c>
      <c r="Y1819" s="2">
        <f>MATCH(Auto_Sales_data___Copy[[#This Row],[Total_Sales_Per_Customer]],Table2[M-Cutoff],1)</f>
        <v>4</v>
      </c>
      <c r="Z1819" s="2" t="str">
        <f>Auto_Sales_data___Copy[[#This Row],[R-Score(1-5)]]&amp;Auto_Sales_data___Copy[[#This Row],[F-Score(1-5)]]&amp;Auto_Sales_data___Copy[[#This Row],[M-Score(1-5)]]</f>
        <v>244</v>
      </c>
      <c r="AA1819" s="2" t="str" cm="1">
        <f t="array" ref="AA18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9" s="2" t="str">
        <f>VLOOKUP(Auto_Sales_data___Copy[[#This Row],[Segment Name]],Table3[],2,FALSE)</f>
        <v>High-Touch  Win-Back</v>
      </c>
    </row>
    <row r="1820" spans="1:28" x14ac:dyDescent="0.25">
      <c r="A1820">
        <v>10223</v>
      </c>
      <c r="B1820">
        <v>23</v>
      </c>
      <c r="C1820">
        <v>74.62</v>
      </c>
      <c r="D1820">
        <v>10</v>
      </c>
      <c r="E1820">
        <v>1716.26</v>
      </c>
      <c r="F1820" s="1">
        <v>43516</v>
      </c>
      <c r="G1820" s="2" t="s">
        <v>19</v>
      </c>
      <c r="H1820" s="2" t="s">
        <v>607</v>
      </c>
      <c r="I1820">
        <v>72</v>
      </c>
      <c r="J1820" s="2" t="s">
        <v>692</v>
      </c>
      <c r="K1820" s="2" t="s">
        <v>82</v>
      </c>
      <c r="L1820" s="2" t="s">
        <v>83</v>
      </c>
      <c r="M1820" s="2" t="s">
        <v>84</v>
      </c>
      <c r="N1820" s="2" t="s">
        <v>85</v>
      </c>
      <c r="O1820" s="2" t="s">
        <v>86</v>
      </c>
      <c r="P1820" s="2" t="s">
        <v>87</v>
      </c>
      <c r="Q1820" s="2" t="s">
        <v>88</v>
      </c>
      <c r="R1820" s="2" t="s">
        <v>89</v>
      </c>
      <c r="S1820" s="2" t="s">
        <v>30</v>
      </c>
      <c r="T1820">
        <v>2503</v>
      </c>
      <c r="U1820">
        <f>VLOOKUP(Auto_Sales_data___Copy[[#This Row],[CUSTOMER_NAME]],$AF$2:$AH$90,2,FALSE)</f>
        <v>55</v>
      </c>
      <c r="V1820">
        <f>VLOOKUP(Auto_Sales_data___Copy[[#This Row],[CUSTOMER_NAME]],$AF$2:$AH$90,3,FALSE)</f>
        <v>200995.41000000006</v>
      </c>
      <c r="W1820" s="2">
        <f>6-MATCH(Auto_Sales_data___Copy[[#This Row],[DAYS_SINCE_LAST_ORDER]],Table2[R-Cutoff],1)</f>
        <v>2</v>
      </c>
      <c r="X1820" s="2">
        <f>MATCH(Auto_Sales_data___Copy[[#This Row],[Total_Orders_Per_Customer]],Table2[F-Cutoff],1)</f>
        <v>4</v>
      </c>
      <c r="Y1820" s="2">
        <f>MATCH(Auto_Sales_data___Copy[[#This Row],[Total_Sales_Per_Customer]],Table2[M-Cutoff],1)</f>
        <v>4</v>
      </c>
      <c r="Z1820" s="2" t="str">
        <f>Auto_Sales_data___Copy[[#This Row],[R-Score(1-5)]]&amp;Auto_Sales_data___Copy[[#This Row],[F-Score(1-5)]]&amp;Auto_Sales_data___Copy[[#This Row],[M-Score(1-5)]]</f>
        <v>244</v>
      </c>
      <c r="AA1820" s="2" t="str" cm="1">
        <f t="array" ref="AA18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0" s="2" t="str">
        <f>VLOOKUP(Auto_Sales_data___Copy[[#This Row],[Segment Name]],Table3[],2,FALSE)</f>
        <v>High-Touch  Win-Back</v>
      </c>
    </row>
    <row r="1821" spans="1:28" x14ac:dyDescent="0.25">
      <c r="A1821">
        <v>10225</v>
      </c>
      <c r="B1821">
        <v>42</v>
      </c>
      <c r="C1821">
        <v>36.630000000000003</v>
      </c>
      <c r="D1821">
        <v>3</v>
      </c>
      <c r="E1821">
        <v>1538.46</v>
      </c>
      <c r="F1821" s="1">
        <v>43518</v>
      </c>
      <c r="G1821" s="2" t="s">
        <v>19</v>
      </c>
      <c r="H1821" s="2" t="s">
        <v>183</v>
      </c>
      <c r="I1821">
        <v>37</v>
      </c>
      <c r="J1821" s="2" t="s">
        <v>680</v>
      </c>
      <c r="K1821" s="2" t="s">
        <v>473</v>
      </c>
      <c r="L1821" s="2" t="s">
        <v>474</v>
      </c>
      <c r="M1821" s="2" t="s">
        <v>475</v>
      </c>
      <c r="N1821" s="2" t="s">
        <v>476</v>
      </c>
      <c r="O1821" s="2" t="s">
        <v>477</v>
      </c>
      <c r="P1821" s="2" t="s">
        <v>478</v>
      </c>
      <c r="Q1821" s="2" t="s">
        <v>479</v>
      </c>
      <c r="R1821" s="2" t="s">
        <v>94</v>
      </c>
      <c r="S1821" s="2" t="s">
        <v>30</v>
      </c>
      <c r="T1821">
        <v>2207</v>
      </c>
      <c r="U1821">
        <f>VLOOKUP(Auto_Sales_data___Copy[[#This Row],[CUSTOMER_NAME]],$AF$2:$AH$90,2,FALSE)</f>
        <v>31</v>
      </c>
      <c r="V1821">
        <f>VLOOKUP(Auto_Sales_data___Copy[[#This Row],[CUSTOMER_NAME]],$AF$2:$AH$90,3,FALSE)</f>
        <v>117713.56000000001</v>
      </c>
      <c r="W1821" s="2">
        <f>6-MATCH(Auto_Sales_data___Copy[[#This Row],[DAYS_SINCE_LAST_ORDER]],Table2[R-Cutoff],1)</f>
        <v>2</v>
      </c>
      <c r="X1821" s="2">
        <f>MATCH(Auto_Sales_data___Copy[[#This Row],[Total_Orders_Per_Customer]],Table2[F-Cutoff],1)</f>
        <v>4</v>
      </c>
      <c r="Y1821" s="2">
        <f>MATCH(Auto_Sales_data___Copy[[#This Row],[Total_Sales_Per_Customer]],Table2[M-Cutoff],1)</f>
        <v>4</v>
      </c>
      <c r="Z1821" s="2" t="str">
        <f>Auto_Sales_data___Copy[[#This Row],[R-Score(1-5)]]&amp;Auto_Sales_data___Copy[[#This Row],[F-Score(1-5)]]&amp;Auto_Sales_data___Copy[[#This Row],[M-Score(1-5)]]</f>
        <v>244</v>
      </c>
      <c r="AA1821" s="2" t="str" cm="1">
        <f t="array" ref="AA18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1" s="2" t="str">
        <f>VLOOKUP(Auto_Sales_data___Copy[[#This Row],[Segment Name]],Table3[],2,FALSE)</f>
        <v>High-Touch  Win-Back</v>
      </c>
    </row>
    <row r="1822" spans="1:28" x14ac:dyDescent="0.25">
      <c r="A1822">
        <v>10225</v>
      </c>
      <c r="B1822">
        <v>24</v>
      </c>
      <c r="C1822">
        <v>50.21</v>
      </c>
      <c r="D1822">
        <v>8</v>
      </c>
      <c r="E1822">
        <v>1205.04</v>
      </c>
      <c r="F1822" s="1">
        <v>43518</v>
      </c>
      <c r="G1822" s="2" t="s">
        <v>19</v>
      </c>
      <c r="H1822" s="2" t="s">
        <v>183</v>
      </c>
      <c r="I1822">
        <v>61</v>
      </c>
      <c r="J1822" s="2" t="s">
        <v>683</v>
      </c>
      <c r="K1822" s="2" t="s">
        <v>473</v>
      </c>
      <c r="L1822" s="2" t="s">
        <v>474</v>
      </c>
      <c r="M1822" s="2" t="s">
        <v>475</v>
      </c>
      <c r="N1822" s="2" t="s">
        <v>476</v>
      </c>
      <c r="O1822" s="2" t="s">
        <v>477</v>
      </c>
      <c r="P1822" s="2" t="s">
        <v>478</v>
      </c>
      <c r="Q1822" s="2" t="s">
        <v>479</v>
      </c>
      <c r="R1822" s="2" t="s">
        <v>94</v>
      </c>
      <c r="S1822" s="2" t="s">
        <v>30</v>
      </c>
      <c r="T1822">
        <v>2281</v>
      </c>
      <c r="U1822">
        <f>VLOOKUP(Auto_Sales_data___Copy[[#This Row],[CUSTOMER_NAME]],$AF$2:$AH$90,2,FALSE)</f>
        <v>31</v>
      </c>
      <c r="V1822">
        <f>VLOOKUP(Auto_Sales_data___Copy[[#This Row],[CUSTOMER_NAME]],$AF$2:$AH$90,3,FALSE)</f>
        <v>117713.56000000001</v>
      </c>
      <c r="W1822" s="2">
        <f>6-MATCH(Auto_Sales_data___Copy[[#This Row],[DAYS_SINCE_LAST_ORDER]],Table2[R-Cutoff],1)</f>
        <v>2</v>
      </c>
      <c r="X1822" s="2">
        <f>MATCH(Auto_Sales_data___Copy[[#This Row],[Total_Orders_Per_Customer]],Table2[F-Cutoff],1)</f>
        <v>4</v>
      </c>
      <c r="Y1822" s="2">
        <f>MATCH(Auto_Sales_data___Copy[[#This Row],[Total_Sales_Per_Customer]],Table2[M-Cutoff],1)</f>
        <v>4</v>
      </c>
      <c r="Z1822" s="2" t="str">
        <f>Auto_Sales_data___Copy[[#This Row],[R-Score(1-5)]]&amp;Auto_Sales_data___Copy[[#This Row],[F-Score(1-5)]]&amp;Auto_Sales_data___Copy[[#This Row],[M-Score(1-5)]]</f>
        <v>244</v>
      </c>
      <c r="AA1822" s="2" t="str" cm="1">
        <f t="array" ref="AA18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2" s="2" t="str">
        <f>VLOOKUP(Auto_Sales_data___Copy[[#This Row],[Segment Name]],Table3[],2,FALSE)</f>
        <v>High-Touch  Win-Back</v>
      </c>
    </row>
    <row r="1823" spans="1:28" x14ac:dyDescent="0.25">
      <c r="A1823">
        <v>10225</v>
      </c>
      <c r="B1823">
        <v>40</v>
      </c>
      <c r="C1823">
        <v>113.75</v>
      </c>
      <c r="D1823">
        <v>4</v>
      </c>
      <c r="E1823">
        <v>4550</v>
      </c>
      <c r="F1823" s="1">
        <v>43518</v>
      </c>
      <c r="G1823" s="2" t="s">
        <v>19</v>
      </c>
      <c r="H1823" s="2" t="s">
        <v>183</v>
      </c>
      <c r="I1823">
        <v>140</v>
      </c>
      <c r="J1823" s="2" t="s">
        <v>687</v>
      </c>
      <c r="K1823" s="2" t="s">
        <v>473</v>
      </c>
      <c r="L1823" s="2" t="s">
        <v>474</v>
      </c>
      <c r="M1823" s="2" t="s">
        <v>475</v>
      </c>
      <c r="N1823" s="2" t="s">
        <v>476</v>
      </c>
      <c r="O1823" s="2" t="s">
        <v>477</v>
      </c>
      <c r="P1823" s="2" t="s">
        <v>478</v>
      </c>
      <c r="Q1823" s="2" t="s">
        <v>479</v>
      </c>
      <c r="R1823" s="2" t="s">
        <v>94</v>
      </c>
      <c r="S1823" s="2" t="s">
        <v>46</v>
      </c>
      <c r="T1823">
        <v>2380</v>
      </c>
      <c r="U1823">
        <f>VLOOKUP(Auto_Sales_data___Copy[[#This Row],[CUSTOMER_NAME]],$AF$2:$AH$90,2,FALSE)</f>
        <v>31</v>
      </c>
      <c r="V1823">
        <f>VLOOKUP(Auto_Sales_data___Copy[[#This Row],[CUSTOMER_NAME]],$AF$2:$AH$90,3,FALSE)</f>
        <v>117713.56000000001</v>
      </c>
      <c r="W1823" s="2">
        <f>6-MATCH(Auto_Sales_data___Copy[[#This Row],[DAYS_SINCE_LAST_ORDER]],Table2[R-Cutoff],1)</f>
        <v>2</v>
      </c>
      <c r="X1823" s="2">
        <f>MATCH(Auto_Sales_data___Copy[[#This Row],[Total_Orders_Per_Customer]],Table2[F-Cutoff],1)</f>
        <v>4</v>
      </c>
      <c r="Y1823" s="2">
        <f>MATCH(Auto_Sales_data___Copy[[#This Row],[Total_Sales_Per_Customer]],Table2[M-Cutoff],1)</f>
        <v>4</v>
      </c>
      <c r="Z1823" s="2" t="str">
        <f>Auto_Sales_data___Copy[[#This Row],[R-Score(1-5)]]&amp;Auto_Sales_data___Copy[[#This Row],[F-Score(1-5)]]&amp;Auto_Sales_data___Copy[[#This Row],[M-Score(1-5)]]</f>
        <v>244</v>
      </c>
      <c r="AA1823" s="2" t="str" cm="1">
        <f t="array" ref="AA18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3" s="2" t="str">
        <f>VLOOKUP(Auto_Sales_data___Copy[[#This Row],[Segment Name]],Table3[],2,FALSE)</f>
        <v>High-Touch  Win-Back</v>
      </c>
    </row>
    <row r="1824" spans="1:28" x14ac:dyDescent="0.25">
      <c r="A1824">
        <v>10225</v>
      </c>
      <c r="B1824">
        <v>46</v>
      </c>
      <c r="C1824">
        <v>70.33</v>
      </c>
      <c r="D1824">
        <v>13</v>
      </c>
      <c r="E1824">
        <v>3235.18</v>
      </c>
      <c r="F1824" s="1">
        <v>43518</v>
      </c>
      <c r="G1824" s="2" t="s">
        <v>19</v>
      </c>
      <c r="H1824" s="2" t="s">
        <v>183</v>
      </c>
      <c r="I1824">
        <v>80</v>
      </c>
      <c r="J1824" s="2" t="s">
        <v>693</v>
      </c>
      <c r="K1824" s="2" t="s">
        <v>473</v>
      </c>
      <c r="L1824" s="2" t="s">
        <v>474</v>
      </c>
      <c r="M1824" s="2" t="s">
        <v>475</v>
      </c>
      <c r="N1824" s="2" t="s">
        <v>476</v>
      </c>
      <c r="O1824" s="2" t="s">
        <v>477</v>
      </c>
      <c r="P1824" s="2" t="s">
        <v>478</v>
      </c>
      <c r="Q1824" s="2" t="s">
        <v>479</v>
      </c>
      <c r="R1824" s="2" t="s">
        <v>94</v>
      </c>
      <c r="S1824" s="2" t="s">
        <v>46</v>
      </c>
      <c r="T1824">
        <v>2527</v>
      </c>
      <c r="U1824">
        <f>VLOOKUP(Auto_Sales_data___Copy[[#This Row],[CUSTOMER_NAME]],$AF$2:$AH$90,2,FALSE)</f>
        <v>31</v>
      </c>
      <c r="V1824">
        <f>VLOOKUP(Auto_Sales_data___Copy[[#This Row],[CUSTOMER_NAME]],$AF$2:$AH$90,3,FALSE)</f>
        <v>117713.56000000001</v>
      </c>
      <c r="W1824" s="2">
        <f>6-MATCH(Auto_Sales_data___Copy[[#This Row],[DAYS_SINCE_LAST_ORDER]],Table2[R-Cutoff],1)</f>
        <v>2</v>
      </c>
      <c r="X1824" s="2">
        <f>MATCH(Auto_Sales_data___Copy[[#This Row],[Total_Orders_Per_Customer]],Table2[F-Cutoff],1)</f>
        <v>4</v>
      </c>
      <c r="Y1824" s="2">
        <f>MATCH(Auto_Sales_data___Copy[[#This Row],[Total_Sales_Per_Customer]],Table2[M-Cutoff],1)</f>
        <v>4</v>
      </c>
      <c r="Z1824" s="2" t="str">
        <f>Auto_Sales_data___Copy[[#This Row],[R-Score(1-5)]]&amp;Auto_Sales_data___Copy[[#This Row],[F-Score(1-5)]]&amp;Auto_Sales_data___Copy[[#This Row],[M-Score(1-5)]]</f>
        <v>244</v>
      </c>
      <c r="AA1824" s="2" t="str" cm="1">
        <f t="array" ref="AA18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4" s="2" t="str">
        <f>VLOOKUP(Auto_Sales_data___Copy[[#This Row],[Segment Name]],Table3[],2,FALSE)</f>
        <v>High-Touch  Win-Back</v>
      </c>
    </row>
    <row r="1825" spans="1:28" x14ac:dyDescent="0.25">
      <c r="A1825">
        <v>10227</v>
      </c>
      <c r="B1825">
        <v>24</v>
      </c>
      <c r="C1825">
        <v>48.38</v>
      </c>
      <c r="D1825">
        <v>5</v>
      </c>
      <c r="E1825">
        <v>1161.1199999999999</v>
      </c>
      <c r="F1825" s="1">
        <v>43526</v>
      </c>
      <c r="G1825" s="2" t="s">
        <v>19</v>
      </c>
      <c r="H1825" s="2" t="s">
        <v>589</v>
      </c>
      <c r="I1825">
        <v>44</v>
      </c>
      <c r="J1825" s="2" t="s">
        <v>673</v>
      </c>
      <c r="K1825" s="2" t="s">
        <v>224</v>
      </c>
      <c r="L1825" s="2" t="s">
        <v>225</v>
      </c>
      <c r="M1825" s="2" t="s">
        <v>226</v>
      </c>
      <c r="N1825" s="2" t="s">
        <v>227</v>
      </c>
      <c r="O1825" s="2" t="s">
        <v>228</v>
      </c>
      <c r="P1825" s="2" t="s">
        <v>36</v>
      </c>
      <c r="Q1825" s="2" t="s">
        <v>229</v>
      </c>
      <c r="R1825" s="2" t="s">
        <v>230</v>
      </c>
      <c r="S1825" s="2" t="s">
        <v>30</v>
      </c>
      <c r="T1825">
        <v>2026</v>
      </c>
      <c r="U1825">
        <f>VLOOKUP(Auto_Sales_data___Copy[[#This Row],[CUSTOMER_NAME]],$AF$2:$AH$90,2,FALSE)</f>
        <v>41</v>
      </c>
      <c r="V1825">
        <f>VLOOKUP(Auto_Sales_data___Copy[[#This Row],[CUSTOMER_NAME]],$AF$2:$AH$90,3,FALSE)</f>
        <v>142874.24999999997</v>
      </c>
      <c r="W1825" s="2">
        <f>6-MATCH(Auto_Sales_data___Copy[[#This Row],[DAYS_SINCE_LAST_ORDER]],Table2[R-Cutoff],1)</f>
        <v>2</v>
      </c>
      <c r="X1825" s="2">
        <f>MATCH(Auto_Sales_data___Copy[[#This Row],[Total_Orders_Per_Customer]],Table2[F-Cutoff],1)</f>
        <v>4</v>
      </c>
      <c r="Y1825" s="2">
        <f>MATCH(Auto_Sales_data___Copy[[#This Row],[Total_Sales_Per_Customer]],Table2[M-Cutoff],1)</f>
        <v>4</v>
      </c>
      <c r="Z1825" s="2" t="str">
        <f>Auto_Sales_data___Copy[[#This Row],[R-Score(1-5)]]&amp;Auto_Sales_data___Copy[[#This Row],[F-Score(1-5)]]&amp;Auto_Sales_data___Copy[[#This Row],[M-Score(1-5)]]</f>
        <v>244</v>
      </c>
      <c r="AA1825" s="2" t="str" cm="1">
        <f t="array" ref="AA18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5" s="2" t="str">
        <f>VLOOKUP(Auto_Sales_data___Copy[[#This Row],[Segment Name]],Table3[],2,FALSE)</f>
        <v>High-Touch  Win-Back</v>
      </c>
    </row>
    <row r="1826" spans="1:28" x14ac:dyDescent="0.25">
      <c r="A1826">
        <v>10227</v>
      </c>
      <c r="B1826">
        <v>47</v>
      </c>
      <c r="C1826">
        <v>88.14</v>
      </c>
      <c r="D1826">
        <v>14</v>
      </c>
      <c r="E1826">
        <v>4142.58</v>
      </c>
      <c r="F1826" s="1">
        <v>43526</v>
      </c>
      <c r="G1826" s="2" t="s">
        <v>19</v>
      </c>
      <c r="H1826" s="2" t="s">
        <v>183</v>
      </c>
      <c r="I1826">
        <v>90</v>
      </c>
      <c r="J1826" s="2" t="s">
        <v>676</v>
      </c>
      <c r="K1826" s="2" t="s">
        <v>224</v>
      </c>
      <c r="L1826" s="2" t="s">
        <v>225</v>
      </c>
      <c r="M1826" s="2" t="s">
        <v>226</v>
      </c>
      <c r="N1826" s="2" t="s">
        <v>227</v>
      </c>
      <c r="O1826" s="2" t="s">
        <v>228</v>
      </c>
      <c r="P1826" s="2" t="s">
        <v>36</v>
      </c>
      <c r="Q1826" s="2" t="s">
        <v>229</v>
      </c>
      <c r="R1826" s="2" t="s">
        <v>230</v>
      </c>
      <c r="S1826" s="2" t="s">
        <v>46</v>
      </c>
      <c r="T1826">
        <v>2101</v>
      </c>
      <c r="U1826">
        <f>VLOOKUP(Auto_Sales_data___Copy[[#This Row],[CUSTOMER_NAME]],$AF$2:$AH$90,2,FALSE)</f>
        <v>41</v>
      </c>
      <c r="V1826">
        <f>VLOOKUP(Auto_Sales_data___Copy[[#This Row],[CUSTOMER_NAME]],$AF$2:$AH$90,3,FALSE)</f>
        <v>142874.24999999997</v>
      </c>
      <c r="W1826" s="2">
        <f>6-MATCH(Auto_Sales_data___Copy[[#This Row],[DAYS_SINCE_LAST_ORDER]],Table2[R-Cutoff],1)</f>
        <v>2</v>
      </c>
      <c r="X1826" s="2">
        <f>MATCH(Auto_Sales_data___Copy[[#This Row],[Total_Orders_Per_Customer]],Table2[F-Cutoff],1)</f>
        <v>4</v>
      </c>
      <c r="Y1826" s="2">
        <f>MATCH(Auto_Sales_data___Copy[[#This Row],[Total_Sales_Per_Customer]],Table2[M-Cutoff],1)</f>
        <v>4</v>
      </c>
      <c r="Z1826" s="2" t="str">
        <f>Auto_Sales_data___Copy[[#This Row],[R-Score(1-5)]]&amp;Auto_Sales_data___Copy[[#This Row],[F-Score(1-5)]]&amp;Auto_Sales_data___Copy[[#This Row],[M-Score(1-5)]]</f>
        <v>244</v>
      </c>
      <c r="AA1826" s="2" t="str" cm="1">
        <f t="array" ref="AA18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6" s="2" t="str">
        <f>VLOOKUP(Auto_Sales_data___Copy[[#This Row],[Segment Name]],Table3[],2,FALSE)</f>
        <v>High-Touch  Win-Back</v>
      </c>
    </row>
    <row r="1827" spans="1:28" x14ac:dyDescent="0.25">
      <c r="A1827">
        <v>10227</v>
      </c>
      <c r="B1827">
        <v>33</v>
      </c>
      <c r="C1827">
        <v>131.53</v>
      </c>
      <c r="D1827">
        <v>13</v>
      </c>
      <c r="E1827">
        <v>4340.49</v>
      </c>
      <c r="F1827" s="1">
        <v>43526</v>
      </c>
      <c r="G1827" s="2" t="s">
        <v>19</v>
      </c>
      <c r="H1827" s="2" t="s">
        <v>183</v>
      </c>
      <c r="I1827">
        <v>117</v>
      </c>
      <c r="J1827" s="2" t="s">
        <v>679</v>
      </c>
      <c r="K1827" s="2" t="s">
        <v>224</v>
      </c>
      <c r="L1827" s="2" t="s">
        <v>225</v>
      </c>
      <c r="M1827" s="2" t="s">
        <v>226</v>
      </c>
      <c r="N1827" s="2" t="s">
        <v>227</v>
      </c>
      <c r="O1827" s="2" t="s">
        <v>228</v>
      </c>
      <c r="P1827" s="2" t="s">
        <v>36</v>
      </c>
      <c r="Q1827" s="2" t="s">
        <v>229</v>
      </c>
      <c r="R1827" s="2" t="s">
        <v>230</v>
      </c>
      <c r="S1827" s="2" t="s">
        <v>46</v>
      </c>
      <c r="T1827">
        <v>2177</v>
      </c>
      <c r="U1827">
        <f>VLOOKUP(Auto_Sales_data___Copy[[#This Row],[CUSTOMER_NAME]],$AF$2:$AH$90,2,FALSE)</f>
        <v>41</v>
      </c>
      <c r="V1827">
        <f>VLOOKUP(Auto_Sales_data___Copy[[#This Row],[CUSTOMER_NAME]],$AF$2:$AH$90,3,FALSE)</f>
        <v>142874.24999999997</v>
      </c>
      <c r="W1827" s="2">
        <f>6-MATCH(Auto_Sales_data___Copy[[#This Row],[DAYS_SINCE_LAST_ORDER]],Table2[R-Cutoff],1)</f>
        <v>2</v>
      </c>
      <c r="X1827" s="2">
        <f>MATCH(Auto_Sales_data___Copy[[#This Row],[Total_Orders_Per_Customer]],Table2[F-Cutoff],1)</f>
        <v>4</v>
      </c>
      <c r="Y1827" s="2">
        <f>MATCH(Auto_Sales_data___Copy[[#This Row],[Total_Sales_Per_Customer]],Table2[M-Cutoff],1)</f>
        <v>4</v>
      </c>
      <c r="Z1827" s="2" t="str">
        <f>Auto_Sales_data___Copy[[#This Row],[R-Score(1-5)]]&amp;Auto_Sales_data___Copy[[#This Row],[F-Score(1-5)]]&amp;Auto_Sales_data___Copy[[#This Row],[M-Score(1-5)]]</f>
        <v>244</v>
      </c>
      <c r="AA1827" s="2" t="str" cm="1">
        <f t="array" ref="AA18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7" s="2" t="str">
        <f>VLOOKUP(Auto_Sales_data___Copy[[#This Row],[Segment Name]],Table3[],2,FALSE)</f>
        <v>High-Touch  Win-Back</v>
      </c>
    </row>
    <row r="1828" spans="1:28" x14ac:dyDescent="0.25">
      <c r="A1828">
        <v>10227</v>
      </c>
      <c r="B1828">
        <v>40</v>
      </c>
      <c r="C1828">
        <v>79.62</v>
      </c>
      <c r="D1828">
        <v>15</v>
      </c>
      <c r="E1828">
        <v>3184.8</v>
      </c>
      <c r="F1828" s="1">
        <v>43526</v>
      </c>
      <c r="G1828" s="2" t="s">
        <v>19</v>
      </c>
      <c r="H1828" s="2" t="s">
        <v>183</v>
      </c>
      <c r="I1828">
        <v>85</v>
      </c>
      <c r="J1828" s="2" t="s">
        <v>682</v>
      </c>
      <c r="K1828" s="2" t="s">
        <v>224</v>
      </c>
      <c r="L1828" s="2" t="s">
        <v>225</v>
      </c>
      <c r="M1828" s="2" t="s">
        <v>226</v>
      </c>
      <c r="N1828" s="2" t="s">
        <v>227</v>
      </c>
      <c r="O1828" s="2" t="s">
        <v>228</v>
      </c>
      <c r="P1828" s="2" t="s">
        <v>36</v>
      </c>
      <c r="Q1828" s="2" t="s">
        <v>229</v>
      </c>
      <c r="R1828" s="2" t="s">
        <v>230</v>
      </c>
      <c r="S1828" s="2" t="s">
        <v>46</v>
      </c>
      <c r="T1828">
        <v>2250</v>
      </c>
      <c r="U1828">
        <f>VLOOKUP(Auto_Sales_data___Copy[[#This Row],[CUSTOMER_NAME]],$AF$2:$AH$90,2,FALSE)</f>
        <v>41</v>
      </c>
      <c r="V1828">
        <f>VLOOKUP(Auto_Sales_data___Copy[[#This Row],[CUSTOMER_NAME]],$AF$2:$AH$90,3,FALSE)</f>
        <v>142874.24999999997</v>
      </c>
      <c r="W1828" s="2">
        <f>6-MATCH(Auto_Sales_data___Copy[[#This Row],[DAYS_SINCE_LAST_ORDER]],Table2[R-Cutoff],1)</f>
        <v>2</v>
      </c>
      <c r="X1828" s="2">
        <f>MATCH(Auto_Sales_data___Copy[[#This Row],[Total_Orders_Per_Customer]],Table2[F-Cutoff],1)</f>
        <v>4</v>
      </c>
      <c r="Y1828" s="2">
        <f>MATCH(Auto_Sales_data___Copy[[#This Row],[Total_Sales_Per_Customer]],Table2[M-Cutoff],1)</f>
        <v>4</v>
      </c>
      <c r="Z1828" s="2" t="str">
        <f>Auto_Sales_data___Copy[[#This Row],[R-Score(1-5)]]&amp;Auto_Sales_data___Copy[[#This Row],[F-Score(1-5)]]&amp;Auto_Sales_data___Copy[[#This Row],[M-Score(1-5)]]</f>
        <v>244</v>
      </c>
      <c r="AA1828" s="2" t="str" cm="1">
        <f t="array" ref="AA18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8" s="2" t="str">
        <f>VLOOKUP(Auto_Sales_data___Copy[[#This Row],[Segment Name]],Table3[],2,FALSE)</f>
        <v>High-Touch  Win-Back</v>
      </c>
    </row>
    <row r="1829" spans="1:28" x14ac:dyDescent="0.25">
      <c r="A1829">
        <v>10227</v>
      </c>
      <c r="B1829">
        <v>27</v>
      </c>
      <c r="C1829">
        <v>43.9</v>
      </c>
      <c r="D1829">
        <v>8</v>
      </c>
      <c r="E1829">
        <v>1185.3</v>
      </c>
      <c r="F1829" s="1">
        <v>43526</v>
      </c>
      <c r="G1829" s="2" t="s">
        <v>19</v>
      </c>
      <c r="H1829" s="2" t="s">
        <v>589</v>
      </c>
      <c r="I1829">
        <v>41</v>
      </c>
      <c r="J1829" s="2" t="s">
        <v>689</v>
      </c>
      <c r="K1829" s="2" t="s">
        <v>224</v>
      </c>
      <c r="L1829" s="2" t="s">
        <v>225</v>
      </c>
      <c r="M1829" s="2" t="s">
        <v>226</v>
      </c>
      <c r="N1829" s="2" t="s">
        <v>227</v>
      </c>
      <c r="O1829" s="2" t="s">
        <v>228</v>
      </c>
      <c r="P1829" s="2" t="s">
        <v>36</v>
      </c>
      <c r="Q1829" s="2" t="s">
        <v>229</v>
      </c>
      <c r="R1829" s="2" t="s">
        <v>230</v>
      </c>
      <c r="S1829" s="2" t="s">
        <v>30</v>
      </c>
      <c r="T1829">
        <v>2425</v>
      </c>
      <c r="U1829">
        <f>VLOOKUP(Auto_Sales_data___Copy[[#This Row],[CUSTOMER_NAME]],$AF$2:$AH$90,2,FALSE)</f>
        <v>41</v>
      </c>
      <c r="V1829">
        <f>VLOOKUP(Auto_Sales_data___Copy[[#This Row],[CUSTOMER_NAME]],$AF$2:$AH$90,3,FALSE)</f>
        <v>142874.24999999997</v>
      </c>
      <c r="W1829" s="2">
        <f>6-MATCH(Auto_Sales_data___Copy[[#This Row],[DAYS_SINCE_LAST_ORDER]],Table2[R-Cutoff],1)</f>
        <v>2</v>
      </c>
      <c r="X1829" s="2">
        <f>MATCH(Auto_Sales_data___Copy[[#This Row],[Total_Orders_Per_Customer]],Table2[F-Cutoff],1)</f>
        <v>4</v>
      </c>
      <c r="Y1829" s="2">
        <f>MATCH(Auto_Sales_data___Copy[[#This Row],[Total_Sales_Per_Customer]],Table2[M-Cutoff],1)</f>
        <v>4</v>
      </c>
      <c r="Z1829" s="2" t="str">
        <f>Auto_Sales_data___Copy[[#This Row],[R-Score(1-5)]]&amp;Auto_Sales_data___Copy[[#This Row],[F-Score(1-5)]]&amp;Auto_Sales_data___Copy[[#This Row],[M-Score(1-5)]]</f>
        <v>244</v>
      </c>
      <c r="AA1829" s="2" t="str" cm="1">
        <f t="array" ref="AA18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9" s="2" t="str">
        <f>VLOOKUP(Auto_Sales_data___Copy[[#This Row],[Segment Name]],Table3[],2,FALSE)</f>
        <v>High-Touch  Win-Back</v>
      </c>
    </row>
    <row r="1830" spans="1:28" x14ac:dyDescent="0.25">
      <c r="A1830">
        <v>10229</v>
      </c>
      <c r="B1830">
        <v>48</v>
      </c>
      <c r="C1830">
        <v>118.84</v>
      </c>
      <c r="D1830">
        <v>6</v>
      </c>
      <c r="E1830">
        <v>5704.32</v>
      </c>
      <c r="F1830" s="1">
        <v>43535</v>
      </c>
      <c r="G1830" s="2" t="s">
        <v>19</v>
      </c>
      <c r="H1830" s="2" t="s">
        <v>537</v>
      </c>
      <c r="I1830">
        <v>127</v>
      </c>
      <c r="J1830" s="2" t="s">
        <v>674</v>
      </c>
      <c r="K1830" s="2" t="s">
        <v>284</v>
      </c>
      <c r="L1830" s="2" t="s">
        <v>285</v>
      </c>
      <c r="M1830" s="2" t="s">
        <v>286</v>
      </c>
      <c r="N1830" s="2" t="s">
        <v>287</v>
      </c>
      <c r="O1830" s="2" t="s">
        <v>106</v>
      </c>
      <c r="P1830" s="2" t="s">
        <v>27</v>
      </c>
      <c r="Q1830" s="2" t="s">
        <v>288</v>
      </c>
      <c r="R1830" s="2" t="s">
        <v>289</v>
      </c>
      <c r="S1830" s="2" t="s">
        <v>46</v>
      </c>
      <c r="T1830">
        <v>2043</v>
      </c>
      <c r="U1830">
        <f>VLOOKUP(Auto_Sales_data___Copy[[#This Row],[CUSTOMER_NAME]],$AF$2:$AH$90,2,FALSE)</f>
        <v>180</v>
      </c>
      <c r="V1830">
        <f>VLOOKUP(Auto_Sales_data___Copy[[#This Row],[CUSTOMER_NAME]],$AF$2:$AH$90,3,FALSE)</f>
        <v>654858.06000000017</v>
      </c>
      <c r="W1830" s="2">
        <f>6-MATCH(Auto_Sales_data___Copy[[#This Row],[DAYS_SINCE_LAST_ORDER]],Table2[R-Cutoff],1)</f>
        <v>2</v>
      </c>
      <c r="X1830" s="2">
        <f>MATCH(Auto_Sales_data___Copy[[#This Row],[Total_Orders_Per_Customer]],Table2[F-Cutoff],1)</f>
        <v>4</v>
      </c>
      <c r="Y1830" s="2">
        <f>MATCH(Auto_Sales_data___Copy[[#This Row],[Total_Sales_Per_Customer]],Table2[M-Cutoff],1)</f>
        <v>4</v>
      </c>
      <c r="Z1830" s="2" t="str">
        <f>Auto_Sales_data___Copy[[#This Row],[R-Score(1-5)]]&amp;Auto_Sales_data___Copy[[#This Row],[F-Score(1-5)]]&amp;Auto_Sales_data___Copy[[#This Row],[M-Score(1-5)]]</f>
        <v>244</v>
      </c>
      <c r="AA1830" s="2" t="str" cm="1">
        <f t="array" ref="AA18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0" s="2" t="str">
        <f>VLOOKUP(Auto_Sales_data___Copy[[#This Row],[Segment Name]],Table3[],2,FALSE)</f>
        <v>High-Touch  Win-Back</v>
      </c>
    </row>
    <row r="1831" spans="1:28" x14ac:dyDescent="0.25">
      <c r="A1831">
        <v>10229</v>
      </c>
      <c r="B1831">
        <v>33</v>
      </c>
      <c r="C1831">
        <v>32.880000000000003</v>
      </c>
      <c r="D1831">
        <v>2</v>
      </c>
      <c r="E1831">
        <v>1085.04</v>
      </c>
      <c r="F1831" s="1">
        <v>43535</v>
      </c>
      <c r="G1831" s="2" t="s">
        <v>19</v>
      </c>
      <c r="H1831" s="2" t="s">
        <v>183</v>
      </c>
      <c r="I1831">
        <v>35</v>
      </c>
      <c r="J1831" s="2" t="s">
        <v>677</v>
      </c>
      <c r="K1831" s="2" t="s">
        <v>284</v>
      </c>
      <c r="L1831" s="2" t="s">
        <v>285</v>
      </c>
      <c r="M1831" s="2" t="s">
        <v>286</v>
      </c>
      <c r="N1831" s="2" t="s">
        <v>287</v>
      </c>
      <c r="O1831" s="2" t="s">
        <v>106</v>
      </c>
      <c r="P1831" s="2" t="s">
        <v>27</v>
      </c>
      <c r="Q1831" s="2" t="s">
        <v>288</v>
      </c>
      <c r="R1831" s="2" t="s">
        <v>289</v>
      </c>
      <c r="S1831" s="2" t="s">
        <v>30</v>
      </c>
      <c r="T1831">
        <v>2117</v>
      </c>
      <c r="U1831">
        <f>VLOOKUP(Auto_Sales_data___Copy[[#This Row],[CUSTOMER_NAME]],$AF$2:$AH$90,2,FALSE)</f>
        <v>180</v>
      </c>
      <c r="V1831">
        <f>VLOOKUP(Auto_Sales_data___Copy[[#This Row],[CUSTOMER_NAME]],$AF$2:$AH$90,3,FALSE)</f>
        <v>654858.06000000017</v>
      </c>
      <c r="W1831" s="2">
        <f>6-MATCH(Auto_Sales_data___Copy[[#This Row],[DAYS_SINCE_LAST_ORDER]],Table2[R-Cutoff],1)</f>
        <v>2</v>
      </c>
      <c r="X1831" s="2">
        <f>MATCH(Auto_Sales_data___Copy[[#This Row],[Total_Orders_Per_Customer]],Table2[F-Cutoff],1)</f>
        <v>4</v>
      </c>
      <c r="Y1831" s="2">
        <f>MATCH(Auto_Sales_data___Copy[[#This Row],[Total_Sales_Per_Customer]],Table2[M-Cutoff],1)</f>
        <v>4</v>
      </c>
      <c r="Z1831" s="2" t="str">
        <f>Auto_Sales_data___Copy[[#This Row],[R-Score(1-5)]]&amp;Auto_Sales_data___Copy[[#This Row],[F-Score(1-5)]]&amp;Auto_Sales_data___Copy[[#This Row],[M-Score(1-5)]]</f>
        <v>244</v>
      </c>
      <c r="AA1831" s="2" t="str" cm="1">
        <f t="array" ref="AA18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1" s="2" t="str">
        <f>VLOOKUP(Auto_Sales_data___Copy[[#This Row],[Segment Name]],Table3[],2,FALSE)</f>
        <v>High-Touch  Win-Back</v>
      </c>
    </row>
    <row r="1832" spans="1:28" x14ac:dyDescent="0.25">
      <c r="A1832">
        <v>10229</v>
      </c>
      <c r="B1832">
        <v>25</v>
      </c>
      <c r="C1832">
        <v>111.72</v>
      </c>
      <c r="D1832">
        <v>8</v>
      </c>
      <c r="E1832">
        <v>2793</v>
      </c>
      <c r="F1832" s="1">
        <v>43535</v>
      </c>
      <c r="G1832" s="2" t="s">
        <v>19</v>
      </c>
      <c r="H1832" s="2" t="s">
        <v>537</v>
      </c>
      <c r="I1832">
        <v>96</v>
      </c>
      <c r="J1832" s="2" t="s">
        <v>694</v>
      </c>
      <c r="K1832" s="2" t="s">
        <v>284</v>
      </c>
      <c r="L1832" s="2" t="s">
        <v>285</v>
      </c>
      <c r="M1832" s="2" t="s">
        <v>286</v>
      </c>
      <c r="N1832" s="2" t="s">
        <v>287</v>
      </c>
      <c r="O1832" s="2" t="s">
        <v>106</v>
      </c>
      <c r="P1832" s="2" t="s">
        <v>27</v>
      </c>
      <c r="Q1832" s="2" t="s">
        <v>288</v>
      </c>
      <c r="R1832" s="2" t="s">
        <v>289</v>
      </c>
      <c r="S1832" s="2" t="s">
        <v>30</v>
      </c>
      <c r="T1832">
        <v>2536</v>
      </c>
      <c r="U1832">
        <f>VLOOKUP(Auto_Sales_data___Copy[[#This Row],[CUSTOMER_NAME]],$AF$2:$AH$90,2,FALSE)</f>
        <v>180</v>
      </c>
      <c r="V1832">
        <f>VLOOKUP(Auto_Sales_data___Copy[[#This Row],[CUSTOMER_NAME]],$AF$2:$AH$90,3,FALSE)</f>
        <v>654858.06000000017</v>
      </c>
      <c r="W1832" s="2">
        <f>6-MATCH(Auto_Sales_data___Copy[[#This Row],[DAYS_SINCE_LAST_ORDER]],Table2[R-Cutoff],1)</f>
        <v>2</v>
      </c>
      <c r="X1832" s="2">
        <f>MATCH(Auto_Sales_data___Copy[[#This Row],[Total_Orders_Per_Customer]],Table2[F-Cutoff],1)</f>
        <v>4</v>
      </c>
      <c r="Y1832" s="2">
        <f>MATCH(Auto_Sales_data___Copy[[#This Row],[Total_Sales_Per_Customer]],Table2[M-Cutoff],1)</f>
        <v>4</v>
      </c>
      <c r="Z1832" s="2" t="str">
        <f>Auto_Sales_data___Copy[[#This Row],[R-Score(1-5)]]&amp;Auto_Sales_data___Copy[[#This Row],[F-Score(1-5)]]&amp;Auto_Sales_data___Copy[[#This Row],[M-Score(1-5)]]</f>
        <v>244</v>
      </c>
      <c r="AA1832" s="2" t="str" cm="1">
        <f t="array" ref="AA18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2" s="2" t="str">
        <f>VLOOKUP(Auto_Sales_data___Copy[[#This Row],[Segment Name]],Table3[],2,FALSE)</f>
        <v>High-Touch  Win-Back</v>
      </c>
    </row>
    <row r="1833" spans="1:28" x14ac:dyDescent="0.25">
      <c r="A1833">
        <v>10238</v>
      </c>
      <c r="B1833">
        <v>47</v>
      </c>
      <c r="C1833">
        <v>62.45</v>
      </c>
      <c r="D1833">
        <v>2</v>
      </c>
      <c r="E1833">
        <v>2935.15</v>
      </c>
      <c r="F1833" s="1">
        <v>43564</v>
      </c>
      <c r="G1833" s="2" t="s">
        <v>19</v>
      </c>
      <c r="H1833" s="2" t="s">
        <v>183</v>
      </c>
      <c r="I1833">
        <v>61</v>
      </c>
      <c r="J1833" s="2" t="s">
        <v>683</v>
      </c>
      <c r="K1833" s="2" t="s">
        <v>339</v>
      </c>
      <c r="L1833" s="2" t="s">
        <v>340</v>
      </c>
      <c r="M1833" s="2" t="s">
        <v>341</v>
      </c>
      <c r="N1833" s="2" t="s">
        <v>342</v>
      </c>
      <c r="O1833" s="2" t="s">
        <v>343</v>
      </c>
      <c r="P1833" s="2" t="s">
        <v>344</v>
      </c>
      <c r="Q1833" s="2" t="s">
        <v>345</v>
      </c>
      <c r="R1833" s="2" t="s">
        <v>346</v>
      </c>
      <c r="S1833" s="2" t="s">
        <v>30</v>
      </c>
      <c r="T1833">
        <v>2236</v>
      </c>
      <c r="U1833">
        <f>VLOOKUP(Auto_Sales_data___Copy[[#This Row],[CUSTOMER_NAME]],$AF$2:$AH$90,2,FALSE)</f>
        <v>36</v>
      </c>
      <c r="V1833">
        <f>VLOOKUP(Auto_Sales_data___Copy[[#This Row],[CUSTOMER_NAME]],$AF$2:$AH$90,3,FALSE)</f>
        <v>145041.60000000001</v>
      </c>
      <c r="W1833" s="2">
        <f>6-MATCH(Auto_Sales_data___Copy[[#This Row],[DAYS_SINCE_LAST_ORDER]],Table2[R-Cutoff],1)</f>
        <v>2</v>
      </c>
      <c r="X1833" s="2">
        <f>MATCH(Auto_Sales_data___Copy[[#This Row],[Total_Orders_Per_Customer]],Table2[F-Cutoff],1)</f>
        <v>4</v>
      </c>
      <c r="Y1833" s="2">
        <f>MATCH(Auto_Sales_data___Copy[[#This Row],[Total_Sales_Per_Customer]],Table2[M-Cutoff],1)</f>
        <v>4</v>
      </c>
      <c r="Z1833" s="2" t="str">
        <f>Auto_Sales_data___Copy[[#This Row],[R-Score(1-5)]]&amp;Auto_Sales_data___Copy[[#This Row],[F-Score(1-5)]]&amp;Auto_Sales_data___Copy[[#This Row],[M-Score(1-5)]]</f>
        <v>244</v>
      </c>
      <c r="AA1833" s="2" t="str" cm="1">
        <f t="array" ref="AA18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3" s="2" t="str">
        <f>VLOOKUP(Auto_Sales_data___Copy[[#This Row],[Segment Name]],Table3[],2,FALSE)</f>
        <v>High-Touch  Win-Back</v>
      </c>
    </row>
    <row r="1834" spans="1:28" x14ac:dyDescent="0.25">
      <c r="A1834">
        <v>10238</v>
      </c>
      <c r="B1834">
        <v>22</v>
      </c>
      <c r="C1834">
        <v>93.77</v>
      </c>
      <c r="D1834">
        <v>7</v>
      </c>
      <c r="E1834">
        <v>2062.94</v>
      </c>
      <c r="F1834" s="1">
        <v>43564</v>
      </c>
      <c r="G1834" s="2" t="s">
        <v>19</v>
      </c>
      <c r="H1834" s="2" t="s">
        <v>183</v>
      </c>
      <c r="I1834">
        <v>80</v>
      </c>
      <c r="J1834" s="2" t="s">
        <v>693</v>
      </c>
      <c r="K1834" s="2" t="s">
        <v>339</v>
      </c>
      <c r="L1834" s="2" t="s">
        <v>340</v>
      </c>
      <c r="M1834" s="2" t="s">
        <v>341</v>
      </c>
      <c r="N1834" s="2" t="s">
        <v>342</v>
      </c>
      <c r="O1834" s="2" t="s">
        <v>343</v>
      </c>
      <c r="P1834" s="2" t="s">
        <v>344</v>
      </c>
      <c r="Q1834" s="2" t="s">
        <v>345</v>
      </c>
      <c r="R1834" s="2" t="s">
        <v>346</v>
      </c>
      <c r="S1834" s="2" t="s">
        <v>30</v>
      </c>
      <c r="T1834">
        <v>2482</v>
      </c>
      <c r="U1834">
        <f>VLOOKUP(Auto_Sales_data___Copy[[#This Row],[CUSTOMER_NAME]],$AF$2:$AH$90,2,FALSE)</f>
        <v>36</v>
      </c>
      <c r="V1834">
        <f>VLOOKUP(Auto_Sales_data___Copy[[#This Row],[CUSTOMER_NAME]],$AF$2:$AH$90,3,FALSE)</f>
        <v>145041.60000000001</v>
      </c>
      <c r="W1834" s="2">
        <f>6-MATCH(Auto_Sales_data___Copy[[#This Row],[DAYS_SINCE_LAST_ORDER]],Table2[R-Cutoff],1)</f>
        <v>2</v>
      </c>
      <c r="X1834" s="2">
        <f>MATCH(Auto_Sales_data___Copy[[#This Row],[Total_Orders_Per_Customer]],Table2[F-Cutoff],1)</f>
        <v>4</v>
      </c>
      <c r="Y1834" s="2">
        <f>MATCH(Auto_Sales_data___Copy[[#This Row],[Total_Sales_Per_Customer]],Table2[M-Cutoff],1)</f>
        <v>4</v>
      </c>
      <c r="Z1834" s="2" t="str">
        <f>Auto_Sales_data___Copy[[#This Row],[R-Score(1-5)]]&amp;Auto_Sales_data___Copy[[#This Row],[F-Score(1-5)]]&amp;Auto_Sales_data___Copy[[#This Row],[M-Score(1-5)]]</f>
        <v>244</v>
      </c>
      <c r="AA1834" s="2" t="str" cm="1">
        <f t="array" ref="AA18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4" s="2" t="str">
        <f>VLOOKUP(Auto_Sales_data___Copy[[#This Row],[Segment Name]],Table3[],2,FALSE)</f>
        <v>High-Touch  Win-Back</v>
      </c>
    </row>
    <row r="1835" spans="1:28" x14ac:dyDescent="0.25">
      <c r="A1835">
        <v>10239</v>
      </c>
      <c r="B1835">
        <v>20</v>
      </c>
      <c r="C1835">
        <v>44.56</v>
      </c>
      <c r="D1835">
        <v>2</v>
      </c>
      <c r="E1835">
        <v>891.2</v>
      </c>
      <c r="F1835" s="1">
        <v>43567</v>
      </c>
      <c r="G1835" s="2" t="s">
        <v>19</v>
      </c>
      <c r="H1835" s="2" t="s">
        <v>183</v>
      </c>
      <c r="I1835">
        <v>37</v>
      </c>
      <c r="J1835" s="2" t="s">
        <v>680</v>
      </c>
      <c r="K1835" s="2" t="s">
        <v>411</v>
      </c>
      <c r="L1835" s="2" t="s">
        <v>412</v>
      </c>
      <c r="M1835" s="2" t="s">
        <v>413</v>
      </c>
      <c r="N1835" s="2" t="s">
        <v>414</v>
      </c>
      <c r="O1835" s="2" t="s">
        <v>415</v>
      </c>
      <c r="P1835" s="2" t="s">
        <v>127</v>
      </c>
      <c r="Q1835" s="2" t="s">
        <v>416</v>
      </c>
      <c r="R1835" s="2" t="s">
        <v>417</v>
      </c>
      <c r="S1835" s="2" t="s">
        <v>30</v>
      </c>
      <c r="T1835">
        <v>2159</v>
      </c>
      <c r="U1835">
        <f>VLOOKUP(Auto_Sales_data___Copy[[#This Row],[CUSTOMER_NAME]],$AF$2:$AH$90,2,FALSE)</f>
        <v>32</v>
      </c>
      <c r="V1835">
        <f>VLOOKUP(Auto_Sales_data___Copy[[#This Row],[CUSTOMER_NAME]],$AF$2:$AH$90,3,FALSE)</f>
        <v>104370.37999999999</v>
      </c>
      <c r="W1835" s="2">
        <f>6-MATCH(Auto_Sales_data___Copy[[#This Row],[DAYS_SINCE_LAST_ORDER]],Table2[R-Cutoff],1)</f>
        <v>2</v>
      </c>
      <c r="X1835" s="2">
        <f>MATCH(Auto_Sales_data___Copy[[#This Row],[Total_Orders_Per_Customer]],Table2[F-Cutoff],1)</f>
        <v>4</v>
      </c>
      <c r="Y1835" s="2">
        <f>MATCH(Auto_Sales_data___Copy[[#This Row],[Total_Sales_Per_Customer]],Table2[M-Cutoff],1)</f>
        <v>4</v>
      </c>
      <c r="Z1835" s="2" t="str">
        <f>Auto_Sales_data___Copy[[#This Row],[R-Score(1-5)]]&amp;Auto_Sales_data___Copy[[#This Row],[F-Score(1-5)]]&amp;Auto_Sales_data___Copy[[#This Row],[M-Score(1-5)]]</f>
        <v>244</v>
      </c>
      <c r="AA1835" s="2" t="str" cm="1">
        <f t="array" ref="AA18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5" s="2" t="str">
        <f>VLOOKUP(Auto_Sales_data___Copy[[#This Row],[Segment Name]],Table3[],2,FALSE)</f>
        <v>High-Touch  Win-Back</v>
      </c>
    </row>
    <row r="1836" spans="1:28" x14ac:dyDescent="0.25">
      <c r="A1836">
        <v>10239</v>
      </c>
      <c r="B1836">
        <v>29</v>
      </c>
      <c r="C1836">
        <v>154.47</v>
      </c>
      <c r="D1836">
        <v>3</v>
      </c>
      <c r="E1836">
        <v>4479.63</v>
      </c>
      <c r="F1836" s="1">
        <v>43567</v>
      </c>
      <c r="G1836" s="2" t="s">
        <v>19</v>
      </c>
      <c r="H1836" s="2" t="s">
        <v>183</v>
      </c>
      <c r="I1836">
        <v>140</v>
      </c>
      <c r="J1836" s="2" t="s">
        <v>687</v>
      </c>
      <c r="K1836" s="2" t="s">
        <v>411</v>
      </c>
      <c r="L1836" s="2" t="s">
        <v>412</v>
      </c>
      <c r="M1836" s="2" t="s">
        <v>413</v>
      </c>
      <c r="N1836" s="2" t="s">
        <v>414</v>
      </c>
      <c r="O1836" s="2" t="s">
        <v>415</v>
      </c>
      <c r="P1836" s="2" t="s">
        <v>127</v>
      </c>
      <c r="Q1836" s="2" t="s">
        <v>416</v>
      </c>
      <c r="R1836" s="2" t="s">
        <v>417</v>
      </c>
      <c r="S1836" s="2" t="s">
        <v>46</v>
      </c>
      <c r="T1836">
        <v>2332</v>
      </c>
      <c r="U1836">
        <f>VLOOKUP(Auto_Sales_data___Copy[[#This Row],[CUSTOMER_NAME]],$AF$2:$AH$90,2,FALSE)</f>
        <v>32</v>
      </c>
      <c r="V1836">
        <f>VLOOKUP(Auto_Sales_data___Copy[[#This Row],[CUSTOMER_NAME]],$AF$2:$AH$90,3,FALSE)</f>
        <v>104370.37999999999</v>
      </c>
      <c r="W1836" s="2">
        <f>6-MATCH(Auto_Sales_data___Copy[[#This Row],[DAYS_SINCE_LAST_ORDER]],Table2[R-Cutoff],1)</f>
        <v>2</v>
      </c>
      <c r="X1836" s="2">
        <f>MATCH(Auto_Sales_data___Copy[[#This Row],[Total_Orders_Per_Customer]],Table2[F-Cutoff],1)</f>
        <v>4</v>
      </c>
      <c r="Y1836" s="2">
        <f>MATCH(Auto_Sales_data___Copy[[#This Row],[Total_Sales_Per_Customer]],Table2[M-Cutoff],1)</f>
        <v>4</v>
      </c>
      <c r="Z1836" s="2" t="str">
        <f>Auto_Sales_data___Copy[[#This Row],[R-Score(1-5)]]&amp;Auto_Sales_data___Copy[[#This Row],[F-Score(1-5)]]&amp;Auto_Sales_data___Copy[[#This Row],[M-Score(1-5)]]</f>
        <v>244</v>
      </c>
      <c r="AA1836" s="2" t="str" cm="1">
        <f t="array" ref="AA18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6" s="2" t="str">
        <f>VLOOKUP(Auto_Sales_data___Copy[[#This Row],[Segment Name]],Table3[],2,FALSE)</f>
        <v>High-Touch  Win-Back</v>
      </c>
    </row>
    <row r="1837" spans="1:28" x14ac:dyDescent="0.25">
      <c r="A1837">
        <v>10248</v>
      </c>
      <c r="B1837">
        <v>30</v>
      </c>
      <c r="C1837">
        <v>101.79</v>
      </c>
      <c r="D1837">
        <v>5</v>
      </c>
      <c r="E1837">
        <v>3053.7</v>
      </c>
      <c r="F1837" s="1">
        <v>43592</v>
      </c>
      <c r="G1837" s="2" t="s">
        <v>358</v>
      </c>
      <c r="H1837" s="2" t="s">
        <v>589</v>
      </c>
      <c r="I1837">
        <v>88</v>
      </c>
      <c r="J1837" s="2" t="s">
        <v>681</v>
      </c>
      <c r="K1837" s="2" t="s">
        <v>22</v>
      </c>
      <c r="L1837" s="2" t="s">
        <v>23</v>
      </c>
      <c r="M1837" s="2" t="s">
        <v>24</v>
      </c>
      <c r="N1837" s="2" t="s">
        <v>25</v>
      </c>
      <c r="O1837" s="2" t="s">
        <v>26</v>
      </c>
      <c r="P1837" s="2" t="s">
        <v>27</v>
      </c>
      <c r="Q1837" s="2" t="s">
        <v>28</v>
      </c>
      <c r="R1837" s="2" t="s">
        <v>29</v>
      </c>
      <c r="S1837" s="2" t="s">
        <v>46</v>
      </c>
      <c r="T1837">
        <v>2162</v>
      </c>
      <c r="U1837">
        <f>VLOOKUP(Auto_Sales_data___Copy[[#This Row],[CUSTOMER_NAME]],$AF$2:$AH$90,2,FALSE)</f>
        <v>49</v>
      </c>
      <c r="V1837">
        <f>VLOOKUP(Auto_Sales_data___Copy[[#This Row],[CUSTOMER_NAME]],$AF$2:$AH$90,3,FALSE)</f>
        <v>164069.43999999997</v>
      </c>
      <c r="W1837" s="2">
        <f>6-MATCH(Auto_Sales_data___Copy[[#This Row],[DAYS_SINCE_LAST_ORDER]],Table2[R-Cutoff],1)</f>
        <v>2</v>
      </c>
      <c r="X1837" s="2">
        <f>MATCH(Auto_Sales_data___Copy[[#This Row],[Total_Orders_Per_Customer]],Table2[F-Cutoff],1)</f>
        <v>4</v>
      </c>
      <c r="Y1837" s="2">
        <f>MATCH(Auto_Sales_data___Copy[[#This Row],[Total_Sales_Per_Customer]],Table2[M-Cutoff],1)</f>
        <v>4</v>
      </c>
      <c r="Z1837" s="2" t="str">
        <f>Auto_Sales_data___Copy[[#This Row],[R-Score(1-5)]]&amp;Auto_Sales_data___Copy[[#This Row],[F-Score(1-5)]]&amp;Auto_Sales_data___Copy[[#This Row],[M-Score(1-5)]]</f>
        <v>244</v>
      </c>
      <c r="AA1837" s="2" t="str" cm="1">
        <f t="array" ref="AA18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7" s="2" t="str">
        <f>VLOOKUP(Auto_Sales_data___Copy[[#This Row],[Segment Name]],Table3[],2,FALSE)</f>
        <v>High-Touch  Win-Back</v>
      </c>
    </row>
    <row r="1838" spans="1:28" x14ac:dyDescent="0.25">
      <c r="A1838">
        <v>10248</v>
      </c>
      <c r="B1838">
        <v>23</v>
      </c>
      <c r="C1838">
        <v>76.31</v>
      </c>
      <c r="D1838">
        <v>2</v>
      </c>
      <c r="E1838">
        <v>1755.13</v>
      </c>
      <c r="F1838" s="1">
        <v>43592</v>
      </c>
      <c r="G1838" s="2" t="s">
        <v>358</v>
      </c>
      <c r="H1838" s="2" t="s">
        <v>589</v>
      </c>
      <c r="I1838">
        <v>83</v>
      </c>
      <c r="J1838" s="2" t="s">
        <v>686</v>
      </c>
      <c r="K1838" s="2" t="s">
        <v>22</v>
      </c>
      <c r="L1838" s="2" t="s">
        <v>23</v>
      </c>
      <c r="M1838" s="2" t="s">
        <v>24</v>
      </c>
      <c r="N1838" s="2" t="s">
        <v>25</v>
      </c>
      <c r="O1838" s="2" t="s">
        <v>26</v>
      </c>
      <c r="P1838" s="2" t="s">
        <v>27</v>
      </c>
      <c r="Q1838" s="2" t="s">
        <v>28</v>
      </c>
      <c r="R1838" s="2" t="s">
        <v>29</v>
      </c>
      <c r="S1838" s="2" t="s">
        <v>30</v>
      </c>
      <c r="T1838">
        <v>2282</v>
      </c>
      <c r="U1838">
        <f>VLOOKUP(Auto_Sales_data___Copy[[#This Row],[CUSTOMER_NAME]],$AF$2:$AH$90,2,FALSE)</f>
        <v>49</v>
      </c>
      <c r="V1838">
        <f>VLOOKUP(Auto_Sales_data___Copy[[#This Row],[CUSTOMER_NAME]],$AF$2:$AH$90,3,FALSE)</f>
        <v>164069.43999999997</v>
      </c>
      <c r="W1838" s="2">
        <f>6-MATCH(Auto_Sales_data___Copy[[#This Row],[DAYS_SINCE_LAST_ORDER]],Table2[R-Cutoff],1)</f>
        <v>2</v>
      </c>
      <c r="X1838" s="2">
        <f>MATCH(Auto_Sales_data___Copy[[#This Row],[Total_Orders_Per_Customer]],Table2[F-Cutoff],1)</f>
        <v>4</v>
      </c>
      <c r="Y1838" s="2">
        <f>MATCH(Auto_Sales_data___Copy[[#This Row],[Total_Sales_Per_Customer]],Table2[M-Cutoff],1)</f>
        <v>4</v>
      </c>
      <c r="Z1838" s="2" t="str">
        <f>Auto_Sales_data___Copy[[#This Row],[R-Score(1-5)]]&amp;Auto_Sales_data___Copy[[#This Row],[F-Score(1-5)]]&amp;Auto_Sales_data___Copy[[#This Row],[M-Score(1-5)]]</f>
        <v>244</v>
      </c>
      <c r="AA1838" s="2" t="str" cm="1">
        <f t="array" ref="AA18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8" s="2" t="str">
        <f>VLOOKUP(Auto_Sales_data___Copy[[#This Row],[Segment Name]],Table3[],2,FALSE)</f>
        <v>High-Touch  Win-Back</v>
      </c>
    </row>
    <row r="1839" spans="1:28" x14ac:dyDescent="0.25">
      <c r="A1839">
        <v>10250</v>
      </c>
      <c r="B1839">
        <v>40</v>
      </c>
      <c r="C1839">
        <v>75.06</v>
      </c>
      <c r="D1839">
        <v>13</v>
      </c>
      <c r="E1839">
        <v>3002.4</v>
      </c>
      <c r="F1839" s="1">
        <v>43596</v>
      </c>
      <c r="G1839" s="2" t="s">
        <v>19</v>
      </c>
      <c r="H1839" s="2" t="s">
        <v>607</v>
      </c>
      <c r="I1839">
        <v>68</v>
      </c>
      <c r="J1839" s="2" t="s">
        <v>688</v>
      </c>
      <c r="K1839" s="2" t="s">
        <v>418</v>
      </c>
      <c r="L1839" s="2" t="s">
        <v>419</v>
      </c>
      <c r="M1839" s="2" t="s">
        <v>420</v>
      </c>
      <c r="N1839" s="2" t="s">
        <v>421</v>
      </c>
      <c r="O1839" s="2" t="s">
        <v>58</v>
      </c>
      <c r="P1839" s="2" t="s">
        <v>27</v>
      </c>
      <c r="Q1839" s="2" t="s">
        <v>93</v>
      </c>
      <c r="R1839" s="2" t="s">
        <v>422</v>
      </c>
      <c r="S1839" s="2" t="s">
        <v>46</v>
      </c>
      <c r="T1839">
        <v>2330</v>
      </c>
      <c r="U1839">
        <f>VLOOKUP(Auto_Sales_data___Copy[[#This Row],[CUSTOMER_NAME]],$AF$2:$AH$90,2,FALSE)</f>
        <v>40</v>
      </c>
      <c r="V1839">
        <f>VLOOKUP(Auto_Sales_data___Copy[[#This Row],[CUSTOMER_NAME]],$AF$2:$AH$90,3,FALSE)</f>
        <v>160010.27000000005</v>
      </c>
      <c r="W1839" s="2">
        <f>6-MATCH(Auto_Sales_data___Copy[[#This Row],[DAYS_SINCE_LAST_ORDER]],Table2[R-Cutoff],1)</f>
        <v>2</v>
      </c>
      <c r="X1839" s="2">
        <f>MATCH(Auto_Sales_data___Copy[[#This Row],[Total_Orders_Per_Customer]],Table2[F-Cutoff],1)</f>
        <v>4</v>
      </c>
      <c r="Y1839" s="2">
        <f>MATCH(Auto_Sales_data___Copy[[#This Row],[Total_Sales_Per_Customer]],Table2[M-Cutoff],1)</f>
        <v>4</v>
      </c>
      <c r="Z1839" s="2" t="str">
        <f>Auto_Sales_data___Copy[[#This Row],[R-Score(1-5)]]&amp;Auto_Sales_data___Copy[[#This Row],[F-Score(1-5)]]&amp;Auto_Sales_data___Copy[[#This Row],[M-Score(1-5)]]</f>
        <v>244</v>
      </c>
      <c r="AA1839" s="2" t="str" cm="1">
        <f t="array" ref="AA18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9" s="2" t="str">
        <f>VLOOKUP(Auto_Sales_data___Copy[[#This Row],[Segment Name]],Table3[],2,FALSE)</f>
        <v>High-Touch  Win-Back</v>
      </c>
    </row>
    <row r="1840" spans="1:28" x14ac:dyDescent="0.25">
      <c r="A1840">
        <v>10250</v>
      </c>
      <c r="B1840">
        <v>37</v>
      </c>
      <c r="C1840">
        <v>74.62</v>
      </c>
      <c r="D1840">
        <v>5</v>
      </c>
      <c r="E1840">
        <v>2760.94</v>
      </c>
      <c r="F1840" s="1">
        <v>43596</v>
      </c>
      <c r="G1840" s="2" t="s">
        <v>19</v>
      </c>
      <c r="H1840" s="2" t="s">
        <v>607</v>
      </c>
      <c r="I1840">
        <v>72</v>
      </c>
      <c r="J1840" s="2" t="s">
        <v>692</v>
      </c>
      <c r="K1840" s="2" t="s">
        <v>418</v>
      </c>
      <c r="L1840" s="2" t="s">
        <v>419</v>
      </c>
      <c r="M1840" s="2" t="s">
        <v>420</v>
      </c>
      <c r="N1840" s="2" t="s">
        <v>421</v>
      </c>
      <c r="O1840" s="2" t="s">
        <v>58</v>
      </c>
      <c r="P1840" s="2" t="s">
        <v>27</v>
      </c>
      <c r="Q1840" s="2" t="s">
        <v>93</v>
      </c>
      <c r="R1840" s="2" t="s">
        <v>422</v>
      </c>
      <c r="S1840" s="2" t="s">
        <v>30</v>
      </c>
      <c r="T1840">
        <v>2425</v>
      </c>
      <c r="U1840">
        <f>VLOOKUP(Auto_Sales_data___Copy[[#This Row],[CUSTOMER_NAME]],$AF$2:$AH$90,2,FALSE)</f>
        <v>40</v>
      </c>
      <c r="V1840">
        <f>VLOOKUP(Auto_Sales_data___Copy[[#This Row],[CUSTOMER_NAME]],$AF$2:$AH$90,3,FALSE)</f>
        <v>160010.27000000005</v>
      </c>
      <c r="W1840" s="2">
        <f>6-MATCH(Auto_Sales_data___Copy[[#This Row],[DAYS_SINCE_LAST_ORDER]],Table2[R-Cutoff],1)</f>
        <v>2</v>
      </c>
      <c r="X1840" s="2">
        <f>MATCH(Auto_Sales_data___Copy[[#This Row],[Total_Orders_Per_Customer]],Table2[F-Cutoff],1)</f>
        <v>4</v>
      </c>
      <c r="Y1840" s="2">
        <f>MATCH(Auto_Sales_data___Copy[[#This Row],[Total_Sales_Per_Customer]],Table2[M-Cutoff],1)</f>
        <v>4</v>
      </c>
      <c r="Z1840" s="2" t="str">
        <f>Auto_Sales_data___Copy[[#This Row],[R-Score(1-5)]]&amp;Auto_Sales_data___Copy[[#This Row],[F-Score(1-5)]]&amp;Auto_Sales_data___Copy[[#This Row],[M-Score(1-5)]]</f>
        <v>244</v>
      </c>
      <c r="AA1840" s="2" t="str" cm="1">
        <f t="array" ref="AA18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0" s="2" t="str">
        <f>VLOOKUP(Auto_Sales_data___Copy[[#This Row],[Segment Name]],Table3[],2,FALSE)</f>
        <v>High-Touch  Win-Back</v>
      </c>
    </row>
    <row r="1841" spans="1:28" x14ac:dyDescent="0.25">
      <c r="A1841">
        <v>10250</v>
      </c>
      <c r="B1841">
        <v>31</v>
      </c>
      <c r="C1841">
        <v>105.88</v>
      </c>
      <c r="D1841">
        <v>2</v>
      </c>
      <c r="E1841">
        <v>3282.28</v>
      </c>
      <c r="F1841" s="1">
        <v>43596</v>
      </c>
      <c r="G1841" s="2" t="s">
        <v>19</v>
      </c>
      <c r="H1841" s="2" t="s">
        <v>20</v>
      </c>
      <c r="I1841">
        <v>99</v>
      </c>
      <c r="J1841" s="2" t="s">
        <v>695</v>
      </c>
      <c r="K1841" s="2" t="s">
        <v>418</v>
      </c>
      <c r="L1841" s="2" t="s">
        <v>419</v>
      </c>
      <c r="M1841" s="2" t="s">
        <v>420</v>
      </c>
      <c r="N1841" s="2" t="s">
        <v>421</v>
      </c>
      <c r="O1841" s="2" t="s">
        <v>58</v>
      </c>
      <c r="P1841" s="2" t="s">
        <v>27</v>
      </c>
      <c r="Q1841" s="2" t="s">
        <v>93</v>
      </c>
      <c r="R1841" s="2" t="s">
        <v>422</v>
      </c>
      <c r="S1841" s="2" t="s">
        <v>46</v>
      </c>
      <c r="T1841">
        <v>2500</v>
      </c>
      <c r="U1841">
        <f>VLOOKUP(Auto_Sales_data___Copy[[#This Row],[CUSTOMER_NAME]],$AF$2:$AH$90,2,FALSE)</f>
        <v>40</v>
      </c>
      <c r="V1841">
        <f>VLOOKUP(Auto_Sales_data___Copy[[#This Row],[CUSTOMER_NAME]],$AF$2:$AH$90,3,FALSE)</f>
        <v>160010.27000000005</v>
      </c>
      <c r="W1841" s="2">
        <f>6-MATCH(Auto_Sales_data___Copy[[#This Row],[DAYS_SINCE_LAST_ORDER]],Table2[R-Cutoff],1)</f>
        <v>2</v>
      </c>
      <c r="X1841" s="2">
        <f>MATCH(Auto_Sales_data___Copy[[#This Row],[Total_Orders_Per_Customer]],Table2[F-Cutoff],1)</f>
        <v>4</v>
      </c>
      <c r="Y1841" s="2">
        <f>MATCH(Auto_Sales_data___Copy[[#This Row],[Total_Sales_Per_Customer]],Table2[M-Cutoff],1)</f>
        <v>4</v>
      </c>
      <c r="Z1841" s="2" t="str">
        <f>Auto_Sales_data___Copy[[#This Row],[R-Score(1-5)]]&amp;Auto_Sales_data___Copy[[#This Row],[F-Score(1-5)]]&amp;Auto_Sales_data___Copy[[#This Row],[M-Score(1-5)]]</f>
        <v>244</v>
      </c>
      <c r="AA1841" s="2" t="str" cm="1">
        <f t="array" ref="AA18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1" s="2" t="str">
        <f>VLOOKUP(Auto_Sales_data___Copy[[#This Row],[Segment Name]],Table3[],2,FALSE)</f>
        <v>High-Touch  Win-Back</v>
      </c>
    </row>
    <row r="1842" spans="1:28" x14ac:dyDescent="0.25">
      <c r="A1842">
        <v>10253</v>
      </c>
      <c r="B1842">
        <v>40</v>
      </c>
      <c r="C1842">
        <v>42.67</v>
      </c>
      <c r="D1842">
        <v>7</v>
      </c>
      <c r="E1842">
        <v>1706.8</v>
      </c>
      <c r="F1842" s="1">
        <v>43617</v>
      </c>
      <c r="G1842" s="2" t="s">
        <v>358</v>
      </c>
      <c r="H1842" s="2" t="s">
        <v>183</v>
      </c>
      <c r="I1842">
        <v>37</v>
      </c>
      <c r="J1842" s="2" t="s">
        <v>680</v>
      </c>
      <c r="K1842" s="2" t="s">
        <v>166</v>
      </c>
      <c r="L1842" s="2" t="s">
        <v>167</v>
      </c>
      <c r="M1842" s="2" t="s">
        <v>168</v>
      </c>
      <c r="N1842" s="2" t="s">
        <v>169</v>
      </c>
      <c r="O1842" s="2" t="s">
        <v>170</v>
      </c>
      <c r="P1842" s="2" t="s">
        <v>171</v>
      </c>
      <c r="Q1842" s="2" t="s">
        <v>172</v>
      </c>
      <c r="R1842" s="2" t="s">
        <v>173</v>
      </c>
      <c r="S1842" s="2" t="s">
        <v>30</v>
      </c>
      <c r="T1842">
        <v>2110</v>
      </c>
      <c r="U1842">
        <f>VLOOKUP(Auto_Sales_data___Copy[[#This Row],[CUSTOMER_NAME]],$AF$2:$AH$90,2,FALSE)</f>
        <v>29</v>
      </c>
      <c r="V1842">
        <f>VLOOKUP(Auto_Sales_data___Copy[[#This Row],[CUSTOMER_NAME]],$AF$2:$AH$90,3,FALSE)</f>
        <v>118008.26999999999</v>
      </c>
      <c r="W1842" s="2">
        <f>6-MATCH(Auto_Sales_data___Copy[[#This Row],[DAYS_SINCE_LAST_ORDER]],Table2[R-Cutoff],1)</f>
        <v>2</v>
      </c>
      <c r="X1842" s="2">
        <f>MATCH(Auto_Sales_data___Copy[[#This Row],[Total_Orders_Per_Customer]],Table2[F-Cutoff],1)</f>
        <v>4</v>
      </c>
      <c r="Y1842" s="2">
        <f>MATCH(Auto_Sales_data___Copy[[#This Row],[Total_Sales_Per_Customer]],Table2[M-Cutoff],1)</f>
        <v>4</v>
      </c>
      <c r="Z1842" s="2" t="str">
        <f>Auto_Sales_data___Copy[[#This Row],[R-Score(1-5)]]&amp;Auto_Sales_data___Copy[[#This Row],[F-Score(1-5)]]&amp;Auto_Sales_data___Copy[[#This Row],[M-Score(1-5)]]</f>
        <v>244</v>
      </c>
      <c r="AA1842" s="2" t="str" cm="1">
        <f t="array" ref="AA18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2" s="2" t="str">
        <f>VLOOKUP(Auto_Sales_data___Copy[[#This Row],[Segment Name]],Table3[],2,FALSE)</f>
        <v>High-Touch  Win-Back</v>
      </c>
    </row>
    <row r="1843" spans="1:28" x14ac:dyDescent="0.25">
      <c r="A1843">
        <v>10253</v>
      </c>
      <c r="B1843">
        <v>24</v>
      </c>
      <c r="C1843">
        <v>52.66</v>
      </c>
      <c r="D1843">
        <v>12</v>
      </c>
      <c r="E1843">
        <v>1263.8399999999999</v>
      </c>
      <c r="F1843" s="1">
        <v>43617</v>
      </c>
      <c r="G1843" s="2" t="s">
        <v>358</v>
      </c>
      <c r="H1843" s="2" t="s">
        <v>183</v>
      </c>
      <c r="I1843">
        <v>61</v>
      </c>
      <c r="J1843" s="2" t="s">
        <v>683</v>
      </c>
      <c r="K1843" s="2" t="s">
        <v>166</v>
      </c>
      <c r="L1843" s="2" t="s">
        <v>167</v>
      </c>
      <c r="M1843" s="2" t="s">
        <v>168</v>
      </c>
      <c r="N1843" s="2" t="s">
        <v>169</v>
      </c>
      <c r="O1843" s="2" t="s">
        <v>170</v>
      </c>
      <c r="P1843" s="2" t="s">
        <v>171</v>
      </c>
      <c r="Q1843" s="2" t="s">
        <v>172</v>
      </c>
      <c r="R1843" s="2" t="s">
        <v>173</v>
      </c>
      <c r="S1843" s="2" t="s">
        <v>30</v>
      </c>
      <c r="T1843">
        <v>2184</v>
      </c>
      <c r="U1843">
        <f>VLOOKUP(Auto_Sales_data___Copy[[#This Row],[CUSTOMER_NAME]],$AF$2:$AH$90,2,FALSE)</f>
        <v>29</v>
      </c>
      <c r="V1843">
        <f>VLOOKUP(Auto_Sales_data___Copy[[#This Row],[CUSTOMER_NAME]],$AF$2:$AH$90,3,FALSE)</f>
        <v>118008.26999999999</v>
      </c>
      <c r="W1843" s="2">
        <f>6-MATCH(Auto_Sales_data___Copy[[#This Row],[DAYS_SINCE_LAST_ORDER]],Table2[R-Cutoff],1)</f>
        <v>2</v>
      </c>
      <c r="X1843" s="2">
        <f>MATCH(Auto_Sales_data___Copy[[#This Row],[Total_Orders_Per_Customer]],Table2[F-Cutoff],1)</f>
        <v>4</v>
      </c>
      <c r="Y1843" s="2">
        <f>MATCH(Auto_Sales_data___Copy[[#This Row],[Total_Sales_Per_Customer]],Table2[M-Cutoff],1)</f>
        <v>4</v>
      </c>
      <c r="Z1843" s="2" t="str">
        <f>Auto_Sales_data___Copy[[#This Row],[R-Score(1-5)]]&amp;Auto_Sales_data___Copy[[#This Row],[F-Score(1-5)]]&amp;Auto_Sales_data___Copy[[#This Row],[M-Score(1-5)]]</f>
        <v>244</v>
      </c>
      <c r="AA1843" s="2" t="str" cm="1">
        <f t="array" ref="AA18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3" s="2" t="str">
        <f>VLOOKUP(Auto_Sales_data___Copy[[#This Row],[Segment Name]],Table3[],2,FALSE)</f>
        <v>High-Touch  Win-Back</v>
      </c>
    </row>
    <row r="1844" spans="1:28" x14ac:dyDescent="0.25">
      <c r="A1844">
        <v>10253</v>
      </c>
      <c r="B1844">
        <v>39</v>
      </c>
      <c r="C1844">
        <v>132</v>
      </c>
      <c r="D1844">
        <v>8</v>
      </c>
      <c r="E1844">
        <v>5148</v>
      </c>
      <c r="F1844" s="1">
        <v>43617</v>
      </c>
      <c r="G1844" s="2" t="s">
        <v>358</v>
      </c>
      <c r="H1844" s="2" t="s">
        <v>183</v>
      </c>
      <c r="I1844">
        <v>140</v>
      </c>
      <c r="J1844" s="2" t="s">
        <v>687</v>
      </c>
      <c r="K1844" s="2" t="s">
        <v>166</v>
      </c>
      <c r="L1844" s="2" t="s">
        <v>167</v>
      </c>
      <c r="M1844" s="2" t="s">
        <v>168</v>
      </c>
      <c r="N1844" s="2" t="s">
        <v>169</v>
      </c>
      <c r="O1844" s="2" t="s">
        <v>170</v>
      </c>
      <c r="P1844" s="2" t="s">
        <v>171</v>
      </c>
      <c r="Q1844" s="2" t="s">
        <v>172</v>
      </c>
      <c r="R1844" s="2" t="s">
        <v>173</v>
      </c>
      <c r="S1844" s="2" t="s">
        <v>46</v>
      </c>
      <c r="T1844">
        <v>2283</v>
      </c>
      <c r="U1844">
        <f>VLOOKUP(Auto_Sales_data___Copy[[#This Row],[CUSTOMER_NAME]],$AF$2:$AH$90,2,FALSE)</f>
        <v>29</v>
      </c>
      <c r="V1844">
        <f>VLOOKUP(Auto_Sales_data___Copy[[#This Row],[CUSTOMER_NAME]],$AF$2:$AH$90,3,FALSE)</f>
        <v>118008.26999999999</v>
      </c>
      <c r="W1844" s="2">
        <f>6-MATCH(Auto_Sales_data___Copy[[#This Row],[DAYS_SINCE_LAST_ORDER]],Table2[R-Cutoff],1)</f>
        <v>2</v>
      </c>
      <c r="X1844" s="2">
        <f>MATCH(Auto_Sales_data___Copy[[#This Row],[Total_Orders_Per_Customer]],Table2[F-Cutoff],1)</f>
        <v>4</v>
      </c>
      <c r="Y1844" s="2">
        <f>MATCH(Auto_Sales_data___Copy[[#This Row],[Total_Sales_Per_Customer]],Table2[M-Cutoff],1)</f>
        <v>4</v>
      </c>
      <c r="Z1844" s="2" t="str">
        <f>Auto_Sales_data___Copy[[#This Row],[R-Score(1-5)]]&amp;Auto_Sales_data___Copy[[#This Row],[F-Score(1-5)]]&amp;Auto_Sales_data___Copy[[#This Row],[M-Score(1-5)]]</f>
        <v>244</v>
      </c>
      <c r="AA1844" s="2" t="str" cm="1">
        <f t="array" ref="AA18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4" s="2" t="str">
        <f>VLOOKUP(Auto_Sales_data___Copy[[#This Row],[Segment Name]],Table3[],2,FALSE)</f>
        <v>High-Touch  Win-Back</v>
      </c>
    </row>
    <row r="1845" spans="1:28" x14ac:dyDescent="0.25">
      <c r="A1845">
        <v>10257</v>
      </c>
      <c r="B1845">
        <v>46</v>
      </c>
      <c r="C1845">
        <v>78.89</v>
      </c>
      <c r="D1845">
        <v>4</v>
      </c>
      <c r="E1845">
        <v>3628.94</v>
      </c>
      <c r="F1845" s="1">
        <v>43630</v>
      </c>
      <c r="G1845" s="2" t="s">
        <v>19</v>
      </c>
      <c r="H1845" s="2" t="s">
        <v>589</v>
      </c>
      <c r="I1845">
        <v>97</v>
      </c>
      <c r="J1845" s="2" t="s">
        <v>691</v>
      </c>
      <c r="K1845" s="2" t="s">
        <v>418</v>
      </c>
      <c r="L1845" s="2" t="s">
        <v>419</v>
      </c>
      <c r="M1845" s="2" t="s">
        <v>420</v>
      </c>
      <c r="N1845" s="2" t="s">
        <v>421</v>
      </c>
      <c r="O1845" s="2" t="s">
        <v>58</v>
      </c>
      <c r="P1845" s="2" t="s">
        <v>27</v>
      </c>
      <c r="Q1845" s="2" t="s">
        <v>93</v>
      </c>
      <c r="R1845" s="2" t="s">
        <v>422</v>
      </c>
      <c r="S1845" s="2" t="s">
        <v>46</v>
      </c>
      <c r="T1845">
        <v>2371</v>
      </c>
      <c r="U1845">
        <f>VLOOKUP(Auto_Sales_data___Copy[[#This Row],[CUSTOMER_NAME]],$AF$2:$AH$90,2,FALSE)</f>
        <v>40</v>
      </c>
      <c r="V1845">
        <f>VLOOKUP(Auto_Sales_data___Copy[[#This Row],[CUSTOMER_NAME]],$AF$2:$AH$90,3,FALSE)</f>
        <v>160010.27000000005</v>
      </c>
      <c r="W1845" s="2">
        <f>6-MATCH(Auto_Sales_data___Copy[[#This Row],[DAYS_SINCE_LAST_ORDER]],Table2[R-Cutoff],1)</f>
        <v>2</v>
      </c>
      <c r="X1845" s="2">
        <f>MATCH(Auto_Sales_data___Copy[[#This Row],[Total_Orders_Per_Customer]],Table2[F-Cutoff],1)</f>
        <v>4</v>
      </c>
      <c r="Y1845" s="2">
        <f>MATCH(Auto_Sales_data___Copy[[#This Row],[Total_Sales_Per_Customer]],Table2[M-Cutoff],1)</f>
        <v>4</v>
      </c>
      <c r="Z1845" s="2" t="str">
        <f>Auto_Sales_data___Copy[[#This Row],[R-Score(1-5)]]&amp;Auto_Sales_data___Copy[[#This Row],[F-Score(1-5)]]&amp;Auto_Sales_data___Copy[[#This Row],[M-Score(1-5)]]</f>
        <v>244</v>
      </c>
      <c r="AA1845" s="2" t="str" cm="1">
        <f t="array" ref="AA18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5" s="2" t="str">
        <f>VLOOKUP(Auto_Sales_data___Copy[[#This Row],[Segment Name]],Table3[],2,FALSE)</f>
        <v>High-Touch  Win-Back</v>
      </c>
    </row>
    <row r="1846" spans="1:28" x14ac:dyDescent="0.25">
      <c r="A1846">
        <v>10259</v>
      </c>
      <c r="B1846">
        <v>45</v>
      </c>
      <c r="C1846">
        <v>86.68</v>
      </c>
      <c r="D1846">
        <v>11</v>
      </c>
      <c r="E1846">
        <v>3900.6</v>
      </c>
      <c r="F1846" s="1">
        <v>43631</v>
      </c>
      <c r="G1846" s="2" t="s">
        <v>19</v>
      </c>
      <c r="H1846" s="2" t="s">
        <v>537</v>
      </c>
      <c r="I1846">
        <v>96</v>
      </c>
      <c r="J1846" s="2" t="s">
        <v>694</v>
      </c>
      <c r="K1846" s="2" t="s">
        <v>443</v>
      </c>
      <c r="L1846" s="2" t="s">
        <v>444</v>
      </c>
      <c r="M1846" s="2" t="s">
        <v>445</v>
      </c>
      <c r="N1846" s="2" t="s">
        <v>202</v>
      </c>
      <c r="O1846" s="2" t="s">
        <v>446</v>
      </c>
      <c r="P1846" s="2" t="s">
        <v>202</v>
      </c>
      <c r="Q1846" s="2" t="s">
        <v>447</v>
      </c>
      <c r="R1846" s="2" t="s">
        <v>448</v>
      </c>
      <c r="S1846" s="2" t="s">
        <v>46</v>
      </c>
      <c r="T1846">
        <v>2442</v>
      </c>
      <c r="U1846">
        <f>VLOOKUP(Auto_Sales_data___Copy[[#This Row],[CUSTOMER_NAME]],$AF$2:$AH$90,2,FALSE)</f>
        <v>36</v>
      </c>
      <c r="V1846">
        <f>VLOOKUP(Auto_Sales_data___Copy[[#This Row],[CUSTOMER_NAME]],$AF$2:$AH$90,3,FALSE)</f>
        <v>115498.72999999998</v>
      </c>
      <c r="W1846" s="2">
        <f>6-MATCH(Auto_Sales_data___Copy[[#This Row],[DAYS_SINCE_LAST_ORDER]],Table2[R-Cutoff],1)</f>
        <v>2</v>
      </c>
      <c r="X1846" s="2">
        <f>MATCH(Auto_Sales_data___Copy[[#This Row],[Total_Orders_Per_Customer]],Table2[F-Cutoff],1)</f>
        <v>4</v>
      </c>
      <c r="Y1846" s="2">
        <f>MATCH(Auto_Sales_data___Copy[[#This Row],[Total_Sales_Per_Customer]],Table2[M-Cutoff],1)</f>
        <v>4</v>
      </c>
      <c r="Z1846" s="2" t="str">
        <f>Auto_Sales_data___Copy[[#This Row],[R-Score(1-5)]]&amp;Auto_Sales_data___Copy[[#This Row],[F-Score(1-5)]]&amp;Auto_Sales_data___Copy[[#This Row],[M-Score(1-5)]]</f>
        <v>244</v>
      </c>
      <c r="AA1846" s="2" t="str" cm="1">
        <f t="array" ref="AA18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6" s="2" t="str">
        <f>VLOOKUP(Auto_Sales_data___Copy[[#This Row],[Segment Name]],Table3[],2,FALSE)</f>
        <v>High-Touch  Win-Back</v>
      </c>
    </row>
    <row r="1847" spans="1:28" x14ac:dyDescent="0.25">
      <c r="A1847">
        <v>10259</v>
      </c>
      <c r="B1847">
        <v>40</v>
      </c>
      <c r="C1847">
        <v>43.83</v>
      </c>
      <c r="D1847">
        <v>6</v>
      </c>
      <c r="E1847">
        <v>1753.2</v>
      </c>
      <c r="F1847" s="1">
        <v>43631</v>
      </c>
      <c r="G1847" s="2" t="s">
        <v>19</v>
      </c>
      <c r="H1847" s="2" t="s">
        <v>537</v>
      </c>
      <c r="I1847">
        <v>54</v>
      </c>
      <c r="J1847" s="2" t="s">
        <v>697</v>
      </c>
      <c r="K1847" s="2" t="s">
        <v>443</v>
      </c>
      <c r="L1847" s="2" t="s">
        <v>444</v>
      </c>
      <c r="M1847" s="2" t="s">
        <v>445</v>
      </c>
      <c r="N1847" s="2" t="s">
        <v>202</v>
      </c>
      <c r="O1847" s="2" t="s">
        <v>446</v>
      </c>
      <c r="P1847" s="2" t="s">
        <v>202</v>
      </c>
      <c r="Q1847" s="2" t="s">
        <v>447</v>
      </c>
      <c r="R1847" s="2" t="s">
        <v>448</v>
      </c>
      <c r="S1847" s="2" t="s">
        <v>30</v>
      </c>
      <c r="T1847">
        <v>2517</v>
      </c>
      <c r="U1847">
        <f>VLOOKUP(Auto_Sales_data___Copy[[#This Row],[CUSTOMER_NAME]],$AF$2:$AH$90,2,FALSE)</f>
        <v>36</v>
      </c>
      <c r="V1847">
        <f>VLOOKUP(Auto_Sales_data___Copy[[#This Row],[CUSTOMER_NAME]],$AF$2:$AH$90,3,FALSE)</f>
        <v>115498.72999999998</v>
      </c>
      <c r="W1847" s="2">
        <f>6-MATCH(Auto_Sales_data___Copy[[#This Row],[DAYS_SINCE_LAST_ORDER]],Table2[R-Cutoff],1)</f>
        <v>2</v>
      </c>
      <c r="X1847" s="2">
        <f>MATCH(Auto_Sales_data___Copy[[#This Row],[Total_Orders_Per_Customer]],Table2[F-Cutoff],1)</f>
        <v>4</v>
      </c>
      <c r="Y1847" s="2">
        <f>MATCH(Auto_Sales_data___Copy[[#This Row],[Total_Sales_Per_Customer]],Table2[M-Cutoff],1)</f>
        <v>4</v>
      </c>
      <c r="Z1847" s="2" t="str">
        <f>Auto_Sales_data___Copy[[#This Row],[R-Score(1-5)]]&amp;Auto_Sales_data___Copy[[#This Row],[F-Score(1-5)]]&amp;Auto_Sales_data___Copy[[#This Row],[M-Score(1-5)]]</f>
        <v>244</v>
      </c>
      <c r="AA1847" s="2" t="str" cm="1">
        <f t="array" ref="AA18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7" s="2" t="str">
        <f>VLOOKUP(Auto_Sales_data___Copy[[#This Row],[Segment Name]],Table3[],2,FALSE)</f>
        <v>High-Touch  Win-Back</v>
      </c>
    </row>
    <row r="1848" spans="1:28" x14ac:dyDescent="0.25">
      <c r="A1848">
        <v>10266</v>
      </c>
      <c r="B1848">
        <v>34</v>
      </c>
      <c r="C1848">
        <v>40.4</v>
      </c>
      <c r="D1848">
        <v>8</v>
      </c>
      <c r="E1848">
        <v>1373.6</v>
      </c>
      <c r="F1848" s="1">
        <v>43652</v>
      </c>
      <c r="G1848" s="2" t="s">
        <v>19</v>
      </c>
      <c r="H1848" s="2" t="s">
        <v>183</v>
      </c>
      <c r="I1848">
        <v>37</v>
      </c>
      <c r="J1848" s="2" t="s">
        <v>680</v>
      </c>
      <c r="K1848" s="2" t="s">
        <v>480</v>
      </c>
      <c r="L1848" s="2" t="s">
        <v>481</v>
      </c>
      <c r="M1848" s="2" t="s">
        <v>482</v>
      </c>
      <c r="N1848" s="2" t="s">
        <v>483</v>
      </c>
      <c r="O1848" s="2" t="s">
        <v>484</v>
      </c>
      <c r="P1848" s="2" t="s">
        <v>269</v>
      </c>
      <c r="Q1848" s="2" t="s">
        <v>485</v>
      </c>
      <c r="R1848" s="2" t="s">
        <v>486</v>
      </c>
      <c r="S1848" s="2" t="s">
        <v>30</v>
      </c>
      <c r="T1848">
        <v>2076</v>
      </c>
      <c r="U1848">
        <f>VLOOKUP(Auto_Sales_data___Copy[[#This Row],[CUSTOMER_NAME]],$AF$2:$AH$90,2,FALSE)</f>
        <v>39</v>
      </c>
      <c r="V1848">
        <f>VLOOKUP(Auto_Sales_data___Copy[[#This Row],[CUSTOMER_NAME]],$AF$2:$AH$90,3,FALSE)</f>
        <v>142601.33000000002</v>
      </c>
      <c r="W1848" s="2">
        <f>6-MATCH(Auto_Sales_data___Copy[[#This Row],[DAYS_SINCE_LAST_ORDER]],Table2[R-Cutoff],1)</f>
        <v>2</v>
      </c>
      <c r="X1848" s="2">
        <f>MATCH(Auto_Sales_data___Copy[[#This Row],[Total_Orders_Per_Customer]],Table2[F-Cutoff],1)</f>
        <v>4</v>
      </c>
      <c r="Y1848" s="2">
        <f>MATCH(Auto_Sales_data___Copy[[#This Row],[Total_Sales_Per_Customer]],Table2[M-Cutoff],1)</f>
        <v>4</v>
      </c>
      <c r="Z1848" s="2" t="str">
        <f>Auto_Sales_data___Copy[[#This Row],[R-Score(1-5)]]&amp;Auto_Sales_data___Copy[[#This Row],[F-Score(1-5)]]&amp;Auto_Sales_data___Copy[[#This Row],[M-Score(1-5)]]</f>
        <v>244</v>
      </c>
      <c r="AA1848" s="2" t="str" cm="1">
        <f t="array" ref="AA18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8" s="2" t="str">
        <f>VLOOKUP(Auto_Sales_data___Copy[[#This Row],[Segment Name]],Table3[],2,FALSE)</f>
        <v>High-Touch  Win-Back</v>
      </c>
    </row>
    <row r="1849" spans="1:28" x14ac:dyDescent="0.25">
      <c r="A1849">
        <v>10266</v>
      </c>
      <c r="B1849">
        <v>47</v>
      </c>
      <c r="C1849">
        <v>62.45</v>
      </c>
      <c r="D1849">
        <v>13</v>
      </c>
      <c r="E1849">
        <v>2935.15</v>
      </c>
      <c r="F1849" s="1">
        <v>43652</v>
      </c>
      <c r="G1849" s="2" t="s">
        <v>19</v>
      </c>
      <c r="H1849" s="2" t="s">
        <v>183</v>
      </c>
      <c r="I1849">
        <v>61</v>
      </c>
      <c r="J1849" s="2" t="s">
        <v>683</v>
      </c>
      <c r="K1849" s="2" t="s">
        <v>480</v>
      </c>
      <c r="L1849" s="2" t="s">
        <v>481</v>
      </c>
      <c r="M1849" s="2" t="s">
        <v>482</v>
      </c>
      <c r="N1849" s="2" t="s">
        <v>483</v>
      </c>
      <c r="O1849" s="2" t="s">
        <v>484</v>
      </c>
      <c r="P1849" s="2" t="s">
        <v>269</v>
      </c>
      <c r="Q1849" s="2" t="s">
        <v>485</v>
      </c>
      <c r="R1849" s="2" t="s">
        <v>486</v>
      </c>
      <c r="S1849" s="2" t="s">
        <v>30</v>
      </c>
      <c r="T1849">
        <v>2150</v>
      </c>
      <c r="U1849">
        <f>VLOOKUP(Auto_Sales_data___Copy[[#This Row],[CUSTOMER_NAME]],$AF$2:$AH$90,2,FALSE)</f>
        <v>39</v>
      </c>
      <c r="V1849">
        <f>VLOOKUP(Auto_Sales_data___Copy[[#This Row],[CUSTOMER_NAME]],$AF$2:$AH$90,3,FALSE)</f>
        <v>142601.33000000002</v>
      </c>
      <c r="W1849" s="2">
        <f>6-MATCH(Auto_Sales_data___Copy[[#This Row],[DAYS_SINCE_LAST_ORDER]],Table2[R-Cutoff],1)</f>
        <v>2</v>
      </c>
      <c r="X1849" s="2">
        <f>MATCH(Auto_Sales_data___Copy[[#This Row],[Total_Orders_Per_Customer]],Table2[F-Cutoff],1)</f>
        <v>4</v>
      </c>
      <c r="Y1849" s="2">
        <f>MATCH(Auto_Sales_data___Copy[[#This Row],[Total_Sales_Per_Customer]],Table2[M-Cutoff],1)</f>
        <v>4</v>
      </c>
      <c r="Z1849" s="2" t="str">
        <f>Auto_Sales_data___Copy[[#This Row],[R-Score(1-5)]]&amp;Auto_Sales_data___Copy[[#This Row],[F-Score(1-5)]]&amp;Auto_Sales_data___Copy[[#This Row],[M-Score(1-5)]]</f>
        <v>244</v>
      </c>
      <c r="AA1849" s="2" t="str" cm="1">
        <f t="array" ref="AA18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9" s="2" t="str">
        <f>VLOOKUP(Auto_Sales_data___Copy[[#This Row],[Segment Name]],Table3[],2,FALSE)</f>
        <v>High-Touch  Win-Back</v>
      </c>
    </row>
    <row r="1850" spans="1:28" x14ac:dyDescent="0.25">
      <c r="A1850">
        <v>10266</v>
      </c>
      <c r="B1850">
        <v>24</v>
      </c>
      <c r="C1850">
        <v>122.17</v>
      </c>
      <c r="D1850">
        <v>9</v>
      </c>
      <c r="E1850">
        <v>2932.08</v>
      </c>
      <c r="F1850" s="1">
        <v>43652</v>
      </c>
      <c r="G1850" s="2" t="s">
        <v>19</v>
      </c>
      <c r="H1850" s="2" t="s">
        <v>183</v>
      </c>
      <c r="I1850">
        <v>140</v>
      </c>
      <c r="J1850" s="2" t="s">
        <v>687</v>
      </c>
      <c r="K1850" s="2" t="s">
        <v>480</v>
      </c>
      <c r="L1850" s="2" t="s">
        <v>481</v>
      </c>
      <c r="M1850" s="2" t="s">
        <v>482</v>
      </c>
      <c r="N1850" s="2" t="s">
        <v>483</v>
      </c>
      <c r="O1850" s="2" t="s">
        <v>484</v>
      </c>
      <c r="P1850" s="2" t="s">
        <v>269</v>
      </c>
      <c r="Q1850" s="2" t="s">
        <v>485</v>
      </c>
      <c r="R1850" s="2" t="s">
        <v>486</v>
      </c>
      <c r="S1850" s="2" t="s">
        <v>30</v>
      </c>
      <c r="T1850">
        <v>2249</v>
      </c>
      <c r="U1850">
        <f>VLOOKUP(Auto_Sales_data___Copy[[#This Row],[CUSTOMER_NAME]],$AF$2:$AH$90,2,FALSE)</f>
        <v>39</v>
      </c>
      <c r="V1850">
        <f>VLOOKUP(Auto_Sales_data___Copy[[#This Row],[CUSTOMER_NAME]],$AF$2:$AH$90,3,FALSE)</f>
        <v>142601.33000000002</v>
      </c>
      <c r="W1850" s="2">
        <f>6-MATCH(Auto_Sales_data___Copy[[#This Row],[DAYS_SINCE_LAST_ORDER]],Table2[R-Cutoff],1)</f>
        <v>2</v>
      </c>
      <c r="X1850" s="2">
        <f>MATCH(Auto_Sales_data___Copy[[#This Row],[Total_Orders_Per_Customer]],Table2[F-Cutoff],1)</f>
        <v>4</v>
      </c>
      <c r="Y1850" s="2">
        <f>MATCH(Auto_Sales_data___Copy[[#This Row],[Total_Sales_Per_Customer]],Table2[M-Cutoff],1)</f>
        <v>4</v>
      </c>
      <c r="Z1850" s="2" t="str">
        <f>Auto_Sales_data___Copy[[#This Row],[R-Score(1-5)]]&amp;Auto_Sales_data___Copy[[#This Row],[F-Score(1-5)]]&amp;Auto_Sales_data___Copy[[#This Row],[M-Score(1-5)]]</f>
        <v>244</v>
      </c>
      <c r="AA1850" s="2" t="str" cm="1">
        <f t="array" ref="AA18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0" s="2" t="str">
        <f>VLOOKUP(Auto_Sales_data___Copy[[#This Row],[Segment Name]],Table3[],2,FALSE)</f>
        <v>High-Touch  Win-Back</v>
      </c>
    </row>
    <row r="1851" spans="1:28" x14ac:dyDescent="0.25">
      <c r="A1851">
        <v>10267</v>
      </c>
      <c r="B1851">
        <v>43</v>
      </c>
      <c r="C1851">
        <v>108.04</v>
      </c>
      <c r="D1851">
        <v>2</v>
      </c>
      <c r="E1851">
        <v>4645.72</v>
      </c>
      <c r="F1851" s="1">
        <v>43653</v>
      </c>
      <c r="G1851" s="2" t="s">
        <v>19</v>
      </c>
      <c r="H1851" s="2" t="s">
        <v>183</v>
      </c>
      <c r="I1851">
        <v>117</v>
      </c>
      <c r="J1851" s="2" t="s">
        <v>679</v>
      </c>
      <c r="K1851" s="2" t="s">
        <v>506</v>
      </c>
      <c r="L1851" s="2" t="s">
        <v>507</v>
      </c>
      <c r="M1851" s="2" t="s">
        <v>508</v>
      </c>
      <c r="N1851" s="2" t="s">
        <v>25</v>
      </c>
      <c r="O1851" s="2" t="s">
        <v>26</v>
      </c>
      <c r="P1851" s="2" t="s">
        <v>27</v>
      </c>
      <c r="Q1851" s="2" t="s">
        <v>52</v>
      </c>
      <c r="R1851" s="2" t="s">
        <v>509</v>
      </c>
      <c r="S1851" s="2" t="s">
        <v>46</v>
      </c>
      <c r="T1851">
        <v>2052</v>
      </c>
      <c r="U1851">
        <f>VLOOKUP(Auto_Sales_data___Copy[[#This Row],[CUSTOMER_NAME]],$AF$2:$AH$90,2,FALSE)</f>
        <v>48</v>
      </c>
      <c r="V1851">
        <f>VLOOKUP(Auto_Sales_data___Copy[[#This Row],[CUSTOMER_NAME]],$AF$2:$AH$90,3,FALSE)</f>
        <v>197736.93999999997</v>
      </c>
      <c r="W1851" s="2">
        <f>6-MATCH(Auto_Sales_data___Copy[[#This Row],[DAYS_SINCE_LAST_ORDER]],Table2[R-Cutoff],1)</f>
        <v>2</v>
      </c>
      <c r="X1851" s="2">
        <f>MATCH(Auto_Sales_data___Copy[[#This Row],[Total_Orders_Per_Customer]],Table2[F-Cutoff],1)</f>
        <v>4</v>
      </c>
      <c r="Y1851" s="2">
        <f>MATCH(Auto_Sales_data___Copy[[#This Row],[Total_Sales_Per_Customer]],Table2[M-Cutoff],1)</f>
        <v>4</v>
      </c>
      <c r="Z1851" s="2" t="str">
        <f>Auto_Sales_data___Copy[[#This Row],[R-Score(1-5)]]&amp;Auto_Sales_data___Copy[[#This Row],[F-Score(1-5)]]&amp;Auto_Sales_data___Copy[[#This Row],[M-Score(1-5)]]</f>
        <v>244</v>
      </c>
      <c r="AA1851" s="2" t="str" cm="1">
        <f t="array" ref="AA18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1" s="2" t="str">
        <f>VLOOKUP(Auto_Sales_data___Copy[[#This Row],[Segment Name]],Table3[],2,FALSE)</f>
        <v>High-Touch  Win-Back</v>
      </c>
    </row>
    <row r="1852" spans="1:28" x14ac:dyDescent="0.25">
      <c r="A1852">
        <v>10267</v>
      </c>
      <c r="B1852">
        <v>44</v>
      </c>
      <c r="C1852">
        <v>96.74</v>
      </c>
      <c r="D1852">
        <v>4</v>
      </c>
      <c r="E1852">
        <v>4256.5600000000004</v>
      </c>
      <c r="F1852" s="1">
        <v>43653</v>
      </c>
      <c r="G1852" s="2" t="s">
        <v>19</v>
      </c>
      <c r="H1852" s="2" t="s">
        <v>183</v>
      </c>
      <c r="I1852">
        <v>85</v>
      </c>
      <c r="J1852" s="2" t="s">
        <v>682</v>
      </c>
      <c r="K1852" s="2" t="s">
        <v>506</v>
      </c>
      <c r="L1852" s="2" t="s">
        <v>507</v>
      </c>
      <c r="M1852" s="2" t="s">
        <v>508</v>
      </c>
      <c r="N1852" s="2" t="s">
        <v>25</v>
      </c>
      <c r="O1852" s="2" t="s">
        <v>26</v>
      </c>
      <c r="P1852" s="2" t="s">
        <v>27</v>
      </c>
      <c r="Q1852" s="2" t="s">
        <v>52</v>
      </c>
      <c r="R1852" s="2" t="s">
        <v>509</v>
      </c>
      <c r="S1852" s="2" t="s">
        <v>46</v>
      </c>
      <c r="T1852">
        <v>2125</v>
      </c>
      <c r="U1852">
        <f>VLOOKUP(Auto_Sales_data___Copy[[#This Row],[CUSTOMER_NAME]],$AF$2:$AH$90,2,FALSE)</f>
        <v>48</v>
      </c>
      <c r="V1852">
        <f>VLOOKUP(Auto_Sales_data___Copy[[#This Row],[CUSTOMER_NAME]],$AF$2:$AH$90,3,FALSE)</f>
        <v>197736.93999999997</v>
      </c>
      <c r="W1852" s="2">
        <f>6-MATCH(Auto_Sales_data___Copy[[#This Row],[DAYS_SINCE_LAST_ORDER]],Table2[R-Cutoff],1)</f>
        <v>2</v>
      </c>
      <c r="X1852" s="2">
        <f>MATCH(Auto_Sales_data___Copy[[#This Row],[Total_Orders_Per_Customer]],Table2[F-Cutoff],1)</f>
        <v>4</v>
      </c>
      <c r="Y1852" s="2">
        <f>MATCH(Auto_Sales_data___Copy[[#This Row],[Total_Sales_Per_Customer]],Table2[M-Cutoff],1)</f>
        <v>4</v>
      </c>
      <c r="Z1852" s="2" t="str">
        <f>Auto_Sales_data___Copy[[#This Row],[R-Score(1-5)]]&amp;Auto_Sales_data___Copy[[#This Row],[F-Score(1-5)]]&amp;Auto_Sales_data___Copy[[#This Row],[M-Score(1-5)]]</f>
        <v>244</v>
      </c>
      <c r="AA1852" s="2" t="str" cm="1">
        <f t="array" ref="AA18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2" s="2" t="str">
        <f>VLOOKUP(Auto_Sales_data___Copy[[#This Row],[Segment Name]],Table3[],2,FALSE)</f>
        <v>High-Touch  Win-Back</v>
      </c>
    </row>
    <row r="1853" spans="1:28" x14ac:dyDescent="0.25">
      <c r="A1853">
        <v>10267</v>
      </c>
      <c r="B1853">
        <v>43</v>
      </c>
      <c r="C1853">
        <v>118.86</v>
      </c>
      <c r="D1853">
        <v>6</v>
      </c>
      <c r="E1853">
        <v>5110.9799999999996</v>
      </c>
      <c r="F1853" s="1">
        <v>43653</v>
      </c>
      <c r="G1853" s="2" t="s">
        <v>19</v>
      </c>
      <c r="H1853" s="2" t="s">
        <v>183</v>
      </c>
      <c r="I1853">
        <v>107</v>
      </c>
      <c r="J1853" s="2" t="s">
        <v>685</v>
      </c>
      <c r="K1853" s="2" t="s">
        <v>506</v>
      </c>
      <c r="L1853" s="2" t="s">
        <v>507</v>
      </c>
      <c r="M1853" s="2" t="s">
        <v>508</v>
      </c>
      <c r="N1853" s="2" t="s">
        <v>25</v>
      </c>
      <c r="O1853" s="2" t="s">
        <v>26</v>
      </c>
      <c r="P1853" s="2" t="s">
        <v>27</v>
      </c>
      <c r="Q1853" s="2" t="s">
        <v>52</v>
      </c>
      <c r="R1853" s="2" t="s">
        <v>509</v>
      </c>
      <c r="S1853" s="2" t="s">
        <v>46</v>
      </c>
      <c r="T1853">
        <v>2199</v>
      </c>
      <c r="U1853">
        <f>VLOOKUP(Auto_Sales_data___Copy[[#This Row],[CUSTOMER_NAME]],$AF$2:$AH$90,2,FALSE)</f>
        <v>48</v>
      </c>
      <c r="V1853">
        <f>VLOOKUP(Auto_Sales_data___Copy[[#This Row],[CUSTOMER_NAME]],$AF$2:$AH$90,3,FALSE)</f>
        <v>197736.93999999997</v>
      </c>
      <c r="W1853" s="2">
        <f>6-MATCH(Auto_Sales_data___Copy[[#This Row],[DAYS_SINCE_LAST_ORDER]],Table2[R-Cutoff],1)</f>
        <v>2</v>
      </c>
      <c r="X1853" s="2">
        <f>MATCH(Auto_Sales_data___Copy[[#This Row],[Total_Orders_Per_Customer]],Table2[F-Cutoff],1)</f>
        <v>4</v>
      </c>
      <c r="Y1853" s="2">
        <f>MATCH(Auto_Sales_data___Copy[[#This Row],[Total_Sales_Per_Customer]],Table2[M-Cutoff],1)</f>
        <v>4</v>
      </c>
      <c r="Z1853" s="2" t="str">
        <f>Auto_Sales_data___Copy[[#This Row],[R-Score(1-5)]]&amp;Auto_Sales_data___Copy[[#This Row],[F-Score(1-5)]]&amp;Auto_Sales_data___Copy[[#This Row],[M-Score(1-5)]]</f>
        <v>244</v>
      </c>
      <c r="AA1853" s="2" t="str" cm="1">
        <f t="array" ref="AA18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3" s="2" t="str">
        <f>VLOOKUP(Auto_Sales_data___Copy[[#This Row],[Segment Name]],Table3[],2,FALSE)</f>
        <v>High-Touch  Win-Back</v>
      </c>
    </row>
    <row r="1854" spans="1:28" x14ac:dyDescent="0.25">
      <c r="A1854">
        <v>10269</v>
      </c>
      <c r="B1854">
        <v>48</v>
      </c>
      <c r="C1854">
        <v>97.39</v>
      </c>
      <c r="D1854">
        <v>2</v>
      </c>
      <c r="E1854">
        <v>4674.72</v>
      </c>
      <c r="F1854" s="1">
        <v>43662</v>
      </c>
      <c r="G1854" s="2" t="s">
        <v>19</v>
      </c>
      <c r="H1854" s="2" t="s">
        <v>589</v>
      </c>
      <c r="I1854">
        <v>97</v>
      </c>
      <c r="J1854" s="2" t="s">
        <v>691</v>
      </c>
      <c r="K1854" s="2" t="s">
        <v>143</v>
      </c>
      <c r="L1854" s="2" t="s">
        <v>144</v>
      </c>
      <c r="M1854" s="2" t="s">
        <v>145</v>
      </c>
      <c r="N1854" s="2" t="s">
        <v>146</v>
      </c>
      <c r="O1854" s="2" t="s">
        <v>147</v>
      </c>
      <c r="P1854" s="2" t="s">
        <v>148</v>
      </c>
      <c r="Q1854" s="2" t="s">
        <v>149</v>
      </c>
      <c r="R1854" s="2" t="s">
        <v>150</v>
      </c>
      <c r="S1854" s="2" t="s">
        <v>46</v>
      </c>
      <c r="T1854">
        <v>2340</v>
      </c>
      <c r="U1854">
        <f>VLOOKUP(Auto_Sales_data___Copy[[#This Row],[CUSTOMER_NAME]],$AF$2:$AH$90,2,FALSE)</f>
        <v>40</v>
      </c>
      <c r="V1854">
        <f>VLOOKUP(Auto_Sales_data___Copy[[#This Row],[CUSTOMER_NAME]],$AF$2:$AH$90,3,FALSE)</f>
        <v>149798.63</v>
      </c>
      <c r="W1854" s="2">
        <f>6-MATCH(Auto_Sales_data___Copy[[#This Row],[DAYS_SINCE_LAST_ORDER]],Table2[R-Cutoff],1)</f>
        <v>2</v>
      </c>
      <c r="X1854" s="2">
        <f>MATCH(Auto_Sales_data___Copy[[#This Row],[Total_Orders_Per_Customer]],Table2[F-Cutoff],1)</f>
        <v>4</v>
      </c>
      <c r="Y1854" s="2">
        <f>MATCH(Auto_Sales_data___Copy[[#This Row],[Total_Sales_Per_Customer]],Table2[M-Cutoff],1)</f>
        <v>4</v>
      </c>
      <c r="Z1854" s="2" t="str">
        <f>Auto_Sales_data___Copy[[#This Row],[R-Score(1-5)]]&amp;Auto_Sales_data___Copy[[#This Row],[F-Score(1-5)]]&amp;Auto_Sales_data___Copy[[#This Row],[M-Score(1-5)]]</f>
        <v>244</v>
      </c>
      <c r="AA1854" s="2" t="str" cm="1">
        <f t="array" ref="AA18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4" s="2" t="str">
        <f>VLOOKUP(Auto_Sales_data___Copy[[#This Row],[Segment Name]],Table3[],2,FALSE)</f>
        <v>High-Touch  Win-Back</v>
      </c>
    </row>
    <row r="1855" spans="1:28" x14ac:dyDescent="0.25">
      <c r="A1855">
        <v>10270</v>
      </c>
      <c r="B1855">
        <v>32</v>
      </c>
      <c r="C1855">
        <v>85.72</v>
      </c>
      <c r="D1855">
        <v>1</v>
      </c>
      <c r="E1855">
        <v>2743.04</v>
      </c>
      <c r="F1855" s="1">
        <v>43665</v>
      </c>
      <c r="G1855" s="2" t="s">
        <v>19</v>
      </c>
      <c r="H1855" s="2" t="s">
        <v>537</v>
      </c>
      <c r="I1855">
        <v>96</v>
      </c>
      <c r="J1855" s="2" t="s">
        <v>694</v>
      </c>
      <c r="K1855" s="2" t="s">
        <v>152</v>
      </c>
      <c r="L1855" s="2" t="s">
        <v>153</v>
      </c>
      <c r="M1855" s="2" t="s">
        <v>154</v>
      </c>
      <c r="N1855" s="2" t="s">
        <v>155</v>
      </c>
      <c r="O1855" s="2" t="s">
        <v>156</v>
      </c>
      <c r="P1855" s="2" t="s">
        <v>87</v>
      </c>
      <c r="Q1855" s="2" t="s">
        <v>157</v>
      </c>
      <c r="R1855" s="2" t="s">
        <v>158</v>
      </c>
      <c r="S1855" s="2" t="s">
        <v>30</v>
      </c>
      <c r="T1855">
        <v>2409</v>
      </c>
      <c r="U1855">
        <f>VLOOKUP(Auto_Sales_data___Copy[[#This Row],[CUSTOMER_NAME]],$AF$2:$AH$90,2,FALSE)</f>
        <v>46</v>
      </c>
      <c r="V1855">
        <f>VLOOKUP(Auto_Sales_data___Copy[[#This Row],[CUSTOMER_NAME]],$AF$2:$AH$90,3,FALSE)</f>
        <v>151570.98000000001</v>
      </c>
      <c r="W1855" s="2">
        <f>6-MATCH(Auto_Sales_data___Copy[[#This Row],[DAYS_SINCE_LAST_ORDER]],Table2[R-Cutoff],1)</f>
        <v>2</v>
      </c>
      <c r="X1855" s="2">
        <f>MATCH(Auto_Sales_data___Copy[[#This Row],[Total_Orders_Per_Customer]],Table2[F-Cutoff],1)</f>
        <v>4</v>
      </c>
      <c r="Y1855" s="2">
        <f>MATCH(Auto_Sales_data___Copy[[#This Row],[Total_Sales_Per_Customer]],Table2[M-Cutoff],1)</f>
        <v>4</v>
      </c>
      <c r="Z1855" s="2" t="str">
        <f>Auto_Sales_data___Copy[[#This Row],[R-Score(1-5)]]&amp;Auto_Sales_data___Copy[[#This Row],[F-Score(1-5)]]&amp;Auto_Sales_data___Copy[[#This Row],[M-Score(1-5)]]</f>
        <v>244</v>
      </c>
      <c r="AA1855" s="2" t="str" cm="1">
        <f t="array" ref="AA18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5" s="2" t="str">
        <f>VLOOKUP(Auto_Sales_data___Copy[[#This Row],[Segment Name]],Table3[],2,FALSE)</f>
        <v>High-Touch  Win-Back</v>
      </c>
    </row>
    <row r="1856" spans="1:28" x14ac:dyDescent="0.25">
      <c r="A1856">
        <v>10270</v>
      </c>
      <c r="B1856">
        <v>21</v>
      </c>
      <c r="C1856">
        <v>63.35</v>
      </c>
      <c r="D1856">
        <v>5</v>
      </c>
      <c r="E1856">
        <v>1330.35</v>
      </c>
      <c r="F1856" s="1">
        <v>43665</v>
      </c>
      <c r="G1856" s="2" t="s">
        <v>19</v>
      </c>
      <c r="H1856" s="2" t="s">
        <v>537</v>
      </c>
      <c r="I1856">
        <v>64</v>
      </c>
      <c r="J1856" s="2" t="s">
        <v>699</v>
      </c>
      <c r="K1856" s="2" t="s">
        <v>152</v>
      </c>
      <c r="L1856" s="2" t="s">
        <v>153</v>
      </c>
      <c r="M1856" s="2" t="s">
        <v>154</v>
      </c>
      <c r="N1856" s="2" t="s">
        <v>155</v>
      </c>
      <c r="O1856" s="2" t="s">
        <v>156</v>
      </c>
      <c r="P1856" s="2" t="s">
        <v>87</v>
      </c>
      <c r="Q1856" s="2" t="s">
        <v>157</v>
      </c>
      <c r="R1856" s="2" t="s">
        <v>158</v>
      </c>
      <c r="S1856" s="2" t="s">
        <v>30</v>
      </c>
      <c r="T1856">
        <v>2538</v>
      </c>
      <c r="U1856">
        <f>VLOOKUP(Auto_Sales_data___Copy[[#This Row],[CUSTOMER_NAME]],$AF$2:$AH$90,2,FALSE)</f>
        <v>46</v>
      </c>
      <c r="V1856">
        <f>VLOOKUP(Auto_Sales_data___Copy[[#This Row],[CUSTOMER_NAME]],$AF$2:$AH$90,3,FALSE)</f>
        <v>151570.98000000001</v>
      </c>
      <c r="W1856" s="2">
        <f>6-MATCH(Auto_Sales_data___Copy[[#This Row],[DAYS_SINCE_LAST_ORDER]],Table2[R-Cutoff],1)</f>
        <v>2</v>
      </c>
      <c r="X1856" s="2">
        <f>MATCH(Auto_Sales_data___Copy[[#This Row],[Total_Orders_Per_Customer]],Table2[F-Cutoff],1)</f>
        <v>4</v>
      </c>
      <c r="Y1856" s="2">
        <f>MATCH(Auto_Sales_data___Copy[[#This Row],[Total_Sales_Per_Customer]],Table2[M-Cutoff],1)</f>
        <v>4</v>
      </c>
      <c r="Z1856" s="2" t="str">
        <f>Auto_Sales_data___Copy[[#This Row],[R-Score(1-5)]]&amp;Auto_Sales_data___Copy[[#This Row],[F-Score(1-5)]]&amp;Auto_Sales_data___Copy[[#This Row],[M-Score(1-5)]]</f>
        <v>244</v>
      </c>
      <c r="AA1856" s="2" t="str" cm="1">
        <f t="array" ref="AA18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6" s="2" t="str">
        <f>VLOOKUP(Auto_Sales_data___Copy[[#This Row],[Segment Name]],Table3[],2,FALSE)</f>
        <v>High-Touch  Win-Back</v>
      </c>
    </row>
    <row r="1857" spans="1:28" x14ac:dyDescent="0.25">
      <c r="A1857">
        <v>10271</v>
      </c>
      <c r="B1857">
        <v>22</v>
      </c>
      <c r="C1857">
        <v>139.57</v>
      </c>
      <c r="D1857">
        <v>1</v>
      </c>
      <c r="E1857">
        <v>3070.54</v>
      </c>
      <c r="F1857" s="1">
        <v>43666</v>
      </c>
      <c r="G1857" s="2" t="s">
        <v>19</v>
      </c>
      <c r="H1857" s="2" t="s">
        <v>183</v>
      </c>
      <c r="I1857">
        <v>118</v>
      </c>
      <c r="J1857" s="2" t="s">
        <v>690</v>
      </c>
      <c r="K1857" s="2" t="s">
        <v>284</v>
      </c>
      <c r="L1857" s="2" t="s">
        <v>285</v>
      </c>
      <c r="M1857" s="2" t="s">
        <v>286</v>
      </c>
      <c r="N1857" s="2" t="s">
        <v>287</v>
      </c>
      <c r="O1857" s="2" t="s">
        <v>106</v>
      </c>
      <c r="P1857" s="2" t="s">
        <v>27</v>
      </c>
      <c r="Q1857" s="2" t="s">
        <v>288</v>
      </c>
      <c r="R1857" s="2" t="s">
        <v>289</v>
      </c>
      <c r="S1857" s="2" t="s">
        <v>46</v>
      </c>
      <c r="T1857">
        <v>2310</v>
      </c>
      <c r="U1857">
        <f>VLOOKUP(Auto_Sales_data___Copy[[#This Row],[CUSTOMER_NAME]],$AF$2:$AH$90,2,FALSE)</f>
        <v>180</v>
      </c>
      <c r="V1857">
        <f>VLOOKUP(Auto_Sales_data___Copy[[#This Row],[CUSTOMER_NAME]],$AF$2:$AH$90,3,FALSE)</f>
        <v>654858.06000000017</v>
      </c>
      <c r="W1857" s="2">
        <f>6-MATCH(Auto_Sales_data___Copy[[#This Row],[DAYS_SINCE_LAST_ORDER]],Table2[R-Cutoff],1)</f>
        <v>2</v>
      </c>
      <c r="X1857" s="2">
        <f>MATCH(Auto_Sales_data___Copy[[#This Row],[Total_Orders_Per_Customer]],Table2[F-Cutoff],1)</f>
        <v>4</v>
      </c>
      <c r="Y1857" s="2">
        <f>MATCH(Auto_Sales_data___Copy[[#This Row],[Total_Sales_Per_Customer]],Table2[M-Cutoff],1)</f>
        <v>4</v>
      </c>
      <c r="Z1857" s="2" t="str">
        <f>Auto_Sales_data___Copy[[#This Row],[R-Score(1-5)]]&amp;Auto_Sales_data___Copy[[#This Row],[F-Score(1-5)]]&amp;Auto_Sales_data___Copy[[#This Row],[M-Score(1-5)]]</f>
        <v>244</v>
      </c>
      <c r="AA1857" s="2" t="str" cm="1">
        <f t="array" ref="AA18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7" s="2" t="str">
        <f>VLOOKUP(Auto_Sales_data___Copy[[#This Row],[Segment Name]],Table3[],2,FALSE)</f>
        <v>High-Touch  Win-Back</v>
      </c>
    </row>
    <row r="1858" spans="1:28" x14ac:dyDescent="0.25">
      <c r="A1858">
        <v>10271</v>
      </c>
      <c r="B1858">
        <v>35</v>
      </c>
      <c r="C1858">
        <v>47.62</v>
      </c>
      <c r="D1858">
        <v>7</v>
      </c>
      <c r="E1858">
        <v>1666.7</v>
      </c>
      <c r="F1858" s="1">
        <v>43666</v>
      </c>
      <c r="G1858" s="2" t="s">
        <v>19</v>
      </c>
      <c r="H1858" s="2" t="s">
        <v>537</v>
      </c>
      <c r="I1858">
        <v>54</v>
      </c>
      <c r="J1858" s="2" t="s">
        <v>697</v>
      </c>
      <c r="K1858" s="2" t="s">
        <v>284</v>
      </c>
      <c r="L1858" s="2" t="s">
        <v>285</v>
      </c>
      <c r="M1858" s="2" t="s">
        <v>286</v>
      </c>
      <c r="N1858" s="2" t="s">
        <v>287</v>
      </c>
      <c r="O1858" s="2" t="s">
        <v>106</v>
      </c>
      <c r="P1858" s="2" t="s">
        <v>27</v>
      </c>
      <c r="Q1858" s="2" t="s">
        <v>288</v>
      </c>
      <c r="R1858" s="2" t="s">
        <v>289</v>
      </c>
      <c r="S1858" s="2" t="s">
        <v>30</v>
      </c>
      <c r="T1858">
        <v>2483</v>
      </c>
      <c r="U1858">
        <f>VLOOKUP(Auto_Sales_data___Copy[[#This Row],[CUSTOMER_NAME]],$AF$2:$AH$90,2,FALSE)</f>
        <v>180</v>
      </c>
      <c r="V1858">
        <f>VLOOKUP(Auto_Sales_data___Copy[[#This Row],[CUSTOMER_NAME]],$AF$2:$AH$90,3,FALSE)</f>
        <v>654858.06000000017</v>
      </c>
      <c r="W1858" s="2">
        <f>6-MATCH(Auto_Sales_data___Copy[[#This Row],[DAYS_SINCE_LAST_ORDER]],Table2[R-Cutoff],1)</f>
        <v>2</v>
      </c>
      <c r="X1858" s="2">
        <f>MATCH(Auto_Sales_data___Copy[[#This Row],[Total_Orders_Per_Customer]],Table2[F-Cutoff],1)</f>
        <v>4</v>
      </c>
      <c r="Y1858" s="2">
        <f>MATCH(Auto_Sales_data___Copy[[#This Row],[Total_Sales_Per_Customer]],Table2[M-Cutoff],1)</f>
        <v>4</v>
      </c>
      <c r="Z1858" s="2" t="str">
        <f>Auto_Sales_data___Copy[[#This Row],[R-Score(1-5)]]&amp;Auto_Sales_data___Copy[[#This Row],[F-Score(1-5)]]&amp;Auto_Sales_data___Copy[[#This Row],[M-Score(1-5)]]</f>
        <v>244</v>
      </c>
      <c r="AA1858" s="2" t="str" cm="1">
        <f t="array" ref="AA18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8" s="2" t="str">
        <f>VLOOKUP(Auto_Sales_data___Copy[[#This Row],[Segment Name]],Table3[],2,FALSE)</f>
        <v>High-Touch  Win-Back</v>
      </c>
    </row>
    <row r="1859" spans="1:28" x14ac:dyDescent="0.25">
      <c r="A1859">
        <v>10272</v>
      </c>
      <c r="B1859">
        <v>45</v>
      </c>
      <c r="C1859">
        <v>64.63</v>
      </c>
      <c r="D1859">
        <v>6</v>
      </c>
      <c r="E1859">
        <v>2908.35</v>
      </c>
      <c r="F1859" s="1">
        <v>43666</v>
      </c>
      <c r="G1859" s="2" t="s">
        <v>19</v>
      </c>
      <c r="H1859" s="2" t="s">
        <v>650</v>
      </c>
      <c r="I1859">
        <v>62</v>
      </c>
      <c r="J1859" s="2" t="s">
        <v>698</v>
      </c>
      <c r="K1859" s="2" t="s">
        <v>137</v>
      </c>
      <c r="L1859" s="2" t="s">
        <v>138</v>
      </c>
      <c r="M1859" s="2" t="s">
        <v>139</v>
      </c>
      <c r="N1859" s="2" t="s">
        <v>140</v>
      </c>
      <c r="O1859" s="2" t="s">
        <v>141</v>
      </c>
      <c r="P1859" s="2" t="s">
        <v>27</v>
      </c>
      <c r="Q1859" s="2" t="s">
        <v>28</v>
      </c>
      <c r="R1859" s="2" t="s">
        <v>142</v>
      </c>
      <c r="S1859" s="2" t="s">
        <v>30</v>
      </c>
      <c r="T1859">
        <v>2510</v>
      </c>
      <c r="U1859">
        <f>VLOOKUP(Auto_Sales_data___Copy[[#This Row],[CUSTOMER_NAME]],$AF$2:$AH$90,2,FALSE)</f>
        <v>31</v>
      </c>
      <c r="V1859">
        <f>VLOOKUP(Auto_Sales_data___Copy[[#This Row],[CUSTOMER_NAME]],$AF$2:$AH$90,3,FALSE)</f>
        <v>122138.14</v>
      </c>
      <c r="W1859" s="2">
        <f>6-MATCH(Auto_Sales_data___Copy[[#This Row],[DAYS_SINCE_LAST_ORDER]],Table2[R-Cutoff],1)</f>
        <v>2</v>
      </c>
      <c r="X1859" s="2">
        <f>MATCH(Auto_Sales_data___Copy[[#This Row],[Total_Orders_Per_Customer]],Table2[F-Cutoff],1)</f>
        <v>4</v>
      </c>
      <c r="Y1859" s="2">
        <f>MATCH(Auto_Sales_data___Copy[[#This Row],[Total_Sales_Per_Customer]],Table2[M-Cutoff],1)</f>
        <v>4</v>
      </c>
      <c r="Z1859" s="2" t="str">
        <f>Auto_Sales_data___Copy[[#This Row],[R-Score(1-5)]]&amp;Auto_Sales_data___Copy[[#This Row],[F-Score(1-5)]]&amp;Auto_Sales_data___Copy[[#This Row],[M-Score(1-5)]]</f>
        <v>244</v>
      </c>
      <c r="AA1859" s="2" t="str" cm="1">
        <f t="array" ref="AA18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9" s="2" t="str">
        <f>VLOOKUP(Auto_Sales_data___Copy[[#This Row],[Segment Name]],Table3[],2,FALSE)</f>
        <v>High-Touch  Win-Back</v>
      </c>
    </row>
    <row r="1860" spans="1:28" x14ac:dyDescent="0.25">
      <c r="A1860">
        <v>10275</v>
      </c>
      <c r="B1860">
        <v>41</v>
      </c>
      <c r="C1860">
        <v>81.89</v>
      </c>
      <c r="D1860">
        <v>18</v>
      </c>
      <c r="E1860">
        <v>3357.49</v>
      </c>
      <c r="F1860" s="1">
        <v>43669</v>
      </c>
      <c r="G1860" s="2" t="s">
        <v>19</v>
      </c>
      <c r="H1860" s="2" t="s">
        <v>607</v>
      </c>
      <c r="I1860">
        <v>68</v>
      </c>
      <c r="J1860" s="2" t="s">
        <v>688</v>
      </c>
      <c r="K1860" s="2" t="s">
        <v>108</v>
      </c>
      <c r="L1860" s="2" t="s">
        <v>109</v>
      </c>
      <c r="M1860" s="2" t="s">
        <v>110</v>
      </c>
      <c r="N1860" s="2" t="s">
        <v>111</v>
      </c>
      <c r="O1860" s="2" t="s">
        <v>112</v>
      </c>
      <c r="P1860" s="2" t="s">
        <v>36</v>
      </c>
      <c r="Q1860" s="2" t="s">
        <v>113</v>
      </c>
      <c r="R1860" s="2" t="s">
        <v>114</v>
      </c>
      <c r="S1860" s="2" t="s">
        <v>46</v>
      </c>
      <c r="T1860">
        <v>2259</v>
      </c>
      <c r="U1860">
        <f>VLOOKUP(Auto_Sales_data___Copy[[#This Row],[CUSTOMER_NAME]],$AF$2:$AH$90,2,FALSE)</f>
        <v>53</v>
      </c>
      <c r="V1860">
        <f>VLOOKUP(Auto_Sales_data___Copy[[#This Row],[CUSTOMER_NAME]],$AF$2:$AH$90,3,FALSE)</f>
        <v>180124.90000000008</v>
      </c>
      <c r="W1860" s="2">
        <f>6-MATCH(Auto_Sales_data___Copy[[#This Row],[DAYS_SINCE_LAST_ORDER]],Table2[R-Cutoff],1)</f>
        <v>2</v>
      </c>
      <c r="X1860" s="2">
        <f>MATCH(Auto_Sales_data___Copy[[#This Row],[Total_Orders_Per_Customer]],Table2[F-Cutoff],1)</f>
        <v>4</v>
      </c>
      <c r="Y1860" s="2">
        <f>MATCH(Auto_Sales_data___Copy[[#This Row],[Total_Sales_Per_Customer]],Table2[M-Cutoff],1)</f>
        <v>4</v>
      </c>
      <c r="Z1860" s="2" t="str">
        <f>Auto_Sales_data___Copy[[#This Row],[R-Score(1-5)]]&amp;Auto_Sales_data___Copy[[#This Row],[F-Score(1-5)]]&amp;Auto_Sales_data___Copy[[#This Row],[M-Score(1-5)]]</f>
        <v>244</v>
      </c>
      <c r="AA1860" s="2" t="str" cm="1">
        <f t="array" ref="AA18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0" s="2" t="str">
        <f>VLOOKUP(Auto_Sales_data___Copy[[#This Row],[Segment Name]],Table3[],2,FALSE)</f>
        <v>High-Touch  Win-Back</v>
      </c>
    </row>
    <row r="1861" spans="1:28" x14ac:dyDescent="0.25">
      <c r="A1861">
        <v>10275</v>
      </c>
      <c r="B1861">
        <v>27</v>
      </c>
      <c r="C1861">
        <v>62.31</v>
      </c>
      <c r="D1861">
        <v>10</v>
      </c>
      <c r="E1861">
        <v>1682.37</v>
      </c>
      <c r="F1861" s="1">
        <v>43669</v>
      </c>
      <c r="G1861" s="2" t="s">
        <v>19</v>
      </c>
      <c r="H1861" s="2" t="s">
        <v>607</v>
      </c>
      <c r="I1861">
        <v>72</v>
      </c>
      <c r="J1861" s="2" t="s">
        <v>692</v>
      </c>
      <c r="K1861" s="2" t="s">
        <v>108</v>
      </c>
      <c r="L1861" s="2" t="s">
        <v>109</v>
      </c>
      <c r="M1861" s="2" t="s">
        <v>110</v>
      </c>
      <c r="N1861" s="2" t="s">
        <v>111</v>
      </c>
      <c r="O1861" s="2" t="s">
        <v>112</v>
      </c>
      <c r="P1861" s="2" t="s">
        <v>36</v>
      </c>
      <c r="Q1861" s="2" t="s">
        <v>113</v>
      </c>
      <c r="R1861" s="2" t="s">
        <v>114</v>
      </c>
      <c r="S1861" s="2" t="s">
        <v>30</v>
      </c>
      <c r="T1861">
        <v>2354</v>
      </c>
      <c r="U1861">
        <f>VLOOKUP(Auto_Sales_data___Copy[[#This Row],[CUSTOMER_NAME]],$AF$2:$AH$90,2,FALSE)</f>
        <v>53</v>
      </c>
      <c r="V1861">
        <f>VLOOKUP(Auto_Sales_data___Copy[[#This Row],[CUSTOMER_NAME]],$AF$2:$AH$90,3,FALSE)</f>
        <v>180124.90000000008</v>
      </c>
      <c r="W1861" s="2">
        <f>6-MATCH(Auto_Sales_data___Copy[[#This Row],[DAYS_SINCE_LAST_ORDER]],Table2[R-Cutoff],1)</f>
        <v>2</v>
      </c>
      <c r="X1861" s="2">
        <f>MATCH(Auto_Sales_data___Copy[[#This Row],[Total_Orders_Per_Customer]],Table2[F-Cutoff],1)</f>
        <v>4</v>
      </c>
      <c r="Y1861" s="2">
        <f>MATCH(Auto_Sales_data___Copy[[#This Row],[Total_Sales_Per_Customer]],Table2[M-Cutoff],1)</f>
        <v>4</v>
      </c>
      <c r="Z1861" s="2" t="str">
        <f>Auto_Sales_data___Copy[[#This Row],[R-Score(1-5)]]&amp;Auto_Sales_data___Copy[[#This Row],[F-Score(1-5)]]&amp;Auto_Sales_data___Copy[[#This Row],[M-Score(1-5)]]</f>
        <v>244</v>
      </c>
      <c r="AA1861" s="2" t="str" cm="1">
        <f t="array" ref="AA18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1" s="2" t="str">
        <f>VLOOKUP(Auto_Sales_data___Copy[[#This Row],[Segment Name]],Table3[],2,FALSE)</f>
        <v>High-Touch  Win-Back</v>
      </c>
    </row>
    <row r="1862" spans="1:28" x14ac:dyDescent="0.25">
      <c r="A1862">
        <v>10275</v>
      </c>
      <c r="B1862">
        <v>23</v>
      </c>
      <c r="C1862">
        <v>81.91</v>
      </c>
      <c r="D1862">
        <v>7</v>
      </c>
      <c r="E1862">
        <v>1883.93</v>
      </c>
      <c r="F1862" s="1">
        <v>43669</v>
      </c>
      <c r="G1862" s="2" t="s">
        <v>19</v>
      </c>
      <c r="H1862" s="2" t="s">
        <v>20</v>
      </c>
      <c r="I1862">
        <v>99</v>
      </c>
      <c r="J1862" s="2" t="s">
        <v>695</v>
      </c>
      <c r="K1862" s="2" t="s">
        <v>108</v>
      </c>
      <c r="L1862" s="2" t="s">
        <v>109</v>
      </c>
      <c r="M1862" s="2" t="s">
        <v>110</v>
      </c>
      <c r="N1862" s="2" t="s">
        <v>111</v>
      </c>
      <c r="O1862" s="2" t="s">
        <v>112</v>
      </c>
      <c r="P1862" s="2" t="s">
        <v>36</v>
      </c>
      <c r="Q1862" s="2" t="s">
        <v>113</v>
      </c>
      <c r="R1862" s="2" t="s">
        <v>114</v>
      </c>
      <c r="S1862" s="2" t="s">
        <v>30</v>
      </c>
      <c r="T1862">
        <v>2429</v>
      </c>
      <c r="U1862">
        <f>VLOOKUP(Auto_Sales_data___Copy[[#This Row],[CUSTOMER_NAME]],$AF$2:$AH$90,2,FALSE)</f>
        <v>53</v>
      </c>
      <c r="V1862">
        <f>VLOOKUP(Auto_Sales_data___Copy[[#This Row],[CUSTOMER_NAME]],$AF$2:$AH$90,3,FALSE)</f>
        <v>180124.90000000008</v>
      </c>
      <c r="W1862" s="2">
        <f>6-MATCH(Auto_Sales_data___Copy[[#This Row],[DAYS_SINCE_LAST_ORDER]],Table2[R-Cutoff],1)</f>
        <v>2</v>
      </c>
      <c r="X1862" s="2">
        <f>MATCH(Auto_Sales_data___Copy[[#This Row],[Total_Orders_Per_Customer]],Table2[F-Cutoff],1)</f>
        <v>4</v>
      </c>
      <c r="Y1862" s="2">
        <f>MATCH(Auto_Sales_data___Copy[[#This Row],[Total_Sales_Per_Customer]],Table2[M-Cutoff],1)</f>
        <v>4</v>
      </c>
      <c r="Z1862" s="2" t="str">
        <f>Auto_Sales_data___Copy[[#This Row],[R-Score(1-5)]]&amp;Auto_Sales_data___Copy[[#This Row],[F-Score(1-5)]]&amp;Auto_Sales_data___Copy[[#This Row],[M-Score(1-5)]]</f>
        <v>244</v>
      </c>
      <c r="AA1862" s="2" t="str" cm="1">
        <f t="array" ref="AA18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2" s="2" t="str">
        <f>VLOOKUP(Auto_Sales_data___Copy[[#This Row],[Segment Name]],Table3[],2,FALSE)</f>
        <v>High-Touch  Win-Back</v>
      </c>
    </row>
    <row r="1863" spans="1:28" x14ac:dyDescent="0.25">
      <c r="A1863">
        <v>10275</v>
      </c>
      <c r="B1863">
        <v>28</v>
      </c>
      <c r="C1863">
        <v>63.97</v>
      </c>
      <c r="D1863">
        <v>12</v>
      </c>
      <c r="E1863">
        <v>1791.16</v>
      </c>
      <c r="F1863" s="1">
        <v>43669</v>
      </c>
      <c r="G1863" s="2" t="s">
        <v>19</v>
      </c>
      <c r="H1863" s="2" t="s">
        <v>589</v>
      </c>
      <c r="I1863">
        <v>68</v>
      </c>
      <c r="J1863" s="2" t="s">
        <v>700</v>
      </c>
      <c r="K1863" s="2" t="s">
        <v>108</v>
      </c>
      <c r="L1863" s="2" t="s">
        <v>109</v>
      </c>
      <c r="M1863" s="2" t="s">
        <v>110</v>
      </c>
      <c r="N1863" s="2" t="s">
        <v>111</v>
      </c>
      <c r="O1863" s="2" t="s">
        <v>112</v>
      </c>
      <c r="P1863" s="2" t="s">
        <v>36</v>
      </c>
      <c r="Q1863" s="2" t="s">
        <v>113</v>
      </c>
      <c r="R1863" s="2" t="s">
        <v>114</v>
      </c>
      <c r="S1863" s="2" t="s">
        <v>30</v>
      </c>
      <c r="T1863">
        <v>2556</v>
      </c>
      <c r="U1863">
        <f>VLOOKUP(Auto_Sales_data___Copy[[#This Row],[CUSTOMER_NAME]],$AF$2:$AH$90,2,FALSE)</f>
        <v>53</v>
      </c>
      <c r="V1863">
        <f>VLOOKUP(Auto_Sales_data___Copy[[#This Row],[CUSTOMER_NAME]],$AF$2:$AH$90,3,FALSE)</f>
        <v>180124.90000000008</v>
      </c>
      <c r="W1863" s="2">
        <f>6-MATCH(Auto_Sales_data___Copy[[#This Row],[DAYS_SINCE_LAST_ORDER]],Table2[R-Cutoff],1)</f>
        <v>2</v>
      </c>
      <c r="X1863" s="2">
        <f>MATCH(Auto_Sales_data___Copy[[#This Row],[Total_Orders_Per_Customer]],Table2[F-Cutoff],1)</f>
        <v>4</v>
      </c>
      <c r="Y1863" s="2">
        <f>MATCH(Auto_Sales_data___Copy[[#This Row],[Total_Sales_Per_Customer]],Table2[M-Cutoff],1)</f>
        <v>4</v>
      </c>
      <c r="Z1863" s="2" t="str">
        <f>Auto_Sales_data___Copy[[#This Row],[R-Score(1-5)]]&amp;Auto_Sales_data___Copy[[#This Row],[F-Score(1-5)]]&amp;Auto_Sales_data___Copy[[#This Row],[M-Score(1-5)]]</f>
        <v>244</v>
      </c>
      <c r="AA1863" s="2" t="str" cm="1">
        <f t="array" ref="AA18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3" s="2" t="str">
        <f>VLOOKUP(Auto_Sales_data___Copy[[#This Row],[Segment Name]],Table3[],2,FALSE)</f>
        <v>High-Touch  Win-Back</v>
      </c>
    </row>
    <row r="1864" spans="1:28" x14ac:dyDescent="0.25">
      <c r="A1864">
        <v>10281</v>
      </c>
      <c r="B1864">
        <v>29</v>
      </c>
      <c r="C1864">
        <v>82.83</v>
      </c>
      <c r="D1864">
        <v>8</v>
      </c>
      <c r="E1864">
        <v>2402.0700000000002</v>
      </c>
      <c r="F1864" s="1">
        <v>43696</v>
      </c>
      <c r="G1864" s="2" t="s">
        <v>19</v>
      </c>
      <c r="H1864" s="2" t="s">
        <v>537</v>
      </c>
      <c r="I1864">
        <v>96</v>
      </c>
      <c r="J1864" s="2" t="s">
        <v>694</v>
      </c>
      <c r="K1864" s="2" t="s">
        <v>137</v>
      </c>
      <c r="L1864" s="2" t="s">
        <v>138</v>
      </c>
      <c r="M1864" s="2" t="s">
        <v>139</v>
      </c>
      <c r="N1864" s="2" t="s">
        <v>140</v>
      </c>
      <c r="O1864" s="2" t="s">
        <v>141</v>
      </c>
      <c r="P1864" s="2" t="s">
        <v>27</v>
      </c>
      <c r="Q1864" s="2" t="s">
        <v>28</v>
      </c>
      <c r="R1864" s="2" t="s">
        <v>142</v>
      </c>
      <c r="S1864" s="2" t="s">
        <v>30</v>
      </c>
      <c r="T1864">
        <v>2379</v>
      </c>
      <c r="U1864">
        <f>VLOOKUP(Auto_Sales_data___Copy[[#This Row],[CUSTOMER_NAME]],$AF$2:$AH$90,2,FALSE)</f>
        <v>31</v>
      </c>
      <c r="V1864">
        <f>VLOOKUP(Auto_Sales_data___Copy[[#This Row],[CUSTOMER_NAME]],$AF$2:$AH$90,3,FALSE)</f>
        <v>122138.14</v>
      </c>
      <c r="W1864" s="2">
        <f>6-MATCH(Auto_Sales_data___Copy[[#This Row],[DAYS_SINCE_LAST_ORDER]],Table2[R-Cutoff],1)</f>
        <v>2</v>
      </c>
      <c r="X1864" s="2">
        <f>MATCH(Auto_Sales_data___Copy[[#This Row],[Total_Orders_Per_Customer]],Table2[F-Cutoff],1)</f>
        <v>4</v>
      </c>
      <c r="Y1864" s="2">
        <f>MATCH(Auto_Sales_data___Copy[[#This Row],[Total_Sales_Per_Customer]],Table2[M-Cutoff],1)</f>
        <v>4</v>
      </c>
      <c r="Z1864" s="2" t="str">
        <f>Auto_Sales_data___Copy[[#This Row],[R-Score(1-5)]]&amp;Auto_Sales_data___Copy[[#This Row],[F-Score(1-5)]]&amp;Auto_Sales_data___Copy[[#This Row],[M-Score(1-5)]]</f>
        <v>244</v>
      </c>
      <c r="AA1864" s="2" t="str" cm="1">
        <f t="array" ref="AA18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4" s="2" t="str">
        <f>VLOOKUP(Auto_Sales_data___Copy[[#This Row],[Segment Name]],Table3[],2,FALSE)</f>
        <v>High-Touch  Win-Back</v>
      </c>
    </row>
    <row r="1865" spans="1:28" x14ac:dyDescent="0.25">
      <c r="A1865">
        <v>10281</v>
      </c>
      <c r="B1865">
        <v>31</v>
      </c>
      <c r="C1865">
        <v>55.19</v>
      </c>
      <c r="D1865">
        <v>3</v>
      </c>
      <c r="E1865">
        <v>1710.89</v>
      </c>
      <c r="F1865" s="1">
        <v>43696</v>
      </c>
      <c r="G1865" s="2" t="s">
        <v>19</v>
      </c>
      <c r="H1865" s="2" t="s">
        <v>537</v>
      </c>
      <c r="I1865">
        <v>54</v>
      </c>
      <c r="J1865" s="2" t="s">
        <v>697</v>
      </c>
      <c r="K1865" s="2" t="s">
        <v>137</v>
      </c>
      <c r="L1865" s="2" t="s">
        <v>138</v>
      </c>
      <c r="M1865" s="2" t="s">
        <v>139</v>
      </c>
      <c r="N1865" s="2" t="s">
        <v>140</v>
      </c>
      <c r="O1865" s="2" t="s">
        <v>141</v>
      </c>
      <c r="P1865" s="2" t="s">
        <v>27</v>
      </c>
      <c r="Q1865" s="2" t="s">
        <v>28</v>
      </c>
      <c r="R1865" s="2" t="s">
        <v>142</v>
      </c>
      <c r="S1865" s="2" t="s">
        <v>30</v>
      </c>
      <c r="T1865">
        <v>2454</v>
      </c>
      <c r="U1865">
        <f>VLOOKUP(Auto_Sales_data___Copy[[#This Row],[CUSTOMER_NAME]],$AF$2:$AH$90,2,FALSE)</f>
        <v>31</v>
      </c>
      <c r="V1865">
        <f>VLOOKUP(Auto_Sales_data___Copy[[#This Row],[CUSTOMER_NAME]],$AF$2:$AH$90,3,FALSE)</f>
        <v>122138.14</v>
      </c>
      <c r="W1865" s="2">
        <f>6-MATCH(Auto_Sales_data___Copy[[#This Row],[DAYS_SINCE_LAST_ORDER]],Table2[R-Cutoff],1)</f>
        <v>2</v>
      </c>
      <c r="X1865" s="2">
        <f>MATCH(Auto_Sales_data___Copy[[#This Row],[Total_Orders_Per_Customer]],Table2[F-Cutoff],1)</f>
        <v>4</v>
      </c>
      <c r="Y1865" s="2">
        <f>MATCH(Auto_Sales_data___Copy[[#This Row],[Total_Sales_Per_Customer]],Table2[M-Cutoff],1)</f>
        <v>4</v>
      </c>
      <c r="Z1865" s="2" t="str">
        <f>Auto_Sales_data___Copy[[#This Row],[R-Score(1-5)]]&amp;Auto_Sales_data___Copy[[#This Row],[F-Score(1-5)]]&amp;Auto_Sales_data___Copy[[#This Row],[M-Score(1-5)]]</f>
        <v>244</v>
      </c>
      <c r="AA1865" s="2" t="str" cm="1">
        <f t="array" ref="AA18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5" s="2" t="str">
        <f>VLOOKUP(Auto_Sales_data___Copy[[#This Row],[Segment Name]],Table3[],2,FALSE)</f>
        <v>High-Touch  Win-Back</v>
      </c>
    </row>
    <row r="1866" spans="1:28" x14ac:dyDescent="0.25">
      <c r="A1866">
        <v>10281</v>
      </c>
      <c r="B1866">
        <v>36</v>
      </c>
      <c r="C1866">
        <v>77.569999999999993</v>
      </c>
      <c r="D1866">
        <v>12</v>
      </c>
      <c r="E1866">
        <v>2792.52</v>
      </c>
      <c r="F1866" s="1">
        <v>43696</v>
      </c>
      <c r="G1866" s="2" t="s">
        <v>19</v>
      </c>
      <c r="H1866" s="2" t="s">
        <v>537</v>
      </c>
      <c r="I1866">
        <v>64</v>
      </c>
      <c r="J1866" s="2" t="s">
        <v>699</v>
      </c>
      <c r="K1866" s="2" t="s">
        <v>137</v>
      </c>
      <c r="L1866" s="2" t="s">
        <v>138</v>
      </c>
      <c r="M1866" s="2" t="s">
        <v>139</v>
      </c>
      <c r="N1866" s="2" t="s">
        <v>140</v>
      </c>
      <c r="O1866" s="2" t="s">
        <v>141</v>
      </c>
      <c r="P1866" s="2" t="s">
        <v>27</v>
      </c>
      <c r="Q1866" s="2" t="s">
        <v>28</v>
      </c>
      <c r="R1866" s="2" t="s">
        <v>142</v>
      </c>
      <c r="S1866" s="2" t="s">
        <v>30</v>
      </c>
      <c r="T1866">
        <v>2508</v>
      </c>
      <c r="U1866">
        <f>VLOOKUP(Auto_Sales_data___Copy[[#This Row],[CUSTOMER_NAME]],$AF$2:$AH$90,2,FALSE)</f>
        <v>31</v>
      </c>
      <c r="V1866">
        <f>VLOOKUP(Auto_Sales_data___Copy[[#This Row],[CUSTOMER_NAME]],$AF$2:$AH$90,3,FALSE)</f>
        <v>122138.14</v>
      </c>
      <c r="W1866" s="2">
        <f>6-MATCH(Auto_Sales_data___Copy[[#This Row],[DAYS_SINCE_LAST_ORDER]],Table2[R-Cutoff],1)</f>
        <v>2</v>
      </c>
      <c r="X1866" s="2">
        <f>MATCH(Auto_Sales_data___Copy[[#This Row],[Total_Orders_Per_Customer]],Table2[F-Cutoff],1)</f>
        <v>4</v>
      </c>
      <c r="Y1866" s="2">
        <f>MATCH(Auto_Sales_data___Copy[[#This Row],[Total_Sales_Per_Customer]],Table2[M-Cutoff],1)</f>
        <v>4</v>
      </c>
      <c r="Z1866" s="2" t="str">
        <f>Auto_Sales_data___Copy[[#This Row],[R-Score(1-5)]]&amp;Auto_Sales_data___Copy[[#This Row],[F-Score(1-5)]]&amp;Auto_Sales_data___Copy[[#This Row],[M-Score(1-5)]]</f>
        <v>244</v>
      </c>
      <c r="AA1866" s="2" t="str" cm="1">
        <f t="array" ref="AA18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6" s="2" t="str">
        <f>VLOOKUP(Auto_Sales_data___Copy[[#This Row],[Segment Name]],Table3[],2,FALSE)</f>
        <v>High-Touch  Win-Back</v>
      </c>
    </row>
    <row r="1867" spans="1:28" x14ac:dyDescent="0.25">
      <c r="A1867">
        <v>10282</v>
      </c>
      <c r="B1867">
        <v>39</v>
      </c>
      <c r="C1867">
        <v>123.01</v>
      </c>
      <c r="D1867">
        <v>10</v>
      </c>
      <c r="E1867">
        <v>4797.3900000000003</v>
      </c>
      <c r="F1867" s="1">
        <v>43697</v>
      </c>
      <c r="G1867" s="2" t="s">
        <v>19</v>
      </c>
      <c r="H1867" s="2" t="s">
        <v>183</v>
      </c>
      <c r="I1867">
        <v>118</v>
      </c>
      <c r="J1867" s="2" t="s">
        <v>690</v>
      </c>
      <c r="K1867" s="2" t="s">
        <v>284</v>
      </c>
      <c r="L1867" s="2" t="s">
        <v>285</v>
      </c>
      <c r="M1867" s="2" t="s">
        <v>286</v>
      </c>
      <c r="N1867" s="2" t="s">
        <v>287</v>
      </c>
      <c r="O1867" s="2" t="s">
        <v>106</v>
      </c>
      <c r="P1867" s="2" t="s">
        <v>27</v>
      </c>
      <c r="Q1867" s="2" t="s">
        <v>288</v>
      </c>
      <c r="R1867" s="2" t="s">
        <v>289</v>
      </c>
      <c r="S1867" s="2" t="s">
        <v>46</v>
      </c>
      <c r="T1867">
        <v>2280</v>
      </c>
      <c r="U1867">
        <f>VLOOKUP(Auto_Sales_data___Copy[[#This Row],[CUSTOMER_NAME]],$AF$2:$AH$90,2,FALSE)</f>
        <v>180</v>
      </c>
      <c r="V1867">
        <f>VLOOKUP(Auto_Sales_data___Copy[[#This Row],[CUSTOMER_NAME]],$AF$2:$AH$90,3,FALSE)</f>
        <v>654858.06000000017</v>
      </c>
      <c r="W1867" s="2">
        <f>6-MATCH(Auto_Sales_data___Copy[[#This Row],[DAYS_SINCE_LAST_ORDER]],Table2[R-Cutoff],1)</f>
        <v>2</v>
      </c>
      <c r="X1867" s="2">
        <f>MATCH(Auto_Sales_data___Copy[[#This Row],[Total_Orders_Per_Customer]],Table2[F-Cutoff],1)</f>
        <v>4</v>
      </c>
      <c r="Y1867" s="2">
        <f>MATCH(Auto_Sales_data___Copy[[#This Row],[Total_Sales_Per_Customer]],Table2[M-Cutoff],1)</f>
        <v>4</v>
      </c>
      <c r="Z1867" s="2" t="str">
        <f>Auto_Sales_data___Copy[[#This Row],[R-Score(1-5)]]&amp;Auto_Sales_data___Copy[[#This Row],[F-Score(1-5)]]&amp;Auto_Sales_data___Copy[[#This Row],[M-Score(1-5)]]</f>
        <v>244</v>
      </c>
      <c r="AA1867" s="2" t="str" cm="1">
        <f t="array" ref="AA18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7" s="2" t="str">
        <f>VLOOKUP(Auto_Sales_data___Copy[[#This Row],[Segment Name]],Table3[],2,FALSE)</f>
        <v>High-Touch  Win-Back</v>
      </c>
    </row>
    <row r="1868" spans="1:28" x14ac:dyDescent="0.25">
      <c r="A1868">
        <v>10282</v>
      </c>
      <c r="B1868">
        <v>36</v>
      </c>
      <c r="C1868">
        <v>59.65</v>
      </c>
      <c r="D1868">
        <v>9</v>
      </c>
      <c r="E1868">
        <v>2147.4</v>
      </c>
      <c r="F1868" s="1">
        <v>43697</v>
      </c>
      <c r="G1868" s="2" t="s">
        <v>19</v>
      </c>
      <c r="H1868" s="2" t="s">
        <v>650</v>
      </c>
      <c r="I1868">
        <v>62</v>
      </c>
      <c r="J1868" s="2" t="s">
        <v>698</v>
      </c>
      <c r="K1868" s="2" t="s">
        <v>284</v>
      </c>
      <c r="L1868" s="2" t="s">
        <v>285</v>
      </c>
      <c r="M1868" s="2" t="s">
        <v>286</v>
      </c>
      <c r="N1868" s="2" t="s">
        <v>287</v>
      </c>
      <c r="O1868" s="2" t="s">
        <v>106</v>
      </c>
      <c r="P1868" s="2" t="s">
        <v>27</v>
      </c>
      <c r="Q1868" s="2" t="s">
        <v>288</v>
      </c>
      <c r="R1868" s="2" t="s">
        <v>289</v>
      </c>
      <c r="S1868" s="2" t="s">
        <v>30</v>
      </c>
      <c r="T1868">
        <v>2480</v>
      </c>
      <c r="U1868">
        <f>VLOOKUP(Auto_Sales_data___Copy[[#This Row],[CUSTOMER_NAME]],$AF$2:$AH$90,2,FALSE)</f>
        <v>180</v>
      </c>
      <c r="V1868">
        <f>VLOOKUP(Auto_Sales_data___Copy[[#This Row],[CUSTOMER_NAME]],$AF$2:$AH$90,3,FALSE)</f>
        <v>654858.06000000017</v>
      </c>
      <c r="W1868" s="2">
        <f>6-MATCH(Auto_Sales_data___Copy[[#This Row],[DAYS_SINCE_LAST_ORDER]],Table2[R-Cutoff],1)</f>
        <v>2</v>
      </c>
      <c r="X1868" s="2">
        <f>MATCH(Auto_Sales_data___Copy[[#This Row],[Total_Orders_Per_Customer]],Table2[F-Cutoff],1)</f>
        <v>4</v>
      </c>
      <c r="Y1868" s="2">
        <f>MATCH(Auto_Sales_data___Copy[[#This Row],[Total_Sales_Per_Customer]],Table2[M-Cutoff],1)</f>
        <v>4</v>
      </c>
      <c r="Z1868" s="2" t="str">
        <f>Auto_Sales_data___Copy[[#This Row],[R-Score(1-5)]]&amp;Auto_Sales_data___Copy[[#This Row],[F-Score(1-5)]]&amp;Auto_Sales_data___Copy[[#This Row],[M-Score(1-5)]]</f>
        <v>244</v>
      </c>
      <c r="AA1868" s="2" t="str" cm="1">
        <f t="array" ref="AA18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8" s="2" t="str">
        <f>VLOOKUP(Auto_Sales_data___Copy[[#This Row],[Segment Name]],Table3[],2,FALSE)</f>
        <v>High-Touch  Win-Back</v>
      </c>
    </row>
    <row r="1869" spans="1:28" x14ac:dyDescent="0.25">
      <c r="A1869">
        <v>10285</v>
      </c>
      <c r="B1869">
        <v>37</v>
      </c>
      <c r="C1869">
        <v>98.89</v>
      </c>
      <c r="D1869">
        <v>12</v>
      </c>
      <c r="E1869">
        <v>3658.93</v>
      </c>
      <c r="F1869" s="1">
        <v>43704</v>
      </c>
      <c r="G1869" s="2" t="s">
        <v>19</v>
      </c>
      <c r="H1869" s="2" t="s">
        <v>20</v>
      </c>
      <c r="I1869">
        <v>99</v>
      </c>
      <c r="J1869" s="2" t="s">
        <v>695</v>
      </c>
      <c r="K1869" s="2" t="s">
        <v>115</v>
      </c>
      <c r="L1869" s="2" t="s">
        <v>116</v>
      </c>
      <c r="M1869" s="2" t="s">
        <v>117</v>
      </c>
      <c r="N1869" s="2" t="s">
        <v>118</v>
      </c>
      <c r="O1869" s="2" t="s">
        <v>119</v>
      </c>
      <c r="P1869" s="2" t="s">
        <v>27</v>
      </c>
      <c r="Q1869" s="2" t="s">
        <v>120</v>
      </c>
      <c r="R1869" s="2" t="s">
        <v>121</v>
      </c>
      <c r="S1869" s="2" t="s">
        <v>46</v>
      </c>
      <c r="T1869">
        <v>2395</v>
      </c>
      <c r="U1869">
        <f>VLOOKUP(Auto_Sales_data___Copy[[#This Row],[CUSTOMER_NAME]],$AF$2:$AH$90,2,FALSE)</f>
        <v>27</v>
      </c>
      <c r="V1869">
        <f>VLOOKUP(Auto_Sales_data___Copy[[#This Row],[CUSTOMER_NAME]],$AF$2:$AH$90,3,FALSE)</f>
        <v>103080.37999999998</v>
      </c>
      <c r="W1869" s="2">
        <f>6-MATCH(Auto_Sales_data___Copy[[#This Row],[DAYS_SINCE_LAST_ORDER]],Table2[R-Cutoff],1)</f>
        <v>2</v>
      </c>
      <c r="X1869" s="2">
        <f>MATCH(Auto_Sales_data___Copy[[#This Row],[Total_Orders_Per_Customer]],Table2[F-Cutoff],1)</f>
        <v>4</v>
      </c>
      <c r="Y1869" s="2">
        <f>MATCH(Auto_Sales_data___Copy[[#This Row],[Total_Sales_Per_Customer]],Table2[M-Cutoff],1)</f>
        <v>4</v>
      </c>
      <c r="Z1869" s="2" t="str">
        <f>Auto_Sales_data___Copy[[#This Row],[R-Score(1-5)]]&amp;Auto_Sales_data___Copy[[#This Row],[F-Score(1-5)]]&amp;Auto_Sales_data___Copy[[#This Row],[M-Score(1-5)]]</f>
        <v>244</v>
      </c>
      <c r="AA1869" s="2" t="str" cm="1">
        <f t="array" ref="AA18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9" s="2" t="str">
        <f>VLOOKUP(Auto_Sales_data___Copy[[#This Row],[Segment Name]],Table3[],2,FALSE)</f>
        <v>High-Touch  Win-Back</v>
      </c>
    </row>
    <row r="1870" spans="1:28" x14ac:dyDescent="0.25">
      <c r="A1870">
        <v>10285</v>
      </c>
      <c r="B1870">
        <v>37</v>
      </c>
      <c r="C1870">
        <v>41.03</v>
      </c>
      <c r="D1870">
        <v>1</v>
      </c>
      <c r="E1870">
        <v>1518.11</v>
      </c>
      <c r="F1870" s="1">
        <v>43704</v>
      </c>
      <c r="G1870" s="2" t="s">
        <v>19</v>
      </c>
      <c r="H1870" s="2" t="s">
        <v>20</v>
      </c>
      <c r="I1870">
        <v>40</v>
      </c>
      <c r="J1870" s="2" t="s">
        <v>696</v>
      </c>
      <c r="K1870" s="2" t="s">
        <v>115</v>
      </c>
      <c r="L1870" s="2" t="s">
        <v>116</v>
      </c>
      <c r="M1870" s="2" t="s">
        <v>117</v>
      </c>
      <c r="N1870" s="2" t="s">
        <v>118</v>
      </c>
      <c r="O1870" s="2" t="s">
        <v>119</v>
      </c>
      <c r="P1870" s="2" t="s">
        <v>27</v>
      </c>
      <c r="Q1870" s="2" t="s">
        <v>120</v>
      </c>
      <c r="R1870" s="2" t="s">
        <v>121</v>
      </c>
      <c r="S1870" s="2" t="s">
        <v>30</v>
      </c>
      <c r="T1870">
        <v>2420</v>
      </c>
      <c r="U1870">
        <f>VLOOKUP(Auto_Sales_data___Copy[[#This Row],[CUSTOMER_NAME]],$AF$2:$AH$90,2,FALSE)</f>
        <v>27</v>
      </c>
      <c r="V1870">
        <f>VLOOKUP(Auto_Sales_data___Copy[[#This Row],[CUSTOMER_NAME]],$AF$2:$AH$90,3,FALSE)</f>
        <v>103080.37999999998</v>
      </c>
      <c r="W1870" s="2">
        <f>6-MATCH(Auto_Sales_data___Copy[[#This Row],[DAYS_SINCE_LAST_ORDER]],Table2[R-Cutoff],1)</f>
        <v>2</v>
      </c>
      <c r="X1870" s="2">
        <f>MATCH(Auto_Sales_data___Copy[[#This Row],[Total_Orders_Per_Customer]],Table2[F-Cutoff],1)</f>
        <v>4</v>
      </c>
      <c r="Y1870" s="2">
        <f>MATCH(Auto_Sales_data___Copy[[#This Row],[Total_Sales_Per_Customer]],Table2[M-Cutoff],1)</f>
        <v>4</v>
      </c>
      <c r="Z1870" s="2" t="str">
        <f>Auto_Sales_data___Copy[[#This Row],[R-Score(1-5)]]&amp;Auto_Sales_data___Copy[[#This Row],[F-Score(1-5)]]&amp;Auto_Sales_data___Copy[[#This Row],[M-Score(1-5)]]</f>
        <v>244</v>
      </c>
      <c r="AA1870" s="2" t="str" cm="1">
        <f t="array" ref="AA18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0" s="2" t="str">
        <f>VLOOKUP(Auto_Sales_data___Copy[[#This Row],[Segment Name]],Table3[],2,FALSE)</f>
        <v>High-Touch  Win-Back</v>
      </c>
    </row>
    <row r="1871" spans="1:28" x14ac:dyDescent="0.25">
      <c r="A1871">
        <v>10285</v>
      </c>
      <c r="B1871">
        <v>26</v>
      </c>
      <c r="C1871">
        <v>100.01</v>
      </c>
      <c r="D1871">
        <v>4</v>
      </c>
      <c r="E1871">
        <v>2600.2600000000002</v>
      </c>
      <c r="F1871" s="1">
        <v>43704</v>
      </c>
      <c r="G1871" s="2" t="s">
        <v>19</v>
      </c>
      <c r="H1871" s="2" t="s">
        <v>20</v>
      </c>
      <c r="I1871">
        <v>102</v>
      </c>
      <c r="J1871" s="2" t="s">
        <v>701</v>
      </c>
      <c r="K1871" s="2" t="s">
        <v>115</v>
      </c>
      <c r="L1871" s="2" t="s">
        <v>116</v>
      </c>
      <c r="M1871" s="2" t="s">
        <v>117</v>
      </c>
      <c r="N1871" s="2" t="s">
        <v>118</v>
      </c>
      <c r="O1871" s="2" t="s">
        <v>119</v>
      </c>
      <c r="P1871" s="2" t="s">
        <v>27</v>
      </c>
      <c r="Q1871" s="2" t="s">
        <v>120</v>
      </c>
      <c r="R1871" s="2" t="s">
        <v>121</v>
      </c>
      <c r="S1871" s="2" t="s">
        <v>30</v>
      </c>
      <c r="T1871">
        <v>2548</v>
      </c>
      <c r="U1871">
        <f>VLOOKUP(Auto_Sales_data___Copy[[#This Row],[CUSTOMER_NAME]],$AF$2:$AH$90,2,FALSE)</f>
        <v>27</v>
      </c>
      <c r="V1871">
        <f>VLOOKUP(Auto_Sales_data___Copy[[#This Row],[CUSTOMER_NAME]],$AF$2:$AH$90,3,FALSE)</f>
        <v>103080.37999999998</v>
      </c>
      <c r="W1871" s="2">
        <f>6-MATCH(Auto_Sales_data___Copy[[#This Row],[DAYS_SINCE_LAST_ORDER]],Table2[R-Cutoff],1)</f>
        <v>2</v>
      </c>
      <c r="X1871" s="2">
        <f>MATCH(Auto_Sales_data___Copy[[#This Row],[Total_Orders_Per_Customer]],Table2[F-Cutoff],1)</f>
        <v>4</v>
      </c>
      <c r="Y1871" s="2">
        <f>MATCH(Auto_Sales_data___Copy[[#This Row],[Total_Sales_Per_Customer]],Table2[M-Cutoff],1)</f>
        <v>4</v>
      </c>
      <c r="Z1871" s="2" t="str">
        <f>Auto_Sales_data___Copy[[#This Row],[R-Score(1-5)]]&amp;Auto_Sales_data___Copy[[#This Row],[F-Score(1-5)]]&amp;Auto_Sales_data___Copy[[#This Row],[M-Score(1-5)]]</f>
        <v>244</v>
      </c>
      <c r="AA1871" s="2" t="str" cm="1">
        <f t="array" ref="AA18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1" s="2" t="str">
        <f>VLOOKUP(Auto_Sales_data___Copy[[#This Row],[Segment Name]],Table3[],2,FALSE)</f>
        <v>High-Touch  Win-Back</v>
      </c>
    </row>
    <row r="1872" spans="1:28" x14ac:dyDescent="0.25">
      <c r="A1872">
        <v>10287</v>
      </c>
      <c r="B1872">
        <v>20</v>
      </c>
      <c r="C1872">
        <v>67.97</v>
      </c>
      <c r="D1872">
        <v>11</v>
      </c>
      <c r="E1872">
        <v>1359.4</v>
      </c>
      <c r="F1872" s="1">
        <v>43707</v>
      </c>
      <c r="G1872" s="2" t="s">
        <v>19</v>
      </c>
      <c r="H1872" s="2" t="s">
        <v>183</v>
      </c>
      <c r="I1872">
        <v>61</v>
      </c>
      <c r="J1872" s="2" t="s">
        <v>683</v>
      </c>
      <c r="K1872" s="2" t="s">
        <v>473</v>
      </c>
      <c r="L1872" s="2" t="s">
        <v>474</v>
      </c>
      <c r="M1872" s="2" t="s">
        <v>475</v>
      </c>
      <c r="N1872" s="2" t="s">
        <v>476</v>
      </c>
      <c r="O1872" s="2" t="s">
        <v>477</v>
      </c>
      <c r="P1872" s="2" t="s">
        <v>478</v>
      </c>
      <c r="Q1872" s="2" t="s">
        <v>479</v>
      </c>
      <c r="R1872" s="2" t="s">
        <v>94</v>
      </c>
      <c r="S1872" s="2" t="s">
        <v>30</v>
      </c>
      <c r="T1872">
        <v>2097</v>
      </c>
      <c r="U1872">
        <f>VLOOKUP(Auto_Sales_data___Copy[[#This Row],[CUSTOMER_NAME]],$AF$2:$AH$90,2,FALSE)</f>
        <v>31</v>
      </c>
      <c r="V1872">
        <f>VLOOKUP(Auto_Sales_data___Copy[[#This Row],[CUSTOMER_NAME]],$AF$2:$AH$90,3,FALSE)</f>
        <v>117713.56000000001</v>
      </c>
      <c r="W1872" s="2">
        <f>6-MATCH(Auto_Sales_data___Copy[[#This Row],[DAYS_SINCE_LAST_ORDER]],Table2[R-Cutoff],1)</f>
        <v>2</v>
      </c>
      <c r="X1872" s="2">
        <f>MATCH(Auto_Sales_data___Copy[[#This Row],[Total_Orders_Per_Customer]],Table2[F-Cutoff],1)</f>
        <v>4</v>
      </c>
      <c r="Y1872" s="2">
        <f>MATCH(Auto_Sales_data___Copy[[#This Row],[Total_Sales_Per_Customer]],Table2[M-Cutoff],1)</f>
        <v>4</v>
      </c>
      <c r="Z1872" s="2" t="str">
        <f>Auto_Sales_data___Copy[[#This Row],[R-Score(1-5)]]&amp;Auto_Sales_data___Copy[[#This Row],[F-Score(1-5)]]&amp;Auto_Sales_data___Copy[[#This Row],[M-Score(1-5)]]</f>
        <v>244</v>
      </c>
      <c r="AA1872" s="2" t="str" cm="1">
        <f t="array" ref="AA18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2" s="2" t="str">
        <f>VLOOKUP(Auto_Sales_data___Copy[[#This Row],[Segment Name]],Table3[],2,FALSE)</f>
        <v>High-Touch  Win-Back</v>
      </c>
    </row>
    <row r="1873" spans="1:28" x14ac:dyDescent="0.25">
      <c r="A1873">
        <v>10287</v>
      </c>
      <c r="B1873">
        <v>36</v>
      </c>
      <c r="C1873">
        <v>119.37</v>
      </c>
      <c r="D1873">
        <v>7</v>
      </c>
      <c r="E1873">
        <v>4297.32</v>
      </c>
      <c r="F1873" s="1">
        <v>43707</v>
      </c>
      <c r="G1873" s="2" t="s">
        <v>19</v>
      </c>
      <c r="H1873" s="2" t="s">
        <v>183</v>
      </c>
      <c r="I1873">
        <v>140</v>
      </c>
      <c r="J1873" s="2" t="s">
        <v>687</v>
      </c>
      <c r="K1873" s="2" t="s">
        <v>473</v>
      </c>
      <c r="L1873" s="2" t="s">
        <v>474</v>
      </c>
      <c r="M1873" s="2" t="s">
        <v>475</v>
      </c>
      <c r="N1873" s="2" t="s">
        <v>476</v>
      </c>
      <c r="O1873" s="2" t="s">
        <v>477</v>
      </c>
      <c r="P1873" s="2" t="s">
        <v>478</v>
      </c>
      <c r="Q1873" s="2" t="s">
        <v>479</v>
      </c>
      <c r="R1873" s="2" t="s">
        <v>94</v>
      </c>
      <c r="S1873" s="2" t="s">
        <v>46</v>
      </c>
      <c r="T1873">
        <v>2196</v>
      </c>
      <c r="U1873">
        <f>VLOOKUP(Auto_Sales_data___Copy[[#This Row],[CUSTOMER_NAME]],$AF$2:$AH$90,2,FALSE)</f>
        <v>31</v>
      </c>
      <c r="V1873">
        <f>VLOOKUP(Auto_Sales_data___Copy[[#This Row],[CUSTOMER_NAME]],$AF$2:$AH$90,3,FALSE)</f>
        <v>117713.56000000001</v>
      </c>
      <c r="W1873" s="2">
        <f>6-MATCH(Auto_Sales_data___Copy[[#This Row],[DAYS_SINCE_LAST_ORDER]],Table2[R-Cutoff],1)</f>
        <v>2</v>
      </c>
      <c r="X1873" s="2">
        <f>MATCH(Auto_Sales_data___Copy[[#This Row],[Total_Orders_Per_Customer]],Table2[F-Cutoff],1)</f>
        <v>4</v>
      </c>
      <c r="Y1873" s="2">
        <f>MATCH(Auto_Sales_data___Copy[[#This Row],[Total_Sales_Per_Customer]],Table2[M-Cutoff],1)</f>
        <v>4</v>
      </c>
      <c r="Z1873" s="2" t="str">
        <f>Auto_Sales_data___Copy[[#This Row],[R-Score(1-5)]]&amp;Auto_Sales_data___Copy[[#This Row],[F-Score(1-5)]]&amp;Auto_Sales_data___Copy[[#This Row],[M-Score(1-5)]]</f>
        <v>244</v>
      </c>
      <c r="AA1873" s="2" t="str" cm="1">
        <f t="array" ref="AA18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3" s="2" t="str">
        <f>VLOOKUP(Auto_Sales_data___Copy[[#This Row],[Segment Name]],Table3[],2,FALSE)</f>
        <v>High-Touch  Win-Back</v>
      </c>
    </row>
    <row r="1874" spans="1:28" x14ac:dyDescent="0.25">
      <c r="A1874">
        <v>10287</v>
      </c>
      <c r="B1874">
        <v>40</v>
      </c>
      <c r="C1874">
        <v>88.12</v>
      </c>
      <c r="D1874">
        <v>16</v>
      </c>
      <c r="E1874">
        <v>3524.8</v>
      </c>
      <c r="F1874" s="1">
        <v>43707</v>
      </c>
      <c r="G1874" s="2" t="s">
        <v>19</v>
      </c>
      <c r="H1874" s="2" t="s">
        <v>183</v>
      </c>
      <c r="I1874">
        <v>80</v>
      </c>
      <c r="J1874" s="2" t="s">
        <v>693</v>
      </c>
      <c r="K1874" s="2" t="s">
        <v>473</v>
      </c>
      <c r="L1874" s="2" t="s">
        <v>474</v>
      </c>
      <c r="M1874" s="2" t="s">
        <v>475</v>
      </c>
      <c r="N1874" s="2" t="s">
        <v>476</v>
      </c>
      <c r="O1874" s="2" t="s">
        <v>477</v>
      </c>
      <c r="P1874" s="2" t="s">
        <v>478</v>
      </c>
      <c r="Q1874" s="2" t="s">
        <v>479</v>
      </c>
      <c r="R1874" s="2" t="s">
        <v>94</v>
      </c>
      <c r="S1874" s="2" t="s">
        <v>46</v>
      </c>
      <c r="T1874">
        <v>2343</v>
      </c>
      <c r="U1874">
        <f>VLOOKUP(Auto_Sales_data___Copy[[#This Row],[CUSTOMER_NAME]],$AF$2:$AH$90,2,FALSE)</f>
        <v>31</v>
      </c>
      <c r="V1874">
        <f>VLOOKUP(Auto_Sales_data___Copy[[#This Row],[CUSTOMER_NAME]],$AF$2:$AH$90,3,FALSE)</f>
        <v>117713.56000000001</v>
      </c>
      <c r="W1874" s="2">
        <f>6-MATCH(Auto_Sales_data___Copy[[#This Row],[DAYS_SINCE_LAST_ORDER]],Table2[R-Cutoff],1)</f>
        <v>2</v>
      </c>
      <c r="X1874" s="2">
        <f>MATCH(Auto_Sales_data___Copy[[#This Row],[Total_Orders_Per_Customer]],Table2[F-Cutoff],1)</f>
        <v>4</v>
      </c>
      <c r="Y1874" s="2">
        <f>MATCH(Auto_Sales_data___Copy[[#This Row],[Total_Sales_Per_Customer]],Table2[M-Cutoff],1)</f>
        <v>4</v>
      </c>
      <c r="Z1874" s="2" t="str">
        <f>Auto_Sales_data___Copy[[#This Row],[R-Score(1-5)]]&amp;Auto_Sales_data___Copy[[#This Row],[F-Score(1-5)]]&amp;Auto_Sales_data___Copy[[#This Row],[M-Score(1-5)]]</f>
        <v>244</v>
      </c>
      <c r="AA1874" s="2" t="str" cm="1">
        <f t="array" ref="AA18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4" s="2" t="str">
        <f>VLOOKUP(Auto_Sales_data___Copy[[#This Row],[Segment Name]],Table3[],2,FALSE)</f>
        <v>High-Touch  Win-Back</v>
      </c>
    </row>
    <row r="1875" spans="1:28" x14ac:dyDescent="0.25">
      <c r="A1875">
        <v>10288</v>
      </c>
      <c r="B1875">
        <v>34</v>
      </c>
      <c r="C1875">
        <v>68.489999999999995</v>
      </c>
      <c r="D1875">
        <v>10</v>
      </c>
      <c r="E1875">
        <v>2328.66</v>
      </c>
      <c r="F1875" s="1">
        <v>43709</v>
      </c>
      <c r="G1875" s="2" t="s">
        <v>19</v>
      </c>
      <c r="H1875" s="2" t="s">
        <v>183</v>
      </c>
      <c r="I1875">
        <v>85</v>
      </c>
      <c r="J1875" s="2" t="s">
        <v>682</v>
      </c>
      <c r="K1875" s="2" t="s">
        <v>443</v>
      </c>
      <c r="L1875" s="2" t="s">
        <v>444</v>
      </c>
      <c r="M1875" s="2" t="s">
        <v>445</v>
      </c>
      <c r="N1875" s="2" t="s">
        <v>202</v>
      </c>
      <c r="O1875" s="2" t="s">
        <v>446</v>
      </c>
      <c r="P1875" s="2" t="s">
        <v>202</v>
      </c>
      <c r="Q1875" s="2" t="s">
        <v>447</v>
      </c>
      <c r="R1875" s="2" t="s">
        <v>448</v>
      </c>
      <c r="S1875" s="2" t="s">
        <v>30</v>
      </c>
      <c r="T1875">
        <v>2071</v>
      </c>
      <c r="U1875">
        <f>VLOOKUP(Auto_Sales_data___Copy[[#This Row],[CUSTOMER_NAME]],$AF$2:$AH$90,2,FALSE)</f>
        <v>36</v>
      </c>
      <c r="V1875">
        <f>VLOOKUP(Auto_Sales_data___Copy[[#This Row],[CUSTOMER_NAME]],$AF$2:$AH$90,3,FALSE)</f>
        <v>115498.72999999998</v>
      </c>
      <c r="W1875" s="2">
        <f>6-MATCH(Auto_Sales_data___Copy[[#This Row],[DAYS_SINCE_LAST_ORDER]],Table2[R-Cutoff],1)</f>
        <v>2</v>
      </c>
      <c r="X1875" s="2">
        <f>MATCH(Auto_Sales_data___Copy[[#This Row],[Total_Orders_Per_Customer]],Table2[F-Cutoff],1)</f>
        <v>4</v>
      </c>
      <c r="Y1875" s="2">
        <f>MATCH(Auto_Sales_data___Copy[[#This Row],[Total_Sales_Per_Customer]],Table2[M-Cutoff],1)</f>
        <v>4</v>
      </c>
      <c r="Z1875" s="2" t="str">
        <f>Auto_Sales_data___Copy[[#This Row],[R-Score(1-5)]]&amp;Auto_Sales_data___Copy[[#This Row],[F-Score(1-5)]]&amp;Auto_Sales_data___Copy[[#This Row],[M-Score(1-5)]]</f>
        <v>244</v>
      </c>
      <c r="AA1875" s="2" t="str" cm="1">
        <f t="array" ref="AA18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5" s="2" t="str">
        <f>VLOOKUP(Auto_Sales_data___Copy[[#This Row],[Segment Name]],Table3[],2,FALSE)</f>
        <v>High-Touch  Win-Back</v>
      </c>
    </row>
    <row r="1876" spans="1:28" x14ac:dyDescent="0.25">
      <c r="A1876">
        <v>10288</v>
      </c>
      <c r="B1876">
        <v>41</v>
      </c>
      <c r="C1876">
        <v>118.86</v>
      </c>
      <c r="D1876">
        <v>12</v>
      </c>
      <c r="E1876">
        <v>4873.26</v>
      </c>
      <c r="F1876" s="1">
        <v>43709</v>
      </c>
      <c r="G1876" s="2" t="s">
        <v>19</v>
      </c>
      <c r="H1876" s="2" t="s">
        <v>183</v>
      </c>
      <c r="I1876">
        <v>107</v>
      </c>
      <c r="J1876" s="2" t="s">
        <v>685</v>
      </c>
      <c r="K1876" s="2" t="s">
        <v>443</v>
      </c>
      <c r="L1876" s="2" t="s">
        <v>444</v>
      </c>
      <c r="M1876" s="2" t="s">
        <v>445</v>
      </c>
      <c r="N1876" s="2" t="s">
        <v>202</v>
      </c>
      <c r="O1876" s="2" t="s">
        <v>446</v>
      </c>
      <c r="P1876" s="2" t="s">
        <v>202</v>
      </c>
      <c r="Q1876" s="2" t="s">
        <v>447</v>
      </c>
      <c r="R1876" s="2" t="s">
        <v>448</v>
      </c>
      <c r="S1876" s="2" t="s">
        <v>46</v>
      </c>
      <c r="T1876">
        <v>2145</v>
      </c>
      <c r="U1876">
        <f>VLOOKUP(Auto_Sales_data___Copy[[#This Row],[CUSTOMER_NAME]],$AF$2:$AH$90,2,FALSE)</f>
        <v>36</v>
      </c>
      <c r="V1876">
        <f>VLOOKUP(Auto_Sales_data___Copy[[#This Row],[CUSTOMER_NAME]],$AF$2:$AH$90,3,FALSE)</f>
        <v>115498.72999999998</v>
      </c>
      <c r="W1876" s="2">
        <f>6-MATCH(Auto_Sales_data___Copy[[#This Row],[DAYS_SINCE_LAST_ORDER]],Table2[R-Cutoff],1)</f>
        <v>2</v>
      </c>
      <c r="X1876" s="2">
        <f>MATCH(Auto_Sales_data___Copy[[#This Row],[Total_Orders_Per_Customer]],Table2[F-Cutoff],1)</f>
        <v>4</v>
      </c>
      <c r="Y1876" s="2">
        <f>MATCH(Auto_Sales_data___Copy[[#This Row],[Total_Sales_Per_Customer]],Table2[M-Cutoff],1)</f>
        <v>4</v>
      </c>
      <c r="Z1876" s="2" t="str">
        <f>Auto_Sales_data___Copy[[#This Row],[R-Score(1-5)]]&amp;Auto_Sales_data___Copy[[#This Row],[F-Score(1-5)]]&amp;Auto_Sales_data___Copy[[#This Row],[M-Score(1-5)]]</f>
        <v>244</v>
      </c>
      <c r="AA1876" s="2" t="str" cm="1">
        <f t="array" ref="AA18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6" s="2" t="str">
        <f>VLOOKUP(Auto_Sales_data___Copy[[#This Row],[Segment Name]],Table3[],2,FALSE)</f>
        <v>High-Touch  Win-Back</v>
      </c>
    </row>
    <row r="1877" spans="1:28" x14ac:dyDescent="0.25">
      <c r="A1877">
        <v>10288</v>
      </c>
      <c r="B1877">
        <v>33</v>
      </c>
      <c r="C1877">
        <v>40.619999999999997</v>
      </c>
      <c r="D1877">
        <v>3</v>
      </c>
      <c r="E1877">
        <v>1340.46</v>
      </c>
      <c r="F1877" s="1">
        <v>43709</v>
      </c>
      <c r="G1877" s="2" t="s">
        <v>19</v>
      </c>
      <c r="H1877" s="2" t="s">
        <v>589</v>
      </c>
      <c r="I1877">
        <v>41</v>
      </c>
      <c r="J1877" s="2" t="s">
        <v>689</v>
      </c>
      <c r="K1877" s="2" t="s">
        <v>443</v>
      </c>
      <c r="L1877" s="2" t="s">
        <v>444</v>
      </c>
      <c r="M1877" s="2" t="s">
        <v>445</v>
      </c>
      <c r="N1877" s="2" t="s">
        <v>202</v>
      </c>
      <c r="O1877" s="2" t="s">
        <v>446</v>
      </c>
      <c r="P1877" s="2" t="s">
        <v>202</v>
      </c>
      <c r="Q1877" s="2" t="s">
        <v>447</v>
      </c>
      <c r="R1877" s="2" t="s">
        <v>448</v>
      </c>
      <c r="S1877" s="2" t="s">
        <v>30</v>
      </c>
      <c r="T1877">
        <v>2245</v>
      </c>
      <c r="U1877">
        <f>VLOOKUP(Auto_Sales_data___Copy[[#This Row],[CUSTOMER_NAME]],$AF$2:$AH$90,2,FALSE)</f>
        <v>36</v>
      </c>
      <c r="V1877">
        <f>VLOOKUP(Auto_Sales_data___Copy[[#This Row],[CUSTOMER_NAME]],$AF$2:$AH$90,3,FALSE)</f>
        <v>115498.72999999998</v>
      </c>
      <c r="W1877" s="2">
        <f>6-MATCH(Auto_Sales_data___Copy[[#This Row],[DAYS_SINCE_LAST_ORDER]],Table2[R-Cutoff],1)</f>
        <v>2</v>
      </c>
      <c r="X1877" s="2">
        <f>MATCH(Auto_Sales_data___Copy[[#This Row],[Total_Orders_Per_Customer]],Table2[F-Cutoff],1)</f>
        <v>4</v>
      </c>
      <c r="Y1877" s="2">
        <f>MATCH(Auto_Sales_data___Copy[[#This Row],[Total_Sales_Per_Customer]],Table2[M-Cutoff],1)</f>
        <v>4</v>
      </c>
      <c r="Z1877" s="2" t="str">
        <f>Auto_Sales_data___Copy[[#This Row],[R-Score(1-5)]]&amp;Auto_Sales_data___Copy[[#This Row],[F-Score(1-5)]]&amp;Auto_Sales_data___Copy[[#This Row],[M-Score(1-5)]]</f>
        <v>244</v>
      </c>
      <c r="AA1877" s="2" t="str" cm="1">
        <f t="array" ref="AA18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7" s="2" t="str">
        <f>VLOOKUP(Auto_Sales_data___Copy[[#This Row],[Segment Name]],Table3[],2,FALSE)</f>
        <v>High-Touch  Win-Back</v>
      </c>
    </row>
    <row r="1878" spans="1:28" x14ac:dyDescent="0.25">
      <c r="A1878">
        <v>10292</v>
      </c>
      <c r="B1878">
        <v>27</v>
      </c>
      <c r="C1878">
        <v>141.94</v>
      </c>
      <c r="D1878">
        <v>4</v>
      </c>
      <c r="E1878">
        <v>3832.38</v>
      </c>
      <c r="F1878" s="1">
        <v>43716</v>
      </c>
      <c r="G1878" s="2" t="s">
        <v>19</v>
      </c>
      <c r="H1878" s="2" t="s">
        <v>183</v>
      </c>
      <c r="I1878">
        <v>118</v>
      </c>
      <c r="J1878" s="2" t="s">
        <v>690</v>
      </c>
      <c r="K1878" s="2" t="s">
        <v>22</v>
      </c>
      <c r="L1878" s="2" t="s">
        <v>23</v>
      </c>
      <c r="M1878" s="2" t="s">
        <v>24</v>
      </c>
      <c r="N1878" s="2" t="s">
        <v>25</v>
      </c>
      <c r="O1878" s="2" t="s">
        <v>26</v>
      </c>
      <c r="P1878" s="2" t="s">
        <v>27</v>
      </c>
      <c r="Q1878" s="2" t="s">
        <v>28</v>
      </c>
      <c r="R1878" s="2" t="s">
        <v>29</v>
      </c>
      <c r="S1878" s="2" t="s">
        <v>46</v>
      </c>
      <c r="T1878">
        <v>2262</v>
      </c>
      <c r="U1878">
        <f>VLOOKUP(Auto_Sales_data___Copy[[#This Row],[CUSTOMER_NAME]],$AF$2:$AH$90,2,FALSE)</f>
        <v>49</v>
      </c>
      <c r="V1878">
        <f>VLOOKUP(Auto_Sales_data___Copy[[#This Row],[CUSTOMER_NAME]],$AF$2:$AH$90,3,FALSE)</f>
        <v>164069.43999999997</v>
      </c>
      <c r="W1878" s="2">
        <f>6-MATCH(Auto_Sales_data___Copy[[#This Row],[DAYS_SINCE_LAST_ORDER]],Table2[R-Cutoff],1)</f>
        <v>2</v>
      </c>
      <c r="X1878" s="2">
        <f>MATCH(Auto_Sales_data___Copy[[#This Row],[Total_Orders_Per_Customer]],Table2[F-Cutoff],1)</f>
        <v>4</v>
      </c>
      <c r="Y1878" s="2">
        <f>MATCH(Auto_Sales_data___Copy[[#This Row],[Total_Sales_Per_Customer]],Table2[M-Cutoff],1)</f>
        <v>4</v>
      </c>
      <c r="Z1878" s="2" t="str">
        <f>Auto_Sales_data___Copy[[#This Row],[R-Score(1-5)]]&amp;Auto_Sales_data___Copy[[#This Row],[F-Score(1-5)]]&amp;Auto_Sales_data___Copy[[#This Row],[M-Score(1-5)]]</f>
        <v>244</v>
      </c>
      <c r="AA1878" s="2" t="str" cm="1">
        <f t="array" ref="AA18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8" s="2" t="str">
        <f>VLOOKUP(Auto_Sales_data___Copy[[#This Row],[Segment Name]],Table3[],2,FALSE)</f>
        <v>High-Touch  Win-Back</v>
      </c>
    </row>
    <row r="1879" spans="1:28" x14ac:dyDescent="0.25">
      <c r="A1879">
        <v>10291</v>
      </c>
      <c r="B1879">
        <v>26</v>
      </c>
      <c r="C1879">
        <v>83.79</v>
      </c>
      <c r="D1879">
        <v>3</v>
      </c>
      <c r="E1879">
        <v>2178.54</v>
      </c>
      <c r="F1879" s="1">
        <v>43716</v>
      </c>
      <c r="G1879" s="2" t="s">
        <v>19</v>
      </c>
      <c r="H1879" s="2" t="s">
        <v>537</v>
      </c>
      <c r="I1879">
        <v>96</v>
      </c>
      <c r="J1879" s="2" t="s">
        <v>694</v>
      </c>
      <c r="K1879" s="2" t="s">
        <v>272</v>
      </c>
      <c r="L1879" s="2" t="s">
        <v>273</v>
      </c>
      <c r="M1879" s="2" t="s">
        <v>274</v>
      </c>
      <c r="N1879" s="2" t="s">
        <v>275</v>
      </c>
      <c r="O1879" s="2" t="s">
        <v>276</v>
      </c>
      <c r="P1879" s="2" t="s">
        <v>190</v>
      </c>
      <c r="Q1879" s="2" t="s">
        <v>277</v>
      </c>
      <c r="R1879" s="2" t="s">
        <v>209</v>
      </c>
      <c r="S1879" s="2" t="s">
        <v>30</v>
      </c>
      <c r="T1879">
        <v>2360</v>
      </c>
      <c r="U1879">
        <f>VLOOKUP(Auto_Sales_data___Copy[[#This Row],[CUSTOMER_NAME]],$AF$2:$AH$90,2,FALSE)</f>
        <v>38</v>
      </c>
      <c r="V1879">
        <f>VLOOKUP(Auto_Sales_data___Copy[[#This Row],[CUSTOMER_NAME]],$AF$2:$AH$90,3,FALSE)</f>
        <v>134259.32999999996</v>
      </c>
      <c r="W1879" s="2">
        <f>6-MATCH(Auto_Sales_data___Copy[[#This Row],[DAYS_SINCE_LAST_ORDER]],Table2[R-Cutoff],1)</f>
        <v>2</v>
      </c>
      <c r="X1879" s="2">
        <f>MATCH(Auto_Sales_data___Copy[[#This Row],[Total_Orders_Per_Customer]],Table2[F-Cutoff],1)</f>
        <v>4</v>
      </c>
      <c r="Y1879" s="2">
        <f>MATCH(Auto_Sales_data___Copy[[#This Row],[Total_Sales_Per_Customer]],Table2[M-Cutoff],1)</f>
        <v>4</v>
      </c>
      <c r="Z1879" s="2" t="str">
        <f>Auto_Sales_data___Copy[[#This Row],[R-Score(1-5)]]&amp;Auto_Sales_data___Copy[[#This Row],[F-Score(1-5)]]&amp;Auto_Sales_data___Copy[[#This Row],[M-Score(1-5)]]</f>
        <v>244</v>
      </c>
      <c r="AA1879" s="2" t="str" cm="1">
        <f t="array" ref="AA18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9" s="2" t="str">
        <f>VLOOKUP(Auto_Sales_data___Copy[[#This Row],[Segment Name]],Table3[],2,FALSE)</f>
        <v>High-Touch  Win-Back</v>
      </c>
    </row>
    <row r="1880" spans="1:28" x14ac:dyDescent="0.25">
      <c r="A1880">
        <v>10292</v>
      </c>
      <c r="B1880">
        <v>50</v>
      </c>
      <c r="C1880">
        <v>46.53</v>
      </c>
      <c r="D1880">
        <v>10</v>
      </c>
      <c r="E1880">
        <v>2326.5</v>
      </c>
      <c r="F1880" s="1">
        <v>43716</v>
      </c>
      <c r="G1880" s="2" t="s">
        <v>19</v>
      </c>
      <c r="H1880" s="2" t="s">
        <v>537</v>
      </c>
      <c r="I1880">
        <v>54</v>
      </c>
      <c r="J1880" s="2" t="s">
        <v>697</v>
      </c>
      <c r="K1880" s="2" t="s">
        <v>22</v>
      </c>
      <c r="L1880" s="2" t="s">
        <v>23</v>
      </c>
      <c r="M1880" s="2" t="s">
        <v>24</v>
      </c>
      <c r="N1880" s="2" t="s">
        <v>25</v>
      </c>
      <c r="O1880" s="2" t="s">
        <v>26</v>
      </c>
      <c r="P1880" s="2" t="s">
        <v>27</v>
      </c>
      <c r="Q1880" s="2" t="s">
        <v>28</v>
      </c>
      <c r="R1880" s="2" t="s">
        <v>29</v>
      </c>
      <c r="S1880" s="2" t="s">
        <v>30</v>
      </c>
      <c r="T1880">
        <v>2435</v>
      </c>
      <c r="U1880">
        <f>VLOOKUP(Auto_Sales_data___Copy[[#This Row],[CUSTOMER_NAME]],$AF$2:$AH$90,2,FALSE)</f>
        <v>49</v>
      </c>
      <c r="V1880">
        <f>VLOOKUP(Auto_Sales_data___Copy[[#This Row],[CUSTOMER_NAME]],$AF$2:$AH$90,3,FALSE)</f>
        <v>164069.43999999997</v>
      </c>
      <c r="W1880" s="2">
        <f>6-MATCH(Auto_Sales_data___Copy[[#This Row],[DAYS_SINCE_LAST_ORDER]],Table2[R-Cutoff],1)</f>
        <v>2</v>
      </c>
      <c r="X1880" s="2">
        <f>MATCH(Auto_Sales_data___Copy[[#This Row],[Total_Orders_Per_Customer]],Table2[F-Cutoff],1)</f>
        <v>4</v>
      </c>
      <c r="Y1880" s="2">
        <f>MATCH(Auto_Sales_data___Copy[[#This Row],[Total_Sales_Per_Customer]],Table2[M-Cutoff],1)</f>
        <v>4</v>
      </c>
      <c r="Z1880" s="2" t="str">
        <f>Auto_Sales_data___Copy[[#This Row],[R-Score(1-5)]]&amp;Auto_Sales_data___Copy[[#This Row],[F-Score(1-5)]]&amp;Auto_Sales_data___Copy[[#This Row],[M-Score(1-5)]]</f>
        <v>244</v>
      </c>
      <c r="AA1880" s="2" t="str" cm="1">
        <f t="array" ref="AA18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0" s="2" t="str">
        <f>VLOOKUP(Auto_Sales_data___Copy[[#This Row],[Segment Name]],Table3[],2,FALSE)</f>
        <v>High-Touch  Win-Back</v>
      </c>
    </row>
    <row r="1881" spans="1:28" x14ac:dyDescent="0.25">
      <c r="A1881">
        <v>10292</v>
      </c>
      <c r="B1881">
        <v>31</v>
      </c>
      <c r="C1881">
        <v>67.73</v>
      </c>
      <c r="D1881">
        <v>3</v>
      </c>
      <c r="E1881">
        <v>2099.63</v>
      </c>
      <c r="F1881" s="1">
        <v>43716</v>
      </c>
      <c r="G1881" s="2" t="s">
        <v>19</v>
      </c>
      <c r="H1881" s="2" t="s">
        <v>650</v>
      </c>
      <c r="I1881">
        <v>62</v>
      </c>
      <c r="J1881" s="2" t="s">
        <v>698</v>
      </c>
      <c r="K1881" s="2" t="s">
        <v>22</v>
      </c>
      <c r="L1881" s="2" t="s">
        <v>23</v>
      </c>
      <c r="M1881" s="2" t="s">
        <v>24</v>
      </c>
      <c r="N1881" s="2" t="s">
        <v>25</v>
      </c>
      <c r="O1881" s="2" t="s">
        <v>26</v>
      </c>
      <c r="P1881" s="2" t="s">
        <v>27</v>
      </c>
      <c r="Q1881" s="2" t="s">
        <v>28</v>
      </c>
      <c r="R1881" s="2" t="s">
        <v>29</v>
      </c>
      <c r="S1881" s="2" t="s">
        <v>30</v>
      </c>
      <c r="T1881">
        <v>2462</v>
      </c>
      <c r="U1881">
        <f>VLOOKUP(Auto_Sales_data___Copy[[#This Row],[CUSTOMER_NAME]],$AF$2:$AH$90,2,FALSE)</f>
        <v>49</v>
      </c>
      <c r="V1881">
        <f>VLOOKUP(Auto_Sales_data___Copy[[#This Row],[CUSTOMER_NAME]],$AF$2:$AH$90,3,FALSE)</f>
        <v>164069.43999999997</v>
      </c>
      <c r="W1881" s="2">
        <f>6-MATCH(Auto_Sales_data___Copy[[#This Row],[DAYS_SINCE_LAST_ORDER]],Table2[R-Cutoff],1)</f>
        <v>2</v>
      </c>
      <c r="X1881" s="2">
        <f>MATCH(Auto_Sales_data___Copy[[#This Row],[Total_Orders_Per_Customer]],Table2[F-Cutoff],1)</f>
        <v>4</v>
      </c>
      <c r="Y1881" s="2">
        <f>MATCH(Auto_Sales_data___Copy[[#This Row],[Total_Sales_Per_Customer]],Table2[M-Cutoff],1)</f>
        <v>4</v>
      </c>
      <c r="Z1881" s="2" t="str">
        <f>Auto_Sales_data___Copy[[#This Row],[R-Score(1-5)]]&amp;Auto_Sales_data___Copy[[#This Row],[F-Score(1-5)]]&amp;Auto_Sales_data___Copy[[#This Row],[M-Score(1-5)]]</f>
        <v>244</v>
      </c>
      <c r="AA1881" s="2" t="str" cm="1">
        <f t="array" ref="AA18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1" s="2" t="str">
        <f>VLOOKUP(Auto_Sales_data___Copy[[#This Row],[Segment Name]],Table3[],2,FALSE)</f>
        <v>High-Touch  Win-Back</v>
      </c>
    </row>
    <row r="1882" spans="1:28" x14ac:dyDescent="0.25">
      <c r="A1882">
        <v>10291</v>
      </c>
      <c r="B1882">
        <v>32</v>
      </c>
      <c r="C1882">
        <v>71.75</v>
      </c>
      <c r="D1882">
        <v>7</v>
      </c>
      <c r="E1882">
        <v>2296</v>
      </c>
      <c r="F1882" s="1">
        <v>43716</v>
      </c>
      <c r="G1882" s="2" t="s">
        <v>19</v>
      </c>
      <c r="H1882" s="2" t="s">
        <v>537</v>
      </c>
      <c r="I1882">
        <v>64</v>
      </c>
      <c r="J1882" s="2" t="s">
        <v>699</v>
      </c>
      <c r="K1882" s="2" t="s">
        <v>272</v>
      </c>
      <c r="L1882" s="2" t="s">
        <v>273</v>
      </c>
      <c r="M1882" s="2" t="s">
        <v>274</v>
      </c>
      <c r="N1882" s="2" t="s">
        <v>275</v>
      </c>
      <c r="O1882" s="2" t="s">
        <v>276</v>
      </c>
      <c r="P1882" s="2" t="s">
        <v>190</v>
      </c>
      <c r="Q1882" s="2" t="s">
        <v>277</v>
      </c>
      <c r="R1882" s="2" t="s">
        <v>209</v>
      </c>
      <c r="S1882" s="2" t="s">
        <v>30</v>
      </c>
      <c r="T1882">
        <v>2489</v>
      </c>
      <c r="U1882">
        <f>VLOOKUP(Auto_Sales_data___Copy[[#This Row],[CUSTOMER_NAME]],$AF$2:$AH$90,2,FALSE)</f>
        <v>38</v>
      </c>
      <c r="V1882">
        <f>VLOOKUP(Auto_Sales_data___Copy[[#This Row],[CUSTOMER_NAME]],$AF$2:$AH$90,3,FALSE)</f>
        <v>134259.32999999996</v>
      </c>
      <c r="W1882" s="2">
        <f>6-MATCH(Auto_Sales_data___Copy[[#This Row],[DAYS_SINCE_LAST_ORDER]],Table2[R-Cutoff],1)</f>
        <v>2</v>
      </c>
      <c r="X1882" s="2">
        <f>MATCH(Auto_Sales_data___Copy[[#This Row],[Total_Orders_Per_Customer]],Table2[F-Cutoff],1)</f>
        <v>4</v>
      </c>
      <c r="Y1882" s="2">
        <f>MATCH(Auto_Sales_data___Copy[[#This Row],[Total_Sales_Per_Customer]],Table2[M-Cutoff],1)</f>
        <v>4</v>
      </c>
      <c r="Z1882" s="2" t="str">
        <f>Auto_Sales_data___Copy[[#This Row],[R-Score(1-5)]]&amp;Auto_Sales_data___Copy[[#This Row],[F-Score(1-5)]]&amp;Auto_Sales_data___Copy[[#This Row],[M-Score(1-5)]]</f>
        <v>244</v>
      </c>
      <c r="AA1882" s="2" t="str" cm="1">
        <f t="array" ref="AA18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2" s="2" t="str">
        <f>VLOOKUP(Auto_Sales_data___Copy[[#This Row],[Segment Name]],Table3[],2,FALSE)</f>
        <v>High-Touch  Win-Back</v>
      </c>
    </row>
    <row r="1883" spans="1:28" x14ac:dyDescent="0.25">
      <c r="A1883">
        <v>10299</v>
      </c>
      <c r="B1883">
        <v>32</v>
      </c>
      <c r="C1883">
        <v>80.84</v>
      </c>
      <c r="D1883">
        <v>1</v>
      </c>
      <c r="E1883">
        <v>2586.88</v>
      </c>
      <c r="F1883" s="1">
        <v>43738</v>
      </c>
      <c r="G1883" s="2" t="s">
        <v>19</v>
      </c>
      <c r="H1883" s="2" t="s">
        <v>183</v>
      </c>
      <c r="I1883">
        <v>80</v>
      </c>
      <c r="J1883" s="2" t="s">
        <v>693</v>
      </c>
      <c r="K1883" s="2" t="s">
        <v>122</v>
      </c>
      <c r="L1883" s="2" t="s">
        <v>123</v>
      </c>
      <c r="M1883" s="2" t="s">
        <v>124</v>
      </c>
      <c r="N1883" s="2" t="s">
        <v>125</v>
      </c>
      <c r="O1883" s="2" t="s">
        <v>126</v>
      </c>
      <c r="P1883" s="2" t="s">
        <v>127</v>
      </c>
      <c r="Q1883" s="2" t="s">
        <v>128</v>
      </c>
      <c r="R1883" s="2" t="s">
        <v>129</v>
      </c>
      <c r="S1883" s="2" t="s">
        <v>30</v>
      </c>
      <c r="T1883">
        <v>2313</v>
      </c>
      <c r="U1883">
        <f>VLOOKUP(Auto_Sales_data___Copy[[#This Row],[CUSTOMER_NAME]],$AF$2:$AH$90,2,FALSE)</f>
        <v>30</v>
      </c>
      <c r="V1883">
        <f>VLOOKUP(Auto_Sales_data___Copy[[#This Row],[CUSTOMER_NAME]],$AF$2:$AH$90,3,FALSE)</f>
        <v>111250.37999999999</v>
      </c>
      <c r="W1883" s="2">
        <f>6-MATCH(Auto_Sales_data___Copy[[#This Row],[DAYS_SINCE_LAST_ORDER]],Table2[R-Cutoff],1)</f>
        <v>2</v>
      </c>
      <c r="X1883" s="2">
        <f>MATCH(Auto_Sales_data___Copy[[#This Row],[Total_Orders_Per_Customer]],Table2[F-Cutoff],1)</f>
        <v>4</v>
      </c>
      <c r="Y1883" s="2">
        <f>MATCH(Auto_Sales_data___Copy[[#This Row],[Total_Sales_Per_Customer]],Table2[M-Cutoff],1)</f>
        <v>4</v>
      </c>
      <c r="Z1883" s="2" t="str">
        <f>Auto_Sales_data___Copy[[#This Row],[R-Score(1-5)]]&amp;Auto_Sales_data___Copy[[#This Row],[F-Score(1-5)]]&amp;Auto_Sales_data___Copy[[#This Row],[M-Score(1-5)]]</f>
        <v>244</v>
      </c>
      <c r="AA1883" s="2" t="str" cm="1">
        <f t="array" ref="AA18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3" s="2" t="str">
        <f>VLOOKUP(Auto_Sales_data___Copy[[#This Row],[Segment Name]],Table3[],2,FALSE)</f>
        <v>High-Touch  Win-Back</v>
      </c>
    </row>
    <row r="1884" spans="1:28" x14ac:dyDescent="0.25">
      <c r="A1884">
        <v>10299</v>
      </c>
      <c r="B1884">
        <v>24</v>
      </c>
      <c r="C1884">
        <v>42.24</v>
      </c>
      <c r="D1884">
        <v>4</v>
      </c>
      <c r="E1884">
        <v>1013.76</v>
      </c>
      <c r="F1884" s="1">
        <v>43738</v>
      </c>
      <c r="G1884" s="2" t="s">
        <v>19</v>
      </c>
      <c r="H1884" s="2" t="s">
        <v>20</v>
      </c>
      <c r="I1884">
        <v>40</v>
      </c>
      <c r="J1884" s="2" t="s">
        <v>696</v>
      </c>
      <c r="K1884" s="2" t="s">
        <v>122</v>
      </c>
      <c r="L1884" s="2" t="s">
        <v>123</v>
      </c>
      <c r="M1884" s="2" t="s">
        <v>124</v>
      </c>
      <c r="N1884" s="2" t="s">
        <v>125</v>
      </c>
      <c r="O1884" s="2" t="s">
        <v>126</v>
      </c>
      <c r="P1884" s="2" t="s">
        <v>127</v>
      </c>
      <c r="Q1884" s="2" t="s">
        <v>128</v>
      </c>
      <c r="R1884" s="2" t="s">
        <v>129</v>
      </c>
      <c r="S1884" s="2" t="s">
        <v>30</v>
      </c>
      <c r="T1884">
        <v>2387</v>
      </c>
      <c r="U1884">
        <f>VLOOKUP(Auto_Sales_data___Copy[[#This Row],[CUSTOMER_NAME]],$AF$2:$AH$90,2,FALSE)</f>
        <v>30</v>
      </c>
      <c r="V1884">
        <f>VLOOKUP(Auto_Sales_data___Copy[[#This Row],[CUSTOMER_NAME]],$AF$2:$AH$90,3,FALSE)</f>
        <v>111250.37999999999</v>
      </c>
      <c r="W1884" s="2">
        <f>6-MATCH(Auto_Sales_data___Copy[[#This Row],[DAYS_SINCE_LAST_ORDER]],Table2[R-Cutoff],1)</f>
        <v>2</v>
      </c>
      <c r="X1884" s="2">
        <f>MATCH(Auto_Sales_data___Copy[[#This Row],[Total_Orders_Per_Customer]],Table2[F-Cutoff],1)</f>
        <v>4</v>
      </c>
      <c r="Y1884" s="2">
        <f>MATCH(Auto_Sales_data___Copy[[#This Row],[Total_Sales_Per_Customer]],Table2[M-Cutoff],1)</f>
        <v>4</v>
      </c>
      <c r="Z1884" s="2" t="str">
        <f>Auto_Sales_data___Copy[[#This Row],[R-Score(1-5)]]&amp;Auto_Sales_data___Copy[[#This Row],[F-Score(1-5)]]&amp;Auto_Sales_data___Copy[[#This Row],[M-Score(1-5)]]</f>
        <v>244</v>
      </c>
      <c r="AA1884" s="2" t="str" cm="1">
        <f t="array" ref="AA18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4" s="2" t="str">
        <f>VLOOKUP(Auto_Sales_data___Copy[[#This Row],[Segment Name]],Table3[],2,FALSE)</f>
        <v>High-Touch  Win-Back</v>
      </c>
    </row>
    <row r="1885" spans="1:28" x14ac:dyDescent="0.25">
      <c r="A1885">
        <v>10299</v>
      </c>
      <c r="B1885">
        <v>38</v>
      </c>
      <c r="C1885">
        <v>115.32</v>
      </c>
      <c r="D1885">
        <v>7</v>
      </c>
      <c r="E1885">
        <v>4382.16</v>
      </c>
      <c r="F1885" s="1">
        <v>43738</v>
      </c>
      <c r="G1885" s="2" t="s">
        <v>19</v>
      </c>
      <c r="H1885" s="2" t="s">
        <v>20</v>
      </c>
      <c r="I1885">
        <v>102</v>
      </c>
      <c r="J1885" s="2" t="s">
        <v>701</v>
      </c>
      <c r="K1885" s="2" t="s">
        <v>122</v>
      </c>
      <c r="L1885" s="2" t="s">
        <v>123</v>
      </c>
      <c r="M1885" s="2" t="s">
        <v>124</v>
      </c>
      <c r="N1885" s="2" t="s">
        <v>125</v>
      </c>
      <c r="O1885" s="2" t="s">
        <v>126</v>
      </c>
      <c r="P1885" s="2" t="s">
        <v>127</v>
      </c>
      <c r="Q1885" s="2" t="s">
        <v>128</v>
      </c>
      <c r="R1885" s="2" t="s">
        <v>129</v>
      </c>
      <c r="S1885" s="2" t="s">
        <v>46</v>
      </c>
      <c r="T1885">
        <v>2515</v>
      </c>
      <c r="U1885">
        <f>VLOOKUP(Auto_Sales_data___Copy[[#This Row],[CUSTOMER_NAME]],$AF$2:$AH$90,2,FALSE)</f>
        <v>30</v>
      </c>
      <c r="V1885">
        <f>VLOOKUP(Auto_Sales_data___Copy[[#This Row],[CUSTOMER_NAME]],$AF$2:$AH$90,3,FALSE)</f>
        <v>111250.37999999999</v>
      </c>
      <c r="W1885" s="2">
        <f>6-MATCH(Auto_Sales_data___Copy[[#This Row],[DAYS_SINCE_LAST_ORDER]],Table2[R-Cutoff],1)</f>
        <v>2</v>
      </c>
      <c r="X1885" s="2">
        <f>MATCH(Auto_Sales_data___Copy[[#This Row],[Total_Orders_Per_Customer]],Table2[F-Cutoff],1)</f>
        <v>4</v>
      </c>
      <c r="Y1885" s="2">
        <f>MATCH(Auto_Sales_data___Copy[[#This Row],[Total_Sales_Per_Customer]],Table2[M-Cutoff],1)</f>
        <v>4</v>
      </c>
      <c r="Z1885" s="2" t="str">
        <f>Auto_Sales_data___Copy[[#This Row],[R-Score(1-5)]]&amp;Auto_Sales_data___Copy[[#This Row],[F-Score(1-5)]]&amp;Auto_Sales_data___Copy[[#This Row],[M-Score(1-5)]]</f>
        <v>244</v>
      </c>
      <c r="AA1885" s="2" t="str" cm="1">
        <f t="array" ref="AA18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5" s="2" t="str">
        <f>VLOOKUP(Auto_Sales_data___Copy[[#This Row],[Segment Name]],Table3[],2,FALSE)</f>
        <v>High-Touch  Win-Back</v>
      </c>
    </row>
    <row r="1886" spans="1:28" x14ac:dyDescent="0.25">
      <c r="A1886">
        <v>10305</v>
      </c>
      <c r="B1886">
        <v>36</v>
      </c>
      <c r="C1886">
        <v>128.93</v>
      </c>
      <c r="D1886">
        <v>1</v>
      </c>
      <c r="E1886">
        <v>4641.4799999999996</v>
      </c>
      <c r="F1886" s="1">
        <v>43751</v>
      </c>
      <c r="G1886" s="2" t="s">
        <v>19</v>
      </c>
      <c r="H1886" s="2" t="s">
        <v>183</v>
      </c>
      <c r="I1886">
        <v>118</v>
      </c>
      <c r="J1886" s="2" t="s">
        <v>690</v>
      </c>
      <c r="K1886" s="2" t="s">
        <v>115</v>
      </c>
      <c r="L1886" s="2" t="s">
        <v>116</v>
      </c>
      <c r="M1886" s="2" t="s">
        <v>117</v>
      </c>
      <c r="N1886" s="2" t="s">
        <v>118</v>
      </c>
      <c r="O1886" s="2" t="s">
        <v>119</v>
      </c>
      <c r="P1886" s="2" t="s">
        <v>27</v>
      </c>
      <c r="Q1886" s="2" t="s">
        <v>120</v>
      </c>
      <c r="R1886" s="2" t="s">
        <v>121</v>
      </c>
      <c r="S1886" s="2" t="s">
        <v>46</v>
      </c>
      <c r="T1886">
        <v>2228</v>
      </c>
      <c r="U1886">
        <f>VLOOKUP(Auto_Sales_data___Copy[[#This Row],[CUSTOMER_NAME]],$AF$2:$AH$90,2,FALSE)</f>
        <v>27</v>
      </c>
      <c r="V1886">
        <f>VLOOKUP(Auto_Sales_data___Copy[[#This Row],[CUSTOMER_NAME]],$AF$2:$AH$90,3,FALSE)</f>
        <v>103080.37999999998</v>
      </c>
      <c r="W1886" s="2">
        <f>6-MATCH(Auto_Sales_data___Copy[[#This Row],[DAYS_SINCE_LAST_ORDER]],Table2[R-Cutoff],1)</f>
        <v>2</v>
      </c>
      <c r="X1886" s="2">
        <f>MATCH(Auto_Sales_data___Copy[[#This Row],[Total_Orders_Per_Customer]],Table2[F-Cutoff],1)</f>
        <v>4</v>
      </c>
      <c r="Y1886" s="2">
        <f>MATCH(Auto_Sales_data___Copy[[#This Row],[Total_Sales_Per_Customer]],Table2[M-Cutoff],1)</f>
        <v>4</v>
      </c>
      <c r="Z1886" s="2" t="str">
        <f>Auto_Sales_data___Copy[[#This Row],[R-Score(1-5)]]&amp;Auto_Sales_data___Copy[[#This Row],[F-Score(1-5)]]&amp;Auto_Sales_data___Copy[[#This Row],[M-Score(1-5)]]</f>
        <v>244</v>
      </c>
      <c r="AA1886" s="2" t="str" cm="1">
        <f t="array" ref="AA18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6" s="2" t="str">
        <f>VLOOKUP(Auto_Sales_data___Copy[[#This Row],[Segment Name]],Table3[],2,FALSE)</f>
        <v>High-Touch  Win-Back</v>
      </c>
    </row>
    <row r="1887" spans="1:28" x14ac:dyDescent="0.25">
      <c r="A1887">
        <v>10305</v>
      </c>
      <c r="B1887">
        <v>28</v>
      </c>
      <c r="C1887">
        <v>112.68</v>
      </c>
      <c r="D1887">
        <v>12</v>
      </c>
      <c r="E1887">
        <v>3155.04</v>
      </c>
      <c r="F1887" s="1">
        <v>43751</v>
      </c>
      <c r="G1887" s="2" t="s">
        <v>19</v>
      </c>
      <c r="H1887" s="2" t="s">
        <v>537</v>
      </c>
      <c r="I1887">
        <v>96</v>
      </c>
      <c r="J1887" s="2" t="s">
        <v>694</v>
      </c>
      <c r="K1887" s="2" t="s">
        <v>115</v>
      </c>
      <c r="L1887" s="2" t="s">
        <v>116</v>
      </c>
      <c r="M1887" s="2" t="s">
        <v>117</v>
      </c>
      <c r="N1887" s="2" t="s">
        <v>118</v>
      </c>
      <c r="O1887" s="2" t="s">
        <v>119</v>
      </c>
      <c r="P1887" s="2" t="s">
        <v>27</v>
      </c>
      <c r="Q1887" s="2" t="s">
        <v>120</v>
      </c>
      <c r="R1887" s="2" t="s">
        <v>121</v>
      </c>
      <c r="S1887" s="2" t="s">
        <v>46</v>
      </c>
      <c r="T1887">
        <v>2326</v>
      </c>
      <c r="U1887">
        <f>VLOOKUP(Auto_Sales_data___Copy[[#This Row],[CUSTOMER_NAME]],$AF$2:$AH$90,2,FALSE)</f>
        <v>27</v>
      </c>
      <c r="V1887">
        <f>VLOOKUP(Auto_Sales_data___Copy[[#This Row],[CUSTOMER_NAME]],$AF$2:$AH$90,3,FALSE)</f>
        <v>103080.37999999998</v>
      </c>
      <c r="W1887" s="2">
        <f>6-MATCH(Auto_Sales_data___Copy[[#This Row],[DAYS_SINCE_LAST_ORDER]],Table2[R-Cutoff],1)</f>
        <v>2</v>
      </c>
      <c r="X1887" s="2">
        <f>MATCH(Auto_Sales_data___Copy[[#This Row],[Total_Orders_Per_Customer]],Table2[F-Cutoff],1)</f>
        <v>4</v>
      </c>
      <c r="Y1887" s="2">
        <f>MATCH(Auto_Sales_data___Copy[[#This Row],[Total_Sales_Per_Customer]],Table2[M-Cutoff],1)</f>
        <v>4</v>
      </c>
      <c r="Z1887" s="2" t="str">
        <f>Auto_Sales_data___Copy[[#This Row],[R-Score(1-5)]]&amp;Auto_Sales_data___Copy[[#This Row],[F-Score(1-5)]]&amp;Auto_Sales_data___Copy[[#This Row],[M-Score(1-5)]]</f>
        <v>244</v>
      </c>
      <c r="AA1887" s="2" t="str" cm="1">
        <f t="array" ref="AA18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7" s="2" t="str">
        <f>VLOOKUP(Auto_Sales_data___Copy[[#This Row],[Segment Name]],Table3[],2,FALSE)</f>
        <v>High-Touch  Win-Back</v>
      </c>
    </row>
    <row r="1888" spans="1:28" x14ac:dyDescent="0.25">
      <c r="A1888">
        <v>10305</v>
      </c>
      <c r="B1888">
        <v>40</v>
      </c>
      <c r="C1888">
        <v>57.9</v>
      </c>
      <c r="D1888">
        <v>7</v>
      </c>
      <c r="E1888">
        <v>2316</v>
      </c>
      <c r="F1888" s="1">
        <v>43751</v>
      </c>
      <c r="G1888" s="2" t="s">
        <v>19</v>
      </c>
      <c r="H1888" s="2" t="s">
        <v>537</v>
      </c>
      <c r="I1888">
        <v>54</v>
      </c>
      <c r="J1888" s="2" t="s">
        <v>697</v>
      </c>
      <c r="K1888" s="2" t="s">
        <v>115</v>
      </c>
      <c r="L1888" s="2" t="s">
        <v>116</v>
      </c>
      <c r="M1888" s="2" t="s">
        <v>117</v>
      </c>
      <c r="N1888" s="2" t="s">
        <v>118</v>
      </c>
      <c r="O1888" s="2" t="s">
        <v>119</v>
      </c>
      <c r="P1888" s="2" t="s">
        <v>27</v>
      </c>
      <c r="Q1888" s="2" t="s">
        <v>120</v>
      </c>
      <c r="R1888" s="2" t="s">
        <v>121</v>
      </c>
      <c r="S1888" s="2" t="s">
        <v>30</v>
      </c>
      <c r="T1888">
        <v>2401</v>
      </c>
      <c r="U1888">
        <f>VLOOKUP(Auto_Sales_data___Copy[[#This Row],[CUSTOMER_NAME]],$AF$2:$AH$90,2,FALSE)</f>
        <v>27</v>
      </c>
      <c r="V1888">
        <f>VLOOKUP(Auto_Sales_data___Copy[[#This Row],[CUSTOMER_NAME]],$AF$2:$AH$90,3,FALSE)</f>
        <v>103080.37999999998</v>
      </c>
      <c r="W1888" s="2">
        <f>6-MATCH(Auto_Sales_data___Copy[[#This Row],[DAYS_SINCE_LAST_ORDER]],Table2[R-Cutoff],1)</f>
        <v>2</v>
      </c>
      <c r="X1888" s="2">
        <f>MATCH(Auto_Sales_data___Copy[[#This Row],[Total_Orders_Per_Customer]],Table2[F-Cutoff],1)</f>
        <v>4</v>
      </c>
      <c r="Y1888" s="2">
        <f>MATCH(Auto_Sales_data___Copy[[#This Row],[Total_Sales_Per_Customer]],Table2[M-Cutoff],1)</f>
        <v>4</v>
      </c>
      <c r="Z1888" s="2" t="str">
        <f>Auto_Sales_data___Copy[[#This Row],[R-Score(1-5)]]&amp;Auto_Sales_data___Copy[[#This Row],[F-Score(1-5)]]&amp;Auto_Sales_data___Copy[[#This Row],[M-Score(1-5)]]</f>
        <v>244</v>
      </c>
      <c r="AA1888" s="2" t="str" cm="1">
        <f t="array" ref="AA18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8" s="2" t="str">
        <f>VLOOKUP(Auto_Sales_data___Copy[[#This Row],[Segment Name]],Table3[],2,FALSE)</f>
        <v>High-Touch  Win-Back</v>
      </c>
    </row>
    <row r="1889" spans="1:28" x14ac:dyDescent="0.25">
      <c r="A1889">
        <v>10305</v>
      </c>
      <c r="B1889">
        <v>42</v>
      </c>
      <c r="C1889">
        <v>109.96</v>
      </c>
      <c r="D1889">
        <v>3</v>
      </c>
      <c r="E1889">
        <v>4618.32</v>
      </c>
      <c r="F1889" s="1">
        <v>43751</v>
      </c>
      <c r="G1889" s="2" t="s">
        <v>19</v>
      </c>
      <c r="H1889" s="2" t="s">
        <v>537</v>
      </c>
      <c r="I1889">
        <v>115</v>
      </c>
      <c r="J1889" s="2" t="s">
        <v>703</v>
      </c>
      <c r="K1889" s="2" t="s">
        <v>115</v>
      </c>
      <c r="L1889" s="2" t="s">
        <v>116</v>
      </c>
      <c r="M1889" s="2" t="s">
        <v>117</v>
      </c>
      <c r="N1889" s="2" t="s">
        <v>118</v>
      </c>
      <c r="O1889" s="2" t="s">
        <v>119</v>
      </c>
      <c r="P1889" s="2" t="s">
        <v>27</v>
      </c>
      <c r="Q1889" s="2" t="s">
        <v>120</v>
      </c>
      <c r="R1889" s="2" t="s">
        <v>121</v>
      </c>
      <c r="S1889" s="2" t="s">
        <v>46</v>
      </c>
      <c r="T1889">
        <v>2555</v>
      </c>
      <c r="U1889">
        <f>VLOOKUP(Auto_Sales_data___Copy[[#This Row],[CUSTOMER_NAME]],$AF$2:$AH$90,2,FALSE)</f>
        <v>27</v>
      </c>
      <c r="V1889">
        <f>VLOOKUP(Auto_Sales_data___Copy[[#This Row],[CUSTOMER_NAME]],$AF$2:$AH$90,3,FALSE)</f>
        <v>103080.37999999998</v>
      </c>
      <c r="W1889" s="2">
        <f>6-MATCH(Auto_Sales_data___Copy[[#This Row],[DAYS_SINCE_LAST_ORDER]],Table2[R-Cutoff],1)</f>
        <v>2</v>
      </c>
      <c r="X1889" s="2">
        <f>MATCH(Auto_Sales_data___Copy[[#This Row],[Total_Orders_Per_Customer]],Table2[F-Cutoff],1)</f>
        <v>4</v>
      </c>
      <c r="Y1889" s="2">
        <f>MATCH(Auto_Sales_data___Copy[[#This Row],[Total_Sales_Per_Customer]],Table2[M-Cutoff],1)</f>
        <v>4</v>
      </c>
      <c r="Z1889" s="2" t="str">
        <f>Auto_Sales_data___Copy[[#This Row],[R-Score(1-5)]]&amp;Auto_Sales_data___Copy[[#This Row],[F-Score(1-5)]]&amp;Auto_Sales_data___Copy[[#This Row],[M-Score(1-5)]]</f>
        <v>244</v>
      </c>
      <c r="AA1889" s="2" t="str" cm="1">
        <f t="array" ref="AA18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9" s="2" t="str">
        <f>VLOOKUP(Auto_Sales_data___Copy[[#This Row],[Segment Name]],Table3[],2,FALSE)</f>
        <v>High-Touch  Win-Back</v>
      </c>
    </row>
    <row r="1890" spans="1:28" x14ac:dyDescent="0.25">
      <c r="A1890">
        <v>10306</v>
      </c>
      <c r="B1890">
        <v>46</v>
      </c>
      <c r="C1890">
        <v>50.33</v>
      </c>
      <c r="D1890">
        <v>17</v>
      </c>
      <c r="E1890">
        <v>2315.1799999999998</v>
      </c>
      <c r="F1890" s="1">
        <v>43752</v>
      </c>
      <c r="G1890" s="2" t="s">
        <v>19</v>
      </c>
      <c r="H1890" s="2" t="s">
        <v>650</v>
      </c>
      <c r="I1890">
        <v>62</v>
      </c>
      <c r="J1890" s="2" t="s">
        <v>698</v>
      </c>
      <c r="K1890" s="2" t="s">
        <v>523</v>
      </c>
      <c r="L1890" s="2" t="s">
        <v>524</v>
      </c>
      <c r="M1890" s="2" t="s">
        <v>525</v>
      </c>
      <c r="N1890" s="2" t="s">
        <v>526</v>
      </c>
      <c r="O1890" s="2" t="s">
        <v>527</v>
      </c>
      <c r="P1890" s="2" t="s">
        <v>171</v>
      </c>
      <c r="Q1890" s="2" t="s">
        <v>528</v>
      </c>
      <c r="R1890" s="2" t="s">
        <v>529</v>
      </c>
      <c r="S1890" s="2" t="s">
        <v>30</v>
      </c>
      <c r="T1890">
        <v>2427</v>
      </c>
      <c r="U1890">
        <f>VLOOKUP(Auto_Sales_data___Copy[[#This Row],[CUSTOMER_NAME]],$AF$2:$AH$90,2,FALSE)</f>
        <v>51</v>
      </c>
      <c r="V1890">
        <f>VLOOKUP(Auto_Sales_data___Copy[[#This Row],[CUSTOMER_NAME]],$AF$2:$AH$90,3,FALSE)</f>
        <v>157807.80999999994</v>
      </c>
      <c r="W1890" s="2">
        <f>6-MATCH(Auto_Sales_data___Copy[[#This Row],[DAYS_SINCE_LAST_ORDER]],Table2[R-Cutoff],1)</f>
        <v>2</v>
      </c>
      <c r="X1890" s="2">
        <f>MATCH(Auto_Sales_data___Copy[[#This Row],[Total_Orders_Per_Customer]],Table2[F-Cutoff],1)</f>
        <v>4</v>
      </c>
      <c r="Y1890" s="2">
        <f>MATCH(Auto_Sales_data___Copy[[#This Row],[Total_Sales_Per_Customer]],Table2[M-Cutoff],1)</f>
        <v>4</v>
      </c>
      <c r="Z1890" s="2" t="str">
        <f>Auto_Sales_data___Copy[[#This Row],[R-Score(1-5)]]&amp;Auto_Sales_data___Copy[[#This Row],[F-Score(1-5)]]&amp;Auto_Sales_data___Copy[[#This Row],[M-Score(1-5)]]</f>
        <v>244</v>
      </c>
      <c r="AA1890" s="2" t="str" cm="1">
        <f t="array" ref="AA18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0" s="2" t="str">
        <f>VLOOKUP(Auto_Sales_data___Copy[[#This Row],[Segment Name]],Table3[],2,FALSE)</f>
        <v>High-Touch  Win-Back</v>
      </c>
    </row>
    <row r="1891" spans="1:28" x14ac:dyDescent="0.25">
      <c r="A1891">
        <v>10309</v>
      </c>
      <c r="B1891">
        <v>50</v>
      </c>
      <c r="C1891">
        <v>84.7</v>
      </c>
      <c r="D1891">
        <v>3</v>
      </c>
      <c r="E1891">
        <v>4235</v>
      </c>
      <c r="F1891" s="1">
        <v>43753</v>
      </c>
      <c r="G1891" s="2" t="s">
        <v>19</v>
      </c>
      <c r="H1891" s="2" t="s">
        <v>20</v>
      </c>
      <c r="I1891">
        <v>102</v>
      </c>
      <c r="J1891" s="2" t="s">
        <v>701</v>
      </c>
      <c r="K1891" s="2" t="s">
        <v>130</v>
      </c>
      <c r="L1891" s="2" t="s">
        <v>131</v>
      </c>
      <c r="M1891" s="2" t="s">
        <v>132</v>
      </c>
      <c r="N1891" s="2" t="s">
        <v>133</v>
      </c>
      <c r="O1891" s="2" t="s">
        <v>134</v>
      </c>
      <c r="P1891" s="2" t="s">
        <v>73</v>
      </c>
      <c r="Q1891" s="2" t="s">
        <v>135</v>
      </c>
      <c r="R1891" s="2" t="s">
        <v>136</v>
      </c>
      <c r="S1891" s="2" t="s">
        <v>46</v>
      </c>
      <c r="T1891">
        <v>2501</v>
      </c>
      <c r="U1891">
        <f>VLOOKUP(Auto_Sales_data___Copy[[#This Row],[CUSTOMER_NAME]],$AF$2:$AH$90,2,FALSE)</f>
        <v>32</v>
      </c>
      <c r="V1891">
        <f>VLOOKUP(Auto_Sales_data___Copy[[#This Row],[CUSTOMER_NAME]],$AF$2:$AH$90,3,FALSE)</f>
        <v>116599.18999999999</v>
      </c>
      <c r="W1891" s="2">
        <f>6-MATCH(Auto_Sales_data___Copy[[#This Row],[DAYS_SINCE_LAST_ORDER]],Table2[R-Cutoff],1)</f>
        <v>2</v>
      </c>
      <c r="X1891" s="2">
        <f>MATCH(Auto_Sales_data___Copy[[#This Row],[Total_Orders_Per_Customer]],Table2[F-Cutoff],1)</f>
        <v>4</v>
      </c>
      <c r="Y1891" s="2">
        <f>MATCH(Auto_Sales_data___Copy[[#This Row],[Total_Sales_Per_Customer]],Table2[M-Cutoff],1)</f>
        <v>4</v>
      </c>
      <c r="Z1891" s="2" t="str">
        <f>Auto_Sales_data___Copy[[#This Row],[R-Score(1-5)]]&amp;Auto_Sales_data___Copy[[#This Row],[F-Score(1-5)]]&amp;Auto_Sales_data___Copy[[#This Row],[M-Score(1-5)]]</f>
        <v>244</v>
      </c>
      <c r="AA1891" s="2" t="str" cm="1">
        <f t="array" ref="AA18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1" s="2" t="str">
        <f>VLOOKUP(Auto_Sales_data___Copy[[#This Row],[Segment Name]],Table3[],2,FALSE)</f>
        <v>High-Touch  Win-Back</v>
      </c>
    </row>
    <row r="1892" spans="1:28" x14ac:dyDescent="0.25">
      <c r="A1892">
        <v>10312</v>
      </c>
      <c r="B1892">
        <v>31</v>
      </c>
      <c r="C1892">
        <v>35.29</v>
      </c>
      <c r="D1892">
        <v>15</v>
      </c>
      <c r="E1892">
        <v>1093.99</v>
      </c>
      <c r="F1892" s="1">
        <v>43759</v>
      </c>
      <c r="G1892" s="2" t="s">
        <v>19</v>
      </c>
      <c r="H1892" s="2" t="s">
        <v>589</v>
      </c>
      <c r="I1892">
        <v>41</v>
      </c>
      <c r="J1892" s="2" t="s">
        <v>689</v>
      </c>
      <c r="K1892" s="2" t="s">
        <v>284</v>
      </c>
      <c r="L1892" s="2" t="s">
        <v>285</v>
      </c>
      <c r="M1892" s="2" t="s">
        <v>286</v>
      </c>
      <c r="N1892" s="2" t="s">
        <v>287</v>
      </c>
      <c r="O1892" s="2" t="s">
        <v>106</v>
      </c>
      <c r="P1892" s="2" t="s">
        <v>27</v>
      </c>
      <c r="Q1892" s="2" t="s">
        <v>288</v>
      </c>
      <c r="R1892" s="2" t="s">
        <v>289</v>
      </c>
      <c r="S1892" s="2" t="s">
        <v>30</v>
      </c>
      <c r="T1892">
        <v>2197</v>
      </c>
      <c r="U1892">
        <f>VLOOKUP(Auto_Sales_data___Copy[[#This Row],[CUSTOMER_NAME]],$AF$2:$AH$90,2,FALSE)</f>
        <v>180</v>
      </c>
      <c r="V1892">
        <f>VLOOKUP(Auto_Sales_data___Copy[[#This Row],[CUSTOMER_NAME]],$AF$2:$AH$90,3,FALSE)</f>
        <v>654858.06000000017</v>
      </c>
      <c r="W1892" s="2">
        <f>6-MATCH(Auto_Sales_data___Copy[[#This Row],[DAYS_SINCE_LAST_ORDER]],Table2[R-Cutoff],1)</f>
        <v>2</v>
      </c>
      <c r="X1892" s="2">
        <f>MATCH(Auto_Sales_data___Copy[[#This Row],[Total_Orders_Per_Customer]],Table2[F-Cutoff],1)</f>
        <v>4</v>
      </c>
      <c r="Y1892" s="2">
        <f>MATCH(Auto_Sales_data___Copy[[#This Row],[Total_Sales_Per_Customer]],Table2[M-Cutoff],1)</f>
        <v>4</v>
      </c>
      <c r="Z1892" s="2" t="str">
        <f>Auto_Sales_data___Copy[[#This Row],[R-Score(1-5)]]&amp;Auto_Sales_data___Copy[[#This Row],[F-Score(1-5)]]&amp;Auto_Sales_data___Copy[[#This Row],[M-Score(1-5)]]</f>
        <v>244</v>
      </c>
      <c r="AA1892" s="2" t="str" cm="1">
        <f t="array" ref="AA18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2" s="2" t="str">
        <f>VLOOKUP(Auto_Sales_data___Copy[[#This Row],[Segment Name]],Table3[],2,FALSE)</f>
        <v>High-Touch  Win-Back</v>
      </c>
    </row>
    <row r="1893" spans="1:28" x14ac:dyDescent="0.25">
      <c r="A1893">
        <v>10312</v>
      </c>
      <c r="B1893">
        <v>44</v>
      </c>
      <c r="C1893">
        <v>111.02</v>
      </c>
      <c r="D1893">
        <v>7</v>
      </c>
      <c r="E1893">
        <v>4884.88</v>
      </c>
      <c r="F1893" s="1">
        <v>43759</v>
      </c>
      <c r="G1893" s="2" t="s">
        <v>19</v>
      </c>
      <c r="H1893" s="2" t="s">
        <v>589</v>
      </c>
      <c r="I1893">
        <v>97</v>
      </c>
      <c r="J1893" s="2" t="s">
        <v>691</v>
      </c>
      <c r="K1893" s="2" t="s">
        <v>284</v>
      </c>
      <c r="L1893" s="2" t="s">
        <v>285</v>
      </c>
      <c r="M1893" s="2" t="s">
        <v>286</v>
      </c>
      <c r="N1893" s="2" t="s">
        <v>287</v>
      </c>
      <c r="O1893" s="2" t="s">
        <v>106</v>
      </c>
      <c r="P1893" s="2" t="s">
        <v>27</v>
      </c>
      <c r="Q1893" s="2" t="s">
        <v>288</v>
      </c>
      <c r="R1893" s="2" t="s">
        <v>289</v>
      </c>
      <c r="S1893" s="2" t="s">
        <v>46</v>
      </c>
      <c r="T1893">
        <v>2247</v>
      </c>
      <c r="U1893">
        <f>VLOOKUP(Auto_Sales_data___Copy[[#This Row],[CUSTOMER_NAME]],$AF$2:$AH$90,2,FALSE)</f>
        <v>180</v>
      </c>
      <c r="V1893">
        <f>VLOOKUP(Auto_Sales_data___Copy[[#This Row],[CUSTOMER_NAME]],$AF$2:$AH$90,3,FALSE)</f>
        <v>654858.06000000017</v>
      </c>
      <c r="W1893" s="2">
        <f>6-MATCH(Auto_Sales_data___Copy[[#This Row],[DAYS_SINCE_LAST_ORDER]],Table2[R-Cutoff],1)</f>
        <v>2</v>
      </c>
      <c r="X1893" s="2">
        <f>MATCH(Auto_Sales_data___Copy[[#This Row],[Total_Orders_Per_Customer]],Table2[F-Cutoff],1)</f>
        <v>4</v>
      </c>
      <c r="Y1893" s="2">
        <f>MATCH(Auto_Sales_data___Copy[[#This Row],[Total_Sales_Per_Customer]],Table2[M-Cutoff],1)</f>
        <v>4</v>
      </c>
      <c r="Z1893" s="2" t="str">
        <f>Auto_Sales_data___Copy[[#This Row],[R-Score(1-5)]]&amp;Auto_Sales_data___Copy[[#This Row],[F-Score(1-5)]]&amp;Auto_Sales_data___Copy[[#This Row],[M-Score(1-5)]]</f>
        <v>244</v>
      </c>
      <c r="AA1893" s="2" t="str" cm="1">
        <f t="array" ref="AA18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3" s="2" t="str">
        <f>VLOOKUP(Auto_Sales_data___Copy[[#This Row],[Segment Name]],Table3[],2,FALSE)</f>
        <v>High-Touch  Win-Back</v>
      </c>
    </row>
    <row r="1894" spans="1:28" x14ac:dyDescent="0.25">
      <c r="A1894">
        <v>10314</v>
      </c>
      <c r="B1894">
        <v>38</v>
      </c>
      <c r="C1894">
        <v>105.27</v>
      </c>
      <c r="D1894">
        <v>10</v>
      </c>
      <c r="E1894">
        <v>4000.26</v>
      </c>
      <c r="F1894" s="1">
        <v>43760</v>
      </c>
      <c r="G1894" s="2" t="s">
        <v>19</v>
      </c>
      <c r="H1894" s="2" t="s">
        <v>183</v>
      </c>
      <c r="I1894">
        <v>118</v>
      </c>
      <c r="J1894" s="2" t="s">
        <v>690</v>
      </c>
      <c r="K1894" s="2" t="s">
        <v>530</v>
      </c>
      <c r="L1894" s="2" t="s">
        <v>531</v>
      </c>
      <c r="M1894" s="2" t="s">
        <v>532</v>
      </c>
      <c r="N1894" s="2" t="s">
        <v>533</v>
      </c>
      <c r="O1894" s="2" t="s">
        <v>534</v>
      </c>
      <c r="P1894" s="2" t="s">
        <v>344</v>
      </c>
      <c r="Q1894" s="2" t="s">
        <v>535</v>
      </c>
      <c r="R1894" s="2" t="s">
        <v>536</v>
      </c>
      <c r="S1894" s="2" t="s">
        <v>46</v>
      </c>
      <c r="T1894">
        <v>2220</v>
      </c>
      <c r="U1894">
        <f>VLOOKUP(Auto_Sales_data___Copy[[#This Row],[CUSTOMER_NAME]],$AF$2:$AH$90,2,FALSE)</f>
        <v>27</v>
      </c>
      <c r="V1894">
        <f>VLOOKUP(Auto_Sales_data___Copy[[#This Row],[CUSTOMER_NAME]],$AF$2:$AH$90,3,FALSE)</f>
        <v>100595.54999999999</v>
      </c>
      <c r="W1894" s="2">
        <f>6-MATCH(Auto_Sales_data___Copy[[#This Row],[DAYS_SINCE_LAST_ORDER]],Table2[R-Cutoff],1)</f>
        <v>2</v>
      </c>
      <c r="X1894" s="2">
        <f>MATCH(Auto_Sales_data___Copy[[#This Row],[Total_Orders_Per_Customer]],Table2[F-Cutoff],1)</f>
        <v>4</v>
      </c>
      <c r="Y1894" s="2">
        <f>MATCH(Auto_Sales_data___Copy[[#This Row],[Total_Sales_Per_Customer]],Table2[M-Cutoff],1)</f>
        <v>4</v>
      </c>
      <c r="Z1894" s="2" t="str">
        <f>Auto_Sales_data___Copy[[#This Row],[R-Score(1-5)]]&amp;Auto_Sales_data___Copy[[#This Row],[F-Score(1-5)]]&amp;Auto_Sales_data___Copy[[#This Row],[M-Score(1-5)]]</f>
        <v>244</v>
      </c>
      <c r="AA1894" s="2" t="str" cm="1">
        <f t="array" ref="AA18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4" s="2" t="str">
        <f>VLOOKUP(Auto_Sales_data___Copy[[#This Row],[Segment Name]],Table3[],2,FALSE)</f>
        <v>High-Touch  Win-Back</v>
      </c>
    </row>
    <row r="1895" spans="1:28" x14ac:dyDescent="0.25">
      <c r="A1895">
        <v>10314</v>
      </c>
      <c r="B1895">
        <v>35</v>
      </c>
      <c r="C1895">
        <v>66.489999999999995</v>
      </c>
      <c r="D1895">
        <v>9</v>
      </c>
      <c r="E1895">
        <v>2327.15</v>
      </c>
      <c r="F1895" s="1">
        <v>43760</v>
      </c>
      <c r="G1895" s="2" t="s">
        <v>19</v>
      </c>
      <c r="H1895" s="2" t="s">
        <v>650</v>
      </c>
      <c r="I1895">
        <v>62</v>
      </c>
      <c r="J1895" s="2" t="s">
        <v>698</v>
      </c>
      <c r="K1895" s="2" t="s">
        <v>530</v>
      </c>
      <c r="L1895" s="2" t="s">
        <v>531</v>
      </c>
      <c r="M1895" s="2" t="s">
        <v>532</v>
      </c>
      <c r="N1895" s="2" t="s">
        <v>533</v>
      </c>
      <c r="O1895" s="2" t="s">
        <v>534</v>
      </c>
      <c r="P1895" s="2" t="s">
        <v>344</v>
      </c>
      <c r="Q1895" s="2" t="s">
        <v>535</v>
      </c>
      <c r="R1895" s="2" t="s">
        <v>536</v>
      </c>
      <c r="S1895" s="2" t="s">
        <v>30</v>
      </c>
      <c r="T1895">
        <v>2420</v>
      </c>
      <c r="U1895">
        <f>VLOOKUP(Auto_Sales_data___Copy[[#This Row],[CUSTOMER_NAME]],$AF$2:$AH$90,2,FALSE)</f>
        <v>27</v>
      </c>
      <c r="V1895">
        <f>VLOOKUP(Auto_Sales_data___Copy[[#This Row],[CUSTOMER_NAME]],$AF$2:$AH$90,3,FALSE)</f>
        <v>100595.54999999999</v>
      </c>
      <c r="W1895" s="2">
        <f>6-MATCH(Auto_Sales_data___Copy[[#This Row],[DAYS_SINCE_LAST_ORDER]],Table2[R-Cutoff],1)</f>
        <v>2</v>
      </c>
      <c r="X1895" s="2">
        <f>MATCH(Auto_Sales_data___Copy[[#This Row],[Total_Orders_Per_Customer]],Table2[F-Cutoff],1)</f>
        <v>4</v>
      </c>
      <c r="Y1895" s="2">
        <f>MATCH(Auto_Sales_data___Copy[[#This Row],[Total_Sales_Per_Customer]],Table2[M-Cutoff],1)</f>
        <v>4</v>
      </c>
      <c r="Z1895" s="2" t="str">
        <f>Auto_Sales_data___Copy[[#This Row],[R-Score(1-5)]]&amp;Auto_Sales_data___Copy[[#This Row],[F-Score(1-5)]]&amp;Auto_Sales_data___Copy[[#This Row],[M-Score(1-5)]]</f>
        <v>244</v>
      </c>
      <c r="AA1895" s="2" t="str" cm="1">
        <f t="array" ref="AA18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5" s="2" t="str">
        <f>VLOOKUP(Auto_Sales_data___Copy[[#This Row],[Segment Name]],Table3[],2,FALSE)</f>
        <v>High-Touch  Win-Back</v>
      </c>
    </row>
    <row r="1896" spans="1:28" x14ac:dyDescent="0.25">
      <c r="A1896">
        <v>10314</v>
      </c>
      <c r="B1896">
        <v>28</v>
      </c>
      <c r="C1896">
        <v>121.54</v>
      </c>
      <c r="D1896">
        <v>12</v>
      </c>
      <c r="E1896">
        <v>3403.12</v>
      </c>
      <c r="F1896" s="1">
        <v>43760</v>
      </c>
      <c r="G1896" s="2" t="s">
        <v>19</v>
      </c>
      <c r="H1896" s="2" t="s">
        <v>537</v>
      </c>
      <c r="I1896">
        <v>115</v>
      </c>
      <c r="J1896" s="2" t="s">
        <v>703</v>
      </c>
      <c r="K1896" s="2" t="s">
        <v>530</v>
      </c>
      <c r="L1896" s="2" t="s">
        <v>531</v>
      </c>
      <c r="M1896" s="2" t="s">
        <v>532</v>
      </c>
      <c r="N1896" s="2" t="s">
        <v>533</v>
      </c>
      <c r="O1896" s="2" t="s">
        <v>534</v>
      </c>
      <c r="P1896" s="2" t="s">
        <v>344</v>
      </c>
      <c r="Q1896" s="2" t="s">
        <v>535</v>
      </c>
      <c r="R1896" s="2" t="s">
        <v>536</v>
      </c>
      <c r="S1896" s="2" t="s">
        <v>46</v>
      </c>
      <c r="T1896">
        <v>2547</v>
      </c>
      <c r="U1896">
        <f>VLOOKUP(Auto_Sales_data___Copy[[#This Row],[CUSTOMER_NAME]],$AF$2:$AH$90,2,FALSE)</f>
        <v>27</v>
      </c>
      <c r="V1896">
        <f>VLOOKUP(Auto_Sales_data___Copy[[#This Row],[CUSTOMER_NAME]],$AF$2:$AH$90,3,FALSE)</f>
        <v>100595.54999999999</v>
      </c>
      <c r="W1896" s="2">
        <f>6-MATCH(Auto_Sales_data___Copy[[#This Row],[DAYS_SINCE_LAST_ORDER]],Table2[R-Cutoff],1)</f>
        <v>2</v>
      </c>
      <c r="X1896" s="2">
        <f>MATCH(Auto_Sales_data___Copy[[#This Row],[Total_Orders_Per_Customer]],Table2[F-Cutoff],1)</f>
        <v>4</v>
      </c>
      <c r="Y1896" s="2">
        <f>MATCH(Auto_Sales_data___Copy[[#This Row],[Total_Sales_Per_Customer]],Table2[M-Cutoff],1)</f>
        <v>4</v>
      </c>
      <c r="Z1896" s="2" t="str">
        <f>Auto_Sales_data___Copy[[#This Row],[R-Score(1-5)]]&amp;Auto_Sales_data___Copy[[#This Row],[F-Score(1-5)]]&amp;Auto_Sales_data___Copy[[#This Row],[M-Score(1-5)]]</f>
        <v>244</v>
      </c>
      <c r="AA1896" s="2" t="str" cm="1">
        <f t="array" ref="AA18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6" s="2" t="str">
        <f>VLOOKUP(Auto_Sales_data___Copy[[#This Row],[Segment Name]],Table3[],2,FALSE)</f>
        <v>High-Touch  Win-Back</v>
      </c>
    </row>
    <row r="1897" spans="1:28" x14ac:dyDescent="0.25">
      <c r="A1897">
        <v>10348</v>
      </c>
      <c r="B1897">
        <v>39</v>
      </c>
      <c r="C1897">
        <v>50.31</v>
      </c>
      <c r="D1897">
        <v>2</v>
      </c>
      <c r="E1897">
        <v>1962.09</v>
      </c>
      <c r="F1897" s="1">
        <v>43770</v>
      </c>
      <c r="G1897" s="2" t="s">
        <v>19</v>
      </c>
      <c r="H1897" s="2" t="s">
        <v>589</v>
      </c>
      <c r="I1897">
        <v>97</v>
      </c>
      <c r="J1897" s="2" t="s">
        <v>691</v>
      </c>
      <c r="K1897" s="2" t="s">
        <v>193</v>
      </c>
      <c r="L1897" s="2" t="s">
        <v>194</v>
      </c>
      <c r="M1897" s="2" t="s">
        <v>195</v>
      </c>
      <c r="N1897" s="2" t="s">
        <v>178</v>
      </c>
      <c r="O1897" s="2" t="s">
        <v>196</v>
      </c>
      <c r="P1897" s="2" t="s">
        <v>180</v>
      </c>
      <c r="Q1897" s="2" t="s">
        <v>197</v>
      </c>
      <c r="R1897" s="2" t="s">
        <v>198</v>
      </c>
      <c r="S1897" s="2" t="s">
        <v>30</v>
      </c>
      <c r="T1897">
        <v>2238</v>
      </c>
      <c r="U1897">
        <f>VLOOKUP(Auto_Sales_data___Copy[[#This Row],[CUSTOMER_NAME]],$AF$2:$AH$90,2,FALSE)</f>
        <v>32</v>
      </c>
      <c r="V1897">
        <f>VLOOKUP(Auto_Sales_data___Copy[[#This Row],[CUSTOMER_NAME]],$AF$2:$AH$90,3,FALSE)</f>
        <v>120615.28</v>
      </c>
      <c r="W1897" s="2">
        <f>6-MATCH(Auto_Sales_data___Copy[[#This Row],[DAYS_SINCE_LAST_ORDER]],Table2[R-Cutoff],1)</f>
        <v>2</v>
      </c>
      <c r="X1897" s="2">
        <f>MATCH(Auto_Sales_data___Copy[[#This Row],[Total_Orders_Per_Customer]],Table2[F-Cutoff],1)</f>
        <v>4</v>
      </c>
      <c r="Y1897" s="2">
        <f>MATCH(Auto_Sales_data___Copy[[#This Row],[Total_Sales_Per_Customer]],Table2[M-Cutoff],1)</f>
        <v>4</v>
      </c>
      <c r="Z1897" s="2" t="str">
        <f>Auto_Sales_data___Copy[[#This Row],[R-Score(1-5)]]&amp;Auto_Sales_data___Copy[[#This Row],[F-Score(1-5)]]&amp;Auto_Sales_data___Copy[[#This Row],[M-Score(1-5)]]</f>
        <v>244</v>
      </c>
      <c r="AA1897" s="2" t="str" cm="1">
        <f t="array" ref="AA18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7" s="2" t="str">
        <f>VLOOKUP(Auto_Sales_data___Copy[[#This Row],[Segment Name]],Table3[],2,FALSE)</f>
        <v>High-Touch  Win-Back</v>
      </c>
    </row>
    <row r="1898" spans="1:28" x14ac:dyDescent="0.25">
      <c r="A1898">
        <v>10348</v>
      </c>
      <c r="B1898">
        <v>42</v>
      </c>
      <c r="C1898">
        <v>152.07</v>
      </c>
      <c r="D1898">
        <v>3</v>
      </c>
      <c r="E1898">
        <v>6386.94</v>
      </c>
      <c r="F1898" s="1">
        <v>43770</v>
      </c>
      <c r="G1898" s="2" t="s">
        <v>19</v>
      </c>
      <c r="H1898" s="2" t="s">
        <v>537</v>
      </c>
      <c r="I1898">
        <v>96</v>
      </c>
      <c r="J1898" s="2" t="s">
        <v>694</v>
      </c>
      <c r="K1898" s="2" t="s">
        <v>193</v>
      </c>
      <c r="L1898" s="2" t="s">
        <v>194</v>
      </c>
      <c r="M1898" s="2" t="s">
        <v>195</v>
      </c>
      <c r="N1898" s="2" t="s">
        <v>178</v>
      </c>
      <c r="O1898" s="2" t="s">
        <v>196</v>
      </c>
      <c r="P1898" s="2" t="s">
        <v>180</v>
      </c>
      <c r="Q1898" s="2" t="s">
        <v>197</v>
      </c>
      <c r="R1898" s="2" t="s">
        <v>198</v>
      </c>
      <c r="S1898" s="2" t="s">
        <v>46</v>
      </c>
      <c r="T1898">
        <v>2311</v>
      </c>
      <c r="U1898">
        <f>VLOOKUP(Auto_Sales_data___Copy[[#This Row],[CUSTOMER_NAME]],$AF$2:$AH$90,2,FALSE)</f>
        <v>32</v>
      </c>
      <c r="V1898">
        <f>VLOOKUP(Auto_Sales_data___Copy[[#This Row],[CUSTOMER_NAME]],$AF$2:$AH$90,3,FALSE)</f>
        <v>120615.28</v>
      </c>
      <c r="W1898" s="2">
        <f>6-MATCH(Auto_Sales_data___Copy[[#This Row],[DAYS_SINCE_LAST_ORDER]],Table2[R-Cutoff],1)</f>
        <v>2</v>
      </c>
      <c r="X1898" s="2">
        <f>MATCH(Auto_Sales_data___Copy[[#This Row],[Total_Orders_Per_Customer]],Table2[F-Cutoff],1)</f>
        <v>4</v>
      </c>
      <c r="Y1898" s="2">
        <f>MATCH(Auto_Sales_data___Copy[[#This Row],[Total_Sales_Per_Customer]],Table2[M-Cutoff],1)</f>
        <v>4</v>
      </c>
      <c r="Z1898" s="2" t="str">
        <f>Auto_Sales_data___Copy[[#This Row],[R-Score(1-5)]]&amp;Auto_Sales_data___Copy[[#This Row],[F-Score(1-5)]]&amp;Auto_Sales_data___Copy[[#This Row],[M-Score(1-5)]]</f>
        <v>244</v>
      </c>
      <c r="AA1898" s="2" t="str" cm="1">
        <f t="array" ref="AA18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8" s="2" t="str">
        <f>VLOOKUP(Auto_Sales_data___Copy[[#This Row],[Segment Name]],Table3[],2,FALSE)</f>
        <v>High-Touch  Win-Back</v>
      </c>
    </row>
    <row r="1899" spans="1:28" x14ac:dyDescent="0.25">
      <c r="A1899">
        <v>10348</v>
      </c>
      <c r="B1899">
        <v>31</v>
      </c>
      <c r="C1899">
        <v>101.29</v>
      </c>
      <c r="D1899">
        <v>5</v>
      </c>
      <c r="E1899">
        <v>3139.99</v>
      </c>
      <c r="F1899" s="1">
        <v>43770</v>
      </c>
      <c r="G1899" s="2" t="s">
        <v>19</v>
      </c>
      <c r="H1899" s="2" t="s">
        <v>537</v>
      </c>
      <c r="I1899">
        <v>64</v>
      </c>
      <c r="J1899" s="2" t="s">
        <v>699</v>
      </c>
      <c r="K1899" s="2" t="s">
        <v>193</v>
      </c>
      <c r="L1899" s="2" t="s">
        <v>194</v>
      </c>
      <c r="M1899" s="2" t="s">
        <v>195</v>
      </c>
      <c r="N1899" s="2" t="s">
        <v>178</v>
      </c>
      <c r="O1899" s="2" t="s">
        <v>196</v>
      </c>
      <c r="P1899" s="2" t="s">
        <v>180</v>
      </c>
      <c r="Q1899" s="2" t="s">
        <v>197</v>
      </c>
      <c r="R1899" s="2" t="s">
        <v>198</v>
      </c>
      <c r="S1899" s="2" t="s">
        <v>46</v>
      </c>
      <c r="T1899">
        <v>2439</v>
      </c>
      <c r="U1899">
        <f>VLOOKUP(Auto_Sales_data___Copy[[#This Row],[CUSTOMER_NAME]],$AF$2:$AH$90,2,FALSE)</f>
        <v>32</v>
      </c>
      <c r="V1899">
        <f>VLOOKUP(Auto_Sales_data___Copy[[#This Row],[CUSTOMER_NAME]],$AF$2:$AH$90,3,FALSE)</f>
        <v>120615.28</v>
      </c>
      <c r="W1899" s="2">
        <f>6-MATCH(Auto_Sales_data___Copy[[#This Row],[DAYS_SINCE_LAST_ORDER]],Table2[R-Cutoff],1)</f>
        <v>2</v>
      </c>
      <c r="X1899" s="2">
        <f>MATCH(Auto_Sales_data___Copy[[#This Row],[Total_Orders_Per_Customer]],Table2[F-Cutoff],1)</f>
        <v>4</v>
      </c>
      <c r="Y1899" s="2">
        <f>MATCH(Auto_Sales_data___Copy[[#This Row],[Total_Sales_Per_Customer]],Table2[M-Cutoff],1)</f>
        <v>4</v>
      </c>
      <c r="Z1899" s="2" t="str">
        <f>Auto_Sales_data___Copy[[#This Row],[R-Score(1-5)]]&amp;Auto_Sales_data___Copy[[#This Row],[F-Score(1-5)]]&amp;Auto_Sales_data___Copy[[#This Row],[M-Score(1-5)]]</f>
        <v>244</v>
      </c>
      <c r="AA1899" s="2" t="str" cm="1">
        <f t="array" ref="AA18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9" s="2" t="str">
        <f>VLOOKUP(Auto_Sales_data___Copy[[#This Row],[Segment Name]],Table3[],2,FALSE)</f>
        <v>High-Touch  Win-Back</v>
      </c>
    </row>
    <row r="1900" spans="1:28" x14ac:dyDescent="0.25">
      <c r="A1900">
        <v>10317</v>
      </c>
      <c r="B1900">
        <v>35</v>
      </c>
      <c r="C1900">
        <v>83.32</v>
      </c>
      <c r="D1900">
        <v>1</v>
      </c>
      <c r="E1900">
        <v>2916.2</v>
      </c>
      <c r="F1900" s="1">
        <v>43771</v>
      </c>
      <c r="G1900" s="2" t="s">
        <v>19</v>
      </c>
      <c r="H1900" s="2" t="s">
        <v>607</v>
      </c>
      <c r="I1900">
        <v>72</v>
      </c>
      <c r="J1900" s="2" t="s">
        <v>692</v>
      </c>
      <c r="K1900" s="2" t="s">
        <v>54</v>
      </c>
      <c r="L1900" s="2" t="s">
        <v>55</v>
      </c>
      <c r="M1900" s="2" t="s">
        <v>56</v>
      </c>
      <c r="N1900" s="2" t="s">
        <v>57</v>
      </c>
      <c r="O1900" s="2" t="s">
        <v>58</v>
      </c>
      <c r="P1900" s="2" t="s">
        <v>27</v>
      </c>
      <c r="Q1900" s="2" t="s">
        <v>59</v>
      </c>
      <c r="R1900" s="2" t="s">
        <v>60</v>
      </c>
      <c r="S1900" s="2" t="s">
        <v>30</v>
      </c>
      <c r="T1900">
        <v>2256</v>
      </c>
      <c r="U1900">
        <f>VLOOKUP(Auto_Sales_data___Copy[[#This Row],[CUSTOMER_NAME]],$AF$2:$AH$90,2,FALSE)</f>
        <v>34</v>
      </c>
      <c r="V1900">
        <f>VLOOKUP(Auto_Sales_data___Copy[[#This Row],[CUSTOMER_NAME]],$AF$2:$AH$90,3,FALSE)</f>
        <v>120783.07</v>
      </c>
      <c r="W1900" s="2">
        <f>6-MATCH(Auto_Sales_data___Copy[[#This Row],[DAYS_SINCE_LAST_ORDER]],Table2[R-Cutoff],1)</f>
        <v>2</v>
      </c>
      <c r="X1900" s="2">
        <f>MATCH(Auto_Sales_data___Copy[[#This Row],[Total_Orders_Per_Customer]],Table2[F-Cutoff],1)</f>
        <v>4</v>
      </c>
      <c r="Y1900" s="2">
        <f>MATCH(Auto_Sales_data___Copy[[#This Row],[Total_Sales_Per_Customer]],Table2[M-Cutoff],1)</f>
        <v>4</v>
      </c>
      <c r="Z1900" s="2" t="str">
        <f>Auto_Sales_data___Copy[[#This Row],[R-Score(1-5)]]&amp;Auto_Sales_data___Copy[[#This Row],[F-Score(1-5)]]&amp;Auto_Sales_data___Copy[[#This Row],[M-Score(1-5)]]</f>
        <v>244</v>
      </c>
      <c r="AA1900" s="2" t="str" cm="1">
        <f t="array" ref="AA19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0" s="2" t="str">
        <f>VLOOKUP(Auto_Sales_data___Copy[[#This Row],[Segment Name]],Table3[],2,FALSE)</f>
        <v>High-Touch  Win-Back</v>
      </c>
    </row>
    <row r="1901" spans="1:28" x14ac:dyDescent="0.25">
      <c r="A1901">
        <v>10318</v>
      </c>
      <c r="B1901">
        <v>47</v>
      </c>
      <c r="C1901">
        <v>112.88</v>
      </c>
      <c r="D1901">
        <v>7</v>
      </c>
      <c r="E1901">
        <v>5305.36</v>
      </c>
      <c r="F1901" s="1">
        <v>43771</v>
      </c>
      <c r="G1901" s="2" t="s">
        <v>19</v>
      </c>
      <c r="H1901" s="2" t="s">
        <v>20</v>
      </c>
      <c r="I1901">
        <v>99</v>
      </c>
      <c r="J1901" s="2" t="s">
        <v>695</v>
      </c>
      <c r="K1901" s="2" t="s">
        <v>137</v>
      </c>
      <c r="L1901" s="2" t="s">
        <v>138</v>
      </c>
      <c r="M1901" s="2" t="s">
        <v>139</v>
      </c>
      <c r="N1901" s="2" t="s">
        <v>140</v>
      </c>
      <c r="O1901" s="2" t="s">
        <v>141</v>
      </c>
      <c r="P1901" s="2" t="s">
        <v>27</v>
      </c>
      <c r="Q1901" s="2" t="s">
        <v>28</v>
      </c>
      <c r="R1901" s="2" t="s">
        <v>142</v>
      </c>
      <c r="S1901" s="2" t="s">
        <v>46</v>
      </c>
      <c r="T1901">
        <v>2331</v>
      </c>
      <c r="U1901">
        <f>VLOOKUP(Auto_Sales_data___Copy[[#This Row],[CUSTOMER_NAME]],$AF$2:$AH$90,2,FALSE)</f>
        <v>31</v>
      </c>
      <c r="V1901">
        <f>VLOOKUP(Auto_Sales_data___Copy[[#This Row],[CUSTOMER_NAME]],$AF$2:$AH$90,3,FALSE)</f>
        <v>122138.14</v>
      </c>
      <c r="W1901" s="2">
        <f>6-MATCH(Auto_Sales_data___Copy[[#This Row],[DAYS_SINCE_LAST_ORDER]],Table2[R-Cutoff],1)</f>
        <v>2</v>
      </c>
      <c r="X1901" s="2">
        <f>MATCH(Auto_Sales_data___Copy[[#This Row],[Total_Orders_Per_Customer]],Table2[F-Cutoff],1)</f>
        <v>4</v>
      </c>
      <c r="Y1901" s="2">
        <f>MATCH(Auto_Sales_data___Copy[[#This Row],[Total_Sales_Per_Customer]],Table2[M-Cutoff],1)</f>
        <v>4</v>
      </c>
      <c r="Z1901" s="2" t="str">
        <f>Auto_Sales_data___Copy[[#This Row],[R-Score(1-5)]]&amp;Auto_Sales_data___Copy[[#This Row],[F-Score(1-5)]]&amp;Auto_Sales_data___Copy[[#This Row],[M-Score(1-5)]]</f>
        <v>244</v>
      </c>
      <c r="AA1901" s="2" t="str" cm="1">
        <f t="array" ref="AA19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1" s="2" t="str">
        <f>VLOOKUP(Auto_Sales_data___Copy[[#This Row],[Segment Name]],Table3[],2,FALSE)</f>
        <v>High-Touch  Win-Back</v>
      </c>
    </row>
    <row r="1902" spans="1:28" x14ac:dyDescent="0.25">
      <c r="A1902">
        <v>10325</v>
      </c>
      <c r="B1902">
        <v>44</v>
      </c>
      <c r="C1902">
        <v>121.04</v>
      </c>
      <c r="D1902">
        <v>5</v>
      </c>
      <c r="E1902">
        <v>5325.76</v>
      </c>
      <c r="F1902" s="1">
        <v>43774</v>
      </c>
      <c r="G1902" s="2" t="s">
        <v>19</v>
      </c>
      <c r="H1902" s="2" t="s">
        <v>183</v>
      </c>
      <c r="I1902">
        <v>118</v>
      </c>
      <c r="J1902" s="2" t="s">
        <v>690</v>
      </c>
      <c r="K1902" s="2" t="s">
        <v>130</v>
      </c>
      <c r="L1902" s="2" t="s">
        <v>131</v>
      </c>
      <c r="M1902" s="2" t="s">
        <v>132</v>
      </c>
      <c r="N1902" s="2" t="s">
        <v>133</v>
      </c>
      <c r="O1902" s="2" t="s">
        <v>134</v>
      </c>
      <c r="P1902" s="2" t="s">
        <v>73</v>
      </c>
      <c r="Q1902" s="2" t="s">
        <v>135</v>
      </c>
      <c r="R1902" s="2" t="s">
        <v>136</v>
      </c>
      <c r="S1902" s="2" t="s">
        <v>46</v>
      </c>
      <c r="T1902">
        <v>2207</v>
      </c>
      <c r="U1902">
        <f>VLOOKUP(Auto_Sales_data___Copy[[#This Row],[CUSTOMER_NAME]],$AF$2:$AH$90,2,FALSE)</f>
        <v>32</v>
      </c>
      <c r="V1902">
        <f>VLOOKUP(Auto_Sales_data___Copy[[#This Row],[CUSTOMER_NAME]],$AF$2:$AH$90,3,FALSE)</f>
        <v>116599.18999999999</v>
      </c>
      <c r="W1902" s="2">
        <f>6-MATCH(Auto_Sales_data___Copy[[#This Row],[DAYS_SINCE_LAST_ORDER]],Table2[R-Cutoff],1)</f>
        <v>2</v>
      </c>
      <c r="X1902" s="2">
        <f>MATCH(Auto_Sales_data___Copy[[#This Row],[Total_Orders_Per_Customer]],Table2[F-Cutoff],1)</f>
        <v>4</v>
      </c>
      <c r="Y1902" s="2">
        <f>MATCH(Auto_Sales_data___Copy[[#This Row],[Total_Sales_Per_Customer]],Table2[M-Cutoff],1)</f>
        <v>4</v>
      </c>
      <c r="Z1902" s="2" t="str">
        <f>Auto_Sales_data___Copy[[#This Row],[R-Score(1-5)]]&amp;Auto_Sales_data___Copy[[#This Row],[F-Score(1-5)]]&amp;Auto_Sales_data___Copy[[#This Row],[M-Score(1-5)]]</f>
        <v>244</v>
      </c>
      <c r="AA1902" s="2" t="str" cm="1">
        <f t="array" ref="AA19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2" s="2" t="str">
        <f>VLOOKUP(Auto_Sales_data___Copy[[#This Row],[Segment Name]],Table3[],2,FALSE)</f>
        <v>High-Touch  Win-Back</v>
      </c>
    </row>
    <row r="1903" spans="1:28" x14ac:dyDescent="0.25">
      <c r="A1903">
        <v>10325</v>
      </c>
      <c r="B1903">
        <v>38</v>
      </c>
      <c r="C1903">
        <v>232.74</v>
      </c>
      <c r="D1903">
        <v>3</v>
      </c>
      <c r="E1903">
        <v>8844.1200000000008</v>
      </c>
      <c r="F1903" s="1">
        <v>43774</v>
      </c>
      <c r="G1903" s="2" t="s">
        <v>19</v>
      </c>
      <c r="H1903" s="2" t="s">
        <v>537</v>
      </c>
      <c r="I1903">
        <v>54</v>
      </c>
      <c r="J1903" s="2" t="s">
        <v>697</v>
      </c>
      <c r="K1903" s="2" t="s">
        <v>130</v>
      </c>
      <c r="L1903" s="2" t="s">
        <v>131</v>
      </c>
      <c r="M1903" s="2" t="s">
        <v>132</v>
      </c>
      <c r="N1903" s="2" t="s">
        <v>133</v>
      </c>
      <c r="O1903" s="2" t="s">
        <v>134</v>
      </c>
      <c r="P1903" s="2" t="s">
        <v>73</v>
      </c>
      <c r="Q1903" s="2" t="s">
        <v>135</v>
      </c>
      <c r="R1903" s="2" t="s">
        <v>136</v>
      </c>
      <c r="S1903" s="2" t="s">
        <v>151</v>
      </c>
      <c r="T1903">
        <v>2380</v>
      </c>
      <c r="U1903">
        <f>VLOOKUP(Auto_Sales_data___Copy[[#This Row],[CUSTOMER_NAME]],$AF$2:$AH$90,2,FALSE)</f>
        <v>32</v>
      </c>
      <c r="V1903">
        <f>VLOOKUP(Auto_Sales_data___Copy[[#This Row],[CUSTOMER_NAME]],$AF$2:$AH$90,3,FALSE)</f>
        <v>116599.18999999999</v>
      </c>
      <c r="W1903" s="2">
        <f>6-MATCH(Auto_Sales_data___Copy[[#This Row],[DAYS_SINCE_LAST_ORDER]],Table2[R-Cutoff],1)</f>
        <v>2</v>
      </c>
      <c r="X1903" s="2">
        <f>MATCH(Auto_Sales_data___Copy[[#This Row],[Total_Orders_Per_Customer]],Table2[F-Cutoff],1)</f>
        <v>4</v>
      </c>
      <c r="Y1903" s="2">
        <f>MATCH(Auto_Sales_data___Copy[[#This Row],[Total_Sales_Per_Customer]],Table2[M-Cutoff],1)</f>
        <v>4</v>
      </c>
      <c r="Z1903" s="2" t="str">
        <f>Auto_Sales_data___Copy[[#This Row],[R-Score(1-5)]]&amp;Auto_Sales_data___Copy[[#This Row],[F-Score(1-5)]]&amp;Auto_Sales_data___Copy[[#This Row],[M-Score(1-5)]]</f>
        <v>244</v>
      </c>
      <c r="AA1903" s="2" t="str" cm="1">
        <f t="array" ref="AA19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3" s="2" t="str">
        <f>VLOOKUP(Auto_Sales_data___Copy[[#This Row],[Segment Name]],Table3[],2,FALSE)</f>
        <v>High-Touch  Win-Back</v>
      </c>
    </row>
    <row r="1904" spans="1:28" x14ac:dyDescent="0.25">
      <c r="A1904">
        <v>10325</v>
      </c>
      <c r="B1904">
        <v>28</v>
      </c>
      <c r="C1904">
        <v>192.05</v>
      </c>
      <c r="D1904">
        <v>2</v>
      </c>
      <c r="E1904">
        <v>5377.4</v>
      </c>
      <c r="F1904" s="1">
        <v>43774</v>
      </c>
      <c r="G1904" s="2" t="s">
        <v>19</v>
      </c>
      <c r="H1904" s="2" t="s">
        <v>650</v>
      </c>
      <c r="I1904">
        <v>62</v>
      </c>
      <c r="J1904" s="2" t="s">
        <v>698</v>
      </c>
      <c r="K1904" s="2" t="s">
        <v>130</v>
      </c>
      <c r="L1904" s="2" t="s">
        <v>131</v>
      </c>
      <c r="M1904" s="2" t="s">
        <v>132</v>
      </c>
      <c r="N1904" s="2" t="s">
        <v>133</v>
      </c>
      <c r="O1904" s="2" t="s">
        <v>134</v>
      </c>
      <c r="P1904" s="2" t="s">
        <v>73</v>
      </c>
      <c r="Q1904" s="2" t="s">
        <v>135</v>
      </c>
      <c r="R1904" s="2" t="s">
        <v>136</v>
      </c>
      <c r="S1904" s="2" t="s">
        <v>46</v>
      </c>
      <c r="T1904">
        <v>2407</v>
      </c>
      <c r="U1904">
        <f>VLOOKUP(Auto_Sales_data___Copy[[#This Row],[CUSTOMER_NAME]],$AF$2:$AH$90,2,FALSE)</f>
        <v>32</v>
      </c>
      <c r="V1904">
        <f>VLOOKUP(Auto_Sales_data___Copy[[#This Row],[CUSTOMER_NAME]],$AF$2:$AH$90,3,FALSE)</f>
        <v>116599.18999999999</v>
      </c>
      <c r="W1904" s="2">
        <f>6-MATCH(Auto_Sales_data___Copy[[#This Row],[DAYS_SINCE_LAST_ORDER]],Table2[R-Cutoff],1)</f>
        <v>2</v>
      </c>
      <c r="X1904" s="2">
        <f>MATCH(Auto_Sales_data___Copy[[#This Row],[Total_Orders_Per_Customer]],Table2[F-Cutoff],1)</f>
        <v>4</v>
      </c>
      <c r="Y1904" s="2">
        <f>MATCH(Auto_Sales_data___Copy[[#This Row],[Total_Sales_Per_Customer]],Table2[M-Cutoff],1)</f>
        <v>4</v>
      </c>
      <c r="Z1904" s="2" t="str">
        <f>Auto_Sales_data___Copy[[#This Row],[R-Score(1-5)]]&amp;Auto_Sales_data___Copy[[#This Row],[F-Score(1-5)]]&amp;Auto_Sales_data___Copy[[#This Row],[M-Score(1-5)]]</f>
        <v>244</v>
      </c>
      <c r="AA1904" s="2" t="str" cm="1">
        <f t="array" ref="AA19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4" s="2" t="str">
        <f>VLOOKUP(Auto_Sales_data___Copy[[#This Row],[Segment Name]],Table3[],2,FALSE)</f>
        <v>High-Touch  Win-Back</v>
      </c>
    </row>
    <row r="1905" spans="1:28" x14ac:dyDescent="0.25">
      <c r="A1905">
        <v>10325</v>
      </c>
      <c r="B1905">
        <v>38</v>
      </c>
      <c r="C1905">
        <v>136.59</v>
      </c>
      <c r="D1905">
        <v>4</v>
      </c>
      <c r="E1905">
        <v>5190.42</v>
      </c>
      <c r="F1905" s="1">
        <v>43774</v>
      </c>
      <c r="G1905" s="2" t="s">
        <v>19</v>
      </c>
      <c r="H1905" s="2" t="s">
        <v>537</v>
      </c>
      <c r="I1905">
        <v>115</v>
      </c>
      <c r="J1905" s="2" t="s">
        <v>703</v>
      </c>
      <c r="K1905" s="2" t="s">
        <v>130</v>
      </c>
      <c r="L1905" s="2" t="s">
        <v>131</v>
      </c>
      <c r="M1905" s="2" t="s">
        <v>132</v>
      </c>
      <c r="N1905" s="2" t="s">
        <v>133</v>
      </c>
      <c r="O1905" s="2" t="s">
        <v>134</v>
      </c>
      <c r="P1905" s="2" t="s">
        <v>73</v>
      </c>
      <c r="Q1905" s="2" t="s">
        <v>135</v>
      </c>
      <c r="R1905" s="2" t="s">
        <v>136</v>
      </c>
      <c r="S1905" s="2" t="s">
        <v>46</v>
      </c>
      <c r="T1905">
        <v>2534</v>
      </c>
      <c r="U1905">
        <f>VLOOKUP(Auto_Sales_data___Copy[[#This Row],[CUSTOMER_NAME]],$AF$2:$AH$90,2,FALSE)</f>
        <v>32</v>
      </c>
      <c r="V1905">
        <f>VLOOKUP(Auto_Sales_data___Copy[[#This Row],[CUSTOMER_NAME]],$AF$2:$AH$90,3,FALSE)</f>
        <v>116599.18999999999</v>
      </c>
      <c r="W1905" s="2">
        <f>6-MATCH(Auto_Sales_data___Copy[[#This Row],[DAYS_SINCE_LAST_ORDER]],Table2[R-Cutoff],1)</f>
        <v>2</v>
      </c>
      <c r="X1905" s="2">
        <f>MATCH(Auto_Sales_data___Copy[[#This Row],[Total_Orders_Per_Customer]],Table2[F-Cutoff],1)</f>
        <v>4</v>
      </c>
      <c r="Y1905" s="2">
        <f>MATCH(Auto_Sales_data___Copy[[#This Row],[Total_Sales_Per_Customer]],Table2[M-Cutoff],1)</f>
        <v>4</v>
      </c>
      <c r="Z1905" s="2" t="str">
        <f>Auto_Sales_data___Copy[[#This Row],[R-Score(1-5)]]&amp;Auto_Sales_data___Copy[[#This Row],[F-Score(1-5)]]&amp;Auto_Sales_data___Copy[[#This Row],[M-Score(1-5)]]</f>
        <v>244</v>
      </c>
      <c r="AA1905" s="2" t="str" cm="1">
        <f t="array" ref="AA19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5" s="2" t="str">
        <f>VLOOKUP(Auto_Sales_data___Copy[[#This Row],[Segment Name]],Table3[],2,FALSE)</f>
        <v>High-Touch  Win-Back</v>
      </c>
    </row>
    <row r="1906" spans="1:28" x14ac:dyDescent="0.25">
      <c r="A1906">
        <v>10325</v>
      </c>
      <c r="B1906">
        <v>44</v>
      </c>
      <c r="C1906">
        <v>134.84</v>
      </c>
      <c r="D1906">
        <v>7</v>
      </c>
      <c r="E1906">
        <v>5932.96</v>
      </c>
      <c r="F1906" s="1">
        <v>43774</v>
      </c>
      <c r="G1906" s="2" t="s">
        <v>19</v>
      </c>
      <c r="H1906" s="2" t="s">
        <v>650</v>
      </c>
      <c r="I1906">
        <v>58</v>
      </c>
      <c r="J1906" s="2" t="s">
        <v>704</v>
      </c>
      <c r="K1906" s="2" t="s">
        <v>130</v>
      </c>
      <c r="L1906" s="2" t="s">
        <v>131</v>
      </c>
      <c r="M1906" s="2" t="s">
        <v>132</v>
      </c>
      <c r="N1906" s="2" t="s">
        <v>133</v>
      </c>
      <c r="O1906" s="2" t="s">
        <v>134</v>
      </c>
      <c r="P1906" s="2" t="s">
        <v>73</v>
      </c>
      <c r="Q1906" s="2" t="s">
        <v>135</v>
      </c>
      <c r="R1906" s="2" t="s">
        <v>136</v>
      </c>
      <c r="S1906" s="2" t="s">
        <v>46</v>
      </c>
      <c r="T1906">
        <v>2561</v>
      </c>
      <c r="U1906">
        <f>VLOOKUP(Auto_Sales_data___Copy[[#This Row],[CUSTOMER_NAME]],$AF$2:$AH$90,2,FALSE)</f>
        <v>32</v>
      </c>
      <c r="V1906">
        <f>VLOOKUP(Auto_Sales_data___Copy[[#This Row],[CUSTOMER_NAME]],$AF$2:$AH$90,3,FALSE)</f>
        <v>116599.18999999999</v>
      </c>
      <c r="W1906" s="2">
        <f>6-MATCH(Auto_Sales_data___Copy[[#This Row],[DAYS_SINCE_LAST_ORDER]],Table2[R-Cutoff],1)</f>
        <v>2</v>
      </c>
      <c r="X1906" s="2">
        <f>MATCH(Auto_Sales_data___Copy[[#This Row],[Total_Orders_Per_Customer]],Table2[F-Cutoff],1)</f>
        <v>4</v>
      </c>
      <c r="Y1906" s="2">
        <f>MATCH(Auto_Sales_data___Copy[[#This Row],[Total_Sales_Per_Customer]],Table2[M-Cutoff],1)</f>
        <v>4</v>
      </c>
      <c r="Z1906" s="2" t="str">
        <f>Auto_Sales_data___Copy[[#This Row],[R-Score(1-5)]]&amp;Auto_Sales_data___Copy[[#This Row],[F-Score(1-5)]]&amp;Auto_Sales_data___Copy[[#This Row],[M-Score(1-5)]]</f>
        <v>244</v>
      </c>
      <c r="AA1906" s="2" t="str" cm="1">
        <f t="array" ref="AA19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6" s="2" t="str">
        <f>VLOOKUP(Auto_Sales_data___Copy[[#This Row],[Segment Name]],Table3[],2,FALSE)</f>
        <v>High-Touch  Win-Back</v>
      </c>
    </row>
    <row r="1907" spans="1:28" x14ac:dyDescent="0.25">
      <c r="A1907">
        <v>10328</v>
      </c>
      <c r="B1907">
        <v>20</v>
      </c>
      <c r="C1907">
        <v>72.98</v>
      </c>
      <c r="D1907">
        <v>2</v>
      </c>
      <c r="E1907">
        <v>1459.6</v>
      </c>
      <c r="F1907" s="1">
        <v>43781</v>
      </c>
      <c r="G1907" s="2" t="s">
        <v>19</v>
      </c>
      <c r="H1907" s="2" t="s">
        <v>589</v>
      </c>
      <c r="I1907">
        <v>65</v>
      </c>
      <c r="J1907" s="2" t="s">
        <v>684</v>
      </c>
      <c r="K1907" s="2" t="s">
        <v>591</v>
      </c>
      <c r="L1907" s="2" t="s">
        <v>592</v>
      </c>
      <c r="M1907" s="2" t="s">
        <v>593</v>
      </c>
      <c r="N1907" s="2" t="s">
        <v>594</v>
      </c>
      <c r="O1907" s="2" t="s">
        <v>595</v>
      </c>
      <c r="P1907" s="2" t="s">
        <v>269</v>
      </c>
      <c r="Q1907" s="2" t="s">
        <v>596</v>
      </c>
      <c r="R1907" s="2" t="s">
        <v>597</v>
      </c>
      <c r="S1907" s="2" t="s">
        <v>30</v>
      </c>
      <c r="T1907">
        <v>2051</v>
      </c>
      <c r="U1907">
        <f>VLOOKUP(Auto_Sales_data___Copy[[#This Row],[CUSTOMER_NAME]],$AF$2:$AH$90,2,FALSE)</f>
        <v>48</v>
      </c>
      <c r="V1907">
        <f>VLOOKUP(Auto_Sales_data___Copy[[#This Row],[CUSTOMER_NAME]],$AF$2:$AH$90,3,FALSE)</f>
        <v>137955.72</v>
      </c>
      <c r="W1907" s="2">
        <f>6-MATCH(Auto_Sales_data___Copy[[#This Row],[DAYS_SINCE_LAST_ORDER]],Table2[R-Cutoff],1)</f>
        <v>2</v>
      </c>
      <c r="X1907" s="2">
        <f>MATCH(Auto_Sales_data___Copy[[#This Row],[Total_Orders_Per_Customer]],Table2[F-Cutoff],1)</f>
        <v>4</v>
      </c>
      <c r="Y1907" s="2">
        <f>MATCH(Auto_Sales_data___Copy[[#This Row],[Total_Sales_Per_Customer]],Table2[M-Cutoff],1)</f>
        <v>4</v>
      </c>
      <c r="Z1907" s="2" t="str">
        <f>Auto_Sales_data___Copy[[#This Row],[R-Score(1-5)]]&amp;Auto_Sales_data___Copy[[#This Row],[F-Score(1-5)]]&amp;Auto_Sales_data___Copy[[#This Row],[M-Score(1-5)]]</f>
        <v>244</v>
      </c>
      <c r="AA1907" s="2" t="str" cm="1">
        <f t="array" ref="AA19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7" s="2" t="str">
        <f>VLOOKUP(Auto_Sales_data___Copy[[#This Row],[Segment Name]],Table3[],2,FALSE)</f>
        <v>High-Touch  Win-Back</v>
      </c>
    </row>
    <row r="1908" spans="1:28" x14ac:dyDescent="0.25">
      <c r="A1908">
        <v>10328</v>
      </c>
      <c r="B1908">
        <v>35</v>
      </c>
      <c r="C1908">
        <v>76.430000000000007</v>
      </c>
      <c r="D1908">
        <v>3</v>
      </c>
      <c r="E1908">
        <v>2675.05</v>
      </c>
      <c r="F1908" s="1">
        <v>43781</v>
      </c>
      <c r="G1908" s="2" t="s">
        <v>19</v>
      </c>
      <c r="H1908" s="2" t="s">
        <v>607</v>
      </c>
      <c r="I1908">
        <v>68</v>
      </c>
      <c r="J1908" s="2" t="s">
        <v>688</v>
      </c>
      <c r="K1908" s="2" t="s">
        <v>591</v>
      </c>
      <c r="L1908" s="2" t="s">
        <v>592</v>
      </c>
      <c r="M1908" s="2" t="s">
        <v>593</v>
      </c>
      <c r="N1908" s="2" t="s">
        <v>594</v>
      </c>
      <c r="O1908" s="2" t="s">
        <v>595</v>
      </c>
      <c r="P1908" s="2" t="s">
        <v>269</v>
      </c>
      <c r="Q1908" s="2" t="s">
        <v>596</v>
      </c>
      <c r="R1908" s="2" t="s">
        <v>597</v>
      </c>
      <c r="S1908" s="2" t="s">
        <v>30</v>
      </c>
      <c r="T1908">
        <v>2152</v>
      </c>
      <c r="U1908">
        <f>VLOOKUP(Auto_Sales_data___Copy[[#This Row],[CUSTOMER_NAME]],$AF$2:$AH$90,2,FALSE)</f>
        <v>48</v>
      </c>
      <c r="V1908">
        <f>VLOOKUP(Auto_Sales_data___Copy[[#This Row],[CUSTOMER_NAME]],$AF$2:$AH$90,3,FALSE)</f>
        <v>137955.72</v>
      </c>
      <c r="W1908" s="2">
        <f>6-MATCH(Auto_Sales_data___Copy[[#This Row],[DAYS_SINCE_LAST_ORDER]],Table2[R-Cutoff],1)</f>
        <v>2</v>
      </c>
      <c r="X1908" s="2">
        <f>MATCH(Auto_Sales_data___Copy[[#This Row],[Total_Orders_Per_Customer]],Table2[F-Cutoff],1)</f>
        <v>4</v>
      </c>
      <c r="Y1908" s="2">
        <f>MATCH(Auto_Sales_data___Copy[[#This Row],[Total_Sales_Per_Customer]],Table2[M-Cutoff],1)</f>
        <v>4</v>
      </c>
      <c r="Z1908" s="2" t="str">
        <f>Auto_Sales_data___Copy[[#This Row],[R-Score(1-5)]]&amp;Auto_Sales_data___Copy[[#This Row],[F-Score(1-5)]]&amp;Auto_Sales_data___Copy[[#This Row],[M-Score(1-5)]]</f>
        <v>244</v>
      </c>
      <c r="AA1908" s="2" t="str" cm="1">
        <f t="array" ref="AA19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8" s="2" t="str">
        <f>VLOOKUP(Auto_Sales_data___Copy[[#This Row],[Segment Name]],Table3[],2,FALSE)</f>
        <v>High-Touch  Win-Back</v>
      </c>
    </row>
    <row r="1909" spans="1:28" x14ac:dyDescent="0.25">
      <c r="A1909">
        <v>10328</v>
      </c>
      <c r="B1909">
        <v>43</v>
      </c>
      <c r="C1909">
        <v>60.86</v>
      </c>
      <c r="D1909">
        <v>4</v>
      </c>
      <c r="E1909">
        <v>2616.98</v>
      </c>
      <c r="F1909" s="1">
        <v>43781</v>
      </c>
      <c r="G1909" s="2" t="s">
        <v>19</v>
      </c>
      <c r="H1909" s="2" t="s">
        <v>607</v>
      </c>
      <c r="I1909">
        <v>72</v>
      </c>
      <c r="J1909" s="2" t="s">
        <v>692</v>
      </c>
      <c r="K1909" s="2" t="s">
        <v>591</v>
      </c>
      <c r="L1909" s="2" t="s">
        <v>592</v>
      </c>
      <c r="M1909" s="2" t="s">
        <v>593</v>
      </c>
      <c r="N1909" s="2" t="s">
        <v>594</v>
      </c>
      <c r="O1909" s="2" t="s">
        <v>595</v>
      </c>
      <c r="P1909" s="2" t="s">
        <v>269</v>
      </c>
      <c r="Q1909" s="2" t="s">
        <v>596</v>
      </c>
      <c r="R1909" s="2" t="s">
        <v>597</v>
      </c>
      <c r="S1909" s="2" t="s">
        <v>30</v>
      </c>
      <c r="T1909">
        <v>2247</v>
      </c>
      <c r="U1909">
        <f>VLOOKUP(Auto_Sales_data___Copy[[#This Row],[CUSTOMER_NAME]],$AF$2:$AH$90,2,FALSE)</f>
        <v>48</v>
      </c>
      <c r="V1909">
        <f>VLOOKUP(Auto_Sales_data___Copy[[#This Row],[CUSTOMER_NAME]],$AF$2:$AH$90,3,FALSE)</f>
        <v>137955.72</v>
      </c>
      <c r="W1909" s="2">
        <f>6-MATCH(Auto_Sales_data___Copy[[#This Row],[DAYS_SINCE_LAST_ORDER]],Table2[R-Cutoff],1)</f>
        <v>2</v>
      </c>
      <c r="X1909" s="2">
        <f>MATCH(Auto_Sales_data___Copy[[#This Row],[Total_Orders_Per_Customer]],Table2[F-Cutoff],1)</f>
        <v>4</v>
      </c>
      <c r="Y1909" s="2">
        <f>MATCH(Auto_Sales_data___Copy[[#This Row],[Total_Sales_Per_Customer]],Table2[M-Cutoff],1)</f>
        <v>4</v>
      </c>
      <c r="Z1909" s="2" t="str">
        <f>Auto_Sales_data___Copy[[#This Row],[R-Score(1-5)]]&amp;Auto_Sales_data___Copy[[#This Row],[F-Score(1-5)]]&amp;Auto_Sales_data___Copy[[#This Row],[M-Score(1-5)]]</f>
        <v>244</v>
      </c>
      <c r="AA1909" s="2" t="str" cm="1">
        <f t="array" ref="AA19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9" s="2" t="str">
        <f>VLOOKUP(Auto_Sales_data___Copy[[#This Row],[Segment Name]],Table3[],2,FALSE)</f>
        <v>High-Touch  Win-Back</v>
      </c>
    </row>
    <row r="1910" spans="1:28" x14ac:dyDescent="0.25">
      <c r="A1910">
        <v>10328</v>
      </c>
      <c r="B1910">
        <v>24</v>
      </c>
      <c r="C1910">
        <v>81.17</v>
      </c>
      <c r="D1910">
        <v>5</v>
      </c>
      <c r="E1910">
        <v>1948.08</v>
      </c>
      <c r="F1910" s="1">
        <v>43781</v>
      </c>
      <c r="G1910" s="2" t="s">
        <v>19</v>
      </c>
      <c r="H1910" s="2" t="s">
        <v>589</v>
      </c>
      <c r="I1910">
        <v>68</v>
      </c>
      <c r="J1910" s="2" t="s">
        <v>700</v>
      </c>
      <c r="K1910" s="2" t="s">
        <v>591</v>
      </c>
      <c r="L1910" s="2" t="s">
        <v>592</v>
      </c>
      <c r="M1910" s="2" t="s">
        <v>593</v>
      </c>
      <c r="N1910" s="2" t="s">
        <v>594</v>
      </c>
      <c r="O1910" s="2" t="s">
        <v>595</v>
      </c>
      <c r="P1910" s="2" t="s">
        <v>269</v>
      </c>
      <c r="Q1910" s="2" t="s">
        <v>596</v>
      </c>
      <c r="R1910" s="2" t="s">
        <v>597</v>
      </c>
      <c r="S1910" s="2" t="s">
        <v>30</v>
      </c>
      <c r="T1910">
        <v>2449</v>
      </c>
      <c r="U1910">
        <f>VLOOKUP(Auto_Sales_data___Copy[[#This Row],[CUSTOMER_NAME]],$AF$2:$AH$90,2,FALSE)</f>
        <v>48</v>
      </c>
      <c r="V1910">
        <f>VLOOKUP(Auto_Sales_data___Copy[[#This Row],[CUSTOMER_NAME]],$AF$2:$AH$90,3,FALSE)</f>
        <v>137955.72</v>
      </c>
      <c r="W1910" s="2">
        <f>6-MATCH(Auto_Sales_data___Copy[[#This Row],[DAYS_SINCE_LAST_ORDER]],Table2[R-Cutoff],1)</f>
        <v>2</v>
      </c>
      <c r="X1910" s="2">
        <f>MATCH(Auto_Sales_data___Copy[[#This Row],[Total_Orders_Per_Customer]],Table2[F-Cutoff],1)</f>
        <v>4</v>
      </c>
      <c r="Y1910" s="2">
        <f>MATCH(Auto_Sales_data___Copy[[#This Row],[Total_Sales_Per_Customer]],Table2[M-Cutoff],1)</f>
        <v>4</v>
      </c>
      <c r="Z1910" s="2" t="str">
        <f>Auto_Sales_data___Copy[[#This Row],[R-Score(1-5)]]&amp;Auto_Sales_data___Copy[[#This Row],[F-Score(1-5)]]&amp;Auto_Sales_data___Copy[[#This Row],[M-Score(1-5)]]</f>
        <v>244</v>
      </c>
      <c r="AA1910" s="2" t="str" cm="1">
        <f t="array" ref="AA19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0" s="2" t="str">
        <f>VLOOKUP(Auto_Sales_data___Copy[[#This Row],[Segment Name]],Table3[],2,FALSE)</f>
        <v>High-Touch  Win-Back</v>
      </c>
    </row>
    <row r="1911" spans="1:28" x14ac:dyDescent="0.25">
      <c r="A1911">
        <v>10328</v>
      </c>
      <c r="B1911">
        <v>34</v>
      </c>
      <c r="C1911">
        <v>51.93</v>
      </c>
      <c r="D1911">
        <v>7</v>
      </c>
      <c r="E1911">
        <v>1765.62</v>
      </c>
      <c r="F1911" s="1">
        <v>43781</v>
      </c>
      <c r="G1911" s="2" t="s">
        <v>19</v>
      </c>
      <c r="H1911" s="2" t="s">
        <v>589</v>
      </c>
      <c r="I1911">
        <v>43</v>
      </c>
      <c r="J1911" s="2" t="s">
        <v>702</v>
      </c>
      <c r="K1911" s="2" t="s">
        <v>591</v>
      </c>
      <c r="L1911" s="2" t="s">
        <v>592</v>
      </c>
      <c r="M1911" s="2" t="s">
        <v>593</v>
      </c>
      <c r="N1911" s="2" t="s">
        <v>594</v>
      </c>
      <c r="O1911" s="2" t="s">
        <v>595</v>
      </c>
      <c r="P1911" s="2" t="s">
        <v>269</v>
      </c>
      <c r="Q1911" s="2" t="s">
        <v>596</v>
      </c>
      <c r="R1911" s="2" t="s">
        <v>597</v>
      </c>
      <c r="S1911" s="2" t="s">
        <v>30</v>
      </c>
      <c r="T1911">
        <v>2499</v>
      </c>
      <c r="U1911">
        <f>VLOOKUP(Auto_Sales_data___Copy[[#This Row],[CUSTOMER_NAME]],$AF$2:$AH$90,2,FALSE)</f>
        <v>48</v>
      </c>
      <c r="V1911">
        <f>VLOOKUP(Auto_Sales_data___Copy[[#This Row],[CUSTOMER_NAME]],$AF$2:$AH$90,3,FALSE)</f>
        <v>137955.72</v>
      </c>
      <c r="W1911" s="2">
        <f>6-MATCH(Auto_Sales_data___Copy[[#This Row],[DAYS_SINCE_LAST_ORDER]],Table2[R-Cutoff],1)</f>
        <v>2</v>
      </c>
      <c r="X1911" s="2">
        <f>MATCH(Auto_Sales_data___Copy[[#This Row],[Total_Orders_Per_Customer]],Table2[F-Cutoff],1)</f>
        <v>4</v>
      </c>
      <c r="Y1911" s="2">
        <f>MATCH(Auto_Sales_data___Copy[[#This Row],[Total_Sales_Per_Customer]],Table2[M-Cutoff],1)</f>
        <v>4</v>
      </c>
      <c r="Z1911" s="2" t="str">
        <f>Auto_Sales_data___Copy[[#This Row],[R-Score(1-5)]]&amp;Auto_Sales_data___Copy[[#This Row],[F-Score(1-5)]]&amp;Auto_Sales_data___Copy[[#This Row],[M-Score(1-5)]]</f>
        <v>244</v>
      </c>
      <c r="AA1911" s="2" t="str" cm="1">
        <f t="array" ref="AA19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1" s="2" t="str">
        <f>VLOOKUP(Auto_Sales_data___Copy[[#This Row],[Segment Name]],Table3[],2,FALSE)</f>
        <v>High-Touch  Win-Back</v>
      </c>
    </row>
    <row r="1912" spans="1:28" x14ac:dyDescent="0.25">
      <c r="A1912">
        <v>10329</v>
      </c>
      <c r="B1912">
        <v>45</v>
      </c>
      <c r="C1912">
        <v>63.91</v>
      </c>
      <c r="D1912">
        <v>11</v>
      </c>
      <c r="E1912">
        <v>2875.95</v>
      </c>
      <c r="F1912" s="1">
        <v>43784</v>
      </c>
      <c r="G1912" s="2" t="s">
        <v>19</v>
      </c>
      <c r="H1912" s="2" t="s">
        <v>20</v>
      </c>
      <c r="I1912">
        <v>99</v>
      </c>
      <c r="J1912" s="2" t="s">
        <v>695</v>
      </c>
      <c r="K1912" s="2" t="s">
        <v>22</v>
      </c>
      <c r="L1912" s="2" t="s">
        <v>23</v>
      </c>
      <c r="M1912" s="2" t="s">
        <v>24</v>
      </c>
      <c r="N1912" s="2" t="s">
        <v>25</v>
      </c>
      <c r="O1912" s="2" t="s">
        <v>26</v>
      </c>
      <c r="P1912" s="2" t="s">
        <v>27</v>
      </c>
      <c r="Q1912" s="2" t="s">
        <v>28</v>
      </c>
      <c r="R1912" s="2" t="s">
        <v>29</v>
      </c>
      <c r="S1912" s="2" t="s">
        <v>30</v>
      </c>
      <c r="T1912">
        <v>2319</v>
      </c>
      <c r="U1912">
        <f>VLOOKUP(Auto_Sales_data___Copy[[#This Row],[CUSTOMER_NAME]],$AF$2:$AH$90,2,FALSE)</f>
        <v>49</v>
      </c>
      <c r="V1912">
        <f>VLOOKUP(Auto_Sales_data___Copy[[#This Row],[CUSTOMER_NAME]],$AF$2:$AH$90,3,FALSE)</f>
        <v>164069.43999999997</v>
      </c>
      <c r="W1912" s="2">
        <f>6-MATCH(Auto_Sales_data___Copy[[#This Row],[DAYS_SINCE_LAST_ORDER]],Table2[R-Cutoff],1)</f>
        <v>2</v>
      </c>
      <c r="X1912" s="2">
        <f>MATCH(Auto_Sales_data___Copy[[#This Row],[Total_Orders_Per_Customer]],Table2[F-Cutoff],1)</f>
        <v>4</v>
      </c>
      <c r="Y1912" s="2">
        <f>MATCH(Auto_Sales_data___Copy[[#This Row],[Total_Sales_Per_Customer]],Table2[M-Cutoff],1)</f>
        <v>4</v>
      </c>
      <c r="Z1912" s="2" t="str">
        <f>Auto_Sales_data___Copy[[#This Row],[R-Score(1-5)]]&amp;Auto_Sales_data___Copy[[#This Row],[F-Score(1-5)]]&amp;Auto_Sales_data___Copy[[#This Row],[M-Score(1-5)]]</f>
        <v>244</v>
      </c>
      <c r="AA1912" s="2" t="str" cm="1">
        <f t="array" ref="AA19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2" s="2" t="str">
        <f>VLOOKUP(Auto_Sales_data___Copy[[#This Row],[Segment Name]],Table3[],2,FALSE)</f>
        <v>High-Touch  Win-Back</v>
      </c>
    </row>
    <row r="1913" spans="1:28" x14ac:dyDescent="0.25">
      <c r="A1913">
        <v>10332</v>
      </c>
      <c r="B1913">
        <v>31</v>
      </c>
      <c r="C1913">
        <v>37.18</v>
      </c>
      <c r="D1913">
        <v>13</v>
      </c>
      <c r="E1913">
        <v>1152.58</v>
      </c>
      <c r="F1913" s="1">
        <v>43786</v>
      </c>
      <c r="G1913" s="2" t="s">
        <v>19</v>
      </c>
      <c r="H1913" s="2" t="s">
        <v>183</v>
      </c>
      <c r="I1913">
        <v>107</v>
      </c>
      <c r="J1913" s="2" t="s">
        <v>685</v>
      </c>
      <c r="K1913" s="2" t="s">
        <v>523</v>
      </c>
      <c r="L1913" s="2" t="s">
        <v>524</v>
      </c>
      <c r="M1913" s="2" t="s">
        <v>525</v>
      </c>
      <c r="N1913" s="2" t="s">
        <v>526</v>
      </c>
      <c r="O1913" s="2" t="s">
        <v>527</v>
      </c>
      <c r="P1913" s="2" t="s">
        <v>171</v>
      </c>
      <c r="Q1913" s="2" t="s">
        <v>528</v>
      </c>
      <c r="R1913" s="2" t="s">
        <v>529</v>
      </c>
      <c r="S1913" s="2" t="s">
        <v>30</v>
      </c>
      <c r="T1913">
        <v>2072</v>
      </c>
      <c r="U1913">
        <f>VLOOKUP(Auto_Sales_data___Copy[[#This Row],[CUSTOMER_NAME]],$AF$2:$AH$90,2,FALSE)</f>
        <v>51</v>
      </c>
      <c r="V1913">
        <f>VLOOKUP(Auto_Sales_data___Copy[[#This Row],[CUSTOMER_NAME]],$AF$2:$AH$90,3,FALSE)</f>
        <v>157807.80999999994</v>
      </c>
      <c r="W1913" s="2">
        <f>6-MATCH(Auto_Sales_data___Copy[[#This Row],[DAYS_SINCE_LAST_ORDER]],Table2[R-Cutoff],1)</f>
        <v>2</v>
      </c>
      <c r="X1913" s="2">
        <f>MATCH(Auto_Sales_data___Copy[[#This Row],[Total_Orders_Per_Customer]],Table2[F-Cutoff],1)</f>
        <v>4</v>
      </c>
      <c r="Y1913" s="2">
        <f>MATCH(Auto_Sales_data___Copy[[#This Row],[Total_Sales_Per_Customer]],Table2[M-Cutoff],1)</f>
        <v>4</v>
      </c>
      <c r="Z1913" s="2" t="str">
        <f>Auto_Sales_data___Copy[[#This Row],[R-Score(1-5)]]&amp;Auto_Sales_data___Copy[[#This Row],[F-Score(1-5)]]&amp;Auto_Sales_data___Copy[[#This Row],[M-Score(1-5)]]</f>
        <v>244</v>
      </c>
      <c r="AA1913" s="2" t="str" cm="1">
        <f t="array" ref="AA19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3" s="2" t="str">
        <f>VLOOKUP(Auto_Sales_data___Copy[[#This Row],[Segment Name]],Table3[],2,FALSE)</f>
        <v>High-Touch  Win-Back</v>
      </c>
    </row>
    <row r="1914" spans="1:28" x14ac:dyDescent="0.25">
      <c r="A1914">
        <v>10332</v>
      </c>
      <c r="B1914">
        <v>41</v>
      </c>
      <c r="C1914">
        <v>77.239999999999995</v>
      </c>
      <c r="D1914">
        <v>14</v>
      </c>
      <c r="E1914">
        <v>3166.84</v>
      </c>
      <c r="F1914" s="1">
        <v>43786</v>
      </c>
      <c r="G1914" s="2" t="s">
        <v>19</v>
      </c>
      <c r="H1914" s="2" t="s">
        <v>589</v>
      </c>
      <c r="I1914">
        <v>41</v>
      </c>
      <c r="J1914" s="2" t="s">
        <v>689</v>
      </c>
      <c r="K1914" s="2" t="s">
        <v>523</v>
      </c>
      <c r="L1914" s="2" t="s">
        <v>524</v>
      </c>
      <c r="M1914" s="2" t="s">
        <v>525</v>
      </c>
      <c r="N1914" s="2" t="s">
        <v>526</v>
      </c>
      <c r="O1914" s="2" t="s">
        <v>527</v>
      </c>
      <c r="P1914" s="2" t="s">
        <v>171</v>
      </c>
      <c r="Q1914" s="2" t="s">
        <v>528</v>
      </c>
      <c r="R1914" s="2" t="s">
        <v>529</v>
      </c>
      <c r="S1914" s="2" t="s">
        <v>46</v>
      </c>
      <c r="T1914">
        <v>2171</v>
      </c>
      <c r="U1914">
        <f>VLOOKUP(Auto_Sales_data___Copy[[#This Row],[CUSTOMER_NAME]],$AF$2:$AH$90,2,FALSE)</f>
        <v>51</v>
      </c>
      <c r="V1914">
        <f>VLOOKUP(Auto_Sales_data___Copy[[#This Row],[CUSTOMER_NAME]],$AF$2:$AH$90,3,FALSE)</f>
        <v>157807.80999999994</v>
      </c>
      <c r="W1914" s="2">
        <f>6-MATCH(Auto_Sales_data___Copy[[#This Row],[DAYS_SINCE_LAST_ORDER]],Table2[R-Cutoff],1)</f>
        <v>2</v>
      </c>
      <c r="X1914" s="2">
        <f>MATCH(Auto_Sales_data___Copy[[#This Row],[Total_Orders_Per_Customer]],Table2[F-Cutoff],1)</f>
        <v>4</v>
      </c>
      <c r="Y1914" s="2">
        <f>MATCH(Auto_Sales_data___Copy[[#This Row],[Total_Sales_Per_Customer]],Table2[M-Cutoff],1)</f>
        <v>4</v>
      </c>
      <c r="Z1914" s="2" t="str">
        <f>Auto_Sales_data___Copy[[#This Row],[R-Score(1-5)]]&amp;Auto_Sales_data___Copy[[#This Row],[F-Score(1-5)]]&amp;Auto_Sales_data___Copy[[#This Row],[M-Score(1-5)]]</f>
        <v>244</v>
      </c>
      <c r="AA1914" s="2" t="str" cm="1">
        <f t="array" ref="AA19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4" s="2" t="str">
        <f>VLOOKUP(Auto_Sales_data___Copy[[#This Row],[Segment Name]],Table3[],2,FALSE)</f>
        <v>High-Touch  Win-Back</v>
      </c>
    </row>
    <row r="1915" spans="1:28" x14ac:dyDescent="0.25">
      <c r="A1915">
        <v>10335</v>
      </c>
      <c r="B1915">
        <v>44</v>
      </c>
      <c r="C1915">
        <v>107.87</v>
      </c>
      <c r="D1915">
        <v>1</v>
      </c>
      <c r="E1915">
        <v>4746.28</v>
      </c>
      <c r="F1915" s="1">
        <v>43788</v>
      </c>
      <c r="G1915" s="2" t="s">
        <v>19</v>
      </c>
      <c r="H1915" s="2" t="s">
        <v>537</v>
      </c>
      <c r="I1915">
        <v>96</v>
      </c>
      <c r="J1915" s="2" t="s">
        <v>694</v>
      </c>
      <c r="K1915" s="2" t="s">
        <v>284</v>
      </c>
      <c r="L1915" s="2" t="s">
        <v>285</v>
      </c>
      <c r="M1915" s="2" t="s">
        <v>286</v>
      </c>
      <c r="N1915" s="2" t="s">
        <v>287</v>
      </c>
      <c r="O1915" s="2" t="s">
        <v>106</v>
      </c>
      <c r="P1915" s="2" t="s">
        <v>27</v>
      </c>
      <c r="Q1915" s="2" t="s">
        <v>288</v>
      </c>
      <c r="R1915" s="2" t="s">
        <v>289</v>
      </c>
      <c r="S1915" s="2" t="s">
        <v>46</v>
      </c>
      <c r="T1915">
        <v>2292</v>
      </c>
      <c r="U1915">
        <f>VLOOKUP(Auto_Sales_data___Copy[[#This Row],[CUSTOMER_NAME]],$AF$2:$AH$90,2,FALSE)</f>
        <v>180</v>
      </c>
      <c r="V1915">
        <f>VLOOKUP(Auto_Sales_data___Copy[[#This Row],[CUSTOMER_NAME]],$AF$2:$AH$90,3,FALSE)</f>
        <v>654858.06000000017</v>
      </c>
      <c r="W1915" s="2">
        <f>6-MATCH(Auto_Sales_data___Copy[[#This Row],[DAYS_SINCE_LAST_ORDER]],Table2[R-Cutoff],1)</f>
        <v>2</v>
      </c>
      <c r="X1915" s="2">
        <f>MATCH(Auto_Sales_data___Copy[[#This Row],[Total_Orders_Per_Customer]],Table2[F-Cutoff],1)</f>
        <v>4</v>
      </c>
      <c r="Y1915" s="2">
        <f>MATCH(Auto_Sales_data___Copy[[#This Row],[Total_Sales_Per_Customer]],Table2[M-Cutoff],1)</f>
        <v>4</v>
      </c>
      <c r="Z1915" s="2" t="str">
        <f>Auto_Sales_data___Copy[[#This Row],[R-Score(1-5)]]&amp;Auto_Sales_data___Copy[[#This Row],[F-Score(1-5)]]&amp;Auto_Sales_data___Copy[[#This Row],[M-Score(1-5)]]</f>
        <v>244</v>
      </c>
      <c r="AA1915" s="2" t="str" cm="1">
        <f t="array" ref="AA19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5" s="2" t="str">
        <f>VLOOKUP(Auto_Sales_data___Copy[[#This Row],[Segment Name]],Table3[],2,FALSE)</f>
        <v>High-Touch  Win-Back</v>
      </c>
    </row>
    <row r="1916" spans="1:28" x14ac:dyDescent="0.25">
      <c r="A1916">
        <v>10335</v>
      </c>
      <c r="B1916">
        <v>40</v>
      </c>
      <c r="C1916">
        <v>60.6</v>
      </c>
      <c r="D1916">
        <v>3</v>
      </c>
      <c r="E1916">
        <v>2424</v>
      </c>
      <c r="F1916" s="1">
        <v>43788</v>
      </c>
      <c r="G1916" s="2" t="s">
        <v>19</v>
      </c>
      <c r="H1916" s="2" t="s">
        <v>537</v>
      </c>
      <c r="I1916">
        <v>54</v>
      </c>
      <c r="J1916" s="2" t="s">
        <v>697</v>
      </c>
      <c r="K1916" s="2" t="s">
        <v>284</v>
      </c>
      <c r="L1916" s="2" t="s">
        <v>285</v>
      </c>
      <c r="M1916" s="2" t="s">
        <v>286</v>
      </c>
      <c r="N1916" s="2" t="s">
        <v>287</v>
      </c>
      <c r="O1916" s="2" t="s">
        <v>106</v>
      </c>
      <c r="P1916" s="2" t="s">
        <v>27</v>
      </c>
      <c r="Q1916" s="2" t="s">
        <v>288</v>
      </c>
      <c r="R1916" s="2" t="s">
        <v>289</v>
      </c>
      <c r="S1916" s="2" t="s">
        <v>30</v>
      </c>
      <c r="T1916">
        <v>2367</v>
      </c>
      <c r="U1916">
        <f>VLOOKUP(Auto_Sales_data___Copy[[#This Row],[CUSTOMER_NAME]],$AF$2:$AH$90,2,FALSE)</f>
        <v>180</v>
      </c>
      <c r="V1916">
        <f>VLOOKUP(Auto_Sales_data___Copy[[#This Row],[CUSTOMER_NAME]],$AF$2:$AH$90,3,FALSE)</f>
        <v>654858.06000000017</v>
      </c>
      <c r="W1916" s="2">
        <f>6-MATCH(Auto_Sales_data___Copy[[#This Row],[DAYS_SINCE_LAST_ORDER]],Table2[R-Cutoff],1)</f>
        <v>2</v>
      </c>
      <c r="X1916" s="2">
        <f>MATCH(Auto_Sales_data___Copy[[#This Row],[Total_Orders_Per_Customer]],Table2[F-Cutoff],1)</f>
        <v>4</v>
      </c>
      <c r="Y1916" s="2">
        <f>MATCH(Auto_Sales_data___Copy[[#This Row],[Total_Sales_Per_Customer]],Table2[M-Cutoff],1)</f>
        <v>4</v>
      </c>
      <c r="Z1916" s="2" t="str">
        <f>Auto_Sales_data___Copy[[#This Row],[R-Score(1-5)]]&amp;Auto_Sales_data___Copy[[#This Row],[F-Score(1-5)]]&amp;Auto_Sales_data___Copy[[#This Row],[M-Score(1-5)]]</f>
        <v>244</v>
      </c>
      <c r="AA1916" s="2" t="str" cm="1">
        <f t="array" ref="AA19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6" s="2" t="str">
        <f>VLOOKUP(Auto_Sales_data___Copy[[#This Row],[Segment Name]],Table3[],2,FALSE)</f>
        <v>High-Touch  Win-Back</v>
      </c>
    </row>
    <row r="1917" spans="1:28" x14ac:dyDescent="0.25">
      <c r="A1917">
        <v>10339</v>
      </c>
      <c r="B1917">
        <v>29</v>
      </c>
      <c r="C1917">
        <v>99.69</v>
      </c>
      <c r="D1917">
        <v>14</v>
      </c>
      <c r="E1917">
        <v>2891.01</v>
      </c>
      <c r="F1917" s="1">
        <v>43792</v>
      </c>
      <c r="G1917" s="2" t="s">
        <v>19</v>
      </c>
      <c r="H1917" s="2" t="s">
        <v>589</v>
      </c>
      <c r="I1917">
        <v>65</v>
      </c>
      <c r="J1917" s="2" t="s">
        <v>684</v>
      </c>
      <c r="K1917" s="2" t="s">
        <v>256</v>
      </c>
      <c r="L1917" s="2" t="s">
        <v>257</v>
      </c>
      <c r="M1917" s="2" t="s">
        <v>258</v>
      </c>
      <c r="N1917" s="2" t="s">
        <v>259</v>
      </c>
      <c r="O1917" s="2" t="s">
        <v>260</v>
      </c>
      <c r="P1917" s="2" t="s">
        <v>261</v>
      </c>
      <c r="Q1917" s="2" t="s">
        <v>262</v>
      </c>
      <c r="R1917" s="2" t="s">
        <v>263</v>
      </c>
      <c r="S1917" s="2" t="s">
        <v>30</v>
      </c>
      <c r="T1917">
        <v>2041</v>
      </c>
      <c r="U1917">
        <f>VLOOKUP(Auto_Sales_data___Copy[[#This Row],[CUSTOMER_NAME]],$AF$2:$AH$90,2,FALSE)</f>
        <v>32</v>
      </c>
      <c r="V1917">
        <f>VLOOKUP(Auto_Sales_data___Copy[[#This Row],[CUSTOMER_NAME]],$AF$2:$AH$90,3,FALSE)</f>
        <v>120562.74000000002</v>
      </c>
      <c r="W1917" s="2">
        <f>6-MATCH(Auto_Sales_data___Copy[[#This Row],[DAYS_SINCE_LAST_ORDER]],Table2[R-Cutoff],1)</f>
        <v>2</v>
      </c>
      <c r="X1917" s="2">
        <f>MATCH(Auto_Sales_data___Copy[[#This Row],[Total_Orders_Per_Customer]],Table2[F-Cutoff],1)</f>
        <v>4</v>
      </c>
      <c r="Y1917" s="2">
        <f>MATCH(Auto_Sales_data___Copy[[#This Row],[Total_Sales_Per_Customer]],Table2[M-Cutoff],1)</f>
        <v>4</v>
      </c>
      <c r="Z1917" s="2" t="str">
        <f>Auto_Sales_data___Copy[[#This Row],[R-Score(1-5)]]&amp;Auto_Sales_data___Copy[[#This Row],[F-Score(1-5)]]&amp;Auto_Sales_data___Copy[[#This Row],[M-Score(1-5)]]</f>
        <v>244</v>
      </c>
      <c r="AA1917" s="2" t="str" cm="1">
        <f t="array" ref="AA19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7" s="2" t="str">
        <f>VLOOKUP(Auto_Sales_data___Copy[[#This Row],[Segment Name]],Table3[],2,FALSE)</f>
        <v>High-Touch  Win-Back</v>
      </c>
    </row>
    <row r="1918" spans="1:28" x14ac:dyDescent="0.25">
      <c r="A1918">
        <v>10339</v>
      </c>
      <c r="B1918">
        <v>42</v>
      </c>
      <c r="C1918">
        <v>59.36</v>
      </c>
      <c r="D1918">
        <v>16</v>
      </c>
      <c r="E1918">
        <v>2493.12</v>
      </c>
      <c r="F1918" s="1">
        <v>43792</v>
      </c>
      <c r="G1918" s="2" t="s">
        <v>19</v>
      </c>
      <c r="H1918" s="2" t="s">
        <v>589</v>
      </c>
      <c r="I1918">
        <v>83</v>
      </c>
      <c r="J1918" s="2" t="s">
        <v>686</v>
      </c>
      <c r="K1918" s="2" t="s">
        <v>256</v>
      </c>
      <c r="L1918" s="2" t="s">
        <v>257</v>
      </c>
      <c r="M1918" s="2" t="s">
        <v>258</v>
      </c>
      <c r="N1918" s="2" t="s">
        <v>259</v>
      </c>
      <c r="O1918" s="2" t="s">
        <v>260</v>
      </c>
      <c r="P1918" s="2" t="s">
        <v>261</v>
      </c>
      <c r="Q1918" s="2" t="s">
        <v>262</v>
      </c>
      <c r="R1918" s="2" t="s">
        <v>263</v>
      </c>
      <c r="S1918" s="2" t="s">
        <v>30</v>
      </c>
      <c r="T1918">
        <v>2090</v>
      </c>
      <c r="U1918">
        <f>VLOOKUP(Auto_Sales_data___Copy[[#This Row],[CUSTOMER_NAME]],$AF$2:$AH$90,2,FALSE)</f>
        <v>32</v>
      </c>
      <c r="V1918">
        <f>VLOOKUP(Auto_Sales_data___Copy[[#This Row],[CUSTOMER_NAME]],$AF$2:$AH$90,3,FALSE)</f>
        <v>120562.74000000002</v>
      </c>
      <c r="W1918" s="2">
        <f>6-MATCH(Auto_Sales_data___Copy[[#This Row],[DAYS_SINCE_LAST_ORDER]],Table2[R-Cutoff],1)</f>
        <v>2</v>
      </c>
      <c r="X1918" s="2">
        <f>MATCH(Auto_Sales_data___Copy[[#This Row],[Total_Orders_Per_Customer]],Table2[F-Cutoff],1)</f>
        <v>4</v>
      </c>
      <c r="Y1918" s="2">
        <f>MATCH(Auto_Sales_data___Copy[[#This Row],[Total_Sales_Per_Customer]],Table2[M-Cutoff],1)</f>
        <v>4</v>
      </c>
      <c r="Z1918" s="2" t="str">
        <f>Auto_Sales_data___Copy[[#This Row],[R-Score(1-5)]]&amp;Auto_Sales_data___Copy[[#This Row],[F-Score(1-5)]]&amp;Auto_Sales_data___Copy[[#This Row],[M-Score(1-5)]]</f>
        <v>244</v>
      </c>
      <c r="AA1918" s="2" t="str" cm="1">
        <f t="array" ref="AA19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8" s="2" t="str">
        <f>VLOOKUP(Auto_Sales_data___Copy[[#This Row],[Segment Name]],Table3[],2,FALSE)</f>
        <v>High-Touch  Win-Back</v>
      </c>
    </row>
    <row r="1919" spans="1:28" x14ac:dyDescent="0.25">
      <c r="A1919">
        <v>10339</v>
      </c>
      <c r="B1919">
        <v>45</v>
      </c>
      <c r="C1919">
        <v>96.92</v>
      </c>
      <c r="D1919">
        <v>11</v>
      </c>
      <c r="E1919">
        <v>4361.3999999999996</v>
      </c>
      <c r="F1919" s="1">
        <v>43792</v>
      </c>
      <c r="G1919" s="2" t="s">
        <v>19</v>
      </c>
      <c r="H1919" s="2" t="s">
        <v>607</v>
      </c>
      <c r="I1919">
        <v>68</v>
      </c>
      <c r="J1919" s="2" t="s">
        <v>688</v>
      </c>
      <c r="K1919" s="2" t="s">
        <v>256</v>
      </c>
      <c r="L1919" s="2" t="s">
        <v>257</v>
      </c>
      <c r="M1919" s="2" t="s">
        <v>258</v>
      </c>
      <c r="N1919" s="2" t="s">
        <v>259</v>
      </c>
      <c r="O1919" s="2" t="s">
        <v>260</v>
      </c>
      <c r="P1919" s="2" t="s">
        <v>261</v>
      </c>
      <c r="Q1919" s="2" t="s">
        <v>262</v>
      </c>
      <c r="R1919" s="2" t="s">
        <v>263</v>
      </c>
      <c r="S1919" s="2" t="s">
        <v>46</v>
      </c>
      <c r="T1919">
        <v>2142</v>
      </c>
      <c r="U1919">
        <f>VLOOKUP(Auto_Sales_data___Copy[[#This Row],[CUSTOMER_NAME]],$AF$2:$AH$90,2,FALSE)</f>
        <v>32</v>
      </c>
      <c r="V1919">
        <f>VLOOKUP(Auto_Sales_data___Copy[[#This Row],[CUSTOMER_NAME]],$AF$2:$AH$90,3,FALSE)</f>
        <v>120562.74000000002</v>
      </c>
      <c r="W1919" s="2">
        <f>6-MATCH(Auto_Sales_data___Copy[[#This Row],[DAYS_SINCE_LAST_ORDER]],Table2[R-Cutoff],1)</f>
        <v>2</v>
      </c>
      <c r="X1919" s="2">
        <f>MATCH(Auto_Sales_data___Copy[[#This Row],[Total_Orders_Per_Customer]],Table2[F-Cutoff],1)</f>
        <v>4</v>
      </c>
      <c r="Y1919" s="2">
        <f>MATCH(Auto_Sales_data___Copy[[#This Row],[Total_Sales_Per_Customer]],Table2[M-Cutoff],1)</f>
        <v>4</v>
      </c>
      <c r="Z1919" s="2" t="str">
        <f>Auto_Sales_data___Copy[[#This Row],[R-Score(1-5)]]&amp;Auto_Sales_data___Copy[[#This Row],[F-Score(1-5)]]&amp;Auto_Sales_data___Copy[[#This Row],[M-Score(1-5)]]</f>
        <v>244</v>
      </c>
      <c r="AA1919" s="2" t="str" cm="1">
        <f t="array" ref="AA19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9" s="2" t="str">
        <f>VLOOKUP(Auto_Sales_data___Copy[[#This Row],[Segment Name]],Table3[],2,FALSE)</f>
        <v>High-Touch  Win-Back</v>
      </c>
    </row>
    <row r="1920" spans="1:28" x14ac:dyDescent="0.25">
      <c r="A1920">
        <v>10342</v>
      </c>
      <c r="B1920">
        <v>42</v>
      </c>
      <c r="C1920">
        <v>119.37</v>
      </c>
      <c r="D1920">
        <v>6</v>
      </c>
      <c r="E1920">
        <v>5013.54</v>
      </c>
      <c r="F1920" s="1">
        <v>43793</v>
      </c>
      <c r="G1920" s="2" t="s">
        <v>19</v>
      </c>
      <c r="H1920" s="2" t="s">
        <v>183</v>
      </c>
      <c r="I1920">
        <v>140</v>
      </c>
      <c r="J1920" s="2" t="s">
        <v>687</v>
      </c>
      <c r="K1920" s="2" t="s">
        <v>82</v>
      </c>
      <c r="L1920" s="2" t="s">
        <v>83</v>
      </c>
      <c r="M1920" s="2" t="s">
        <v>84</v>
      </c>
      <c r="N1920" s="2" t="s">
        <v>85</v>
      </c>
      <c r="O1920" s="2" t="s">
        <v>86</v>
      </c>
      <c r="P1920" s="2" t="s">
        <v>87</v>
      </c>
      <c r="Q1920" s="2" t="s">
        <v>88</v>
      </c>
      <c r="R1920" s="2" t="s">
        <v>89</v>
      </c>
      <c r="S1920" s="2" t="s">
        <v>46</v>
      </c>
      <c r="T1920">
        <v>2115</v>
      </c>
      <c r="U1920">
        <f>VLOOKUP(Auto_Sales_data___Copy[[#This Row],[CUSTOMER_NAME]],$AF$2:$AH$90,2,FALSE)</f>
        <v>55</v>
      </c>
      <c r="V1920">
        <f>VLOOKUP(Auto_Sales_data___Copy[[#This Row],[CUSTOMER_NAME]],$AF$2:$AH$90,3,FALSE)</f>
        <v>200995.41000000006</v>
      </c>
      <c r="W1920" s="2">
        <f>6-MATCH(Auto_Sales_data___Copy[[#This Row],[DAYS_SINCE_LAST_ORDER]],Table2[R-Cutoff],1)</f>
        <v>2</v>
      </c>
      <c r="X1920" s="2">
        <f>MATCH(Auto_Sales_data___Copy[[#This Row],[Total_Orders_Per_Customer]],Table2[F-Cutoff],1)</f>
        <v>4</v>
      </c>
      <c r="Y1920" s="2">
        <f>MATCH(Auto_Sales_data___Copy[[#This Row],[Total_Sales_Per_Customer]],Table2[M-Cutoff],1)</f>
        <v>4</v>
      </c>
      <c r="Z1920" s="2" t="str">
        <f>Auto_Sales_data___Copy[[#This Row],[R-Score(1-5)]]&amp;Auto_Sales_data___Copy[[#This Row],[F-Score(1-5)]]&amp;Auto_Sales_data___Copy[[#This Row],[M-Score(1-5)]]</f>
        <v>244</v>
      </c>
      <c r="AA1920" s="2" t="str" cm="1">
        <f t="array" ref="AA19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0" s="2" t="str">
        <f>VLOOKUP(Auto_Sales_data___Copy[[#This Row],[Segment Name]],Table3[],2,FALSE)</f>
        <v>High-Touch  Win-Back</v>
      </c>
    </row>
    <row r="1921" spans="1:28" x14ac:dyDescent="0.25">
      <c r="A1921">
        <v>10343</v>
      </c>
      <c r="B1921">
        <v>30</v>
      </c>
      <c r="C1921">
        <v>103.29</v>
      </c>
      <c r="D1921">
        <v>1</v>
      </c>
      <c r="E1921">
        <v>3098.7</v>
      </c>
      <c r="F1921" s="1">
        <v>43793</v>
      </c>
      <c r="G1921" s="2" t="s">
        <v>19</v>
      </c>
      <c r="H1921" s="2" t="s">
        <v>183</v>
      </c>
      <c r="I1921">
        <v>80</v>
      </c>
      <c r="J1921" s="2" t="s">
        <v>693</v>
      </c>
      <c r="K1921" s="2" t="s">
        <v>31</v>
      </c>
      <c r="L1921" s="2" t="s">
        <v>32</v>
      </c>
      <c r="M1921" s="2" t="s">
        <v>33</v>
      </c>
      <c r="N1921" s="2" t="s">
        <v>34</v>
      </c>
      <c r="O1921" s="2" t="s">
        <v>35</v>
      </c>
      <c r="P1921" s="2" t="s">
        <v>36</v>
      </c>
      <c r="Q1921" s="2" t="s">
        <v>37</v>
      </c>
      <c r="R1921" s="2" t="s">
        <v>38</v>
      </c>
      <c r="S1921" s="2" t="s">
        <v>46</v>
      </c>
      <c r="T1921">
        <v>2262</v>
      </c>
      <c r="U1921">
        <f>VLOOKUP(Auto_Sales_data___Copy[[#This Row],[CUSTOMER_NAME]],$AF$2:$AH$90,2,FALSE)</f>
        <v>41</v>
      </c>
      <c r="V1921">
        <f>VLOOKUP(Auto_Sales_data___Copy[[#This Row],[CUSTOMER_NAME]],$AF$2:$AH$90,3,FALSE)</f>
        <v>135042.94</v>
      </c>
      <c r="W1921" s="2">
        <f>6-MATCH(Auto_Sales_data___Copy[[#This Row],[DAYS_SINCE_LAST_ORDER]],Table2[R-Cutoff],1)</f>
        <v>2</v>
      </c>
      <c r="X1921" s="2">
        <f>MATCH(Auto_Sales_data___Copy[[#This Row],[Total_Orders_Per_Customer]],Table2[F-Cutoff],1)</f>
        <v>4</v>
      </c>
      <c r="Y1921" s="2">
        <f>MATCH(Auto_Sales_data___Copy[[#This Row],[Total_Sales_Per_Customer]],Table2[M-Cutoff],1)</f>
        <v>4</v>
      </c>
      <c r="Z1921" s="2" t="str">
        <f>Auto_Sales_data___Copy[[#This Row],[R-Score(1-5)]]&amp;Auto_Sales_data___Copy[[#This Row],[F-Score(1-5)]]&amp;Auto_Sales_data___Copy[[#This Row],[M-Score(1-5)]]</f>
        <v>244</v>
      </c>
      <c r="AA1921" s="2" t="str" cm="1">
        <f t="array" ref="AA19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1" s="2" t="str">
        <f>VLOOKUP(Auto_Sales_data___Copy[[#This Row],[Segment Name]],Table3[],2,FALSE)</f>
        <v>High-Touch  Win-Back</v>
      </c>
    </row>
    <row r="1922" spans="1:28" x14ac:dyDescent="0.25">
      <c r="A1922">
        <v>10343</v>
      </c>
      <c r="B1922">
        <v>29</v>
      </c>
      <c r="C1922">
        <v>128.04</v>
      </c>
      <c r="D1922">
        <v>5</v>
      </c>
      <c r="E1922">
        <v>3713.16</v>
      </c>
      <c r="F1922" s="1">
        <v>43793</v>
      </c>
      <c r="G1922" s="2" t="s">
        <v>19</v>
      </c>
      <c r="H1922" s="2" t="s">
        <v>20</v>
      </c>
      <c r="I1922">
        <v>40</v>
      </c>
      <c r="J1922" s="2" t="s">
        <v>696</v>
      </c>
      <c r="K1922" s="2" t="s">
        <v>31</v>
      </c>
      <c r="L1922" s="2" t="s">
        <v>32</v>
      </c>
      <c r="M1922" s="2" t="s">
        <v>33</v>
      </c>
      <c r="N1922" s="2" t="s">
        <v>34</v>
      </c>
      <c r="O1922" s="2" t="s">
        <v>35</v>
      </c>
      <c r="P1922" s="2" t="s">
        <v>36</v>
      </c>
      <c r="Q1922" s="2" t="s">
        <v>37</v>
      </c>
      <c r="R1922" s="2" t="s">
        <v>38</v>
      </c>
      <c r="S1922" s="2" t="s">
        <v>46</v>
      </c>
      <c r="T1922">
        <v>2336</v>
      </c>
      <c r="U1922">
        <f>VLOOKUP(Auto_Sales_data___Copy[[#This Row],[CUSTOMER_NAME]],$AF$2:$AH$90,2,FALSE)</f>
        <v>41</v>
      </c>
      <c r="V1922">
        <f>VLOOKUP(Auto_Sales_data___Copy[[#This Row],[CUSTOMER_NAME]],$AF$2:$AH$90,3,FALSE)</f>
        <v>135042.94</v>
      </c>
      <c r="W1922" s="2">
        <f>6-MATCH(Auto_Sales_data___Copy[[#This Row],[DAYS_SINCE_LAST_ORDER]],Table2[R-Cutoff],1)</f>
        <v>2</v>
      </c>
      <c r="X1922" s="2">
        <f>MATCH(Auto_Sales_data___Copy[[#This Row],[Total_Orders_Per_Customer]],Table2[F-Cutoff],1)</f>
        <v>4</v>
      </c>
      <c r="Y1922" s="2">
        <f>MATCH(Auto_Sales_data___Copy[[#This Row],[Total_Sales_Per_Customer]],Table2[M-Cutoff],1)</f>
        <v>4</v>
      </c>
      <c r="Z1922" s="2" t="str">
        <f>Auto_Sales_data___Copy[[#This Row],[R-Score(1-5)]]&amp;Auto_Sales_data___Copy[[#This Row],[F-Score(1-5)]]&amp;Auto_Sales_data___Copy[[#This Row],[M-Score(1-5)]]</f>
        <v>244</v>
      </c>
      <c r="AA1922" s="2" t="str" cm="1">
        <f t="array" ref="AA19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2" s="2" t="str">
        <f>VLOOKUP(Auto_Sales_data___Copy[[#This Row],[Segment Name]],Table3[],2,FALSE)</f>
        <v>High-Touch  Win-Back</v>
      </c>
    </row>
    <row r="1923" spans="1:28" x14ac:dyDescent="0.25">
      <c r="A1923">
        <v>10341</v>
      </c>
      <c r="B1923">
        <v>31</v>
      </c>
      <c r="C1923">
        <v>71.02</v>
      </c>
      <c r="D1923">
        <v>4</v>
      </c>
      <c r="E1923">
        <v>2201.62</v>
      </c>
      <c r="F1923" s="1">
        <v>43793</v>
      </c>
      <c r="G1923" s="2" t="s">
        <v>19</v>
      </c>
      <c r="H1923" s="2" t="s">
        <v>20</v>
      </c>
      <c r="I1923">
        <v>102</v>
      </c>
      <c r="J1923" s="2" t="s">
        <v>701</v>
      </c>
      <c r="K1923" s="2" t="s">
        <v>143</v>
      </c>
      <c r="L1923" s="2" t="s">
        <v>144</v>
      </c>
      <c r="M1923" s="2" t="s">
        <v>145</v>
      </c>
      <c r="N1923" s="2" t="s">
        <v>146</v>
      </c>
      <c r="O1923" s="2" t="s">
        <v>147</v>
      </c>
      <c r="P1923" s="2" t="s">
        <v>148</v>
      </c>
      <c r="Q1923" s="2" t="s">
        <v>149</v>
      </c>
      <c r="R1923" s="2" t="s">
        <v>150</v>
      </c>
      <c r="S1923" s="2" t="s">
        <v>30</v>
      </c>
      <c r="T1923">
        <v>2464</v>
      </c>
      <c r="U1923">
        <f>VLOOKUP(Auto_Sales_data___Copy[[#This Row],[CUSTOMER_NAME]],$AF$2:$AH$90,2,FALSE)</f>
        <v>40</v>
      </c>
      <c r="V1923">
        <f>VLOOKUP(Auto_Sales_data___Copy[[#This Row],[CUSTOMER_NAME]],$AF$2:$AH$90,3,FALSE)</f>
        <v>149798.63</v>
      </c>
      <c r="W1923" s="2">
        <f>6-MATCH(Auto_Sales_data___Copy[[#This Row],[DAYS_SINCE_LAST_ORDER]],Table2[R-Cutoff],1)</f>
        <v>2</v>
      </c>
      <c r="X1923" s="2">
        <f>MATCH(Auto_Sales_data___Copy[[#This Row],[Total_Orders_Per_Customer]],Table2[F-Cutoff],1)</f>
        <v>4</v>
      </c>
      <c r="Y1923" s="2">
        <f>MATCH(Auto_Sales_data___Copy[[#This Row],[Total_Sales_Per_Customer]],Table2[M-Cutoff],1)</f>
        <v>4</v>
      </c>
      <c r="Z1923" s="2" t="str">
        <f>Auto_Sales_data___Copy[[#This Row],[R-Score(1-5)]]&amp;Auto_Sales_data___Copy[[#This Row],[F-Score(1-5)]]&amp;Auto_Sales_data___Copy[[#This Row],[M-Score(1-5)]]</f>
        <v>244</v>
      </c>
      <c r="AA1923" s="2" t="str" cm="1">
        <f t="array" ref="AA19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3" s="2" t="str">
        <f>VLOOKUP(Auto_Sales_data___Copy[[#This Row],[Segment Name]],Table3[],2,FALSE)</f>
        <v>High-Touch  Win-Back</v>
      </c>
    </row>
    <row r="1924" spans="1:28" x14ac:dyDescent="0.25">
      <c r="A1924">
        <v>10341</v>
      </c>
      <c r="B1924">
        <v>38</v>
      </c>
      <c r="C1924">
        <v>123.22</v>
      </c>
      <c r="D1924">
        <v>3</v>
      </c>
      <c r="E1924">
        <v>4682.3599999999997</v>
      </c>
      <c r="F1924" s="1">
        <v>43793</v>
      </c>
      <c r="G1924" s="2" t="s">
        <v>19</v>
      </c>
      <c r="H1924" s="2" t="s">
        <v>20</v>
      </c>
      <c r="I1924">
        <v>81</v>
      </c>
      <c r="J1924" s="2" t="s">
        <v>705</v>
      </c>
      <c r="K1924" s="2" t="s">
        <v>143</v>
      </c>
      <c r="L1924" s="2" t="s">
        <v>144</v>
      </c>
      <c r="M1924" s="2" t="s">
        <v>145</v>
      </c>
      <c r="N1924" s="2" t="s">
        <v>146</v>
      </c>
      <c r="O1924" s="2" t="s">
        <v>147</v>
      </c>
      <c r="P1924" s="2" t="s">
        <v>148</v>
      </c>
      <c r="Q1924" s="2" t="s">
        <v>149</v>
      </c>
      <c r="R1924" s="2" t="s">
        <v>150</v>
      </c>
      <c r="S1924" s="2" t="s">
        <v>46</v>
      </c>
      <c r="T1924">
        <v>2568</v>
      </c>
      <c r="U1924">
        <f>VLOOKUP(Auto_Sales_data___Copy[[#This Row],[CUSTOMER_NAME]],$AF$2:$AH$90,2,FALSE)</f>
        <v>40</v>
      </c>
      <c r="V1924">
        <f>VLOOKUP(Auto_Sales_data___Copy[[#This Row],[CUSTOMER_NAME]],$AF$2:$AH$90,3,FALSE)</f>
        <v>149798.63</v>
      </c>
      <c r="W1924" s="2">
        <f>6-MATCH(Auto_Sales_data___Copy[[#This Row],[DAYS_SINCE_LAST_ORDER]],Table2[R-Cutoff],1)</f>
        <v>2</v>
      </c>
      <c r="X1924" s="2">
        <f>MATCH(Auto_Sales_data___Copy[[#This Row],[Total_Orders_Per_Customer]],Table2[F-Cutoff],1)</f>
        <v>4</v>
      </c>
      <c r="Y1924" s="2">
        <f>MATCH(Auto_Sales_data___Copy[[#This Row],[Total_Sales_Per_Customer]],Table2[M-Cutoff],1)</f>
        <v>4</v>
      </c>
      <c r="Z1924" s="2" t="str">
        <f>Auto_Sales_data___Copy[[#This Row],[R-Score(1-5)]]&amp;Auto_Sales_data___Copy[[#This Row],[F-Score(1-5)]]&amp;Auto_Sales_data___Copy[[#This Row],[M-Score(1-5)]]</f>
        <v>244</v>
      </c>
      <c r="AA1924" s="2" t="str" cm="1">
        <f t="array" ref="AA19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4" s="2" t="str">
        <f>VLOOKUP(Auto_Sales_data___Copy[[#This Row],[Segment Name]],Table3[],2,FALSE)</f>
        <v>High-Touch  Win-Back</v>
      </c>
    </row>
    <row r="1925" spans="1:28" x14ac:dyDescent="0.25">
      <c r="A1925">
        <v>10349</v>
      </c>
      <c r="B1925">
        <v>23</v>
      </c>
      <c r="C1925">
        <v>138.38999999999999</v>
      </c>
      <c r="D1925">
        <v>2</v>
      </c>
      <c r="E1925">
        <v>3182.97</v>
      </c>
      <c r="F1925" s="1">
        <v>43800</v>
      </c>
      <c r="G1925" s="2" t="s">
        <v>19</v>
      </c>
      <c r="H1925" s="2" t="s">
        <v>183</v>
      </c>
      <c r="I1925">
        <v>118</v>
      </c>
      <c r="J1925" s="2" t="s">
        <v>690</v>
      </c>
      <c r="K1925" s="2" t="s">
        <v>506</v>
      </c>
      <c r="L1925" s="2" t="s">
        <v>507</v>
      </c>
      <c r="M1925" s="2" t="s">
        <v>508</v>
      </c>
      <c r="N1925" s="2" t="s">
        <v>25</v>
      </c>
      <c r="O1925" s="2" t="s">
        <v>26</v>
      </c>
      <c r="P1925" s="2" t="s">
        <v>27</v>
      </c>
      <c r="Q1925" s="2" t="s">
        <v>52</v>
      </c>
      <c r="R1925" s="2" t="s">
        <v>509</v>
      </c>
      <c r="S1925" s="2" t="s">
        <v>46</v>
      </c>
      <c r="T1925">
        <v>2183</v>
      </c>
      <c r="U1925">
        <f>VLOOKUP(Auto_Sales_data___Copy[[#This Row],[CUSTOMER_NAME]],$AF$2:$AH$90,2,FALSE)</f>
        <v>48</v>
      </c>
      <c r="V1925">
        <f>VLOOKUP(Auto_Sales_data___Copy[[#This Row],[CUSTOMER_NAME]],$AF$2:$AH$90,3,FALSE)</f>
        <v>197736.93999999997</v>
      </c>
      <c r="W1925" s="2">
        <f>6-MATCH(Auto_Sales_data___Copy[[#This Row],[DAYS_SINCE_LAST_ORDER]],Table2[R-Cutoff],1)</f>
        <v>2</v>
      </c>
      <c r="X1925" s="2">
        <f>MATCH(Auto_Sales_data___Copy[[#This Row],[Total_Orders_Per_Customer]],Table2[F-Cutoff],1)</f>
        <v>4</v>
      </c>
      <c r="Y1925" s="2">
        <f>MATCH(Auto_Sales_data___Copy[[#This Row],[Total_Sales_Per_Customer]],Table2[M-Cutoff],1)</f>
        <v>4</v>
      </c>
      <c r="Z1925" s="2" t="str">
        <f>Auto_Sales_data___Copy[[#This Row],[R-Score(1-5)]]&amp;Auto_Sales_data___Copy[[#This Row],[F-Score(1-5)]]&amp;Auto_Sales_data___Copy[[#This Row],[M-Score(1-5)]]</f>
        <v>244</v>
      </c>
      <c r="AA1925" s="2" t="str" cm="1">
        <f t="array" ref="AA19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5" s="2" t="str">
        <f>VLOOKUP(Auto_Sales_data___Copy[[#This Row],[Segment Name]],Table3[],2,FALSE)</f>
        <v>High-Touch  Win-Back</v>
      </c>
    </row>
    <row r="1926" spans="1:28" x14ac:dyDescent="0.25">
      <c r="A1926">
        <v>10349</v>
      </c>
      <c r="B1926">
        <v>33</v>
      </c>
      <c r="C1926">
        <v>46.53</v>
      </c>
      <c r="D1926">
        <v>1</v>
      </c>
      <c r="E1926">
        <v>1535.49</v>
      </c>
      <c r="F1926" s="1">
        <v>43800</v>
      </c>
      <c r="G1926" s="2" t="s">
        <v>19</v>
      </c>
      <c r="H1926" s="2" t="s">
        <v>537</v>
      </c>
      <c r="I1926">
        <v>54</v>
      </c>
      <c r="J1926" s="2" t="s">
        <v>697</v>
      </c>
      <c r="K1926" s="2" t="s">
        <v>506</v>
      </c>
      <c r="L1926" s="2" t="s">
        <v>507</v>
      </c>
      <c r="M1926" s="2" t="s">
        <v>508</v>
      </c>
      <c r="N1926" s="2" t="s">
        <v>25</v>
      </c>
      <c r="O1926" s="2" t="s">
        <v>26</v>
      </c>
      <c r="P1926" s="2" t="s">
        <v>27</v>
      </c>
      <c r="Q1926" s="2" t="s">
        <v>52</v>
      </c>
      <c r="R1926" s="2" t="s">
        <v>509</v>
      </c>
      <c r="S1926" s="2" t="s">
        <v>30</v>
      </c>
      <c r="T1926">
        <v>2356</v>
      </c>
      <c r="U1926">
        <f>VLOOKUP(Auto_Sales_data___Copy[[#This Row],[CUSTOMER_NAME]],$AF$2:$AH$90,2,FALSE)</f>
        <v>48</v>
      </c>
      <c r="V1926">
        <f>VLOOKUP(Auto_Sales_data___Copy[[#This Row],[CUSTOMER_NAME]],$AF$2:$AH$90,3,FALSE)</f>
        <v>197736.93999999997</v>
      </c>
      <c r="W1926" s="2">
        <f>6-MATCH(Auto_Sales_data___Copy[[#This Row],[DAYS_SINCE_LAST_ORDER]],Table2[R-Cutoff],1)</f>
        <v>2</v>
      </c>
      <c r="X1926" s="2">
        <f>MATCH(Auto_Sales_data___Copy[[#This Row],[Total_Orders_Per_Customer]],Table2[F-Cutoff],1)</f>
        <v>4</v>
      </c>
      <c r="Y1926" s="2">
        <f>MATCH(Auto_Sales_data___Copy[[#This Row],[Total_Sales_Per_Customer]],Table2[M-Cutoff],1)</f>
        <v>4</v>
      </c>
      <c r="Z1926" s="2" t="str">
        <f>Auto_Sales_data___Copy[[#This Row],[R-Score(1-5)]]&amp;Auto_Sales_data___Copy[[#This Row],[F-Score(1-5)]]&amp;Auto_Sales_data___Copy[[#This Row],[M-Score(1-5)]]</f>
        <v>244</v>
      </c>
      <c r="AA1926" s="2" t="str" cm="1">
        <f t="array" ref="AA19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6" s="2" t="str">
        <f>VLOOKUP(Auto_Sales_data___Copy[[#This Row],[Segment Name]],Table3[],2,FALSE)</f>
        <v>High-Touch  Win-Back</v>
      </c>
    </row>
    <row r="1927" spans="1:28" x14ac:dyDescent="0.25">
      <c r="A1927">
        <v>10359</v>
      </c>
      <c r="B1927">
        <v>22</v>
      </c>
      <c r="C1927">
        <v>118.32</v>
      </c>
      <c r="D1927">
        <v>7</v>
      </c>
      <c r="E1927">
        <v>2603.04</v>
      </c>
      <c r="F1927" s="1">
        <v>43814</v>
      </c>
      <c r="G1927" s="2" t="s">
        <v>19</v>
      </c>
      <c r="H1927" s="2" t="s">
        <v>183</v>
      </c>
      <c r="I1927">
        <v>118</v>
      </c>
      <c r="J1927" s="2" t="s">
        <v>690</v>
      </c>
      <c r="K1927" s="2" t="s">
        <v>31</v>
      </c>
      <c r="L1927" s="2" t="s">
        <v>32</v>
      </c>
      <c r="M1927" s="2" t="s">
        <v>33</v>
      </c>
      <c r="N1927" s="2" t="s">
        <v>34</v>
      </c>
      <c r="O1927" s="2" t="s">
        <v>35</v>
      </c>
      <c r="P1927" s="2" t="s">
        <v>36</v>
      </c>
      <c r="Q1927" s="2" t="s">
        <v>37</v>
      </c>
      <c r="R1927" s="2" t="s">
        <v>38</v>
      </c>
      <c r="S1927" s="2" t="s">
        <v>30</v>
      </c>
      <c r="T1927">
        <v>2170</v>
      </c>
      <c r="U1927">
        <f>VLOOKUP(Auto_Sales_data___Copy[[#This Row],[CUSTOMER_NAME]],$AF$2:$AH$90,2,FALSE)</f>
        <v>41</v>
      </c>
      <c r="V1927">
        <f>VLOOKUP(Auto_Sales_data___Copy[[#This Row],[CUSTOMER_NAME]],$AF$2:$AH$90,3,FALSE)</f>
        <v>135042.94</v>
      </c>
      <c r="W1927" s="2">
        <f>6-MATCH(Auto_Sales_data___Copy[[#This Row],[DAYS_SINCE_LAST_ORDER]],Table2[R-Cutoff],1)</f>
        <v>2</v>
      </c>
      <c r="X1927" s="2">
        <f>MATCH(Auto_Sales_data___Copy[[#This Row],[Total_Orders_Per_Customer]],Table2[F-Cutoff],1)</f>
        <v>4</v>
      </c>
      <c r="Y1927" s="2">
        <f>MATCH(Auto_Sales_data___Copy[[#This Row],[Total_Sales_Per_Customer]],Table2[M-Cutoff],1)</f>
        <v>4</v>
      </c>
      <c r="Z1927" s="2" t="str">
        <f>Auto_Sales_data___Copy[[#This Row],[R-Score(1-5)]]&amp;Auto_Sales_data___Copy[[#This Row],[F-Score(1-5)]]&amp;Auto_Sales_data___Copy[[#This Row],[M-Score(1-5)]]</f>
        <v>244</v>
      </c>
      <c r="AA1927" s="2" t="str" cm="1">
        <f t="array" ref="AA19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7" s="2" t="str">
        <f>VLOOKUP(Auto_Sales_data___Copy[[#This Row],[Segment Name]],Table3[],2,FALSE)</f>
        <v>High-Touch  Win-Back</v>
      </c>
    </row>
    <row r="1928" spans="1:28" x14ac:dyDescent="0.25">
      <c r="A1928">
        <v>10359</v>
      </c>
      <c r="B1928">
        <v>36</v>
      </c>
      <c r="C1928">
        <v>176.63</v>
      </c>
      <c r="D1928">
        <v>3</v>
      </c>
      <c r="E1928">
        <v>6358.68</v>
      </c>
      <c r="F1928" s="1">
        <v>43814</v>
      </c>
      <c r="G1928" s="2" t="s">
        <v>19</v>
      </c>
      <c r="H1928" s="2" t="s">
        <v>537</v>
      </c>
      <c r="I1928">
        <v>54</v>
      </c>
      <c r="J1928" s="2" t="s">
        <v>697</v>
      </c>
      <c r="K1928" s="2" t="s">
        <v>31</v>
      </c>
      <c r="L1928" s="2" t="s">
        <v>32</v>
      </c>
      <c r="M1928" s="2" t="s">
        <v>33</v>
      </c>
      <c r="N1928" s="2" t="s">
        <v>34</v>
      </c>
      <c r="O1928" s="2" t="s">
        <v>35</v>
      </c>
      <c r="P1928" s="2" t="s">
        <v>36</v>
      </c>
      <c r="Q1928" s="2" t="s">
        <v>37</v>
      </c>
      <c r="R1928" s="2" t="s">
        <v>38</v>
      </c>
      <c r="S1928" s="2" t="s">
        <v>46</v>
      </c>
      <c r="T1928">
        <v>2343</v>
      </c>
      <c r="U1928">
        <f>VLOOKUP(Auto_Sales_data___Copy[[#This Row],[CUSTOMER_NAME]],$AF$2:$AH$90,2,FALSE)</f>
        <v>41</v>
      </c>
      <c r="V1928">
        <f>VLOOKUP(Auto_Sales_data___Copy[[#This Row],[CUSTOMER_NAME]],$AF$2:$AH$90,3,FALSE)</f>
        <v>135042.94</v>
      </c>
      <c r="W1928" s="2">
        <f>6-MATCH(Auto_Sales_data___Copy[[#This Row],[DAYS_SINCE_LAST_ORDER]],Table2[R-Cutoff],1)</f>
        <v>2</v>
      </c>
      <c r="X1928" s="2">
        <f>MATCH(Auto_Sales_data___Copy[[#This Row],[Total_Orders_Per_Customer]],Table2[F-Cutoff],1)</f>
        <v>4</v>
      </c>
      <c r="Y1928" s="2">
        <f>MATCH(Auto_Sales_data___Copy[[#This Row],[Total_Sales_Per_Customer]],Table2[M-Cutoff],1)</f>
        <v>4</v>
      </c>
      <c r="Z1928" s="2" t="str">
        <f>Auto_Sales_data___Copy[[#This Row],[R-Score(1-5)]]&amp;Auto_Sales_data___Copy[[#This Row],[F-Score(1-5)]]&amp;Auto_Sales_data___Copy[[#This Row],[M-Score(1-5)]]</f>
        <v>244</v>
      </c>
      <c r="AA1928" s="2" t="str" cm="1">
        <f t="array" ref="AA19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8" s="2" t="str">
        <f>VLOOKUP(Auto_Sales_data___Copy[[#This Row],[Segment Name]],Table3[],2,FALSE)</f>
        <v>High-Touch  Win-Back</v>
      </c>
    </row>
    <row r="1929" spans="1:28" x14ac:dyDescent="0.25">
      <c r="A1929">
        <v>10359</v>
      </c>
      <c r="B1929">
        <v>22</v>
      </c>
      <c r="C1929">
        <v>195.51</v>
      </c>
      <c r="D1929">
        <v>1</v>
      </c>
      <c r="E1929">
        <v>4301.22</v>
      </c>
      <c r="F1929" s="1">
        <v>43814</v>
      </c>
      <c r="G1929" s="2" t="s">
        <v>19</v>
      </c>
      <c r="H1929" s="2" t="s">
        <v>650</v>
      </c>
      <c r="I1929">
        <v>62</v>
      </c>
      <c r="J1929" s="2" t="s">
        <v>698</v>
      </c>
      <c r="K1929" s="2" t="s">
        <v>31</v>
      </c>
      <c r="L1929" s="2" t="s">
        <v>32</v>
      </c>
      <c r="M1929" s="2" t="s">
        <v>33</v>
      </c>
      <c r="N1929" s="2" t="s">
        <v>34</v>
      </c>
      <c r="O1929" s="2" t="s">
        <v>35</v>
      </c>
      <c r="P1929" s="2" t="s">
        <v>36</v>
      </c>
      <c r="Q1929" s="2" t="s">
        <v>37</v>
      </c>
      <c r="R1929" s="2" t="s">
        <v>38</v>
      </c>
      <c r="S1929" s="2" t="s">
        <v>46</v>
      </c>
      <c r="T1929">
        <v>2370</v>
      </c>
      <c r="U1929">
        <f>VLOOKUP(Auto_Sales_data___Copy[[#This Row],[CUSTOMER_NAME]],$AF$2:$AH$90,2,FALSE)</f>
        <v>41</v>
      </c>
      <c r="V1929">
        <f>VLOOKUP(Auto_Sales_data___Copy[[#This Row],[CUSTOMER_NAME]],$AF$2:$AH$90,3,FALSE)</f>
        <v>135042.94</v>
      </c>
      <c r="W1929" s="2">
        <f>6-MATCH(Auto_Sales_data___Copy[[#This Row],[DAYS_SINCE_LAST_ORDER]],Table2[R-Cutoff],1)</f>
        <v>2</v>
      </c>
      <c r="X1929" s="2">
        <f>MATCH(Auto_Sales_data___Copy[[#This Row],[Total_Orders_Per_Customer]],Table2[F-Cutoff],1)</f>
        <v>4</v>
      </c>
      <c r="Y1929" s="2">
        <f>MATCH(Auto_Sales_data___Copy[[#This Row],[Total_Sales_Per_Customer]],Table2[M-Cutoff],1)</f>
        <v>4</v>
      </c>
      <c r="Z1929" s="2" t="str">
        <f>Auto_Sales_data___Copy[[#This Row],[R-Score(1-5)]]&amp;Auto_Sales_data___Copy[[#This Row],[F-Score(1-5)]]&amp;Auto_Sales_data___Copy[[#This Row],[M-Score(1-5)]]</f>
        <v>244</v>
      </c>
      <c r="AA1929" s="2" t="str" cm="1">
        <f t="array" ref="AA19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9" s="2" t="str">
        <f>VLOOKUP(Auto_Sales_data___Copy[[#This Row],[Segment Name]],Table3[],2,FALSE)</f>
        <v>High-Touch  Win-Back</v>
      </c>
    </row>
    <row r="1930" spans="1:28" x14ac:dyDescent="0.25">
      <c r="A1930">
        <v>10359</v>
      </c>
      <c r="B1930">
        <v>46</v>
      </c>
      <c r="C1930">
        <v>106.45</v>
      </c>
      <c r="D1930">
        <v>2</v>
      </c>
      <c r="E1930">
        <v>4896.7</v>
      </c>
      <c r="F1930" s="1">
        <v>43814</v>
      </c>
      <c r="G1930" s="2" t="s">
        <v>19</v>
      </c>
      <c r="H1930" s="2" t="s">
        <v>537</v>
      </c>
      <c r="I1930">
        <v>115</v>
      </c>
      <c r="J1930" s="2" t="s">
        <v>703</v>
      </c>
      <c r="K1930" s="2" t="s">
        <v>31</v>
      </c>
      <c r="L1930" s="2" t="s">
        <v>32</v>
      </c>
      <c r="M1930" s="2" t="s">
        <v>33</v>
      </c>
      <c r="N1930" s="2" t="s">
        <v>34</v>
      </c>
      <c r="O1930" s="2" t="s">
        <v>35</v>
      </c>
      <c r="P1930" s="2" t="s">
        <v>36</v>
      </c>
      <c r="Q1930" s="2" t="s">
        <v>37</v>
      </c>
      <c r="R1930" s="2" t="s">
        <v>38</v>
      </c>
      <c r="S1930" s="2" t="s">
        <v>46</v>
      </c>
      <c r="T1930">
        <v>2497</v>
      </c>
      <c r="U1930">
        <f>VLOOKUP(Auto_Sales_data___Copy[[#This Row],[CUSTOMER_NAME]],$AF$2:$AH$90,2,FALSE)</f>
        <v>41</v>
      </c>
      <c r="V1930">
        <f>VLOOKUP(Auto_Sales_data___Copy[[#This Row],[CUSTOMER_NAME]],$AF$2:$AH$90,3,FALSE)</f>
        <v>135042.94</v>
      </c>
      <c r="W1930" s="2">
        <f>6-MATCH(Auto_Sales_data___Copy[[#This Row],[DAYS_SINCE_LAST_ORDER]],Table2[R-Cutoff],1)</f>
        <v>2</v>
      </c>
      <c r="X1930" s="2">
        <f>MATCH(Auto_Sales_data___Copy[[#This Row],[Total_Orders_Per_Customer]],Table2[F-Cutoff],1)</f>
        <v>4</v>
      </c>
      <c r="Y1930" s="2">
        <f>MATCH(Auto_Sales_data___Copy[[#This Row],[Total_Sales_Per_Customer]],Table2[M-Cutoff],1)</f>
        <v>4</v>
      </c>
      <c r="Z1930" s="2" t="str">
        <f>Auto_Sales_data___Copy[[#This Row],[R-Score(1-5)]]&amp;Auto_Sales_data___Copy[[#This Row],[F-Score(1-5)]]&amp;Auto_Sales_data___Copy[[#This Row],[M-Score(1-5)]]</f>
        <v>244</v>
      </c>
      <c r="AA1930" s="2" t="str" cm="1">
        <f t="array" ref="AA19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0" s="2" t="str">
        <f>VLOOKUP(Auto_Sales_data___Copy[[#This Row],[Segment Name]],Table3[],2,FALSE)</f>
        <v>High-Touch  Win-Back</v>
      </c>
    </row>
    <row r="1931" spans="1:28" x14ac:dyDescent="0.25">
      <c r="A1931">
        <v>10359</v>
      </c>
      <c r="B1931">
        <v>25</v>
      </c>
      <c r="C1931">
        <v>64.930000000000007</v>
      </c>
      <c r="D1931">
        <v>4</v>
      </c>
      <c r="E1931">
        <v>1623.25</v>
      </c>
      <c r="F1931" s="1">
        <v>43814</v>
      </c>
      <c r="G1931" s="2" t="s">
        <v>19</v>
      </c>
      <c r="H1931" s="2" t="s">
        <v>650</v>
      </c>
      <c r="I1931">
        <v>58</v>
      </c>
      <c r="J1931" s="2" t="s">
        <v>704</v>
      </c>
      <c r="K1931" s="2" t="s">
        <v>31</v>
      </c>
      <c r="L1931" s="2" t="s">
        <v>32</v>
      </c>
      <c r="M1931" s="2" t="s">
        <v>33</v>
      </c>
      <c r="N1931" s="2" t="s">
        <v>34</v>
      </c>
      <c r="O1931" s="2" t="s">
        <v>35</v>
      </c>
      <c r="P1931" s="2" t="s">
        <v>36</v>
      </c>
      <c r="Q1931" s="2" t="s">
        <v>37</v>
      </c>
      <c r="R1931" s="2" t="s">
        <v>38</v>
      </c>
      <c r="S1931" s="2" t="s">
        <v>30</v>
      </c>
      <c r="T1931">
        <v>2524</v>
      </c>
      <c r="U1931">
        <f>VLOOKUP(Auto_Sales_data___Copy[[#This Row],[CUSTOMER_NAME]],$AF$2:$AH$90,2,FALSE)</f>
        <v>41</v>
      </c>
      <c r="V1931">
        <f>VLOOKUP(Auto_Sales_data___Copy[[#This Row],[CUSTOMER_NAME]],$AF$2:$AH$90,3,FALSE)</f>
        <v>135042.94</v>
      </c>
      <c r="W1931" s="2">
        <f>6-MATCH(Auto_Sales_data___Copy[[#This Row],[DAYS_SINCE_LAST_ORDER]],Table2[R-Cutoff],1)</f>
        <v>2</v>
      </c>
      <c r="X1931" s="2">
        <f>MATCH(Auto_Sales_data___Copy[[#This Row],[Total_Orders_Per_Customer]],Table2[F-Cutoff],1)</f>
        <v>4</v>
      </c>
      <c r="Y1931" s="2">
        <f>MATCH(Auto_Sales_data___Copy[[#This Row],[Total_Sales_Per_Customer]],Table2[M-Cutoff],1)</f>
        <v>4</v>
      </c>
      <c r="Z1931" s="2" t="str">
        <f>Auto_Sales_data___Copy[[#This Row],[R-Score(1-5)]]&amp;Auto_Sales_data___Copy[[#This Row],[F-Score(1-5)]]&amp;Auto_Sales_data___Copy[[#This Row],[M-Score(1-5)]]</f>
        <v>244</v>
      </c>
      <c r="AA1931" s="2" t="str" cm="1">
        <f t="array" ref="AA19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1" s="2" t="str">
        <f>VLOOKUP(Auto_Sales_data___Copy[[#This Row],[Segment Name]],Table3[],2,FALSE)</f>
        <v>High-Touch  Win-Back</v>
      </c>
    </row>
    <row r="1932" spans="1:28" x14ac:dyDescent="0.25">
      <c r="A1932">
        <v>10361</v>
      </c>
      <c r="B1932">
        <v>26</v>
      </c>
      <c r="C1932">
        <v>142.72999999999999</v>
      </c>
      <c r="D1932">
        <v>7</v>
      </c>
      <c r="E1932">
        <v>3710.98</v>
      </c>
      <c r="F1932" s="1">
        <v>43816</v>
      </c>
      <c r="G1932" s="2" t="s">
        <v>19</v>
      </c>
      <c r="H1932" s="2" t="s">
        <v>607</v>
      </c>
      <c r="I1932">
        <v>68</v>
      </c>
      <c r="J1932" s="2" t="s">
        <v>688</v>
      </c>
      <c r="K1932" s="2" t="s">
        <v>152</v>
      </c>
      <c r="L1932" s="2" t="s">
        <v>153</v>
      </c>
      <c r="M1932" s="2" t="s">
        <v>154</v>
      </c>
      <c r="N1932" s="2" t="s">
        <v>155</v>
      </c>
      <c r="O1932" s="2" t="s">
        <v>156</v>
      </c>
      <c r="P1932" s="2" t="s">
        <v>87</v>
      </c>
      <c r="Q1932" s="2" t="s">
        <v>157</v>
      </c>
      <c r="R1932" s="2" t="s">
        <v>158</v>
      </c>
      <c r="S1932" s="2" t="s">
        <v>46</v>
      </c>
      <c r="T1932">
        <v>2120</v>
      </c>
      <c r="U1932">
        <f>VLOOKUP(Auto_Sales_data___Copy[[#This Row],[CUSTOMER_NAME]],$AF$2:$AH$90,2,FALSE)</f>
        <v>46</v>
      </c>
      <c r="V1932">
        <f>VLOOKUP(Auto_Sales_data___Copy[[#This Row],[CUSTOMER_NAME]],$AF$2:$AH$90,3,FALSE)</f>
        <v>151570.98000000001</v>
      </c>
      <c r="W1932" s="2">
        <f>6-MATCH(Auto_Sales_data___Copy[[#This Row],[DAYS_SINCE_LAST_ORDER]],Table2[R-Cutoff],1)</f>
        <v>2</v>
      </c>
      <c r="X1932" s="2">
        <f>MATCH(Auto_Sales_data___Copy[[#This Row],[Total_Orders_Per_Customer]],Table2[F-Cutoff],1)</f>
        <v>4</v>
      </c>
      <c r="Y1932" s="2">
        <f>MATCH(Auto_Sales_data___Copy[[#This Row],[Total_Sales_Per_Customer]],Table2[M-Cutoff],1)</f>
        <v>4</v>
      </c>
      <c r="Z1932" s="2" t="str">
        <f>Auto_Sales_data___Copy[[#This Row],[R-Score(1-5)]]&amp;Auto_Sales_data___Copy[[#This Row],[F-Score(1-5)]]&amp;Auto_Sales_data___Copy[[#This Row],[M-Score(1-5)]]</f>
        <v>244</v>
      </c>
      <c r="AA1932" s="2" t="str" cm="1">
        <f t="array" ref="AA19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2" s="2" t="str">
        <f>VLOOKUP(Auto_Sales_data___Copy[[#This Row],[Segment Name]],Table3[],2,FALSE)</f>
        <v>High-Touch  Win-Back</v>
      </c>
    </row>
    <row r="1933" spans="1:28" x14ac:dyDescent="0.25">
      <c r="A1933">
        <v>10361</v>
      </c>
      <c r="B1933">
        <v>25</v>
      </c>
      <c r="C1933">
        <v>62.46</v>
      </c>
      <c r="D1933">
        <v>1</v>
      </c>
      <c r="E1933">
        <v>1561.5</v>
      </c>
      <c r="F1933" s="1">
        <v>43816</v>
      </c>
      <c r="G1933" s="2" t="s">
        <v>19</v>
      </c>
      <c r="H1933" s="2" t="s">
        <v>607</v>
      </c>
      <c r="I1933">
        <v>72</v>
      </c>
      <c r="J1933" s="2" t="s">
        <v>692</v>
      </c>
      <c r="K1933" s="2" t="s">
        <v>152</v>
      </c>
      <c r="L1933" s="2" t="s">
        <v>153</v>
      </c>
      <c r="M1933" s="2" t="s">
        <v>154</v>
      </c>
      <c r="N1933" s="2" t="s">
        <v>155</v>
      </c>
      <c r="O1933" s="2" t="s">
        <v>156</v>
      </c>
      <c r="P1933" s="2" t="s">
        <v>87</v>
      </c>
      <c r="Q1933" s="2" t="s">
        <v>157</v>
      </c>
      <c r="R1933" s="2" t="s">
        <v>158</v>
      </c>
      <c r="S1933" s="2" t="s">
        <v>30</v>
      </c>
      <c r="T1933">
        <v>2215</v>
      </c>
      <c r="U1933">
        <f>VLOOKUP(Auto_Sales_data___Copy[[#This Row],[CUSTOMER_NAME]],$AF$2:$AH$90,2,FALSE)</f>
        <v>46</v>
      </c>
      <c r="V1933">
        <f>VLOOKUP(Auto_Sales_data___Copy[[#This Row],[CUSTOMER_NAME]],$AF$2:$AH$90,3,FALSE)</f>
        <v>151570.98000000001</v>
      </c>
      <c r="W1933" s="2">
        <f>6-MATCH(Auto_Sales_data___Copy[[#This Row],[DAYS_SINCE_LAST_ORDER]],Table2[R-Cutoff],1)</f>
        <v>2</v>
      </c>
      <c r="X1933" s="2">
        <f>MATCH(Auto_Sales_data___Copy[[#This Row],[Total_Orders_Per_Customer]],Table2[F-Cutoff],1)</f>
        <v>4</v>
      </c>
      <c r="Y1933" s="2">
        <f>MATCH(Auto_Sales_data___Copy[[#This Row],[Total_Sales_Per_Customer]],Table2[M-Cutoff],1)</f>
        <v>4</v>
      </c>
      <c r="Z1933" s="2" t="str">
        <f>Auto_Sales_data___Copy[[#This Row],[R-Score(1-5)]]&amp;Auto_Sales_data___Copy[[#This Row],[F-Score(1-5)]]&amp;Auto_Sales_data___Copy[[#This Row],[M-Score(1-5)]]</f>
        <v>244</v>
      </c>
      <c r="AA1933" s="2" t="str" cm="1">
        <f t="array" ref="AA19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3" s="2" t="str">
        <f>VLOOKUP(Auto_Sales_data___Copy[[#This Row],[Segment Name]],Table3[],2,FALSE)</f>
        <v>High-Touch  Win-Back</v>
      </c>
    </row>
    <row r="1934" spans="1:28" x14ac:dyDescent="0.25">
      <c r="A1934">
        <v>10361</v>
      </c>
      <c r="B1934">
        <v>49</v>
      </c>
      <c r="C1934">
        <v>72.33</v>
      </c>
      <c r="D1934">
        <v>2</v>
      </c>
      <c r="E1934">
        <v>3544.17</v>
      </c>
      <c r="F1934" s="1">
        <v>43816</v>
      </c>
      <c r="G1934" s="2" t="s">
        <v>19</v>
      </c>
      <c r="H1934" s="2" t="s">
        <v>589</v>
      </c>
      <c r="I1934">
        <v>68</v>
      </c>
      <c r="J1934" s="2" t="s">
        <v>700</v>
      </c>
      <c r="K1934" s="2" t="s">
        <v>152</v>
      </c>
      <c r="L1934" s="2" t="s">
        <v>153</v>
      </c>
      <c r="M1934" s="2" t="s">
        <v>154</v>
      </c>
      <c r="N1934" s="2" t="s">
        <v>155</v>
      </c>
      <c r="O1934" s="2" t="s">
        <v>156</v>
      </c>
      <c r="P1934" s="2" t="s">
        <v>87</v>
      </c>
      <c r="Q1934" s="2" t="s">
        <v>157</v>
      </c>
      <c r="R1934" s="2" t="s">
        <v>158</v>
      </c>
      <c r="S1934" s="2" t="s">
        <v>46</v>
      </c>
      <c r="T1934">
        <v>2417</v>
      </c>
      <c r="U1934">
        <f>VLOOKUP(Auto_Sales_data___Copy[[#This Row],[CUSTOMER_NAME]],$AF$2:$AH$90,2,FALSE)</f>
        <v>46</v>
      </c>
      <c r="V1934">
        <f>VLOOKUP(Auto_Sales_data___Copy[[#This Row],[CUSTOMER_NAME]],$AF$2:$AH$90,3,FALSE)</f>
        <v>151570.98000000001</v>
      </c>
      <c r="W1934" s="2">
        <f>6-MATCH(Auto_Sales_data___Copy[[#This Row],[DAYS_SINCE_LAST_ORDER]],Table2[R-Cutoff],1)</f>
        <v>2</v>
      </c>
      <c r="X1934" s="2">
        <f>MATCH(Auto_Sales_data___Copy[[#This Row],[Total_Orders_Per_Customer]],Table2[F-Cutoff],1)</f>
        <v>4</v>
      </c>
      <c r="Y1934" s="2">
        <f>MATCH(Auto_Sales_data___Copy[[#This Row],[Total_Sales_Per_Customer]],Table2[M-Cutoff],1)</f>
        <v>4</v>
      </c>
      <c r="Z1934" s="2" t="str">
        <f>Auto_Sales_data___Copy[[#This Row],[R-Score(1-5)]]&amp;Auto_Sales_data___Copy[[#This Row],[F-Score(1-5)]]&amp;Auto_Sales_data___Copy[[#This Row],[M-Score(1-5)]]</f>
        <v>244</v>
      </c>
      <c r="AA1934" s="2" t="str" cm="1">
        <f t="array" ref="AA19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4" s="2" t="str">
        <f>VLOOKUP(Auto_Sales_data___Copy[[#This Row],[Segment Name]],Table3[],2,FALSE)</f>
        <v>High-Touch  Win-Back</v>
      </c>
    </row>
    <row r="1935" spans="1:28" x14ac:dyDescent="0.25">
      <c r="A1935">
        <v>10361</v>
      </c>
      <c r="B1935">
        <v>33</v>
      </c>
      <c r="C1935">
        <v>82.59</v>
      </c>
      <c r="D1935">
        <v>3</v>
      </c>
      <c r="E1935">
        <v>2725.47</v>
      </c>
      <c r="F1935" s="1">
        <v>43816</v>
      </c>
      <c r="G1935" s="2" t="s">
        <v>19</v>
      </c>
      <c r="H1935" s="2" t="s">
        <v>589</v>
      </c>
      <c r="I1935">
        <v>43</v>
      </c>
      <c r="J1935" s="2" t="s">
        <v>702</v>
      </c>
      <c r="K1935" s="2" t="s">
        <v>152</v>
      </c>
      <c r="L1935" s="2" t="s">
        <v>153</v>
      </c>
      <c r="M1935" s="2" t="s">
        <v>154</v>
      </c>
      <c r="N1935" s="2" t="s">
        <v>155</v>
      </c>
      <c r="O1935" s="2" t="s">
        <v>156</v>
      </c>
      <c r="P1935" s="2" t="s">
        <v>87</v>
      </c>
      <c r="Q1935" s="2" t="s">
        <v>157</v>
      </c>
      <c r="R1935" s="2" t="s">
        <v>158</v>
      </c>
      <c r="S1935" s="2" t="s">
        <v>30</v>
      </c>
      <c r="T1935">
        <v>2467</v>
      </c>
      <c r="U1935">
        <f>VLOOKUP(Auto_Sales_data___Copy[[#This Row],[CUSTOMER_NAME]],$AF$2:$AH$90,2,FALSE)</f>
        <v>46</v>
      </c>
      <c r="V1935">
        <f>VLOOKUP(Auto_Sales_data___Copy[[#This Row],[CUSTOMER_NAME]],$AF$2:$AH$90,3,FALSE)</f>
        <v>151570.98000000001</v>
      </c>
      <c r="W1935" s="2">
        <f>6-MATCH(Auto_Sales_data___Copy[[#This Row],[DAYS_SINCE_LAST_ORDER]],Table2[R-Cutoff],1)</f>
        <v>2</v>
      </c>
      <c r="X1935" s="2">
        <f>MATCH(Auto_Sales_data___Copy[[#This Row],[Total_Orders_Per_Customer]],Table2[F-Cutoff],1)</f>
        <v>4</v>
      </c>
      <c r="Y1935" s="2">
        <f>MATCH(Auto_Sales_data___Copy[[#This Row],[Total_Sales_Per_Customer]],Table2[M-Cutoff],1)</f>
        <v>4</v>
      </c>
      <c r="Z1935" s="2" t="str">
        <f>Auto_Sales_data___Copy[[#This Row],[R-Score(1-5)]]&amp;Auto_Sales_data___Copy[[#This Row],[F-Score(1-5)]]&amp;Auto_Sales_data___Copy[[#This Row],[M-Score(1-5)]]</f>
        <v>244</v>
      </c>
      <c r="AA1935" s="2" t="str" cm="1">
        <f t="array" ref="AA19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5" s="2" t="str">
        <f>VLOOKUP(Auto_Sales_data___Copy[[#This Row],[Segment Name]],Table3[],2,FALSE)</f>
        <v>High-Touch  Win-Back</v>
      </c>
    </row>
    <row r="1936" spans="1:28" x14ac:dyDescent="0.25">
      <c r="A1936">
        <v>10363</v>
      </c>
      <c r="B1936">
        <v>31</v>
      </c>
      <c r="C1936">
        <v>94.58</v>
      </c>
      <c r="D1936">
        <v>1</v>
      </c>
      <c r="E1936">
        <v>2931.98</v>
      </c>
      <c r="F1936" s="1">
        <v>43836</v>
      </c>
      <c r="G1936" s="2" t="s">
        <v>19</v>
      </c>
      <c r="H1936" s="2" t="s">
        <v>183</v>
      </c>
      <c r="I1936">
        <v>140</v>
      </c>
      <c r="J1936" s="2" t="s">
        <v>687</v>
      </c>
      <c r="K1936" s="2" t="s">
        <v>498</v>
      </c>
      <c r="L1936" s="2" t="s">
        <v>499</v>
      </c>
      <c r="M1936" s="2" t="s">
        <v>500</v>
      </c>
      <c r="N1936" s="2" t="s">
        <v>501</v>
      </c>
      <c r="O1936" s="2" t="s">
        <v>502</v>
      </c>
      <c r="P1936" s="2" t="s">
        <v>127</v>
      </c>
      <c r="Q1936" s="2" t="s">
        <v>503</v>
      </c>
      <c r="R1936" s="2" t="s">
        <v>504</v>
      </c>
      <c r="S1936" s="2" t="s">
        <v>30</v>
      </c>
      <c r="T1936">
        <v>2074</v>
      </c>
      <c r="U1936">
        <f>VLOOKUP(Auto_Sales_data___Copy[[#This Row],[CUSTOMER_NAME]],$AF$2:$AH$90,2,FALSE)</f>
        <v>30</v>
      </c>
      <c r="V1936">
        <f>VLOOKUP(Auto_Sales_data___Copy[[#This Row],[CUSTOMER_NAME]],$AF$2:$AH$90,3,FALSE)</f>
        <v>113961.14999999997</v>
      </c>
      <c r="W1936" s="2">
        <f>6-MATCH(Auto_Sales_data___Copy[[#This Row],[DAYS_SINCE_LAST_ORDER]],Table2[R-Cutoff],1)</f>
        <v>2</v>
      </c>
      <c r="X1936" s="2">
        <f>MATCH(Auto_Sales_data___Copy[[#This Row],[Total_Orders_Per_Customer]],Table2[F-Cutoff],1)</f>
        <v>4</v>
      </c>
      <c r="Y1936" s="2">
        <f>MATCH(Auto_Sales_data___Copy[[#This Row],[Total_Sales_Per_Customer]],Table2[M-Cutoff],1)</f>
        <v>4</v>
      </c>
      <c r="Z1936" s="2" t="str">
        <f>Auto_Sales_data___Copy[[#This Row],[R-Score(1-5)]]&amp;Auto_Sales_data___Copy[[#This Row],[F-Score(1-5)]]&amp;Auto_Sales_data___Copy[[#This Row],[M-Score(1-5)]]</f>
        <v>244</v>
      </c>
      <c r="AA1936" s="2" t="str" cm="1">
        <f t="array" ref="AA19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6" s="2" t="str">
        <f>VLOOKUP(Auto_Sales_data___Copy[[#This Row],[Segment Name]],Table3[],2,FALSE)</f>
        <v>High-Touch  Win-Back</v>
      </c>
    </row>
    <row r="1937" spans="1:28" x14ac:dyDescent="0.25">
      <c r="A1937">
        <v>10363</v>
      </c>
      <c r="B1937">
        <v>43</v>
      </c>
      <c r="C1937">
        <v>119.87</v>
      </c>
      <c r="D1937">
        <v>9</v>
      </c>
      <c r="E1937">
        <v>5154.41</v>
      </c>
      <c r="F1937" s="1">
        <v>43836</v>
      </c>
      <c r="G1937" s="2" t="s">
        <v>19</v>
      </c>
      <c r="H1937" s="2" t="s">
        <v>183</v>
      </c>
      <c r="I1937">
        <v>80</v>
      </c>
      <c r="J1937" s="2" t="s">
        <v>693</v>
      </c>
      <c r="K1937" s="2" t="s">
        <v>498</v>
      </c>
      <c r="L1937" s="2" t="s">
        <v>499</v>
      </c>
      <c r="M1937" s="2" t="s">
        <v>500</v>
      </c>
      <c r="N1937" s="2" t="s">
        <v>501</v>
      </c>
      <c r="O1937" s="2" t="s">
        <v>502</v>
      </c>
      <c r="P1937" s="2" t="s">
        <v>127</v>
      </c>
      <c r="Q1937" s="2" t="s">
        <v>503</v>
      </c>
      <c r="R1937" s="2" t="s">
        <v>504</v>
      </c>
      <c r="S1937" s="2" t="s">
        <v>46</v>
      </c>
      <c r="T1937">
        <v>2221</v>
      </c>
      <c r="U1937">
        <f>VLOOKUP(Auto_Sales_data___Copy[[#This Row],[CUSTOMER_NAME]],$AF$2:$AH$90,2,FALSE)</f>
        <v>30</v>
      </c>
      <c r="V1937">
        <f>VLOOKUP(Auto_Sales_data___Copy[[#This Row],[CUSTOMER_NAME]],$AF$2:$AH$90,3,FALSE)</f>
        <v>113961.14999999997</v>
      </c>
      <c r="W1937" s="2">
        <f>6-MATCH(Auto_Sales_data___Copy[[#This Row],[DAYS_SINCE_LAST_ORDER]],Table2[R-Cutoff],1)</f>
        <v>2</v>
      </c>
      <c r="X1937" s="2">
        <f>MATCH(Auto_Sales_data___Copy[[#This Row],[Total_Orders_Per_Customer]],Table2[F-Cutoff],1)</f>
        <v>4</v>
      </c>
      <c r="Y1937" s="2">
        <f>MATCH(Auto_Sales_data___Copy[[#This Row],[Total_Sales_Per_Customer]],Table2[M-Cutoff],1)</f>
        <v>4</v>
      </c>
      <c r="Z1937" s="2" t="str">
        <f>Auto_Sales_data___Copy[[#This Row],[R-Score(1-5)]]&amp;Auto_Sales_data___Copy[[#This Row],[F-Score(1-5)]]&amp;Auto_Sales_data___Copy[[#This Row],[M-Score(1-5)]]</f>
        <v>244</v>
      </c>
      <c r="AA1937" s="2" t="str" cm="1">
        <f t="array" ref="AA19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7" s="2" t="str">
        <f>VLOOKUP(Auto_Sales_data___Copy[[#This Row],[Segment Name]],Table3[],2,FALSE)</f>
        <v>High-Touch  Win-Back</v>
      </c>
    </row>
    <row r="1938" spans="1:28" x14ac:dyDescent="0.25">
      <c r="A1938">
        <v>10363</v>
      </c>
      <c r="B1938">
        <v>50</v>
      </c>
      <c r="C1938">
        <v>131.53</v>
      </c>
      <c r="D1938">
        <v>2</v>
      </c>
      <c r="E1938">
        <v>6576.5</v>
      </c>
      <c r="F1938" s="1">
        <v>43836</v>
      </c>
      <c r="G1938" s="2" t="s">
        <v>19</v>
      </c>
      <c r="H1938" s="2" t="s">
        <v>20</v>
      </c>
      <c r="I1938">
        <v>99</v>
      </c>
      <c r="J1938" s="2" t="s">
        <v>695</v>
      </c>
      <c r="K1938" s="2" t="s">
        <v>498</v>
      </c>
      <c r="L1938" s="2" t="s">
        <v>499</v>
      </c>
      <c r="M1938" s="2" t="s">
        <v>500</v>
      </c>
      <c r="N1938" s="2" t="s">
        <v>501</v>
      </c>
      <c r="O1938" s="2" t="s">
        <v>502</v>
      </c>
      <c r="P1938" s="2" t="s">
        <v>127</v>
      </c>
      <c r="Q1938" s="2" t="s">
        <v>503</v>
      </c>
      <c r="R1938" s="2" t="s">
        <v>504</v>
      </c>
      <c r="S1938" s="2" t="s">
        <v>46</v>
      </c>
      <c r="T1938">
        <v>2270</v>
      </c>
      <c r="U1938">
        <f>VLOOKUP(Auto_Sales_data___Copy[[#This Row],[CUSTOMER_NAME]],$AF$2:$AH$90,2,FALSE)</f>
        <v>30</v>
      </c>
      <c r="V1938">
        <f>VLOOKUP(Auto_Sales_data___Copy[[#This Row],[CUSTOMER_NAME]],$AF$2:$AH$90,3,FALSE)</f>
        <v>113961.14999999997</v>
      </c>
      <c r="W1938" s="2">
        <f>6-MATCH(Auto_Sales_data___Copy[[#This Row],[DAYS_SINCE_LAST_ORDER]],Table2[R-Cutoff],1)</f>
        <v>2</v>
      </c>
      <c r="X1938" s="2">
        <f>MATCH(Auto_Sales_data___Copy[[#This Row],[Total_Orders_Per_Customer]],Table2[F-Cutoff],1)</f>
        <v>4</v>
      </c>
      <c r="Y1938" s="2">
        <f>MATCH(Auto_Sales_data___Copy[[#This Row],[Total_Sales_Per_Customer]],Table2[M-Cutoff],1)</f>
        <v>4</v>
      </c>
      <c r="Z1938" s="2" t="str">
        <f>Auto_Sales_data___Copy[[#This Row],[R-Score(1-5)]]&amp;Auto_Sales_data___Copy[[#This Row],[F-Score(1-5)]]&amp;Auto_Sales_data___Copy[[#This Row],[M-Score(1-5)]]</f>
        <v>244</v>
      </c>
      <c r="AA1938" s="2" t="str" cm="1">
        <f t="array" ref="AA19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8" s="2" t="str">
        <f>VLOOKUP(Auto_Sales_data___Copy[[#This Row],[Segment Name]],Table3[],2,FALSE)</f>
        <v>High-Touch  Win-Back</v>
      </c>
    </row>
    <row r="1939" spans="1:28" x14ac:dyDescent="0.25">
      <c r="A1939">
        <v>10365</v>
      </c>
      <c r="B1939">
        <v>22</v>
      </c>
      <c r="C1939">
        <v>155.69</v>
      </c>
      <c r="D1939">
        <v>3</v>
      </c>
      <c r="E1939">
        <v>3425.18</v>
      </c>
      <c r="F1939" s="1">
        <v>43837</v>
      </c>
      <c r="G1939" s="2" t="s">
        <v>19</v>
      </c>
      <c r="H1939" s="2" t="s">
        <v>20</v>
      </c>
      <c r="I1939">
        <v>102</v>
      </c>
      <c r="J1939" s="2" t="s">
        <v>701</v>
      </c>
      <c r="K1939" s="2" t="s">
        <v>353</v>
      </c>
      <c r="L1939" s="2" t="s">
        <v>354</v>
      </c>
      <c r="M1939" s="2" t="s">
        <v>355</v>
      </c>
      <c r="N1939" s="2" t="s">
        <v>162</v>
      </c>
      <c r="O1939" s="2" t="s">
        <v>163</v>
      </c>
      <c r="P1939" s="2" t="s">
        <v>27</v>
      </c>
      <c r="Q1939" s="2" t="s">
        <v>356</v>
      </c>
      <c r="R1939" s="2" t="s">
        <v>357</v>
      </c>
      <c r="S1939" s="2" t="s">
        <v>46</v>
      </c>
      <c r="T1939">
        <v>2422</v>
      </c>
      <c r="U1939">
        <f>VLOOKUP(Auto_Sales_data___Copy[[#This Row],[CUSTOMER_NAME]],$AF$2:$AH$90,2,FALSE)</f>
        <v>35</v>
      </c>
      <c r="V1939">
        <f>VLOOKUP(Auto_Sales_data___Copy[[#This Row],[CUSTOMER_NAME]],$AF$2:$AH$90,3,FALSE)</f>
        <v>108951.12999999998</v>
      </c>
      <c r="W1939" s="2">
        <f>6-MATCH(Auto_Sales_data___Copy[[#This Row],[DAYS_SINCE_LAST_ORDER]],Table2[R-Cutoff],1)</f>
        <v>2</v>
      </c>
      <c r="X1939" s="2">
        <f>MATCH(Auto_Sales_data___Copy[[#This Row],[Total_Orders_Per_Customer]],Table2[F-Cutoff],1)</f>
        <v>4</v>
      </c>
      <c r="Y1939" s="2">
        <f>MATCH(Auto_Sales_data___Copy[[#This Row],[Total_Sales_Per_Customer]],Table2[M-Cutoff],1)</f>
        <v>4</v>
      </c>
      <c r="Z1939" s="2" t="str">
        <f>Auto_Sales_data___Copy[[#This Row],[R-Score(1-5)]]&amp;Auto_Sales_data___Copy[[#This Row],[F-Score(1-5)]]&amp;Auto_Sales_data___Copy[[#This Row],[M-Score(1-5)]]</f>
        <v>244</v>
      </c>
      <c r="AA1939" s="2" t="str" cm="1">
        <f t="array" ref="AA19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9" s="2" t="str">
        <f>VLOOKUP(Auto_Sales_data___Copy[[#This Row],[Segment Name]],Table3[],2,FALSE)</f>
        <v>High-Touch  Win-Back</v>
      </c>
    </row>
    <row r="1940" spans="1:28" x14ac:dyDescent="0.25">
      <c r="A1940">
        <v>10365</v>
      </c>
      <c r="B1940">
        <v>44</v>
      </c>
      <c r="C1940">
        <v>113.28</v>
      </c>
      <c r="D1940">
        <v>2</v>
      </c>
      <c r="E1940">
        <v>4984.32</v>
      </c>
      <c r="F1940" s="1">
        <v>43837</v>
      </c>
      <c r="G1940" s="2" t="s">
        <v>19</v>
      </c>
      <c r="H1940" s="2" t="s">
        <v>20</v>
      </c>
      <c r="I1940">
        <v>81</v>
      </c>
      <c r="J1940" s="2" t="s">
        <v>705</v>
      </c>
      <c r="K1940" s="2" t="s">
        <v>353</v>
      </c>
      <c r="L1940" s="2" t="s">
        <v>354</v>
      </c>
      <c r="M1940" s="2" t="s">
        <v>355</v>
      </c>
      <c r="N1940" s="2" t="s">
        <v>162</v>
      </c>
      <c r="O1940" s="2" t="s">
        <v>163</v>
      </c>
      <c r="P1940" s="2" t="s">
        <v>27</v>
      </c>
      <c r="Q1940" s="2" t="s">
        <v>356</v>
      </c>
      <c r="R1940" s="2" t="s">
        <v>357</v>
      </c>
      <c r="S1940" s="2" t="s">
        <v>46</v>
      </c>
      <c r="T1940">
        <v>2526</v>
      </c>
      <c r="U1940">
        <f>VLOOKUP(Auto_Sales_data___Copy[[#This Row],[CUSTOMER_NAME]],$AF$2:$AH$90,2,FALSE)</f>
        <v>35</v>
      </c>
      <c r="V1940">
        <f>VLOOKUP(Auto_Sales_data___Copy[[#This Row],[CUSTOMER_NAME]],$AF$2:$AH$90,3,FALSE)</f>
        <v>108951.12999999998</v>
      </c>
      <c r="W1940" s="2">
        <f>6-MATCH(Auto_Sales_data___Copy[[#This Row],[DAYS_SINCE_LAST_ORDER]],Table2[R-Cutoff],1)</f>
        <v>2</v>
      </c>
      <c r="X1940" s="2">
        <f>MATCH(Auto_Sales_data___Copy[[#This Row],[Total_Orders_Per_Customer]],Table2[F-Cutoff],1)</f>
        <v>4</v>
      </c>
      <c r="Y1940" s="2">
        <f>MATCH(Auto_Sales_data___Copy[[#This Row],[Total_Sales_Per_Customer]],Table2[M-Cutoff],1)</f>
        <v>4</v>
      </c>
      <c r="Z1940" s="2" t="str">
        <f>Auto_Sales_data___Copy[[#This Row],[R-Score(1-5)]]&amp;Auto_Sales_data___Copy[[#This Row],[F-Score(1-5)]]&amp;Auto_Sales_data___Copy[[#This Row],[M-Score(1-5)]]</f>
        <v>244</v>
      </c>
      <c r="AA1940" s="2" t="str" cm="1">
        <f t="array" ref="AA19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0" s="2" t="str">
        <f>VLOOKUP(Auto_Sales_data___Copy[[#This Row],[Segment Name]],Table3[],2,FALSE)</f>
        <v>High-Touch  Win-Back</v>
      </c>
    </row>
    <row r="1941" spans="1:28" x14ac:dyDescent="0.25">
      <c r="A1941">
        <v>10368</v>
      </c>
      <c r="B1941">
        <v>46</v>
      </c>
      <c r="C1941">
        <v>37.340000000000003</v>
      </c>
      <c r="D1941">
        <v>3</v>
      </c>
      <c r="E1941">
        <v>1717.64</v>
      </c>
      <c r="F1941" s="1">
        <v>43849</v>
      </c>
      <c r="G1941" s="2" t="s">
        <v>19</v>
      </c>
      <c r="H1941" s="2" t="s">
        <v>589</v>
      </c>
      <c r="I1941">
        <v>41</v>
      </c>
      <c r="J1941" s="2" t="s">
        <v>689</v>
      </c>
      <c r="K1941" s="2" t="s">
        <v>284</v>
      </c>
      <c r="L1941" s="2" t="s">
        <v>285</v>
      </c>
      <c r="M1941" s="2" t="s">
        <v>286</v>
      </c>
      <c r="N1941" s="2" t="s">
        <v>287</v>
      </c>
      <c r="O1941" s="2" t="s">
        <v>106</v>
      </c>
      <c r="P1941" s="2" t="s">
        <v>27</v>
      </c>
      <c r="Q1941" s="2" t="s">
        <v>288</v>
      </c>
      <c r="R1941" s="2" t="s">
        <v>289</v>
      </c>
      <c r="S1941" s="2" t="s">
        <v>30</v>
      </c>
      <c r="T1941">
        <v>2110</v>
      </c>
      <c r="U1941">
        <f>VLOOKUP(Auto_Sales_data___Copy[[#This Row],[CUSTOMER_NAME]],$AF$2:$AH$90,2,FALSE)</f>
        <v>180</v>
      </c>
      <c r="V1941">
        <f>VLOOKUP(Auto_Sales_data___Copy[[#This Row],[CUSTOMER_NAME]],$AF$2:$AH$90,3,FALSE)</f>
        <v>654858.06000000017</v>
      </c>
      <c r="W1941" s="2">
        <f>6-MATCH(Auto_Sales_data___Copy[[#This Row],[DAYS_SINCE_LAST_ORDER]],Table2[R-Cutoff],1)</f>
        <v>2</v>
      </c>
      <c r="X1941" s="2">
        <f>MATCH(Auto_Sales_data___Copy[[#This Row],[Total_Orders_Per_Customer]],Table2[F-Cutoff],1)</f>
        <v>4</v>
      </c>
      <c r="Y1941" s="2">
        <f>MATCH(Auto_Sales_data___Copy[[#This Row],[Total_Sales_Per_Customer]],Table2[M-Cutoff],1)</f>
        <v>4</v>
      </c>
      <c r="Z1941" s="2" t="str">
        <f>Auto_Sales_data___Copy[[#This Row],[R-Score(1-5)]]&amp;Auto_Sales_data___Copy[[#This Row],[F-Score(1-5)]]&amp;Auto_Sales_data___Copy[[#This Row],[M-Score(1-5)]]</f>
        <v>244</v>
      </c>
      <c r="AA1941" s="2" t="str" cm="1">
        <f t="array" ref="AA19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1" s="2" t="str">
        <f>VLOOKUP(Auto_Sales_data___Copy[[#This Row],[Segment Name]],Table3[],2,FALSE)</f>
        <v>High-Touch  Win-Back</v>
      </c>
    </row>
    <row r="1942" spans="1:28" x14ac:dyDescent="0.25">
      <c r="A1942">
        <v>10370</v>
      </c>
      <c r="B1942">
        <v>25</v>
      </c>
      <c r="C1942">
        <v>126.41</v>
      </c>
      <c r="D1942">
        <v>3</v>
      </c>
      <c r="E1942">
        <v>3160.25</v>
      </c>
      <c r="F1942" s="1">
        <v>43850</v>
      </c>
      <c r="G1942" s="2" t="s">
        <v>19</v>
      </c>
      <c r="H1942" s="2" t="s">
        <v>537</v>
      </c>
      <c r="I1942">
        <v>64</v>
      </c>
      <c r="J1942" s="2" t="s">
        <v>699</v>
      </c>
      <c r="K1942" s="2" t="s">
        <v>300</v>
      </c>
      <c r="L1942" s="2" t="s">
        <v>301</v>
      </c>
      <c r="M1942" s="2" t="s">
        <v>302</v>
      </c>
      <c r="N1942" s="2" t="s">
        <v>303</v>
      </c>
      <c r="O1942" s="2" t="s">
        <v>304</v>
      </c>
      <c r="P1942" s="2" t="s">
        <v>87</v>
      </c>
      <c r="Q1942" s="2" t="s">
        <v>305</v>
      </c>
      <c r="R1942" s="2" t="s">
        <v>306</v>
      </c>
      <c r="S1942" s="2" t="s">
        <v>46</v>
      </c>
      <c r="T1942">
        <v>2361</v>
      </c>
      <c r="U1942">
        <f>VLOOKUP(Auto_Sales_data___Copy[[#This Row],[CUSTOMER_NAME]],$AF$2:$AH$90,2,FALSE)</f>
        <v>46</v>
      </c>
      <c r="V1942">
        <f>VLOOKUP(Auto_Sales_data___Copy[[#This Row],[CUSTOMER_NAME]],$AF$2:$AH$90,3,FALSE)</f>
        <v>153996.12999999998</v>
      </c>
      <c r="W1942" s="2">
        <f>6-MATCH(Auto_Sales_data___Copy[[#This Row],[DAYS_SINCE_LAST_ORDER]],Table2[R-Cutoff],1)</f>
        <v>2</v>
      </c>
      <c r="X1942" s="2">
        <f>MATCH(Auto_Sales_data___Copy[[#This Row],[Total_Orders_Per_Customer]],Table2[F-Cutoff],1)</f>
        <v>4</v>
      </c>
      <c r="Y1942" s="2">
        <f>MATCH(Auto_Sales_data___Copy[[#This Row],[Total_Sales_Per_Customer]],Table2[M-Cutoff],1)</f>
        <v>4</v>
      </c>
      <c r="Z1942" s="2" t="str">
        <f>Auto_Sales_data___Copy[[#This Row],[R-Score(1-5)]]&amp;Auto_Sales_data___Copy[[#This Row],[F-Score(1-5)]]&amp;Auto_Sales_data___Copy[[#This Row],[M-Score(1-5)]]</f>
        <v>244</v>
      </c>
      <c r="AA1942" s="2" t="str" cm="1">
        <f t="array" ref="AA19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2" s="2" t="str">
        <f>VLOOKUP(Auto_Sales_data___Copy[[#This Row],[Segment Name]],Table3[],2,FALSE)</f>
        <v>High-Touch  Win-Back</v>
      </c>
    </row>
    <row r="1943" spans="1:28" x14ac:dyDescent="0.25">
      <c r="A1943">
        <v>10371</v>
      </c>
      <c r="B1943">
        <v>28</v>
      </c>
      <c r="C1943">
        <v>50.32</v>
      </c>
      <c r="D1943">
        <v>9</v>
      </c>
      <c r="E1943">
        <v>1408.96</v>
      </c>
      <c r="F1943" s="1">
        <v>43853</v>
      </c>
      <c r="G1943" s="2" t="s">
        <v>19</v>
      </c>
      <c r="H1943" s="2" t="s">
        <v>183</v>
      </c>
      <c r="I1943">
        <v>118</v>
      </c>
      <c r="J1943" s="2" t="s">
        <v>690</v>
      </c>
      <c r="K1943" s="2" t="s">
        <v>284</v>
      </c>
      <c r="L1943" s="2" t="s">
        <v>285</v>
      </c>
      <c r="M1943" s="2" t="s">
        <v>286</v>
      </c>
      <c r="N1943" s="2" t="s">
        <v>287</v>
      </c>
      <c r="O1943" s="2" t="s">
        <v>106</v>
      </c>
      <c r="P1943" s="2" t="s">
        <v>27</v>
      </c>
      <c r="Q1943" s="2" t="s">
        <v>288</v>
      </c>
      <c r="R1943" s="2" t="s">
        <v>289</v>
      </c>
      <c r="S1943" s="2" t="s">
        <v>30</v>
      </c>
      <c r="T1943">
        <v>2132</v>
      </c>
      <c r="U1943">
        <f>VLOOKUP(Auto_Sales_data___Copy[[#This Row],[CUSTOMER_NAME]],$AF$2:$AH$90,2,FALSE)</f>
        <v>180</v>
      </c>
      <c r="V1943">
        <f>VLOOKUP(Auto_Sales_data___Copy[[#This Row],[CUSTOMER_NAME]],$AF$2:$AH$90,3,FALSE)</f>
        <v>654858.06000000017</v>
      </c>
      <c r="W1943" s="2">
        <f>6-MATCH(Auto_Sales_data___Copy[[#This Row],[DAYS_SINCE_LAST_ORDER]],Table2[R-Cutoff],1)</f>
        <v>2</v>
      </c>
      <c r="X1943" s="2">
        <f>MATCH(Auto_Sales_data___Copy[[#This Row],[Total_Orders_Per_Customer]],Table2[F-Cutoff],1)</f>
        <v>4</v>
      </c>
      <c r="Y1943" s="2">
        <f>MATCH(Auto_Sales_data___Copy[[#This Row],[Total_Sales_Per_Customer]],Table2[M-Cutoff],1)</f>
        <v>4</v>
      </c>
      <c r="Z1943" s="2" t="str">
        <f>Auto_Sales_data___Copy[[#This Row],[R-Score(1-5)]]&amp;Auto_Sales_data___Copy[[#This Row],[F-Score(1-5)]]&amp;Auto_Sales_data___Copy[[#This Row],[M-Score(1-5)]]</f>
        <v>244</v>
      </c>
      <c r="AA1943" s="2" t="str" cm="1">
        <f t="array" ref="AA19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3" s="2" t="str">
        <f>VLOOKUP(Auto_Sales_data___Copy[[#This Row],[Segment Name]],Table3[],2,FALSE)</f>
        <v>High-Touch  Win-Back</v>
      </c>
    </row>
    <row r="1944" spans="1:28" x14ac:dyDescent="0.25">
      <c r="A1944">
        <v>10371</v>
      </c>
      <c r="B1944">
        <v>26</v>
      </c>
      <c r="C1944">
        <v>155.54</v>
      </c>
      <c r="D1944">
        <v>1</v>
      </c>
      <c r="E1944">
        <v>4044.04</v>
      </c>
      <c r="F1944" s="1">
        <v>43853</v>
      </c>
      <c r="G1944" s="2" t="s">
        <v>19</v>
      </c>
      <c r="H1944" s="2" t="s">
        <v>537</v>
      </c>
      <c r="I1944">
        <v>96</v>
      </c>
      <c r="J1944" s="2" t="s">
        <v>694</v>
      </c>
      <c r="K1944" s="2" t="s">
        <v>284</v>
      </c>
      <c r="L1944" s="2" t="s">
        <v>285</v>
      </c>
      <c r="M1944" s="2" t="s">
        <v>286</v>
      </c>
      <c r="N1944" s="2" t="s">
        <v>287</v>
      </c>
      <c r="O1944" s="2" t="s">
        <v>106</v>
      </c>
      <c r="P1944" s="2" t="s">
        <v>27</v>
      </c>
      <c r="Q1944" s="2" t="s">
        <v>288</v>
      </c>
      <c r="R1944" s="2" t="s">
        <v>289</v>
      </c>
      <c r="S1944" s="2" t="s">
        <v>46</v>
      </c>
      <c r="T1944">
        <v>2230</v>
      </c>
      <c r="U1944">
        <f>VLOOKUP(Auto_Sales_data___Copy[[#This Row],[CUSTOMER_NAME]],$AF$2:$AH$90,2,FALSE)</f>
        <v>180</v>
      </c>
      <c r="V1944">
        <f>VLOOKUP(Auto_Sales_data___Copy[[#This Row],[CUSTOMER_NAME]],$AF$2:$AH$90,3,FALSE)</f>
        <v>654858.06000000017</v>
      </c>
      <c r="W1944" s="2">
        <f>6-MATCH(Auto_Sales_data___Copy[[#This Row],[DAYS_SINCE_LAST_ORDER]],Table2[R-Cutoff],1)</f>
        <v>2</v>
      </c>
      <c r="X1944" s="2">
        <f>MATCH(Auto_Sales_data___Copy[[#This Row],[Total_Orders_Per_Customer]],Table2[F-Cutoff],1)</f>
        <v>4</v>
      </c>
      <c r="Y1944" s="2">
        <f>MATCH(Auto_Sales_data___Copy[[#This Row],[Total_Sales_Per_Customer]],Table2[M-Cutoff],1)</f>
        <v>4</v>
      </c>
      <c r="Z1944" s="2" t="str">
        <f>Auto_Sales_data___Copy[[#This Row],[R-Score(1-5)]]&amp;Auto_Sales_data___Copy[[#This Row],[F-Score(1-5)]]&amp;Auto_Sales_data___Copy[[#This Row],[M-Score(1-5)]]</f>
        <v>244</v>
      </c>
      <c r="AA1944" s="2" t="str" cm="1">
        <f t="array" ref="AA19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4" s="2" t="str">
        <f>VLOOKUP(Auto_Sales_data___Copy[[#This Row],[Segment Name]],Table3[],2,FALSE)</f>
        <v>High-Touch  Win-Back</v>
      </c>
    </row>
    <row r="1945" spans="1:28" x14ac:dyDescent="0.25">
      <c r="A1945">
        <v>10371</v>
      </c>
      <c r="B1945">
        <v>20</v>
      </c>
      <c r="C1945">
        <v>66.47</v>
      </c>
      <c r="D1945">
        <v>2</v>
      </c>
      <c r="E1945">
        <v>1329.4</v>
      </c>
      <c r="F1945" s="1">
        <v>43853</v>
      </c>
      <c r="G1945" s="2" t="s">
        <v>19</v>
      </c>
      <c r="H1945" s="2" t="s">
        <v>537</v>
      </c>
      <c r="I1945">
        <v>54</v>
      </c>
      <c r="J1945" s="2" t="s">
        <v>697</v>
      </c>
      <c r="K1945" s="2" t="s">
        <v>284</v>
      </c>
      <c r="L1945" s="2" t="s">
        <v>285</v>
      </c>
      <c r="M1945" s="2" t="s">
        <v>286</v>
      </c>
      <c r="N1945" s="2" t="s">
        <v>287</v>
      </c>
      <c r="O1945" s="2" t="s">
        <v>106</v>
      </c>
      <c r="P1945" s="2" t="s">
        <v>27</v>
      </c>
      <c r="Q1945" s="2" t="s">
        <v>288</v>
      </c>
      <c r="R1945" s="2" t="s">
        <v>289</v>
      </c>
      <c r="S1945" s="2" t="s">
        <v>30</v>
      </c>
      <c r="T1945">
        <v>2305</v>
      </c>
      <c r="U1945">
        <f>VLOOKUP(Auto_Sales_data___Copy[[#This Row],[CUSTOMER_NAME]],$AF$2:$AH$90,2,FALSE)</f>
        <v>180</v>
      </c>
      <c r="V1945">
        <f>VLOOKUP(Auto_Sales_data___Copy[[#This Row],[CUSTOMER_NAME]],$AF$2:$AH$90,3,FALSE)</f>
        <v>654858.06000000017</v>
      </c>
      <c r="W1945" s="2">
        <f>6-MATCH(Auto_Sales_data___Copy[[#This Row],[DAYS_SINCE_LAST_ORDER]],Table2[R-Cutoff],1)</f>
        <v>2</v>
      </c>
      <c r="X1945" s="2">
        <f>MATCH(Auto_Sales_data___Copy[[#This Row],[Total_Orders_Per_Customer]],Table2[F-Cutoff],1)</f>
        <v>4</v>
      </c>
      <c r="Y1945" s="2">
        <f>MATCH(Auto_Sales_data___Copy[[#This Row],[Total_Sales_Per_Customer]],Table2[M-Cutoff],1)</f>
        <v>4</v>
      </c>
      <c r="Z1945" s="2" t="str">
        <f>Auto_Sales_data___Copy[[#This Row],[R-Score(1-5)]]&amp;Auto_Sales_data___Copy[[#This Row],[F-Score(1-5)]]&amp;Auto_Sales_data___Copy[[#This Row],[M-Score(1-5)]]</f>
        <v>244</v>
      </c>
      <c r="AA1945" s="2" t="str" cm="1">
        <f t="array" ref="AA19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5" s="2" t="str">
        <f>VLOOKUP(Auto_Sales_data___Copy[[#This Row],[Segment Name]],Table3[],2,FALSE)</f>
        <v>High-Touch  Win-Back</v>
      </c>
    </row>
    <row r="1946" spans="1:28" x14ac:dyDescent="0.25">
      <c r="A1946">
        <v>10371</v>
      </c>
      <c r="B1946">
        <v>30</v>
      </c>
      <c r="C1946">
        <v>99.55</v>
      </c>
      <c r="D1946">
        <v>11</v>
      </c>
      <c r="E1946">
        <v>2986.5</v>
      </c>
      <c r="F1946" s="1">
        <v>43853</v>
      </c>
      <c r="G1946" s="2" t="s">
        <v>19</v>
      </c>
      <c r="H1946" s="2" t="s">
        <v>650</v>
      </c>
      <c r="I1946">
        <v>62</v>
      </c>
      <c r="J1946" s="2" t="s">
        <v>698</v>
      </c>
      <c r="K1946" s="2" t="s">
        <v>284</v>
      </c>
      <c r="L1946" s="2" t="s">
        <v>285</v>
      </c>
      <c r="M1946" s="2" t="s">
        <v>286</v>
      </c>
      <c r="N1946" s="2" t="s">
        <v>287</v>
      </c>
      <c r="O1946" s="2" t="s">
        <v>106</v>
      </c>
      <c r="P1946" s="2" t="s">
        <v>27</v>
      </c>
      <c r="Q1946" s="2" t="s">
        <v>288</v>
      </c>
      <c r="R1946" s="2" t="s">
        <v>289</v>
      </c>
      <c r="S1946" s="2" t="s">
        <v>30</v>
      </c>
      <c r="T1946">
        <v>2332</v>
      </c>
      <c r="U1946">
        <f>VLOOKUP(Auto_Sales_data___Copy[[#This Row],[CUSTOMER_NAME]],$AF$2:$AH$90,2,FALSE)</f>
        <v>180</v>
      </c>
      <c r="V1946">
        <f>VLOOKUP(Auto_Sales_data___Copy[[#This Row],[CUSTOMER_NAME]],$AF$2:$AH$90,3,FALSE)</f>
        <v>654858.06000000017</v>
      </c>
      <c r="W1946" s="2">
        <f>6-MATCH(Auto_Sales_data___Copy[[#This Row],[DAYS_SINCE_LAST_ORDER]],Table2[R-Cutoff],1)</f>
        <v>2</v>
      </c>
      <c r="X1946" s="2">
        <f>MATCH(Auto_Sales_data___Copy[[#This Row],[Total_Orders_Per_Customer]],Table2[F-Cutoff],1)</f>
        <v>4</v>
      </c>
      <c r="Y1946" s="2">
        <f>MATCH(Auto_Sales_data___Copy[[#This Row],[Total_Sales_Per_Customer]],Table2[M-Cutoff],1)</f>
        <v>4</v>
      </c>
      <c r="Z1946" s="2" t="str">
        <f>Auto_Sales_data___Copy[[#This Row],[R-Score(1-5)]]&amp;Auto_Sales_data___Copy[[#This Row],[F-Score(1-5)]]&amp;Auto_Sales_data___Copy[[#This Row],[M-Score(1-5)]]</f>
        <v>244</v>
      </c>
      <c r="AA1946" s="2" t="str" cm="1">
        <f t="array" ref="AA19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6" s="2" t="str">
        <f>VLOOKUP(Auto_Sales_data___Copy[[#This Row],[Segment Name]],Table3[],2,FALSE)</f>
        <v>High-Touch  Win-Back</v>
      </c>
    </row>
    <row r="1947" spans="1:28" x14ac:dyDescent="0.25">
      <c r="A1947">
        <v>10371</v>
      </c>
      <c r="B1947">
        <v>48</v>
      </c>
      <c r="C1947">
        <v>56.55</v>
      </c>
      <c r="D1947">
        <v>10</v>
      </c>
      <c r="E1947">
        <v>2714.4</v>
      </c>
      <c r="F1947" s="1">
        <v>43853</v>
      </c>
      <c r="G1947" s="2" t="s">
        <v>19</v>
      </c>
      <c r="H1947" s="2" t="s">
        <v>537</v>
      </c>
      <c r="I1947">
        <v>115</v>
      </c>
      <c r="J1947" s="2" t="s">
        <v>703</v>
      </c>
      <c r="K1947" s="2" t="s">
        <v>284</v>
      </c>
      <c r="L1947" s="2" t="s">
        <v>285</v>
      </c>
      <c r="M1947" s="2" t="s">
        <v>286</v>
      </c>
      <c r="N1947" s="2" t="s">
        <v>287</v>
      </c>
      <c r="O1947" s="2" t="s">
        <v>106</v>
      </c>
      <c r="P1947" s="2" t="s">
        <v>27</v>
      </c>
      <c r="Q1947" s="2" t="s">
        <v>288</v>
      </c>
      <c r="R1947" s="2" t="s">
        <v>289</v>
      </c>
      <c r="S1947" s="2" t="s">
        <v>30</v>
      </c>
      <c r="T1947">
        <v>2459</v>
      </c>
      <c r="U1947">
        <f>VLOOKUP(Auto_Sales_data___Copy[[#This Row],[CUSTOMER_NAME]],$AF$2:$AH$90,2,FALSE)</f>
        <v>180</v>
      </c>
      <c r="V1947">
        <f>VLOOKUP(Auto_Sales_data___Copy[[#This Row],[CUSTOMER_NAME]],$AF$2:$AH$90,3,FALSE)</f>
        <v>654858.06000000017</v>
      </c>
      <c r="W1947" s="2">
        <f>6-MATCH(Auto_Sales_data___Copy[[#This Row],[DAYS_SINCE_LAST_ORDER]],Table2[R-Cutoff],1)</f>
        <v>2</v>
      </c>
      <c r="X1947" s="2">
        <f>MATCH(Auto_Sales_data___Copy[[#This Row],[Total_Orders_Per_Customer]],Table2[F-Cutoff],1)</f>
        <v>4</v>
      </c>
      <c r="Y1947" s="2">
        <f>MATCH(Auto_Sales_data___Copy[[#This Row],[Total_Sales_Per_Customer]],Table2[M-Cutoff],1)</f>
        <v>4</v>
      </c>
      <c r="Z1947" s="2" t="str">
        <f>Auto_Sales_data___Copy[[#This Row],[R-Score(1-5)]]&amp;Auto_Sales_data___Copy[[#This Row],[F-Score(1-5)]]&amp;Auto_Sales_data___Copy[[#This Row],[M-Score(1-5)]]</f>
        <v>244</v>
      </c>
      <c r="AA1947" s="2" t="str" cm="1">
        <f t="array" ref="AA19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7" s="2" t="str">
        <f>VLOOKUP(Auto_Sales_data___Copy[[#This Row],[Segment Name]],Table3[],2,FALSE)</f>
        <v>High-Touch  Win-Back</v>
      </c>
    </row>
    <row r="1948" spans="1:28" x14ac:dyDescent="0.25">
      <c r="A1948">
        <v>10372</v>
      </c>
      <c r="B1948">
        <v>24</v>
      </c>
      <c r="C1948">
        <v>58.58</v>
      </c>
      <c r="D1948">
        <v>9</v>
      </c>
      <c r="E1948">
        <v>1405.92</v>
      </c>
      <c r="F1948" s="1">
        <v>43856</v>
      </c>
      <c r="G1948" s="2" t="s">
        <v>19</v>
      </c>
      <c r="H1948" s="2" t="s">
        <v>650</v>
      </c>
      <c r="I1948">
        <v>58</v>
      </c>
      <c r="J1948" s="2" t="s">
        <v>704</v>
      </c>
      <c r="K1948" s="2" t="s">
        <v>256</v>
      </c>
      <c r="L1948" s="2" t="s">
        <v>257</v>
      </c>
      <c r="M1948" s="2" t="s">
        <v>258</v>
      </c>
      <c r="N1948" s="2" t="s">
        <v>259</v>
      </c>
      <c r="O1948" s="2" t="s">
        <v>260</v>
      </c>
      <c r="P1948" s="2" t="s">
        <v>261</v>
      </c>
      <c r="Q1948" s="2" t="s">
        <v>262</v>
      </c>
      <c r="R1948" s="2" t="s">
        <v>263</v>
      </c>
      <c r="S1948" s="2" t="s">
        <v>30</v>
      </c>
      <c r="T1948">
        <v>2483</v>
      </c>
      <c r="U1948">
        <f>VLOOKUP(Auto_Sales_data___Copy[[#This Row],[CUSTOMER_NAME]],$AF$2:$AH$90,2,FALSE)</f>
        <v>32</v>
      </c>
      <c r="V1948">
        <f>VLOOKUP(Auto_Sales_data___Copy[[#This Row],[CUSTOMER_NAME]],$AF$2:$AH$90,3,FALSE)</f>
        <v>120562.74000000002</v>
      </c>
      <c r="W1948" s="2">
        <f>6-MATCH(Auto_Sales_data___Copy[[#This Row],[DAYS_SINCE_LAST_ORDER]],Table2[R-Cutoff],1)</f>
        <v>2</v>
      </c>
      <c r="X1948" s="2">
        <f>MATCH(Auto_Sales_data___Copy[[#This Row],[Total_Orders_Per_Customer]],Table2[F-Cutoff],1)</f>
        <v>4</v>
      </c>
      <c r="Y1948" s="2">
        <f>MATCH(Auto_Sales_data___Copy[[#This Row],[Total_Sales_Per_Customer]],Table2[M-Cutoff],1)</f>
        <v>4</v>
      </c>
      <c r="Z1948" s="2" t="str">
        <f>Auto_Sales_data___Copy[[#This Row],[R-Score(1-5)]]&amp;Auto_Sales_data___Copy[[#This Row],[F-Score(1-5)]]&amp;Auto_Sales_data___Copy[[#This Row],[M-Score(1-5)]]</f>
        <v>244</v>
      </c>
      <c r="AA1948" s="2" t="str" cm="1">
        <f t="array" ref="AA19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8" s="2" t="str">
        <f>VLOOKUP(Auto_Sales_data___Copy[[#This Row],[Segment Name]],Table3[],2,FALSE)</f>
        <v>High-Touch  Win-Back</v>
      </c>
    </row>
    <row r="1949" spans="1:28" x14ac:dyDescent="0.25">
      <c r="A1949">
        <v>10373</v>
      </c>
      <c r="B1949">
        <v>39</v>
      </c>
      <c r="C1949">
        <v>73</v>
      </c>
      <c r="D1949">
        <v>13</v>
      </c>
      <c r="E1949">
        <v>2847</v>
      </c>
      <c r="F1949" s="1">
        <v>43861</v>
      </c>
      <c r="G1949" s="2" t="s">
        <v>19</v>
      </c>
      <c r="H1949" s="2" t="s">
        <v>607</v>
      </c>
      <c r="I1949">
        <v>68</v>
      </c>
      <c r="J1949" s="2" t="s">
        <v>688</v>
      </c>
      <c r="K1949" s="2" t="s">
        <v>411</v>
      </c>
      <c r="L1949" s="2" t="s">
        <v>412</v>
      </c>
      <c r="M1949" s="2" t="s">
        <v>413</v>
      </c>
      <c r="N1949" s="2" t="s">
        <v>414</v>
      </c>
      <c r="O1949" s="2" t="s">
        <v>415</v>
      </c>
      <c r="P1949" s="2" t="s">
        <v>127</v>
      </c>
      <c r="Q1949" s="2" t="s">
        <v>416</v>
      </c>
      <c r="R1949" s="2" t="s">
        <v>417</v>
      </c>
      <c r="S1949" s="2" t="s">
        <v>30</v>
      </c>
      <c r="T1949">
        <v>2076</v>
      </c>
      <c r="U1949">
        <f>VLOOKUP(Auto_Sales_data___Copy[[#This Row],[CUSTOMER_NAME]],$AF$2:$AH$90,2,FALSE)</f>
        <v>32</v>
      </c>
      <c r="V1949">
        <f>VLOOKUP(Auto_Sales_data___Copy[[#This Row],[CUSTOMER_NAME]],$AF$2:$AH$90,3,FALSE)</f>
        <v>104370.37999999999</v>
      </c>
      <c r="W1949" s="2">
        <f>6-MATCH(Auto_Sales_data___Copy[[#This Row],[DAYS_SINCE_LAST_ORDER]],Table2[R-Cutoff],1)</f>
        <v>2</v>
      </c>
      <c r="X1949" s="2">
        <f>MATCH(Auto_Sales_data___Copy[[#This Row],[Total_Orders_Per_Customer]],Table2[F-Cutoff],1)</f>
        <v>4</v>
      </c>
      <c r="Y1949" s="2">
        <f>MATCH(Auto_Sales_data___Copy[[#This Row],[Total_Sales_Per_Customer]],Table2[M-Cutoff],1)</f>
        <v>4</v>
      </c>
      <c r="Z1949" s="2" t="str">
        <f>Auto_Sales_data___Copy[[#This Row],[R-Score(1-5)]]&amp;Auto_Sales_data___Copy[[#This Row],[F-Score(1-5)]]&amp;Auto_Sales_data___Copy[[#This Row],[M-Score(1-5)]]</f>
        <v>244</v>
      </c>
      <c r="AA1949" s="2" t="str" cm="1">
        <f t="array" ref="AA19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9" s="2" t="str">
        <f>VLOOKUP(Auto_Sales_data___Copy[[#This Row],[Segment Name]],Table3[],2,FALSE)</f>
        <v>High-Touch  Win-Back</v>
      </c>
    </row>
    <row r="1950" spans="1:28" x14ac:dyDescent="0.25">
      <c r="A1950">
        <v>10373</v>
      </c>
      <c r="B1950">
        <v>44</v>
      </c>
      <c r="C1950">
        <v>105.18</v>
      </c>
      <c r="D1950">
        <v>14</v>
      </c>
      <c r="E1950">
        <v>4627.92</v>
      </c>
      <c r="F1950" s="1">
        <v>43861</v>
      </c>
      <c r="G1950" s="2" t="s">
        <v>19</v>
      </c>
      <c r="H1950" s="2" t="s">
        <v>642</v>
      </c>
      <c r="I1950">
        <v>66</v>
      </c>
      <c r="J1950" s="2" t="s">
        <v>706</v>
      </c>
      <c r="K1950" s="2" t="s">
        <v>411</v>
      </c>
      <c r="L1950" s="2" t="s">
        <v>412</v>
      </c>
      <c r="M1950" s="2" t="s">
        <v>413</v>
      </c>
      <c r="N1950" s="2" t="s">
        <v>414</v>
      </c>
      <c r="O1950" s="2" t="s">
        <v>415</v>
      </c>
      <c r="P1950" s="2" t="s">
        <v>127</v>
      </c>
      <c r="Q1950" s="2" t="s">
        <v>416</v>
      </c>
      <c r="R1950" s="2" t="s">
        <v>417</v>
      </c>
      <c r="S1950" s="2" t="s">
        <v>46</v>
      </c>
      <c r="T1950">
        <v>2528</v>
      </c>
      <c r="U1950">
        <f>VLOOKUP(Auto_Sales_data___Copy[[#This Row],[CUSTOMER_NAME]],$AF$2:$AH$90,2,FALSE)</f>
        <v>32</v>
      </c>
      <c r="V1950">
        <f>VLOOKUP(Auto_Sales_data___Copy[[#This Row],[CUSTOMER_NAME]],$AF$2:$AH$90,3,FALSE)</f>
        <v>104370.37999999999</v>
      </c>
      <c r="W1950" s="2">
        <f>6-MATCH(Auto_Sales_data___Copy[[#This Row],[DAYS_SINCE_LAST_ORDER]],Table2[R-Cutoff],1)</f>
        <v>2</v>
      </c>
      <c r="X1950" s="2">
        <f>MATCH(Auto_Sales_data___Copy[[#This Row],[Total_Orders_Per_Customer]],Table2[F-Cutoff],1)</f>
        <v>4</v>
      </c>
      <c r="Y1950" s="2">
        <f>MATCH(Auto_Sales_data___Copy[[#This Row],[Total_Sales_Per_Customer]],Table2[M-Cutoff],1)</f>
        <v>4</v>
      </c>
      <c r="Z1950" s="2" t="str">
        <f>Auto_Sales_data___Copy[[#This Row],[R-Score(1-5)]]&amp;Auto_Sales_data___Copy[[#This Row],[F-Score(1-5)]]&amp;Auto_Sales_data___Copy[[#This Row],[M-Score(1-5)]]</f>
        <v>244</v>
      </c>
      <c r="AA1950" s="2" t="str" cm="1">
        <f t="array" ref="AA19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0" s="2" t="str">
        <f>VLOOKUP(Auto_Sales_data___Copy[[#This Row],[Segment Name]],Table3[],2,FALSE)</f>
        <v>High-Touch  Win-Back</v>
      </c>
    </row>
    <row r="1951" spans="1:28" x14ac:dyDescent="0.25">
      <c r="A1951">
        <v>10375</v>
      </c>
      <c r="B1951">
        <v>43</v>
      </c>
      <c r="C1951">
        <v>233.48</v>
      </c>
      <c r="D1951">
        <v>2</v>
      </c>
      <c r="E1951">
        <v>10039.6</v>
      </c>
      <c r="F1951" s="1">
        <v>43864</v>
      </c>
      <c r="G1951" s="2" t="s">
        <v>19</v>
      </c>
      <c r="H1951" s="2" t="s">
        <v>607</v>
      </c>
      <c r="I1951">
        <v>72</v>
      </c>
      <c r="J1951" s="2" t="s">
        <v>692</v>
      </c>
      <c r="K1951" s="2" t="s">
        <v>108</v>
      </c>
      <c r="L1951" s="2" t="s">
        <v>109</v>
      </c>
      <c r="M1951" s="2" t="s">
        <v>110</v>
      </c>
      <c r="N1951" s="2" t="s">
        <v>111</v>
      </c>
      <c r="O1951" s="2" t="s">
        <v>112</v>
      </c>
      <c r="P1951" s="2" t="s">
        <v>36</v>
      </c>
      <c r="Q1951" s="2" t="s">
        <v>113</v>
      </c>
      <c r="R1951" s="2" t="s">
        <v>114</v>
      </c>
      <c r="S1951" s="2" t="s">
        <v>151</v>
      </c>
      <c r="T1951">
        <v>2168</v>
      </c>
      <c r="U1951">
        <f>VLOOKUP(Auto_Sales_data___Copy[[#This Row],[CUSTOMER_NAME]],$AF$2:$AH$90,2,FALSE)</f>
        <v>53</v>
      </c>
      <c r="V1951">
        <f>VLOOKUP(Auto_Sales_data___Copy[[#This Row],[CUSTOMER_NAME]],$AF$2:$AH$90,3,FALSE)</f>
        <v>180124.90000000008</v>
      </c>
      <c r="W1951" s="2">
        <f>6-MATCH(Auto_Sales_data___Copy[[#This Row],[DAYS_SINCE_LAST_ORDER]],Table2[R-Cutoff],1)</f>
        <v>2</v>
      </c>
      <c r="X1951" s="2">
        <f>MATCH(Auto_Sales_data___Copy[[#This Row],[Total_Orders_Per_Customer]],Table2[F-Cutoff],1)</f>
        <v>4</v>
      </c>
      <c r="Y1951" s="2">
        <f>MATCH(Auto_Sales_data___Copy[[#This Row],[Total_Sales_Per_Customer]],Table2[M-Cutoff],1)</f>
        <v>4</v>
      </c>
      <c r="Z1951" s="2" t="str">
        <f>Auto_Sales_data___Copy[[#This Row],[R-Score(1-5)]]&amp;Auto_Sales_data___Copy[[#This Row],[F-Score(1-5)]]&amp;Auto_Sales_data___Copy[[#This Row],[M-Score(1-5)]]</f>
        <v>244</v>
      </c>
      <c r="AA1951" s="2" t="str" cm="1">
        <f t="array" ref="AA19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1" s="2" t="str">
        <f>VLOOKUP(Auto_Sales_data___Copy[[#This Row],[Segment Name]],Table3[],2,FALSE)</f>
        <v>High-Touch  Win-Back</v>
      </c>
    </row>
    <row r="1952" spans="1:28" x14ac:dyDescent="0.25">
      <c r="A1952">
        <v>10375</v>
      </c>
      <c r="B1952">
        <v>37</v>
      </c>
      <c r="C1952">
        <v>171.71</v>
      </c>
      <c r="D1952">
        <v>3</v>
      </c>
      <c r="E1952">
        <v>6353.27</v>
      </c>
      <c r="F1952" s="1">
        <v>43864</v>
      </c>
      <c r="G1952" s="2" t="s">
        <v>19</v>
      </c>
      <c r="H1952" s="2" t="s">
        <v>20</v>
      </c>
      <c r="I1952">
        <v>99</v>
      </c>
      <c r="J1952" s="2" t="s">
        <v>695</v>
      </c>
      <c r="K1952" s="2" t="s">
        <v>108</v>
      </c>
      <c r="L1952" s="2" t="s">
        <v>109</v>
      </c>
      <c r="M1952" s="2" t="s">
        <v>110</v>
      </c>
      <c r="N1952" s="2" t="s">
        <v>111</v>
      </c>
      <c r="O1952" s="2" t="s">
        <v>112</v>
      </c>
      <c r="P1952" s="2" t="s">
        <v>36</v>
      </c>
      <c r="Q1952" s="2" t="s">
        <v>113</v>
      </c>
      <c r="R1952" s="2" t="s">
        <v>114</v>
      </c>
      <c r="S1952" s="2" t="s">
        <v>46</v>
      </c>
      <c r="T1952">
        <v>2243</v>
      </c>
      <c r="U1952">
        <f>VLOOKUP(Auto_Sales_data___Copy[[#This Row],[CUSTOMER_NAME]],$AF$2:$AH$90,2,FALSE)</f>
        <v>53</v>
      </c>
      <c r="V1952">
        <f>VLOOKUP(Auto_Sales_data___Copy[[#This Row],[CUSTOMER_NAME]],$AF$2:$AH$90,3,FALSE)</f>
        <v>180124.90000000008</v>
      </c>
      <c r="W1952" s="2">
        <f>6-MATCH(Auto_Sales_data___Copy[[#This Row],[DAYS_SINCE_LAST_ORDER]],Table2[R-Cutoff],1)</f>
        <v>2</v>
      </c>
      <c r="X1952" s="2">
        <f>MATCH(Auto_Sales_data___Copy[[#This Row],[Total_Orders_Per_Customer]],Table2[F-Cutoff],1)</f>
        <v>4</v>
      </c>
      <c r="Y1952" s="2">
        <f>MATCH(Auto_Sales_data___Copy[[#This Row],[Total_Sales_Per_Customer]],Table2[M-Cutoff],1)</f>
        <v>4</v>
      </c>
      <c r="Z1952" s="2" t="str">
        <f>Auto_Sales_data___Copy[[#This Row],[R-Score(1-5)]]&amp;Auto_Sales_data___Copy[[#This Row],[F-Score(1-5)]]&amp;Auto_Sales_data___Copy[[#This Row],[M-Score(1-5)]]</f>
        <v>244</v>
      </c>
      <c r="AA1952" s="2" t="str" cm="1">
        <f t="array" ref="AA19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2" s="2" t="str">
        <f>VLOOKUP(Auto_Sales_data___Copy[[#This Row],[Segment Name]],Table3[],2,FALSE)</f>
        <v>High-Touch  Win-Back</v>
      </c>
    </row>
    <row r="1953" spans="1:28" x14ac:dyDescent="0.25">
      <c r="A1953">
        <v>10375</v>
      </c>
      <c r="B1953">
        <v>44</v>
      </c>
      <c r="C1953">
        <v>82.26</v>
      </c>
      <c r="D1953">
        <v>4</v>
      </c>
      <c r="E1953">
        <v>3619.44</v>
      </c>
      <c r="F1953" s="1">
        <v>43864</v>
      </c>
      <c r="G1953" s="2" t="s">
        <v>19</v>
      </c>
      <c r="H1953" s="2" t="s">
        <v>589</v>
      </c>
      <c r="I1953">
        <v>68</v>
      </c>
      <c r="J1953" s="2" t="s">
        <v>700</v>
      </c>
      <c r="K1953" s="2" t="s">
        <v>108</v>
      </c>
      <c r="L1953" s="2" t="s">
        <v>109</v>
      </c>
      <c r="M1953" s="2" t="s">
        <v>110</v>
      </c>
      <c r="N1953" s="2" t="s">
        <v>111</v>
      </c>
      <c r="O1953" s="2" t="s">
        <v>112</v>
      </c>
      <c r="P1953" s="2" t="s">
        <v>36</v>
      </c>
      <c r="Q1953" s="2" t="s">
        <v>113</v>
      </c>
      <c r="R1953" s="2" t="s">
        <v>114</v>
      </c>
      <c r="S1953" s="2" t="s">
        <v>46</v>
      </c>
      <c r="T1953">
        <v>2370</v>
      </c>
      <c r="U1953">
        <f>VLOOKUP(Auto_Sales_data___Copy[[#This Row],[CUSTOMER_NAME]],$AF$2:$AH$90,2,FALSE)</f>
        <v>53</v>
      </c>
      <c r="V1953">
        <f>VLOOKUP(Auto_Sales_data___Copy[[#This Row],[CUSTOMER_NAME]],$AF$2:$AH$90,3,FALSE)</f>
        <v>180124.90000000008</v>
      </c>
      <c r="W1953" s="2">
        <f>6-MATCH(Auto_Sales_data___Copy[[#This Row],[DAYS_SINCE_LAST_ORDER]],Table2[R-Cutoff],1)</f>
        <v>2</v>
      </c>
      <c r="X1953" s="2">
        <f>MATCH(Auto_Sales_data___Copy[[#This Row],[Total_Orders_Per_Customer]],Table2[F-Cutoff],1)</f>
        <v>4</v>
      </c>
      <c r="Y1953" s="2">
        <f>MATCH(Auto_Sales_data___Copy[[#This Row],[Total_Sales_Per_Customer]],Table2[M-Cutoff],1)</f>
        <v>4</v>
      </c>
      <c r="Z1953" s="2" t="str">
        <f>Auto_Sales_data___Copy[[#This Row],[R-Score(1-5)]]&amp;Auto_Sales_data___Copy[[#This Row],[F-Score(1-5)]]&amp;Auto_Sales_data___Copy[[#This Row],[M-Score(1-5)]]</f>
        <v>244</v>
      </c>
      <c r="AA1953" s="2" t="str" cm="1">
        <f t="array" ref="AA19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3" s="2" t="str">
        <f>VLOOKUP(Auto_Sales_data___Copy[[#This Row],[Segment Name]],Table3[],2,FALSE)</f>
        <v>High-Touch  Win-Back</v>
      </c>
    </row>
    <row r="1954" spans="1:28" x14ac:dyDescent="0.25">
      <c r="A1954">
        <v>10375</v>
      </c>
      <c r="B1954">
        <v>41</v>
      </c>
      <c r="C1954">
        <v>114.68</v>
      </c>
      <c r="D1954">
        <v>15</v>
      </c>
      <c r="E1954">
        <v>4701.88</v>
      </c>
      <c r="F1954" s="1">
        <v>43864</v>
      </c>
      <c r="G1954" s="2" t="s">
        <v>19</v>
      </c>
      <c r="H1954" s="2" t="s">
        <v>20</v>
      </c>
      <c r="I1954">
        <v>102</v>
      </c>
      <c r="J1954" s="2" t="s">
        <v>701</v>
      </c>
      <c r="K1954" s="2" t="s">
        <v>108</v>
      </c>
      <c r="L1954" s="2" t="s">
        <v>109</v>
      </c>
      <c r="M1954" s="2" t="s">
        <v>110</v>
      </c>
      <c r="N1954" s="2" t="s">
        <v>111</v>
      </c>
      <c r="O1954" s="2" t="s">
        <v>112</v>
      </c>
      <c r="P1954" s="2" t="s">
        <v>36</v>
      </c>
      <c r="Q1954" s="2" t="s">
        <v>113</v>
      </c>
      <c r="R1954" s="2" t="s">
        <v>114</v>
      </c>
      <c r="S1954" s="2" t="s">
        <v>46</v>
      </c>
      <c r="T1954">
        <v>2396</v>
      </c>
      <c r="U1954">
        <f>VLOOKUP(Auto_Sales_data___Copy[[#This Row],[CUSTOMER_NAME]],$AF$2:$AH$90,2,FALSE)</f>
        <v>53</v>
      </c>
      <c r="V1954">
        <f>VLOOKUP(Auto_Sales_data___Copy[[#This Row],[CUSTOMER_NAME]],$AF$2:$AH$90,3,FALSE)</f>
        <v>180124.90000000008</v>
      </c>
      <c r="W1954" s="2">
        <f>6-MATCH(Auto_Sales_data___Copy[[#This Row],[DAYS_SINCE_LAST_ORDER]],Table2[R-Cutoff],1)</f>
        <v>2</v>
      </c>
      <c r="X1954" s="2">
        <f>MATCH(Auto_Sales_data___Copy[[#This Row],[Total_Orders_Per_Customer]],Table2[F-Cutoff],1)</f>
        <v>4</v>
      </c>
      <c r="Y1954" s="2">
        <f>MATCH(Auto_Sales_data___Copy[[#This Row],[Total_Sales_Per_Customer]],Table2[M-Cutoff],1)</f>
        <v>4</v>
      </c>
      <c r="Z1954" s="2" t="str">
        <f>Auto_Sales_data___Copy[[#This Row],[R-Score(1-5)]]&amp;Auto_Sales_data___Copy[[#This Row],[F-Score(1-5)]]&amp;Auto_Sales_data___Copy[[#This Row],[M-Score(1-5)]]</f>
        <v>244</v>
      </c>
      <c r="AA1954" s="2" t="str" cm="1">
        <f t="array" ref="AA19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4" s="2" t="str">
        <f>VLOOKUP(Auto_Sales_data___Copy[[#This Row],[Segment Name]],Table3[],2,FALSE)</f>
        <v>High-Touch  Win-Back</v>
      </c>
    </row>
    <row r="1955" spans="1:28" x14ac:dyDescent="0.25">
      <c r="A1955">
        <v>10375</v>
      </c>
      <c r="B1955">
        <v>49</v>
      </c>
      <c r="C1955">
        <v>65.8</v>
      </c>
      <c r="D1955">
        <v>5</v>
      </c>
      <c r="E1955">
        <v>3224.2</v>
      </c>
      <c r="F1955" s="1">
        <v>43864</v>
      </c>
      <c r="G1955" s="2" t="s">
        <v>19</v>
      </c>
      <c r="H1955" s="2" t="s">
        <v>589</v>
      </c>
      <c r="I1955">
        <v>43</v>
      </c>
      <c r="J1955" s="2" t="s">
        <v>702</v>
      </c>
      <c r="K1955" s="2" t="s">
        <v>108</v>
      </c>
      <c r="L1955" s="2" t="s">
        <v>109</v>
      </c>
      <c r="M1955" s="2" t="s">
        <v>110</v>
      </c>
      <c r="N1955" s="2" t="s">
        <v>111</v>
      </c>
      <c r="O1955" s="2" t="s">
        <v>112</v>
      </c>
      <c r="P1955" s="2" t="s">
        <v>36</v>
      </c>
      <c r="Q1955" s="2" t="s">
        <v>113</v>
      </c>
      <c r="R1955" s="2" t="s">
        <v>114</v>
      </c>
      <c r="S1955" s="2" t="s">
        <v>46</v>
      </c>
      <c r="T1955">
        <v>2420</v>
      </c>
      <c r="U1955">
        <f>VLOOKUP(Auto_Sales_data___Copy[[#This Row],[CUSTOMER_NAME]],$AF$2:$AH$90,2,FALSE)</f>
        <v>53</v>
      </c>
      <c r="V1955">
        <f>VLOOKUP(Auto_Sales_data___Copy[[#This Row],[CUSTOMER_NAME]],$AF$2:$AH$90,3,FALSE)</f>
        <v>180124.90000000008</v>
      </c>
      <c r="W1955" s="2">
        <f>6-MATCH(Auto_Sales_data___Copy[[#This Row],[DAYS_SINCE_LAST_ORDER]],Table2[R-Cutoff],1)</f>
        <v>2</v>
      </c>
      <c r="X1955" s="2">
        <f>MATCH(Auto_Sales_data___Copy[[#This Row],[Total_Orders_Per_Customer]],Table2[F-Cutoff],1)</f>
        <v>4</v>
      </c>
      <c r="Y1955" s="2">
        <f>MATCH(Auto_Sales_data___Copy[[#This Row],[Total_Sales_Per_Customer]],Table2[M-Cutoff],1)</f>
        <v>4</v>
      </c>
      <c r="Z1955" s="2" t="str">
        <f>Auto_Sales_data___Copy[[#This Row],[R-Score(1-5)]]&amp;Auto_Sales_data___Copy[[#This Row],[F-Score(1-5)]]&amp;Auto_Sales_data___Copy[[#This Row],[M-Score(1-5)]]</f>
        <v>244</v>
      </c>
      <c r="AA1955" s="2" t="str" cm="1">
        <f t="array" ref="AA19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5" s="2" t="str">
        <f>VLOOKUP(Auto_Sales_data___Copy[[#This Row],[Segment Name]],Table3[],2,FALSE)</f>
        <v>High-Touch  Win-Back</v>
      </c>
    </row>
    <row r="1956" spans="1:28" x14ac:dyDescent="0.25">
      <c r="A1956">
        <v>10375</v>
      </c>
      <c r="B1956">
        <v>49</v>
      </c>
      <c r="C1956">
        <v>110.34</v>
      </c>
      <c r="D1956">
        <v>8</v>
      </c>
      <c r="E1956">
        <v>5406.66</v>
      </c>
      <c r="F1956" s="1">
        <v>43864</v>
      </c>
      <c r="G1956" s="2" t="s">
        <v>19</v>
      </c>
      <c r="H1956" s="2" t="s">
        <v>20</v>
      </c>
      <c r="I1956">
        <v>81</v>
      </c>
      <c r="J1956" s="2" t="s">
        <v>705</v>
      </c>
      <c r="K1956" s="2" t="s">
        <v>108</v>
      </c>
      <c r="L1956" s="2" t="s">
        <v>109</v>
      </c>
      <c r="M1956" s="2" t="s">
        <v>110</v>
      </c>
      <c r="N1956" s="2" t="s">
        <v>111</v>
      </c>
      <c r="O1956" s="2" t="s">
        <v>112</v>
      </c>
      <c r="P1956" s="2" t="s">
        <v>36</v>
      </c>
      <c r="Q1956" s="2" t="s">
        <v>113</v>
      </c>
      <c r="R1956" s="2" t="s">
        <v>114</v>
      </c>
      <c r="S1956" s="2" t="s">
        <v>46</v>
      </c>
      <c r="T1956">
        <v>2500</v>
      </c>
      <c r="U1956">
        <f>VLOOKUP(Auto_Sales_data___Copy[[#This Row],[CUSTOMER_NAME]],$AF$2:$AH$90,2,FALSE)</f>
        <v>53</v>
      </c>
      <c r="V1956">
        <f>VLOOKUP(Auto_Sales_data___Copy[[#This Row],[CUSTOMER_NAME]],$AF$2:$AH$90,3,FALSE)</f>
        <v>180124.90000000008</v>
      </c>
      <c r="W1956" s="2">
        <f>6-MATCH(Auto_Sales_data___Copy[[#This Row],[DAYS_SINCE_LAST_ORDER]],Table2[R-Cutoff],1)</f>
        <v>2</v>
      </c>
      <c r="X1956" s="2">
        <f>MATCH(Auto_Sales_data___Copy[[#This Row],[Total_Orders_Per_Customer]],Table2[F-Cutoff],1)</f>
        <v>4</v>
      </c>
      <c r="Y1956" s="2">
        <f>MATCH(Auto_Sales_data___Copy[[#This Row],[Total_Sales_Per_Customer]],Table2[M-Cutoff],1)</f>
        <v>4</v>
      </c>
      <c r="Z1956" s="2" t="str">
        <f>Auto_Sales_data___Copy[[#This Row],[R-Score(1-5)]]&amp;Auto_Sales_data___Copy[[#This Row],[F-Score(1-5)]]&amp;Auto_Sales_data___Copy[[#This Row],[M-Score(1-5)]]</f>
        <v>244</v>
      </c>
      <c r="AA1956" s="2" t="str" cm="1">
        <f t="array" ref="AA19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6" s="2" t="str">
        <f>VLOOKUP(Auto_Sales_data___Copy[[#This Row],[Segment Name]],Table3[],2,FALSE)</f>
        <v>High-Touch  Win-Back</v>
      </c>
    </row>
    <row r="1957" spans="1:28" x14ac:dyDescent="0.25">
      <c r="A1957">
        <v>10375</v>
      </c>
      <c r="B1957">
        <v>37</v>
      </c>
      <c r="C1957">
        <v>81.87</v>
      </c>
      <c r="D1957">
        <v>6</v>
      </c>
      <c r="E1957">
        <v>3029.19</v>
      </c>
      <c r="F1957" s="1">
        <v>43864</v>
      </c>
      <c r="G1957" s="2" t="s">
        <v>19</v>
      </c>
      <c r="H1957" s="2" t="s">
        <v>607</v>
      </c>
      <c r="I1957">
        <v>91</v>
      </c>
      <c r="J1957" s="2" t="s">
        <v>707</v>
      </c>
      <c r="K1957" s="2" t="s">
        <v>108</v>
      </c>
      <c r="L1957" s="2" t="s">
        <v>109</v>
      </c>
      <c r="M1957" s="2" t="s">
        <v>110</v>
      </c>
      <c r="N1957" s="2" t="s">
        <v>111</v>
      </c>
      <c r="O1957" s="2" t="s">
        <v>112</v>
      </c>
      <c r="P1957" s="2" t="s">
        <v>36</v>
      </c>
      <c r="Q1957" s="2" t="s">
        <v>113</v>
      </c>
      <c r="R1957" s="2" t="s">
        <v>114</v>
      </c>
      <c r="S1957" s="2" t="s">
        <v>46</v>
      </c>
      <c r="T1957">
        <v>2550</v>
      </c>
      <c r="U1957">
        <f>VLOOKUP(Auto_Sales_data___Copy[[#This Row],[CUSTOMER_NAME]],$AF$2:$AH$90,2,FALSE)</f>
        <v>53</v>
      </c>
      <c r="V1957">
        <f>VLOOKUP(Auto_Sales_data___Copy[[#This Row],[CUSTOMER_NAME]],$AF$2:$AH$90,3,FALSE)</f>
        <v>180124.90000000008</v>
      </c>
      <c r="W1957" s="2">
        <f>6-MATCH(Auto_Sales_data___Copy[[#This Row],[DAYS_SINCE_LAST_ORDER]],Table2[R-Cutoff],1)</f>
        <v>2</v>
      </c>
      <c r="X1957" s="2">
        <f>MATCH(Auto_Sales_data___Copy[[#This Row],[Total_Orders_Per_Customer]],Table2[F-Cutoff],1)</f>
        <v>4</v>
      </c>
      <c r="Y1957" s="2">
        <f>MATCH(Auto_Sales_data___Copy[[#This Row],[Total_Sales_Per_Customer]],Table2[M-Cutoff],1)</f>
        <v>4</v>
      </c>
      <c r="Z1957" s="2" t="str">
        <f>Auto_Sales_data___Copy[[#This Row],[R-Score(1-5)]]&amp;Auto_Sales_data___Copy[[#This Row],[F-Score(1-5)]]&amp;Auto_Sales_data___Copy[[#This Row],[M-Score(1-5)]]</f>
        <v>244</v>
      </c>
      <c r="AA1957" s="2" t="str" cm="1">
        <f t="array" ref="AA19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7" s="2" t="str">
        <f>VLOOKUP(Auto_Sales_data___Copy[[#This Row],[Segment Name]],Table3[],2,FALSE)</f>
        <v>High-Touch  Win-Back</v>
      </c>
    </row>
    <row r="1958" spans="1:28" x14ac:dyDescent="0.25">
      <c r="A1958">
        <v>10382</v>
      </c>
      <c r="B1958">
        <v>33</v>
      </c>
      <c r="C1958">
        <v>139.16999999999999</v>
      </c>
      <c r="D1958">
        <v>4</v>
      </c>
      <c r="E1958">
        <v>4592.6099999999997</v>
      </c>
      <c r="F1958" s="1">
        <v>43878</v>
      </c>
      <c r="G1958" s="2" t="s">
        <v>19</v>
      </c>
      <c r="H1958" s="2" t="s">
        <v>589</v>
      </c>
      <c r="I1958">
        <v>97</v>
      </c>
      <c r="J1958" s="2" t="s">
        <v>691</v>
      </c>
      <c r="K1958" s="2" t="s">
        <v>284</v>
      </c>
      <c r="L1958" s="2" t="s">
        <v>285</v>
      </c>
      <c r="M1958" s="2" t="s">
        <v>286</v>
      </c>
      <c r="N1958" s="2" t="s">
        <v>287</v>
      </c>
      <c r="O1958" s="2" t="s">
        <v>106</v>
      </c>
      <c r="P1958" s="2" t="s">
        <v>27</v>
      </c>
      <c r="Q1958" s="2" t="s">
        <v>288</v>
      </c>
      <c r="R1958" s="2" t="s">
        <v>289</v>
      </c>
      <c r="S1958" s="2" t="s">
        <v>46</v>
      </c>
      <c r="T1958">
        <v>2133</v>
      </c>
      <c r="U1958">
        <f>VLOOKUP(Auto_Sales_data___Copy[[#This Row],[CUSTOMER_NAME]],$AF$2:$AH$90,2,FALSE)</f>
        <v>180</v>
      </c>
      <c r="V1958">
        <f>VLOOKUP(Auto_Sales_data___Copy[[#This Row],[CUSTOMER_NAME]],$AF$2:$AH$90,3,FALSE)</f>
        <v>654858.06000000017</v>
      </c>
      <c r="W1958" s="2">
        <f>6-MATCH(Auto_Sales_data___Copy[[#This Row],[DAYS_SINCE_LAST_ORDER]],Table2[R-Cutoff],1)</f>
        <v>2</v>
      </c>
      <c r="X1958" s="2">
        <f>MATCH(Auto_Sales_data___Copy[[#This Row],[Total_Orders_Per_Customer]],Table2[F-Cutoff],1)</f>
        <v>4</v>
      </c>
      <c r="Y1958" s="2">
        <f>MATCH(Auto_Sales_data___Copy[[#This Row],[Total_Sales_Per_Customer]],Table2[M-Cutoff],1)</f>
        <v>4</v>
      </c>
      <c r="Z1958" s="2" t="str">
        <f>Auto_Sales_data___Copy[[#This Row],[R-Score(1-5)]]&amp;Auto_Sales_data___Copy[[#This Row],[F-Score(1-5)]]&amp;Auto_Sales_data___Copy[[#This Row],[M-Score(1-5)]]</f>
        <v>244</v>
      </c>
      <c r="AA1958" s="2" t="str" cm="1">
        <f t="array" ref="AA19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8" s="2" t="str">
        <f>VLOOKUP(Auto_Sales_data___Copy[[#This Row],[Segment Name]],Table3[],2,FALSE)</f>
        <v>High-Touch  Win-Back</v>
      </c>
    </row>
    <row r="1959" spans="1:28" x14ac:dyDescent="0.25">
      <c r="A1959">
        <v>10382</v>
      </c>
      <c r="B1959">
        <v>26</v>
      </c>
      <c r="C1959">
        <v>104.17</v>
      </c>
      <c r="D1959">
        <v>6</v>
      </c>
      <c r="E1959">
        <v>2708.42</v>
      </c>
      <c r="F1959" s="1">
        <v>43878</v>
      </c>
      <c r="G1959" s="2" t="s">
        <v>19</v>
      </c>
      <c r="H1959" s="2" t="s">
        <v>537</v>
      </c>
      <c r="I1959">
        <v>96</v>
      </c>
      <c r="J1959" s="2" t="s">
        <v>694</v>
      </c>
      <c r="K1959" s="2" t="s">
        <v>284</v>
      </c>
      <c r="L1959" s="2" t="s">
        <v>285</v>
      </c>
      <c r="M1959" s="2" t="s">
        <v>286</v>
      </c>
      <c r="N1959" s="2" t="s">
        <v>287</v>
      </c>
      <c r="O1959" s="2" t="s">
        <v>106</v>
      </c>
      <c r="P1959" s="2" t="s">
        <v>27</v>
      </c>
      <c r="Q1959" s="2" t="s">
        <v>288</v>
      </c>
      <c r="R1959" s="2" t="s">
        <v>289</v>
      </c>
      <c r="S1959" s="2" t="s">
        <v>30</v>
      </c>
      <c r="T1959">
        <v>2206</v>
      </c>
      <c r="U1959">
        <f>VLOOKUP(Auto_Sales_data___Copy[[#This Row],[CUSTOMER_NAME]],$AF$2:$AH$90,2,FALSE)</f>
        <v>180</v>
      </c>
      <c r="V1959">
        <f>VLOOKUP(Auto_Sales_data___Copy[[#This Row],[CUSTOMER_NAME]],$AF$2:$AH$90,3,FALSE)</f>
        <v>654858.06000000017</v>
      </c>
      <c r="W1959" s="2">
        <f>6-MATCH(Auto_Sales_data___Copy[[#This Row],[DAYS_SINCE_LAST_ORDER]],Table2[R-Cutoff],1)</f>
        <v>2</v>
      </c>
      <c r="X1959" s="2">
        <f>MATCH(Auto_Sales_data___Copy[[#This Row],[Total_Orders_Per_Customer]],Table2[F-Cutoff],1)</f>
        <v>4</v>
      </c>
      <c r="Y1959" s="2">
        <f>MATCH(Auto_Sales_data___Copy[[#This Row],[Total_Sales_Per_Customer]],Table2[M-Cutoff],1)</f>
        <v>4</v>
      </c>
      <c r="Z1959" s="2" t="str">
        <f>Auto_Sales_data___Copy[[#This Row],[R-Score(1-5)]]&amp;Auto_Sales_data___Copy[[#This Row],[F-Score(1-5)]]&amp;Auto_Sales_data___Copy[[#This Row],[M-Score(1-5)]]</f>
        <v>244</v>
      </c>
      <c r="AA1959" s="2" t="str" cm="1">
        <f t="array" ref="AA19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9" s="2" t="str">
        <f>VLOOKUP(Auto_Sales_data___Copy[[#This Row],[Segment Name]],Table3[],2,FALSE)</f>
        <v>High-Touch  Win-Back</v>
      </c>
    </row>
    <row r="1960" spans="1:28" x14ac:dyDescent="0.25">
      <c r="A1960">
        <v>10382</v>
      </c>
      <c r="B1960">
        <v>48</v>
      </c>
      <c r="C1960">
        <v>141.66</v>
      </c>
      <c r="D1960">
        <v>8</v>
      </c>
      <c r="E1960">
        <v>6799.68</v>
      </c>
      <c r="F1960" s="1">
        <v>43878</v>
      </c>
      <c r="G1960" s="2" t="s">
        <v>19</v>
      </c>
      <c r="H1960" s="2" t="s">
        <v>537</v>
      </c>
      <c r="I1960">
        <v>64</v>
      </c>
      <c r="J1960" s="2" t="s">
        <v>699</v>
      </c>
      <c r="K1960" s="2" t="s">
        <v>284</v>
      </c>
      <c r="L1960" s="2" t="s">
        <v>285</v>
      </c>
      <c r="M1960" s="2" t="s">
        <v>286</v>
      </c>
      <c r="N1960" s="2" t="s">
        <v>287</v>
      </c>
      <c r="O1960" s="2" t="s">
        <v>106</v>
      </c>
      <c r="P1960" s="2" t="s">
        <v>27</v>
      </c>
      <c r="Q1960" s="2" t="s">
        <v>288</v>
      </c>
      <c r="R1960" s="2" t="s">
        <v>289</v>
      </c>
      <c r="S1960" s="2" t="s">
        <v>46</v>
      </c>
      <c r="T1960">
        <v>2334</v>
      </c>
      <c r="U1960">
        <f>VLOOKUP(Auto_Sales_data___Copy[[#This Row],[CUSTOMER_NAME]],$AF$2:$AH$90,2,FALSE)</f>
        <v>180</v>
      </c>
      <c r="V1960">
        <f>VLOOKUP(Auto_Sales_data___Copy[[#This Row],[CUSTOMER_NAME]],$AF$2:$AH$90,3,FALSE)</f>
        <v>654858.06000000017</v>
      </c>
      <c r="W1960" s="2">
        <f>6-MATCH(Auto_Sales_data___Copy[[#This Row],[DAYS_SINCE_LAST_ORDER]],Table2[R-Cutoff],1)</f>
        <v>2</v>
      </c>
      <c r="X1960" s="2">
        <f>MATCH(Auto_Sales_data___Copy[[#This Row],[Total_Orders_Per_Customer]],Table2[F-Cutoff],1)</f>
        <v>4</v>
      </c>
      <c r="Y1960" s="2">
        <f>MATCH(Auto_Sales_data___Copy[[#This Row],[Total_Sales_Per_Customer]],Table2[M-Cutoff],1)</f>
        <v>4</v>
      </c>
      <c r="Z1960" s="2" t="str">
        <f>Auto_Sales_data___Copy[[#This Row],[R-Score(1-5)]]&amp;Auto_Sales_data___Copy[[#This Row],[F-Score(1-5)]]&amp;Auto_Sales_data___Copy[[#This Row],[M-Score(1-5)]]</f>
        <v>244</v>
      </c>
      <c r="AA1960" s="2" t="str" cm="1">
        <f t="array" ref="AA19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0" s="2" t="str">
        <f>VLOOKUP(Auto_Sales_data___Copy[[#This Row],[Segment Name]],Table3[],2,FALSE)</f>
        <v>High-Touch  Win-Back</v>
      </c>
    </row>
    <row r="1961" spans="1:28" x14ac:dyDescent="0.25">
      <c r="A1961">
        <v>10385</v>
      </c>
      <c r="B1961">
        <v>25</v>
      </c>
      <c r="C1961">
        <v>77.34</v>
      </c>
      <c r="D1961">
        <v>1</v>
      </c>
      <c r="E1961">
        <v>1933.5</v>
      </c>
      <c r="F1961" s="1">
        <v>43889</v>
      </c>
      <c r="G1961" s="2" t="s">
        <v>19</v>
      </c>
      <c r="H1961" s="2" t="s">
        <v>642</v>
      </c>
      <c r="I1961">
        <v>66</v>
      </c>
      <c r="J1961" s="2" t="s">
        <v>706</v>
      </c>
      <c r="K1961" s="2" t="s">
        <v>284</v>
      </c>
      <c r="L1961" s="2" t="s">
        <v>285</v>
      </c>
      <c r="M1961" s="2" t="s">
        <v>286</v>
      </c>
      <c r="N1961" s="2" t="s">
        <v>287</v>
      </c>
      <c r="O1961" s="2" t="s">
        <v>106</v>
      </c>
      <c r="P1961" s="2" t="s">
        <v>27</v>
      </c>
      <c r="Q1961" s="2" t="s">
        <v>288</v>
      </c>
      <c r="R1961" s="2" t="s">
        <v>289</v>
      </c>
      <c r="S1961" s="2" t="s">
        <v>30</v>
      </c>
      <c r="T1961">
        <v>2501</v>
      </c>
      <c r="U1961">
        <f>VLOOKUP(Auto_Sales_data___Copy[[#This Row],[CUSTOMER_NAME]],$AF$2:$AH$90,2,FALSE)</f>
        <v>180</v>
      </c>
      <c r="V1961">
        <f>VLOOKUP(Auto_Sales_data___Copy[[#This Row],[CUSTOMER_NAME]],$AF$2:$AH$90,3,FALSE)</f>
        <v>654858.06000000017</v>
      </c>
      <c r="W1961" s="2">
        <f>6-MATCH(Auto_Sales_data___Copy[[#This Row],[DAYS_SINCE_LAST_ORDER]],Table2[R-Cutoff],1)</f>
        <v>2</v>
      </c>
      <c r="X1961" s="2">
        <f>MATCH(Auto_Sales_data___Copy[[#This Row],[Total_Orders_Per_Customer]],Table2[F-Cutoff],1)</f>
        <v>4</v>
      </c>
      <c r="Y1961" s="2">
        <f>MATCH(Auto_Sales_data___Copy[[#This Row],[Total_Sales_Per_Customer]],Table2[M-Cutoff],1)</f>
        <v>4</v>
      </c>
      <c r="Z1961" s="2" t="str">
        <f>Auto_Sales_data___Copy[[#This Row],[R-Score(1-5)]]&amp;Auto_Sales_data___Copy[[#This Row],[F-Score(1-5)]]&amp;Auto_Sales_data___Copy[[#This Row],[M-Score(1-5)]]</f>
        <v>244</v>
      </c>
      <c r="AA1961" s="2" t="str" cm="1">
        <f t="array" ref="AA19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1" s="2" t="str">
        <f>VLOOKUP(Auto_Sales_data___Copy[[#This Row],[Segment Name]],Table3[],2,FALSE)</f>
        <v>High-Touch  Win-Back</v>
      </c>
    </row>
    <row r="1962" spans="1:28" x14ac:dyDescent="0.25">
      <c r="A1962">
        <v>10387</v>
      </c>
      <c r="B1962">
        <v>44</v>
      </c>
      <c r="C1962">
        <v>94.9</v>
      </c>
      <c r="D1962">
        <v>1</v>
      </c>
      <c r="E1962">
        <v>4175.6000000000004</v>
      </c>
      <c r="F1962" s="1">
        <v>43892</v>
      </c>
      <c r="G1962" s="2" t="s">
        <v>19</v>
      </c>
      <c r="H1962" s="2" t="s">
        <v>20</v>
      </c>
      <c r="I1962">
        <v>99</v>
      </c>
      <c r="J1962" s="2" t="s">
        <v>695</v>
      </c>
      <c r="K1962" s="2" t="s">
        <v>199</v>
      </c>
      <c r="L1962" s="2" t="s">
        <v>200</v>
      </c>
      <c r="M1962" s="2" t="s">
        <v>201</v>
      </c>
      <c r="N1962" s="2" t="s">
        <v>202</v>
      </c>
      <c r="O1962" s="2" t="s">
        <v>203</v>
      </c>
      <c r="P1962" s="2" t="s">
        <v>202</v>
      </c>
      <c r="Q1962" s="2" t="s">
        <v>204</v>
      </c>
      <c r="R1962" s="2" t="s">
        <v>205</v>
      </c>
      <c r="S1962" s="2" t="s">
        <v>46</v>
      </c>
      <c r="T1962">
        <v>2216</v>
      </c>
      <c r="U1962">
        <f>VLOOKUP(Auto_Sales_data___Copy[[#This Row],[CUSTOMER_NAME]],$AF$2:$AH$90,2,FALSE)</f>
        <v>43</v>
      </c>
      <c r="V1962">
        <f>VLOOKUP(Auto_Sales_data___Copy[[#This Row],[CUSTOMER_NAME]],$AF$2:$AH$90,3,FALSE)</f>
        <v>172989.68000000008</v>
      </c>
      <c r="W1962" s="2">
        <f>6-MATCH(Auto_Sales_data___Copy[[#This Row],[DAYS_SINCE_LAST_ORDER]],Table2[R-Cutoff],1)</f>
        <v>2</v>
      </c>
      <c r="X1962" s="2">
        <f>MATCH(Auto_Sales_data___Copy[[#This Row],[Total_Orders_Per_Customer]],Table2[F-Cutoff],1)</f>
        <v>4</v>
      </c>
      <c r="Y1962" s="2">
        <f>MATCH(Auto_Sales_data___Copy[[#This Row],[Total_Sales_Per_Customer]],Table2[M-Cutoff],1)</f>
        <v>4</v>
      </c>
      <c r="Z1962" s="2" t="str">
        <f>Auto_Sales_data___Copy[[#This Row],[R-Score(1-5)]]&amp;Auto_Sales_data___Copy[[#This Row],[F-Score(1-5)]]&amp;Auto_Sales_data___Copy[[#This Row],[M-Score(1-5)]]</f>
        <v>244</v>
      </c>
      <c r="AA1962" s="2" t="str" cm="1">
        <f t="array" ref="AA19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2" s="2" t="str">
        <f>VLOOKUP(Auto_Sales_data___Copy[[#This Row],[Segment Name]],Table3[],2,FALSE)</f>
        <v>High-Touch  Win-Back</v>
      </c>
    </row>
    <row r="1963" spans="1:28" x14ac:dyDescent="0.25">
      <c r="A1963">
        <v>10390</v>
      </c>
      <c r="B1963">
        <v>30</v>
      </c>
      <c r="C1963">
        <v>82.42</v>
      </c>
      <c r="D1963">
        <v>10</v>
      </c>
      <c r="E1963">
        <v>2472.6</v>
      </c>
      <c r="F1963" s="1">
        <v>43894</v>
      </c>
      <c r="G1963" s="2" t="s">
        <v>19</v>
      </c>
      <c r="H1963" s="2" t="s">
        <v>183</v>
      </c>
      <c r="I1963">
        <v>80</v>
      </c>
      <c r="J1963" s="2" t="s">
        <v>693</v>
      </c>
      <c r="K1963" s="2" t="s">
        <v>284</v>
      </c>
      <c r="L1963" s="2" t="s">
        <v>285</v>
      </c>
      <c r="M1963" s="2" t="s">
        <v>286</v>
      </c>
      <c r="N1963" s="2" t="s">
        <v>287</v>
      </c>
      <c r="O1963" s="2" t="s">
        <v>106</v>
      </c>
      <c r="P1963" s="2" t="s">
        <v>27</v>
      </c>
      <c r="Q1963" s="2" t="s">
        <v>288</v>
      </c>
      <c r="R1963" s="2" t="s">
        <v>289</v>
      </c>
      <c r="S1963" s="2" t="s">
        <v>30</v>
      </c>
      <c r="T1963">
        <v>2165</v>
      </c>
      <c r="U1963">
        <f>VLOOKUP(Auto_Sales_data___Copy[[#This Row],[CUSTOMER_NAME]],$AF$2:$AH$90,2,FALSE)</f>
        <v>180</v>
      </c>
      <c r="V1963">
        <f>VLOOKUP(Auto_Sales_data___Copy[[#This Row],[CUSTOMER_NAME]],$AF$2:$AH$90,3,FALSE)</f>
        <v>654858.06000000017</v>
      </c>
      <c r="W1963" s="2">
        <f>6-MATCH(Auto_Sales_data___Copy[[#This Row],[DAYS_SINCE_LAST_ORDER]],Table2[R-Cutoff],1)</f>
        <v>2</v>
      </c>
      <c r="X1963" s="2">
        <f>MATCH(Auto_Sales_data___Copy[[#This Row],[Total_Orders_Per_Customer]],Table2[F-Cutoff],1)</f>
        <v>4</v>
      </c>
      <c r="Y1963" s="2">
        <f>MATCH(Auto_Sales_data___Copy[[#This Row],[Total_Sales_Per_Customer]],Table2[M-Cutoff],1)</f>
        <v>4</v>
      </c>
      <c r="Z1963" s="2" t="str">
        <f>Auto_Sales_data___Copy[[#This Row],[R-Score(1-5)]]&amp;Auto_Sales_data___Copy[[#This Row],[F-Score(1-5)]]&amp;Auto_Sales_data___Copy[[#This Row],[M-Score(1-5)]]</f>
        <v>244</v>
      </c>
      <c r="AA1963" s="2" t="str" cm="1">
        <f t="array" ref="AA19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3" s="2" t="str">
        <f>VLOOKUP(Auto_Sales_data___Copy[[#This Row],[Segment Name]],Table3[],2,FALSE)</f>
        <v>High-Touch  Win-Back</v>
      </c>
    </row>
    <row r="1964" spans="1:28" x14ac:dyDescent="0.25">
      <c r="A1964">
        <v>10390</v>
      </c>
      <c r="B1964">
        <v>41</v>
      </c>
      <c r="C1964">
        <v>44.56</v>
      </c>
      <c r="D1964">
        <v>11</v>
      </c>
      <c r="E1964">
        <v>1826.96</v>
      </c>
      <c r="F1964" s="1">
        <v>43894</v>
      </c>
      <c r="G1964" s="2" t="s">
        <v>19</v>
      </c>
      <c r="H1964" s="2" t="s">
        <v>20</v>
      </c>
      <c r="I1964">
        <v>40</v>
      </c>
      <c r="J1964" s="2" t="s">
        <v>696</v>
      </c>
      <c r="K1964" s="2" t="s">
        <v>284</v>
      </c>
      <c r="L1964" s="2" t="s">
        <v>285</v>
      </c>
      <c r="M1964" s="2" t="s">
        <v>286</v>
      </c>
      <c r="N1964" s="2" t="s">
        <v>287</v>
      </c>
      <c r="O1964" s="2" t="s">
        <v>106</v>
      </c>
      <c r="P1964" s="2" t="s">
        <v>27</v>
      </c>
      <c r="Q1964" s="2" t="s">
        <v>288</v>
      </c>
      <c r="R1964" s="2" t="s">
        <v>289</v>
      </c>
      <c r="S1964" s="2" t="s">
        <v>30</v>
      </c>
      <c r="T1964">
        <v>2239</v>
      </c>
      <c r="U1964">
        <f>VLOOKUP(Auto_Sales_data___Copy[[#This Row],[CUSTOMER_NAME]],$AF$2:$AH$90,2,FALSE)</f>
        <v>180</v>
      </c>
      <c r="V1964">
        <f>VLOOKUP(Auto_Sales_data___Copy[[#This Row],[CUSTOMER_NAME]],$AF$2:$AH$90,3,FALSE)</f>
        <v>654858.06000000017</v>
      </c>
      <c r="W1964" s="2">
        <f>6-MATCH(Auto_Sales_data___Copy[[#This Row],[DAYS_SINCE_LAST_ORDER]],Table2[R-Cutoff],1)</f>
        <v>2</v>
      </c>
      <c r="X1964" s="2">
        <f>MATCH(Auto_Sales_data___Copy[[#This Row],[Total_Orders_Per_Customer]],Table2[F-Cutoff],1)</f>
        <v>4</v>
      </c>
      <c r="Y1964" s="2">
        <f>MATCH(Auto_Sales_data___Copy[[#This Row],[Total_Sales_Per_Customer]],Table2[M-Cutoff],1)</f>
        <v>4</v>
      </c>
      <c r="Z1964" s="2" t="str">
        <f>Auto_Sales_data___Copy[[#This Row],[R-Score(1-5)]]&amp;Auto_Sales_data___Copy[[#This Row],[F-Score(1-5)]]&amp;Auto_Sales_data___Copy[[#This Row],[M-Score(1-5)]]</f>
        <v>244</v>
      </c>
      <c r="AA1964" s="2" t="str" cm="1">
        <f t="array" ref="AA19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4" s="2" t="str">
        <f>VLOOKUP(Auto_Sales_data___Copy[[#This Row],[Segment Name]],Table3[],2,FALSE)</f>
        <v>High-Touch  Win-Back</v>
      </c>
    </row>
    <row r="1965" spans="1:28" x14ac:dyDescent="0.25">
      <c r="A1965">
        <v>10390</v>
      </c>
      <c r="B1965">
        <v>45</v>
      </c>
      <c r="C1965">
        <v>48.98</v>
      </c>
      <c r="D1965">
        <v>12</v>
      </c>
      <c r="E1965">
        <v>2204.1</v>
      </c>
      <c r="F1965" s="1">
        <v>43894</v>
      </c>
      <c r="G1965" s="2" t="s">
        <v>19</v>
      </c>
      <c r="H1965" s="2" t="s">
        <v>20</v>
      </c>
      <c r="I1965">
        <v>102</v>
      </c>
      <c r="J1965" s="2" t="s">
        <v>701</v>
      </c>
      <c r="K1965" s="2" t="s">
        <v>284</v>
      </c>
      <c r="L1965" s="2" t="s">
        <v>285</v>
      </c>
      <c r="M1965" s="2" t="s">
        <v>286</v>
      </c>
      <c r="N1965" s="2" t="s">
        <v>287</v>
      </c>
      <c r="O1965" s="2" t="s">
        <v>106</v>
      </c>
      <c r="P1965" s="2" t="s">
        <v>27</v>
      </c>
      <c r="Q1965" s="2" t="s">
        <v>288</v>
      </c>
      <c r="R1965" s="2" t="s">
        <v>289</v>
      </c>
      <c r="S1965" s="2" t="s">
        <v>30</v>
      </c>
      <c r="T1965">
        <v>2367</v>
      </c>
      <c r="U1965">
        <f>VLOOKUP(Auto_Sales_data___Copy[[#This Row],[CUSTOMER_NAME]],$AF$2:$AH$90,2,FALSE)</f>
        <v>180</v>
      </c>
      <c r="V1965">
        <f>VLOOKUP(Auto_Sales_data___Copy[[#This Row],[CUSTOMER_NAME]],$AF$2:$AH$90,3,FALSE)</f>
        <v>654858.06000000017</v>
      </c>
      <c r="W1965" s="2">
        <f>6-MATCH(Auto_Sales_data___Copy[[#This Row],[DAYS_SINCE_LAST_ORDER]],Table2[R-Cutoff],1)</f>
        <v>2</v>
      </c>
      <c r="X1965" s="2">
        <f>MATCH(Auto_Sales_data___Copy[[#This Row],[Total_Orders_Per_Customer]],Table2[F-Cutoff],1)</f>
        <v>4</v>
      </c>
      <c r="Y1965" s="2">
        <f>MATCH(Auto_Sales_data___Copy[[#This Row],[Total_Sales_Per_Customer]],Table2[M-Cutoff],1)</f>
        <v>4</v>
      </c>
      <c r="Z1965" s="2" t="str">
        <f>Auto_Sales_data___Copy[[#This Row],[R-Score(1-5)]]&amp;Auto_Sales_data___Copy[[#This Row],[F-Score(1-5)]]&amp;Auto_Sales_data___Copy[[#This Row],[M-Score(1-5)]]</f>
        <v>244</v>
      </c>
      <c r="AA1965" s="2" t="str" cm="1">
        <f t="array" ref="AA19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5" s="2" t="str">
        <f>VLOOKUP(Auto_Sales_data___Copy[[#This Row],[Segment Name]],Table3[],2,FALSE)</f>
        <v>High-Touch  Win-Back</v>
      </c>
    </row>
    <row r="1966" spans="1:28" x14ac:dyDescent="0.25">
      <c r="A1966">
        <v>10390</v>
      </c>
      <c r="B1966">
        <v>22</v>
      </c>
      <c r="C1966">
        <v>158.69</v>
      </c>
      <c r="D1966">
        <v>13</v>
      </c>
      <c r="E1966">
        <v>3491.18</v>
      </c>
      <c r="F1966" s="1">
        <v>43894</v>
      </c>
      <c r="G1966" s="2" t="s">
        <v>19</v>
      </c>
      <c r="H1966" s="2" t="s">
        <v>20</v>
      </c>
      <c r="I1966">
        <v>81</v>
      </c>
      <c r="J1966" s="2" t="s">
        <v>705</v>
      </c>
      <c r="K1966" s="2" t="s">
        <v>284</v>
      </c>
      <c r="L1966" s="2" t="s">
        <v>285</v>
      </c>
      <c r="M1966" s="2" t="s">
        <v>286</v>
      </c>
      <c r="N1966" s="2" t="s">
        <v>287</v>
      </c>
      <c r="O1966" s="2" t="s">
        <v>106</v>
      </c>
      <c r="P1966" s="2" t="s">
        <v>27</v>
      </c>
      <c r="Q1966" s="2" t="s">
        <v>288</v>
      </c>
      <c r="R1966" s="2" t="s">
        <v>289</v>
      </c>
      <c r="S1966" s="2" t="s">
        <v>46</v>
      </c>
      <c r="T1966">
        <v>2471</v>
      </c>
      <c r="U1966">
        <f>VLOOKUP(Auto_Sales_data___Copy[[#This Row],[CUSTOMER_NAME]],$AF$2:$AH$90,2,FALSE)</f>
        <v>180</v>
      </c>
      <c r="V1966">
        <f>VLOOKUP(Auto_Sales_data___Copy[[#This Row],[CUSTOMER_NAME]],$AF$2:$AH$90,3,FALSE)</f>
        <v>654858.06000000017</v>
      </c>
      <c r="W1966" s="2">
        <f>6-MATCH(Auto_Sales_data___Copy[[#This Row],[DAYS_SINCE_LAST_ORDER]],Table2[R-Cutoff],1)</f>
        <v>2</v>
      </c>
      <c r="X1966" s="2">
        <f>MATCH(Auto_Sales_data___Copy[[#This Row],[Total_Orders_Per_Customer]],Table2[F-Cutoff],1)</f>
        <v>4</v>
      </c>
      <c r="Y1966" s="2">
        <f>MATCH(Auto_Sales_data___Copy[[#This Row],[Total_Sales_Per_Customer]],Table2[M-Cutoff],1)</f>
        <v>4</v>
      </c>
      <c r="Z1966" s="2" t="str">
        <f>Auto_Sales_data___Copy[[#This Row],[R-Score(1-5)]]&amp;Auto_Sales_data___Copy[[#This Row],[F-Score(1-5)]]&amp;Auto_Sales_data___Copy[[#This Row],[M-Score(1-5)]]</f>
        <v>244</v>
      </c>
      <c r="AA1966" s="2" t="str" cm="1">
        <f t="array" ref="AA19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6" s="2" t="str">
        <f>VLOOKUP(Auto_Sales_data___Copy[[#This Row],[Segment Name]],Table3[],2,FALSE)</f>
        <v>High-Touch  Win-Back</v>
      </c>
    </row>
    <row r="1967" spans="1:28" x14ac:dyDescent="0.25">
      <c r="A1967">
        <v>10396</v>
      </c>
      <c r="B1967">
        <v>39</v>
      </c>
      <c r="C1967">
        <v>66.67</v>
      </c>
      <c r="D1967">
        <v>1</v>
      </c>
      <c r="E1967">
        <v>2600.13</v>
      </c>
      <c r="F1967" s="1">
        <v>43913</v>
      </c>
      <c r="G1967" s="2" t="s">
        <v>19</v>
      </c>
      <c r="H1967" s="2" t="s">
        <v>642</v>
      </c>
      <c r="I1967">
        <v>66</v>
      </c>
      <c r="J1967" s="2" t="s">
        <v>706</v>
      </c>
      <c r="K1967" s="2" t="s">
        <v>284</v>
      </c>
      <c r="L1967" s="2" t="s">
        <v>285</v>
      </c>
      <c r="M1967" s="2" t="s">
        <v>286</v>
      </c>
      <c r="N1967" s="2" t="s">
        <v>287</v>
      </c>
      <c r="O1967" s="2" t="s">
        <v>106</v>
      </c>
      <c r="P1967" s="2" t="s">
        <v>27</v>
      </c>
      <c r="Q1967" s="2" t="s">
        <v>288</v>
      </c>
      <c r="R1967" s="2" t="s">
        <v>289</v>
      </c>
      <c r="S1967" s="2" t="s">
        <v>30</v>
      </c>
      <c r="T1967">
        <v>2478</v>
      </c>
      <c r="U1967">
        <f>VLOOKUP(Auto_Sales_data___Copy[[#This Row],[CUSTOMER_NAME]],$AF$2:$AH$90,2,FALSE)</f>
        <v>180</v>
      </c>
      <c r="V1967">
        <f>VLOOKUP(Auto_Sales_data___Copy[[#This Row],[CUSTOMER_NAME]],$AF$2:$AH$90,3,FALSE)</f>
        <v>654858.06000000017</v>
      </c>
      <c r="W1967" s="2">
        <f>6-MATCH(Auto_Sales_data___Copy[[#This Row],[DAYS_SINCE_LAST_ORDER]],Table2[R-Cutoff],1)</f>
        <v>2</v>
      </c>
      <c r="X1967" s="2">
        <f>MATCH(Auto_Sales_data___Copy[[#This Row],[Total_Orders_Per_Customer]],Table2[F-Cutoff],1)</f>
        <v>4</v>
      </c>
      <c r="Y1967" s="2">
        <f>MATCH(Auto_Sales_data___Copy[[#This Row],[Total_Sales_Per_Customer]],Table2[M-Cutoff],1)</f>
        <v>4</v>
      </c>
      <c r="Z1967" s="2" t="str">
        <f>Auto_Sales_data___Copy[[#This Row],[R-Score(1-5)]]&amp;Auto_Sales_data___Copy[[#This Row],[F-Score(1-5)]]&amp;Auto_Sales_data___Copy[[#This Row],[M-Score(1-5)]]</f>
        <v>244</v>
      </c>
      <c r="AA1967" s="2" t="str" cm="1">
        <f t="array" ref="AA19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7" s="2" t="str">
        <f>VLOOKUP(Auto_Sales_data___Copy[[#This Row],[Segment Name]],Table3[],2,FALSE)</f>
        <v>High-Touch  Win-Back</v>
      </c>
    </row>
    <row r="1968" spans="1:28" x14ac:dyDescent="0.25">
      <c r="A1968">
        <v>10398</v>
      </c>
      <c r="B1968">
        <v>45</v>
      </c>
      <c r="C1968">
        <v>78.25</v>
      </c>
      <c r="D1968">
        <v>14</v>
      </c>
      <c r="E1968">
        <v>3521.25</v>
      </c>
      <c r="F1968" s="1">
        <v>43920</v>
      </c>
      <c r="G1968" s="2" t="s">
        <v>19</v>
      </c>
      <c r="H1968" s="2" t="s">
        <v>607</v>
      </c>
      <c r="I1968">
        <v>72</v>
      </c>
      <c r="J1968" s="2" t="s">
        <v>692</v>
      </c>
      <c r="K1968" s="2" t="s">
        <v>31</v>
      </c>
      <c r="L1968" s="2" t="s">
        <v>32</v>
      </c>
      <c r="M1968" s="2" t="s">
        <v>33</v>
      </c>
      <c r="N1968" s="2" t="s">
        <v>34</v>
      </c>
      <c r="O1968" s="2" t="s">
        <v>35</v>
      </c>
      <c r="P1968" s="2" t="s">
        <v>36</v>
      </c>
      <c r="Q1968" s="2" t="s">
        <v>37</v>
      </c>
      <c r="R1968" s="2" t="s">
        <v>38</v>
      </c>
      <c r="S1968" s="2" t="s">
        <v>46</v>
      </c>
      <c r="T1968">
        <v>2114</v>
      </c>
      <c r="U1968">
        <f>VLOOKUP(Auto_Sales_data___Copy[[#This Row],[CUSTOMER_NAME]],$AF$2:$AH$90,2,FALSE)</f>
        <v>41</v>
      </c>
      <c r="V1968">
        <f>VLOOKUP(Auto_Sales_data___Copy[[#This Row],[CUSTOMER_NAME]],$AF$2:$AH$90,3,FALSE)</f>
        <v>135042.94</v>
      </c>
      <c r="W1968" s="2">
        <f>6-MATCH(Auto_Sales_data___Copy[[#This Row],[DAYS_SINCE_LAST_ORDER]],Table2[R-Cutoff],1)</f>
        <v>2</v>
      </c>
      <c r="X1968" s="2">
        <f>MATCH(Auto_Sales_data___Copy[[#This Row],[Total_Orders_Per_Customer]],Table2[F-Cutoff],1)</f>
        <v>4</v>
      </c>
      <c r="Y1968" s="2">
        <f>MATCH(Auto_Sales_data___Copy[[#This Row],[Total_Sales_Per_Customer]],Table2[M-Cutoff],1)</f>
        <v>4</v>
      </c>
      <c r="Z1968" s="2" t="str">
        <f>Auto_Sales_data___Copy[[#This Row],[R-Score(1-5)]]&amp;Auto_Sales_data___Copy[[#This Row],[F-Score(1-5)]]&amp;Auto_Sales_data___Copy[[#This Row],[M-Score(1-5)]]</f>
        <v>244</v>
      </c>
      <c r="AA1968" s="2" t="str" cm="1">
        <f t="array" ref="AA19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8" s="2" t="str">
        <f>VLOOKUP(Auto_Sales_data___Copy[[#This Row],[Segment Name]],Table3[],2,FALSE)</f>
        <v>High-Touch  Win-Back</v>
      </c>
    </row>
    <row r="1969" spans="1:28" x14ac:dyDescent="0.25">
      <c r="A1969">
        <v>10398</v>
      </c>
      <c r="B1969">
        <v>22</v>
      </c>
      <c r="C1969">
        <v>67.41</v>
      </c>
      <c r="D1969">
        <v>4</v>
      </c>
      <c r="E1969">
        <v>1483.02</v>
      </c>
      <c r="F1969" s="1">
        <v>43920</v>
      </c>
      <c r="G1969" s="2" t="s">
        <v>19</v>
      </c>
      <c r="H1969" s="2" t="s">
        <v>589</v>
      </c>
      <c r="I1969">
        <v>68</v>
      </c>
      <c r="J1969" s="2" t="s">
        <v>700</v>
      </c>
      <c r="K1969" s="2" t="s">
        <v>31</v>
      </c>
      <c r="L1969" s="2" t="s">
        <v>32</v>
      </c>
      <c r="M1969" s="2" t="s">
        <v>33</v>
      </c>
      <c r="N1969" s="2" t="s">
        <v>34</v>
      </c>
      <c r="O1969" s="2" t="s">
        <v>35</v>
      </c>
      <c r="P1969" s="2" t="s">
        <v>36</v>
      </c>
      <c r="Q1969" s="2" t="s">
        <v>37</v>
      </c>
      <c r="R1969" s="2" t="s">
        <v>38</v>
      </c>
      <c r="S1969" s="2" t="s">
        <v>30</v>
      </c>
      <c r="T1969">
        <v>2316</v>
      </c>
      <c r="U1969">
        <f>VLOOKUP(Auto_Sales_data___Copy[[#This Row],[CUSTOMER_NAME]],$AF$2:$AH$90,2,FALSE)</f>
        <v>41</v>
      </c>
      <c r="V1969">
        <f>VLOOKUP(Auto_Sales_data___Copy[[#This Row],[CUSTOMER_NAME]],$AF$2:$AH$90,3,FALSE)</f>
        <v>135042.94</v>
      </c>
      <c r="W1969" s="2">
        <f>6-MATCH(Auto_Sales_data___Copy[[#This Row],[DAYS_SINCE_LAST_ORDER]],Table2[R-Cutoff],1)</f>
        <v>2</v>
      </c>
      <c r="X1969" s="2">
        <f>MATCH(Auto_Sales_data___Copy[[#This Row],[Total_Orders_Per_Customer]],Table2[F-Cutoff],1)</f>
        <v>4</v>
      </c>
      <c r="Y1969" s="2">
        <f>MATCH(Auto_Sales_data___Copy[[#This Row],[Total_Sales_Per_Customer]],Table2[M-Cutoff],1)</f>
        <v>4</v>
      </c>
      <c r="Z1969" s="2" t="str">
        <f>Auto_Sales_data___Copy[[#This Row],[R-Score(1-5)]]&amp;Auto_Sales_data___Copy[[#This Row],[F-Score(1-5)]]&amp;Auto_Sales_data___Copy[[#This Row],[M-Score(1-5)]]</f>
        <v>244</v>
      </c>
      <c r="AA1969" s="2" t="str" cm="1">
        <f t="array" ref="AA19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9" s="2" t="str">
        <f>VLOOKUP(Auto_Sales_data___Copy[[#This Row],[Segment Name]],Table3[],2,FALSE)</f>
        <v>High-Touch  Win-Back</v>
      </c>
    </row>
    <row r="1970" spans="1:28" x14ac:dyDescent="0.25">
      <c r="A1970">
        <v>10398</v>
      </c>
      <c r="B1970">
        <v>49</v>
      </c>
      <c r="C1970">
        <v>36.659999999999997</v>
      </c>
      <c r="D1970">
        <v>5</v>
      </c>
      <c r="E1970">
        <v>1796.34</v>
      </c>
      <c r="F1970" s="1">
        <v>43920</v>
      </c>
      <c r="G1970" s="2" t="s">
        <v>19</v>
      </c>
      <c r="H1970" s="2" t="s">
        <v>589</v>
      </c>
      <c r="I1970">
        <v>43</v>
      </c>
      <c r="J1970" s="2" t="s">
        <v>702</v>
      </c>
      <c r="K1970" s="2" t="s">
        <v>31</v>
      </c>
      <c r="L1970" s="2" t="s">
        <v>32</v>
      </c>
      <c r="M1970" s="2" t="s">
        <v>33</v>
      </c>
      <c r="N1970" s="2" t="s">
        <v>34</v>
      </c>
      <c r="O1970" s="2" t="s">
        <v>35</v>
      </c>
      <c r="P1970" s="2" t="s">
        <v>36</v>
      </c>
      <c r="Q1970" s="2" t="s">
        <v>37</v>
      </c>
      <c r="R1970" s="2" t="s">
        <v>38</v>
      </c>
      <c r="S1970" s="2" t="s">
        <v>30</v>
      </c>
      <c r="T1970">
        <v>2366</v>
      </c>
      <c r="U1970">
        <f>VLOOKUP(Auto_Sales_data___Copy[[#This Row],[CUSTOMER_NAME]],$AF$2:$AH$90,2,FALSE)</f>
        <v>41</v>
      </c>
      <c r="V1970">
        <f>VLOOKUP(Auto_Sales_data___Copy[[#This Row],[CUSTOMER_NAME]],$AF$2:$AH$90,3,FALSE)</f>
        <v>135042.94</v>
      </c>
      <c r="W1970" s="2">
        <f>6-MATCH(Auto_Sales_data___Copy[[#This Row],[DAYS_SINCE_LAST_ORDER]],Table2[R-Cutoff],1)</f>
        <v>2</v>
      </c>
      <c r="X1970" s="2">
        <f>MATCH(Auto_Sales_data___Copy[[#This Row],[Total_Orders_Per_Customer]],Table2[F-Cutoff],1)</f>
        <v>4</v>
      </c>
      <c r="Y1970" s="2">
        <f>MATCH(Auto_Sales_data___Copy[[#This Row],[Total_Sales_Per_Customer]],Table2[M-Cutoff],1)</f>
        <v>4</v>
      </c>
      <c r="Z1970" s="2" t="str">
        <f>Auto_Sales_data___Copy[[#This Row],[R-Score(1-5)]]&amp;Auto_Sales_data___Copy[[#This Row],[F-Score(1-5)]]&amp;Auto_Sales_data___Copy[[#This Row],[M-Score(1-5)]]</f>
        <v>244</v>
      </c>
      <c r="AA1970" s="2" t="str" cm="1">
        <f t="array" ref="AA19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0" s="2" t="str">
        <f>VLOOKUP(Auto_Sales_data___Copy[[#This Row],[Segment Name]],Table3[],2,FALSE)</f>
        <v>High-Touch  Win-Back</v>
      </c>
    </row>
    <row r="1971" spans="1:28" x14ac:dyDescent="0.25">
      <c r="A1971">
        <v>10398</v>
      </c>
      <c r="B1971">
        <v>47</v>
      </c>
      <c r="C1971">
        <v>87.69</v>
      </c>
      <c r="D1971">
        <v>6</v>
      </c>
      <c r="E1971">
        <v>4121.43</v>
      </c>
      <c r="F1971" s="1">
        <v>43920</v>
      </c>
      <c r="G1971" s="2" t="s">
        <v>19</v>
      </c>
      <c r="H1971" s="2" t="s">
        <v>607</v>
      </c>
      <c r="I1971">
        <v>91</v>
      </c>
      <c r="J1971" s="2" t="s">
        <v>707</v>
      </c>
      <c r="K1971" s="2" t="s">
        <v>31</v>
      </c>
      <c r="L1971" s="2" t="s">
        <v>32</v>
      </c>
      <c r="M1971" s="2" t="s">
        <v>33</v>
      </c>
      <c r="N1971" s="2" t="s">
        <v>34</v>
      </c>
      <c r="O1971" s="2" t="s">
        <v>35</v>
      </c>
      <c r="P1971" s="2" t="s">
        <v>36</v>
      </c>
      <c r="Q1971" s="2" t="s">
        <v>37</v>
      </c>
      <c r="R1971" s="2" t="s">
        <v>38</v>
      </c>
      <c r="S1971" s="2" t="s">
        <v>46</v>
      </c>
      <c r="T1971">
        <v>2496</v>
      </c>
      <c r="U1971">
        <f>VLOOKUP(Auto_Sales_data___Copy[[#This Row],[CUSTOMER_NAME]],$AF$2:$AH$90,2,FALSE)</f>
        <v>41</v>
      </c>
      <c r="V1971">
        <f>VLOOKUP(Auto_Sales_data___Copy[[#This Row],[CUSTOMER_NAME]],$AF$2:$AH$90,3,FALSE)</f>
        <v>135042.94</v>
      </c>
      <c r="W1971" s="2">
        <f>6-MATCH(Auto_Sales_data___Copy[[#This Row],[DAYS_SINCE_LAST_ORDER]],Table2[R-Cutoff],1)</f>
        <v>2</v>
      </c>
      <c r="X1971" s="2">
        <f>MATCH(Auto_Sales_data___Copy[[#This Row],[Total_Orders_Per_Customer]],Table2[F-Cutoff],1)</f>
        <v>4</v>
      </c>
      <c r="Y1971" s="2">
        <f>MATCH(Auto_Sales_data___Copy[[#This Row],[Total_Sales_Per_Customer]],Table2[M-Cutoff],1)</f>
        <v>4</v>
      </c>
      <c r="Z1971" s="2" t="str">
        <f>Auto_Sales_data___Copy[[#This Row],[R-Score(1-5)]]&amp;Auto_Sales_data___Copy[[#This Row],[F-Score(1-5)]]&amp;Auto_Sales_data___Copy[[#This Row],[M-Score(1-5)]]</f>
        <v>244</v>
      </c>
      <c r="AA1971" s="2" t="str" cm="1">
        <f t="array" ref="AA19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1" s="2" t="str">
        <f>VLOOKUP(Auto_Sales_data___Copy[[#This Row],[Segment Name]],Table3[],2,FALSE)</f>
        <v>High-Touch  Win-Back</v>
      </c>
    </row>
    <row r="1972" spans="1:28" x14ac:dyDescent="0.25">
      <c r="A1972">
        <v>10398</v>
      </c>
      <c r="B1972">
        <v>36</v>
      </c>
      <c r="C1972">
        <v>108.62</v>
      </c>
      <c r="D1972">
        <v>7</v>
      </c>
      <c r="E1972">
        <v>3910.32</v>
      </c>
      <c r="F1972" s="1">
        <v>43920</v>
      </c>
      <c r="G1972" s="2" t="s">
        <v>19</v>
      </c>
      <c r="H1972" s="2" t="s">
        <v>642</v>
      </c>
      <c r="I1972">
        <v>90</v>
      </c>
      <c r="J1972" s="2" t="s">
        <v>709</v>
      </c>
      <c r="K1972" s="2" t="s">
        <v>31</v>
      </c>
      <c r="L1972" s="2" t="s">
        <v>32</v>
      </c>
      <c r="M1972" s="2" t="s">
        <v>33</v>
      </c>
      <c r="N1972" s="2" t="s">
        <v>34</v>
      </c>
      <c r="O1972" s="2" t="s">
        <v>35</v>
      </c>
      <c r="P1972" s="2" t="s">
        <v>36</v>
      </c>
      <c r="Q1972" s="2" t="s">
        <v>37</v>
      </c>
      <c r="R1972" s="2" t="s">
        <v>38</v>
      </c>
      <c r="S1972" s="2" t="s">
        <v>46</v>
      </c>
      <c r="T1972">
        <v>2546</v>
      </c>
      <c r="U1972">
        <f>VLOOKUP(Auto_Sales_data___Copy[[#This Row],[CUSTOMER_NAME]],$AF$2:$AH$90,2,FALSE)</f>
        <v>41</v>
      </c>
      <c r="V1972">
        <f>VLOOKUP(Auto_Sales_data___Copy[[#This Row],[CUSTOMER_NAME]],$AF$2:$AH$90,3,FALSE)</f>
        <v>135042.94</v>
      </c>
      <c r="W1972" s="2">
        <f>6-MATCH(Auto_Sales_data___Copy[[#This Row],[DAYS_SINCE_LAST_ORDER]],Table2[R-Cutoff],1)</f>
        <v>2</v>
      </c>
      <c r="X1972" s="2">
        <f>MATCH(Auto_Sales_data___Copy[[#This Row],[Total_Orders_Per_Customer]],Table2[F-Cutoff],1)</f>
        <v>4</v>
      </c>
      <c r="Y1972" s="2">
        <f>MATCH(Auto_Sales_data___Copy[[#This Row],[Total_Sales_Per_Customer]],Table2[M-Cutoff],1)</f>
        <v>4</v>
      </c>
      <c r="Z1972" s="2" t="str">
        <f>Auto_Sales_data___Copy[[#This Row],[R-Score(1-5)]]&amp;Auto_Sales_data___Copy[[#This Row],[F-Score(1-5)]]&amp;Auto_Sales_data___Copy[[#This Row],[M-Score(1-5)]]</f>
        <v>244</v>
      </c>
      <c r="AA1972" s="2" t="str" cm="1">
        <f t="array" ref="AA19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2" s="2" t="str">
        <f>VLOOKUP(Auto_Sales_data___Copy[[#This Row],[Segment Name]],Table3[],2,FALSE)</f>
        <v>High-Touch  Win-Back</v>
      </c>
    </row>
    <row r="1973" spans="1:28" x14ac:dyDescent="0.25">
      <c r="A1973">
        <v>10400</v>
      </c>
      <c r="B1973">
        <v>46</v>
      </c>
      <c r="C1973">
        <v>87.8</v>
      </c>
      <c r="D1973">
        <v>5</v>
      </c>
      <c r="E1973">
        <v>4038.8</v>
      </c>
      <c r="F1973" s="1">
        <v>43922</v>
      </c>
      <c r="G1973" s="2" t="s">
        <v>19</v>
      </c>
      <c r="H1973" s="2" t="s">
        <v>642</v>
      </c>
      <c r="I1973">
        <v>90</v>
      </c>
      <c r="J1973" s="2" t="s">
        <v>709</v>
      </c>
      <c r="K1973" s="2" t="s">
        <v>418</v>
      </c>
      <c r="L1973" s="2" t="s">
        <v>419</v>
      </c>
      <c r="M1973" s="2" t="s">
        <v>420</v>
      </c>
      <c r="N1973" s="2" t="s">
        <v>421</v>
      </c>
      <c r="O1973" s="2" t="s">
        <v>58</v>
      </c>
      <c r="P1973" s="2" t="s">
        <v>27</v>
      </c>
      <c r="Q1973" s="2" t="s">
        <v>93</v>
      </c>
      <c r="R1973" s="2" t="s">
        <v>422</v>
      </c>
      <c r="S1973" s="2" t="s">
        <v>46</v>
      </c>
      <c r="T1973">
        <v>2545</v>
      </c>
      <c r="U1973">
        <f>VLOOKUP(Auto_Sales_data___Copy[[#This Row],[CUSTOMER_NAME]],$AF$2:$AH$90,2,FALSE)</f>
        <v>40</v>
      </c>
      <c r="V1973">
        <f>VLOOKUP(Auto_Sales_data___Copy[[#This Row],[CUSTOMER_NAME]],$AF$2:$AH$90,3,FALSE)</f>
        <v>160010.27000000005</v>
      </c>
      <c r="W1973" s="2">
        <f>6-MATCH(Auto_Sales_data___Copy[[#This Row],[DAYS_SINCE_LAST_ORDER]],Table2[R-Cutoff],1)</f>
        <v>2</v>
      </c>
      <c r="X1973" s="2">
        <f>MATCH(Auto_Sales_data___Copy[[#This Row],[Total_Orders_Per_Customer]],Table2[F-Cutoff],1)</f>
        <v>4</v>
      </c>
      <c r="Y1973" s="2">
        <f>MATCH(Auto_Sales_data___Copy[[#This Row],[Total_Sales_Per_Customer]],Table2[M-Cutoff],1)</f>
        <v>4</v>
      </c>
      <c r="Z1973" s="2" t="str">
        <f>Auto_Sales_data___Copy[[#This Row],[R-Score(1-5)]]&amp;Auto_Sales_data___Copy[[#This Row],[F-Score(1-5)]]&amp;Auto_Sales_data___Copy[[#This Row],[M-Score(1-5)]]</f>
        <v>244</v>
      </c>
      <c r="AA1973" s="2" t="str" cm="1">
        <f t="array" ref="AA19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3" s="2" t="str">
        <f>VLOOKUP(Auto_Sales_data___Copy[[#This Row],[Segment Name]],Table3[],2,FALSE)</f>
        <v>High-Touch  Win-Back</v>
      </c>
    </row>
    <row r="1974" spans="1:28" x14ac:dyDescent="0.25">
      <c r="A1974">
        <v>10403</v>
      </c>
      <c r="B1974">
        <v>30</v>
      </c>
      <c r="C1974">
        <v>40.229999999999997</v>
      </c>
      <c r="D1974">
        <v>2</v>
      </c>
      <c r="E1974">
        <v>1206.9000000000001</v>
      </c>
      <c r="F1974" s="1">
        <v>43929</v>
      </c>
      <c r="G1974" s="2" t="s">
        <v>19</v>
      </c>
      <c r="H1974" s="2" t="s">
        <v>20</v>
      </c>
      <c r="I1974">
        <v>40</v>
      </c>
      <c r="J1974" s="2" t="s">
        <v>696</v>
      </c>
      <c r="K1974" s="2" t="s">
        <v>166</v>
      </c>
      <c r="L1974" s="2" t="s">
        <v>167</v>
      </c>
      <c r="M1974" s="2" t="s">
        <v>168</v>
      </c>
      <c r="N1974" s="2" t="s">
        <v>169</v>
      </c>
      <c r="O1974" s="2" t="s">
        <v>170</v>
      </c>
      <c r="P1974" s="2" t="s">
        <v>171</v>
      </c>
      <c r="Q1974" s="2" t="s">
        <v>172</v>
      </c>
      <c r="R1974" s="2" t="s">
        <v>173</v>
      </c>
      <c r="S1974" s="2" t="s">
        <v>30</v>
      </c>
      <c r="T1974">
        <v>2205</v>
      </c>
      <c r="U1974">
        <f>VLOOKUP(Auto_Sales_data___Copy[[#This Row],[CUSTOMER_NAME]],$AF$2:$AH$90,2,FALSE)</f>
        <v>29</v>
      </c>
      <c r="V1974">
        <f>VLOOKUP(Auto_Sales_data___Copy[[#This Row],[CUSTOMER_NAME]],$AF$2:$AH$90,3,FALSE)</f>
        <v>118008.26999999999</v>
      </c>
      <c r="W1974" s="2">
        <f>6-MATCH(Auto_Sales_data___Copy[[#This Row],[DAYS_SINCE_LAST_ORDER]],Table2[R-Cutoff],1)</f>
        <v>2</v>
      </c>
      <c r="X1974" s="2">
        <f>MATCH(Auto_Sales_data___Copy[[#This Row],[Total_Orders_Per_Customer]],Table2[F-Cutoff],1)</f>
        <v>4</v>
      </c>
      <c r="Y1974" s="2">
        <f>MATCH(Auto_Sales_data___Copy[[#This Row],[Total_Sales_Per_Customer]],Table2[M-Cutoff],1)</f>
        <v>4</v>
      </c>
      <c r="Z1974" s="2" t="str">
        <f>Auto_Sales_data___Copy[[#This Row],[R-Score(1-5)]]&amp;Auto_Sales_data___Copy[[#This Row],[F-Score(1-5)]]&amp;Auto_Sales_data___Copy[[#This Row],[M-Score(1-5)]]</f>
        <v>244</v>
      </c>
      <c r="AA1974" s="2" t="str" cm="1">
        <f t="array" ref="AA19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4" s="2" t="str">
        <f>VLOOKUP(Auto_Sales_data___Copy[[#This Row],[Segment Name]],Table3[],2,FALSE)</f>
        <v>High-Touch  Win-Back</v>
      </c>
    </row>
    <row r="1975" spans="1:28" x14ac:dyDescent="0.25">
      <c r="A1975">
        <v>10403</v>
      </c>
      <c r="B1975">
        <v>45</v>
      </c>
      <c r="C1975">
        <v>115.32</v>
      </c>
      <c r="D1975">
        <v>5</v>
      </c>
      <c r="E1975">
        <v>5189.3999999999996</v>
      </c>
      <c r="F1975" s="1">
        <v>43929</v>
      </c>
      <c r="G1975" s="2" t="s">
        <v>19</v>
      </c>
      <c r="H1975" s="2" t="s">
        <v>20</v>
      </c>
      <c r="I1975">
        <v>102</v>
      </c>
      <c r="J1975" s="2" t="s">
        <v>701</v>
      </c>
      <c r="K1975" s="2" t="s">
        <v>166</v>
      </c>
      <c r="L1975" s="2" t="s">
        <v>167</v>
      </c>
      <c r="M1975" s="2" t="s">
        <v>168</v>
      </c>
      <c r="N1975" s="2" t="s">
        <v>169</v>
      </c>
      <c r="O1975" s="2" t="s">
        <v>170</v>
      </c>
      <c r="P1975" s="2" t="s">
        <v>171</v>
      </c>
      <c r="Q1975" s="2" t="s">
        <v>172</v>
      </c>
      <c r="R1975" s="2" t="s">
        <v>173</v>
      </c>
      <c r="S1975" s="2" t="s">
        <v>46</v>
      </c>
      <c r="T1975">
        <v>2333</v>
      </c>
      <c r="U1975">
        <f>VLOOKUP(Auto_Sales_data___Copy[[#This Row],[CUSTOMER_NAME]],$AF$2:$AH$90,2,FALSE)</f>
        <v>29</v>
      </c>
      <c r="V1975">
        <f>VLOOKUP(Auto_Sales_data___Copy[[#This Row],[CUSTOMER_NAME]],$AF$2:$AH$90,3,FALSE)</f>
        <v>118008.26999999999</v>
      </c>
      <c r="W1975" s="2">
        <f>6-MATCH(Auto_Sales_data___Copy[[#This Row],[DAYS_SINCE_LAST_ORDER]],Table2[R-Cutoff],1)</f>
        <v>2</v>
      </c>
      <c r="X1975" s="2">
        <f>MATCH(Auto_Sales_data___Copy[[#This Row],[Total_Orders_Per_Customer]],Table2[F-Cutoff],1)</f>
        <v>4</v>
      </c>
      <c r="Y1975" s="2">
        <f>MATCH(Auto_Sales_data___Copy[[#This Row],[Total_Sales_Per_Customer]],Table2[M-Cutoff],1)</f>
        <v>4</v>
      </c>
      <c r="Z1975" s="2" t="str">
        <f>Auto_Sales_data___Copy[[#This Row],[R-Score(1-5)]]&amp;Auto_Sales_data___Copy[[#This Row],[F-Score(1-5)]]&amp;Auto_Sales_data___Copy[[#This Row],[M-Score(1-5)]]</f>
        <v>244</v>
      </c>
      <c r="AA1975" s="2" t="str" cm="1">
        <f t="array" ref="AA19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5" s="2" t="str">
        <f>VLOOKUP(Auto_Sales_data___Copy[[#This Row],[Segment Name]],Table3[],2,FALSE)</f>
        <v>High-Touch  Win-Back</v>
      </c>
    </row>
    <row r="1976" spans="1:28" x14ac:dyDescent="0.25">
      <c r="A1976">
        <v>10403</v>
      </c>
      <c r="B1976">
        <v>31</v>
      </c>
      <c r="C1976">
        <v>68.34</v>
      </c>
      <c r="D1976">
        <v>3</v>
      </c>
      <c r="E1976">
        <v>2118.54</v>
      </c>
      <c r="F1976" s="1">
        <v>43929</v>
      </c>
      <c r="G1976" s="2" t="s">
        <v>19</v>
      </c>
      <c r="H1976" s="2" t="s">
        <v>20</v>
      </c>
      <c r="I1976">
        <v>81</v>
      </c>
      <c r="J1976" s="2" t="s">
        <v>705</v>
      </c>
      <c r="K1976" s="2" t="s">
        <v>166</v>
      </c>
      <c r="L1976" s="2" t="s">
        <v>167</v>
      </c>
      <c r="M1976" s="2" t="s">
        <v>168</v>
      </c>
      <c r="N1976" s="2" t="s">
        <v>169</v>
      </c>
      <c r="O1976" s="2" t="s">
        <v>170</v>
      </c>
      <c r="P1976" s="2" t="s">
        <v>171</v>
      </c>
      <c r="Q1976" s="2" t="s">
        <v>172</v>
      </c>
      <c r="R1976" s="2" t="s">
        <v>173</v>
      </c>
      <c r="S1976" s="2" t="s">
        <v>30</v>
      </c>
      <c r="T1976">
        <v>2437</v>
      </c>
      <c r="U1976">
        <f>VLOOKUP(Auto_Sales_data___Copy[[#This Row],[CUSTOMER_NAME]],$AF$2:$AH$90,2,FALSE)</f>
        <v>29</v>
      </c>
      <c r="V1976">
        <f>VLOOKUP(Auto_Sales_data___Copy[[#This Row],[CUSTOMER_NAME]],$AF$2:$AH$90,3,FALSE)</f>
        <v>118008.26999999999</v>
      </c>
      <c r="W1976" s="2">
        <f>6-MATCH(Auto_Sales_data___Copy[[#This Row],[DAYS_SINCE_LAST_ORDER]],Table2[R-Cutoff],1)</f>
        <v>2</v>
      </c>
      <c r="X1976" s="2">
        <f>MATCH(Auto_Sales_data___Copy[[#This Row],[Total_Orders_Per_Customer]],Table2[F-Cutoff],1)</f>
        <v>4</v>
      </c>
      <c r="Y1976" s="2">
        <f>MATCH(Auto_Sales_data___Copy[[#This Row],[Total_Sales_Per_Customer]],Table2[M-Cutoff],1)</f>
        <v>4</v>
      </c>
      <c r="Z1976" s="2" t="str">
        <f>Auto_Sales_data___Copy[[#This Row],[R-Score(1-5)]]&amp;Auto_Sales_data___Copy[[#This Row],[F-Score(1-5)]]&amp;Auto_Sales_data___Copy[[#This Row],[M-Score(1-5)]]</f>
        <v>244</v>
      </c>
      <c r="AA1976" s="2" t="str" cm="1">
        <f t="array" ref="AA19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6" s="2" t="str">
        <f>VLOOKUP(Auto_Sales_data___Copy[[#This Row],[Segment Name]],Table3[],2,FALSE)</f>
        <v>High-Touch  Win-Back</v>
      </c>
    </row>
    <row r="1977" spans="1:28" x14ac:dyDescent="0.25">
      <c r="A1977">
        <v>10416</v>
      </c>
      <c r="B1977">
        <v>48</v>
      </c>
      <c r="C1977">
        <v>74.62</v>
      </c>
      <c r="D1977">
        <v>5</v>
      </c>
      <c r="E1977">
        <v>3581.76</v>
      </c>
      <c r="F1977" s="1">
        <v>43961</v>
      </c>
      <c r="G1977" s="2" t="s">
        <v>19</v>
      </c>
      <c r="H1977" s="2" t="s">
        <v>607</v>
      </c>
      <c r="I1977">
        <v>72</v>
      </c>
      <c r="J1977" s="2" t="s">
        <v>692</v>
      </c>
      <c r="K1977" s="2" t="s">
        <v>480</v>
      </c>
      <c r="L1977" s="2" t="s">
        <v>481</v>
      </c>
      <c r="M1977" s="2" t="s">
        <v>482</v>
      </c>
      <c r="N1977" s="2" t="s">
        <v>483</v>
      </c>
      <c r="O1977" s="2" t="s">
        <v>484</v>
      </c>
      <c r="P1977" s="2" t="s">
        <v>269</v>
      </c>
      <c r="Q1977" s="2" t="s">
        <v>485</v>
      </c>
      <c r="R1977" s="2" t="s">
        <v>486</v>
      </c>
      <c r="S1977" s="2" t="s">
        <v>46</v>
      </c>
      <c r="T1977">
        <v>2075</v>
      </c>
      <c r="U1977">
        <f>VLOOKUP(Auto_Sales_data___Copy[[#This Row],[CUSTOMER_NAME]],$AF$2:$AH$90,2,FALSE)</f>
        <v>39</v>
      </c>
      <c r="V1977">
        <f>VLOOKUP(Auto_Sales_data___Copy[[#This Row],[CUSTOMER_NAME]],$AF$2:$AH$90,3,FALSE)</f>
        <v>142601.33000000002</v>
      </c>
      <c r="W1977" s="2">
        <f>6-MATCH(Auto_Sales_data___Copy[[#This Row],[DAYS_SINCE_LAST_ORDER]],Table2[R-Cutoff],1)</f>
        <v>2</v>
      </c>
      <c r="X1977" s="2">
        <f>MATCH(Auto_Sales_data___Copy[[#This Row],[Total_Orders_Per_Customer]],Table2[F-Cutoff],1)</f>
        <v>4</v>
      </c>
      <c r="Y1977" s="2">
        <f>MATCH(Auto_Sales_data___Copy[[#This Row],[Total_Sales_Per_Customer]],Table2[M-Cutoff],1)</f>
        <v>4</v>
      </c>
      <c r="Z1977" s="2" t="str">
        <f>Auto_Sales_data___Copy[[#This Row],[R-Score(1-5)]]&amp;Auto_Sales_data___Copy[[#This Row],[F-Score(1-5)]]&amp;Auto_Sales_data___Copy[[#This Row],[M-Score(1-5)]]</f>
        <v>244</v>
      </c>
      <c r="AA1977" s="2" t="str" cm="1">
        <f t="array" ref="AA19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7" s="2" t="str">
        <f>VLOOKUP(Auto_Sales_data___Copy[[#This Row],[Segment Name]],Table3[],2,FALSE)</f>
        <v>High-Touch  Win-Back</v>
      </c>
    </row>
    <row r="1978" spans="1:28" x14ac:dyDescent="0.25">
      <c r="A1978">
        <v>10416</v>
      </c>
      <c r="B1978">
        <v>45</v>
      </c>
      <c r="C1978">
        <v>105.88</v>
      </c>
      <c r="D1978">
        <v>2</v>
      </c>
      <c r="E1978">
        <v>4764.6000000000004</v>
      </c>
      <c r="F1978" s="1">
        <v>43961</v>
      </c>
      <c r="G1978" s="2" t="s">
        <v>19</v>
      </c>
      <c r="H1978" s="2" t="s">
        <v>20</v>
      </c>
      <c r="I1978">
        <v>99</v>
      </c>
      <c r="J1978" s="2" t="s">
        <v>695</v>
      </c>
      <c r="K1978" s="2" t="s">
        <v>480</v>
      </c>
      <c r="L1978" s="2" t="s">
        <v>481</v>
      </c>
      <c r="M1978" s="2" t="s">
        <v>482</v>
      </c>
      <c r="N1978" s="2" t="s">
        <v>483</v>
      </c>
      <c r="O1978" s="2" t="s">
        <v>484</v>
      </c>
      <c r="P1978" s="2" t="s">
        <v>269</v>
      </c>
      <c r="Q1978" s="2" t="s">
        <v>485</v>
      </c>
      <c r="R1978" s="2" t="s">
        <v>486</v>
      </c>
      <c r="S1978" s="2" t="s">
        <v>46</v>
      </c>
      <c r="T1978">
        <v>2149</v>
      </c>
      <c r="U1978">
        <f>VLOOKUP(Auto_Sales_data___Copy[[#This Row],[CUSTOMER_NAME]],$AF$2:$AH$90,2,FALSE)</f>
        <v>39</v>
      </c>
      <c r="V1978">
        <f>VLOOKUP(Auto_Sales_data___Copy[[#This Row],[CUSTOMER_NAME]],$AF$2:$AH$90,3,FALSE)</f>
        <v>142601.33000000002</v>
      </c>
      <c r="W1978" s="2">
        <f>6-MATCH(Auto_Sales_data___Copy[[#This Row],[DAYS_SINCE_LAST_ORDER]],Table2[R-Cutoff],1)</f>
        <v>2</v>
      </c>
      <c r="X1978" s="2">
        <f>MATCH(Auto_Sales_data___Copy[[#This Row],[Total_Orders_Per_Customer]],Table2[F-Cutoff],1)</f>
        <v>4</v>
      </c>
      <c r="Y1978" s="2">
        <f>MATCH(Auto_Sales_data___Copy[[#This Row],[Total_Sales_Per_Customer]],Table2[M-Cutoff],1)</f>
        <v>4</v>
      </c>
      <c r="Z1978" s="2" t="str">
        <f>Auto_Sales_data___Copy[[#This Row],[R-Score(1-5)]]&amp;Auto_Sales_data___Copy[[#This Row],[F-Score(1-5)]]&amp;Auto_Sales_data___Copy[[#This Row],[M-Score(1-5)]]</f>
        <v>244</v>
      </c>
      <c r="AA1978" s="2" t="str" cm="1">
        <f t="array" ref="AA19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8" s="2" t="str">
        <f>VLOOKUP(Auto_Sales_data___Copy[[#This Row],[Segment Name]],Table3[],2,FALSE)</f>
        <v>High-Touch  Win-Back</v>
      </c>
    </row>
    <row r="1979" spans="1:28" x14ac:dyDescent="0.25">
      <c r="A1979">
        <v>10416</v>
      </c>
      <c r="B1979">
        <v>26</v>
      </c>
      <c r="C1979">
        <v>61.22</v>
      </c>
      <c r="D1979">
        <v>7</v>
      </c>
      <c r="E1979">
        <v>1591.72</v>
      </c>
      <c r="F1979" s="1">
        <v>43961</v>
      </c>
      <c r="G1979" s="2" t="s">
        <v>19</v>
      </c>
      <c r="H1979" s="2" t="s">
        <v>589</v>
      </c>
      <c r="I1979">
        <v>68</v>
      </c>
      <c r="J1979" s="2" t="s">
        <v>700</v>
      </c>
      <c r="K1979" s="2" t="s">
        <v>480</v>
      </c>
      <c r="L1979" s="2" t="s">
        <v>481</v>
      </c>
      <c r="M1979" s="2" t="s">
        <v>482</v>
      </c>
      <c r="N1979" s="2" t="s">
        <v>483</v>
      </c>
      <c r="O1979" s="2" t="s">
        <v>484</v>
      </c>
      <c r="P1979" s="2" t="s">
        <v>269</v>
      </c>
      <c r="Q1979" s="2" t="s">
        <v>485</v>
      </c>
      <c r="R1979" s="2" t="s">
        <v>486</v>
      </c>
      <c r="S1979" s="2" t="s">
        <v>30</v>
      </c>
      <c r="T1979">
        <v>2277</v>
      </c>
      <c r="U1979">
        <f>VLOOKUP(Auto_Sales_data___Copy[[#This Row],[CUSTOMER_NAME]],$AF$2:$AH$90,2,FALSE)</f>
        <v>39</v>
      </c>
      <c r="V1979">
        <f>VLOOKUP(Auto_Sales_data___Copy[[#This Row],[CUSTOMER_NAME]],$AF$2:$AH$90,3,FALSE)</f>
        <v>142601.33000000002</v>
      </c>
      <c r="W1979" s="2">
        <f>6-MATCH(Auto_Sales_data___Copy[[#This Row],[DAYS_SINCE_LAST_ORDER]],Table2[R-Cutoff],1)</f>
        <v>2</v>
      </c>
      <c r="X1979" s="2">
        <f>MATCH(Auto_Sales_data___Copy[[#This Row],[Total_Orders_Per_Customer]],Table2[F-Cutoff],1)</f>
        <v>4</v>
      </c>
      <c r="Y1979" s="2">
        <f>MATCH(Auto_Sales_data___Copy[[#This Row],[Total_Sales_Per_Customer]],Table2[M-Cutoff],1)</f>
        <v>4</v>
      </c>
      <c r="Z1979" s="2" t="str">
        <f>Auto_Sales_data___Copy[[#This Row],[R-Score(1-5)]]&amp;Auto_Sales_data___Copy[[#This Row],[F-Score(1-5)]]&amp;Auto_Sales_data___Copy[[#This Row],[M-Score(1-5)]]</f>
        <v>244</v>
      </c>
      <c r="AA1979" s="2" t="str" cm="1">
        <f t="array" ref="AA19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9" s="2" t="str">
        <f>VLOOKUP(Auto_Sales_data___Copy[[#This Row],[Segment Name]],Table3[],2,FALSE)</f>
        <v>High-Touch  Win-Back</v>
      </c>
    </row>
    <row r="1980" spans="1:28" x14ac:dyDescent="0.25">
      <c r="A1980">
        <v>10416</v>
      </c>
      <c r="B1980">
        <v>37</v>
      </c>
      <c r="C1980">
        <v>51.93</v>
      </c>
      <c r="D1980">
        <v>8</v>
      </c>
      <c r="E1980">
        <v>1921.41</v>
      </c>
      <c r="F1980" s="1">
        <v>43961</v>
      </c>
      <c r="G1980" s="2" t="s">
        <v>19</v>
      </c>
      <c r="H1980" s="2" t="s">
        <v>589</v>
      </c>
      <c r="I1980">
        <v>43</v>
      </c>
      <c r="J1980" s="2" t="s">
        <v>702</v>
      </c>
      <c r="K1980" s="2" t="s">
        <v>480</v>
      </c>
      <c r="L1980" s="2" t="s">
        <v>481</v>
      </c>
      <c r="M1980" s="2" t="s">
        <v>482</v>
      </c>
      <c r="N1980" s="2" t="s">
        <v>483</v>
      </c>
      <c r="O1980" s="2" t="s">
        <v>484</v>
      </c>
      <c r="P1980" s="2" t="s">
        <v>269</v>
      </c>
      <c r="Q1980" s="2" t="s">
        <v>485</v>
      </c>
      <c r="R1980" s="2" t="s">
        <v>486</v>
      </c>
      <c r="S1980" s="2" t="s">
        <v>30</v>
      </c>
      <c r="T1980">
        <v>2327</v>
      </c>
      <c r="U1980">
        <f>VLOOKUP(Auto_Sales_data___Copy[[#This Row],[CUSTOMER_NAME]],$AF$2:$AH$90,2,FALSE)</f>
        <v>39</v>
      </c>
      <c r="V1980">
        <f>VLOOKUP(Auto_Sales_data___Copy[[#This Row],[CUSTOMER_NAME]],$AF$2:$AH$90,3,FALSE)</f>
        <v>142601.33000000002</v>
      </c>
      <c r="W1980" s="2">
        <f>6-MATCH(Auto_Sales_data___Copy[[#This Row],[DAYS_SINCE_LAST_ORDER]],Table2[R-Cutoff],1)</f>
        <v>2</v>
      </c>
      <c r="X1980" s="2">
        <f>MATCH(Auto_Sales_data___Copy[[#This Row],[Total_Orders_Per_Customer]],Table2[F-Cutoff],1)</f>
        <v>4</v>
      </c>
      <c r="Y1980" s="2">
        <f>MATCH(Auto_Sales_data___Copy[[#This Row],[Total_Sales_Per_Customer]],Table2[M-Cutoff],1)</f>
        <v>4</v>
      </c>
      <c r="Z1980" s="2" t="str">
        <f>Auto_Sales_data___Copy[[#This Row],[R-Score(1-5)]]&amp;Auto_Sales_data___Copy[[#This Row],[F-Score(1-5)]]&amp;Auto_Sales_data___Copy[[#This Row],[M-Score(1-5)]]</f>
        <v>244</v>
      </c>
      <c r="AA1980" s="2" t="str" cm="1">
        <f t="array" ref="AA19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0" s="2" t="str">
        <f>VLOOKUP(Auto_Sales_data___Copy[[#This Row],[Segment Name]],Table3[],2,FALSE)</f>
        <v>High-Touch  Win-Back</v>
      </c>
    </row>
    <row r="1981" spans="1:28" x14ac:dyDescent="0.25">
      <c r="A1981">
        <v>10416</v>
      </c>
      <c r="B1981">
        <v>23</v>
      </c>
      <c r="C1981">
        <v>91.34</v>
      </c>
      <c r="D1981">
        <v>9</v>
      </c>
      <c r="E1981">
        <v>2100.8200000000002</v>
      </c>
      <c r="F1981" s="1">
        <v>43961</v>
      </c>
      <c r="G1981" s="2" t="s">
        <v>19</v>
      </c>
      <c r="H1981" s="2" t="s">
        <v>607</v>
      </c>
      <c r="I1981">
        <v>91</v>
      </c>
      <c r="J1981" s="2" t="s">
        <v>707</v>
      </c>
      <c r="K1981" s="2" t="s">
        <v>480</v>
      </c>
      <c r="L1981" s="2" t="s">
        <v>481</v>
      </c>
      <c r="M1981" s="2" t="s">
        <v>482</v>
      </c>
      <c r="N1981" s="2" t="s">
        <v>483</v>
      </c>
      <c r="O1981" s="2" t="s">
        <v>484</v>
      </c>
      <c r="P1981" s="2" t="s">
        <v>269</v>
      </c>
      <c r="Q1981" s="2" t="s">
        <v>485</v>
      </c>
      <c r="R1981" s="2" t="s">
        <v>486</v>
      </c>
      <c r="S1981" s="2" t="s">
        <v>30</v>
      </c>
      <c r="T1981">
        <v>2457</v>
      </c>
      <c r="U1981">
        <f>VLOOKUP(Auto_Sales_data___Copy[[#This Row],[CUSTOMER_NAME]],$AF$2:$AH$90,2,FALSE)</f>
        <v>39</v>
      </c>
      <c r="V1981">
        <f>VLOOKUP(Auto_Sales_data___Copy[[#This Row],[CUSTOMER_NAME]],$AF$2:$AH$90,3,FALSE)</f>
        <v>142601.33000000002</v>
      </c>
      <c r="W1981" s="2">
        <f>6-MATCH(Auto_Sales_data___Copy[[#This Row],[DAYS_SINCE_LAST_ORDER]],Table2[R-Cutoff],1)</f>
        <v>2</v>
      </c>
      <c r="X1981" s="2">
        <f>MATCH(Auto_Sales_data___Copy[[#This Row],[Total_Orders_Per_Customer]],Table2[F-Cutoff],1)</f>
        <v>4</v>
      </c>
      <c r="Y1981" s="2">
        <f>MATCH(Auto_Sales_data___Copy[[#This Row],[Total_Sales_Per_Customer]],Table2[M-Cutoff],1)</f>
        <v>4</v>
      </c>
      <c r="Z1981" s="2" t="str">
        <f>Auto_Sales_data___Copy[[#This Row],[R-Score(1-5)]]&amp;Auto_Sales_data___Copy[[#This Row],[F-Score(1-5)]]&amp;Auto_Sales_data___Copy[[#This Row],[M-Score(1-5)]]</f>
        <v>244</v>
      </c>
      <c r="AA1981" s="2" t="str" cm="1">
        <f t="array" ref="AA19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1" s="2" t="str">
        <f>VLOOKUP(Auto_Sales_data___Copy[[#This Row],[Segment Name]],Table3[],2,FALSE)</f>
        <v>High-Touch  Win-Back</v>
      </c>
    </row>
    <row r="1982" spans="1:28" x14ac:dyDescent="0.25">
      <c r="A1982">
        <v>10416</v>
      </c>
      <c r="B1982">
        <v>22</v>
      </c>
      <c r="C1982">
        <v>111.69</v>
      </c>
      <c r="D1982">
        <v>11</v>
      </c>
      <c r="E1982">
        <v>2457.1799999999998</v>
      </c>
      <c r="F1982" s="1">
        <v>43961</v>
      </c>
      <c r="G1982" s="2" t="s">
        <v>19</v>
      </c>
      <c r="H1982" s="2" t="s">
        <v>607</v>
      </c>
      <c r="I1982">
        <v>99</v>
      </c>
      <c r="J1982" s="2" t="s">
        <v>710</v>
      </c>
      <c r="K1982" s="2" t="s">
        <v>480</v>
      </c>
      <c r="L1982" s="2" t="s">
        <v>481</v>
      </c>
      <c r="M1982" s="2" t="s">
        <v>482</v>
      </c>
      <c r="N1982" s="2" t="s">
        <v>483</v>
      </c>
      <c r="O1982" s="2" t="s">
        <v>484</v>
      </c>
      <c r="P1982" s="2" t="s">
        <v>269</v>
      </c>
      <c r="Q1982" s="2" t="s">
        <v>485</v>
      </c>
      <c r="R1982" s="2" t="s">
        <v>486</v>
      </c>
      <c r="S1982" s="2" t="s">
        <v>30</v>
      </c>
      <c r="T1982">
        <v>2534</v>
      </c>
      <c r="U1982">
        <f>VLOOKUP(Auto_Sales_data___Copy[[#This Row],[CUSTOMER_NAME]],$AF$2:$AH$90,2,FALSE)</f>
        <v>39</v>
      </c>
      <c r="V1982">
        <f>VLOOKUP(Auto_Sales_data___Copy[[#This Row],[CUSTOMER_NAME]],$AF$2:$AH$90,3,FALSE)</f>
        <v>142601.33000000002</v>
      </c>
      <c r="W1982" s="2">
        <f>6-MATCH(Auto_Sales_data___Copy[[#This Row],[DAYS_SINCE_LAST_ORDER]],Table2[R-Cutoff],1)</f>
        <v>2</v>
      </c>
      <c r="X1982" s="2">
        <f>MATCH(Auto_Sales_data___Copy[[#This Row],[Total_Orders_Per_Customer]],Table2[F-Cutoff],1)</f>
        <v>4</v>
      </c>
      <c r="Y1982" s="2">
        <f>MATCH(Auto_Sales_data___Copy[[#This Row],[Total_Sales_Per_Customer]],Table2[M-Cutoff],1)</f>
        <v>4</v>
      </c>
      <c r="Z1982" s="2" t="str">
        <f>Auto_Sales_data___Copy[[#This Row],[R-Score(1-5)]]&amp;Auto_Sales_data___Copy[[#This Row],[F-Score(1-5)]]&amp;Auto_Sales_data___Copy[[#This Row],[M-Score(1-5)]]</f>
        <v>244</v>
      </c>
      <c r="AA1982" s="2" t="str" cm="1">
        <f t="array" ref="AA19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2" s="2" t="str">
        <f>VLOOKUP(Auto_Sales_data___Copy[[#This Row],[Segment Name]],Table3[],2,FALSE)</f>
        <v>High-Touch  Win-Back</v>
      </c>
    </row>
    <row r="1983" spans="1:28" x14ac:dyDescent="0.25">
      <c r="A1983">
        <v>10425</v>
      </c>
      <c r="B1983">
        <v>41</v>
      </c>
      <c r="C1983">
        <v>86.68</v>
      </c>
      <c r="D1983">
        <v>11</v>
      </c>
      <c r="E1983">
        <v>3553.88</v>
      </c>
      <c r="F1983" s="1">
        <v>43982</v>
      </c>
      <c r="G1983" s="2" t="s">
        <v>314</v>
      </c>
      <c r="H1983" s="2" t="s">
        <v>537</v>
      </c>
      <c r="I1983">
        <v>96</v>
      </c>
      <c r="J1983" s="2" t="s">
        <v>694</v>
      </c>
      <c r="K1983" s="2" t="s">
        <v>108</v>
      </c>
      <c r="L1983" s="2" t="s">
        <v>109</v>
      </c>
      <c r="M1983" s="2" t="s">
        <v>110</v>
      </c>
      <c r="N1983" s="2" t="s">
        <v>111</v>
      </c>
      <c r="O1983" s="2" t="s">
        <v>112</v>
      </c>
      <c r="P1983" s="2" t="s">
        <v>36</v>
      </c>
      <c r="Q1983" s="2" t="s">
        <v>113</v>
      </c>
      <c r="R1983" s="2" t="s">
        <v>114</v>
      </c>
      <c r="S1983" s="2" t="s">
        <v>46</v>
      </c>
      <c r="T1983">
        <v>2104</v>
      </c>
      <c r="U1983">
        <f>VLOOKUP(Auto_Sales_data___Copy[[#This Row],[CUSTOMER_NAME]],$AF$2:$AH$90,2,FALSE)</f>
        <v>53</v>
      </c>
      <c r="V1983">
        <f>VLOOKUP(Auto_Sales_data___Copy[[#This Row],[CUSTOMER_NAME]],$AF$2:$AH$90,3,FALSE)</f>
        <v>180124.90000000008</v>
      </c>
      <c r="W1983" s="2">
        <f>6-MATCH(Auto_Sales_data___Copy[[#This Row],[DAYS_SINCE_LAST_ORDER]],Table2[R-Cutoff],1)</f>
        <v>2</v>
      </c>
      <c r="X1983" s="2">
        <f>MATCH(Auto_Sales_data___Copy[[#This Row],[Total_Orders_Per_Customer]],Table2[F-Cutoff],1)</f>
        <v>4</v>
      </c>
      <c r="Y1983" s="2">
        <f>MATCH(Auto_Sales_data___Copy[[#This Row],[Total_Sales_Per_Customer]],Table2[M-Cutoff],1)</f>
        <v>4</v>
      </c>
      <c r="Z1983" s="2" t="str">
        <f>Auto_Sales_data___Copy[[#This Row],[R-Score(1-5)]]&amp;Auto_Sales_data___Copy[[#This Row],[F-Score(1-5)]]&amp;Auto_Sales_data___Copy[[#This Row],[M-Score(1-5)]]</f>
        <v>244</v>
      </c>
      <c r="AA1983" s="2" t="str" cm="1">
        <f t="array" ref="AA19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3" s="2" t="str">
        <f>VLOOKUP(Auto_Sales_data___Copy[[#This Row],[Segment Name]],Table3[],2,FALSE)</f>
        <v>High-Touch  Win-Back</v>
      </c>
    </row>
    <row r="1984" spans="1:28" x14ac:dyDescent="0.25">
      <c r="A1984">
        <v>10425</v>
      </c>
      <c r="B1984">
        <v>11</v>
      </c>
      <c r="C1984">
        <v>43.83</v>
      </c>
      <c r="D1984">
        <v>6</v>
      </c>
      <c r="E1984">
        <v>482.13</v>
      </c>
      <c r="F1984" s="1">
        <v>43982</v>
      </c>
      <c r="G1984" s="2" t="s">
        <v>314</v>
      </c>
      <c r="H1984" s="2" t="s">
        <v>537</v>
      </c>
      <c r="I1984">
        <v>54</v>
      </c>
      <c r="J1984" s="2" t="s">
        <v>697</v>
      </c>
      <c r="K1984" s="2" t="s">
        <v>108</v>
      </c>
      <c r="L1984" s="2" t="s">
        <v>109</v>
      </c>
      <c r="M1984" s="2" t="s">
        <v>110</v>
      </c>
      <c r="N1984" s="2" t="s">
        <v>111</v>
      </c>
      <c r="O1984" s="2" t="s">
        <v>112</v>
      </c>
      <c r="P1984" s="2" t="s">
        <v>36</v>
      </c>
      <c r="Q1984" s="2" t="s">
        <v>113</v>
      </c>
      <c r="R1984" s="2" t="s">
        <v>114</v>
      </c>
      <c r="S1984" s="2" t="s">
        <v>30</v>
      </c>
      <c r="T1984">
        <v>2180</v>
      </c>
      <c r="U1984">
        <f>VLOOKUP(Auto_Sales_data___Copy[[#This Row],[CUSTOMER_NAME]],$AF$2:$AH$90,2,FALSE)</f>
        <v>53</v>
      </c>
      <c r="V1984">
        <f>VLOOKUP(Auto_Sales_data___Copy[[#This Row],[CUSTOMER_NAME]],$AF$2:$AH$90,3,FALSE)</f>
        <v>180124.90000000008</v>
      </c>
      <c r="W1984" s="2">
        <f>6-MATCH(Auto_Sales_data___Copy[[#This Row],[DAYS_SINCE_LAST_ORDER]],Table2[R-Cutoff],1)</f>
        <v>2</v>
      </c>
      <c r="X1984" s="2">
        <f>MATCH(Auto_Sales_data___Copy[[#This Row],[Total_Orders_Per_Customer]],Table2[F-Cutoff],1)</f>
        <v>4</v>
      </c>
      <c r="Y1984" s="2">
        <f>MATCH(Auto_Sales_data___Copy[[#This Row],[Total_Sales_Per_Customer]],Table2[M-Cutoff],1)</f>
        <v>4</v>
      </c>
      <c r="Z1984" s="2" t="str">
        <f>Auto_Sales_data___Copy[[#This Row],[R-Score(1-5)]]&amp;Auto_Sales_data___Copy[[#This Row],[F-Score(1-5)]]&amp;Auto_Sales_data___Copy[[#This Row],[M-Score(1-5)]]</f>
        <v>244</v>
      </c>
      <c r="AA1984" s="2" t="str" cm="1">
        <f t="array" ref="AA19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4" s="2" t="str">
        <f>VLOOKUP(Auto_Sales_data___Copy[[#This Row],[Segment Name]],Table3[],2,FALSE)</f>
        <v>High-Touch  Win-Back</v>
      </c>
    </row>
    <row r="1985" spans="1:28" x14ac:dyDescent="0.25">
      <c r="A1985">
        <v>10425</v>
      </c>
      <c r="B1985">
        <v>18</v>
      </c>
      <c r="C1985">
        <v>105.33</v>
      </c>
      <c r="D1985">
        <v>2</v>
      </c>
      <c r="E1985">
        <v>1895.94</v>
      </c>
      <c r="F1985" s="1">
        <v>43982</v>
      </c>
      <c r="G1985" s="2" t="s">
        <v>314</v>
      </c>
      <c r="H1985" s="2" t="s">
        <v>537</v>
      </c>
      <c r="I1985">
        <v>115</v>
      </c>
      <c r="J1985" s="2" t="s">
        <v>703</v>
      </c>
      <c r="K1985" s="2" t="s">
        <v>108</v>
      </c>
      <c r="L1985" s="2" t="s">
        <v>109</v>
      </c>
      <c r="M1985" s="2" t="s">
        <v>110</v>
      </c>
      <c r="N1985" s="2" t="s">
        <v>111</v>
      </c>
      <c r="O1985" s="2" t="s">
        <v>112</v>
      </c>
      <c r="P1985" s="2" t="s">
        <v>36</v>
      </c>
      <c r="Q1985" s="2" t="s">
        <v>113</v>
      </c>
      <c r="R1985" s="2" t="s">
        <v>114</v>
      </c>
      <c r="S1985" s="2" t="s">
        <v>30</v>
      </c>
      <c r="T1985">
        <v>2334</v>
      </c>
      <c r="U1985">
        <f>VLOOKUP(Auto_Sales_data___Copy[[#This Row],[CUSTOMER_NAME]],$AF$2:$AH$90,2,FALSE)</f>
        <v>53</v>
      </c>
      <c r="V1985">
        <f>VLOOKUP(Auto_Sales_data___Copy[[#This Row],[CUSTOMER_NAME]],$AF$2:$AH$90,3,FALSE)</f>
        <v>180124.90000000008</v>
      </c>
      <c r="W1985" s="2">
        <f>6-MATCH(Auto_Sales_data___Copy[[#This Row],[DAYS_SINCE_LAST_ORDER]],Table2[R-Cutoff],1)</f>
        <v>2</v>
      </c>
      <c r="X1985" s="2">
        <f>MATCH(Auto_Sales_data___Copy[[#This Row],[Total_Orders_Per_Customer]],Table2[F-Cutoff],1)</f>
        <v>4</v>
      </c>
      <c r="Y1985" s="2">
        <f>MATCH(Auto_Sales_data___Copy[[#This Row],[Total_Sales_Per_Customer]],Table2[M-Cutoff],1)</f>
        <v>4</v>
      </c>
      <c r="Z1985" s="2" t="str">
        <f>Auto_Sales_data___Copy[[#This Row],[R-Score(1-5)]]&amp;Auto_Sales_data___Copy[[#This Row],[F-Score(1-5)]]&amp;Auto_Sales_data___Copy[[#This Row],[M-Score(1-5)]]</f>
        <v>244</v>
      </c>
      <c r="AA1985" s="2" t="str" cm="1">
        <f t="array" ref="AA19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5" s="2" t="str">
        <f>VLOOKUP(Auto_Sales_data___Copy[[#This Row],[Segment Name]],Table3[],2,FALSE)</f>
        <v>High-Touch  Win-Back</v>
      </c>
    </row>
    <row r="1986" spans="1:28" x14ac:dyDescent="0.25">
      <c r="A1986">
        <v>10124</v>
      </c>
      <c r="B1986">
        <v>23</v>
      </c>
      <c r="C1986">
        <v>57.73</v>
      </c>
      <c r="D1986">
        <v>8</v>
      </c>
      <c r="E1986">
        <v>1327.79</v>
      </c>
      <c r="F1986" s="1">
        <v>43241</v>
      </c>
      <c r="G1986" s="2" t="s">
        <v>19</v>
      </c>
      <c r="H1986" s="2" t="s">
        <v>183</v>
      </c>
      <c r="I1986">
        <v>71</v>
      </c>
      <c r="J1986" s="2" t="s">
        <v>664</v>
      </c>
      <c r="K1986" s="2" t="s">
        <v>577</v>
      </c>
      <c r="L1986" s="2" t="s">
        <v>578</v>
      </c>
      <c r="M1986" s="2" t="s">
        <v>579</v>
      </c>
      <c r="N1986" s="2" t="s">
        <v>580</v>
      </c>
      <c r="O1986" s="2" t="s">
        <v>581</v>
      </c>
      <c r="P1986" s="2" t="s">
        <v>27</v>
      </c>
      <c r="Q1986" s="2" t="s">
        <v>107</v>
      </c>
      <c r="R1986" s="2" t="s">
        <v>422</v>
      </c>
      <c r="S1986" s="2" t="s">
        <v>30</v>
      </c>
      <c r="T1986">
        <v>2085</v>
      </c>
      <c r="U1986">
        <f>VLOOKUP(Auto_Sales_data___Copy[[#This Row],[CUSTOMER_NAME]],$AF$2:$AH$90,2,FALSE)</f>
        <v>29</v>
      </c>
      <c r="V1986">
        <f>VLOOKUP(Auto_Sales_data___Copy[[#This Row],[CUSTOMER_NAME]],$AF$2:$AH$90,3,FALSE)</f>
        <v>82751.079999999987</v>
      </c>
      <c r="W1986" s="2">
        <f>6-MATCH(Auto_Sales_data___Copy[[#This Row],[DAYS_SINCE_LAST_ORDER]],Table2[R-Cutoff],1)</f>
        <v>2</v>
      </c>
      <c r="X1986" s="2">
        <f>MATCH(Auto_Sales_data___Copy[[#This Row],[Total_Orders_Per_Customer]],Table2[F-Cutoff],1)</f>
        <v>4</v>
      </c>
      <c r="Y1986" s="2">
        <f>MATCH(Auto_Sales_data___Copy[[#This Row],[Total_Sales_Per_Customer]],Table2[M-Cutoff],1)</f>
        <v>3</v>
      </c>
      <c r="Z1986" s="2" t="str">
        <f>Auto_Sales_data___Copy[[#This Row],[R-Score(1-5)]]&amp;Auto_Sales_data___Copy[[#This Row],[F-Score(1-5)]]&amp;Auto_Sales_data___Copy[[#This Row],[M-Score(1-5)]]</f>
        <v>243</v>
      </c>
      <c r="AA1986" s="2" t="str" cm="1">
        <f t="array" ref="AA19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86" s="2" t="str">
        <f>VLOOKUP(Auto_Sales_data___Copy[[#This Row],[Segment Name]],Table3[],2,FALSE)</f>
        <v>Brand Awareness &amp; Value Proposition</v>
      </c>
    </row>
    <row r="1987" spans="1:28" x14ac:dyDescent="0.25">
      <c r="A1987">
        <v>10124</v>
      </c>
      <c r="B1987">
        <v>22</v>
      </c>
      <c r="C1987">
        <v>77.900000000000006</v>
      </c>
      <c r="D1987">
        <v>12</v>
      </c>
      <c r="E1987">
        <v>1713.8</v>
      </c>
      <c r="F1987" s="1">
        <v>43241</v>
      </c>
      <c r="G1987" s="2" t="s">
        <v>19</v>
      </c>
      <c r="H1987" s="2" t="s">
        <v>183</v>
      </c>
      <c r="I1987">
        <v>73</v>
      </c>
      <c r="J1987" s="2" t="s">
        <v>665</v>
      </c>
      <c r="K1987" s="2" t="s">
        <v>577</v>
      </c>
      <c r="L1987" s="2" t="s">
        <v>578</v>
      </c>
      <c r="M1987" s="2" t="s">
        <v>579</v>
      </c>
      <c r="N1987" s="2" t="s">
        <v>580</v>
      </c>
      <c r="O1987" s="2" t="s">
        <v>581</v>
      </c>
      <c r="P1987" s="2" t="s">
        <v>27</v>
      </c>
      <c r="Q1987" s="2" t="s">
        <v>107</v>
      </c>
      <c r="R1987" s="2" t="s">
        <v>422</v>
      </c>
      <c r="S1987" s="2" t="s">
        <v>30</v>
      </c>
      <c r="T1987">
        <v>2107</v>
      </c>
      <c r="U1987">
        <f>VLOOKUP(Auto_Sales_data___Copy[[#This Row],[CUSTOMER_NAME]],$AF$2:$AH$90,2,FALSE)</f>
        <v>29</v>
      </c>
      <c r="V1987">
        <f>VLOOKUP(Auto_Sales_data___Copy[[#This Row],[CUSTOMER_NAME]],$AF$2:$AH$90,3,FALSE)</f>
        <v>82751.079999999987</v>
      </c>
      <c r="W1987" s="2">
        <f>6-MATCH(Auto_Sales_data___Copy[[#This Row],[DAYS_SINCE_LAST_ORDER]],Table2[R-Cutoff],1)</f>
        <v>2</v>
      </c>
      <c r="X1987" s="2">
        <f>MATCH(Auto_Sales_data___Copy[[#This Row],[Total_Orders_Per_Customer]],Table2[F-Cutoff],1)</f>
        <v>4</v>
      </c>
      <c r="Y1987" s="2">
        <f>MATCH(Auto_Sales_data___Copy[[#This Row],[Total_Sales_Per_Customer]],Table2[M-Cutoff],1)</f>
        <v>3</v>
      </c>
      <c r="Z1987" s="2" t="str">
        <f>Auto_Sales_data___Copy[[#This Row],[R-Score(1-5)]]&amp;Auto_Sales_data___Copy[[#This Row],[F-Score(1-5)]]&amp;Auto_Sales_data___Copy[[#This Row],[M-Score(1-5)]]</f>
        <v>243</v>
      </c>
      <c r="AA1987" s="2" t="str" cm="1">
        <f t="array" ref="AA19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87" s="2" t="str">
        <f>VLOOKUP(Auto_Sales_data___Copy[[#This Row],[Segment Name]],Table3[],2,FALSE)</f>
        <v>Brand Awareness &amp; Value Proposition</v>
      </c>
    </row>
    <row r="1988" spans="1:28" x14ac:dyDescent="0.25">
      <c r="A1988">
        <v>10124</v>
      </c>
      <c r="B1988">
        <v>45</v>
      </c>
      <c r="C1988">
        <v>37.840000000000003</v>
      </c>
      <c r="D1988">
        <v>2</v>
      </c>
      <c r="E1988">
        <v>1702.8</v>
      </c>
      <c r="F1988" s="1">
        <v>43241</v>
      </c>
      <c r="G1988" s="2" t="s">
        <v>19</v>
      </c>
      <c r="H1988" s="2" t="s">
        <v>589</v>
      </c>
      <c r="I1988">
        <v>33</v>
      </c>
      <c r="J1988" s="2" t="s">
        <v>670</v>
      </c>
      <c r="K1988" s="2" t="s">
        <v>577</v>
      </c>
      <c r="L1988" s="2" t="s">
        <v>578</v>
      </c>
      <c r="M1988" s="2" t="s">
        <v>579</v>
      </c>
      <c r="N1988" s="2" t="s">
        <v>580</v>
      </c>
      <c r="O1988" s="2" t="s">
        <v>581</v>
      </c>
      <c r="P1988" s="2" t="s">
        <v>27</v>
      </c>
      <c r="Q1988" s="2" t="s">
        <v>107</v>
      </c>
      <c r="R1988" s="2" t="s">
        <v>422</v>
      </c>
      <c r="S1988" s="2" t="s">
        <v>30</v>
      </c>
      <c r="T1988">
        <v>2230</v>
      </c>
      <c r="U1988">
        <f>VLOOKUP(Auto_Sales_data___Copy[[#This Row],[CUSTOMER_NAME]],$AF$2:$AH$90,2,FALSE)</f>
        <v>29</v>
      </c>
      <c r="V1988">
        <f>VLOOKUP(Auto_Sales_data___Copy[[#This Row],[CUSTOMER_NAME]],$AF$2:$AH$90,3,FALSE)</f>
        <v>82751.079999999987</v>
      </c>
      <c r="W1988" s="2">
        <f>6-MATCH(Auto_Sales_data___Copy[[#This Row],[DAYS_SINCE_LAST_ORDER]],Table2[R-Cutoff],1)</f>
        <v>2</v>
      </c>
      <c r="X1988" s="2">
        <f>MATCH(Auto_Sales_data___Copy[[#This Row],[Total_Orders_Per_Customer]],Table2[F-Cutoff],1)</f>
        <v>4</v>
      </c>
      <c r="Y1988" s="2">
        <f>MATCH(Auto_Sales_data___Copy[[#This Row],[Total_Sales_Per_Customer]],Table2[M-Cutoff],1)</f>
        <v>3</v>
      </c>
      <c r="Z1988" s="2" t="str">
        <f>Auto_Sales_data___Copy[[#This Row],[R-Score(1-5)]]&amp;Auto_Sales_data___Copy[[#This Row],[F-Score(1-5)]]&amp;Auto_Sales_data___Copy[[#This Row],[M-Score(1-5)]]</f>
        <v>243</v>
      </c>
      <c r="AA1988" s="2" t="str" cm="1">
        <f t="array" ref="AA19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88" s="2" t="str">
        <f>VLOOKUP(Auto_Sales_data___Copy[[#This Row],[Segment Name]],Table3[],2,FALSE)</f>
        <v>Brand Awareness &amp; Value Proposition</v>
      </c>
    </row>
    <row r="1989" spans="1:28" x14ac:dyDescent="0.25">
      <c r="A1989">
        <v>10124</v>
      </c>
      <c r="B1989">
        <v>22</v>
      </c>
      <c r="C1989">
        <v>45.25</v>
      </c>
      <c r="D1989">
        <v>1</v>
      </c>
      <c r="E1989">
        <v>995.5</v>
      </c>
      <c r="F1989" s="1">
        <v>43241</v>
      </c>
      <c r="G1989" s="2" t="s">
        <v>19</v>
      </c>
      <c r="H1989" s="2" t="s">
        <v>589</v>
      </c>
      <c r="I1989">
        <v>44</v>
      </c>
      <c r="J1989" s="2" t="s">
        <v>673</v>
      </c>
      <c r="K1989" s="2" t="s">
        <v>577</v>
      </c>
      <c r="L1989" s="2" t="s">
        <v>578</v>
      </c>
      <c r="M1989" s="2" t="s">
        <v>579</v>
      </c>
      <c r="N1989" s="2" t="s">
        <v>580</v>
      </c>
      <c r="O1989" s="2" t="s">
        <v>581</v>
      </c>
      <c r="P1989" s="2" t="s">
        <v>27</v>
      </c>
      <c r="Q1989" s="2" t="s">
        <v>107</v>
      </c>
      <c r="R1989" s="2" t="s">
        <v>422</v>
      </c>
      <c r="S1989" s="2" t="s">
        <v>30</v>
      </c>
      <c r="T1989">
        <v>2304</v>
      </c>
      <c r="U1989">
        <f>VLOOKUP(Auto_Sales_data___Copy[[#This Row],[CUSTOMER_NAME]],$AF$2:$AH$90,2,FALSE)</f>
        <v>29</v>
      </c>
      <c r="V1989">
        <f>VLOOKUP(Auto_Sales_data___Copy[[#This Row],[CUSTOMER_NAME]],$AF$2:$AH$90,3,FALSE)</f>
        <v>82751.079999999987</v>
      </c>
      <c r="W1989" s="2">
        <f>6-MATCH(Auto_Sales_data___Copy[[#This Row],[DAYS_SINCE_LAST_ORDER]],Table2[R-Cutoff],1)</f>
        <v>2</v>
      </c>
      <c r="X1989" s="2">
        <f>MATCH(Auto_Sales_data___Copy[[#This Row],[Total_Orders_Per_Customer]],Table2[F-Cutoff],1)</f>
        <v>4</v>
      </c>
      <c r="Y1989" s="2">
        <f>MATCH(Auto_Sales_data___Copy[[#This Row],[Total_Sales_Per_Customer]],Table2[M-Cutoff],1)</f>
        <v>3</v>
      </c>
      <c r="Z1989" s="2" t="str">
        <f>Auto_Sales_data___Copy[[#This Row],[R-Score(1-5)]]&amp;Auto_Sales_data___Copy[[#This Row],[F-Score(1-5)]]&amp;Auto_Sales_data___Copy[[#This Row],[M-Score(1-5)]]</f>
        <v>243</v>
      </c>
      <c r="AA1989" s="2" t="str" cm="1">
        <f t="array" ref="AA19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89" s="2" t="str">
        <f>VLOOKUP(Auto_Sales_data___Copy[[#This Row],[Segment Name]],Table3[],2,FALSE)</f>
        <v>Brand Awareness &amp; Value Proposition</v>
      </c>
    </row>
    <row r="1990" spans="1:28" x14ac:dyDescent="0.25">
      <c r="A1990">
        <v>10124</v>
      </c>
      <c r="B1990">
        <v>32</v>
      </c>
      <c r="C1990">
        <v>72.7</v>
      </c>
      <c r="D1990">
        <v>10</v>
      </c>
      <c r="E1990">
        <v>2326.4</v>
      </c>
      <c r="F1990" s="1">
        <v>43241</v>
      </c>
      <c r="G1990" s="2" t="s">
        <v>19</v>
      </c>
      <c r="H1990" s="2" t="s">
        <v>183</v>
      </c>
      <c r="I1990">
        <v>90</v>
      </c>
      <c r="J1990" s="2" t="s">
        <v>676</v>
      </c>
      <c r="K1990" s="2" t="s">
        <v>577</v>
      </c>
      <c r="L1990" s="2" t="s">
        <v>578</v>
      </c>
      <c r="M1990" s="2" t="s">
        <v>579</v>
      </c>
      <c r="N1990" s="2" t="s">
        <v>580</v>
      </c>
      <c r="O1990" s="2" t="s">
        <v>581</v>
      </c>
      <c r="P1990" s="2" t="s">
        <v>27</v>
      </c>
      <c r="Q1990" s="2" t="s">
        <v>107</v>
      </c>
      <c r="R1990" s="2" t="s">
        <v>422</v>
      </c>
      <c r="S1990" s="2" t="s">
        <v>30</v>
      </c>
      <c r="T1990">
        <v>2378</v>
      </c>
      <c r="U1990">
        <f>VLOOKUP(Auto_Sales_data___Copy[[#This Row],[CUSTOMER_NAME]],$AF$2:$AH$90,2,FALSE)</f>
        <v>29</v>
      </c>
      <c r="V1990">
        <f>VLOOKUP(Auto_Sales_data___Copy[[#This Row],[CUSTOMER_NAME]],$AF$2:$AH$90,3,FALSE)</f>
        <v>82751.079999999987</v>
      </c>
      <c r="W1990" s="2">
        <f>6-MATCH(Auto_Sales_data___Copy[[#This Row],[DAYS_SINCE_LAST_ORDER]],Table2[R-Cutoff],1)</f>
        <v>2</v>
      </c>
      <c r="X1990" s="2">
        <f>MATCH(Auto_Sales_data___Copy[[#This Row],[Total_Orders_Per_Customer]],Table2[F-Cutoff],1)</f>
        <v>4</v>
      </c>
      <c r="Y1990" s="2">
        <f>MATCH(Auto_Sales_data___Copy[[#This Row],[Total_Sales_Per_Customer]],Table2[M-Cutoff],1)</f>
        <v>3</v>
      </c>
      <c r="Z1990" s="2" t="str">
        <f>Auto_Sales_data___Copy[[#This Row],[R-Score(1-5)]]&amp;Auto_Sales_data___Copy[[#This Row],[F-Score(1-5)]]&amp;Auto_Sales_data___Copy[[#This Row],[M-Score(1-5)]]</f>
        <v>243</v>
      </c>
      <c r="AA1990" s="2" t="str" cm="1">
        <f t="array" ref="AA19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0" s="2" t="str">
        <f>VLOOKUP(Auto_Sales_data___Copy[[#This Row],[Segment Name]],Table3[],2,FALSE)</f>
        <v>Brand Awareness &amp; Value Proposition</v>
      </c>
    </row>
    <row r="1991" spans="1:28" x14ac:dyDescent="0.25">
      <c r="A1991">
        <v>10124</v>
      </c>
      <c r="B1991">
        <v>25</v>
      </c>
      <c r="C1991">
        <v>93.95</v>
      </c>
      <c r="D1991">
        <v>9</v>
      </c>
      <c r="E1991">
        <v>2348.75</v>
      </c>
      <c r="F1991" s="1">
        <v>43241</v>
      </c>
      <c r="G1991" s="2" t="s">
        <v>19</v>
      </c>
      <c r="H1991" s="2" t="s">
        <v>183</v>
      </c>
      <c r="I1991">
        <v>117</v>
      </c>
      <c r="J1991" s="2" t="s">
        <v>679</v>
      </c>
      <c r="K1991" s="2" t="s">
        <v>577</v>
      </c>
      <c r="L1991" s="2" t="s">
        <v>578</v>
      </c>
      <c r="M1991" s="2" t="s">
        <v>579</v>
      </c>
      <c r="N1991" s="2" t="s">
        <v>580</v>
      </c>
      <c r="O1991" s="2" t="s">
        <v>581</v>
      </c>
      <c r="P1991" s="2" t="s">
        <v>27</v>
      </c>
      <c r="Q1991" s="2" t="s">
        <v>107</v>
      </c>
      <c r="R1991" s="2" t="s">
        <v>422</v>
      </c>
      <c r="S1991" s="2" t="s">
        <v>30</v>
      </c>
      <c r="T1991">
        <v>2454</v>
      </c>
      <c r="U1991">
        <f>VLOOKUP(Auto_Sales_data___Copy[[#This Row],[CUSTOMER_NAME]],$AF$2:$AH$90,2,FALSE)</f>
        <v>29</v>
      </c>
      <c r="V1991">
        <f>VLOOKUP(Auto_Sales_data___Copy[[#This Row],[CUSTOMER_NAME]],$AF$2:$AH$90,3,FALSE)</f>
        <v>82751.079999999987</v>
      </c>
      <c r="W1991" s="2">
        <f>6-MATCH(Auto_Sales_data___Copy[[#This Row],[DAYS_SINCE_LAST_ORDER]],Table2[R-Cutoff],1)</f>
        <v>2</v>
      </c>
      <c r="X1991" s="2">
        <f>MATCH(Auto_Sales_data___Copy[[#This Row],[Total_Orders_Per_Customer]],Table2[F-Cutoff],1)</f>
        <v>4</v>
      </c>
      <c r="Y1991" s="2">
        <f>MATCH(Auto_Sales_data___Copy[[#This Row],[Total_Sales_Per_Customer]],Table2[M-Cutoff],1)</f>
        <v>3</v>
      </c>
      <c r="Z1991" s="2" t="str">
        <f>Auto_Sales_data___Copy[[#This Row],[R-Score(1-5)]]&amp;Auto_Sales_data___Copy[[#This Row],[F-Score(1-5)]]&amp;Auto_Sales_data___Copy[[#This Row],[M-Score(1-5)]]</f>
        <v>243</v>
      </c>
      <c r="AA1991" s="2" t="str" cm="1">
        <f t="array" ref="AA19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1" s="2" t="str">
        <f>VLOOKUP(Auto_Sales_data___Copy[[#This Row],[Segment Name]],Table3[],2,FALSE)</f>
        <v>Brand Awareness &amp; Value Proposition</v>
      </c>
    </row>
    <row r="1992" spans="1:28" x14ac:dyDescent="0.25">
      <c r="A1992">
        <v>10124</v>
      </c>
      <c r="B1992">
        <v>49</v>
      </c>
      <c r="C1992">
        <v>83.04</v>
      </c>
      <c r="D1992">
        <v>11</v>
      </c>
      <c r="E1992">
        <v>4068.96</v>
      </c>
      <c r="F1992" s="1">
        <v>43241</v>
      </c>
      <c r="G1992" s="2" t="s">
        <v>19</v>
      </c>
      <c r="H1992" s="2" t="s">
        <v>183</v>
      </c>
      <c r="I1992">
        <v>85</v>
      </c>
      <c r="J1992" s="2" t="s">
        <v>682</v>
      </c>
      <c r="K1992" s="2" t="s">
        <v>577</v>
      </c>
      <c r="L1992" s="2" t="s">
        <v>578</v>
      </c>
      <c r="M1992" s="2" t="s">
        <v>579</v>
      </c>
      <c r="N1992" s="2" t="s">
        <v>580</v>
      </c>
      <c r="O1992" s="2" t="s">
        <v>581</v>
      </c>
      <c r="P1992" s="2" t="s">
        <v>27</v>
      </c>
      <c r="Q1992" s="2" t="s">
        <v>107</v>
      </c>
      <c r="R1992" s="2" t="s">
        <v>422</v>
      </c>
      <c r="S1992" s="2" t="s">
        <v>46</v>
      </c>
      <c r="T1992">
        <v>2527</v>
      </c>
      <c r="U1992">
        <f>VLOOKUP(Auto_Sales_data___Copy[[#This Row],[CUSTOMER_NAME]],$AF$2:$AH$90,2,FALSE)</f>
        <v>29</v>
      </c>
      <c r="V1992">
        <f>VLOOKUP(Auto_Sales_data___Copy[[#This Row],[CUSTOMER_NAME]],$AF$2:$AH$90,3,FALSE)</f>
        <v>82751.079999999987</v>
      </c>
      <c r="W1992" s="2">
        <f>6-MATCH(Auto_Sales_data___Copy[[#This Row],[DAYS_SINCE_LAST_ORDER]],Table2[R-Cutoff],1)</f>
        <v>2</v>
      </c>
      <c r="X1992" s="2">
        <f>MATCH(Auto_Sales_data___Copy[[#This Row],[Total_Orders_Per_Customer]],Table2[F-Cutoff],1)</f>
        <v>4</v>
      </c>
      <c r="Y1992" s="2">
        <f>MATCH(Auto_Sales_data___Copy[[#This Row],[Total_Sales_Per_Customer]],Table2[M-Cutoff],1)</f>
        <v>3</v>
      </c>
      <c r="Z1992" s="2" t="str">
        <f>Auto_Sales_data___Copy[[#This Row],[R-Score(1-5)]]&amp;Auto_Sales_data___Copy[[#This Row],[F-Score(1-5)]]&amp;Auto_Sales_data___Copy[[#This Row],[M-Score(1-5)]]</f>
        <v>243</v>
      </c>
      <c r="AA1992" s="2" t="str" cm="1">
        <f t="array" ref="AA19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2" s="2" t="str">
        <f>VLOOKUP(Auto_Sales_data___Copy[[#This Row],[Segment Name]],Table3[],2,FALSE)</f>
        <v>Brand Awareness &amp; Value Proposition</v>
      </c>
    </row>
    <row r="1993" spans="1:28" x14ac:dyDescent="0.25">
      <c r="A1993">
        <v>10211</v>
      </c>
      <c r="B1993">
        <v>21</v>
      </c>
      <c r="C1993">
        <v>63.72</v>
      </c>
      <c r="D1993">
        <v>11</v>
      </c>
      <c r="E1993">
        <v>1338.12</v>
      </c>
      <c r="F1993" s="1">
        <v>43480</v>
      </c>
      <c r="G1993" s="2" t="s">
        <v>19</v>
      </c>
      <c r="H1993" s="2" t="s">
        <v>20</v>
      </c>
      <c r="I1993">
        <v>69</v>
      </c>
      <c r="J1993" s="2" t="s">
        <v>675</v>
      </c>
      <c r="K1993" s="2" t="s">
        <v>76</v>
      </c>
      <c r="L1993" s="2" t="s">
        <v>77</v>
      </c>
      <c r="M1993" s="2" t="s">
        <v>78</v>
      </c>
      <c r="N1993" s="2" t="s">
        <v>42</v>
      </c>
      <c r="O1993" s="2" t="s">
        <v>79</v>
      </c>
      <c r="P1993" s="2" t="s">
        <v>36</v>
      </c>
      <c r="Q1993" s="2" t="s">
        <v>80</v>
      </c>
      <c r="R1993" s="2" t="s">
        <v>81</v>
      </c>
      <c r="S1993" s="2" t="s">
        <v>30</v>
      </c>
      <c r="T1993">
        <v>2121</v>
      </c>
      <c r="U1993">
        <f>VLOOKUP(Auto_Sales_data___Copy[[#This Row],[CUSTOMER_NAME]],$AF$2:$AH$90,2,FALSE)</f>
        <v>27</v>
      </c>
      <c r="V1993">
        <f>VLOOKUP(Auto_Sales_data___Copy[[#This Row],[CUSTOMER_NAME]],$AF$2:$AH$90,3,FALSE)</f>
        <v>93170.66</v>
      </c>
      <c r="W1993" s="2">
        <f>6-MATCH(Auto_Sales_data___Copy[[#This Row],[DAYS_SINCE_LAST_ORDER]],Table2[R-Cutoff],1)</f>
        <v>2</v>
      </c>
      <c r="X1993" s="2">
        <f>MATCH(Auto_Sales_data___Copy[[#This Row],[Total_Orders_Per_Customer]],Table2[F-Cutoff],1)</f>
        <v>4</v>
      </c>
      <c r="Y1993" s="2">
        <f>MATCH(Auto_Sales_data___Copy[[#This Row],[Total_Sales_Per_Customer]],Table2[M-Cutoff],1)</f>
        <v>3</v>
      </c>
      <c r="Z1993" s="2" t="str">
        <f>Auto_Sales_data___Copy[[#This Row],[R-Score(1-5)]]&amp;Auto_Sales_data___Copy[[#This Row],[F-Score(1-5)]]&amp;Auto_Sales_data___Copy[[#This Row],[M-Score(1-5)]]</f>
        <v>243</v>
      </c>
      <c r="AA1993" s="2" t="str" cm="1">
        <f t="array" ref="AA19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3" s="2" t="str">
        <f>VLOOKUP(Auto_Sales_data___Copy[[#This Row],[Segment Name]],Table3[],2,FALSE)</f>
        <v>Brand Awareness &amp; Value Proposition</v>
      </c>
    </row>
    <row r="1994" spans="1:28" x14ac:dyDescent="0.25">
      <c r="A1994">
        <v>10211</v>
      </c>
      <c r="B1994">
        <v>48</v>
      </c>
      <c r="C1994">
        <v>48.98</v>
      </c>
      <c r="D1994">
        <v>1</v>
      </c>
      <c r="E1994">
        <v>2351.04</v>
      </c>
      <c r="F1994" s="1">
        <v>43480</v>
      </c>
      <c r="G1994" s="2" t="s">
        <v>19</v>
      </c>
      <c r="H1994" s="2" t="s">
        <v>183</v>
      </c>
      <c r="I1994">
        <v>61</v>
      </c>
      <c r="J1994" s="2" t="s">
        <v>683</v>
      </c>
      <c r="K1994" s="2" t="s">
        <v>76</v>
      </c>
      <c r="L1994" s="2" t="s">
        <v>77</v>
      </c>
      <c r="M1994" s="2" t="s">
        <v>78</v>
      </c>
      <c r="N1994" s="2" t="s">
        <v>42</v>
      </c>
      <c r="O1994" s="2" t="s">
        <v>79</v>
      </c>
      <c r="P1994" s="2" t="s">
        <v>36</v>
      </c>
      <c r="Q1994" s="2" t="s">
        <v>80</v>
      </c>
      <c r="R1994" s="2" t="s">
        <v>81</v>
      </c>
      <c r="S1994" s="2" t="s">
        <v>30</v>
      </c>
      <c r="T1994">
        <v>2318</v>
      </c>
      <c r="U1994">
        <f>VLOOKUP(Auto_Sales_data___Copy[[#This Row],[CUSTOMER_NAME]],$AF$2:$AH$90,2,FALSE)</f>
        <v>27</v>
      </c>
      <c r="V1994">
        <f>VLOOKUP(Auto_Sales_data___Copy[[#This Row],[CUSTOMER_NAME]],$AF$2:$AH$90,3,FALSE)</f>
        <v>93170.66</v>
      </c>
      <c r="W1994" s="2">
        <f>6-MATCH(Auto_Sales_data___Copy[[#This Row],[DAYS_SINCE_LAST_ORDER]],Table2[R-Cutoff],1)</f>
        <v>2</v>
      </c>
      <c r="X1994" s="2">
        <f>MATCH(Auto_Sales_data___Copy[[#This Row],[Total_Orders_Per_Customer]],Table2[F-Cutoff],1)</f>
        <v>4</v>
      </c>
      <c r="Y1994" s="2">
        <f>MATCH(Auto_Sales_data___Copy[[#This Row],[Total_Sales_Per_Customer]],Table2[M-Cutoff],1)</f>
        <v>3</v>
      </c>
      <c r="Z1994" s="2" t="str">
        <f>Auto_Sales_data___Copy[[#This Row],[R-Score(1-5)]]&amp;Auto_Sales_data___Copy[[#This Row],[F-Score(1-5)]]&amp;Auto_Sales_data___Copy[[#This Row],[M-Score(1-5)]]</f>
        <v>243</v>
      </c>
      <c r="AA1994" s="2" t="str" cm="1">
        <f t="array" ref="AA19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4" s="2" t="str">
        <f>VLOOKUP(Auto_Sales_data___Copy[[#This Row],[Segment Name]],Table3[],2,FALSE)</f>
        <v>Brand Awareness &amp; Value Proposition</v>
      </c>
    </row>
    <row r="1995" spans="1:28" x14ac:dyDescent="0.25">
      <c r="A1995">
        <v>10211</v>
      </c>
      <c r="B1995">
        <v>22</v>
      </c>
      <c r="C1995">
        <v>92.16</v>
      </c>
      <c r="D1995">
        <v>6</v>
      </c>
      <c r="E1995">
        <v>2027.52</v>
      </c>
      <c r="F1995" s="1">
        <v>43480</v>
      </c>
      <c r="G1995" s="2" t="s">
        <v>19</v>
      </c>
      <c r="H1995" s="2" t="s">
        <v>183</v>
      </c>
      <c r="I1995">
        <v>80</v>
      </c>
      <c r="J1995" s="2" t="s">
        <v>693</v>
      </c>
      <c r="K1995" s="2" t="s">
        <v>76</v>
      </c>
      <c r="L1995" s="2" t="s">
        <v>77</v>
      </c>
      <c r="M1995" s="2" t="s">
        <v>78</v>
      </c>
      <c r="N1995" s="2" t="s">
        <v>42</v>
      </c>
      <c r="O1995" s="2" t="s">
        <v>79</v>
      </c>
      <c r="P1995" s="2" t="s">
        <v>36</v>
      </c>
      <c r="Q1995" s="2" t="s">
        <v>80</v>
      </c>
      <c r="R1995" s="2" t="s">
        <v>81</v>
      </c>
      <c r="S1995" s="2" t="s">
        <v>30</v>
      </c>
      <c r="T1995">
        <v>2564</v>
      </c>
      <c r="U1995">
        <f>VLOOKUP(Auto_Sales_data___Copy[[#This Row],[CUSTOMER_NAME]],$AF$2:$AH$90,2,FALSE)</f>
        <v>27</v>
      </c>
      <c r="V1995">
        <f>VLOOKUP(Auto_Sales_data___Copy[[#This Row],[CUSTOMER_NAME]],$AF$2:$AH$90,3,FALSE)</f>
        <v>93170.66</v>
      </c>
      <c r="W1995" s="2">
        <f>6-MATCH(Auto_Sales_data___Copy[[#This Row],[DAYS_SINCE_LAST_ORDER]],Table2[R-Cutoff],1)</f>
        <v>2</v>
      </c>
      <c r="X1995" s="2">
        <f>MATCH(Auto_Sales_data___Copy[[#This Row],[Total_Orders_Per_Customer]],Table2[F-Cutoff],1)</f>
        <v>4</v>
      </c>
      <c r="Y1995" s="2">
        <f>MATCH(Auto_Sales_data___Copy[[#This Row],[Total_Sales_Per_Customer]],Table2[M-Cutoff],1)</f>
        <v>3</v>
      </c>
      <c r="Z1995" s="2" t="str">
        <f>Auto_Sales_data___Copy[[#This Row],[R-Score(1-5)]]&amp;Auto_Sales_data___Copy[[#This Row],[F-Score(1-5)]]&amp;Auto_Sales_data___Copy[[#This Row],[M-Score(1-5)]]</f>
        <v>243</v>
      </c>
      <c r="AA1995" s="2" t="str" cm="1">
        <f t="array" ref="AA19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5" s="2" t="str">
        <f>VLOOKUP(Auto_Sales_data___Copy[[#This Row],[Segment Name]],Table3[],2,FALSE)</f>
        <v>Brand Awareness &amp; Value Proposition</v>
      </c>
    </row>
    <row r="1996" spans="1:28" x14ac:dyDescent="0.25">
      <c r="A1996">
        <v>10252</v>
      </c>
      <c r="B1996">
        <v>38</v>
      </c>
      <c r="C1996">
        <v>87.31</v>
      </c>
      <c r="D1996">
        <v>3</v>
      </c>
      <c r="E1996">
        <v>3317.78</v>
      </c>
      <c r="F1996" s="1">
        <v>43611</v>
      </c>
      <c r="G1996" s="2" t="s">
        <v>19</v>
      </c>
      <c r="H1996" s="2" t="s">
        <v>183</v>
      </c>
      <c r="I1996">
        <v>80</v>
      </c>
      <c r="J1996" s="2" t="s">
        <v>693</v>
      </c>
      <c r="K1996" s="2" t="s">
        <v>76</v>
      </c>
      <c r="L1996" s="2" t="s">
        <v>77</v>
      </c>
      <c r="M1996" s="2" t="s">
        <v>78</v>
      </c>
      <c r="N1996" s="2" t="s">
        <v>42</v>
      </c>
      <c r="O1996" s="2" t="s">
        <v>79</v>
      </c>
      <c r="P1996" s="2" t="s">
        <v>36</v>
      </c>
      <c r="Q1996" s="2" t="s">
        <v>80</v>
      </c>
      <c r="R1996" s="2" t="s">
        <v>81</v>
      </c>
      <c r="S1996" s="2" t="s">
        <v>46</v>
      </c>
      <c r="T1996">
        <v>2436</v>
      </c>
      <c r="U1996">
        <f>VLOOKUP(Auto_Sales_data___Copy[[#This Row],[CUSTOMER_NAME]],$AF$2:$AH$90,2,FALSE)</f>
        <v>27</v>
      </c>
      <c r="V1996">
        <f>VLOOKUP(Auto_Sales_data___Copy[[#This Row],[CUSTOMER_NAME]],$AF$2:$AH$90,3,FALSE)</f>
        <v>93170.66</v>
      </c>
      <c r="W1996" s="2">
        <f>6-MATCH(Auto_Sales_data___Copy[[#This Row],[DAYS_SINCE_LAST_ORDER]],Table2[R-Cutoff],1)</f>
        <v>2</v>
      </c>
      <c r="X1996" s="2">
        <f>MATCH(Auto_Sales_data___Copy[[#This Row],[Total_Orders_Per_Customer]],Table2[F-Cutoff],1)</f>
        <v>4</v>
      </c>
      <c r="Y1996" s="2">
        <f>MATCH(Auto_Sales_data___Copy[[#This Row],[Total_Sales_Per_Customer]],Table2[M-Cutoff],1)</f>
        <v>3</v>
      </c>
      <c r="Z1996" s="2" t="str">
        <f>Auto_Sales_data___Copy[[#This Row],[R-Score(1-5)]]&amp;Auto_Sales_data___Copy[[#This Row],[F-Score(1-5)]]&amp;Auto_Sales_data___Copy[[#This Row],[M-Score(1-5)]]</f>
        <v>243</v>
      </c>
      <c r="AA1996" s="2" t="str" cm="1">
        <f t="array" ref="AA19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6" s="2" t="str">
        <f>VLOOKUP(Auto_Sales_data___Copy[[#This Row],[Segment Name]],Table3[],2,FALSE)</f>
        <v>Brand Awareness &amp; Value Proposition</v>
      </c>
    </row>
    <row r="1997" spans="1:28" x14ac:dyDescent="0.25">
      <c r="A1997">
        <v>10252</v>
      </c>
      <c r="B1997">
        <v>36</v>
      </c>
      <c r="C1997">
        <v>48.28</v>
      </c>
      <c r="D1997">
        <v>6</v>
      </c>
      <c r="E1997">
        <v>1738.08</v>
      </c>
      <c r="F1997" s="1">
        <v>43611</v>
      </c>
      <c r="G1997" s="2" t="s">
        <v>19</v>
      </c>
      <c r="H1997" s="2" t="s">
        <v>20</v>
      </c>
      <c r="I1997">
        <v>40</v>
      </c>
      <c r="J1997" s="2" t="s">
        <v>696</v>
      </c>
      <c r="K1997" s="2" t="s">
        <v>76</v>
      </c>
      <c r="L1997" s="2" t="s">
        <v>77</v>
      </c>
      <c r="M1997" s="2" t="s">
        <v>78</v>
      </c>
      <c r="N1997" s="2" t="s">
        <v>42</v>
      </c>
      <c r="O1997" s="2" t="s">
        <v>79</v>
      </c>
      <c r="P1997" s="2" t="s">
        <v>36</v>
      </c>
      <c r="Q1997" s="2" t="s">
        <v>80</v>
      </c>
      <c r="R1997" s="2" t="s">
        <v>81</v>
      </c>
      <c r="S1997" s="2" t="s">
        <v>30</v>
      </c>
      <c r="T1997">
        <v>2510</v>
      </c>
      <c r="U1997">
        <f>VLOOKUP(Auto_Sales_data___Copy[[#This Row],[CUSTOMER_NAME]],$AF$2:$AH$90,2,FALSE)</f>
        <v>27</v>
      </c>
      <c r="V1997">
        <f>VLOOKUP(Auto_Sales_data___Copy[[#This Row],[CUSTOMER_NAME]],$AF$2:$AH$90,3,FALSE)</f>
        <v>93170.66</v>
      </c>
      <c r="W1997" s="2">
        <f>6-MATCH(Auto_Sales_data___Copy[[#This Row],[DAYS_SINCE_LAST_ORDER]],Table2[R-Cutoff],1)</f>
        <v>2</v>
      </c>
      <c r="X1997" s="2">
        <f>MATCH(Auto_Sales_data___Copy[[#This Row],[Total_Orders_Per_Customer]],Table2[F-Cutoff],1)</f>
        <v>4</v>
      </c>
      <c r="Y1997" s="2">
        <f>MATCH(Auto_Sales_data___Copy[[#This Row],[Total_Sales_Per_Customer]],Table2[M-Cutoff],1)</f>
        <v>3</v>
      </c>
      <c r="Z1997" s="2" t="str">
        <f>Auto_Sales_data___Copy[[#This Row],[R-Score(1-5)]]&amp;Auto_Sales_data___Copy[[#This Row],[F-Score(1-5)]]&amp;Auto_Sales_data___Copy[[#This Row],[M-Score(1-5)]]</f>
        <v>243</v>
      </c>
      <c r="AA1997" s="2" t="str" cm="1">
        <f t="array" ref="AA19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7" s="2" t="str">
        <f>VLOOKUP(Auto_Sales_data___Copy[[#This Row],[Segment Name]],Table3[],2,FALSE)</f>
        <v>Brand Awareness &amp; Value Proposition</v>
      </c>
    </row>
    <row r="1998" spans="1:28" x14ac:dyDescent="0.25">
      <c r="A1998">
        <v>10278</v>
      </c>
      <c r="B1998">
        <v>31</v>
      </c>
      <c r="C1998">
        <v>38.89</v>
      </c>
      <c r="D1998">
        <v>8</v>
      </c>
      <c r="E1998">
        <v>1205.5899999999999</v>
      </c>
      <c r="F1998" s="1">
        <v>43683</v>
      </c>
      <c r="G1998" s="2" t="s">
        <v>19</v>
      </c>
      <c r="H1998" s="2" t="s">
        <v>183</v>
      </c>
      <c r="I1998">
        <v>37</v>
      </c>
      <c r="J1998" s="2" t="s">
        <v>680</v>
      </c>
      <c r="K1998" s="2" t="s">
        <v>577</v>
      </c>
      <c r="L1998" s="2" t="s">
        <v>578</v>
      </c>
      <c r="M1998" s="2" t="s">
        <v>579</v>
      </c>
      <c r="N1998" s="2" t="s">
        <v>580</v>
      </c>
      <c r="O1998" s="2" t="s">
        <v>581</v>
      </c>
      <c r="P1998" s="2" t="s">
        <v>27</v>
      </c>
      <c r="Q1998" s="2" t="s">
        <v>107</v>
      </c>
      <c r="R1998" s="2" t="s">
        <v>422</v>
      </c>
      <c r="S1998" s="2" t="s">
        <v>30</v>
      </c>
      <c r="T1998">
        <v>2046</v>
      </c>
      <c r="U1998">
        <f>VLOOKUP(Auto_Sales_data___Copy[[#This Row],[CUSTOMER_NAME]],$AF$2:$AH$90,2,FALSE)</f>
        <v>29</v>
      </c>
      <c r="V1998">
        <f>VLOOKUP(Auto_Sales_data___Copy[[#This Row],[CUSTOMER_NAME]],$AF$2:$AH$90,3,FALSE)</f>
        <v>82751.079999999987</v>
      </c>
      <c r="W1998" s="2">
        <f>6-MATCH(Auto_Sales_data___Copy[[#This Row],[DAYS_SINCE_LAST_ORDER]],Table2[R-Cutoff],1)</f>
        <v>2</v>
      </c>
      <c r="X1998" s="2">
        <f>MATCH(Auto_Sales_data___Copy[[#This Row],[Total_Orders_Per_Customer]],Table2[F-Cutoff],1)</f>
        <v>4</v>
      </c>
      <c r="Y1998" s="2">
        <f>MATCH(Auto_Sales_data___Copy[[#This Row],[Total_Sales_Per_Customer]],Table2[M-Cutoff],1)</f>
        <v>3</v>
      </c>
      <c r="Z1998" s="2" t="str">
        <f>Auto_Sales_data___Copy[[#This Row],[R-Score(1-5)]]&amp;Auto_Sales_data___Copy[[#This Row],[F-Score(1-5)]]&amp;Auto_Sales_data___Copy[[#This Row],[M-Score(1-5)]]</f>
        <v>243</v>
      </c>
      <c r="AA1998" s="2" t="str" cm="1">
        <f t="array" ref="AA19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8" s="2" t="str">
        <f>VLOOKUP(Auto_Sales_data___Copy[[#This Row],[Segment Name]],Table3[],2,FALSE)</f>
        <v>Brand Awareness &amp; Value Proposition</v>
      </c>
    </row>
    <row r="1999" spans="1:28" x14ac:dyDescent="0.25">
      <c r="A1999">
        <v>10278</v>
      </c>
      <c r="B1999">
        <v>25</v>
      </c>
      <c r="C1999">
        <v>126.39</v>
      </c>
      <c r="D1999">
        <v>9</v>
      </c>
      <c r="E1999">
        <v>3159.75</v>
      </c>
      <c r="F1999" s="1">
        <v>43683</v>
      </c>
      <c r="G1999" s="2" t="s">
        <v>19</v>
      </c>
      <c r="H1999" s="2" t="s">
        <v>183</v>
      </c>
      <c r="I1999">
        <v>140</v>
      </c>
      <c r="J1999" s="2" t="s">
        <v>687</v>
      </c>
      <c r="K1999" s="2" t="s">
        <v>577</v>
      </c>
      <c r="L1999" s="2" t="s">
        <v>578</v>
      </c>
      <c r="M1999" s="2" t="s">
        <v>579</v>
      </c>
      <c r="N1999" s="2" t="s">
        <v>580</v>
      </c>
      <c r="O1999" s="2" t="s">
        <v>581</v>
      </c>
      <c r="P1999" s="2" t="s">
        <v>27</v>
      </c>
      <c r="Q1999" s="2" t="s">
        <v>107</v>
      </c>
      <c r="R1999" s="2" t="s">
        <v>422</v>
      </c>
      <c r="S1999" s="2" t="s">
        <v>46</v>
      </c>
      <c r="T1999">
        <v>2219</v>
      </c>
      <c r="U1999">
        <f>VLOOKUP(Auto_Sales_data___Copy[[#This Row],[CUSTOMER_NAME]],$AF$2:$AH$90,2,FALSE)</f>
        <v>29</v>
      </c>
      <c r="V1999">
        <f>VLOOKUP(Auto_Sales_data___Copy[[#This Row],[CUSTOMER_NAME]],$AF$2:$AH$90,3,FALSE)</f>
        <v>82751.079999999987</v>
      </c>
      <c r="W1999" s="2">
        <f>6-MATCH(Auto_Sales_data___Copy[[#This Row],[DAYS_SINCE_LAST_ORDER]],Table2[R-Cutoff],1)</f>
        <v>2</v>
      </c>
      <c r="X1999" s="2">
        <f>MATCH(Auto_Sales_data___Copy[[#This Row],[Total_Orders_Per_Customer]],Table2[F-Cutoff],1)</f>
        <v>4</v>
      </c>
      <c r="Y1999" s="2">
        <f>MATCH(Auto_Sales_data___Copy[[#This Row],[Total_Sales_Per_Customer]],Table2[M-Cutoff],1)</f>
        <v>3</v>
      </c>
      <c r="Z1999" s="2" t="str">
        <f>Auto_Sales_data___Copy[[#This Row],[R-Score(1-5)]]&amp;Auto_Sales_data___Copy[[#This Row],[F-Score(1-5)]]&amp;Auto_Sales_data___Copy[[#This Row],[M-Score(1-5)]]</f>
        <v>243</v>
      </c>
      <c r="AA1999" s="2" t="str" cm="1">
        <f t="array" ref="AA19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9" s="2" t="str">
        <f>VLOOKUP(Auto_Sales_data___Copy[[#This Row],[Segment Name]],Table3[],2,FALSE)</f>
        <v>Brand Awareness &amp; Value Proposition</v>
      </c>
    </row>
    <row r="2000" spans="1:28" x14ac:dyDescent="0.25">
      <c r="A2000">
        <v>10346</v>
      </c>
      <c r="B2000">
        <v>26</v>
      </c>
      <c r="C2000">
        <v>95.88</v>
      </c>
      <c r="D2000">
        <v>6</v>
      </c>
      <c r="E2000">
        <v>2492.88</v>
      </c>
      <c r="F2000" s="1">
        <v>43798</v>
      </c>
      <c r="G2000" s="2" t="s">
        <v>19</v>
      </c>
      <c r="H2000" s="2" t="s">
        <v>183</v>
      </c>
      <c r="I2000">
        <v>107</v>
      </c>
      <c r="J2000" s="2" t="s">
        <v>685</v>
      </c>
      <c r="K2000" s="2" t="s">
        <v>577</v>
      </c>
      <c r="L2000" s="2" t="s">
        <v>578</v>
      </c>
      <c r="M2000" s="2" t="s">
        <v>579</v>
      </c>
      <c r="N2000" s="2" t="s">
        <v>580</v>
      </c>
      <c r="O2000" s="2" t="s">
        <v>581</v>
      </c>
      <c r="P2000" s="2" t="s">
        <v>27</v>
      </c>
      <c r="Q2000" s="2" t="s">
        <v>107</v>
      </c>
      <c r="R2000" s="2" t="s">
        <v>422</v>
      </c>
      <c r="S2000" s="2" t="s">
        <v>30</v>
      </c>
      <c r="T2000">
        <v>2061</v>
      </c>
      <c r="U2000">
        <f>VLOOKUP(Auto_Sales_data___Copy[[#This Row],[CUSTOMER_NAME]],$AF$2:$AH$90,2,FALSE)</f>
        <v>29</v>
      </c>
      <c r="V2000">
        <f>VLOOKUP(Auto_Sales_data___Copy[[#This Row],[CUSTOMER_NAME]],$AF$2:$AH$90,3,FALSE)</f>
        <v>82751.079999999987</v>
      </c>
      <c r="W2000" s="2">
        <f>6-MATCH(Auto_Sales_data___Copy[[#This Row],[DAYS_SINCE_LAST_ORDER]],Table2[R-Cutoff],1)</f>
        <v>2</v>
      </c>
      <c r="X2000" s="2">
        <f>MATCH(Auto_Sales_data___Copy[[#This Row],[Total_Orders_Per_Customer]],Table2[F-Cutoff],1)</f>
        <v>4</v>
      </c>
      <c r="Y2000" s="2">
        <f>MATCH(Auto_Sales_data___Copy[[#This Row],[Total_Sales_Per_Customer]],Table2[M-Cutoff],1)</f>
        <v>3</v>
      </c>
      <c r="Z2000" s="2" t="str">
        <f>Auto_Sales_data___Copy[[#This Row],[R-Score(1-5)]]&amp;Auto_Sales_data___Copy[[#This Row],[F-Score(1-5)]]&amp;Auto_Sales_data___Copy[[#This Row],[M-Score(1-5)]]</f>
        <v>243</v>
      </c>
      <c r="AA2000" s="2" t="str" cm="1">
        <f t="array" ref="AA20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0" s="2" t="str">
        <f>VLOOKUP(Auto_Sales_data___Copy[[#This Row],[Segment Name]],Table3[],2,FALSE)</f>
        <v>Brand Awareness &amp; Value Proposition</v>
      </c>
    </row>
    <row r="2001" spans="1:28" x14ac:dyDescent="0.25">
      <c r="A2001">
        <v>10346</v>
      </c>
      <c r="B2001">
        <v>22</v>
      </c>
      <c r="C2001">
        <v>97.44</v>
      </c>
      <c r="D2001">
        <v>4</v>
      </c>
      <c r="E2001">
        <v>2143.6799999999998</v>
      </c>
      <c r="F2001" s="1">
        <v>43798</v>
      </c>
      <c r="G2001" s="2" t="s">
        <v>19</v>
      </c>
      <c r="H2001" s="2" t="s">
        <v>589</v>
      </c>
      <c r="I2001">
        <v>41</v>
      </c>
      <c r="J2001" s="2" t="s">
        <v>689</v>
      </c>
      <c r="K2001" s="2" t="s">
        <v>577</v>
      </c>
      <c r="L2001" s="2" t="s">
        <v>578</v>
      </c>
      <c r="M2001" s="2" t="s">
        <v>579</v>
      </c>
      <c r="N2001" s="2" t="s">
        <v>580</v>
      </c>
      <c r="O2001" s="2" t="s">
        <v>581</v>
      </c>
      <c r="P2001" s="2" t="s">
        <v>27</v>
      </c>
      <c r="Q2001" s="2" t="s">
        <v>107</v>
      </c>
      <c r="R2001" s="2" t="s">
        <v>422</v>
      </c>
      <c r="S2001" s="2" t="s">
        <v>30</v>
      </c>
      <c r="T2001">
        <v>2160</v>
      </c>
      <c r="U2001">
        <f>VLOOKUP(Auto_Sales_data___Copy[[#This Row],[CUSTOMER_NAME]],$AF$2:$AH$90,2,FALSE)</f>
        <v>29</v>
      </c>
      <c r="V2001">
        <f>VLOOKUP(Auto_Sales_data___Copy[[#This Row],[CUSTOMER_NAME]],$AF$2:$AH$90,3,FALSE)</f>
        <v>82751.079999999987</v>
      </c>
      <c r="W2001" s="2">
        <f>6-MATCH(Auto_Sales_data___Copy[[#This Row],[DAYS_SINCE_LAST_ORDER]],Table2[R-Cutoff],1)</f>
        <v>2</v>
      </c>
      <c r="X2001" s="2">
        <f>MATCH(Auto_Sales_data___Copy[[#This Row],[Total_Orders_Per_Customer]],Table2[F-Cutoff],1)</f>
        <v>4</v>
      </c>
      <c r="Y2001" s="2">
        <f>MATCH(Auto_Sales_data___Copy[[#This Row],[Total_Sales_Per_Customer]],Table2[M-Cutoff],1)</f>
        <v>3</v>
      </c>
      <c r="Z2001" s="2" t="str">
        <f>Auto_Sales_data___Copy[[#This Row],[R-Score(1-5)]]&amp;Auto_Sales_data___Copy[[#This Row],[F-Score(1-5)]]&amp;Auto_Sales_data___Copy[[#This Row],[M-Score(1-5)]]</f>
        <v>243</v>
      </c>
      <c r="AA2001" s="2" t="str" cm="1">
        <f t="array" ref="AA20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1" s="2" t="str">
        <f>VLOOKUP(Auto_Sales_data___Copy[[#This Row],[Segment Name]],Table3[],2,FALSE)</f>
        <v>Brand Awareness &amp; Value Proposition</v>
      </c>
    </row>
    <row r="2002" spans="1:28" x14ac:dyDescent="0.25">
      <c r="A2002">
        <v>10172</v>
      </c>
      <c r="B2002">
        <v>22</v>
      </c>
      <c r="C2002">
        <v>74.510000000000005</v>
      </c>
      <c r="D2002">
        <v>1</v>
      </c>
      <c r="E2002">
        <v>1639.22</v>
      </c>
      <c r="F2002" s="1">
        <v>43409</v>
      </c>
      <c r="G2002" s="2" t="s">
        <v>19</v>
      </c>
      <c r="H2002" s="2" t="s">
        <v>183</v>
      </c>
      <c r="I2002">
        <v>90</v>
      </c>
      <c r="J2002" s="2" t="s">
        <v>676</v>
      </c>
      <c r="K2002" s="2" t="s">
        <v>102</v>
      </c>
      <c r="L2002" s="2" t="s">
        <v>103</v>
      </c>
      <c r="M2002" s="2" t="s">
        <v>104</v>
      </c>
      <c r="N2002" s="2" t="s">
        <v>105</v>
      </c>
      <c r="O2002" s="2" t="s">
        <v>106</v>
      </c>
      <c r="P2002" s="2" t="s">
        <v>27</v>
      </c>
      <c r="Q2002" s="2" t="s">
        <v>107</v>
      </c>
      <c r="R2002" s="2" t="s">
        <v>53</v>
      </c>
      <c r="S2002" s="2" t="s">
        <v>30</v>
      </c>
      <c r="T2002">
        <v>2213</v>
      </c>
      <c r="U2002">
        <f>VLOOKUP(Auto_Sales_data___Copy[[#This Row],[CUSTOMER_NAME]],$AF$2:$AH$90,2,FALSE)</f>
        <v>25</v>
      </c>
      <c r="V2002">
        <f>VLOOKUP(Auto_Sales_data___Copy[[#This Row],[CUSTOMER_NAME]],$AF$2:$AH$90,3,FALSE)</f>
        <v>101894.79000000001</v>
      </c>
      <c r="W2002" s="2">
        <f>6-MATCH(Auto_Sales_data___Copy[[#This Row],[DAYS_SINCE_LAST_ORDER]],Table2[R-Cutoff],1)</f>
        <v>2</v>
      </c>
      <c r="X2002" s="2">
        <f>MATCH(Auto_Sales_data___Copy[[#This Row],[Total_Orders_Per_Customer]],Table2[F-Cutoff],1)</f>
        <v>3</v>
      </c>
      <c r="Y2002" s="2">
        <f>MATCH(Auto_Sales_data___Copy[[#This Row],[Total_Sales_Per_Customer]],Table2[M-Cutoff],1)</f>
        <v>4</v>
      </c>
      <c r="Z2002" s="2" t="str">
        <f>Auto_Sales_data___Copy[[#This Row],[R-Score(1-5)]]&amp;Auto_Sales_data___Copy[[#This Row],[F-Score(1-5)]]&amp;Auto_Sales_data___Copy[[#This Row],[M-Score(1-5)]]</f>
        <v>234</v>
      </c>
      <c r="AA2002" s="2" t="str" cm="1">
        <f t="array" ref="AA20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2" s="2" t="str">
        <f>VLOOKUP(Auto_Sales_data___Copy[[#This Row],[Segment Name]],Table3[],2,FALSE)</f>
        <v>Brand Awareness &amp; Value Proposition</v>
      </c>
    </row>
    <row r="2003" spans="1:28" x14ac:dyDescent="0.25">
      <c r="A2003">
        <v>10172</v>
      </c>
      <c r="B2003">
        <v>24</v>
      </c>
      <c r="C2003">
        <v>81.33</v>
      </c>
      <c r="D2003">
        <v>2</v>
      </c>
      <c r="E2003">
        <v>1951.92</v>
      </c>
      <c r="F2003" s="1">
        <v>43409</v>
      </c>
      <c r="G2003" s="2" t="s">
        <v>19</v>
      </c>
      <c r="H2003" s="2" t="s">
        <v>183</v>
      </c>
      <c r="I2003">
        <v>85</v>
      </c>
      <c r="J2003" s="2" t="s">
        <v>682</v>
      </c>
      <c r="K2003" s="2" t="s">
        <v>102</v>
      </c>
      <c r="L2003" s="2" t="s">
        <v>103</v>
      </c>
      <c r="M2003" s="2" t="s">
        <v>104</v>
      </c>
      <c r="N2003" s="2" t="s">
        <v>105</v>
      </c>
      <c r="O2003" s="2" t="s">
        <v>106</v>
      </c>
      <c r="P2003" s="2" t="s">
        <v>27</v>
      </c>
      <c r="Q2003" s="2" t="s">
        <v>107</v>
      </c>
      <c r="R2003" s="2" t="s">
        <v>53</v>
      </c>
      <c r="S2003" s="2" t="s">
        <v>30</v>
      </c>
      <c r="T2003">
        <v>2362</v>
      </c>
      <c r="U2003">
        <f>VLOOKUP(Auto_Sales_data___Copy[[#This Row],[CUSTOMER_NAME]],$AF$2:$AH$90,2,FALSE)</f>
        <v>25</v>
      </c>
      <c r="V2003">
        <f>VLOOKUP(Auto_Sales_data___Copy[[#This Row],[CUSTOMER_NAME]],$AF$2:$AH$90,3,FALSE)</f>
        <v>101894.79000000001</v>
      </c>
      <c r="W2003" s="2">
        <f>6-MATCH(Auto_Sales_data___Copy[[#This Row],[DAYS_SINCE_LAST_ORDER]],Table2[R-Cutoff],1)</f>
        <v>2</v>
      </c>
      <c r="X2003" s="2">
        <f>MATCH(Auto_Sales_data___Copy[[#This Row],[Total_Orders_Per_Customer]],Table2[F-Cutoff],1)</f>
        <v>3</v>
      </c>
      <c r="Y2003" s="2">
        <f>MATCH(Auto_Sales_data___Copy[[#This Row],[Total_Sales_Per_Customer]],Table2[M-Cutoff],1)</f>
        <v>4</v>
      </c>
      <c r="Z2003" s="2" t="str">
        <f>Auto_Sales_data___Copy[[#This Row],[R-Score(1-5)]]&amp;Auto_Sales_data___Copy[[#This Row],[F-Score(1-5)]]&amp;Auto_Sales_data___Copy[[#This Row],[M-Score(1-5)]]</f>
        <v>234</v>
      </c>
      <c r="AA2003" s="2" t="str" cm="1">
        <f t="array" ref="AA20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3" s="2" t="str">
        <f>VLOOKUP(Auto_Sales_data___Copy[[#This Row],[Segment Name]],Table3[],2,FALSE)</f>
        <v>Brand Awareness &amp; Value Proposition</v>
      </c>
    </row>
    <row r="2004" spans="1:28" x14ac:dyDescent="0.25">
      <c r="A2004">
        <v>10172</v>
      </c>
      <c r="B2004">
        <v>22</v>
      </c>
      <c r="C2004">
        <v>98.51</v>
      </c>
      <c r="D2004">
        <v>4</v>
      </c>
      <c r="E2004">
        <v>2167.2199999999998</v>
      </c>
      <c r="F2004" s="1">
        <v>43409</v>
      </c>
      <c r="G2004" s="2" t="s">
        <v>19</v>
      </c>
      <c r="H2004" s="2" t="s">
        <v>183</v>
      </c>
      <c r="I2004">
        <v>107</v>
      </c>
      <c r="J2004" s="2" t="s">
        <v>685</v>
      </c>
      <c r="K2004" s="2" t="s">
        <v>102</v>
      </c>
      <c r="L2004" s="2" t="s">
        <v>103</v>
      </c>
      <c r="M2004" s="2" t="s">
        <v>104</v>
      </c>
      <c r="N2004" s="2" t="s">
        <v>105</v>
      </c>
      <c r="O2004" s="2" t="s">
        <v>106</v>
      </c>
      <c r="P2004" s="2" t="s">
        <v>27</v>
      </c>
      <c r="Q2004" s="2" t="s">
        <v>107</v>
      </c>
      <c r="R2004" s="2" t="s">
        <v>53</v>
      </c>
      <c r="S2004" s="2" t="s">
        <v>30</v>
      </c>
      <c r="T2004">
        <v>2436</v>
      </c>
      <c r="U2004">
        <f>VLOOKUP(Auto_Sales_data___Copy[[#This Row],[CUSTOMER_NAME]],$AF$2:$AH$90,2,FALSE)</f>
        <v>25</v>
      </c>
      <c r="V2004">
        <f>VLOOKUP(Auto_Sales_data___Copy[[#This Row],[CUSTOMER_NAME]],$AF$2:$AH$90,3,FALSE)</f>
        <v>101894.79000000001</v>
      </c>
      <c r="W2004" s="2">
        <f>6-MATCH(Auto_Sales_data___Copy[[#This Row],[DAYS_SINCE_LAST_ORDER]],Table2[R-Cutoff],1)</f>
        <v>2</v>
      </c>
      <c r="X2004" s="2">
        <f>MATCH(Auto_Sales_data___Copy[[#This Row],[Total_Orders_Per_Customer]],Table2[F-Cutoff],1)</f>
        <v>3</v>
      </c>
      <c r="Y2004" s="2">
        <f>MATCH(Auto_Sales_data___Copy[[#This Row],[Total_Sales_Per_Customer]],Table2[M-Cutoff],1)</f>
        <v>4</v>
      </c>
      <c r="Z2004" s="2" t="str">
        <f>Auto_Sales_data___Copy[[#This Row],[R-Score(1-5)]]&amp;Auto_Sales_data___Copy[[#This Row],[F-Score(1-5)]]&amp;Auto_Sales_data___Copy[[#This Row],[M-Score(1-5)]]</f>
        <v>234</v>
      </c>
      <c r="AA2004" s="2" t="str" cm="1">
        <f t="array" ref="AA20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4" s="2" t="str">
        <f>VLOOKUP(Auto_Sales_data___Copy[[#This Row],[Segment Name]],Table3[],2,FALSE)</f>
        <v>Brand Awareness &amp; Value Proposition</v>
      </c>
    </row>
    <row r="2005" spans="1:28" x14ac:dyDescent="0.25">
      <c r="A2005">
        <v>10263</v>
      </c>
      <c r="B2005">
        <v>24</v>
      </c>
      <c r="C2005">
        <v>75.349999999999994</v>
      </c>
      <c r="D2005">
        <v>11</v>
      </c>
      <c r="E2005">
        <v>1808.4</v>
      </c>
      <c r="F2005" s="1">
        <v>43644</v>
      </c>
      <c r="G2005" s="2" t="s">
        <v>19</v>
      </c>
      <c r="H2005" s="2" t="s">
        <v>607</v>
      </c>
      <c r="I2005">
        <v>72</v>
      </c>
      <c r="J2005" s="2" t="s">
        <v>692</v>
      </c>
      <c r="K2005" s="2" t="s">
        <v>102</v>
      </c>
      <c r="L2005" s="2" t="s">
        <v>103</v>
      </c>
      <c r="M2005" s="2" t="s">
        <v>104</v>
      </c>
      <c r="N2005" s="2" t="s">
        <v>105</v>
      </c>
      <c r="O2005" s="2" t="s">
        <v>106</v>
      </c>
      <c r="P2005" s="2" t="s">
        <v>27</v>
      </c>
      <c r="Q2005" s="2" t="s">
        <v>107</v>
      </c>
      <c r="R2005" s="2" t="s">
        <v>53</v>
      </c>
      <c r="S2005" s="2" t="s">
        <v>30</v>
      </c>
      <c r="T2005">
        <v>2378</v>
      </c>
      <c r="U2005">
        <f>VLOOKUP(Auto_Sales_data___Copy[[#This Row],[CUSTOMER_NAME]],$AF$2:$AH$90,2,FALSE)</f>
        <v>25</v>
      </c>
      <c r="V2005">
        <f>VLOOKUP(Auto_Sales_data___Copy[[#This Row],[CUSTOMER_NAME]],$AF$2:$AH$90,3,FALSE)</f>
        <v>101894.79000000001</v>
      </c>
      <c r="W2005" s="2">
        <f>6-MATCH(Auto_Sales_data___Copy[[#This Row],[DAYS_SINCE_LAST_ORDER]],Table2[R-Cutoff],1)</f>
        <v>2</v>
      </c>
      <c r="X2005" s="2">
        <f>MATCH(Auto_Sales_data___Copy[[#This Row],[Total_Orders_Per_Customer]],Table2[F-Cutoff],1)</f>
        <v>3</v>
      </c>
      <c r="Y2005" s="2">
        <f>MATCH(Auto_Sales_data___Copy[[#This Row],[Total_Sales_Per_Customer]],Table2[M-Cutoff],1)</f>
        <v>4</v>
      </c>
      <c r="Z2005" s="2" t="str">
        <f>Auto_Sales_data___Copy[[#This Row],[R-Score(1-5)]]&amp;Auto_Sales_data___Copy[[#This Row],[F-Score(1-5)]]&amp;Auto_Sales_data___Copy[[#This Row],[M-Score(1-5)]]</f>
        <v>234</v>
      </c>
      <c r="AA2005" s="2" t="str" cm="1">
        <f t="array" ref="AA20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5" s="2" t="str">
        <f>VLOOKUP(Auto_Sales_data___Copy[[#This Row],[Segment Name]],Table3[],2,FALSE)</f>
        <v>Brand Awareness &amp; Value Proposition</v>
      </c>
    </row>
    <row r="2006" spans="1:28" x14ac:dyDescent="0.25">
      <c r="A2006">
        <v>10263</v>
      </c>
      <c r="B2006">
        <v>31</v>
      </c>
      <c r="C2006">
        <v>79.91</v>
      </c>
      <c r="D2006">
        <v>8</v>
      </c>
      <c r="E2006">
        <v>2477.21</v>
      </c>
      <c r="F2006" s="1">
        <v>43644</v>
      </c>
      <c r="G2006" s="2" t="s">
        <v>19</v>
      </c>
      <c r="H2006" s="2" t="s">
        <v>20</v>
      </c>
      <c r="I2006">
        <v>99</v>
      </c>
      <c r="J2006" s="2" t="s">
        <v>695</v>
      </c>
      <c r="K2006" s="2" t="s">
        <v>102</v>
      </c>
      <c r="L2006" s="2" t="s">
        <v>103</v>
      </c>
      <c r="M2006" s="2" t="s">
        <v>104</v>
      </c>
      <c r="N2006" s="2" t="s">
        <v>105</v>
      </c>
      <c r="O2006" s="2" t="s">
        <v>106</v>
      </c>
      <c r="P2006" s="2" t="s">
        <v>27</v>
      </c>
      <c r="Q2006" s="2" t="s">
        <v>107</v>
      </c>
      <c r="R2006" s="2" t="s">
        <v>53</v>
      </c>
      <c r="S2006" s="2" t="s">
        <v>30</v>
      </c>
      <c r="T2006">
        <v>2453</v>
      </c>
      <c r="U2006">
        <f>VLOOKUP(Auto_Sales_data___Copy[[#This Row],[CUSTOMER_NAME]],$AF$2:$AH$90,2,FALSE)</f>
        <v>25</v>
      </c>
      <c r="V2006">
        <f>VLOOKUP(Auto_Sales_data___Copy[[#This Row],[CUSTOMER_NAME]],$AF$2:$AH$90,3,FALSE)</f>
        <v>101894.79000000001</v>
      </c>
      <c r="W2006" s="2">
        <f>6-MATCH(Auto_Sales_data___Copy[[#This Row],[DAYS_SINCE_LAST_ORDER]],Table2[R-Cutoff],1)</f>
        <v>2</v>
      </c>
      <c r="X2006" s="2">
        <f>MATCH(Auto_Sales_data___Copy[[#This Row],[Total_Orders_Per_Customer]],Table2[F-Cutoff],1)</f>
        <v>3</v>
      </c>
      <c r="Y2006" s="2">
        <f>MATCH(Auto_Sales_data___Copy[[#This Row],[Total_Sales_Per_Customer]],Table2[M-Cutoff],1)</f>
        <v>4</v>
      </c>
      <c r="Z2006" s="2" t="str">
        <f>Auto_Sales_data___Copy[[#This Row],[R-Score(1-5)]]&amp;Auto_Sales_data___Copy[[#This Row],[F-Score(1-5)]]&amp;Auto_Sales_data___Copy[[#This Row],[M-Score(1-5)]]</f>
        <v>234</v>
      </c>
      <c r="AA2006" s="2" t="str" cm="1">
        <f t="array" ref="AA20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6" s="2" t="str">
        <f>VLOOKUP(Auto_Sales_data___Copy[[#This Row],[Segment Name]],Table3[],2,FALSE)</f>
        <v>Brand Awareness &amp; Value Proposition</v>
      </c>
    </row>
    <row r="2007" spans="1:28" x14ac:dyDescent="0.25">
      <c r="A2007">
        <v>10413</v>
      </c>
      <c r="B2007">
        <v>24</v>
      </c>
      <c r="C2007">
        <v>49.71</v>
      </c>
      <c r="D2007">
        <v>6</v>
      </c>
      <c r="E2007">
        <v>1193.04</v>
      </c>
      <c r="F2007" s="1">
        <v>43956</v>
      </c>
      <c r="G2007" s="2" t="s">
        <v>19</v>
      </c>
      <c r="H2007" s="2" t="s">
        <v>650</v>
      </c>
      <c r="I2007">
        <v>62</v>
      </c>
      <c r="J2007" s="2" t="s">
        <v>698</v>
      </c>
      <c r="K2007" s="2" t="s">
        <v>102</v>
      </c>
      <c r="L2007" s="2" t="s">
        <v>103</v>
      </c>
      <c r="M2007" s="2" t="s">
        <v>104</v>
      </c>
      <c r="N2007" s="2" t="s">
        <v>105</v>
      </c>
      <c r="O2007" s="2" t="s">
        <v>106</v>
      </c>
      <c r="P2007" s="2" t="s">
        <v>27</v>
      </c>
      <c r="Q2007" s="2" t="s">
        <v>107</v>
      </c>
      <c r="R2007" s="2" t="s">
        <v>53</v>
      </c>
      <c r="S2007" s="2" t="s">
        <v>30</v>
      </c>
      <c r="T2007">
        <v>2232</v>
      </c>
      <c r="U2007">
        <f>VLOOKUP(Auto_Sales_data___Copy[[#This Row],[CUSTOMER_NAME]],$AF$2:$AH$90,2,FALSE)</f>
        <v>25</v>
      </c>
      <c r="V2007">
        <f>VLOOKUP(Auto_Sales_data___Copy[[#This Row],[CUSTOMER_NAME]],$AF$2:$AH$90,3,FALSE)</f>
        <v>101894.79000000001</v>
      </c>
      <c r="W2007" s="2">
        <f>6-MATCH(Auto_Sales_data___Copy[[#This Row],[DAYS_SINCE_LAST_ORDER]],Table2[R-Cutoff],1)</f>
        <v>2</v>
      </c>
      <c r="X2007" s="2">
        <f>MATCH(Auto_Sales_data___Copy[[#This Row],[Total_Orders_Per_Customer]],Table2[F-Cutoff],1)</f>
        <v>3</v>
      </c>
      <c r="Y2007" s="2">
        <f>MATCH(Auto_Sales_data___Copy[[#This Row],[Total_Sales_Per_Customer]],Table2[M-Cutoff],1)</f>
        <v>4</v>
      </c>
      <c r="Z2007" s="2" t="str">
        <f>Auto_Sales_data___Copy[[#This Row],[R-Score(1-5)]]&amp;Auto_Sales_data___Copy[[#This Row],[F-Score(1-5)]]&amp;Auto_Sales_data___Copy[[#This Row],[M-Score(1-5)]]</f>
        <v>234</v>
      </c>
      <c r="AA2007" s="2" t="str" cm="1">
        <f t="array" ref="AA20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7" s="2" t="str">
        <f>VLOOKUP(Auto_Sales_data___Copy[[#This Row],[Segment Name]],Table3[],2,FALSE)</f>
        <v>Brand Awareness &amp; Value Proposition</v>
      </c>
    </row>
    <row r="2008" spans="1:28" x14ac:dyDescent="0.25">
      <c r="A2008">
        <v>10413</v>
      </c>
      <c r="B2008">
        <v>51</v>
      </c>
      <c r="C2008">
        <v>63.85</v>
      </c>
      <c r="D2008">
        <v>4</v>
      </c>
      <c r="E2008">
        <v>3256.35</v>
      </c>
      <c r="F2008" s="1">
        <v>43956</v>
      </c>
      <c r="G2008" s="2" t="s">
        <v>19</v>
      </c>
      <c r="H2008" s="2" t="s">
        <v>650</v>
      </c>
      <c r="I2008">
        <v>58</v>
      </c>
      <c r="J2008" s="2" t="s">
        <v>704</v>
      </c>
      <c r="K2008" s="2" t="s">
        <v>102</v>
      </c>
      <c r="L2008" s="2" t="s">
        <v>103</v>
      </c>
      <c r="M2008" s="2" t="s">
        <v>104</v>
      </c>
      <c r="N2008" s="2" t="s">
        <v>105</v>
      </c>
      <c r="O2008" s="2" t="s">
        <v>106</v>
      </c>
      <c r="P2008" s="2" t="s">
        <v>27</v>
      </c>
      <c r="Q2008" s="2" t="s">
        <v>107</v>
      </c>
      <c r="R2008" s="2" t="s">
        <v>53</v>
      </c>
      <c r="S2008" s="2" t="s">
        <v>46</v>
      </c>
      <c r="T2008">
        <v>2386</v>
      </c>
      <c r="U2008">
        <f>VLOOKUP(Auto_Sales_data___Copy[[#This Row],[CUSTOMER_NAME]],$AF$2:$AH$90,2,FALSE)</f>
        <v>25</v>
      </c>
      <c r="V2008">
        <f>VLOOKUP(Auto_Sales_data___Copy[[#This Row],[CUSTOMER_NAME]],$AF$2:$AH$90,3,FALSE)</f>
        <v>101894.79000000001</v>
      </c>
      <c r="W2008" s="2">
        <f>6-MATCH(Auto_Sales_data___Copy[[#This Row],[DAYS_SINCE_LAST_ORDER]],Table2[R-Cutoff],1)</f>
        <v>2</v>
      </c>
      <c r="X2008" s="2">
        <f>MATCH(Auto_Sales_data___Copy[[#This Row],[Total_Orders_Per_Customer]],Table2[F-Cutoff],1)</f>
        <v>3</v>
      </c>
      <c r="Y2008" s="2">
        <f>MATCH(Auto_Sales_data___Copy[[#This Row],[Total_Sales_Per_Customer]],Table2[M-Cutoff],1)</f>
        <v>4</v>
      </c>
      <c r="Z2008" s="2" t="str">
        <f>Auto_Sales_data___Copy[[#This Row],[R-Score(1-5)]]&amp;Auto_Sales_data___Copy[[#This Row],[F-Score(1-5)]]&amp;Auto_Sales_data___Copy[[#This Row],[M-Score(1-5)]]</f>
        <v>234</v>
      </c>
      <c r="AA2008" s="2" t="str" cm="1">
        <f t="array" ref="AA20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8" s="2" t="str">
        <f>VLOOKUP(Auto_Sales_data___Copy[[#This Row],[Segment Name]],Table3[],2,FALSE)</f>
        <v>Brand Awareness &amp; Value Proposition</v>
      </c>
    </row>
    <row r="2009" spans="1:28" x14ac:dyDescent="0.25">
      <c r="A2009">
        <v>10108</v>
      </c>
      <c r="B2009">
        <v>44</v>
      </c>
      <c r="C2009">
        <v>126.48</v>
      </c>
      <c r="D2009">
        <v>11</v>
      </c>
      <c r="E2009">
        <v>5565.12</v>
      </c>
      <c r="F2009" s="1">
        <v>43162</v>
      </c>
      <c r="G2009" s="2" t="s">
        <v>19</v>
      </c>
      <c r="H2009" s="2" t="s">
        <v>183</v>
      </c>
      <c r="I2009">
        <v>148</v>
      </c>
      <c r="J2009" s="2" t="s">
        <v>663</v>
      </c>
      <c r="K2009" s="2" t="s">
        <v>450</v>
      </c>
      <c r="L2009" s="2" t="s">
        <v>451</v>
      </c>
      <c r="M2009" s="2" t="s">
        <v>452</v>
      </c>
      <c r="N2009" s="2" t="s">
        <v>453</v>
      </c>
      <c r="O2009" s="2" t="s">
        <v>454</v>
      </c>
      <c r="P2009" s="2" t="s">
        <v>455</v>
      </c>
      <c r="Q2009" s="2" t="s">
        <v>456</v>
      </c>
      <c r="R2009" s="2" t="s">
        <v>457</v>
      </c>
      <c r="S2009" s="2" t="s">
        <v>46</v>
      </c>
      <c r="T2009">
        <v>2140</v>
      </c>
      <c r="U2009">
        <f>VLOOKUP(Auto_Sales_data___Copy[[#This Row],[CUSTOMER_NAME]],$AF$2:$AH$90,2,FALSE)</f>
        <v>26</v>
      </c>
      <c r="V2009">
        <f>VLOOKUP(Auto_Sales_data___Copy[[#This Row],[CUSTOMER_NAME]],$AF$2:$AH$90,3,FALSE)</f>
        <v>94015.73</v>
      </c>
      <c r="W2009" s="2">
        <f>6-MATCH(Auto_Sales_data___Copy[[#This Row],[DAYS_SINCE_LAST_ORDER]],Table2[R-Cutoff],1)</f>
        <v>2</v>
      </c>
      <c r="X2009" s="2">
        <f>MATCH(Auto_Sales_data___Copy[[#This Row],[Total_Orders_Per_Customer]],Table2[F-Cutoff],1)</f>
        <v>3</v>
      </c>
      <c r="Y2009" s="2">
        <f>MATCH(Auto_Sales_data___Copy[[#This Row],[Total_Sales_Per_Customer]],Table2[M-Cutoff],1)</f>
        <v>3</v>
      </c>
      <c r="Z2009" s="2" t="str">
        <f>Auto_Sales_data___Copy[[#This Row],[R-Score(1-5)]]&amp;Auto_Sales_data___Copy[[#This Row],[F-Score(1-5)]]&amp;Auto_Sales_data___Copy[[#This Row],[M-Score(1-5)]]</f>
        <v>233</v>
      </c>
      <c r="AA2009" s="2" t="str" cm="1">
        <f t="array" ref="AA20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9" s="2" t="str">
        <f>VLOOKUP(Auto_Sales_data___Copy[[#This Row],[Segment Name]],Table3[],2,FALSE)</f>
        <v>Brand Awareness &amp; Value Proposition</v>
      </c>
    </row>
    <row r="2010" spans="1:28" x14ac:dyDescent="0.25">
      <c r="A2010">
        <v>10108</v>
      </c>
      <c r="B2010">
        <v>35</v>
      </c>
      <c r="C2010">
        <v>58.87</v>
      </c>
      <c r="D2010">
        <v>15</v>
      </c>
      <c r="E2010">
        <v>2060.4499999999998</v>
      </c>
      <c r="F2010" s="1">
        <v>43162</v>
      </c>
      <c r="G2010" s="2" t="s">
        <v>19</v>
      </c>
      <c r="H2010" s="2" t="s">
        <v>20</v>
      </c>
      <c r="I2010">
        <v>69</v>
      </c>
      <c r="J2010" s="2" t="s">
        <v>675</v>
      </c>
      <c r="K2010" s="2" t="s">
        <v>450</v>
      </c>
      <c r="L2010" s="2" t="s">
        <v>451</v>
      </c>
      <c r="M2010" s="2" t="s">
        <v>452</v>
      </c>
      <c r="N2010" s="2" t="s">
        <v>453</v>
      </c>
      <c r="O2010" s="2" t="s">
        <v>454</v>
      </c>
      <c r="P2010" s="2" t="s">
        <v>455</v>
      </c>
      <c r="Q2010" s="2" t="s">
        <v>456</v>
      </c>
      <c r="R2010" s="2" t="s">
        <v>457</v>
      </c>
      <c r="S2010" s="2" t="s">
        <v>30</v>
      </c>
      <c r="T2010">
        <v>2432</v>
      </c>
      <c r="U2010">
        <f>VLOOKUP(Auto_Sales_data___Copy[[#This Row],[CUSTOMER_NAME]],$AF$2:$AH$90,2,FALSE)</f>
        <v>26</v>
      </c>
      <c r="V2010">
        <f>VLOOKUP(Auto_Sales_data___Copy[[#This Row],[CUSTOMER_NAME]],$AF$2:$AH$90,3,FALSE)</f>
        <v>94015.73</v>
      </c>
      <c r="W2010" s="2">
        <f>6-MATCH(Auto_Sales_data___Copy[[#This Row],[DAYS_SINCE_LAST_ORDER]],Table2[R-Cutoff],1)</f>
        <v>2</v>
      </c>
      <c r="X2010" s="2">
        <f>MATCH(Auto_Sales_data___Copy[[#This Row],[Total_Orders_Per_Customer]],Table2[F-Cutoff],1)</f>
        <v>3</v>
      </c>
      <c r="Y2010" s="2">
        <f>MATCH(Auto_Sales_data___Copy[[#This Row],[Total_Sales_Per_Customer]],Table2[M-Cutoff],1)</f>
        <v>3</v>
      </c>
      <c r="Z2010" s="2" t="str">
        <f>Auto_Sales_data___Copy[[#This Row],[R-Score(1-5)]]&amp;Auto_Sales_data___Copy[[#This Row],[F-Score(1-5)]]&amp;Auto_Sales_data___Copy[[#This Row],[M-Score(1-5)]]</f>
        <v>233</v>
      </c>
      <c r="AA2010" s="2" t="str" cm="1">
        <f t="array" ref="AA20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0" s="2" t="str">
        <f>VLOOKUP(Auto_Sales_data___Copy[[#This Row],[Segment Name]],Table3[],2,FALSE)</f>
        <v>Brand Awareness &amp; Value Proposition</v>
      </c>
    </row>
    <row r="2011" spans="1:28" x14ac:dyDescent="0.25">
      <c r="A2011">
        <v>10129</v>
      </c>
      <c r="B2011">
        <v>45</v>
      </c>
      <c r="C2011">
        <v>133.94999999999999</v>
      </c>
      <c r="D2011">
        <v>9</v>
      </c>
      <c r="E2011">
        <v>6027.75</v>
      </c>
      <c r="F2011" s="1">
        <v>43263</v>
      </c>
      <c r="G2011" s="2" t="s">
        <v>19</v>
      </c>
      <c r="H2011" s="2" t="s">
        <v>642</v>
      </c>
      <c r="I2011">
        <v>122</v>
      </c>
      <c r="J2011" s="2" t="s">
        <v>672</v>
      </c>
      <c r="K2011" s="2" t="s">
        <v>347</v>
      </c>
      <c r="L2011" s="2" t="s">
        <v>348</v>
      </c>
      <c r="M2011" s="2" t="s">
        <v>349</v>
      </c>
      <c r="N2011" s="2" t="s">
        <v>350</v>
      </c>
      <c r="O2011" s="2" t="s">
        <v>351</v>
      </c>
      <c r="P2011" s="2" t="s">
        <v>171</v>
      </c>
      <c r="Q2011" s="2" t="s">
        <v>100</v>
      </c>
      <c r="R2011" s="2" t="s">
        <v>352</v>
      </c>
      <c r="S2011" s="2" t="s">
        <v>46</v>
      </c>
      <c r="T2011">
        <v>2257</v>
      </c>
      <c r="U2011">
        <f>VLOOKUP(Auto_Sales_data___Copy[[#This Row],[CUSTOMER_NAME]],$AF$2:$AH$90,2,FALSE)</f>
        <v>26</v>
      </c>
      <c r="V2011">
        <f>VLOOKUP(Auto_Sales_data___Copy[[#This Row],[CUSTOMER_NAME]],$AF$2:$AH$90,3,FALSE)</f>
        <v>88804.5</v>
      </c>
      <c r="W2011" s="2">
        <f>6-MATCH(Auto_Sales_data___Copy[[#This Row],[DAYS_SINCE_LAST_ORDER]],Table2[R-Cutoff],1)</f>
        <v>2</v>
      </c>
      <c r="X2011" s="2">
        <f>MATCH(Auto_Sales_data___Copy[[#This Row],[Total_Orders_Per_Customer]],Table2[F-Cutoff],1)</f>
        <v>3</v>
      </c>
      <c r="Y2011" s="2">
        <f>MATCH(Auto_Sales_data___Copy[[#This Row],[Total_Sales_Per_Customer]],Table2[M-Cutoff],1)</f>
        <v>3</v>
      </c>
      <c r="Z2011" s="2" t="str">
        <f>Auto_Sales_data___Copy[[#This Row],[R-Score(1-5)]]&amp;Auto_Sales_data___Copy[[#This Row],[F-Score(1-5)]]&amp;Auto_Sales_data___Copy[[#This Row],[M-Score(1-5)]]</f>
        <v>233</v>
      </c>
      <c r="AA2011" s="2" t="str" cm="1">
        <f t="array" ref="AA20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1" s="2" t="str">
        <f>VLOOKUP(Auto_Sales_data___Copy[[#This Row],[Segment Name]],Table3[],2,FALSE)</f>
        <v>Brand Awareness &amp; Value Proposition</v>
      </c>
    </row>
    <row r="2012" spans="1:28" x14ac:dyDescent="0.25">
      <c r="A2012">
        <v>10129</v>
      </c>
      <c r="B2012">
        <v>41</v>
      </c>
      <c r="C2012">
        <v>94.71</v>
      </c>
      <c r="D2012">
        <v>4</v>
      </c>
      <c r="E2012">
        <v>3883.11</v>
      </c>
      <c r="F2012" s="1">
        <v>43263</v>
      </c>
      <c r="G2012" s="2" t="s">
        <v>19</v>
      </c>
      <c r="H2012" s="2" t="s">
        <v>589</v>
      </c>
      <c r="I2012">
        <v>88</v>
      </c>
      <c r="J2012" s="2" t="s">
        <v>681</v>
      </c>
      <c r="K2012" s="2" t="s">
        <v>347</v>
      </c>
      <c r="L2012" s="2" t="s">
        <v>348</v>
      </c>
      <c r="M2012" s="2" t="s">
        <v>349</v>
      </c>
      <c r="N2012" s="2" t="s">
        <v>350</v>
      </c>
      <c r="O2012" s="2" t="s">
        <v>351</v>
      </c>
      <c r="P2012" s="2" t="s">
        <v>171</v>
      </c>
      <c r="Q2012" s="2" t="s">
        <v>100</v>
      </c>
      <c r="R2012" s="2" t="s">
        <v>352</v>
      </c>
      <c r="S2012" s="2" t="s">
        <v>46</v>
      </c>
      <c r="T2012">
        <v>2481</v>
      </c>
      <c r="U2012">
        <f>VLOOKUP(Auto_Sales_data___Copy[[#This Row],[CUSTOMER_NAME]],$AF$2:$AH$90,2,FALSE)</f>
        <v>26</v>
      </c>
      <c r="V2012">
        <f>VLOOKUP(Auto_Sales_data___Copy[[#This Row],[CUSTOMER_NAME]],$AF$2:$AH$90,3,FALSE)</f>
        <v>88804.5</v>
      </c>
      <c r="W2012" s="2">
        <f>6-MATCH(Auto_Sales_data___Copy[[#This Row],[DAYS_SINCE_LAST_ORDER]],Table2[R-Cutoff],1)</f>
        <v>2</v>
      </c>
      <c r="X2012" s="2">
        <f>MATCH(Auto_Sales_data___Copy[[#This Row],[Total_Orders_Per_Customer]],Table2[F-Cutoff],1)</f>
        <v>3</v>
      </c>
      <c r="Y2012" s="2">
        <f>MATCH(Auto_Sales_data___Copy[[#This Row],[Total_Sales_Per_Customer]],Table2[M-Cutoff],1)</f>
        <v>3</v>
      </c>
      <c r="Z2012" s="2" t="str">
        <f>Auto_Sales_data___Copy[[#This Row],[R-Score(1-5)]]&amp;Auto_Sales_data___Copy[[#This Row],[F-Score(1-5)]]&amp;Auto_Sales_data___Copy[[#This Row],[M-Score(1-5)]]</f>
        <v>233</v>
      </c>
      <c r="AA2012" s="2" t="str" cm="1">
        <f t="array" ref="AA20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2" s="2" t="str">
        <f>VLOOKUP(Auto_Sales_data___Copy[[#This Row],[Segment Name]],Table3[],2,FALSE)</f>
        <v>Brand Awareness &amp; Value Proposition</v>
      </c>
    </row>
    <row r="2013" spans="1:28" x14ac:dyDescent="0.25">
      <c r="A2013">
        <v>10147</v>
      </c>
      <c r="B2013">
        <v>25</v>
      </c>
      <c r="C2013">
        <v>42.67</v>
      </c>
      <c r="D2013">
        <v>1</v>
      </c>
      <c r="E2013">
        <v>1066.75</v>
      </c>
      <c r="F2013" s="1">
        <v>43348</v>
      </c>
      <c r="G2013" s="2" t="s">
        <v>19</v>
      </c>
      <c r="H2013" s="2" t="s">
        <v>183</v>
      </c>
      <c r="I2013">
        <v>37</v>
      </c>
      <c r="J2013" s="2" t="s">
        <v>680</v>
      </c>
      <c r="K2013" s="2" t="s">
        <v>295</v>
      </c>
      <c r="L2013" s="2" t="s">
        <v>116</v>
      </c>
      <c r="M2013" s="2" t="s">
        <v>296</v>
      </c>
      <c r="N2013" s="2" t="s">
        <v>297</v>
      </c>
      <c r="O2013" s="2" t="s">
        <v>298</v>
      </c>
      <c r="P2013" s="2" t="s">
        <v>27</v>
      </c>
      <c r="Q2013" s="2" t="s">
        <v>288</v>
      </c>
      <c r="R2013" s="2" t="s">
        <v>299</v>
      </c>
      <c r="S2013" s="2" t="s">
        <v>30</v>
      </c>
      <c r="T2013">
        <v>2371</v>
      </c>
      <c r="U2013">
        <f>VLOOKUP(Auto_Sales_data___Copy[[#This Row],[CUSTOMER_NAME]],$AF$2:$AH$90,2,FALSE)</f>
        <v>24</v>
      </c>
      <c r="V2013">
        <f>VLOOKUP(Auto_Sales_data___Copy[[#This Row],[CUSTOMER_NAME]],$AF$2:$AH$90,3,FALSE)</f>
        <v>81577.98</v>
      </c>
      <c r="W2013" s="2">
        <f>6-MATCH(Auto_Sales_data___Copy[[#This Row],[DAYS_SINCE_LAST_ORDER]],Table2[R-Cutoff],1)</f>
        <v>2</v>
      </c>
      <c r="X2013" s="2">
        <f>MATCH(Auto_Sales_data___Copy[[#This Row],[Total_Orders_Per_Customer]],Table2[F-Cutoff],1)</f>
        <v>3</v>
      </c>
      <c r="Y2013" s="2">
        <f>MATCH(Auto_Sales_data___Copy[[#This Row],[Total_Sales_Per_Customer]],Table2[M-Cutoff],1)</f>
        <v>3</v>
      </c>
      <c r="Z2013" s="2" t="str">
        <f>Auto_Sales_data___Copy[[#This Row],[R-Score(1-5)]]&amp;Auto_Sales_data___Copy[[#This Row],[F-Score(1-5)]]&amp;Auto_Sales_data___Copy[[#This Row],[M-Score(1-5)]]</f>
        <v>233</v>
      </c>
      <c r="AA2013" s="2" t="str" cm="1">
        <f t="array" ref="AA20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3" s="2" t="str">
        <f>VLOOKUP(Auto_Sales_data___Copy[[#This Row],[Segment Name]],Table3[],2,FALSE)</f>
        <v>Brand Awareness &amp; Value Proposition</v>
      </c>
    </row>
    <row r="2014" spans="1:28" x14ac:dyDescent="0.25">
      <c r="A2014">
        <v>10147</v>
      </c>
      <c r="B2014">
        <v>30</v>
      </c>
      <c r="C2014">
        <v>68.58</v>
      </c>
      <c r="D2014">
        <v>6</v>
      </c>
      <c r="E2014">
        <v>2057.4</v>
      </c>
      <c r="F2014" s="1">
        <v>43348</v>
      </c>
      <c r="G2014" s="2" t="s">
        <v>19</v>
      </c>
      <c r="H2014" s="2" t="s">
        <v>183</v>
      </c>
      <c r="I2014">
        <v>61</v>
      </c>
      <c r="J2014" s="2" t="s">
        <v>683</v>
      </c>
      <c r="K2014" s="2" t="s">
        <v>295</v>
      </c>
      <c r="L2014" s="2" t="s">
        <v>116</v>
      </c>
      <c r="M2014" s="2" t="s">
        <v>296</v>
      </c>
      <c r="N2014" s="2" t="s">
        <v>297</v>
      </c>
      <c r="O2014" s="2" t="s">
        <v>298</v>
      </c>
      <c r="P2014" s="2" t="s">
        <v>27</v>
      </c>
      <c r="Q2014" s="2" t="s">
        <v>288</v>
      </c>
      <c r="R2014" s="2" t="s">
        <v>299</v>
      </c>
      <c r="S2014" s="2" t="s">
        <v>30</v>
      </c>
      <c r="T2014">
        <v>2445</v>
      </c>
      <c r="U2014">
        <f>VLOOKUP(Auto_Sales_data___Copy[[#This Row],[CUSTOMER_NAME]],$AF$2:$AH$90,2,FALSE)</f>
        <v>24</v>
      </c>
      <c r="V2014">
        <f>VLOOKUP(Auto_Sales_data___Copy[[#This Row],[CUSTOMER_NAME]],$AF$2:$AH$90,3,FALSE)</f>
        <v>81577.98</v>
      </c>
      <c r="W2014" s="2">
        <f>6-MATCH(Auto_Sales_data___Copy[[#This Row],[DAYS_SINCE_LAST_ORDER]],Table2[R-Cutoff],1)</f>
        <v>2</v>
      </c>
      <c r="X2014" s="2">
        <f>MATCH(Auto_Sales_data___Copy[[#This Row],[Total_Orders_Per_Customer]],Table2[F-Cutoff],1)</f>
        <v>3</v>
      </c>
      <c r="Y2014" s="2">
        <f>MATCH(Auto_Sales_data___Copy[[#This Row],[Total_Sales_Per_Customer]],Table2[M-Cutoff],1)</f>
        <v>3</v>
      </c>
      <c r="Z2014" s="2" t="str">
        <f>Auto_Sales_data___Copy[[#This Row],[R-Score(1-5)]]&amp;Auto_Sales_data___Copy[[#This Row],[F-Score(1-5)]]&amp;Auto_Sales_data___Copy[[#This Row],[M-Score(1-5)]]</f>
        <v>233</v>
      </c>
      <c r="AA2014" s="2" t="str" cm="1">
        <f t="array" ref="AA20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4" s="2" t="str">
        <f>VLOOKUP(Auto_Sales_data___Copy[[#This Row],[Segment Name]],Table3[],2,FALSE)</f>
        <v>Brand Awareness &amp; Value Proposition</v>
      </c>
    </row>
    <row r="2015" spans="1:28" x14ac:dyDescent="0.25">
      <c r="A2015">
        <v>10147</v>
      </c>
      <c r="B2015">
        <v>23</v>
      </c>
      <c r="C2015">
        <v>126.39</v>
      </c>
      <c r="D2015">
        <v>2</v>
      </c>
      <c r="E2015">
        <v>2906.97</v>
      </c>
      <c r="F2015" s="1">
        <v>43348</v>
      </c>
      <c r="G2015" s="2" t="s">
        <v>19</v>
      </c>
      <c r="H2015" s="2" t="s">
        <v>183</v>
      </c>
      <c r="I2015">
        <v>140</v>
      </c>
      <c r="J2015" s="2" t="s">
        <v>687</v>
      </c>
      <c r="K2015" s="2" t="s">
        <v>295</v>
      </c>
      <c r="L2015" s="2" t="s">
        <v>116</v>
      </c>
      <c r="M2015" s="2" t="s">
        <v>296</v>
      </c>
      <c r="N2015" s="2" t="s">
        <v>297</v>
      </c>
      <c r="O2015" s="2" t="s">
        <v>298</v>
      </c>
      <c r="P2015" s="2" t="s">
        <v>27</v>
      </c>
      <c r="Q2015" s="2" t="s">
        <v>288</v>
      </c>
      <c r="R2015" s="2" t="s">
        <v>299</v>
      </c>
      <c r="S2015" s="2" t="s">
        <v>30</v>
      </c>
      <c r="T2015">
        <v>2544</v>
      </c>
      <c r="U2015">
        <f>VLOOKUP(Auto_Sales_data___Copy[[#This Row],[CUSTOMER_NAME]],$AF$2:$AH$90,2,FALSE)</f>
        <v>24</v>
      </c>
      <c r="V2015">
        <f>VLOOKUP(Auto_Sales_data___Copy[[#This Row],[CUSTOMER_NAME]],$AF$2:$AH$90,3,FALSE)</f>
        <v>81577.98</v>
      </c>
      <c r="W2015" s="2">
        <f>6-MATCH(Auto_Sales_data___Copy[[#This Row],[DAYS_SINCE_LAST_ORDER]],Table2[R-Cutoff],1)</f>
        <v>2</v>
      </c>
      <c r="X2015" s="2">
        <f>MATCH(Auto_Sales_data___Copy[[#This Row],[Total_Orders_Per_Customer]],Table2[F-Cutoff],1)</f>
        <v>3</v>
      </c>
      <c r="Y2015" s="2">
        <f>MATCH(Auto_Sales_data___Copy[[#This Row],[Total_Sales_Per_Customer]],Table2[M-Cutoff],1)</f>
        <v>3</v>
      </c>
      <c r="Z2015" s="2" t="str">
        <f>Auto_Sales_data___Copy[[#This Row],[R-Score(1-5)]]&amp;Auto_Sales_data___Copy[[#This Row],[F-Score(1-5)]]&amp;Auto_Sales_data___Copy[[#This Row],[M-Score(1-5)]]</f>
        <v>233</v>
      </c>
      <c r="AA2015" s="2" t="str" cm="1">
        <f t="array" ref="AA20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5" s="2" t="str">
        <f>VLOOKUP(Auto_Sales_data___Copy[[#This Row],[Segment Name]],Table3[],2,FALSE)</f>
        <v>Brand Awareness &amp; Value Proposition</v>
      </c>
    </row>
    <row r="2016" spans="1:28" x14ac:dyDescent="0.25">
      <c r="A2016">
        <v>10175</v>
      </c>
      <c r="B2016">
        <v>28</v>
      </c>
      <c r="C2016">
        <v>106.07</v>
      </c>
      <c r="D2016">
        <v>6</v>
      </c>
      <c r="E2016">
        <v>2969.96</v>
      </c>
      <c r="F2016" s="1">
        <v>43410</v>
      </c>
      <c r="G2016" s="2" t="s">
        <v>19</v>
      </c>
      <c r="H2016" s="2" t="s">
        <v>537</v>
      </c>
      <c r="I2016">
        <v>127</v>
      </c>
      <c r="J2016" s="2" t="s">
        <v>674</v>
      </c>
      <c r="K2016" s="2" t="s">
        <v>347</v>
      </c>
      <c r="L2016" s="2" t="s">
        <v>348</v>
      </c>
      <c r="M2016" s="2" t="s">
        <v>349</v>
      </c>
      <c r="N2016" s="2" t="s">
        <v>350</v>
      </c>
      <c r="O2016" s="2" t="s">
        <v>351</v>
      </c>
      <c r="P2016" s="2" t="s">
        <v>171</v>
      </c>
      <c r="Q2016" s="2" t="s">
        <v>100</v>
      </c>
      <c r="R2016" s="2" t="s">
        <v>352</v>
      </c>
      <c r="S2016" s="2" t="s">
        <v>30</v>
      </c>
      <c r="T2016">
        <v>2163</v>
      </c>
      <c r="U2016">
        <f>VLOOKUP(Auto_Sales_data___Copy[[#This Row],[CUSTOMER_NAME]],$AF$2:$AH$90,2,FALSE)</f>
        <v>26</v>
      </c>
      <c r="V2016">
        <f>VLOOKUP(Auto_Sales_data___Copy[[#This Row],[CUSTOMER_NAME]],$AF$2:$AH$90,3,FALSE)</f>
        <v>88804.5</v>
      </c>
      <c r="W2016" s="2">
        <f>6-MATCH(Auto_Sales_data___Copy[[#This Row],[DAYS_SINCE_LAST_ORDER]],Table2[R-Cutoff],1)</f>
        <v>2</v>
      </c>
      <c r="X2016" s="2">
        <f>MATCH(Auto_Sales_data___Copy[[#This Row],[Total_Orders_Per_Customer]],Table2[F-Cutoff],1)</f>
        <v>3</v>
      </c>
      <c r="Y2016" s="2">
        <f>MATCH(Auto_Sales_data___Copy[[#This Row],[Total_Sales_Per_Customer]],Table2[M-Cutoff],1)</f>
        <v>3</v>
      </c>
      <c r="Z2016" s="2" t="str">
        <f>Auto_Sales_data___Copy[[#This Row],[R-Score(1-5)]]&amp;Auto_Sales_data___Copy[[#This Row],[F-Score(1-5)]]&amp;Auto_Sales_data___Copy[[#This Row],[M-Score(1-5)]]</f>
        <v>233</v>
      </c>
      <c r="AA2016" s="2" t="str" cm="1">
        <f t="array" ref="AA20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6" s="2" t="str">
        <f>VLOOKUP(Auto_Sales_data___Copy[[#This Row],[Segment Name]],Table3[],2,FALSE)</f>
        <v>Brand Awareness &amp; Value Proposition</v>
      </c>
    </row>
    <row r="2017" spans="1:28" x14ac:dyDescent="0.25">
      <c r="A2017">
        <v>10175</v>
      </c>
      <c r="B2017">
        <v>37</v>
      </c>
      <c r="C2017">
        <v>31.12</v>
      </c>
      <c r="D2017">
        <v>2</v>
      </c>
      <c r="E2017">
        <v>1151.44</v>
      </c>
      <c r="F2017" s="1">
        <v>43410</v>
      </c>
      <c r="G2017" s="2" t="s">
        <v>19</v>
      </c>
      <c r="H2017" s="2" t="s">
        <v>183</v>
      </c>
      <c r="I2017">
        <v>35</v>
      </c>
      <c r="J2017" s="2" t="s">
        <v>677</v>
      </c>
      <c r="K2017" s="2" t="s">
        <v>347</v>
      </c>
      <c r="L2017" s="2" t="s">
        <v>348</v>
      </c>
      <c r="M2017" s="2" t="s">
        <v>349</v>
      </c>
      <c r="N2017" s="2" t="s">
        <v>350</v>
      </c>
      <c r="O2017" s="2" t="s">
        <v>351</v>
      </c>
      <c r="P2017" s="2" t="s">
        <v>171</v>
      </c>
      <c r="Q2017" s="2" t="s">
        <v>100</v>
      </c>
      <c r="R2017" s="2" t="s">
        <v>352</v>
      </c>
      <c r="S2017" s="2" t="s">
        <v>30</v>
      </c>
      <c r="T2017">
        <v>2237</v>
      </c>
      <c r="U2017">
        <f>VLOOKUP(Auto_Sales_data___Copy[[#This Row],[CUSTOMER_NAME]],$AF$2:$AH$90,2,FALSE)</f>
        <v>26</v>
      </c>
      <c r="V2017">
        <f>VLOOKUP(Auto_Sales_data___Copy[[#This Row],[CUSTOMER_NAME]],$AF$2:$AH$90,3,FALSE)</f>
        <v>88804.5</v>
      </c>
      <c r="W2017" s="2">
        <f>6-MATCH(Auto_Sales_data___Copy[[#This Row],[DAYS_SINCE_LAST_ORDER]],Table2[R-Cutoff],1)</f>
        <v>2</v>
      </c>
      <c r="X2017" s="2">
        <f>MATCH(Auto_Sales_data___Copy[[#This Row],[Total_Orders_Per_Customer]],Table2[F-Cutoff],1)</f>
        <v>3</v>
      </c>
      <c r="Y2017" s="2">
        <f>MATCH(Auto_Sales_data___Copy[[#This Row],[Total_Sales_Per_Customer]],Table2[M-Cutoff],1)</f>
        <v>3</v>
      </c>
      <c r="Z2017" s="2" t="str">
        <f>Auto_Sales_data___Copy[[#This Row],[R-Score(1-5)]]&amp;Auto_Sales_data___Copy[[#This Row],[F-Score(1-5)]]&amp;Auto_Sales_data___Copy[[#This Row],[M-Score(1-5)]]</f>
        <v>233</v>
      </c>
      <c r="AA2017" s="2" t="str" cm="1">
        <f t="array" ref="AA20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7" s="2" t="str">
        <f>VLOOKUP(Auto_Sales_data___Copy[[#This Row],[Segment Name]],Table3[],2,FALSE)</f>
        <v>Brand Awareness &amp; Value Proposition</v>
      </c>
    </row>
    <row r="2018" spans="1:28" x14ac:dyDescent="0.25">
      <c r="A2018">
        <v>10191</v>
      </c>
      <c r="B2018">
        <v>48</v>
      </c>
      <c r="C2018">
        <v>60.01</v>
      </c>
      <c r="D2018">
        <v>2</v>
      </c>
      <c r="E2018">
        <v>2880.48</v>
      </c>
      <c r="F2018" s="1">
        <v>43424</v>
      </c>
      <c r="G2018" s="2" t="s">
        <v>19</v>
      </c>
      <c r="H2018" s="2" t="s">
        <v>183</v>
      </c>
      <c r="I2018">
        <v>61</v>
      </c>
      <c r="J2018" s="2" t="s">
        <v>683</v>
      </c>
      <c r="K2018" s="2" t="s">
        <v>465</v>
      </c>
      <c r="L2018" s="2" t="s">
        <v>466</v>
      </c>
      <c r="M2018" s="2" t="s">
        <v>467</v>
      </c>
      <c r="N2018" s="2" t="s">
        <v>468</v>
      </c>
      <c r="O2018" s="2" t="s">
        <v>469</v>
      </c>
      <c r="P2018" s="2" t="s">
        <v>470</v>
      </c>
      <c r="Q2018" s="2" t="s">
        <v>471</v>
      </c>
      <c r="R2018" s="2" t="s">
        <v>472</v>
      </c>
      <c r="S2018" s="2" t="s">
        <v>30</v>
      </c>
      <c r="T2018">
        <v>2372</v>
      </c>
      <c r="U2018">
        <f>VLOOKUP(Auto_Sales_data___Copy[[#This Row],[CUSTOMER_NAME]],$AF$2:$AH$90,2,FALSE)</f>
        <v>26</v>
      </c>
      <c r="V2018">
        <f>VLOOKUP(Auto_Sales_data___Copy[[#This Row],[CUSTOMER_NAME]],$AF$2:$AH$90,3,FALSE)</f>
        <v>100306.58000000002</v>
      </c>
      <c r="W2018" s="2">
        <f>6-MATCH(Auto_Sales_data___Copy[[#This Row],[DAYS_SINCE_LAST_ORDER]],Table2[R-Cutoff],1)</f>
        <v>2</v>
      </c>
      <c r="X2018" s="2">
        <f>MATCH(Auto_Sales_data___Copy[[#This Row],[Total_Orders_Per_Customer]],Table2[F-Cutoff],1)</f>
        <v>3</v>
      </c>
      <c r="Y2018" s="2">
        <f>MATCH(Auto_Sales_data___Copy[[#This Row],[Total_Sales_Per_Customer]],Table2[M-Cutoff],1)</f>
        <v>3</v>
      </c>
      <c r="Z2018" s="2" t="str">
        <f>Auto_Sales_data___Copy[[#This Row],[R-Score(1-5)]]&amp;Auto_Sales_data___Copy[[#This Row],[F-Score(1-5)]]&amp;Auto_Sales_data___Copy[[#This Row],[M-Score(1-5)]]</f>
        <v>233</v>
      </c>
      <c r="AA2018" s="2" t="str" cm="1">
        <f t="array" ref="AA20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8" s="2" t="str">
        <f>VLOOKUP(Auto_Sales_data___Copy[[#This Row],[Segment Name]],Table3[],2,FALSE)</f>
        <v>Brand Awareness &amp; Value Proposition</v>
      </c>
    </row>
    <row r="2019" spans="1:28" x14ac:dyDescent="0.25">
      <c r="A2019">
        <v>10195</v>
      </c>
      <c r="B2019">
        <v>32</v>
      </c>
      <c r="C2019">
        <v>28.29</v>
      </c>
      <c r="D2019">
        <v>7</v>
      </c>
      <c r="E2019">
        <v>905.28</v>
      </c>
      <c r="F2019" s="1">
        <v>43429</v>
      </c>
      <c r="G2019" s="2" t="s">
        <v>19</v>
      </c>
      <c r="H2019" s="2" t="s">
        <v>183</v>
      </c>
      <c r="I2019">
        <v>35</v>
      </c>
      <c r="J2019" s="2" t="s">
        <v>677</v>
      </c>
      <c r="K2019" s="2" t="s">
        <v>332</v>
      </c>
      <c r="L2019" s="2" t="s">
        <v>333</v>
      </c>
      <c r="M2019" s="2" t="s">
        <v>334</v>
      </c>
      <c r="N2019" s="2" t="s">
        <v>335</v>
      </c>
      <c r="O2019" s="2" t="s">
        <v>336</v>
      </c>
      <c r="P2019" s="2" t="s">
        <v>27</v>
      </c>
      <c r="Q2019" s="2" t="s">
        <v>93</v>
      </c>
      <c r="R2019" s="2" t="s">
        <v>244</v>
      </c>
      <c r="S2019" s="2" t="s">
        <v>30</v>
      </c>
      <c r="T2019">
        <v>2220</v>
      </c>
      <c r="U2019">
        <f>VLOOKUP(Auto_Sales_data___Copy[[#This Row],[CUSTOMER_NAME]],$AF$2:$AH$90,2,FALSE)</f>
        <v>26</v>
      </c>
      <c r="V2019">
        <f>VLOOKUP(Auto_Sales_data___Copy[[#This Row],[CUSTOMER_NAME]],$AF$2:$AH$90,3,FALSE)</f>
        <v>85555.989999999976</v>
      </c>
      <c r="W2019" s="2">
        <f>6-MATCH(Auto_Sales_data___Copy[[#This Row],[DAYS_SINCE_LAST_ORDER]],Table2[R-Cutoff],1)</f>
        <v>2</v>
      </c>
      <c r="X2019" s="2">
        <f>MATCH(Auto_Sales_data___Copy[[#This Row],[Total_Orders_Per_Customer]],Table2[F-Cutoff],1)</f>
        <v>3</v>
      </c>
      <c r="Y2019" s="2">
        <f>MATCH(Auto_Sales_data___Copy[[#This Row],[Total_Sales_Per_Customer]],Table2[M-Cutoff],1)</f>
        <v>3</v>
      </c>
      <c r="Z2019" s="2" t="str">
        <f>Auto_Sales_data___Copy[[#This Row],[R-Score(1-5)]]&amp;Auto_Sales_data___Copy[[#This Row],[F-Score(1-5)]]&amp;Auto_Sales_data___Copy[[#This Row],[M-Score(1-5)]]</f>
        <v>233</v>
      </c>
      <c r="AA2019" s="2" t="str" cm="1">
        <f t="array" ref="AA20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9" s="2" t="str">
        <f>VLOOKUP(Auto_Sales_data___Copy[[#This Row],[Segment Name]],Table3[],2,FALSE)</f>
        <v>Brand Awareness &amp; Value Proposition</v>
      </c>
    </row>
    <row r="2020" spans="1:28" x14ac:dyDescent="0.25">
      <c r="A2020">
        <v>10195</v>
      </c>
      <c r="B2020">
        <v>34</v>
      </c>
      <c r="C2020">
        <v>108.82</v>
      </c>
      <c r="D2020">
        <v>2</v>
      </c>
      <c r="E2020">
        <v>3699.88</v>
      </c>
      <c r="F2020" s="1">
        <v>43429</v>
      </c>
      <c r="G2020" s="2" t="s">
        <v>19</v>
      </c>
      <c r="H2020" s="2" t="s">
        <v>183</v>
      </c>
      <c r="I2020">
        <v>118</v>
      </c>
      <c r="J2020" s="2" t="s">
        <v>690</v>
      </c>
      <c r="K2020" s="2" t="s">
        <v>332</v>
      </c>
      <c r="L2020" s="2" t="s">
        <v>333</v>
      </c>
      <c r="M2020" s="2" t="s">
        <v>334</v>
      </c>
      <c r="N2020" s="2" t="s">
        <v>335</v>
      </c>
      <c r="O2020" s="2" t="s">
        <v>336</v>
      </c>
      <c r="P2020" s="2" t="s">
        <v>27</v>
      </c>
      <c r="Q2020" s="2" t="s">
        <v>93</v>
      </c>
      <c r="R2020" s="2" t="s">
        <v>244</v>
      </c>
      <c r="S2020" s="2" t="s">
        <v>46</v>
      </c>
      <c r="T2020">
        <v>2542</v>
      </c>
      <c r="U2020">
        <f>VLOOKUP(Auto_Sales_data___Copy[[#This Row],[CUSTOMER_NAME]],$AF$2:$AH$90,2,FALSE)</f>
        <v>26</v>
      </c>
      <c r="V2020">
        <f>VLOOKUP(Auto_Sales_data___Copy[[#This Row],[CUSTOMER_NAME]],$AF$2:$AH$90,3,FALSE)</f>
        <v>85555.989999999976</v>
      </c>
      <c r="W2020" s="2">
        <f>6-MATCH(Auto_Sales_data___Copy[[#This Row],[DAYS_SINCE_LAST_ORDER]],Table2[R-Cutoff],1)</f>
        <v>2</v>
      </c>
      <c r="X2020" s="2">
        <f>MATCH(Auto_Sales_data___Copy[[#This Row],[Total_Orders_Per_Customer]],Table2[F-Cutoff],1)</f>
        <v>3</v>
      </c>
      <c r="Y2020" s="2">
        <f>MATCH(Auto_Sales_data___Copy[[#This Row],[Total_Sales_Per_Customer]],Table2[M-Cutoff],1)</f>
        <v>3</v>
      </c>
      <c r="Z2020" s="2" t="str">
        <f>Auto_Sales_data___Copy[[#This Row],[R-Score(1-5)]]&amp;Auto_Sales_data___Copy[[#This Row],[F-Score(1-5)]]&amp;Auto_Sales_data___Copy[[#This Row],[M-Score(1-5)]]</f>
        <v>233</v>
      </c>
      <c r="AA2020" s="2" t="str" cm="1">
        <f t="array" ref="AA20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0" s="2" t="str">
        <f>VLOOKUP(Auto_Sales_data___Copy[[#This Row],[Segment Name]],Table3[],2,FALSE)</f>
        <v>Brand Awareness &amp; Value Proposition</v>
      </c>
    </row>
    <row r="2021" spans="1:28" x14ac:dyDescent="0.25">
      <c r="A2021">
        <v>10198</v>
      </c>
      <c r="B2021">
        <v>48</v>
      </c>
      <c r="C2021">
        <v>67.819999999999993</v>
      </c>
      <c r="D2021">
        <v>5</v>
      </c>
      <c r="E2021">
        <v>3255.36</v>
      </c>
      <c r="F2021" s="1">
        <v>43431</v>
      </c>
      <c r="G2021" s="2" t="s">
        <v>19</v>
      </c>
      <c r="H2021" s="2" t="s">
        <v>607</v>
      </c>
      <c r="I2021">
        <v>68</v>
      </c>
      <c r="J2021" s="2" t="s">
        <v>678</v>
      </c>
      <c r="K2021" s="2" t="s">
        <v>450</v>
      </c>
      <c r="L2021" s="2" t="s">
        <v>451</v>
      </c>
      <c r="M2021" s="2" t="s">
        <v>452</v>
      </c>
      <c r="N2021" s="2" t="s">
        <v>453</v>
      </c>
      <c r="O2021" s="2" t="s">
        <v>454</v>
      </c>
      <c r="P2021" s="2" t="s">
        <v>455</v>
      </c>
      <c r="Q2021" s="2" t="s">
        <v>456</v>
      </c>
      <c r="R2021" s="2" t="s">
        <v>457</v>
      </c>
      <c r="S2021" s="2" t="s">
        <v>46</v>
      </c>
      <c r="T2021">
        <v>2246</v>
      </c>
      <c r="U2021">
        <f>VLOOKUP(Auto_Sales_data___Copy[[#This Row],[CUSTOMER_NAME]],$AF$2:$AH$90,2,FALSE)</f>
        <v>26</v>
      </c>
      <c r="V2021">
        <f>VLOOKUP(Auto_Sales_data___Copy[[#This Row],[CUSTOMER_NAME]],$AF$2:$AH$90,3,FALSE)</f>
        <v>94015.73</v>
      </c>
      <c r="W2021" s="2">
        <f>6-MATCH(Auto_Sales_data___Copy[[#This Row],[DAYS_SINCE_LAST_ORDER]],Table2[R-Cutoff],1)</f>
        <v>2</v>
      </c>
      <c r="X2021" s="2">
        <f>MATCH(Auto_Sales_data___Copy[[#This Row],[Total_Orders_Per_Customer]],Table2[F-Cutoff],1)</f>
        <v>3</v>
      </c>
      <c r="Y2021" s="2">
        <f>MATCH(Auto_Sales_data___Copy[[#This Row],[Total_Sales_Per_Customer]],Table2[M-Cutoff],1)</f>
        <v>3</v>
      </c>
      <c r="Z2021" s="2" t="str">
        <f>Auto_Sales_data___Copy[[#This Row],[R-Score(1-5)]]&amp;Auto_Sales_data___Copy[[#This Row],[F-Score(1-5)]]&amp;Auto_Sales_data___Copy[[#This Row],[M-Score(1-5)]]</f>
        <v>233</v>
      </c>
      <c r="AA2021" s="2" t="str" cm="1">
        <f t="array" ref="AA20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1" s="2" t="str">
        <f>VLOOKUP(Auto_Sales_data___Copy[[#This Row],[Segment Name]],Table3[],2,FALSE)</f>
        <v>Brand Awareness &amp; Value Proposition</v>
      </c>
    </row>
    <row r="2022" spans="1:28" x14ac:dyDescent="0.25">
      <c r="A2022">
        <v>10198</v>
      </c>
      <c r="B2022">
        <v>27</v>
      </c>
      <c r="C2022">
        <v>71.67</v>
      </c>
      <c r="D2022">
        <v>6</v>
      </c>
      <c r="E2022">
        <v>1935.09</v>
      </c>
      <c r="F2022" s="1">
        <v>43431</v>
      </c>
      <c r="G2022" s="2" t="s">
        <v>19</v>
      </c>
      <c r="H2022" s="2" t="s">
        <v>589</v>
      </c>
      <c r="I2022">
        <v>65</v>
      </c>
      <c r="J2022" s="2" t="s">
        <v>684</v>
      </c>
      <c r="K2022" s="2" t="s">
        <v>450</v>
      </c>
      <c r="L2022" s="2" t="s">
        <v>451</v>
      </c>
      <c r="M2022" s="2" t="s">
        <v>452</v>
      </c>
      <c r="N2022" s="2" t="s">
        <v>453</v>
      </c>
      <c r="O2022" s="2" t="s">
        <v>454</v>
      </c>
      <c r="P2022" s="2" t="s">
        <v>455</v>
      </c>
      <c r="Q2022" s="2" t="s">
        <v>456</v>
      </c>
      <c r="R2022" s="2" t="s">
        <v>457</v>
      </c>
      <c r="S2022" s="2" t="s">
        <v>30</v>
      </c>
      <c r="T2022">
        <v>2392</v>
      </c>
      <c r="U2022">
        <f>VLOOKUP(Auto_Sales_data___Copy[[#This Row],[CUSTOMER_NAME]],$AF$2:$AH$90,2,FALSE)</f>
        <v>26</v>
      </c>
      <c r="V2022">
        <f>VLOOKUP(Auto_Sales_data___Copy[[#This Row],[CUSTOMER_NAME]],$AF$2:$AH$90,3,FALSE)</f>
        <v>94015.73</v>
      </c>
      <c r="W2022" s="2">
        <f>6-MATCH(Auto_Sales_data___Copy[[#This Row],[DAYS_SINCE_LAST_ORDER]],Table2[R-Cutoff],1)</f>
        <v>2</v>
      </c>
      <c r="X2022" s="2">
        <f>MATCH(Auto_Sales_data___Copy[[#This Row],[Total_Orders_Per_Customer]],Table2[F-Cutoff],1)</f>
        <v>3</v>
      </c>
      <c r="Y2022" s="2">
        <f>MATCH(Auto_Sales_data___Copy[[#This Row],[Total_Sales_Per_Customer]],Table2[M-Cutoff],1)</f>
        <v>3</v>
      </c>
      <c r="Z2022" s="2" t="str">
        <f>Auto_Sales_data___Copy[[#This Row],[R-Score(1-5)]]&amp;Auto_Sales_data___Copy[[#This Row],[F-Score(1-5)]]&amp;Auto_Sales_data___Copy[[#This Row],[M-Score(1-5)]]</f>
        <v>233</v>
      </c>
      <c r="AA2022" s="2" t="str" cm="1">
        <f t="array" ref="AA20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2" s="2" t="str">
        <f>VLOOKUP(Auto_Sales_data___Copy[[#This Row],[Segment Name]],Table3[],2,FALSE)</f>
        <v>Brand Awareness &amp; Value Proposition</v>
      </c>
    </row>
    <row r="2023" spans="1:28" x14ac:dyDescent="0.25">
      <c r="A2023">
        <v>10198</v>
      </c>
      <c r="B2023">
        <v>43</v>
      </c>
      <c r="C2023">
        <v>66.19</v>
      </c>
      <c r="D2023">
        <v>3</v>
      </c>
      <c r="E2023">
        <v>2846.17</v>
      </c>
      <c r="F2023" s="1">
        <v>43431</v>
      </c>
      <c r="G2023" s="2" t="s">
        <v>19</v>
      </c>
      <c r="H2023" s="2" t="s">
        <v>607</v>
      </c>
      <c r="I2023">
        <v>68</v>
      </c>
      <c r="J2023" s="2" t="s">
        <v>688</v>
      </c>
      <c r="K2023" s="2" t="s">
        <v>450</v>
      </c>
      <c r="L2023" s="2" t="s">
        <v>451</v>
      </c>
      <c r="M2023" s="2" t="s">
        <v>452</v>
      </c>
      <c r="N2023" s="2" t="s">
        <v>453</v>
      </c>
      <c r="O2023" s="2" t="s">
        <v>454</v>
      </c>
      <c r="P2023" s="2" t="s">
        <v>455</v>
      </c>
      <c r="Q2023" s="2" t="s">
        <v>456</v>
      </c>
      <c r="R2023" s="2" t="s">
        <v>457</v>
      </c>
      <c r="S2023" s="2" t="s">
        <v>30</v>
      </c>
      <c r="T2023">
        <v>2491</v>
      </c>
      <c r="U2023">
        <f>VLOOKUP(Auto_Sales_data___Copy[[#This Row],[CUSTOMER_NAME]],$AF$2:$AH$90,2,FALSE)</f>
        <v>26</v>
      </c>
      <c r="V2023">
        <f>VLOOKUP(Auto_Sales_data___Copy[[#This Row],[CUSTOMER_NAME]],$AF$2:$AH$90,3,FALSE)</f>
        <v>94015.73</v>
      </c>
      <c r="W2023" s="2">
        <f>6-MATCH(Auto_Sales_data___Copy[[#This Row],[DAYS_SINCE_LAST_ORDER]],Table2[R-Cutoff],1)</f>
        <v>2</v>
      </c>
      <c r="X2023" s="2">
        <f>MATCH(Auto_Sales_data___Copy[[#This Row],[Total_Orders_Per_Customer]],Table2[F-Cutoff],1)</f>
        <v>3</v>
      </c>
      <c r="Y2023" s="2">
        <f>MATCH(Auto_Sales_data___Copy[[#This Row],[Total_Sales_Per_Customer]],Table2[M-Cutoff],1)</f>
        <v>3</v>
      </c>
      <c r="Z2023" s="2" t="str">
        <f>Auto_Sales_data___Copy[[#This Row],[R-Score(1-5)]]&amp;Auto_Sales_data___Copy[[#This Row],[F-Score(1-5)]]&amp;Auto_Sales_data___Copy[[#This Row],[M-Score(1-5)]]</f>
        <v>233</v>
      </c>
      <c r="AA2023" s="2" t="str" cm="1">
        <f t="array" ref="AA20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3" s="2" t="str">
        <f>VLOOKUP(Auto_Sales_data___Copy[[#This Row],[Segment Name]],Table3[],2,FALSE)</f>
        <v>Brand Awareness &amp; Value Proposition</v>
      </c>
    </row>
    <row r="2024" spans="1:28" x14ac:dyDescent="0.25">
      <c r="A2024">
        <v>10222</v>
      </c>
      <c r="B2024">
        <v>32</v>
      </c>
      <c r="C2024">
        <v>81.53</v>
      </c>
      <c r="D2024">
        <v>5</v>
      </c>
      <c r="E2024">
        <v>2608.96</v>
      </c>
      <c r="F2024" s="1">
        <v>43515</v>
      </c>
      <c r="G2024" s="2" t="s">
        <v>19</v>
      </c>
      <c r="H2024" s="2" t="s">
        <v>607</v>
      </c>
      <c r="I2024">
        <v>68</v>
      </c>
      <c r="J2024" s="2" t="s">
        <v>678</v>
      </c>
      <c r="K2024" s="2" t="s">
        <v>379</v>
      </c>
      <c r="L2024" s="2" t="s">
        <v>380</v>
      </c>
      <c r="M2024" s="2" t="s">
        <v>381</v>
      </c>
      <c r="N2024" s="2" t="s">
        <v>382</v>
      </c>
      <c r="O2024" s="2" t="s">
        <v>383</v>
      </c>
      <c r="P2024" s="2" t="s">
        <v>27</v>
      </c>
      <c r="Q2024" s="2" t="s">
        <v>243</v>
      </c>
      <c r="R2024" s="2" t="s">
        <v>289</v>
      </c>
      <c r="S2024" s="2" t="s">
        <v>30</v>
      </c>
      <c r="T2024">
        <v>2163</v>
      </c>
      <c r="U2024">
        <f>VLOOKUP(Auto_Sales_data___Copy[[#This Row],[CUSTOMER_NAME]],$AF$2:$AH$90,2,FALSE)</f>
        <v>25</v>
      </c>
      <c r="V2024">
        <f>VLOOKUP(Auto_Sales_data___Copy[[#This Row],[CUSTOMER_NAME]],$AF$2:$AH$90,3,FALSE)</f>
        <v>87489.23000000001</v>
      </c>
      <c r="W2024" s="2">
        <f>6-MATCH(Auto_Sales_data___Copy[[#This Row],[DAYS_SINCE_LAST_ORDER]],Table2[R-Cutoff],1)</f>
        <v>2</v>
      </c>
      <c r="X2024" s="2">
        <f>MATCH(Auto_Sales_data___Copy[[#This Row],[Total_Orders_Per_Customer]],Table2[F-Cutoff],1)</f>
        <v>3</v>
      </c>
      <c r="Y2024" s="2">
        <f>MATCH(Auto_Sales_data___Copy[[#This Row],[Total_Sales_Per_Customer]],Table2[M-Cutoff],1)</f>
        <v>3</v>
      </c>
      <c r="Z2024" s="2" t="str">
        <f>Auto_Sales_data___Copy[[#This Row],[R-Score(1-5)]]&amp;Auto_Sales_data___Copy[[#This Row],[F-Score(1-5)]]&amp;Auto_Sales_data___Copy[[#This Row],[M-Score(1-5)]]</f>
        <v>233</v>
      </c>
      <c r="AA2024" s="2" t="str" cm="1">
        <f t="array" ref="AA20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4" s="2" t="str">
        <f>VLOOKUP(Auto_Sales_data___Copy[[#This Row],[Segment Name]],Table3[],2,FALSE)</f>
        <v>Brand Awareness &amp; Value Proposition</v>
      </c>
    </row>
    <row r="2025" spans="1:28" x14ac:dyDescent="0.25">
      <c r="A2025">
        <v>10222</v>
      </c>
      <c r="B2025">
        <v>47</v>
      </c>
      <c r="C2025">
        <v>70.81</v>
      </c>
      <c r="D2025">
        <v>14</v>
      </c>
      <c r="E2025">
        <v>3328.07</v>
      </c>
      <c r="F2025" s="1">
        <v>43515</v>
      </c>
      <c r="G2025" s="2" t="s">
        <v>19</v>
      </c>
      <c r="H2025" s="2" t="s">
        <v>589</v>
      </c>
      <c r="I2025">
        <v>88</v>
      </c>
      <c r="J2025" s="2" t="s">
        <v>681</v>
      </c>
      <c r="K2025" s="2" t="s">
        <v>379</v>
      </c>
      <c r="L2025" s="2" t="s">
        <v>380</v>
      </c>
      <c r="M2025" s="2" t="s">
        <v>381</v>
      </c>
      <c r="N2025" s="2" t="s">
        <v>382</v>
      </c>
      <c r="O2025" s="2" t="s">
        <v>383</v>
      </c>
      <c r="P2025" s="2" t="s">
        <v>27</v>
      </c>
      <c r="Q2025" s="2" t="s">
        <v>243</v>
      </c>
      <c r="R2025" s="2" t="s">
        <v>289</v>
      </c>
      <c r="S2025" s="2" t="s">
        <v>46</v>
      </c>
      <c r="T2025">
        <v>2237</v>
      </c>
      <c r="U2025">
        <f>VLOOKUP(Auto_Sales_data___Copy[[#This Row],[CUSTOMER_NAME]],$AF$2:$AH$90,2,FALSE)</f>
        <v>25</v>
      </c>
      <c r="V2025">
        <f>VLOOKUP(Auto_Sales_data___Copy[[#This Row],[CUSTOMER_NAME]],$AF$2:$AH$90,3,FALSE)</f>
        <v>87489.23000000001</v>
      </c>
      <c r="W2025" s="2">
        <f>6-MATCH(Auto_Sales_data___Copy[[#This Row],[DAYS_SINCE_LAST_ORDER]],Table2[R-Cutoff],1)</f>
        <v>2</v>
      </c>
      <c r="X2025" s="2">
        <f>MATCH(Auto_Sales_data___Copy[[#This Row],[Total_Orders_Per_Customer]],Table2[F-Cutoff],1)</f>
        <v>3</v>
      </c>
      <c r="Y2025" s="2">
        <f>MATCH(Auto_Sales_data___Copy[[#This Row],[Total_Sales_Per_Customer]],Table2[M-Cutoff],1)</f>
        <v>3</v>
      </c>
      <c r="Z2025" s="2" t="str">
        <f>Auto_Sales_data___Copy[[#This Row],[R-Score(1-5)]]&amp;Auto_Sales_data___Copy[[#This Row],[F-Score(1-5)]]&amp;Auto_Sales_data___Copy[[#This Row],[M-Score(1-5)]]</f>
        <v>233</v>
      </c>
      <c r="AA2025" s="2" t="str" cm="1">
        <f t="array" ref="AA20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5" s="2" t="str">
        <f>VLOOKUP(Auto_Sales_data___Copy[[#This Row],[Segment Name]],Table3[],2,FALSE)</f>
        <v>Brand Awareness &amp; Value Proposition</v>
      </c>
    </row>
    <row r="2026" spans="1:28" x14ac:dyDescent="0.25">
      <c r="A2026">
        <v>10222</v>
      </c>
      <c r="B2026">
        <v>43</v>
      </c>
      <c r="C2026">
        <v>70.349999999999994</v>
      </c>
      <c r="D2026">
        <v>6</v>
      </c>
      <c r="E2026">
        <v>3025.05</v>
      </c>
      <c r="F2026" s="1">
        <v>43515</v>
      </c>
      <c r="G2026" s="2" t="s">
        <v>19</v>
      </c>
      <c r="H2026" s="2" t="s">
        <v>589</v>
      </c>
      <c r="I2026">
        <v>65</v>
      </c>
      <c r="J2026" s="2" t="s">
        <v>684</v>
      </c>
      <c r="K2026" s="2" t="s">
        <v>379</v>
      </c>
      <c r="L2026" s="2" t="s">
        <v>380</v>
      </c>
      <c r="M2026" s="2" t="s">
        <v>381</v>
      </c>
      <c r="N2026" s="2" t="s">
        <v>382</v>
      </c>
      <c r="O2026" s="2" t="s">
        <v>383</v>
      </c>
      <c r="P2026" s="2" t="s">
        <v>27</v>
      </c>
      <c r="Q2026" s="2" t="s">
        <v>243</v>
      </c>
      <c r="R2026" s="2" t="s">
        <v>289</v>
      </c>
      <c r="S2026" s="2" t="s">
        <v>46</v>
      </c>
      <c r="T2026">
        <v>2309</v>
      </c>
      <c r="U2026">
        <f>VLOOKUP(Auto_Sales_data___Copy[[#This Row],[CUSTOMER_NAME]],$AF$2:$AH$90,2,FALSE)</f>
        <v>25</v>
      </c>
      <c r="V2026">
        <f>VLOOKUP(Auto_Sales_data___Copy[[#This Row],[CUSTOMER_NAME]],$AF$2:$AH$90,3,FALSE)</f>
        <v>87489.23000000001</v>
      </c>
      <c r="W2026" s="2">
        <f>6-MATCH(Auto_Sales_data___Copy[[#This Row],[DAYS_SINCE_LAST_ORDER]],Table2[R-Cutoff],1)</f>
        <v>2</v>
      </c>
      <c r="X2026" s="2">
        <f>MATCH(Auto_Sales_data___Copy[[#This Row],[Total_Orders_Per_Customer]],Table2[F-Cutoff],1)</f>
        <v>3</v>
      </c>
      <c r="Y2026" s="2">
        <f>MATCH(Auto_Sales_data___Copy[[#This Row],[Total_Sales_Per_Customer]],Table2[M-Cutoff],1)</f>
        <v>3</v>
      </c>
      <c r="Z2026" s="2" t="str">
        <f>Auto_Sales_data___Copy[[#This Row],[R-Score(1-5)]]&amp;Auto_Sales_data___Copy[[#This Row],[F-Score(1-5)]]&amp;Auto_Sales_data___Copy[[#This Row],[M-Score(1-5)]]</f>
        <v>233</v>
      </c>
      <c r="AA2026" s="2" t="str" cm="1">
        <f t="array" ref="AA20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6" s="2" t="str">
        <f>VLOOKUP(Auto_Sales_data___Copy[[#This Row],[Segment Name]],Table3[],2,FALSE)</f>
        <v>Brand Awareness &amp; Value Proposition</v>
      </c>
    </row>
    <row r="2027" spans="1:28" x14ac:dyDescent="0.25">
      <c r="A2027">
        <v>10222</v>
      </c>
      <c r="B2027">
        <v>46</v>
      </c>
      <c r="C2027">
        <v>80.510000000000005</v>
      </c>
      <c r="D2027">
        <v>11</v>
      </c>
      <c r="E2027">
        <v>3703.46</v>
      </c>
      <c r="F2027" s="1">
        <v>43515</v>
      </c>
      <c r="G2027" s="2" t="s">
        <v>19</v>
      </c>
      <c r="H2027" s="2" t="s">
        <v>589</v>
      </c>
      <c r="I2027">
        <v>83</v>
      </c>
      <c r="J2027" s="2" t="s">
        <v>686</v>
      </c>
      <c r="K2027" s="2" t="s">
        <v>379</v>
      </c>
      <c r="L2027" s="2" t="s">
        <v>380</v>
      </c>
      <c r="M2027" s="2" t="s">
        <v>381</v>
      </c>
      <c r="N2027" s="2" t="s">
        <v>382</v>
      </c>
      <c r="O2027" s="2" t="s">
        <v>383</v>
      </c>
      <c r="P2027" s="2" t="s">
        <v>27</v>
      </c>
      <c r="Q2027" s="2" t="s">
        <v>243</v>
      </c>
      <c r="R2027" s="2" t="s">
        <v>289</v>
      </c>
      <c r="S2027" s="2" t="s">
        <v>46</v>
      </c>
      <c r="T2027">
        <v>2358</v>
      </c>
      <c r="U2027">
        <f>VLOOKUP(Auto_Sales_data___Copy[[#This Row],[CUSTOMER_NAME]],$AF$2:$AH$90,2,FALSE)</f>
        <v>25</v>
      </c>
      <c r="V2027">
        <f>VLOOKUP(Auto_Sales_data___Copy[[#This Row],[CUSTOMER_NAME]],$AF$2:$AH$90,3,FALSE)</f>
        <v>87489.23000000001</v>
      </c>
      <c r="W2027" s="2">
        <f>6-MATCH(Auto_Sales_data___Copy[[#This Row],[DAYS_SINCE_LAST_ORDER]],Table2[R-Cutoff],1)</f>
        <v>2</v>
      </c>
      <c r="X2027" s="2">
        <f>MATCH(Auto_Sales_data___Copy[[#This Row],[Total_Orders_Per_Customer]],Table2[F-Cutoff],1)</f>
        <v>3</v>
      </c>
      <c r="Y2027" s="2">
        <f>MATCH(Auto_Sales_data___Copy[[#This Row],[Total_Sales_Per_Customer]],Table2[M-Cutoff],1)</f>
        <v>3</v>
      </c>
      <c r="Z2027" s="2" t="str">
        <f>Auto_Sales_data___Copy[[#This Row],[R-Score(1-5)]]&amp;Auto_Sales_data___Copy[[#This Row],[F-Score(1-5)]]&amp;Auto_Sales_data___Copy[[#This Row],[M-Score(1-5)]]</f>
        <v>233</v>
      </c>
      <c r="AA2027" s="2" t="str" cm="1">
        <f t="array" ref="AA20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7" s="2" t="str">
        <f>VLOOKUP(Auto_Sales_data___Copy[[#This Row],[Segment Name]],Table3[],2,FALSE)</f>
        <v>Brand Awareness &amp; Value Proposition</v>
      </c>
    </row>
    <row r="2028" spans="1:28" x14ac:dyDescent="0.25">
      <c r="A2028">
        <v>10222</v>
      </c>
      <c r="B2028">
        <v>48</v>
      </c>
      <c r="C2028">
        <v>56.64</v>
      </c>
      <c r="D2028">
        <v>3</v>
      </c>
      <c r="E2028">
        <v>2718.72</v>
      </c>
      <c r="F2028" s="1">
        <v>43515</v>
      </c>
      <c r="G2028" s="2" t="s">
        <v>19</v>
      </c>
      <c r="H2028" s="2" t="s">
        <v>607</v>
      </c>
      <c r="I2028">
        <v>68</v>
      </c>
      <c r="J2028" s="2" t="s">
        <v>688</v>
      </c>
      <c r="K2028" s="2" t="s">
        <v>379</v>
      </c>
      <c r="L2028" s="2" t="s">
        <v>380</v>
      </c>
      <c r="M2028" s="2" t="s">
        <v>381</v>
      </c>
      <c r="N2028" s="2" t="s">
        <v>382</v>
      </c>
      <c r="O2028" s="2" t="s">
        <v>383</v>
      </c>
      <c r="P2028" s="2" t="s">
        <v>27</v>
      </c>
      <c r="Q2028" s="2" t="s">
        <v>243</v>
      </c>
      <c r="R2028" s="2" t="s">
        <v>289</v>
      </c>
      <c r="S2028" s="2" t="s">
        <v>30</v>
      </c>
      <c r="T2028">
        <v>2409</v>
      </c>
      <c r="U2028">
        <f>VLOOKUP(Auto_Sales_data___Copy[[#This Row],[CUSTOMER_NAME]],$AF$2:$AH$90,2,FALSE)</f>
        <v>25</v>
      </c>
      <c r="V2028">
        <f>VLOOKUP(Auto_Sales_data___Copy[[#This Row],[CUSTOMER_NAME]],$AF$2:$AH$90,3,FALSE)</f>
        <v>87489.23000000001</v>
      </c>
      <c r="W2028" s="2">
        <f>6-MATCH(Auto_Sales_data___Copy[[#This Row],[DAYS_SINCE_LAST_ORDER]],Table2[R-Cutoff],1)</f>
        <v>2</v>
      </c>
      <c r="X2028" s="2">
        <f>MATCH(Auto_Sales_data___Copy[[#This Row],[Total_Orders_Per_Customer]],Table2[F-Cutoff],1)</f>
        <v>3</v>
      </c>
      <c r="Y2028" s="2">
        <f>MATCH(Auto_Sales_data___Copy[[#This Row],[Total_Sales_Per_Customer]],Table2[M-Cutoff],1)</f>
        <v>3</v>
      </c>
      <c r="Z2028" s="2" t="str">
        <f>Auto_Sales_data___Copy[[#This Row],[R-Score(1-5)]]&amp;Auto_Sales_data___Copy[[#This Row],[F-Score(1-5)]]&amp;Auto_Sales_data___Copy[[#This Row],[M-Score(1-5)]]</f>
        <v>233</v>
      </c>
      <c r="AA2028" s="2" t="str" cm="1">
        <f t="array" ref="AA20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8" s="2" t="str">
        <f>VLOOKUP(Auto_Sales_data___Copy[[#This Row],[Segment Name]],Table3[],2,FALSE)</f>
        <v>Brand Awareness &amp; Value Proposition</v>
      </c>
    </row>
    <row r="2029" spans="1:28" x14ac:dyDescent="0.25">
      <c r="A2029">
        <v>10226</v>
      </c>
      <c r="B2029">
        <v>48</v>
      </c>
      <c r="C2029">
        <v>92.09</v>
      </c>
      <c r="D2029">
        <v>2</v>
      </c>
      <c r="E2029">
        <v>4420.32</v>
      </c>
      <c r="F2029" s="1">
        <v>43522</v>
      </c>
      <c r="G2029" s="2" t="s">
        <v>19</v>
      </c>
      <c r="H2029" s="2" t="s">
        <v>183</v>
      </c>
      <c r="I2029">
        <v>107</v>
      </c>
      <c r="J2029" s="2" t="s">
        <v>685</v>
      </c>
      <c r="K2029" s="2" t="s">
        <v>379</v>
      </c>
      <c r="L2029" s="2" t="s">
        <v>380</v>
      </c>
      <c r="M2029" s="2" t="s">
        <v>381</v>
      </c>
      <c r="N2029" s="2" t="s">
        <v>382</v>
      </c>
      <c r="O2029" s="2" t="s">
        <v>383</v>
      </c>
      <c r="P2029" s="2" t="s">
        <v>27</v>
      </c>
      <c r="Q2029" s="2" t="s">
        <v>243</v>
      </c>
      <c r="R2029" s="2" t="s">
        <v>289</v>
      </c>
      <c r="S2029" s="2" t="s">
        <v>46</v>
      </c>
      <c r="T2029">
        <v>2328</v>
      </c>
      <c r="U2029">
        <f>VLOOKUP(Auto_Sales_data___Copy[[#This Row],[CUSTOMER_NAME]],$AF$2:$AH$90,2,FALSE)</f>
        <v>25</v>
      </c>
      <c r="V2029">
        <f>VLOOKUP(Auto_Sales_data___Copy[[#This Row],[CUSTOMER_NAME]],$AF$2:$AH$90,3,FALSE)</f>
        <v>87489.23000000001</v>
      </c>
      <c r="W2029" s="2">
        <f>6-MATCH(Auto_Sales_data___Copy[[#This Row],[DAYS_SINCE_LAST_ORDER]],Table2[R-Cutoff],1)</f>
        <v>2</v>
      </c>
      <c r="X2029" s="2">
        <f>MATCH(Auto_Sales_data___Copy[[#This Row],[Total_Orders_Per_Customer]],Table2[F-Cutoff],1)</f>
        <v>3</v>
      </c>
      <c r="Y2029" s="2">
        <f>MATCH(Auto_Sales_data___Copy[[#This Row],[Total_Sales_Per_Customer]],Table2[M-Cutoff],1)</f>
        <v>3</v>
      </c>
      <c r="Z2029" s="2" t="str">
        <f>Auto_Sales_data___Copy[[#This Row],[R-Score(1-5)]]&amp;Auto_Sales_data___Copy[[#This Row],[F-Score(1-5)]]&amp;Auto_Sales_data___Copy[[#This Row],[M-Score(1-5)]]</f>
        <v>233</v>
      </c>
      <c r="AA2029" s="2" t="str" cm="1">
        <f t="array" ref="AA20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9" s="2" t="str">
        <f>VLOOKUP(Auto_Sales_data___Copy[[#This Row],[Segment Name]],Table3[],2,FALSE)</f>
        <v>Brand Awareness &amp; Value Proposition</v>
      </c>
    </row>
    <row r="2030" spans="1:28" x14ac:dyDescent="0.25">
      <c r="A2030">
        <v>10237</v>
      </c>
      <c r="B2030">
        <v>26</v>
      </c>
      <c r="C2030">
        <v>79.650000000000006</v>
      </c>
      <c r="D2030">
        <v>4</v>
      </c>
      <c r="E2030">
        <v>2070.9</v>
      </c>
      <c r="F2030" s="1">
        <v>43560</v>
      </c>
      <c r="G2030" s="2" t="s">
        <v>19</v>
      </c>
      <c r="H2030" s="2" t="s">
        <v>20</v>
      </c>
      <c r="I2030">
        <v>69</v>
      </c>
      <c r="J2030" s="2" t="s">
        <v>675</v>
      </c>
      <c r="K2030" s="2" t="s">
        <v>90</v>
      </c>
      <c r="L2030" s="2" t="s">
        <v>91</v>
      </c>
      <c r="M2030" s="2" t="s">
        <v>92</v>
      </c>
      <c r="N2030" s="2" t="s">
        <v>25</v>
      </c>
      <c r="O2030" s="2" t="s">
        <v>26</v>
      </c>
      <c r="P2030" s="2" t="s">
        <v>27</v>
      </c>
      <c r="Q2030" s="2" t="s">
        <v>93</v>
      </c>
      <c r="R2030" s="2" t="s">
        <v>94</v>
      </c>
      <c r="S2030" s="2" t="s">
        <v>30</v>
      </c>
      <c r="T2030">
        <v>2043</v>
      </c>
      <c r="U2030">
        <f>VLOOKUP(Auto_Sales_data___Copy[[#This Row],[CUSTOMER_NAME]],$AF$2:$AH$90,2,FALSE)</f>
        <v>25</v>
      </c>
      <c r="V2030">
        <f>VLOOKUP(Auto_Sales_data___Copy[[#This Row],[CUSTOMER_NAME]],$AF$2:$AH$90,3,FALSE)</f>
        <v>88041.260000000009</v>
      </c>
      <c r="W2030" s="2">
        <f>6-MATCH(Auto_Sales_data___Copy[[#This Row],[DAYS_SINCE_LAST_ORDER]],Table2[R-Cutoff],1)</f>
        <v>2</v>
      </c>
      <c r="X2030" s="2">
        <f>MATCH(Auto_Sales_data___Copy[[#This Row],[Total_Orders_Per_Customer]],Table2[F-Cutoff],1)</f>
        <v>3</v>
      </c>
      <c r="Y2030" s="2">
        <f>MATCH(Auto_Sales_data___Copy[[#This Row],[Total_Sales_Per_Customer]],Table2[M-Cutoff],1)</f>
        <v>3</v>
      </c>
      <c r="Z2030" s="2" t="str">
        <f>Auto_Sales_data___Copy[[#This Row],[R-Score(1-5)]]&amp;Auto_Sales_data___Copy[[#This Row],[F-Score(1-5)]]&amp;Auto_Sales_data___Copy[[#This Row],[M-Score(1-5)]]</f>
        <v>233</v>
      </c>
      <c r="AA2030" s="2" t="str" cm="1">
        <f t="array" ref="AA20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0" s="2" t="str">
        <f>VLOOKUP(Auto_Sales_data___Copy[[#This Row],[Segment Name]],Table3[],2,FALSE)</f>
        <v>Brand Awareness &amp; Value Proposition</v>
      </c>
    </row>
    <row r="2031" spans="1:28" x14ac:dyDescent="0.25">
      <c r="A2031">
        <v>10237</v>
      </c>
      <c r="B2031">
        <v>26</v>
      </c>
      <c r="C2031">
        <v>40.229999999999997</v>
      </c>
      <c r="D2031">
        <v>2</v>
      </c>
      <c r="E2031">
        <v>1045.98</v>
      </c>
      <c r="F2031" s="1">
        <v>43560</v>
      </c>
      <c r="G2031" s="2" t="s">
        <v>19</v>
      </c>
      <c r="H2031" s="2" t="s">
        <v>20</v>
      </c>
      <c r="I2031">
        <v>40</v>
      </c>
      <c r="J2031" s="2" t="s">
        <v>696</v>
      </c>
      <c r="K2031" s="2" t="s">
        <v>90</v>
      </c>
      <c r="L2031" s="2" t="s">
        <v>91</v>
      </c>
      <c r="M2031" s="2" t="s">
        <v>92</v>
      </c>
      <c r="N2031" s="2" t="s">
        <v>25</v>
      </c>
      <c r="O2031" s="2" t="s">
        <v>26</v>
      </c>
      <c r="P2031" s="2" t="s">
        <v>27</v>
      </c>
      <c r="Q2031" s="2" t="s">
        <v>93</v>
      </c>
      <c r="R2031" s="2" t="s">
        <v>94</v>
      </c>
      <c r="S2031" s="2" t="s">
        <v>30</v>
      </c>
      <c r="T2031">
        <v>2560</v>
      </c>
      <c r="U2031">
        <f>VLOOKUP(Auto_Sales_data___Copy[[#This Row],[CUSTOMER_NAME]],$AF$2:$AH$90,2,FALSE)</f>
        <v>25</v>
      </c>
      <c r="V2031">
        <f>VLOOKUP(Auto_Sales_data___Copy[[#This Row],[CUSTOMER_NAME]],$AF$2:$AH$90,3,FALSE)</f>
        <v>88041.260000000009</v>
      </c>
      <c r="W2031" s="2">
        <f>6-MATCH(Auto_Sales_data___Copy[[#This Row],[DAYS_SINCE_LAST_ORDER]],Table2[R-Cutoff],1)</f>
        <v>2</v>
      </c>
      <c r="X2031" s="2">
        <f>MATCH(Auto_Sales_data___Copy[[#This Row],[Total_Orders_Per_Customer]],Table2[F-Cutoff],1)</f>
        <v>3</v>
      </c>
      <c r="Y2031" s="2">
        <f>MATCH(Auto_Sales_data___Copy[[#This Row],[Total_Sales_Per_Customer]],Table2[M-Cutoff],1)</f>
        <v>3</v>
      </c>
      <c r="Z2031" s="2" t="str">
        <f>Auto_Sales_data___Copy[[#This Row],[R-Score(1-5)]]&amp;Auto_Sales_data___Copy[[#This Row],[F-Score(1-5)]]&amp;Auto_Sales_data___Copy[[#This Row],[M-Score(1-5)]]</f>
        <v>233</v>
      </c>
      <c r="AA2031" s="2" t="str" cm="1">
        <f t="array" ref="AA20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1" s="2" t="str">
        <f>VLOOKUP(Auto_Sales_data___Copy[[#This Row],[Segment Name]],Table3[],2,FALSE)</f>
        <v>Brand Awareness &amp; Value Proposition</v>
      </c>
    </row>
    <row r="2032" spans="1:28" x14ac:dyDescent="0.25">
      <c r="A2032">
        <v>10264</v>
      </c>
      <c r="B2032">
        <v>47</v>
      </c>
      <c r="C2032">
        <v>83.27</v>
      </c>
      <c r="D2032">
        <v>1</v>
      </c>
      <c r="E2032">
        <v>3913.69</v>
      </c>
      <c r="F2032" s="1">
        <v>43646</v>
      </c>
      <c r="G2032" s="2" t="s">
        <v>19</v>
      </c>
      <c r="H2032" s="2" t="s">
        <v>183</v>
      </c>
      <c r="I2032">
        <v>80</v>
      </c>
      <c r="J2032" s="2" t="s">
        <v>693</v>
      </c>
      <c r="K2032" s="2" t="s">
        <v>398</v>
      </c>
      <c r="L2032" s="2" t="s">
        <v>399</v>
      </c>
      <c r="M2032" s="2" t="s">
        <v>400</v>
      </c>
      <c r="N2032" s="2" t="s">
        <v>401</v>
      </c>
      <c r="O2032" s="2" t="s">
        <v>402</v>
      </c>
      <c r="P2032" s="2" t="s">
        <v>27</v>
      </c>
      <c r="Q2032" s="2" t="s">
        <v>403</v>
      </c>
      <c r="R2032" s="2" t="s">
        <v>60</v>
      </c>
      <c r="S2032" s="2" t="s">
        <v>46</v>
      </c>
      <c r="T2032">
        <v>2402</v>
      </c>
      <c r="U2032">
        <f>VLOOKUP(Auto_Sales_data___Copy[[#This Row],[CUSTOMER_NAME]],$AF$2:$AH$90,2,FALSE)</f>
        <v>26</v>
      </c>
      <c r="V2032">
        <f>VLOOKUP(Auto_Sales_data___Copy[[#This Row],[CUSTOMER_NAME]],$AF$2:$AH$90,3,FALSE)</f>
        <v>83209.88</v>
      </c>
      <c r="W2032" s="2">
        <f>6-MATCH(Auto_Sales_data___Copy[[#This Row],[DAYS_SINCE_LAST_ORDER]],Table2[R-Cutoff],1)</f>
        <v>2</v>
      </c>
      <c r="X2032" s="2">
        <f>MATCH(Auto_Sales_data___Copy[[#This Row],[Total_Orders_Per_Customer]],Table2[F-Cutoff],1)</f>
        <v>3</v>
      </c>
      <c r="Y2032" s="2">
        <f>MATCH(Auto_Sales_data___Copy[[#This Row],[Total_Sales_Per_Customer]],Table2[M-Cutoff],1)</f>
        <v>3</v>
      </c>
      <c r="Z2032" s="2" t="str">
        <f>Auto_Sales_data___Copy[[#This Row],[R-Score(1-5)]]&amp;Auto_Sales_data___Copy[[#This Row],[F-Score(1-5)]]&amp;Auto_Sales_data___Copy[[#This Row],[M-Score(1-5)]]</f>
        <v>233</v>
      </c>
      <c r="AA2032" s="2" t="str" cm="1">
        <f t="array" ref="AA20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2" s="2" t="str">
        <f>VLOOKUP(Auto_Sales_data___Copy[[#This Row],[Segment Name]],Table3[],2,FALSE)</f>
        <v>Brand Awareness &amp; Value Proposition</v>
      </c>
    </row>
    <row r="2033" spans="1:28" x14ac:dyDescent="0.25">
      <c r="A2033">
        <v>10264</v>
      </c>
      <c r="B2033">
        <v>20</v>
      </c>
      <c r="C2033">
        <v>32.590000000000003</v>
      </c>
      <c r="D2033">
        <v>4</v>
      </c>
      <c r="E2033">
        <v>651.79999999999995</v>
      </c>
      <c r="F2033" s="1">
        <v>43646</v>
      </c>
      <c r="G2033" s="2" t="s">
        <v>19</v>
      </c>
      <c r="H2033" s="2" t="s">
        <v>20</v>
      </c>
      <c r="I2033">
        <v>40</v>
      </c>
      <c r="J2033" s="2" t="s">
        <v>696</v>
      </c>
      <c r="K2033" s="2" t="s">
        <v>398</v>
      </c>
      <c r="L2033" s="2" t="s">
        <v>399</v>
      </c>
      <c r="M2033" s="2" t="s">
        <v>400</v>
      </c>
      <c r="N2033" s="2" t="s">
        <v>401</v>
      </c>
      <c r="O2033" s="2" t="s">
        <v>402</v>
      </c>
      <c r="P2033" s="2" t="s">
        <v>27</v>
      </c>
      <c r="Q2033" s="2" t="s">
        <v>403</v>
      </c>
      <c r="R2033" s="2" t="s">
        <v>60</v>
      </c>
      <c r="S2033" s="2" t="s">
        <v>30</v>
      </c>
      <c r="T2033">
        <v>2476</v>
      </c>
      <c r="U2033">
        <f>VLOOKUP(Auto_Sales_data___Copy[[#This Row],[CUSTOMER_NAME]],$AF$2:$AH$90,2,FALSE)</f>
        <v>26</v>
      </c>
      <c r="V2033">
        <f>VLOOKUP(Auto_Sales_data___Copy[[#This Row],[CUSTOMER_NAME]],$AF$2:$AH$90,3,FALSE)</f>
        <v>83209.88</v>
      </c>
      <c r="W2033" s="2">
        <f>6-MATCH(Auto_Sales_data___Copy[[#This Row],[DAYS_SINCE_LAST_ORDER]],Table2[R-Cutoff],1)</f>
        <v>2</v>
      </c>
      <c r="X2033" s="2">
        <f>MATCH(Auto_Sales_data___Copy[[#This Row],[Total_Orders_Per_Customer]],Table2[F-Cutoff],1)</f>
        <v>3</v>
      </c>
      <c r="Y2033" s="2">
        <f>MATCH(Auto_Sales_data___Copy[[#This Row],[Total_Sales_Per_Customer]],Table2[M-Cutoff],1)</f>
        <v>3</v>
      </c>
      <c r="Z2033" s="2" t="str">
        <f>Auto_Sales_data___Copy[[#This Row],[R-Score(1-5)]]&amp;Auto_Sales_data___Copy[[#This Row],[F-Score(1-5)]]&amp;Auto_Sales_data___Copy[[#This Row],[M-Score(1-5)]]</f>
        <v>233</v>
      </c>
      <c r="AA2033" s="2" t="str" cm="1">
        <f t="array" ref="AA20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3" s="2" t="str">
        <f>VLOOKUP(Auto_Sales_data___Copy[[#This Row],[Segment Name]],Table3[],2,FALSE)</f>
        <v>Brand Awareness &amp; Value Proposition</v>
      </c>
    </row>
    <row r="2034" spans="1:28" x14ac:dyDescent="0.25">
      <c r="A2034">
        <v>10274</v>
      </c>
      <c r="B2034">
        <v>24</v>
      </c>
      <c r="C2034">
        <v>72.33</v>
      </c>
      <c r="D2034">
        <v>3</v>
      </c>
      <c r="E2034">
        <v>1735.92</v>
      </c>
      <c r="F2034" s="1">
        <v>43667</v>
      </c>
      <c r="G2034" s="2" t="s">
        <v>19</v>
      </c>
      <c r="H2034" s="2" t="s">
        <v>589</v>
      </c>
      <c r="I2034">
        <v>65</v>
      </c>
      <c r="J2034" s="2" t="s">
        <v>684</v>
      </c>
      <c r="K2034" s="2" t="s">
        <v>295</v>
      </c>
      <c r="L2034" s="2" t="s">
        <v>116</v>
      </c>
      <c r="M2034" s="2" t="s">
        <v>296</v>
      </c>
      <c r="N2034" s="2" t="s">
        <v>297</v>
      </c>
      <c r="O2034" s="2" t="s">
        <v>298</v>
      </c>
      <c r="P2034" s="2" t="s">
        <v>27</v>
      </c>
      <c r="Q2034" s="2" t="s">
        <v>288</v>
      </c>
      <c r="R2034" s="2" t="s">
        <v>299</v>
      </c>
      <c r="S2034" s="2" t="s">
        <v>30</v>
      </c>
      <c r="T2034">
        <v>2160</v>
      </c>
      <c r="U2034">
        <f>VLOOKUP(Auto_Sales_data___Copy[[#This Row],[CUSTOMER_NAME]],$AF$2:$AH$90,2,FALSE)</f>
        <v>24</v>
      </c>
      <c r="V2034">
        <f>VLOOKUP(Auto_Sales_data___Copy[[#This Row],[CUSTOMER_NAME]],$AF$2:$AH$90,3,FALSE)</f>
        <v>81577.98</v>
      </c>
      <c r="W2034" s="2">
        <f>6-MATCH(Auto_Sales_data___Copy[[#This Row],[DAYS_SINCE_LAST_ORDER]],Table2[R-Cutoff],1)</f>
        <v>2</v>
      </c>
      <c r="X2034" s="2">
        <f>MATCH(Auto_Sales_data___Copy[[#This Row],[Total_Orders_Per_Customer]],Table2[F-Cutoff],1)</f>
        <v>3</v>
      </c>
      <c r="Y2034" s="2">
        <f>MATCH(Auto_Sales_data___Copy[[#This Row],[Total_Sales_Per_Customer]],Table2[M-Cutoff],1)</f>
        <v>3</v>
      </c>
      <c r="Z2034" s="2" t="str">
        <f>Auto_Sales_data___Copy[[#This Row],[R-Score(1-5)]]&amp;Auto_Sales_data___Copy[[#This Row],[F-Score(1-5)]]&amp;Auto_Sales_data___Copy[[#This Row],[M-Score(1-5)]]</f>
        <v>233</v>
      </c>
      <c r="AA2034" s="2" t="str" cm="1">
        <f t="array" ref="AA20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4" s="2" t="str">
        <f>VLOOKUP(Auto_Sales_data___Copy[[#This Row],[Segment Name]],Table3[],2,FALSE)</f>
        <v>Brand Awareness &amp; Value Proposition</v>
      </c>
    </row>
    <row r="2035" spans="1:28" x14ac:dyDescent="0.25">
      <c r="A2035">
        <v>10280</v>
      </c>
      <c r="B2035">
        <v>33</v>
      </c>
      <c r="C2035">
        <v>41.85</v>
      </c>
      <c r="D2035">
        <v>14</v>
      </c>
      <c r="E2035">
        <v>1381.05</v>
      </c>
      <c r="F2035" s="1">
        <v>43694</v>
      </c>
      <c r="G2035" s="2" t="s">
        <v>19</v>
      </c>
      <c r="H2035" s="2" t="s">
        <v>589</v>
      </c>
      <c r="I2035">
        <v>41</v>
      </c>
      <c r="J2035" s="2" t="s">
        <v>689</v>
      </c>
      <c r="K2035" s="2" t="s">
        <v>264</v>
      </c>
      <c r="L2035" s="2" t="s">
        <v>265</v>
      </c>
      <c r="M2035" s="2" t="s">
        <v>266</v>
      </c>
      <c r="N2035" s="2" t="s">
        <v>267</v>
      </c>
      <c r="O2035" s="2" t="s">
        <v>268</v>
      </c>
      <c r="P2035" s="2" t="s">
        <v>269</v>
      </c>
      <c r="Q2035" s="2" t="s">
        <v>270</v>
      </c>
      <c r="R2035" s="2" t="s">
        <v>271</v>
      </c>
      <c r="S2035" s="2" t="s">
        <v>30</v>
      </c>
      <c r="T2035">
        <v>2259</v>
      </c>
      <c r="U2035">
        <f>VLOOKUP(Auto_Sales_data___Copy[[#This Row],[CUSTOMER_NAME]],$AF$2:$AH$90,2,FALSE)</f>
        <v>26</v>
      </c>
      <c r="V2035">
        <f>VLOOKUP(Auto_Sales_data___Copy[[#This Row],[CUSTOMER_NAME]],$AF$2:$AH$90,3,FALSE)</f>
        <v>94117.26</v>
      </c>
      <c r="W2035" s="2">
        <f>6-MATCH(Auto_Sales_data___Copy[[#This Row],[DAYS_SINCE_LAST_ORDER]],Table2[R-Cutoff],1)</f>
        <v>2</v>
      </c>
      <c r="X2035" s="2">
        <f>MATCH(Auto_Sales_data___Copy[[#This Row],[Total_Orders_Per_Customer]],Table2[F-Cutoff],1)</f>
        <v>3</v>
      </c>
      <c r="Y2035" s="2">
        <f>MATCH(Auto_Sales_data___Copy[[#This Row],[Total_Sales_Per_Customer]],Table2[M-Cutoff],1)</f>
        <v>3</v>
      </c>
      <c r="Z2035" s="2" t="str">
        <f>Auto_Sales_data___Copy[[#This Row],[R-Score(1-5)]]&amp;Auto_Sales_data___Copy[[#This Row],[F-Score(1-5)]]&amp;Auto_Sales_data___Copy[[#This Row],[M-Score(1-5)]]</f>
        <v>233</v>
      </c>
      <c r="AA2035" s="2" t="str" cm="1">
        <f t="array" ref="AA20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5" s="2" t="str">
        <f>VLOOKUP(Auto_Sales_data___Copy[[#This Row],[Segment Name]],Table3[],2,FALSE)</f>
        <v>Brand Awareness &amp; Value Proposition</v>
      </c>
    </row>
    <row r="2036" spans="1:28" x14ac:dyDescent="0.25">
      <c r="A2036">
        <v>10280</v>
      </c>
      <c r="B2036">
        <v>21</v>
      </c>
      <c r="C2036">
        <v>78.89</v>
      </c>
      <c r="D2036">
        <v>6</v>
      </c>
      <c r="E2036">
        <v>1656.69</v>
      </c>
      <c r="F2036" s="1">
        <v>43694</v>
      </c>
      <c r="G2036" s="2" t="s">
        <v>19</v>
      </c>
      <c r="H2036" s="2" t="s">
        <v>589</v>
      </c>
      <c r="I2036">
        <v>97</v>
      </c>
      <c r="J2036" s="2" t="s">
        <v>691</v>
      </c>
      <c r="K2036" s="2" t="s">
        <v>264</v>
      </c>
      <c r="L2036" s="2" t="s">
        <v>265</v>
      </c>
      <c r="M2036" s="2" t="s">
        <v>266</v>
      </c>
      <c r="N2036" s="2" t="s">
        <v>267</v>
      </c>
      <c r="O2036" s="2" t="s">
        <v>268</v>
      </c>
      <c r="P2036" s="2" t="s">
        <v>269</v>
      </c>
      <c r="Q2036" s="2" t="s">
        <v>270</v>
      </c>
      <c r="R2036" s="2" t="s">
        <v>271</v>
      </c>
      <c r="S2036" s="2" t="s">
        <v>30</v>
      </c>
      <c r="T2036">
        <v>2309</v>
      </c>
      <c r="U2036">
        <f>VLOOKUP(Auto_Sales_data___Copy[[#This Row],[CUSTOMER_NAME]],$AF$2:$AH$90,2,FALSE)</f>
        <v>26</v>
      </c>
      <c r="V2036">
        <f>VLOOKUP(Auto_Sales_data___Copy[[#This Row],[CUSTOMER_NAME]],$AF$2:$AH$90,3,FALSE)</f>
        <v>94117.26</v>
      </c>
      <c r="W2036" s="2">
        <f>6-MATCH(Auto_Sales_data___Copy[[#This Row],[DAYS_SINCE_LAST_ORDER]],Table2[R-Cutoff],1)</f>
        <v>2</v>
      </c>
      <c r="X2036" s="2">
        <f>MATCH(Auto_Sales_data___Copy[[#This Row],[Total_Orders_Per_Customer]],Table2[F-Cutoff],1)</f>
        <v>3</v>
      </c>
      <c r="Y2036" s="2">
        <f>MATCH(Auto_Sales_data___Copy[[#This Row],[Total_Sales_Per_Customer]],Table2[M-Cutoff],1)</f>
        <v>3</v>
      </c>
      <c r="Z2036" s="2" t="str">
        <f>Auto_Sales_data___Copy[[#This Row],[R-Score(1-5)]]&amp;Auto_Sales_data___Copy[[#This Row],[F-Score(1-5)]]&amp;Auto_Sales_data___Copy[[#This Row],[M-Score(1-5)]]</f>
        <v>233</v>
      </c>
      <c r="AA2036" s="2" t="str" cm="1">
        <f t="array" ref="AA20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6" s="2" t="str">
        <f>VLOOKUP(Auto_Sales_data___Copy[[#This Row],[Segment Name]],Table3[],2,FALSE)</f>
        <v>Brand Awareness &amp; Value Proposition</v>
      </c>
    </row>
    <row r="2037" spans="1:28" x14ac:dyDescent="0.25">
      <c r="A2037">
        <v>10295</v>
      </c>
      <c r="B2037">
        <v>46</v>
      </c>
      <c r="C2037">
        <v>84.97</v>
      </c>
      <c r="D2037">
        <v>3</v>
      </c>
      <c r="E2037">
        <v>3908.62</v>
      </c>
      <c r="F2037" s="1">
        <v>43718</v>
      </c>
      <c r="G2037" s="2" t="s">
        <v>19</v>
      </c>
      <c r="H2037" s="2" t="s">
        <v>589</v>
      </c>
      <c r="I2037">
        <v>88</v>
      </c>
      <c r="J2037" s="2" t="s">
        <v>681</v>
      </c>
      <c r="K2037" s="2" t="s">
        <v>398</v>
      </c>
      <c r="L2037" s="2" t="s">
        <v>399</v>
      </c>
      <c r="M2037" s="2" t="s">
        <v>400</v>
      </c>
      <c r="N2037" s="2" t="s">
        <v>401</v>
      </c>
      <c r="O2037" s="2" t="s">
        <v>402</v>
      </c>
      <c r="P2037" s="2" t="s">
        <v>27</v>
      </c>
      <c r="Q2037" s="2" t="s">
        <v>403</v>
      </c>
      <c r="R2037" s="2" t="s">
        <v>60</v>
      </c>
      <c r="S2037" s="2" t="s">
        <v>46</v>
      </c>
      <c r="T2037">
        <v>2040</v>
      </c>
      <c r="U2037">
        <f>VLOOKUP(Auto_Sales_data___Copy[[#This Row],[CUSTOMER_NAME]],$AF$2:$AH$90,2,FALSE)</f>
        <v>26</v>
      </c>
      <c r="V2037">
        <f>VLOOKUP(Auto_Sales_data___Copy[[#This Row],[CUSTOMER_NAME]],$AF$2:$AH$90,3,FALSE)</f>
        <v>83209.88</v>
      </c>
      <c r="W2037" s="2">
        <f>6-MATCH(Auto_Sales_data___Copy[[#This Row],[DAYS_SINCE_LAST_ORDER]],Table2[R-Cutoff],1)</f>
        <v>2</v>
      </c>
      <c r="X2037" s="2">
        <f>MATCH(Auto_Sales_data___Copy[[#This Row],[Total_Orders_Per_Customer]],Table2[F-Cutoff],1)</f>
        <v>3</v>
      </c>
      <c r="Y2037" s="2">
        <f>MATCH(Auto_Sales_data___Copy[[#This Row],[Total_Sales_Per_Customer]],Table2[M-Cutoff],1)</f>
        <v>3</v>
      </c>
      <c r="Z2037" s="2" t="str">
        <f>Auto_Sales_data___Copy[[#This Row],[R-Score(1-5)]]&amp;Auto_Sales_data___Copy[[#This Row],[F-Score(1-5)]]&amp;Auto_Sales_data___Copy[[#This Row],[M-Score(1-5)]]</f>
        <v>233</v>
      </c>
      <c r="AA2037" s="2" t="str" cm="1">
        <f t="array" ref="AA20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7" s="2" t="str">
        <f>VLOOKUP(Auto_Sales_data___Copy[[#This Row],[Segment Name]],Table3[],2,FALSE)</f>
        <v>Brand Awareness &amp; Value Proposition</v>
      </c>
    </row>
    <row r="2038" spans="1:28" x14ac:dyDescent="0.25">
      <c r="A2038">
        <v>10308</v>
      </c>
      <c r="B2038">
        <v>43</v>
      </c>
      <c r="C2038">
        <v>76.430000000000007</v>
      </c>
      <c r="D2038">
        <v>16</v>
      </c>
      <c r="E2038">
        <v>3286.49</v>
      </c>
      <c r="F2038" s="1">
        <v>43753</v>
      </c>
      <c r="G2038" s="2" t="s">
        <v>19</v>
      </c>
      <c r="H2038" s="2" t="s">
        <v>607</v>
      </c>
      <c r="I2038">
        <v>68</v>
      </c>
      <c r="J2038" s="2" t="s">
        <v>688</v>
      </c>
      <c r="K2038" s="2" t="s">
        <v>332</v>
      </c>
      <c r="L2038" s="2" t="s">
        <v>333</v>
      </c>
      <c r="M2038" s="2" t="s">
        <v>334</v>
      </c>
      <c r="N2038" s="2" t="s">
        <v>335</v>
      </c>
      <c r="O2038" s="2" t="s">
        <v>336</v>
      </c>
      <c r="P2038" s="2" t="s">
        <v>27</v>
      </c>
      <c r="Q2038" s="2" t="s">
        <v>93</v>
      </c>
      <c r="R2038" s="2" t="s">
        <v>244</v>
      </c>
      <c r="S2038" s="2" t="s">
        <v>46</v>
      </c>
      <c r="T2038">
        <v>2178</v>
      </c>
      <c r="U2038">
        <f>VLOOKUP(Auto_Sales_data___Copy[[#This Row],[CUSTOMER_NAME]],$AF$2:$AH$90,2,FALSE)</f>
        <v>26</v>
      </c>
      <c r="V2038">
        <f>VLOOKUP(Auto_Sales_data___Copy[[#This Row],[CUSTOMER_NAME]],$AF$2:$AH$90,3,FALSE)</f>
        <v>85555.989999999976</v>
      </c>
      <c r="W2038" s="2">
        <f>6-MATCH(Auto_Sales_data___Copy[[#This Row],[DAYS_SINCE_LAST_ORDER]],Table2[R-Cutoff],1)</f>
        <v>2</v>
      </c>
      <c r="X2038" s="2">
        <f>MATCH(Auto_Sales_data___Copy[[#This Row],[Total_Orders_Per_Customer]],Table2[F-Cutoff],1)</f>
        <v>3</v>
      </c>
      <c r="Y2038" s="2">
        <f>MATCH(Auto_Sales_data___Copy[[#This Row],[Total_Sales_Per_Customer]],Table2[M-Cutoff],1)</f>
        <v>3</v>
      </c>
      <c r="Z2038" s="2" t="str">
        <f>Auto_Sales_data___Copy[[#This Row],[R-Score(1-5)]]&amp;Auto_Sales_data___Copy[[#This Row],[F-Score(1-5)]]&amp;Auto_Sales_data___Copy[[#This Row],[M-Score(1-5)]]</f>
        <v>233</v>
      </c>
      <c r="AA2038" s="2" t="str" cm="1">
        <f t="array" ref="AA20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8" s="2" t="str">
        <f>VLOOKUP(Auto_Sales_data___Copy[[#This Row],[Segment Name]],Table3[],2,FALSE)</f>
        <v>Brand Awareness &amp; Value Proposition</v>
      </c>
    </row>
    <row r="2039" spans="1:28" x14ac:dyDescent="0.25">
      <c r="A2039">
        <v>10308</v>
      </c>
      <c r="B2039">
        <v>44</v>
      </c>
      <c r="C2039">
        <v>83.32</v>
      </c>
      <c r="D2039">
        <v>8</v>
      </c>
      <c r="E2039">
        <v>3666.08</v>
      </c>
      <c r="F2039" s="1">
        <v>43753</v>
      </c>
      <c r="G2039" s="2" t="s">
        <v>19</v>
      </c>
      <c r="H2039" s="2" t="s">
        <v>607</v>
      </c>
      <c r="I2039">
        <v>72</v>
      </c>
      <c r="J2039" s="2" t="s">
        <v>692</v>
      </c>
      <c r="K2039" s="2" t="s">
        <v>332</v>
      </c>
      <c r="L2039" s="2" t="s">
        <v>333</v>
      </c>
      <c r="M2039" s="2" t="s">
        <v>334</v>
      </c>
      <c r="N2039" s="2" t="s">
        <v>335</v>
      </c>
      <c r="O2039" s="2" t="s">
        <v>336</v>
      </c>
      <c r="P2039" s="2" t="s">
        <v>27</v>
      </c>
      <c r="Q2039" s="2" t="s">
        <v>93</v>
      </c>
      <c r="R2039" s="2" t="s">
        <v>244</v>
      </c>
      <c r="S2039" s="2" t="s">
        <v>46</v>
      </c>
      <c r="T2039">
        <v>2273</v>
      </c>
      <c r="U2039">
        <f>VLOOKUP(Auto_Sales_data___Copy[[#This Row],[CUSTOMER_NAME]],$AF$2:$AH$90,2,FALSE)</f>
        <v>26</v>
      </c>
      <c r="V2039">
        <f>VLOOKUP(Auto_Sales_data___Copy[[#This Row],[CUSTOMER_NAME]],$AF$2:$AH$90,3,FALSE)</f>
        <v>85555.989999999976</v>
      </c>
      <c r="W2039" s="2">
        <f>6-MATCH(Auto_Sales_data___Copy[[#This Row],[DAYS_SINCE_LAST_ORDER]],Table2[R-Cutoff],1)</f>
        <v>2</v>
      </c>
      <c r="X2039" s="2">
        <f>MATCH(Auto_Sales_data___Copy[[#This Row],[Total_Orders_Per_Customer]],Table2[F-Cutoff],1)</f>
        <v>3</v>
      </c>
      <c r="Y2039" s="2">
        <f>MATCH(Auto_Sales_data___Copy[[#This Row],[Total_Sales_Per_Customer]],Table2[M-Cutoff],1)</f>
        <v>3</v>
      </c>
      <c r="Z2039" s="2" t="str">
        <f>Auto_Sales_data___Copy[[#This Row],[R-Score(1-5)]]&amp;Auto_Sales_data___Copy[[#This Row],[F-Score(1-5)]]&amp;Auto_Sales_data___Copy[[#This Row],[M-Score(1-5)]]</f>
        <v>233</v>
      </c>
      <c r="AA2039" s="2" t="str" cm="1">
        <f t="array" ref="AA20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9" s="2" t="str">
        <f>VLOOKUP(Auto_Sales_data___Copy[[#This Row],[Segment Name]],Table3[],2,FALSE)</f>
        <v>Brand Awareness &amp; Value Proposition</v>
      </c>
    </row>
    <row r="2040" spans="1:28" x14ac:dyDescent="0.25">
      <c r="A2040">
        <v>10308</v>
      </c>
      <c r="B2040">
        <v>24</v>
      </c>
      <c r="C2040">
        <v>79.91</v>
      </c>
      <c r="D2040">
        <v>5</v>
      </c>
      <c r="E2040">
        <v>1917.84</v>
      </c>
      <c r="F2040" s="1">
        <v>43753</v>
      </c>
      <c r="G2040" s="2" t="s">
        <v>19</v>
      </c>
      <c r="H2040" s="2" t="s">
        <v>20</v>
      </c>
      <c r="I2040">
        <v>99</v>
      </c>
      <c r="J2040" s="2" t="s">
        <v>695</v>
      </c>
      <c r="K2040" s="2" t="s">
        <v>332</v>
      </c>
      <c r="L2040" s="2" t="s">
        <v>333</v>
      </c>
      <c r="M2040" s="2" t="s">
        <v>334</v>
      </c>
      <c r="N2040" s="2" t="s">
        <v>335</v>
      </c>
      <c r="O2040" s="2" t="s">
        <v>336</v>
      </c>
      <c r="P2040" s="2" t="s">
        <v>27</v>
      </c>
      <c r="Q2040" s="2" t="s">
        <v>93</v>
      </c>
      <c r="R2040" s="2" t="s">
        <v>244</v>
      </c>
      <c r="S2040" s="2" t="s">
        <v>30</v>
      </c>
      <c r="T2040">
        <v>2348</v>
      </c>
      <c r="U2040">
        <f>VLOOKUP(Auto_Sales_data___Copy[[#This Row],[CUSTOMER_NAME]],$AF$2:$AH$90,2,FALSE)</f>
        <v>26</v>
      </c>
      <c r="V2040">
        <f>VLOOKUP(Auto_Sales_data___Copy[[#This Row],[CUSTOMER_NAME]],$AF$2:$AH$90,3,FALSE)</f>
        <v>85555.989999999976</v>
      </c>
      <c r="W2040" s="2">
        <f>6-MATCH(Auto_Sales_data___Copy[[#This Row],[DAYS_SINCE_LAST_ORDER]],Table2[R-Cutoff],1)</f>
        <v>2</v>
      </c>
      <c r="X2040" s="2">
        <f>MATCH(Auto_Sales_data___Copy[[#This Row],[Total_Orders_Per_Customer]],Table2[F-Cutoff],1)</f>
        <v>3</v>
      </c>
      <c r="Y2040" s="2">
        <f>MATCH(Auto_Sales_data___Copy[[#This Row],[Total_Sales_Per_Customer]],Table2[M-Cutoff],1)</f>
        <v>3</v>
      </c>
      <c r="Z2040" s="2" t="str">
        <f>Auto_Sales_data___Copy[[#This Row],[R-Score(1-5)]]&amp;Auto_Sales_data___Copy[[#This Row],[F-Score(1-5)]]&amp;Auto_Sales_data___Copy[[#This Row],[M-Score(1-5)]]</f>
        <v>233</v>
      </c>
      <c r="AA2040" s="2" t="str" cm="1">
        <f t="array" ref="AA20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0" s="2" t="str">
        <f>VLOOKUP(Auto_Sales_data___Copy[[#This Row],[Segment Name]],Table3[],2,FALSE)</f>
        <v>Brand Awareness &amp; Value Proposition</v>
      </c>
    </row>
    <row r="2041" spans="1:28" x14ac:dyDescent="0.25">
      <c r="A2041">
        <v>10308</v>
      </c>
      <c r="B2041">
        <v>46</v>
      </c>
      <c r="C2041">
        <v>66.040000000000006</v>
      </c>
      <c r="D2041">
        <v>10</v>
      </c>
      <c r="E2041">
        <v>3037.84</v>
      </c>
      <c r="F2041" s="1">
        <v>43753</v>
      </c>
      <c r="G2041" s="2" t="s">
        <v>19</v>
      </c>
      <c r="H2041" s="2" t="s">
        <v>589</v>
      </c>
      <c r="I2041">
        <v>68</v>
      </c>
      <c r="J2041" s="2" t="s">
        <v>700</v>
      </c>
      <c r="K2041" s="2" t="s">
        <v>332</v>
      </c>
      <c r="L2041" s="2" t="s">
        <v>333</v>
      </c>
      <c r="M2041" s="2" t="s">
        <v>334</v>
      </c>
      <c r="N2041" s="2" t="s">
        <v>335</v>
      </c>
      <c r="O2041" s="2" t="s">
        <v>336</v>
      </c>
      <c r="P2041" s="2" t="s">
        <v>27</v>
      </c>
      <c r="Q2041" s="2" t="s">
        <v>93</v>
      </c>
      <c r="R2041" s="2" t="s">
        <v>244</v>
      </c>
      <c r="S2041" s="2" t="s">
        <v>46</v>
      </c>
      <c r="T2041">
        <v>2475</v>
      </c>
      <c r="U2041">
        <f>VLOOKUP(Auto_Sales_data___Copy[[#This Row],[CUSTOMER_NAME]],$AF$2:$AH$90,2,FALSE)</f>
        <v>26</v>
      </c>
      <c r="V2041">
        <f>VLOOKUP(Auto_Sales_data___Copy[[#This Row],[CUSTOMER_NAME]],$AF$2:$AH$90,3,FALSE)</f>
        <v>85555.989999999976</v>
      </c>
      <c r="W2041" s="2">
        <f>6-MATCH(Auto_Sales_data___Copy[[#This Row],[DAYS_SINCE_LAST_ORDER]],Table2[R-Cutoff],1)</f>
        <v>2</v>
      </c>
      <c r="X2041" s="2">
        <f>MATCH(Auto_Sales_data___Copy[[#This Row],[Total_Orders_Per_Customer]],Table2[F-Cutoff],1)</f>
        <v>3</v>
      </c>
      <c r="Y2041" s="2">
        <f>MATCH(Auto_Sales_data___Copy[[#This Row],[Total_Sales_Per_Customer]],Table2[M-Cutoff],1)</f>
        <v>3</v>
      </c>
      <c r="Z2041" s="2" t="str">
        <f>Auto_Sales_data___Copy[[#This Row],[R-Score(1-5)]]&amp;Auto_Sales_data___Copy[[#This Row],[F-Score(1-5)]]&amp;Auto_Sales_data___Copy[[#This Row],[M-Score(1-5)]]</f>
        <v>233</v>
      </c>
      <c r="AA2041" s="2" t="str" cm="1">
        <f t="array" ref="AA20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1" s="2" t="str">
        <f>VLOOKUP(Auto_Sales_data___Copy[[#This Row],[Segment Name]],Table3[],2,FALSE)</f>
        <v>Brand Awareness &amp; Value Proposition</v>
      </c>
    </row>
    <row r="2042" spans="1:28" x14ac:dyDescent="0.25">
      <c r="A2042">
        <v>10308</v>
      </c>
      <c r="B2042">
        <v>47</v>
      </c>
      <c r="C2042">
        <v>43.64</v>
      </c>
      <c r="D2042">
        <v>11</v>
      </c>
      <c r="E2042">
        <v>2051.08</v>
      </c>
      <c r="F2042" s="1">
        <v>43753</v>
      </c>
      <c r="G2042" s="2" t="s">
        <v>19</v>
      </c>
      <c r="H2042" s="2" t="s">
        <v>589</v>
      </c>
      <c r="I2042">
        <v>43</v>
      </c>
      <c r="J2042" s="2" t="s">
        <v>702</v>
      </c>
      <c r="K2042" s="2" t="s">
        <v>332</v>
      </c>
      <c r="L2042" s="2" t="s">
        <v>333</v>
      </c>
      <c r="M2042" s="2" t="s">
        <v>334</v>
      </c>
      <c r="N2042" s="2" t="s">
        <v>335</v>
      </c>
      <c r="O2042" s="2" t="s">
        <v>336</v>
      </c>
      <c r="P2042" s="2" t="s">
        <v>27</v>
      </c>
      <c r="Q2042" s="2" t="s">
        <v>93</v>
      </c>
      <c r="R2042" s="2" t="s">
        <v>244</v>
      </c>
      <c r="S2042" s="2" t="s">
        <v>30</v>
      </c>
      <c r="T2042">
        <v>2525</v>
      </c>
      <c r="U2042">
        <f>VLOOKUP(Auto_Sales_data___Copy[[#This Row],[CUSTOMER_NAME]],$AF$2:$AH$90,2,FALSE)</f>
        <v>26</v>
      </c>
      <c r="V2042">
        <f>VLOOKUP(Auto_Sales_data___Copy[[#This Row],[CUSTOMER_NAME]],$AF$2:$AH$90,3,FALSE)</f>
        <v>85555.989999999976</v>
      </c>
      <c r="W2042" s="2">
        <f>6-MATCH(Auto_Sales_data___Copy[[#This Row],[DAYS_SINCE_LAST_ORDER]],Table2[R-Cutoff],1)</f>
        <v>2</v>
      </c>
      <c r="X2042" s="2">
        <f>MATCH(Auto_Sales_data___Copy[[#This Row],[Total_Orders_Per_Customer]],Table2[F-Cutoff],1)</f>
        <v>3</v>
      </c>
      <c r="Y2042" s="2">
        <f>MATCH(Auto_Sales_data___Copy[[#This Row],[Total_Sales_Per_Customer]],Table2[M-Cutoff],1)</f>
        <v>3</v>
      </c>
      <c r="Z2042" s="2" t="str">
        <f>Auto_Sales_data___Copy[[#This Row],[R-Score(1-5)]]&amp;Auto_Sales_data___Copy[[#This Row],[F-Score(1-5)]]&amp;Auto_Sales_data___Copy[[#This Row],[M-Score(1-5)]]</f>
        <v>233</v>
      </c>
      <c r="AA2042" s="2" t="str" cm="1">
        <f t="array" ref="AA20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2" s="2" t="str">
        <f>VLOOKUP(Auto_Sales_data___Copy[[#This Row],[Segment Name]],Table3[],2,FALSE)</f>
        <v>Brand Awareness &amp; Value Proposition</v>
      </c>
    </row>
    <row r="2043" spans="1:28" x14ac:dyDescent="0.25">
      <c r="A2043">
        <v>10310</v>
      </c>
      <c r="B2043">
        <v>38</v>
      </c>
      <c r="C2043">
        <v>56.94</v>
      </c>
      <c r="D2043">
        <v>9</v>
      </c>
      <c r="E2043">
        <v>2163.7199999999998</v>
      </c>
      <c r="F2043" s="1">
        <v>43754</v>
      </c>
      <c r="G2043" s="2" t="s">
        <v>19</v>
      </c>
      <c r="H2043" s="2" t="s">
        <v>183</v>
      </c>
      <c r="I2043">
        <v>61</v>
      </c>
      <c r="J2043" s="2" t="s">
        <v>683</v>
      </c>
      <c r="K2043" s="2" t="s">
        <v>465</v>
      </c>
      <c r="L2043" s="2" t="s">
        <v>466</v>
      </c>
      <c r="M2043" s="2" t="s">
        <v>467</v>
      </c>
      <c r="N2043" s="2" t="s">
        <v>468</v>
      </c>
      <c r="O2043" s="2" t="s">
        <v>469</v>
      </c>
      <c r="P2043" s="2" t="s">
        <v>470</v>
      </c>
      <c r="Q2043" s="2" t="s">
        <v>471</v>
      </c>
      <c r="R2043" s="2" t="s">
        <v>472</v>
      </c>
      <c r="S2043" s="2" t="s">
        <v>30</v>
      </c>
      <c r="T2043">
        <v>2052</v>
      </c>
      <c r="U2043">
        <f>VLOOKUP(Auto_Sales_data___Copy[[#This Row],[CUSTOMER_NAME]],$AF$2:$AH$90,2,FALSE)</f>
        <v>26</v>
      </c>
      <c r="V2043">
        <f>VLOOKUP(Auto_Sales_data___Copy[[#This Row],[CUSTOMER_NAME]],$AF$2:$AH$90,3,FALSE)</f>
        <v>100306.58000000002</v>
      </c>
      <c r="W2043" s="2">
        <f>6-MATCH(Auto_Sales_data___Copy[[#This Row],[DAYS_SINCE_LAST_ORDER]],Table2[R-Cutoff],1)</f>
        <v>2</v>
      </c>
      <c r="X2043" s="2">
        <f>MATCH(Auto_Sales_data___Copy[[#This Row],[Total_Orders_Per_Customer]],Table2[F-Cutoff],1)</f>
        <v>3</v>
      </c>
      <c r="Y2043" s="2">
        <f>MATCH(Auto_Sales_data___Copy[[#This Row],[Total_Sales_Per_Customer]],Table2[M-Cutoff],1)</f>
        <v>3</v>
      </c>
      <c r="Z2043" s="2" t="str">
        <f>Auto_Sales_data___Copy[[#This Row],[R-Score(1-5)]]&amp;Auto_Sales_data___Copy[[#This Row],[F-Score(1-5)]]&amp;Auto_Sales_data___Copy[[#This Row],[M-Score(1-5)]]</f>
        <v>233</v>
      </c>
      <c r="AA2043" s="2" t="str" cm="1">
        <f t="array" ref="AA20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3" s="2" t="str">
        <f>VLOOKUP(Auto_Sales_data___Copy[[#This Row],[Segment Name]],Table3[],2,FALSE)</f>
        <v>Brand Awareness &amp; Value Proposition</v>
      </c>
    </row>
    <row r="2044" spans="1:28" x14ac:dyDescent="0.25">
      <c r="A2044">
        <v>10310</v>
      </c>
      <c r="B2044">
        <v>45</v>
      </c>
      <c r="C2044">
        <v>122.17</v>
      </c>
      <c r="D2044">
        <v>5</v>
      </c>
      <c r="E2044">
        <v>5497.65</v>
      </c>
      <c r="F2044" s="1">
        <v>43754</v>
      </c>
      <c r="G2044" s="2" t="s">
        <v>19</v>
      </c>
      <c r="H2044" s="2" t="s">
        <v>183</v>
      </c>
      <c r="I2044">
        <v>140</v>
      </c>
      <c r="J2044" s="2" t="s">
        <v>687</v>
      </c>
      <c r="K2044" s="2" t="s">
        <v>465</v>
      </c>
      <c r="L2044" s="2" t="s">
        <v>466</v>
      </c>
      <c r="M2044" s="2" t="s">
        <v>467</v>
      </c>
      <c r="N2044" s="2" t="s">
        <v>468</v>
      </c>
      <c r="O2044" s="2" t="s">
        <v>469</v>
      </c>
      <c r="P2044" s="2" t="s">
        <v>470</v>
      </c>
      <c r="Q2044" s="2" t="s">
        <v>471</v>
      </c>
      <c r="R2044" s="2" t="s">
        <v>472</v>
      </c>
      <c r="S2044" s="2" t="s">
        <v>46</v>
      </c>
      <c r="T2044">
        <v>2151</v>
      </c>
      <c r="U2044">
        <f>VLOOKUP(Auto_Sales_data___Copy[[#This Row],[CUSTOMER_NAME]],$AF$2:$AH$90,2,FALSE)</f>
        <v>26</v>
      </c>
      <c r="V2044">
        <f>VLOOKUP(Auto_Sales_data___Copy[[#This Row],[CUSTOMER_NAME]],$AF$2:$AH$90,3,FALSE)</f>
        <v>100306.58000000002</v>
      </c>
      <c r="W2044" s="2">
        <f>6-MATCH(Auto_Sales_data___Copy[[#This Row],[DAYS_SINCE_LAST_ORDER]],Table2[R-Cutoff],1)</f>
        <v>2</v>
      </c>
      <c r="X2044" s="2">
        <f>MATCH(Auto_Sales_data___Copy[[#This Row],[Total_Orders_Per_Customer]],Table2[F-Cutoff],1)</f>
        <v>3</v>
      </c>
      <c r="Y2044" s="2">
        <f>MATCH(Auto_Sales_data___Copy[[#This Row],[Total_Sales_Per_Customer]],Table2[M-Cutoff],1)</f>
        <v>3</v>
      </c>
      <c r="Z2044" s="2" t="str">
        <f>Auto_Sales_data___Copy[[#This Row],[R-Score(1-5)]]&amp;Auto_Sales_data___Copy[[#This Row],[F-Score(1-5)]]&amp;Auto_Sales_data___Copy[[#This Row],[M-Score(1-5)]]</f>
        <v>233</v>
      </c>
      <c r="AA2044" s="2" t="str" cm="1">
        <f t="array" ref="AA20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4" s="2" t="str">
        <f>VLOOKUP(Auto_Sales_data___Copy[[#This Row],[Segment Name]],Table3[],2,FALSE)</f>
        <v>Brand Awareness &amp; Value Proposition</v>
      </c>
    </row>
    <row r="2045" spans="1:28" x14ac:dyDescent="0.25">
      <c r="A2045">
        <v>10310</v>
      </c>
      <c r="B2045">
        <v>49</v>
      </c>
      <c r="C2045">
        <v>97.01</v>
      </c>
      <c r="D2045">
        <v>14</v>
      </c>
      <c r="E2045">
        <v>4753.49</v>
      </c>
      <c r="F2045" s="1">
        <v>43754</v>
      </c>
      <c r="G2045" s="2" t="s">
        <v>19</v>
      </c>
      <c r="H2045" s="2" t="s">
        <v>183</v>
      </c>
      <c r="I2045">
        <v>80</v>
      </c>
      <c r="J2045" s="2" t="s">
        <v>693</v>
      </c>
      <c r="K2045" s="2" t="s">
        <v>465</v>
      </c>
      <c r="L2045" s="2" t="s">
        <v>466</v>
      </c>
      <c r="M2045" s="2" t="s">
        <v>467</v>
      </c>
      <c r="N2045" s="2" t="s">
        <v>468</v>
      </c>
      <c r="O2045" s="2" t="s">
        <v>469</v>
      </c>
      <c r="P2045" s="2" t="s">
        <v>470</v>
      </c>
      <c r="Q2045" s="2" t="s">
        <v>471</v>
      </c>
      <c r="R2045" s="2" t="s">
        <v>472</v>
      </c>
      <c r="S2045" s="2" t="s">
        <v>46</v>
      </c>
      <c r="T2045">
        <v>2298</v>
      </c>
      <c r="U2045">
        <f>VLOOKUP(Auto_Sales_data___Copy[[#This Row],[CUSTOMER_NAME]],$AF$2:$AH$90,2,FALSE)</f>
        <v>26</v>
      </c>
      <c r="V2045">
        <f>VLOOKUP(Auto_Sales_data___Copy[[#This Row],[CUSTOMER_NAME]],$AF$2:$AH$90,3,FALSE)</f>
        <v>100306.58000000002</v>
      </c>
      <c r="W2045" s="2">
        <f>6-MATCH(Auto_Sales_data___Copy[[#This Row],[DAYS_SINCE_LAST_ORDER]],Table2[R-Cutoff],1)</f>
        <v>2</v>
      </c>
      <c r="X2045" s="2">
        <f>MATCH(Auto_Sales_data___Copy[[#This Row],[Total_Orders_Per_Customer]],Table2[F-Cutoff],1)</f>
        <v>3</v>
      </c>
      <c r="Y2045" s="2">
        <f>MATCH(Auto_Sales_data___Copy[[#This Row],[Total_Sales_Per_Customer]],Table2[M-Cutoff],1)</f>
        <v>3</v>
      </c>
      <c r="Z2045" s="2" t="str">
        <f>Auto_Sales_data___Copy[[#This Row],[R-Score(1-5)]]&amp;Auto_Sales_data___Copy[[#This Row],[F-Score(1-5)]]&amp;Auto_Sales_data___Copy[[#This Row],[M-Score(1-5)]]</f>
        <v>233</v>
      </c>
      <c r="AA2045" s="2" t="str" cm="1">
        <f t="array" ref="AA20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5" s="2" t="str">
        <f>VLOOKUP(Auto_Sales_data___Copy[[#This Row],[Segment Name]],Table3[],2,FALSE)</f>
        <v>Brand Awareness &amp; Value Proposition</v>
      </c>
    </row>
    <row r="2046" spans="1:28" x14ac:dyDescent="0.25">
      <c r="A2046">
        <v>10310</v>
      </c>
      <c r="B2046">
        <v>36</v>
      </c>
      <c r="C2046">
        <v>43.05</v>
      </c>
      <c r="D2046">
        <v>17</v>
      </c>
      <c r="E2046">
        <v>1549.8</v>
      </c>
      <c r="F2046" s="1">
        <v>43754</v>
      </c>
      <c r="G2046" s="2" t="s">
        <v>19</v>
      </c>
      <c r="H2046" s="2" t="s">
        <v>20</v>
      </c>
      <c r="I2046">
        <v>40</v>
      </c>
      <c r="J2046" s="2" t="s">
        <v>696</v>
      </c>
      <c r="K2046" s="2" t="s">
        <v>465</v>
      </c>
      <c r="L2046" s="2" t="s">
        <v>466</v>
      </c>
      <c r="M2046" s="2" t="s">
        <v>467</v>
      </c>
      <c r="N2046" s="2" t="s">
        <v>468</v>
      </c>
      <c r="O2046" s="2" t="s">
        <v>469</v>
      </c>
      <c r="P2046" s="2" t="s">
        <v>470</v>
      </c>
      <c r="Q2046" s="2" t="s">
        <v>471</v>
      </c>
      <c r="R2046" s="2" t="s">
        <v>472</v>
      </c>
      <c r="S2046" s="2" t="s">
        <v>30</v>
      </c>
      <c r="T2046">
        <v>2372</v>
      </c>
      <c r="U2046">
        <f>VLOOKUP(Auto_Sales_data___Copy[[#This Row],[CUSTOMER_NAME]],$AF$2:$AH$90,2,FALSE)</f>
        <v>26</v>
      </c>
      <c r="V2046">
        <f>VLOOKUP(Auto_Sales_data___Copy[[#This Row],[CUSTOMER_NAME]],$AF$2:$AH$90,3,FALSE)</f>
        <v>100306.58000000002</v>
      </c>
      <c r="W2046" s="2">
        <f>6-MATCH(Auto_Sales_data___Copy[[#This Row],[DAYS_SINCE_LAST_ORDER]],Table2[R-Cutoff],1)</f>
        <v>2</v>
      </c>
      <c r="X2046" s="2">
        <f>MATCH(Auto_Sales_data___Copy[[#This Row],[Total_Orders_Per_Customer]],Table2[F-Cutoff],1)</f>
        <v>3</v>
      </c>
      <c r="Y2046" s="2">
        <f>MATCH(Auto_Sales_data___Copy[[#This Row],[Total_Sales_Per_Customer]],Table2[M-Cutoff],1)</f>
        <v>3</v>
      </c>
      <c r="Z2046" s="2" t="str">
        <f>Auto_Sales_data___Copy[[#This Row],[R-Score(1-5)]]&amp;Auto_Sales_data___Copy[[#This Row],[F-Score(1-5)]]&amp;Auto_Sales_data___Copy[[#This Row],[M-Score(1-5)]]</f>
        <v>233</v>
      </c>
      <c r="AA2046" s="2" t="str" cm="1">
        <f t="array" ref="AA20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6" s="2" t="str">
        <f>VLOOKUP(Auto_Sales_data___Copy[[#This Row],[Segment Name]],Table3[],2,FALSE)</f>
        <v>Brand Awareness &amp; Value Proposition</v>
      </c>
    </row>
    <row r="2047" spans="1:28" x14ac:dyDescent="0.25">
      <c r="A2047">
        <v>10321</v>
      </c>
      <c r="B2047">
        <v>21</v>
      </c>
      <c r="C2047">
        <v>89.95</v>
      </c>
      <c r="D2047">
        <v>4</v>
      </c>
      <c r="E2047">
        <v>1888.95</v>
      </c>
      <c r="F2047" s="1">
        <v>43773</v>
      </c>
      <c r="G2047" s="2" t="s">
        <v>19</v>
      </c>
      <c r="H2047" s="2" t="s">
        <v>183</v>
      </c>
      <c r="I2047">
        <v>107</v>
      </c>
      <c r="J2047" s="2" t="s">
        <v>685</v>
      </c>
      <c r="K2047" s="2" t="s">
        <v>159</v>
      </c>
      <c r="L2047" s="2" t="s">
        <v>160</v>
      </c>
      <c r="M2047" s="2" t="s">
        <v>161</v>
      </c>
      <c r="N2047" s="2" t="s">
        <v>162</v>
      </c>
      <c r="O2047" s="2" t="s">
        <v>163</v>
      </c>
      <c r="P2047" s="2" t="s">
        <v>27</v>
      </c>
      <c r="Q2047" s="2" t="s">
        <v>164</v>
      </c>
      <c r="R2047" s="2" t="s">
        <v>165</v>
      </c>
      <c r="S2047" s="2" t="s">
        <v>30</v>
      </c>
      <c r="T2047">
        <v>2084</v>
      </c>
      <c r="U2047">
        <f>VLOOKUP(Auto_Sales_data___Copy[[#This Row],[CUSTOMER_NAME]],$AF$2:$AH$90,2,FALSE)</f>
        <v>26</v>
      </c>
      <c r="V2047">
        <f>VLOOKUP(Auto_Sales_data___Copy[[#This Row],[CUSTOMER_NAME]],$AF$2:$AH$90,3,FALSE)</f>
        <v>98923.73000000001</v>
      </c>
      <c r="W2047" s="2">
        <f>6-MATCH(Auto_Sales_data___Copy[[#This Row],[DAYS_SINCE_LAST_ORDER]],Table2[R-Cutoff],1)</f>
        <v>2</v>
      </c>
      <c r="X2047" s="2">
        <f>MATCH(Auto_Sales_data___Copy[[#This Row],[Total_Orders_Per_Customer]],Table2[F-Cutoff],1)</f>
        <v>3</v>
      </c>
      <c r="Y2047" s="2">
        <f>MATCH(Auto_Sales_data___Copy[[#This Row],[Total_Sales_Per_Customer]],Table2[M-Cutoff],1)</f>
        <v>3</v>
      </c>
      <c r="Z2047" s="2" t="str">
        <f>Auto_Sales_data___Copy[[#This Row],[R-Score(1-5)]]&amp;Auto_Sales_data___Copy[[#This Row],[F-Score(1-5)]]&amp;Auto_Sales_data___Copy[[#This Row],[M-Score(1-5)]]</f>
        <v>233</v>
      </c>
      <c r="AA2047" s="2" t="str" cm="1">
        <f t="array" ref="AA20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7" s="2" t="str">
        <f>VLOOKUP(Auto_Sales_data___Copy[[#This Row],[Segment Name]],Table3[],2,FALSE)</f>
        <v>Brand Awareness &amp; Value Proposition</v>
      </c>
    </row>
    <row r="2048" spans="1:28" x14ac:dyDescent="0.25">
      <c r="A2048">
        <v>10321</v>
      </c>
      <c r="B2048">
        <v>26</v>
      </c>
      <c r="C2048">
        <v>155.88</v>
      </c>
      <c r="D2048">
        <v>13</v>
      </c>
      <c r="E2048">
        <v>4052.88</v>
      </c>
      <c r="F2048" s="1">
        <v>43773</v>
      </c>
      <c r="G2048" s="2" t="s">
        <v>19</v>
      </c>
      <c r="H2048" s="2" t="s">
        <v>183</v>
      </c>
      <c r="I2048">
        <v>140</v>
      </c>
      <c r="J2048" s="2" t="s">
        <v>687</v>
      </c>
      <c r="K2048" s="2" t="s">
        <v>159</v>
      </c>
      <c r="L2048" s="2" t="s">
        <v>160</v>
      </c>
      <c r="M2048" s="2" t="s">
        <v>161</v>
      </c>
      <c r="N2048" s="2" t="s">
        <v>162</v>
      </c>
      <c r="O2048" s="2" t="s">
        <v>163</v>
      </c>
      <c r="P2048" s="2" t="s">
        <v>27</v>
      </c>
      <c r="Q2048" s="2" t="s">
        <v>164</v>
      </c>
      <c r="R2048" s="2" t="s">
        <v>165</v>
      </c>
      <c r="S2048" s="2" t="s">
        <v>46</v>
      </c>
      <c r="T2048">
        <v>2133</v>
      </c>
      <c r="U2048">
        <f>VLOOKUP(Auto_Sales_data___Copy[[#This Row],[CUSTOMER_NAME]],$AF$2:$AH$90,2,FALSE)</f>
        <v>26</v>
      </c>
      <c r="V2048">
        <f>VLOOKUP(Auto_Sales_data___Copy[[#This Row],[CUSTOMER_NAME]],$AF$2:$AH$90,3,FALSE)</f>
        <v>98923.73000000001</v>
      </c>
      <c r="W2048" s="2">
        <f>6-MATCH(Auto_Sales_data___Copy[[#This Row],[DAYS_SINCE_LAST_ORDER]],Table2[R-Cutoff],1)</f>
        <v>2</v>
      </c>
      <c r="X2048" s="2">
        <f>MATCH(Auto_Sales_data___Copy[[#This Row],[Total_Orders_Per_Customer]],Table2[F-Cutoff],1)</f>
        <v>3</v>
      </c>
      <c r="Y2048" s="2">
        <f>MATCH(Auto_Sales_data___Copy[[#This Row],[Total_Sales_Per_Customer]],Table2[M-Cutoff],1)</f>
        <v>3</v>
      </c>
      <c r="Z2048" s="2" t="str">
        <f>Auto_Sales_data___Copy[[#This Row],[R-Score(1-5)]]&amp;Auto_Sales_data___Copy[[#This Row],[F-Score(1-5)]]&amp;Auto_Sales_data___Copy[[#This Row],[M-Score(1-5)]]</f>
        <v>233</v>
      </c>
      <c r="AA2048" s="2" t="str" cm="1">
        <f t="array" ref="AA20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8" s="2" t="str">
        <f>VLOOKUP(Auto_Sales_data___Copy[[#This Row],[Segment Name]],Table3[],2,FALSE)</f>
        <v>Brand Awareness &amp; Value Proposition</v>
      </c>
    </row>
    <row r="2049" spans="1:28" x14ac:dyDescent="0.25">
      <c r="A2049">
        <v>10324</v>
      </c>
      <c r="B2049">
        <v>33</v>
      </c>
      <c r="C2049">
        <v>189.93</v>
      </c>
      <c r="D2049">
        <v>3</v>
      </c>
      <c r="E2049">
        <v>6267.69</v>
      </c>
      <c r="F2049" s="1">
        <v>43774</v>
      </c>
      <c r="G2049" s="2" t="s">
        <v>19</v>
      </c>
      <c r="H2049" s="2" t="s">
        <v>589</v>
      </c>
      <c r="I2049">
        <v>97</v>
      </c>
      <c r="J2049" s="2" t="s">
        <v>691</v>
      </c>
      <c r="K2049" s="2" t="s">
        <v>90</v>
      </c>
      <c r="L2049" s="2" t="s">
        <v>91</v>
      </c>
      <c r="M2049" s="2" t="s">
        <v>92</v>
      </c>
      <c r="N2049" s="2" t="s">
        <v>25</v>
      </c>
      <c r="O2049" s="2" t="s">
        <v>26</v>
      </c>
      <c r="P2049" s="2" t="s">
        <v>27</v>
      </c>
      <c r="Q2049" s="2" t="s">
        <v>93</v>
      </c>
      <c r="R2049" s="2" t="s">
        <v>94</v>
      </c>
      <c r="S2049" s="2" t="s">
        <v>46</v>
      </c>
      <c r="T2049">
        <v>2233</v>
      </c>
      <c r="U2049">
        <f>VLOOKUP(Auto_Sales_data___Copy[[#This Row],[CUSTOMER_NAME]],$AF$2:$AH$90,2,FALSE)</f>
        <v>25</v>
      </c>
      <c r="V2049">
        <f>VLOOKUP(Auto_Sales_data___Copy[[#This Row],[CUSTOMER_NAME]],$AF$2:$AH$90,3,FALSE)</f>
        <v>88041.260000000009</v>
      </c>
      <c r="W2049" s="2">
        <f>6-MATCH(Auto_Sales_data___Copy[[#This Row],[DAYS_SINCE_LAST_ORDER]],Table2[R-Cutoff],1)</f>
        <v>2</v>
      </c>
      <c r="X2049" s="2">
        <f>MATCH(Auto_Sales_data___Copy[[#This Row],[Total_Orders_Per_Customer]],Table2[F-Cutoff],1)</f>
        <v>3</v>
      </c>
      <c r="Y2049" s="2">
        <f>MATCH(Auto_Sales_data___Copy[[#This Row],[Total_Sales_Per_Customer]],Table2[M-Cutoff],1)</f>
        <v>3</v>
      </c>
      <c r="Z2049" s="2" t="str">
        <f>Auto_Sales_data___Copy[[#This Row],[R-Score(1-5)]]&amp;Auto_Sales_data___Copy[[#This Row],[F-Score(1-5)]]&amp;Auto_Sales_data___Copy[[#This Row],[M-Score(1-5)]]</f>
        <v>233</v>
      </c>
      <c r="AA2049" s="2" t="str" cm="1">
        <f t="array" ref="AA20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9" s="2" t="str">
        <f>VLOOKUP(Auto_Sales_data___Copy[[#This Row],[Segment Name]],Table3[],2,FALSE)</f>
        <v>Brand Awareness &amp; Value Proposition</v>
      </c>
    </row>
    <row r="2050" spans="1:28" x14ac:dyDescent="0.25">
      <c r="A2050">
        <v>10324</v>
      </c>
      <c r="B2050">
        <v>20</v>
      </c>
      <c r="C2050">
        <v>98.18</v>
      </c>
      <c r="D2050">
        <v>11</v>
      </c>
      <c r="E2050">
        <v>1963.6</v>
      </c>
      <c r="F2050" s="1">
        <v>43774</v>
      </c>
      <c r="G2050" s="2" t="s">
        <v>19</v>
      </c>
      <c r="H2050" s="2" t="s">
        <v>537</v>
      </c>
      <c r="I2050">
        <v>96</v>
      </c>
      <c r="J2050" s="2" t="s">
        <v>694</v>
      </c>
      <c r="K2050" s="2" t="s">
        <v>90</v>
      </c>
      <c r="L2050" s="2" t="s">
        <v>91</v>
      </c>
      <c r="M2050" s="2" t="s">
        <v>92</v>
      </c>
      <c r="N2050" s="2" t="s">
        <v>25</v>
      </c>
      <c r="O2050" s="2" t="s">
        <v>26</v>
      </c>
      <c r="P2050" s="2" t="s">
        <v>27</v>
      </c>
      <c r="Q2050" s="2" t="s">
        <v>93</v>
      </c>
      <c r="R2050" s="2" t="s">
        <v>94</v>
      </c>
      <c r="S2050" s="2" t="s">
        <v>30</v>
      </c>
      <c r="T2050">
        <v>2305</v>
      </c>
      <c r="U2050">
        <f>VLOOKUP(Auto_Sales_data___Copy[[#This Row],[CUSTOMER_NAME]],$AF$2:$AH$90,2,FALSE)</f>
        <v>25</v>
      </c>
      <c r="V2050">
        <f>VLOOKUP(Auto_Sales_data___Copy[[#This Row],[CUSTOMER_NAME]],$AF$2:$AH$90,3,FALSE)</f>
        <v>88041.260000000009</v>
      </c>
      <c r="W2050" s="2">
        <f>6-MATCH(Auto_Sales_data___Copy[[#This Row],[DAYS_SINCE_LAST_ORDER]],Table2[R-Cutoff],1)</f>
        <v>2</v>
      </c>
      <c r="X2050" s="2">
        <f>MATCH(Auto_Sales_data___Copy[[#This Row],[Total_Orders_Per_Customer]],Table2[F-Cutoff],1)</f>
        <v>3</v>
      </c>
      <c r="Y2050" s="2">
        <f>MATCH(Auto_Sales_data___Copy[[#This Row],[Total_Sales_Per_Customer]],Table2[M-Cutoff],1)</f>
        <v>3</v>
      </c>
      <c r="Z2050" s="2" t="str">
        <f>Auto_Sales_data___Copy[[#This Row],[R-Score(1-5)]]&amp;Auto_Sales_data___Copy[[#This Row],[F-Score(1-5)]]&amp;Auto_Sales_data___Copy[[#This Row],[M-Score(1-5)]]</f>
        <v>233</v>
      </c>
      <c r="AA2050" s="2" t="str" cm="1">
        <f t="array" ref="AA20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0" s="2" t="str">
        <f>VLOOKUP(Auto_Sales_data___Copy[[#This Row],[Segment Name]],Table3[],2,FALSE)</f>
        <v>Brand Awareness &amp; Value Proposition</v>
      </c>
    </row>
    <row r="2051" spans="1:28" x14ac:dyDescent="0.25">
      <c r="A2051">
        <v>10324</v>
      </c>
      <c r="B2051">
        <v>48</v>
      </c>
      <c r="C2051">
        <v>171.03</v>
      </c>
      <c r="D2051">
        <v>4</v>
      </c>
      <c r="E2051">
        <v>8209.44</v>
      </c>
      <c r="F2051" s="1">
        <v>43774</v>
      </c>
      <c r="G2051" s="2" t="s">
        <v>19</v>
      </c>
      <c r="H2051" s="2" t="s">
        <v>537</v>
      </c>
      <c r="I2051">
        <v>64</v>
      </c>
      <c r="J2051" s="2" t="s">
        <v>699</v>
      </c>
      <c r="K2051" s="2" t="s">
        <v>90</v>
      </c>
      <c r="L2051" s="2" t="s">
        <v>91</v>
      </c>
      <c r="M2051" s="2" t="s">
        <v>92</v>
      </c>
      <c r="N2051" s="2" t="s">
        <v>25</v>
      </c>
      <c r="O2051" s="2" t="s">
        <v>26</v>
      </c>
      <c r="P2051" s="2" t="s">
        <v>27</v>
      </c>
      <c r="Q2051" s="2" t="s">
        <v>93</v>
      </c>
      <c r="R2051" s="2" t="s">
        <v>94</v>
      </c>
      <c r="S2051" s="2" t="s">
        <v>151</v>
      </c>
      <c r="T2051">
        <v>2434</v>
      </c>
      <c r="U2051">
        <f>VLOOKUP(Auto_Sales_data___Copy[[#This Row],[CUSTOMER_NAME]],$AF$2:$AH$90,2,FALSE)</f>
        <v>25</v>
      </c>
      <c r="V2051">
        <f>VLOOKUP(Auto_Sales_data___Copy[[#This Row],[CUSTOMER_NAME]],$AF$2:$AH$90,3,FALSE)</f>
        <v>88041.260000000009</v>
      </c>
      <c r="W2051" s="2">
        <f>6-MATCH(Auto_Sales_data___Copy[[#This Row],[DAYS_SINCE_LAST_ORDER]],Table2[R-Cutoff],1)</f>
        <v>2</v>
      </c>
      <c r="X2051" s="2">
        <f>MATCH(Auto_Sales_data___Copy[[#This Row],[Total_Orders_Per_Customer]],Table2[F-Cutoff],1)</f>
        <v>3</v>
      </c>
      <c r="Y2051" s="2">
        <f>MATCH(Auto_Sales_data___Copy[[#This Row],[Total_Sales_Per_Customer]],Table2[M-Cutoff],1)</f>
        <v>3</v>
      </c>
      <c r="Z2051" s="2" t="str">
        <f>Auto_Sales_data___Copy[[#This Row],[R-Score(1-5)]]&amp;Auto_Sales_data___Copy[[#This Row],[F-Score(1-5)]]&amp;Auto_Sales_data___Copy[[#This Row],[M-Score(1-5)]]</f>
        <v>233</v>
      </c>
      <c r="AA2051" s="2" t="str" cm="1">
        <f t="array" ref="AA20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1" s="2" t="str">
        <f>VLOOKUP(Auto_Sales_data___Copy[[#This Row],[Segment Name]],Table3[],2,FALSE)</f>
        <v>Brand Awareness &amp; Value Proposition</v>
      </c>
    </row>
    <row r="2052" spans="1:28" x14ac:dyDescent="0.25">
      <c r="A2052">
        <v>10351</v>
      </c>
      <c r="B2052">
        <v>38</v>
      </c>
      <c r="C2052">
        <v>68.38</v>
      </c>
      <c r="D2052">
        <v>4</v>
      </c>
      <c r="E2052">
        <v>2598.44</v>
      </c>
      <c r="F2052" s="1">
        <v>43802</v>
      </c>
      <c r="G2052" s="2" t="s">
        <v>19</v>
      </c>
      <c r="H2052" s="2" t="s">
        <v>589</v>
      </c>
      <c r="I2052">
        <v>65</v>
      </c>
      <c r="J2052" s="2" t="s">
        <v>684</v>
      </c>
      <c r="K2052" s="2" t="s">
        <v>347</v>
      </c>
      <c r="L2052" s="2" t="s">
        <v>348</v>
      </c>
      <c r="M2052" s="2" t="s">
        <v>349</v>
      </c>
      <c r="N2052" s="2" t="s">
        <v>350</v>
      </c>
      <c r="O2052" s="2" t="s">
        <v>351</v>
      </c>
      <c r="P2052" s="2" t="s">
        <v>171</v>
      </c>
      <c r="Q2052" s="2" t="s">
        <v>100</v>
      </c>
      <c r="R2052" s="2" t="s">
        <v>352</v>
      </c>
      <c r="S2052" s="2" t="s">
        <v>30</v>
      </c>
      <c r="T2052">
        <v>2032</v>
      </c>
      <c r="U2052">
        <f>VLOOKUP(Auto_Sales_data___Copy[[#This Row],[CUSTOMER_NAME]],$AF$2:$AH$90,2,FALSE)</f>
        <v>26</v>
      </c>
      <c r="V2052">
        <f>VLOOKUP(Auto_Sales_data___Copy[[#This Row],[CUSTOMER_NAME]],$AF$2:$AH$90,3,FALSE)</f>
        <v>88804.5</v>
      </c>
      <c r="W2052" s="2">
        <f>6-MATCH(Auto_Sales_data___Copy[[#This Row],[DAYS_SINCE_LAST_ORDER]],Table2[R-Cutoff],1)</f>
        <v>2</v>
      </c>
      <c r="X2052" s="2">
        <f>MATCH(Auto_Sales_data___Copy[[#This Row],[Total_Orders_Per_Customer]],Table2[F-Cutoff],1)</f>
        <v>3</v>
      </c>
      <c r="Y2052" s="2">
        <f>MATCH(Auto_Sales_data___Copy[[#This Row],[Total_Sales_Per_Customer]],Table2[M-Cutoff],1)</f>
        <v>3</v>
      </c>
      <c r="Z2052" s="2" t="str">
        <f>Auto_Sales_data___Copy[[#This Row],[R-Score(1-5)]]&amp;Auto_Sales_data___Copy[[#This Row],[F-Score(1-5)]]&amp;Auto_Sales_data___Copy[[#This Row],[M-Score(1-5)]]</f>
        <v>233</v>
      </c>
      <c r="AA2052" s="2" t="str" cm="1">
        <f t="array" ref="AA20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2" s="2" t="str">
        <f>VLOOKUP(Auto_Sales_data___Copy[[#This Row],[Segment Name]],Table3[],2,FALSE)</f>
        <v>Brand Awareness &amp; Value Proposition</v>
      </c>
    </row>
    <row r="2053" spans="1:28" x14ac:dyDescent="0.25">
      <c r="A2053">
        <v>10351</v>
      </c>
      <c r="B2053">
        <v>34</v>
      </c>
      <c r="C2053">
        <v>59.37</v>
      </c>
      <c r="D2053">
        <v>3</v>
      </c>
      <c r="E2053">
        <v>2018.58</v>
      </c>
      <c r="F2053" s="1">
        <v>43802</v>
      </c>
      <c r="G2053" s="2" t="s">
        <v>19</v>
      </c>
      <c r="H2053" s="2" t="s">
        <v>607</v>
      </c>
      <c r="I2053">
        <v>68</v>
      </c>
      <c r="J2053" s="2" t="s">
        <v>688</v>
      </c>
      <c r="K2053" s="2" t="s">
        <v>347</v>
      </c>
      <c r="L2053" s="2" t="s">
        <v>348</v>
      </c>
      <c r="M2053" s="2" t="s">
        <v>349</v>
      </c>
      <c r="N2053" s="2" t="s">
        <v>350</v>
      </c>
      <c r="O2053" s="2" t="s">
        <v>351</v>
      </c>
      <c r="P2053" s="2" t="s">
        <v>171</v>
      </c>
      <c r="Q2053" s="2" t="s">
        <v>100</v>
      </c>
      <c r="R2053" s="2" t="s">
        <v>352</v>
      </c>
      <c r="S2053" s="2" t="s">
        <v>30</v>
      </c>
      <c r="T2053">
        <v>2133</v>
      </c>
      <c r="U2053">
        <f>VLOOKUP(Auto_Sales_data___Copy[[#This Row],[CUSTOMER_NAME]],$AF$2:$AH$90,2,FALSE)</f>
        <v>26</v>
      </c>
      <c r="V2053">
        <f>VLOOKUP(Auto_Sales_data___Copy[[#This Row],[CUSTOMER_NAME]],$AF$2:$AH$90,3,FALSE)</f>
        <v>88804.5</v>
      </c>
      <c r="W2053" s="2">
        <f>6-MATCH(Auto_Sales_data___Copy[[#This Row],[DAYS_SINCE_LAST_ORDER]],Table2[R-Cutoff],1)</f>
        <v>2</v>
      </c>
      <c r="X2053" s="2">
        <f>MATCH(Auto_Sales_data___Copy[[#This Row],[Total_Orders_Per_Customer]],Table2[F-Cutoff],1)</f>
        <v>3</v>
      </c>
      <c r="Y2053" s="2">
        <f>MATCH(Auto_Sales_data___Copy[[#This Row],[Total_Sales_Per_Customer]],Table2[M-Cutoff],1)</f>
        <v>3</v>
      </c>
      <c r="Z2053" s="2" t="str">
        <f>Auto_Sales_data___Copy[[#This Row],[R-Score(1-5)]]&amp;Auto_Sales_data___Copy[[#This Row],[F-Score(1-5)]]&amp;Auto_Sales_data___Copy[[#This Row],[M-Score(1-5)]]</f>
        <v>233</v>
      </c>
      <c r="AA2053" s="2" t="str" cm="1">
        <f t="array" ref="AA20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3" s="2" t="str">
        <f>VLOOKUP(Auto_Sales_data___Copy[[#This Row],[Segment Name]],Table3[],2,FALSE)</f>
        <v>Brand Awareness &amp; Value Proposition</v>
      </c>
    </row>
    <row r="2054" spans="1:28" x14ac:dyDescent="0.25">
      <c r="A2054">
        <v>10369</v>
      </c>
      <c r="B2054">
        <v>40</v>
      </c>
      <c r="C2054">
        <v>86.92</v>
      </c>
      <c r="D2054">
        <v>3</v>
      </c>
      <c r="E2054">
        <v>3476.8</v>
      </c>
      <c r="F2054" s="1">
        <v>43850</v>
      </c>
      <c r="G2054" s="2" t="s">
        <v>19</v>
      </c>
      <c r="H2054" s="2" t="s">
        <v>589</v>
      </c>
      <c r="I2054">
        <v>97</v>
      </c>
      <c r="J2054" s="2" t="s">
        <v>691</v>
      </c>
      <c r="K2054" s="2" t="s">
        <v>295</v>
      </c>
      <c r="L2054" s="2" t="s">
        <v>116</v>
      </c>
      <c r="M2054" s="2" t="s">
        <v>296</v>
      </c>
      <c r="N2054" s="2" t="s">
        <v>297</v>
      </c>
      <c r="O2054" s="2" t="s">
        <v>298</v>
      </c>
      <c r="P2054" s="2" t="s">
        <v>27</v>
      </c>
      <c r="Q2054" s="2" t="s">
        <v>288</v>
      </c>
      <c r="R2054" s="2" t="s">
        <v>299</v>
      </c>
      <c r="S2054" s="2" t="s">
        <v>46</v>
      </c>
      <c r="T2054">
        <v>2160</v>
      </c>
      <c r="U2054">
        <f>VLOOKUP(Auto_Sales_data___Copy[[#This Row],[CUSTOMER_NAME]],$AF$2:$AH$90,2,FALSE)</f>
        <v>24</v>
      </c>
      <c r="V2054">
        <f>VLOOKUP(Auto_Sales_data___Copy[[#This Row],[CUSTOMER_NAME]],$AF$2:$AH$90,3,FALSE)</f>
        <v>81577.98</v>
      </c>
      <c r="W2054" s="2">
        <f>6-MATCH(Auto_Sales_data___Copy[[#This Row],[DAYS_SINCE_LAST_ORDER]],Table2[R-Cutoff],1)</f>
        <v>2</v>
      </c>
      <c r="X2054" s="2">
        <f>MATCH(Auto_Sales_data___Copy[[#This Row],[Total_Orders_Per_Customer]],Table2[F-Cutoff],1)</f>
        <v>3</v>
      </c>
      <c r="Y2054" s="2">
        <f>MATCH(Auto_Sales_data___Copy[[#This Row],[Total_Sales_Per_Customer]],Table2[M-Cutoff],1)</f>
        <v>3</v>
      </c>
      <c r="Z2054" s="2" t="str">
        <f>Auto_Sales_data___Copy[[#This Row],[R-Score(1-5)]]&amp;Auto_Sales_data___Copy[[#This Row],[F-Score(1-5)]]&amp;Auto_Sales_data___Copy[[#This Row],[M-Score(1-5)]]</f>
        <v>233</v>
      </c>
      <c r="AA2054" s="2" t="str" cm="1">
        <f t="array" ref="AA20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4" s="2" t="str">
        <f>VLOOKUP(Auto_Sales_data___Copy[[#This Row],[Segment Name]],Table3[],2,FALSE)</f>
        <v>Brand Awareness &amp; Value Proposition</v>
      </c>
    </row>
    <row r="2055" spans="1:28" x14ac:dyDescent="0.25">
      <c r="A2055">
        <v>10388</v>
      </c>
      <c r="B2055">
        <v>35</v>
      </c>
      <c r="C2055">
        <v>111.97</v>
      </c>
      <c r="D2055">
        <v>8</v>
      </c>
      <c r="E2055">
        <v>3918.95</v>
      </c>
      <c r="F2055" s="1">
        <v>43893</v>
      </c>
      <c r="G2055" s="2" t="s">
        <v>19</v>
      </c>
      <c r="H2055" s="2" t="s">
        <v>589</v>
      </c>
      <c r="I2055">
        <v>68</v>
      </c>
      <c r="J2055" s="2" t="s">
        <v>700</v>
      </c>
      <c r="K2055" s="2" t="s">
        <v>159</v>
      </c>
      <c r="L2055" s="2" t="s">
        <v>160</v>
      </c>
      <c r="M2055" s="2" t="s">
        <v>161</v>
      </c>
      <c r="N2055" s="2" t="s">
        <v>162</v>
      </c>
      <c r="O2055" s="2" t="s">
        <v>163</v>
      </c>
      <c r="P2055" s="2" t="s">
        <v>27</v>
      </c>
      <c r="Q2055" s="2" t="s">
        <v>164</v>
      </c>
      <c r="R2055" s="2" t="s">
        <v>165</v>
      </c>
      <c r="S2055" s="2" t="s">
        <v>46</v>
      </c>
      <c r="T2055">
        <v>2342</v>
      </c>
      <c r="U2055">
        <f>VLOOKUP(Auto_Sales_data___Copy[[#This Row],[CUSTOMER_NAME]],$AF$2:$AH$90,2,FALSE)</f>
        <v>26</v>
      </c>
      <c r="V2055">
        <f>VLOOKUP(Auto_Sales_data___Copy[[#This Row],[CUSTOMER_NAME]],$AF$2:$AH$90,3,FALSE)</f>
        <v>98923.73000000001</v>
      </c>
      <c r="W2055" s="2">
        <f>6-MATCH(Auto_Sales_data___Copy[[#This Row],[DAYS_SINCE_LAST_ORDER]],Table2[R-Cutoff],1)</f>
        <v>2</v>
      </c>
      <c r="X2055" s="2">
        <f>MATCH(Auto_Sales_data___Copy[[#This Row],[Total_Orders_Per_Customer]],Table2[F-Cutoff],1)</f>
        <v>3</v>
      </c>
      <c r="Y2055" s="2">
        <f>MATCH(Auto_Sales_data___Copy[[#This Row],[Total_Sales_Per_Customer]],Table2[M-Cutoff],1)</f>
        <v>3</v>
      </c>
      <c r="Z2055" s="2" t="str">
        <f>Auto_Sales_data___Copy[[#This Row],[R-Score(1-5)]]&amp;Auto_Sales_data___Copy[[#This Row],[F-Score(1-5)]]&amp;Auto_Sales_data___Copy[[#This Row],[M-Score(1-5)]]</f>
        <v>233</v>
      </c>
      <c r="AA2055" s="2" t="str" cm="1">
        <f t="array" ref="AA20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5" s="2" t="str">
        <f>VLOOKUP(Auto_Sales_data___Copy[[#This Row],[Segment Name]],Table3[],2,FALSE)</f>
        <v>Brand Awareness &amp; Value Proposition</v>
      </c>
    </row>
    <row r="2056" spans="1:28" x14ac:dyDescent="0.25">
      <c r="A2056">
        <v>10388</v>
      </c>
      <c r="B2056">
        <v>27</v>
      </c>
      <c r="C2056">
        <v>118.94</v>
      </c>
      <c r="D2056">
        <v>1</v>
      </c>
      <c r="E2056">
        <v>3211.38</v>
      </c>
      <c r="F2056" s="1">
        <v>43893</v>
      </c>
      <c r="G2056" s="2" t="s">
        <v>19</v>
      </c>
      <c r="H2056" s="2" t="s">
        <v>589</v>
      </c>
      <c r="I2056">
        <v>43</v>
      </c>
      <c r="J2056" s="2" t="s">
        <v>702</v>
      </c>
      <c r="K2056" s="2" t="s">
        <v>159</v>
      </c>
      <c r="L2056" s="2" t="s">
        <v>160</v>
      </c>
      <c r="M2056" s="2" t="s">
        <v>161</v>
      </c>
      <c r="N2056" s="2" t="s">
        <v>162</v>
      </c>
      <c r="O2056" s="2" t="s">
        <v>163</v>
      </c>
      <c r="P2056" s="2" t="s">
        <v>27</v>
      </c>
      <c r="Q2056" s="2" t="s">
        <v>164</v>
      </c>
      <c r="R2056" s="2" t="s">
        <v>165</v>
      </c>
      <c r="S2056" s="2" t="s">
        <v>46</v>
      </c>
      <c r="T2056">
        <v>2392</v>
      </c>
      <c r="U2056">
        <f>VLOOKUP(Auto_Sales_data___Copy[[#This Row],[CUSTOMER_NAME]],$AF$2:$AH$90,2,FALSE)</f>
        <v>26</v>
      </c>
      <c r="V2056">
        <f>VLOOKUP(Auto_Sales_data___Copy[[#This Row],[CUSTOMER_NAME]],$AF$2:$AH$90,3,FALSE)</f>
        <v>98923.73000000001</v>
      </c>
      <c r="W2056" s="2">
        <f>6-MATCH(Auto_Sales_data___Copy[[#This Row],[DAYS_SINCE_LAST_ORDER]],Table2[R-Cutoff],1)</f>
        <v>2</v>
      </c>
      <c r="X2056" s="2">
        <f>MATCH(Auto_Sales_data___Copy[[#This Row],[Total_Orders_Per_Customer]],Table2[F-Cutoff],1)</f>
        <v>3</v>
      </c>
      <c r="Y2056" s="2">
        <f>MATCH(Auto_Sales_data___Copy[[#This Row],[Total_Sales_Per_Customer]],Table2[M-Cutoff],1)</f>
        <v>3</v>
      </c>
      <c r="Z2056" s="2" t="str">
        <f>Auto_Sales_data___Copy[[#This Row],[R-Score(1-5)]]&amp;Auto_Sales_data___Copy[[#This Row],[F-Score(1-5)]]&amp;Auto_Sales_data___Copy[[#This Row],[M-Score(1-5)]]</f>
        <v>233</v>
      </c>
      <c r="AA2056" s="2" t="str" cm="1">
        <f t="array" ref="AA20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6" s="2" t="str">
        <f>VLOOKUP(Auto_Sales_data___Copy[[#This Row],[Segment Name]],Table3[],2,FALSE)</f>
        <v>Brand Awareness &amp; Value Proposition</v>
      </c>
    </row>
    <row r="2057" spans="1:28" x14ac:dyDescent="0.25">
      <c r="A2057">
        <v>10388</v>
      </c>
      <c r="B2057">
        <v>46</v>
      </c>
      <c r="C2057">
        <v>218.84</v>
      </c>
      <c r="D2057">
        <v>2</v>
      </c>
      <c r="E2057">
        <v>10066.6</v>
      </c>
      <c r="F2057" s="1">
        <v>43893</v>
      </c>
      <c r="G2057" s="2" t="s">
        <v>19</v>
      </c>
      <c r="H2057" s="2" t="s">
        <v>607</v>
      </c>
      <c r="I2057">
        <v>91</v>
      </c>
      <c r="J2057" s="2" t="s">
        <v>707</v>
      </c>
      <c r="K2057" s="2" t="s">
        <v>159</v>
      </c>
      <c r="L2057" s="2" t="s">
        <v>160</v>
      </c>
      <c r="M2057" s="2" t="s">
        <v>161</v>
      </c>
      <c r="N2057" s="2" t="s">
        <v>162</v>
      </c>
      <c r="O2057" s="2" t="s">
        <v>163</v>
      </c>
      <c r="P2057" s="2" t="s">
        <v>27</v>
      </c>
      <c r="Q2057" s="2" t="s">
        <v>164</v>
      </c>
      <c r="R2057" s="2" t="s">
        <v>165</v>
      </c>
      <c r="S2057" s="2" t="s">
        <v>151</v>
      </c>
      <c r="T2057">
        <v>2522</v>
      </c>
      <c r="U2057">
        <f>VLOOKUP(Auto_Sales_data___Copy[[#This Row],[CUSTOMER_NAME]],$AF$2:$AH$90,2,FALSE)</f>
        <v>26</v>
      </c>
      <c r="V2057">
        <f>VLOOKUP(Auto_Sales_data___Copy[[#This Row],[CUSTOMER_NAME]],$AF$2:$AH$90,3,FALSE)</f>
        <v>98923.73000000001</v>
      </c>
      <c r="W2057" s="2">
        <f>6-MATCH(Auto_Sales_data___Copy[[#This Row],[DAYS_SINCE_LAST_ORDER]],Table2[R-Cutoff],1)</f>
        <v>2</v>
      </c>
      <c r="X2057" s="2">
        <f>MATCH(Auto_Sales_data___Copy[[#This Row],[Total_Orders_Per_Customer]],Table2[F-Cutoff],1)</f>
        <v>3</v>
      </c>
      <c r="Y2057" s="2">
        <f>MATCH(Auto_Sales_data___Copy[[#This Row],[Total_Sales_Per_Customer]],Table2[M-Cutoff],1)</f>
        <v>3</v>
      </c>
      <c r="Z2057" s="2" t="str">
        <f>Auto_Sales_data___Copy[[#This Row],[R-Score(1-5)]]&amp;Auto_Sales_data___Copy[[#This Row],[F-Score(1-5)]]&amp;Auto_Sales_data___Copy[[#This Row],[M-Score(1-5)]]</f>
        <v>233</v>
      </c>
      <c r="AA2057" s="2" t="str" cm="1">
        <f t="array" ref="AA20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7" s="2" t="str">
        <f>VLOOKUP(Auto_Sales_data___Copy[[#This Row],[Segment Name]],Table3[],2,FALSE)</f>
        <v>Brand Awareness &amp; Value Proposition</v>
      </c>
    </row>
    <row r="2058" spans="1:28" x14ac:dyDescent="0.25">
      <c r="A2058">
        <v>10414</v>
      </c>
      <c r="B2058">
        <v>37</v>
      </c>
      <c r="C2058">
        <v>71.34</v>
      </c>
      <c r="D2058">
        <v>6</v>
      </c>
      <c r="E2058">
        <v>2639.58</v>
      </c>
      <c r="F2058" s="1">
        <v>43957</v>
      </c>
      <c r="G2058" s="2" t="s">
        <v>423</v>
      </c>
      <c r="H2058" s="2" t="s">
        <v>642</v>
      </c>
      <c r="I2058">
        <v>66</v>
      </c>
      <c r="J2058" s="2" t="s">
        <v>706</v>
      </c>
      <c r="K2058" s="2" t="s">
        <v>398</v>
      </c>
      <c r="L2058" s="2" t="s">
        <v>399</v>
      </c>
      <c r="M2058" s="2" t="s">
        <v>400</v>
      </c>
      <c r="N2058" s="2" t="s">
        <v>401</v>
      </c>
      <c r="O2058" s="2" t="s">
        <v>402</v>
      </c>
      <c r="P2058" s="2" t="s">
        <v>27</v>
      </c>
      <c r="Q2058" s="2" t="s">
        <v>403</v>
      </c>
      <c r="R2058" s="2" t="s">
        <v>60</v>
      </c>
      <c r="S2058" s="2" t="s">
        <v>30</v>
      </c>
      <c r="T2058">
        <v>2435</v>
      </c>
      <c r="U2058">
        <f>VLOOKUP(Auto_Sales_data___Copy[[#This Row],[CUSTOMER_NAME]],$AF$2:$AH$90,2,FALSE)</f>
        <v>26</v>
      </c>
      <c r="V2058">
        <f>VLOOKUP(Auto_Sales_data___Copy[[#This Row],[CUSTOMER_NAME]],$AF$2:$AH$90,3,FALSE)</f>
        <v>83209.88</v>
      </c>
      <c r="W2058" s="2">
        <f>6-MATCH(Auto_Sales_data___Copy[[#This Row],[DAYS_SINCE_LAST_ORDER]],Table2[R-Cutoff],1)</f>
        <v>2</v>
      </c>
      <c r="X2058" s="2">
        <f>MATCH(Auto_Sales_data___Copy[[#This Row],[Total_Orders_Per_Customer]],Table2[F-Cutoff],1)</f>
        <v>3</v>
      </c>
      <c r="Y2058" s="2">
        <f>MATCH(Auto_Sales_data___Copy[[#This Row],[Total_Sales_Per_Customer]],Table2[M-Cutoff],1)</f>
        <v>3</v>
      </c>
      <c r="Z2058" s="2" t="str">
        <f>Auto_Sales_data___Copy[[#This Row],[R-Score(1-5)]]&amp;Auto_Sales_data___Copy[[#This Row],[F-Score(1-5)]]&amp;Auto_Sales_data___Copy[[#This Row],[M-Score(1-5)]]</f>
        <v>233</v>
      </c>
      <c r="AA2058" s="2" t="str" cm="1">
        <f t="array" ref="AA20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8" s="2" t="str">
        <f>VLOOKUP(Auto_Sales_data___Copy[[#This Row],[Segment Name]],Table3[],2,FALSE)</f>
        <v>Brand Awareness &amp; Value Proposition</v>
      </c>
    </row>
    <row r="2059" spans="1:28" x14ac:dyDescent="0.25">
      <c r="A2059">
        <v>10414</v>
      </c>
      <c r="B2059">
        <v>34</v>
      </c>
      <c r="C2059">
        <v>103.93</v>
      </c>
      <c r="D2059">
        <v>13</v>
      </c>
      <c r="E2059">
        <v>3533.62</v>
      </c>
      <c r="F2059" s="1">
        <v>43957</v>
      </c>
      <c r="G2059" s="2" t="s">
        <v>423</v>
      </c>
      <c r="H2059" s="2" t="s">
        <v>642</v>
      </c>
      <c r="I2059">
        <v>86</v>
      </c>
      <c r="J2059" s="2" t="s">
        <v>708</v>
      </c>
      <c r="K2059" s="2" t="s">
        <v>398</v>
      </c>
      <c r="L2059" s="2" t="s">
        <v>399</v>
      </c>
      <c r="M2059" s="2" t="s">
        <v>400</v>
      </c>
      <c r="N2059" s="2" t="s">
        <v>401</v>
      </c>
      <c r="O2059" s="2" t="s">
        <v>402</v>
      </c>
      <c r="P2059" s="2" t="s">
        <v>27</v>
      </c>
      <c r="Q2059" s="2" t="s">
        <v>403</v>
      </c>
      <c r="R2059" s="2" t="s">
        <v>60</v>
      </c>
      <c r="S2059" s="2" t="s">
        <v>46</v>
      </c>
      <c r="T2059">
        <v>2485</v>
      </c>
      <c r="U2059">
        <f>VLOOKUP(Auto_Sales_data___Copy[[#This Row],[CUSTOMER_NAME]],$AF$2:$AH$90,2,FALSE)</f>
        <v>26</v>
      </c>
      <c r="V2059">
        <f>VLOOKUP(Auto_Sales_data___Copy[[#This Row],[CUSTOMER_NAME]],$AF$2:$AH$90,3,FALSE)</f>
        <v>83209.88</v>
      </c>
      <c r="W2059" s="2">
        <f>6-MATCH(Auto_Sales_data___Copy[[#This Row],[DAYS_SINCE_LAST_ORDER]],Table2[R-Cutoff],1)</f>
        <v>2</v>
      </c>
      <c r="X2059" s="2">
        <f>MATCH(Auto_Sales_data___Copy[[#This Row],[Total_Orders_Per_Customer]],Table2[F-Cutoff],1)</f>
        <v>3</v>
      </c>
      <c r="Y2059" s="2">
        <f>MATCH(Auto_Sales_data___Copy[[#This Row],[Total_Sales_Per_Customer]],Table2[M-Cutoff],1)</f>
        <v>3</v>
      </c>
      <c r="Z2059" s="2" t="str">
        <f>Auto_Sales_data___Copy[[#This Row],[R-Score(1-5)]]&amp;Auto_Sales_data___Copy[[#This Row],[F-Score(1-5)]]&amp;Auto_Sales_data___Copy[[#This Row],[M-Score(1-5)]]</f>
        <v>233</v>
      </c>
      <c r="AA2059" s="2" t="str" cm="1">
        <f t="array" ref="AA20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9" s="2" t="str">
        <f>VLOOKUP(Auto_Sales_data___Copy[[#This Row],[Segment Name]],Table3[],2,FALSE)</f>
        <v>Brand Awareness &amp; Value Proposition</v>
      </c>
    </row>
    <row r="2060" spans="1:28" x14ac:dyDescent="0.25">
      <c r="A2060">
        <v>10414</v>
      </c>
      <c r="B2060">
        <v>31</v>
      </c>
      <c r="C2060">
        <v>75.89</v>
      </c>
      <c r="D2060">
        <v>4</v>
      </c>
      <c r="E2060">
        <v>2352.59</v>
      </c>
      <c r="F2060" s="1">
        <v>43957</v>
      </c>
      <c r="G2060" s="2" t="s">
        <v>423</v>
      </c>
      <c r="H2060" s="2" t="s">
        <v>642</v>
      </c>
      <c r="I2060">
        <v>72</v>
      </c>
      <c r="J2060" s="2" t="s">
        <v>711</v>
      </c>
      <c r="K2060" s="2" t="s">
        <v>398</v>
      </c>
      <c r="L2060" s="2" t="s">
        <v>399</v>
      </c>
      <c r="M2060" s="2" t="s">
        <v>400</v>
      </c>
      <c r="N2060" s="2" t="s">
        <v>401</v>
      </c>
      <c r="O2060" s="2" t="s">
        <v>402</v>
      </c>
      <c r="P2060" s="2" t="s">
        <v>27</v>
      </c>
      <c r="Q2060" s="2" t="s">
        <v>403</v>
      </c>
      <c r="R2060" s="2" t="s">
        <v>60</v>
      </c>
      <c r="S2060" s="2" t="s">
        <v>30</v>
      </c>
      <c r="T2060">
        <v>2564</v>
      </c>
      <c r="U2060">
        <f>VLOOKUP(Auto_Sales_data___Copy[[#This Row],[CUSTOMER_NAME]],$AF$2:$AH$90,2,FALSE)</f>
        <v>26</v>
      </c>
      <c r="V2060">
        <f>VLOOKUP(Auto_Sales_data___Copy[[#This Row],[CUSTOMER_NAME]],$AF$2:$AH$90,3,FALSE)</f>
        <v>83209.88</v>
      </c>
      <c r="W2060" s="2">
        <f>6-MATCH(Auto_Sales_data___Copy[[#This Row],[DAYS_SINCE_LAST_ORDER]],Table2[R-Cutoff],1)</f>
        <v>2</v>
      </c>
      <c r="X2060" s="2">
        <f>MATCH(Auto_Sales_data___Copy[[#This Row],[Total_Orders_Per_Customer]],Table2[F-Cutoff],1)</f>
        <v>3</v>
      </c>
      <c r="Y2060" s="2">
        <f>MATCH(Auto_Sales_data___Copy[[#This Row],[Total_Sales_Per_Customer]],Table2[M-Cutoff],1)</f>
        <v>3</v>
      </c>
      <c r="Z2060" s="2" t="str">
        <f>Auto_Sales_data___Copy[[#This Row],[R-Score(1-5)]]&amp;Auto_Sales_data___Copy[[#This Row],[F-Score(1-5)]]&amp;Auto_Sales_data___Copy[[#This Row],[M-Score(1-5)]]</f>
        <v>233</v>
      </c>
      <c r="AA2060" s="2" t="str" cm="1">
        <f t="array" ref="AA20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60" s="2" t="str">
        <f>VLOOKUP(Auto_Sales_data___Copy[[#This Row],[Segment Name]],Table3[],2,FALSE)</f>
        <v>Brand Awareness &amp; Value Proposition</v>
      </c>
    </row>
    <row r="2061" spans="1:28" x14ac:dyDescent="0.25">
      <c r="A2061">
        <v>10122</v>
      </c>
      <c r="B2061">
        <v>28</v>
      </c>
      <c r="C2061">
        <v>127.97</v>
      </c>
      <c r="D2061">
        <v>15</v>
      </c>
      <c r="E2061">
        <v>3583.16</v>
      </c>
      <c r="F2061" s="1">
        <v>43228</v>
      </c>
      <c r="G2061" s="2" t="s">
        <v>19</v>
      </c>
      <c r="H2061" s="2" t="s">
        <v>183</v>
      </c>
      <c r="I2061">
        <v>148</v>
      </c>
      <c r="J2061" s="2" t="s">
        <v>663</v>
      </c>
      <c r="K2061" s="2" t="s">
        <v>458</v>
      </c>
      <c r="L2061" s="2" t="s">
        <v>459</v>
      </c>
      <c r="M2061" s="2" t="s">
        <v>460</v>
      </c>
      <c r="N2061" s="2" t="s">
        <v>461</v>
      </c>
      <c r="O2061" s="2" t="s">
        <v>462</v>
      </c>
      <c r="P2061" s="2" t="s">
        <v>36</v>
      </c>
      <c r="Q2061" s="2" t="s">
        <v>463</v>
      </c>
      <c r="R2061" s="2" t="s">
        <v>464</v>
      </c>
      <c r="S2061" s="2" t="s">
        <v>46</v>
      </c>
      <c r="T2061">
        <v>2075</v>
      </c>
      <c r="U2061">
        <f>VLOOKUP(Auto_Sales_data___Copy[[#This Row],[CUSTOMER_NAME]],$AF$2:$AH$90,2,FALSE)</f>
        <v>25</v>
      </c>
      <c r="V2061">
        <f>VLOOKUP(Auto_Sales_data___Copy[[#This Row],[CUSTOMER_NAME]],$AF$2:$AH$90,3,FALSE)</f>
        <v>74936.14</v>
      </c>
      <c r="W2061" s="2">
        <f>6-MATCH(Auto_Sales_data___Copy[[#This Row],[DAYS_SINCE_LAST_ORDER]],Table2[R-Cutoff],1)</f>
        <v>2</v>
      </c>
      <c r="X2061" s="2">
        <f>MATCH(Auto_Sales_data___Copy[[#This Row],[Total_Orders_Per_Customer]],Table2[F-Cutoff],1)</f>
        <v>3</v>
      </c>
      <c r="Y2061" s="2">
        <f>MATCH(Auto_Sales_data___Copy[[#This Row],[Total_Sales_Per_Customer]],Table2[M-Cutoff],1)</f>
        <v>2</v>
      </c>
      <c r="Z2061" s="2" t="str">
        <f>Auto_Sales_data___Copy[[#This Row],[R-Score(1-5)]]&amp;Auto_Sales_data___Copy[[#This Row],[F-Score(1-5)]]&amp;Auto_Sales_data___Copy[[#This Row],[M-Score(1-5)]]</f>
        <v>232</v>
      </c>
      <c r="AA2061" s="2" t="str" cm="1">
        <f t="array" ref="AA20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1" s="2" t="str">
        <f>VLOOKUP(Auto_Sales_data___Copy[[#This Row],[Segment Name]],Table3[],2,FALSE)</f>
        <v>Re-Activation &amp; Re-Engagement</v>
      </c>
    </row>
    <row r="2062" spans="1:28" x14ac:dyDescent="0.25">
      <c r="A2062">
        <v>10122</v>
      </c>
      <c r="B2062">
        <v>39</v>
      </c>
      <c r="C2062">
        <v>30.96</v>
      </c>
      <c r="D2062">
        <v>4</v>
      </c>
      <c r="E2062">
        <v>1207.44</v>
      </c>
      <c r="F2062" s="1">
        <v>43228</v>
      </c>
      <c r="G2062" s="2" t="s">
        <v>19</v>
      </c>
      <c r="H2062" s="2" t="s">
        <v>183</v>
      </c>
      <c r="I2062">
        <v>37</v>
      </c>
      <c r="J2062" s="2" t="s">
        <v>680</v>
      </c>
      <c r="K2062" s="2" t="s">
        <v>458</v>
      </c>
      <c r="L2062" s="2" t="s">
        <v>459</v>
      </c>
      <c r="M2062" s="2" t="s">
        <v>460</v>
      </c>
      <c r="N2062" s="2" t="s">
        <v>461</v>
      </c>
      <c r="O2062" s="2" t="s">
        <v>462</v>
      </c>
      <c r="P2062" s="2" t="s">
        <v>36</v>
      </c>
      <c r="Q2062" s="2" t="s">
        <v>463</v>
      </c>
      <c r="R2062" s="2" t="s">
        <v>464</v>
      </c>
      <c r="S2062" s="2" t="s">
        <v>30</v>
      </c>
      <c r="T2062">
        <v>2489</v>
      </c>
      <c r="U2062">
        <f>VLOOKUP(Auto_Sales_data___Copy[[#This Row],[CUSTOMER_NAME]],$AF$2:$AH$90,2,FALSE)</f>
        <v>25</v>
      </c>
      <c r="V2062">
        <f>VLOOKUP(Auto_Sales_data___Copy[[#This Row],[CUSTOMER_NAME]],$AF$2:$AH$90,3,FALSE)</f>
        <v>74936.14</v>
      </c>
      <c r="W2062" s="2">
        <f>6-MATCH(Auto_Sales_data___Copy[[#This Row],[DAYS_SINCE_LAST_ORDER]],Table2[R-Cutoff],1)</f>
        <v>2</v>
      </c>
      <c r="X2062" s="2">
        <f>MATCH(Auto_Sales_data___Copy[[#This Row],[Total_Orders_Per_Customer]],Table2[F-Cutoff],1)</f>
        <v>3</v>
      </c>
      <c r="Y2062" s="2">
        <f>MATCH(Auto_Sales_data___Copy[[#This Row],[Total_Sales_Per_Customer]],Table2[M-Cutoff],1)</f>
        <v>2</v>
      </c>
      <c r="Z2062" s="2" t="str">
        <f>Auto_Sales_data___Copy[[#This Row],[R-Score(1-5)]]&amp;Auto_Sales_data___Copy[[#This Row],[F-Score(1-5)]]&amp;Auto_Sales_data___Copy[[#This Row],[M-Score(1-5)]]</f>
        <v>232</v>
      </c>
      <c r="AA2062" s="2" t="str" cm="1">
        <f t="array" ref="AA20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2" s="2" t="str">
        <f>VLOOKUP(Auto_Sales_data___Copy[[#This Row],[Segment Name]],Table3[],2,FALSE)</f>
        <v>Re-Activation &amp; Re-Engagement</v>
      </c>
    </row>
    <row r="2063" spans="1:28" x14ac:dyDescent="0.25">
      <c r="A2063">
        <v>10122</v>
      </c>
      <c r="B2063">
        <v>34</v>
      </c>
      <c r="C2063">
        <v>50.21</v>
      </c>
      <c r="D2063">
        <v>9</v>
      </c>
      <c r="E2063">
        <v>1707.14</v>
      </c>
      <c r="F2063" s="1">
        <v>43228</v>
      </c>
      <c r="G2063" s="2" t="s">
        <v>19</v>
      </c>
      <c r="H2063" s="2" t="s">
        <v>183</v>
      </c>
      <c r="I2063">
        <v>61</v>
      </c>
      <c r="J2063" s="2" t="s">
        <v>683</v>
      </c>
      <c r="K2063" s="2" t="s">
        <v>458</v>
      </c>
      <c r="L2063" s="2" t="s">
        <v>459</v>
      </c>
      <c r="M2063" s="2" t="s">
        <v>460</v>
      </c>
      <c r="N2063" s="2" t="s">
        <v>461</v>
      </c>
      <c r="O2063" s="2" t="s">
        <v>462</v>
      </c>
      <c r="P2063" s="2" t="s">
        <v>36</v>
      </c>
      <c r="Q2063" s="2" t="s">
        <v>463</v>
      </c>
      <c r="R2063" s="2" t="s">
        <v>464</v>
      </c>
      <c r="S2063" s="2" t="s">
        <v>30</v>
      </c>
      <c r="T2063">
        <v>2563</v>
      </c>
      <c r="U2063">
        <f>VLOOKUP(Auto_Sales_data___Copy[[#This Row],[CUSTOMER_NAME]],$AF$2:$AH$90,2,FALSE)</f>
        <v>25</v>
      </c>
      <c r="V2063">
        <f>VLOOKUP(Auto_Sales_data___Copy[[#This Row],[CUSTOMER_NAME]],$AF$2:$AH$90,3,FALSE)</f>
        <v>74936.14</v>
      </c>
      <c r="W2063" s="2">
        <f>6-MATCH(Auto_Sales_data___Copy[[#This Row],[DAYS_SINCE_LAST_ORDER]],Table2[R-Cutoff],1)</f>
        <v>2</v>
      </c>
      <c r="X2063" s="2">
        <f>MATCH(Auto_Sales_data___Copy[[#This Row],[Total_Orders_Per_Customer]],Table2[F-Cutoff],1)</f>
        <v>3</v>
      </c>
      <c r="Y2063" s="2">
        <f>MATCH(Auto_Sales_data___Copy[[#This Row],[Total_Sales_Per_Customer]],Table2[M-Cutoff],1)</f>
        <v>2</v>
      </c>
      <c r="Z2063" s="2" t="str">
        <f>Auto_Sales_data___Copy[[#This Row],[R-Score(1-5)]]&amp;Auto_Sales_data___Copy[[#This Row],[F-Score(1-5)]]&amp;Auto_Sales_data___Copy[[#This Row],[M-Score(1-5)]]</f>
        <v>232</v>
      </c>
      <c r="AA2063" s="2" t="str" cm="1">
        <f t="array" ref="AA20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3" s="2" t="str">
        <f>VLOOKUP(Auto_Sales_data___Copy[[#This Row],[Segment Name]],Table3[],2,FALSE)</f>
        <v>Re-Activation &amp; Re-Engagement</v>
      </c>
    </row>
    <row r="2064" spans="1:28" x14ac:dyDescent="0.25">
      <c r="A2064">
        <v>10301</v>
      </c>
      <c r="B2064">
        <v>22</v>
      </c>
      <c r="C2064">
        <v>51.32</v>
      </c>
      <c r="D2064">
        <v>3</v>
      </c>
      <c r="E2064">
        <v>1129.04</v>
      </c>
      <c r="F2064" s="1">
        <v>43378</v>
      </c>
      <c r="G2064" s="2" t="s">
        <v>19</v>
      </c>
      <c r="H2064" s="2" t="s">
        <v>183</v>
      </c>
      <c r="I2064">
        <v>50</v>
      </c>
      <c r="J2064" s="2" t="s">
        <v>668</v>
      </c>
      <c r="K2064" s="2" t="s">
        <v>582</v>
      </c>
      <c r="L2064" s="2" t="s">
        <v>583</v>
      </c>
      <c r="M2064" s="2" t="s">
        <v>584</v>
      </c>
      <c r="N2064" s="2" t="s">
        <v>585</v>
      </c>
      <c r="O2064" s="2" t="s">
        <v>586</v>
      </c>
      <c r="P2064" s="2" t="s">
        <v>73</v>
      </c>
      <c r="Q2064" s="2" t="s">
        <v>587</v>
      </c>
      <c r="R2064" s="2" t="s">
        <v>588</v>
      </c>
      <c r="S2064" s="2" t="s">
        <v>30</v>
      </c>
      <c r="T2064">
        <v>2059</v>
      </c>
      <c r="U2064">
        <f>VLOOKUP(Auto_Sales_data___Copy[[#This Row],[CUSTOMER_NAME]],$AF$2:$AH$90,2,FALSE)</f>
        <v>24</v>
      </c>
      <c r="V2064">
        <f>VLOOKUP(Auto_Sales_data___Copy[[#This Row],[CUSTOMER_NAME]],$AF$2:$AH$90,3,FALSE)</f>
        <v>79224.23</v>
      </c>
      <c r="W2064" s="2">
        <f>6-MATCH(Auto_Sales_data___Copy[[#This Row],[DAYS_SINCE_LAST_ORDER]],Table2[R-Cutoff],1)</f>
        <v>2</v>
      </c>
      <c r="X2064" s="2">
        <f>MATCH(Auto_Sales_data___Copy[[#This Row],[Total_Orders_Per_Customer]],Table2[F-Cutoff],1)</f>
        <v>3</v>
      </c>
      <c r="Y2064" s="2">
        <f>MATCH(Auto_Sales_data___Copy[[#This Row],[Total_Sales_Per_Customer]],Table2[M-Cutoff],1)</f>
        <v>2</v>
      </c>
      <c r="Z2064" s="2" t="str">
        <f>Auto_Sales_data___Copy[[#This Row],[R-Score(1-5)]]&amp;Auto_Sales_data___Copy[[#This Row],[F-Score(1-5)]]&amp;Auto_Sales_data___Copy[[#This Row],[M-Score(1-5)]]</f>
        <v>232</v>
      </c>
      <c r="AA2064" s="2" t="str" cm="1">
        <f t="array" ref="AA20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4" s="2" t="str">
        <f>VLOOKUP(Auto_Sales_data___Copy[[#This Row],[Segment Name]],Table3[],2,FALSE)</f>
        <v>Re-Activation &amp; Re-Engagement</v>
      </c>
    </row>
    <row r="2065" spans="1:28" x14ac:dyDescent="0.25">
      <c r="A2065">
        <v>10301</v>
      </c>
      <c r="B2065">
        <v>48</v>
      </c>
      <c r="C2065">
        <v>34.36</v>
      </c>
      <c r="D2065">
        <v>10</v>
      </c>
      <c r="E2065">
        <v>1649.28</v>
      </c>
      <c r="F2065" s="1">
        <v>43378</v>
      </c>
      <c r="G2065" s="2" t="s">
        <v>19</v>
      </c>
      <c r="H2065" s="2" t="s">
        <v>183</v>
      </c>
      <c r="I2065">
        <v>37</v>
      </c>
      <c r="J2065" s="2" t="s">
        <v>680</v>
      </c>
      <c r="K2065" s="2" t="s">
        <v>582</v>
      </c>
      <c r="L2065" s="2" t="s">
        <v>583</v>
      </c>
      <c r="M2065" s="2" t="s">
        <v>584</v>
      </c>
      <c r="N2065" s="2" t="s">
        <v>585</v>
      </c>
      <c r="O2065" s="2" t="s">
        <v>586</v>
      </c>
      <c r="P2065" s="2" t="s">
        <v>73</v>
      </c>
      <c r="Q2065" s="2" t="s">
        <v>587</v>
      </c>
      <c r="R2065" s="2" t="s">
        <v>588</v>
      </c>
      <c r="S2065" s="2" t="s">
        <v>30</v>
      </c>
      <c r="T2065">
        <v>2353</v>
      </c>
      <c r="U2065">
        <f>VLOOKUP(Auto_Sales_data___Copy[[#This Row],[CUSTOMER_NAME]],$AF$2:$AH$90,2,FALSE)</f>
        <v>24</v>
      </c>
      <c r="V2065">
        <f>VLOOKUP(Auto_Sales_data___Copy[[#This Row],[CUSTOMER_NAME]],$AF$2:$AH$90,3,FALSE)</f>
        <v>79224.23</v>
      </c>
      <c r="W2065" s="2">
        <f>6-MATCH(Auto_Sales_data___Copy[[#This Row],[DAYS_SINCE_LAST_ORDER]],Table2[R-Cutoff],1)</f>
        <v>2</v>
      </c>
      <c r="X2065" s="2">
        <f>MATCH(Auto_Sales_data___Copy[[#This Row],[Total_Orders_Per_Customer]],Table2[F-Cutoff],1)</f>
        <v>3</v>
      </c>
      <c r="Y2065" s="2">
        <f>MATCH(Auto_Sales_data___Copy[[#This Row],[Total_Sales_Per_Customer]],Table2[M-Cutoff],1)</f>
        <v>2</v>
      </c>
      <c r="Z2065" s="2" t="str">
        <f>Auto_Sales_data___Copy[[#This Row],[R-Score(1-5)]]&amp;Auto_Sales_data___Copy[[#This Row],[F-Score(1-5)]]&amp;Auto_Sales_data___Copy[[#This Row],[M-Score(1-5)]]</f>
        <v>232</v>
      </c>
      <c r="AA2065" s="2" t="str" cm="1">
        <f t="array" ref="AA20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5" s="2" t="str">
        <f>VLOOKUP(Auto_Sales_data___Copy[[#This Row],[Segment Name]],Table3[],2,FALSE)</f>
        <v>Re-Activation &amp; Re-Engagement</v>
      </c>
    </row>
    <row r="2066" spans="1:28" x14ac:dyDescent="0.25">
      <c r="A2066">
        <v>10301</v>
      </c>
      <c r="B2066">
        <v>22</v>
      </c>
      <c r="C2066">
        <v>96.37</v>
      </c>
      <c r="D2066">
        <v>2</v>
      </c>
      <c r="E2066">
        <v>2120.14</v>
      </c>
      <c r="F2066" s="1">
        <v>43378</v>
      </c>
      <c r="G2066" s="2" t="s">
        <v>19</v>
      </c>
      <c r="H2066" s="2" t="s">
        <v>183</v>
      </c>
      <c r="I2066">
        <v>107</v>
      </c>
      <c r="J2066" s="2" t="s">
        <v>685</v>
      </c>
      <c r="K2066" s="2" t="s">
        <v>582</v>
      </c>
      <c r="L2066" s="2" t="s">
        <v>583</v>
      </c>
      <c r="M2066" s="2" t="s">
        <v>584</v>
      </c>
      <c r="N2066" s="2" t="s">
        <v>585</v>
      </c>
      <c r="O2066" s="2" t="s">
        <v>586</v>
      </c>
      <c r="P2066" s="2" t="s">
        <v>73</v>
      </c>
      <c r="Q2066" s="2" t="s">
        <v>587</v>
      </c>
      <c r="R2066" s="2" t="s">
        <v>588</v>
      </c>
      <c r="S2066" s="2" t="s">
        <v>30</v>
      </c>
      <c r="T2066">
        <v>2477</v>
      </c>
      <c r="U2066">
        <f>VLOOKUP(Auto_Sales_data___Copy[[#This Row],[CUSTOMER_NAME]],$AF$2:$AH$90,2,FALSE)</f>
        <v>24</v>
      </c>
      <c r="V2066">
        <f>VLOOKUP(Auto_Sales_data___Copy[[#This Row],[CUSTOMER_NAME]],$AF$2:$AH$90,3,FALSE)</f>
        <v>79224.23</v>
      </c>
      <c r="W2066" s="2">
        <f>6-MATCH(Auto_Sales_data___Copy[[#This Row],[DAYS_SINCE_LAST_ORDER]],Table2[R-Cutoff],1)</f>
        <v>2</v>
      </c>
      <c r="X2066" s="2">
        <f>MATCH(Auto_Sales_data___Copy[[#This Row],[Total_Orders_Per_Customer]],Table2[F-Cutoff],1)</f>
        <v>3</v>
      </c>
      <c r="Y2066" s="2">
        <f>MATCH(Auto_Sales_data___Copy[[#This Row],[Total_Sales_Per_Customer]],Table2[M-Cutoff],1)</f>
        <v>2</v>
      </c>
      <c r="Z2066" s="2" t="str">
        <f>Auto_Sales_data___Copy[[#This Row],[R-Score(1-5)]]&amp;Auto_Sales_data___Copy[[#This Row],[F-Score(1-5)]]&amp;Auto_Sales_data___Copy[[#This Row],[M-Score(1-5)]]</f>
        <v>232</v>
      </c>
      <c r="AA2066" s="2" t="str" cm="1">
        <f t="array" ref="AA20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6" s="2" t="str">
        <f>VLOOKUP(Auto_Sales_data___Copy[[#This Row],[Segment Name]],Table3[],2,FALSE)</f>
        <v>Re-Activation &amp; Re-Engagement</v>
      </c>
    </row>
    <row r="2067" spans="1:28" x14ac:dyDescent="0.25">
      <c r="A2067">
        <v>10301</v>
      </c>
      <c r="B2067">
        <v>50</v>
      </c>
      <c r="C2067">
        <v>154.47</v>
      </c>
      <c r="D2067">
        <v>11</v>
      </c>
      <c r="E2067">
        <v>7723.5</v>
      </c>
      <c r="F2067" s="1">
        <v>43378</v>
      </c>
      <c r="G2067" s="2" t="s">
        <v>19</v>
      </c>
      <c r="H2067" s="2" t="s">
        <v>183</v>
      </c>
      <c r="I2067">
        <v>140</v>
      </c>
      <c r="J2067" s="2" t="s">
        <v>687</v>
      </c>
      <c r="K2067" s="2" t="s">
        <v>582</v>
      </c>
      <c r="L2067" s="2" t="s">
        <v>583</v>
      </c>
      <c r="M2067" s="2" t="s">
        <v>584</v>
      </c>
      <c r="N2067" s="2" t="s">
        <v>585</v>
      </c>
      <c r="O2067" s="2" t="s">
        <v>586</v>
      </c>
      <c r="P2067" s="2" t="s">
        <v>73</v>
      </c>
      <c r="Q2067" s="2" t="s">
        <v>587</v>
      </c>
      <c r="R2067" s="2" t="s">
        <v>588</v>
      </c>
      <c r="S2067" s="2" t="s">
        <v>151</v>
      </c>
      <c r="T2067">
        <v>2526</v>
      </c>
      <c r="U2067">
        <f>VLOOKUP(Auto_Sales_data___Copy[[#This Row],[CUSTOMER_NAME]],$AF$2:$AH$90,2,FALSE)</f>
        <v>24</v>
      </c>
      <c r="V2067">
        <f>VLOOKUP(Auto_Sales_data___Copy[[#This Row],[CUSTOMER_NAME]],$AF$2:$AH$90,3,FALSE)</f>
        <v>79224.23</v>
      </c>
      <c r="W2067" s="2">
        <f>6-MATCH(Auto_Sales_data___Copy[[#This Row],[DAYS_SINCE_LAST_ORDER]],Table2[R-Cutoff],1)</f>
        <v>2</v>
      </c>
      <c r="X2067" s="2">
        <f>MATCH(Auto_Sales_data___Copy[[#This Row],[Total_Orders_Per_Customer]],Table2[F-Cutoff],1)</f>
        <v>3</v>
      </c>
      <c r="Y2067" s="2">
        <f>MATCH(Auto_Sales_data___Copy[[#This Row],[Total_Sales_Per_Customer]],Table2[M-Cutoff],1)</f>
        <v>2</v>
      </c>
      <c r="Z2067" s="2" t="str">
        <f>Auto_Sales_data___Copy[[#This Row],[R-Score(1-5)]]&amp;Auto_Sales_data___Copy[[#This Row],[F-Score(1-5)]]&amp;Auto_Sales_data___Copy[[#This Row],[M-Score(1-5)]]</f>
        <v>232</v>
      </c>
      <c r="AA2067" s="2" t="str" cm="1">
        <f t="array" ref="AA20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7" s="2" t="str">
        <f>VLOOKUP(Auto_Sales_data___Copy[[#This Row],[Segment Name]],Table3[],2,FALSE)</f>
        <v>Re-Activation &amp; Re-Engagement</v>
      </c>
    </row>
    <row r="2068" spans="1:28" x14ac:dyDescent="0.25">
      <c r="A2068">
        <v>10235</v>
      </c>
      <c r="B2068">
        <v>33</v>
      </c>
      <c r="C2068">
        <v>60.05</v>
      </c>
      <c r="D2068">
        <v>12</v>
      </c>
      <c r="E2068">
        <v>1981.65</v>
      </c>
      <c r="F2068" s="1">
        <v>43557</v>
      </c>
      <c r="G2068" s="2" t="s">
        <v>19</v>
      </c>
      <c r="H2068" s="2" t="s">
        <v>607</v>
      </c>
      <c r="I2068">
        <v>68</v>
      </c>
      <c r="J2068" s="2" t="s">
        <v>688</v>
      </c>
      <c r="K2068" s="2" t="s">
        <v>392</v>
      </c>
      <c r="L2068" s="2" t="s">
        <v>393</v>
      </c>
      <c r="M2068" s="2" t="s">
        <v>394</v>
      </c>
      <c r="N2068" s="2" t="s">
        <v>395</v>
      </c>
      <c r="O2068" s="2" t="s">
        <v>396</v>
      </c>
      <c r="P2068" s="2" t="s">
        <v>236</v>
      </c>
      <c r="Q2068" s="2" t="s">
        <v>397</v>
      </c>
      <c r="R2068" s="2" t="s">
        <v>173</v>
      </c>
      <c r="S2068" s="2" t="s">
        <v>30</v>
      </c>
      <c r="T2068">
        <v>2368</v>
      </c>
      <c r="U2068">
        <f>VLOOKUP(Auto_Sales_data___Copy[[#This Row],[CUSTOMER_NAME]],$AF$2:$AH$90,2,FALSE)</f>
        <v>26</v>
      </c>
      <c r="V2068">
        <f>VLOOKUP(Auto_Sales_data___Copy[[#This Row],[CUSTOMER_NAME]],$AF$2:$AH$90,3,FALSE)</f>
        <v>74634.850000000006</v>
      </c>
      <c r="W2068" s="2">
        <f>6-MATCH(Auto_Sales_data___Copy[[#This Row],[DAYS_SINCE_LAST_ORDER]],Table2[R-Cutoff],1)</f>
        <v>2</v>
      </c>
      <c r="X2068" s="2">
        <f>MATCH(Auto_Sales_data___Copy[[#This Row],[Total_Orders_Per_Customer]],Table2[F-Cutoff],1)</f>
        <v>3</v>
      </c>
      <c r="Y2068" s="2">
        <f>MATCH(Auto_Sales_data___Copy[[#This Row],[Total_Sales_Per_Customer]],Table2[M-Cutoff],1)</f>
        <v>2</v>
      </c>
      <c r="Z2068" s="2" t="str">
        <f>Auto_Sales_data___Copy[[#This Row],[R-Score(1-5)]]&amp;Auto_Sales_data___Copy[[#This Row],[F-Score(1-5)]]&amp;Auto_Sales_data___Copy[[#This Row],[M-Score(1-5)]]</f>
        <v>232</v>
      </c>
      <c r="AA2068" s="2" t="str" cm="1">
        <f t="array" ref="AA20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8" s="2" t="str">
        <f>VLOOKUP(Auto_Sales_data___Copy[[#This Row],[Segment Name]],Table3[],2,FALSE)</f>
        <v>Re-Activation &amp; Re-Engagement</v>
      </c>
    </row>
    <row r="2069" spans="1:28" x14ac:dyDescent="0.25">
      <c r="A2069">
        <v>10235</v>
      </c>
      <c r="B2069">
        <v>40</v>
      </c>
      <c r="C2069">
        <v>81.14</v>
      </c>
      <c r="D2069">
        <v>4</v>
      </c>
      <c r="E2069">
        <v>3245.6</v>
      </c>
      <c r="F2069" s="1">
        <v>43557</v>
      </c>
      <c r="G2069" s="2" t="s">
        <v>19</v>
      </c>
      <c r="H2069" s="2" t="s">
        <v>607</v>
      </c>
      <c r="I2069">
        <v>72</v>
      </c>
      <c r="J2069" s="2" t="s">
        <v>692</v>
      </c>
      <c r="K2069" s="2" t="s">
        <v>392</v>
      </c>
      <c r="L2069" s="2" t="s">
        <v>393</v>
      </c>
      <c r="M2069" s="2" t="s">
        <v>394</v>
      </c>
      <c r="N2069" s="2" t="s">
        <v>395</v>
      </c>
      <c r="O2069" s="2" t="s">
        <v>396</v>
      </c>
      <c r="P2069" s="2" t="s">
        <v>236</v>
      </c>
      <c r="Q2069" s="2" t="s">
        <v>397</v>
      </c>
      <c r="R2069" s="2" t="s">
        <v>173</v>
      </c>
      <c r="S2069" s="2" t="s">
        <v>46</v>
      </c>
      <c r="T2069">
        <v>2463</v>
      </c>
      <c r="U2069">
        <f>VLOOKUP(Auto_Sales_data___Copy[[#This Row],[CUSTOMER_NAME]],$AF$2:$AH$90,2,FALSE)</f>
        <v>26</v>
      </c>
      <c r="V2069">
        <f>VLOOKUP(Auto_Sales_data___Copy[[#This Row],[CUSTOMER_NAME]],$AF$2:$AH$90,3,FALSE)</f>
        <v>74634.850000000006</v>
      </c>
      <c r="W2069" s="2">
        <f>6-MATCH(Auto_Sales_data___Copy[[#This Row],[DAYS_SINCE_LAST_ORDER]],Table2[R-Cutoff],1)</f>
        <v>2</v>
      </c>
      <c r="X2069" s="2">
        <f>MATCH(Auto_Sales_data___Copy[[#This Row],[Total_Orders_Per_Customer]],Table2[F-Cutoff],1)</f>
        <v>3</v>
      </c>
      <c r="Y2069" s="2">
        <f>MATCH(Auto_Sales_data___Copy[[#This Row],[Total_Sales_Per_Customer]],Table2[M-Cutoff],1)</f>
        <v>2</v>
      </c>
      <c r="Z2069" s="2" t="str">
        <f>Auto_Sales_data___Copy[[#This Row],[R-Score(1-5)]]&amp;Auto_Sales_data___Copy[[#This Row],[F-Score(1-5)]]&amp;Auto_Sales_data___Copy[[#This Row],[M-Score(1-5)]]</f>
        <v>232</v>
      </c>
      <c r="AA2069" s="2" t="str" cm="1">
        <f t="array" ref="AA20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9" s="2" t="str">
        <f>VLOOKUP(Auto_Sales_data___Copy[[#This Row],[Segment Name]],Table3[],2,FALSE)</f>
        <v>Re-Activation &amp; Re-Engagement</v>
      </c>
    </row>
    <row r="2070" spans="1:28" x14ac:dyDescent="0.25">
      <c r="A2070">
        <v>10235</v>
      </c>
      <c r="B2070">
        <v>41</v>
      </c>
      <c r="C2070">
        <v>101.89</v>
      </c>
      <c r="D2070">
        <v>1</v>
      </c>
      <c r="E2070">
        <v>4177.49</v>
      </c>
      <c r="F2070" s="1">
        <v>43557</v>
      </c>
      <c r="G2070" s="2" t="s">
        <v>19</v>
      </c>
      <c r="H2070" s="2" t="s">
        <v>20</v>
      </c>
      <c r="I2070">
        <v>99</v>
      </c>
      <c r="J2070" s="2" t="s">
        <v>695</v>
      </c>
      <c r="K2070" s="2" t="s">
        <v>392</v>
      </c>
      <c r="L2070" s="2" t="s">
        <v>393</v>
      </c>
      <c r="M2070" s="2" t="s">
        <v>394</v>
      </c>
      <c r="N2070" s="2" t="s">
        <v>395</v>
      </c>
      <c r="O2070" s="2" t="s">
        <v>396</v>
      </c>
      <c r="P2070" s="2" t="s">
        <v>236</v>
      </c>
      <c r="Q2070" s="2" t="s">
        <v>397</v>
      </c>
      <c r="R2070" s="2" t="s">
        <v>173</v>
      </c>
      <c r="S2070" s="2" t="s">
        <v>46</v>
      </c>
      <c r="T2070">
        <v>2538</v>
      </c>
      <c r="U2070">
        <f>VLOOKUP(Auto_Sales_data___Copy[[#This Row],[CUSTOMER_NAME]],$AF$2:$AH$90,2,FALSE)</f>
        <v>26</v>
      </c>
      <c r="V2070">
        <f>VLOOKUP(Auto_Sales_data___Copy[[#This Row],[CUSTOMER_NAME]],$AF$2:$AH$90,3,FALSE)</f>
        <v>74634.850000000006</v>
      </c>
      <c r="W2070" s="2">
        <f>6-MATCH(Auto_Sales_data___Copy[[#This Row],[DAYS_SINCE_LAST_ORDER]],Table2[R-Cutoff],1)</f>
        <v>2</v>
      </c>
      <c r="X2070" s="2">
        <f>MATCH(Auto_Sales_data___Copy[[#This Row],[Total_Orders_Per_Customer]],Table2[F-Cutoff],1)</f>
        <v>3</v>
      </c>
      <c r="Y2070" s="2">
        <f>MATCH(Auto_Sales_data___Copy[[#This Row],[Total_Sales_Per_Customer]],Table2[M-Cutoff],1)</f>
        <v>2</v>
      </c>
      <c r="Z2070" s="2" t="str">
        <f>Auto_Sales_data___Copy[[#This Row],[R-Score(1-5)]]&amp;Auto_Sales_data___Copy[[#This Row],[F-Score(1-5)]]&amp;Auto_Sales_data___Copy[[#This Row],[M-Score(1-5)]]</f>
        <v>232</v>
      </c>
      <c r="AA2070" s="2" t="str" cm="1">
        <f t="array" ref="AA20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0" s="2" t="str">
        <f>VLOOKUP(Auto_Sales_data___Copy[[#This Row],[Segment Name]],Table3[],2,FALSE)</f>
        <v>Re-Activation &amp; Re-Engagement</v>
      </c>
    </row>
    <row r="2071" spans="1:28" x14ac:dyDescent="0.25">
      <c r="A2071">
        <v>10273</v>
      </c>
      <c r="B2071">
        <v>27</v>
      </c>
      <c r="C2071">
        <v>103.56</v>
      </c>
      <c r="D2071">
        <v>6</v>
      </c>
      <c r="E2071">
        <v>2796.12</v>
      </c>
      <c r="F2071" s="1">
        <v>43667</v>
      </c>
      <c r="G2071" s="2" t="s">
        <v>19</v>
      </c>
      <c r="H2071" s="2" t="s">
        <v>589</v>
      </c>
      <c r="I2071">
        <v>88</v>
      </c>
      <c r="J2071" s="2" t="s">
        <v>681</v>
      </c>
      <c r="K2071" s="2" t="s">
        <v>384</v>
      </c>
      <c r="L2071" s="2" t="s">
        <v>385</v>
      </c>
      <c r="M2071" s="2" t="s">
        <v>386</v>
      </c>
      <c r="N2071" s="2" t="s">
        <v>387</v>
      </c>
      <c r="O2071" s="2" t="s">
        <v>388</v>
      </c>
      <c r="P2071" s="2" t="s">
        <v>389</v>
      </c>
      <c r="Q2071" s="2" t="s">
        <v>390</v>
      </c>
      <c r="R2071" s="2" t="s">
        <v>391</v>
      </c>
      <c r="S2071" s="2" t="s">
        <v>30</v>
      </c>
      <c r="T2071">
        <v>2089</v>
      </c>
      <c r="U2071">
        <f>VLOOKUP(Auto_Sales_data___Copy[[#This Row],[CUSTOMER_NAME]],$AF$2:$AH$90,2,FALSE)</f>
        <v>25</v>
      </c>
      <c r="V2071">
        <f>VLOOKUP(Auto_Sales_data___Copy[[#This Row],[CUSTOMER_NAME]],$AF$2:$AH$90,3,FALSE)</f>
        <v>74972.52</v>
      </c>
      <c r="W2071" s="2">
        <f>6-MATCH(Auto_Sales_data___Copy[[#This Row],[DAYS_SINCE_LAST_ORDER]],Table2[R-Cutoff],1)</f>
        <v>2</v>
      </c>
      <c r="X2071" s="2">
        <f>MATCH(Auto_Sales_data___Copy[[#This Row],[Total_Orders_Per_Customer]],Table2[F-Cutoff],1)</f>
        <v>3</v>
      </c>
      <c r="Y2071" s="2">
        <f>MATCH(Auto_Sales_data___Copy[[#This Row],[Total_Sales_Per_Customer]],Table2[M-Cutoff],1)</f>
        <v>2</v>
      </c>
      <c r="Z2071" s="2" t="str">
        <f>Auto_Sales_data___Copy[[#This Row],[R-Score(1-5)]]&amp;Auto_Sales_data___Copy[[#This Row],[F-Score(1-5)]]&amp;Auto_Sales_data___Copy[[#This Row],[M-Score(1-5)]]</f>
        <v>232</v>
      </c>
      <c r="AA2071" s="2" t="str" cm="1">
        <f t="array" ref="AA20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1" s="2" t="str">
        <f>VLOOKUP(Auto_Sales_data___Copy[[#This Row],[Segment Name]],Table3[],2,FALSE)</f>
        <v>Re-Activation &amp; Re-Engagement</v>
      </c>
    </row>
    <row r="2072" spans="1:28" x14ac:dyDescent="0.25">
      <c r="A2072">
        <v>10273</v>
      </c>
      <c r="B2072">
        <v>48</v>
      </c>
      <c r="C2072">
        <v>83.02</v>
      </c>
      <c r="D2072">
        <v>3</v>
      </c>
      <c r="E2072">
        <v>3984.96</v>
      </c>
      <c r="F2072" s="1">
        <v>43667</v>
      </c>
      <c r="G2072" s="2" t="s">
        <v>19</v>
      </c>
      <c r="H2072" s="2" t="s">
        <v>589</v>
      </c>
      <c r="I2072">
        <v>83</v>
      </c>
      <c r="J2072" s="2" t="s">
        <v>686</v>
      </c>
      <c r="K2072" s="2" t="s">
        <v>384</v>
      </c>
      <c r="L2072" s="2" t="s">
        <v>385</v>
      </c>
      <c r="M2072" s="2" t="s">
        <v>386</v>
      </c>
      <c r="N2072" s="2" t="s">
        <v>387</v>
      </c>
      <c r="O2072" s="2" t="s">
        <v>388</v>
      </c>
      <c r="P2072" s="2" t="s">
        <v>389</v>
      </c>
      <c r="Q2072" s="2" t="s">
        <v>390</v>
      </c>
      <c r="R2072" s="2" t="s">
        <v>391</v>
      </c>
      <c r="S2072" s="2" t="s">
        <v>46</v>
      </c>
      <c r="T2072">
        <v>2209</v>
      </c>
      <c r="U2072">
        <f>VLOOKUP(Auto_Sales_data___Copy[[#This Row],[CUSTOMER_NAME]],$AF$2:$AH$90,2,FALSE)</f>
        <v>25</v>
      </c>
      <c r="V2072">
        <f>VLOOKUP(Auto_Sales_data___Copy[[#This Row],[CUSTOMER_NAME]],$AF$2:$AH$90,3,FALSE)</f>
        <v>74972.52</v>
      </c>
      <c r="W2072" s="2">
        <f>6-MATCH(Auto_Sales_data___Copy[[#This Row],[DAYS_SINCE_LAST_ORDER]],Table2[R-Cutoff],1)</f>
        <v>2</v>
      </c>
      <c r="X2072" s="2">
        <f>MATCH(Auto_Sales_data___Copy[[#This Row],[Total_Orders_Per_Customer]],Table2[F-Cutoff],1)</f>
        <v>3</v>
      </c>
      <c r="Y2072" s="2">
        <f>MATCH(Auto_Sales_data___Copy[[#This Row],[Total_Sales_Per_Customer]],Table2[M-Cutoff],1)</f>
        <v>2</v>
      </c>
      <c r="Z2072" s="2" t="str">
        <f>Auto_Sales_data___Copy[[#This Row],[R-Score(1-5)]]&amp;Auto_Sales_data___Copy[[#This Row],[F-Score(1-5)]]&amp;Auto_Sales_data___Copy[[#This Row],[M-Score(1-5)]]</f>
        <v>232</v>
      </c>
      <c r="AA2072" s="2" t="str" cm="1">
        <f t="array" ref="AA20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2" s="2" t="str">
        <f>VLOOKUP(Auto_Sales_data___Copy[[#This Row],[Segment Name]],Table3[],2,FALSE)</f>
        <v>Re-Activation &amp; Re-Engagement</v>
      </c>
    </row>
    <row r="2073" spans="1:28" x14ac:dyDescent="0.25">
      <c r="A2073">
        <v>10283</v>
      </c>
      <c r="B2073">
        <v>34</v>
      </c>
      <c r="C2073">
        <v>92.94</v>
      </c>
      <c r="D2073">
        <v>8</v>
      </c>
      <c r="E2073">
        <v>3159.96</v>
      </c>
      <c r="F2073" s="1">
        <v>43697</v>
      </c>
      <c r="G2073" s="2" t="s">
        <v>19</v>
      </c>
      <c r="H2073" s="2" t="s">
        <v>589</v>
      </c>
      <c r="I2073">
        <v>88</v>
      </c>
      <c r="J2073" s="2" t="s">
        <v>681</v>
      </c>
      <c r="K2073" s="2" t="s">
        <v>392</v>
      </c>
      <c r="L2073" s="2" t="s">
        <v>393</v>
      </c>
      <c r="M2073" s="2" t="s">
        <v>394</v>
      </c>
      <c r="N2073" s="2" t="s">
        <v>395</v>
      </c>
      <c r="O2073" s="2" t="s">
        <v>396</v>
      </c>
      <c r="P2073" s="2" t="s">
        <v>236</v>
      </c>
      <c r="Q2073" s="2" t="s">
        <v>397</v>
      </c>
      <c r="R2073" s="2" t="s">
        <v>173</v>
      </c>
      <c r="S2073" s="2" t="s">
        <v>46</v>
      </c>
      <c r="T2073">
        <v>2060</v>
      </c>
      <c r="U2073">
        <f>VLOOKUP(Auto_Sales_data___Copy[[#This Row],[CUSTOMER_NAME]],$AF$2:$AH$90,2,FALSE)</f>
        <v>26</v>
      </c>
      <c r="V2073">
        <f>VLOOKUP(Auto_Sales_data___Copy[[#This Row],[CUSTOMER_NAME]],$AF$2:$AH$90,3,FALSE)</f>
        <v>74634.850000000006</v>
      </c>
      <c r="W2073" s="2">
        <f>6-MATCH(Auto_Sales_data___Copy[[#This Row],[DAYS_SINCE_LAST_ORDER]],Table2[R-Cutoff],1)</f>
        <v>2</v>
      </c>
      <c r="X2073" s="2">
        <f>MATCH(Auto_Sales_data___Copy[[#This Row],[Total_Orders_Per_Customer]],Table2[F-Cutoff],1)</f>
        <v>3</v>
      </c>
      <c r="Y2073" s="2">
        <f>MATCH(Auto_Sales_data___Copy[[#This Row],[Total_Sales_Per_Customer]],Table2[M-Cutoff],1)</f>
        <v>2</v>
      </c>
      <c r="Z2073" s="2" t="str">
        <f>Auto_Sales_data___Copy[[#This Row],[R-Score(1-5)]]&amp;Auto_Sales_data___Copy[[#This Row],[F-Score(1-5)]]&amp;Auto_Sales_data___Copy[[#This Row],[M-Score(1-5)]]</f>
        <v>232</v>
      </c>
      <c r="AA2073" s="2" t="str" cm="1">
        <f t="array" ref="AA20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3" s="2" t="str">
        <f>VLOOKUP(Auto_Sales_data___Copy[[#This Row],[Segment Name]],Table3[],2,FALSE)</f>
        <v>Re-Activation &amp; Re-Engagement</v>
      </c>
    </row>
    <row r="2074" spans="1:28" x14ac:dyDescent="0.25">
      <c r="A2074">
        <v>10283</v>
      </c>
      <c r="B2074">
        <v>33</v>
      </c>
      <c r="C2074">
        <v>72.959999999999994</v>
      </c>
      <c r="D2074">
        <v>5</v>
      </c>
      <c r="E2074">
        <v>2407.6799999999998</v>
      </c>
      <c r="F2074" s="1">
        <v>43697</v>
      </c>
      <c r="G2074" s="2" t="s">
        <v>19</v>
      </c>
      <c r="H2074" s="2" t="s">
        <v>589</v>
      </c>
      <c r="I2074">
        <v>83</v>
      </c>
      <c r="J2074" s="2" t="s">
        <v>686</v>
      </c>
      <c r="K2074" s="2" t="s">
        <v>392</v>
      </c>
      <c r="L2074" s="2" t="s">
        <v>393</v>
      </c>
      <c r="M2074" s="2" t="s">
        <v>394</v>
      </c>
      <c r="N2074" s="2" t="s">
        <v>395</v>
      </c>
      <c r="O2074" s="2" t="s">
        <v>396</v>
      </c>
      <c r="P2074" s="2" t="s">
        <v>236</v>
      </c>
      <c r="Q2074" s="2" t="s">
        <v>397</v>
      </c>
      <c r="R2074" s="2" t="s">
        <v>173</v>
      </c>
      <c r="S2074" s="2" t="s">
        <v>30</v>
      </c>
      <c r="T2074">
        <v>2180</v>
      </c>
      <c r="U2074">
        <f>VLOOKUP(Auto_Sales_data___Copy[[#This Row],[CUSTOMER_NAME]],$AF$2:$AH$90,2,FALSE)</f>
        <v>26</v>
      </c>
      <c r="V2074">
        <f>VLOOKUP(Auto_Sales_data___Copy[[#This Row],[CUSTOMER_NAME]],$AF$2:$AH$90,3,FALSE)</f>
        <v>74634.850000000006</v>
      </c>
      <c r="W2074" s="2">
        <f>6-MATCH(Auto_Sales_data___Copy[[#This Row],[DAYS_SINCE_LAST_ORDER]],Table2[R-Cutoff],1)</f>
        <v>2</v>
      </c>
      <c r="X2074" s="2">
        <f>MATCH(Auto_Sales_data___Copy[[#This Row],[Total_Orders_Per_Customer]],Table2[F-Cutoff],1)</f>
        <v>3</v>
      </c>
      <c r="Y2074" s="2">
        <f>MATCH(Auto_Sales_data___Copy[[#This Row],[Total_Sales_Per_Customer]],Table2[M-Cutoff],1)</f>
        <v>2</v>
      </c>
      <c r="Z2074" s="2" t="str">
        <f>Auto_Sales_data___Copy[[#This Row],[R-Score(1-5)]]&amp;Auto_Sales_data___Copy[[#This Row],[F-Score(1-5)]]&amp;Auto_Sales_data___Copy[[#This Row],[M-Score(1-5)]]</f>
        <v>232</v>
      </c>
      <c r="AA2074" s="2" t="str" cm="1">
        <f t="array" ref="AA20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4" s="2" t="str">
        <f>VLOOKUP(Auto_Sales_data___Copy[[#This Row],[Segment Name]],Table3[],2,FALSE)</f>
        <v>Re-Activation &amp; Re-Engagement</v>
      </c>
    </row>
    <row r="2075" spans="1:28" x14ac:dyDescent="0.25">
      <c r="A2075">
        <v>10284</v>
      </c>
      <c r="B2075">
        <v>39</v>
      </c>
      <c r="C2075">
        <v>71.67</v>
      </c>
      <c r="D2075">
        <v>13</v>
      </c>
      <c r="E2075">
        <v>2795.13</v>
      </c>
      <c r="F2075" s="1">
        <v>43698</v>
      </c>
      <c r="G2075" s="2" t="s">
        <v>19</v>
      </c>
      <c r="H2075" s="2" t="s">
        <v>589</v>
      </c>
      <c r="I2075">
        <v>65</v>
      </c>
      <c r="J2075" s="2" t="s">
        <v>684</v>
      </c>
      <c r="K2075" s="2" t="s">
        <v>582</v>
      </c>
      <c r="L2075" s="2" t="s">
        <v>583</v>
      </c>
      <c r="M2075" s="2" t="s">
        <v>584</v>
      </c>
      <c r="N2075" s="2" t="s">
        <v>585</v>
      </c>
      <c r="O2075" s="2" t="s">
        <v>586</v>
      </c>
      <c r="P2075" s="2" t="s">
        <v>73</v>
      </c>
      <c r="Q2075" s="2" t="s">
        <v>587</v>
      </c>
      <c r="R2075" s="2" t="s">
        <v>588</v>
      </c>
      <c r="S2075" s="2" t="s">
        <v>30</v>
      </c>
      <c r="T2075">
        <v>2130</v>
      </c>
      <c r="U2075">
        <f>VLOOKUP(Auto_Sales_data___Copy[[#This Row],[CUSTOMER_NAME]],$AF$2:$AH$90,2,FALSE)</f>
        <v>24</v>
      </c>
      <c r="V2075">
        <f>VLOOKUP(Auto_Sales_data___Copy[[#This Row],[CUSTOMER_NAME]],$AF$2:$AH$90,3,FALSE)</f>
        <v>79224.23</v>
      </c>
      <c r="W2075" s="2">
        <f>6-MATCH(Auto_Sales_data___Copy[[#This Row],[DAYS_SINCE_LAST_ORDER]],Table2[R-Cutoff],1)</f>
        <v>2</v>
      </c>
      <c r="X2075" s="2">
        <f>MATCH(Auto_Sales_data___Copy[[#This Row],[Total_Orders_Per_Customer]],Table2[F-Cutoff],1)</f>
        <v>3</v>
      </c>
      <c r="Y2075" s="2">
        <f>MATCH(Auto_Sales_data___Copy[[#This Row],[Total_Sales_Per_Customer]],Table2[M-Cutoff],1)</f>
        <v>2</v>
      </c>
      <c r="Z2075" s="2" t="str">
        <f>Auto_Sales_data___Copy[[#This Row],[R-Score(1-5)]]&amp;Auto_Sales_data___Copy[[#This Row],[F-Score(1-5)]]&amp;Auto_Sales_data___Copy[[#This Row],[M-Score(1-5)]]</f>
        <v>232</v>
      </c>
      <c r="AA2075" s="2" t="str" cm="1">
        <f t="array" ref="AA20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5" s="2" t="str">
        <f>VLOOKUP(Auto_Sales_data___Copy[[#This Row],[Segment Name]],Table3[],2,FALSE)</f>
        <v>Re-Activation &amp; Re-Engagement</v>
      </c>
    </row>
    <row r="2076" spans="1:28" x14ac:dyDescent="0.25">
      <c r="A2076">
        <v>10284</v>
      </c>
      <c r="B2076">
        <v>21</v>
      </c>
      <c r="C2076">
        <v>55.96</v>
      </c>
      <c r="D2076">
        <v>10</v>
      </c>
      <c r="E2076">
        <v>1175.1600000000001</v>
      </c>
      <c r="F2076" s="1">
        <v>43698</v>
      </c>
      <c r="G2076" s="2" t="s">
        <v>19</v>
      </c>
      <c r="H2076" s="2" t="s">
        <v>607</v>
      </c>
      <c r="I2076">
        <v>68</v>
      </c>
      <c r="J2076" s="2" t="s">
        <v>688</v>
      </c>
      <c r="K2076" s="2" t="s">
        <v>582</v>
      </c>
      <c r="L2076" s="2" t="s">
        <v>583</v>
      </c>
      <c r="M2076" s="2" t="s">
        <v>584</v>
      </c>
      <c r="N2076" s="2" t="s">
        <v>585</v>
      </c>
      <c r="O2076" s="2" t="s">
        <v>586</v>
      </c>
      <c r="P2076" s="2" t="s">
        <v>73</v>
      </c>
      <c r="Q2076" s="2" t="s">
        <v>587</v>
      </c>
      <c r="R2076" s="2" t="s">
        <v>588</v>
      </c>
      <c r="S2076" s="2" t="s">
        <v>30</v>
      </c>
      <c r="T2076">
        <v>2231</v>
      </c>
      <c r="U2076">
        <f>VLOOKUP(Auto_Sales_data___Copy[[#This Row],[CUSTOMER_NAME]],$AF$2:$AH$90,2,FALSE)</f>
        <v>24</v>
      </c>
      <c r="V2076">
        <f>VLOOKUP(Auto_Sales_data___Copy[[#This Row],[CUSTOMER_NAME]],$AF$2:$AH$90,3,FALSE)</f>
        <v>79224.23</v>
      </c>
      <c r="W2076" s="2">
        <f>6-MATCH(Auto_Sales_data___Copy[[#This Row],[DAYS_SINCE_LAST_ORDER]],Table2[R-Cutoff],1)</f>
        <v>2</v>
      </c>
      <c r="X2076" s="2">
        <f>MATCH(Auto_Sales_data___Copy[[#This Row],[Total_Orders_Per_Customer]],Table2[F-Cutoff],1)</f>
        <v>3</v>
      </c>
      <c r="Y2076" s="2">
        <f>MATCH(Auto_Sales_data___Copy[[#This Row],[Total_Sales_Per_Customer]],Table2[M-Cutoff],1)</f>
        <v>2</v>
      </c>
      <c r="Z2076" s="2" t="str">
        <f>Auto_Sales_data___Copy[[#This Row],[R-Score(1-5)]]&amp;Auto_Sales_data___Copy[[#This Row],[F-Score(1-5)]]&amp;Auto_Sales_data___Copy[[#This Row],[M-Score(1-5)]]</f>
        <v>232</v>
      </c>
      <c r="AA2076" s="2" t="str" cm="1">
        <f t="array" ref="AA20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6" s="2" t="str">
        <f>VLOOKUP(Auto_Sales_data___Copy[[#This Row],[Segment Name]],Table3[],2,FALSE)</f>
        <v>Re-Activation &amp; Re-Engagement</v>
      </c>
    </row>
    <row r="2077" spans="1:28" x14ac:dyDescent="0.25">
      <c r="A2077">
        <v>10284</v>
      </c>
      <c r="B2077">
        <v>21</v>
      </c>
      <c r="C2077">
        <v>71</v>
      </c>
      <c r="D2077">
        <v>2</v>
      </c>
      <c r="E2077">
        <v>1491</v>
      </c>
      <c r="F2077" s="1">
        <v>43698</v>
      </c>
      <c r="G2077" s="2" t="s">
        <v>19</v>
      </c>
      <c r="H2077" s="2" t="s">
        <v>607</v>
      </c>
      <c r="I2077">
        <v>72</v>
      </c>
      <c r="J2077" s="2" t="s">
        <v>692</v>
      </c>
      <c r="K2077" s="2" t="s">
        <v>582</v>
      </c>
      <c r="L2077" s="2" t="s">
        <v>583</v>
      </c>
      <c r="M2077" s="2" t="s">
        <v>584</v>
      </c>
      <c r="N2077" s="2" t="s">
        <v>585</v>
      </c>
      <c r="O2077" s="2" t="s">
        <v>586</v>
      </c>
      <c r="P2077" s="2" t="s">
        <v>73</v>
      </c>
      <c r="Q2077" s="2" t="s">
        <v>587</v>
      </c>
      <c r="R2077" s="2" t="s">
        <v>588</v>
      </c>
      <c r="S2077" s="2" t="s">
        <v>30</v>
      </c>
      <c r="T2077">
        <v>2326</v>
      </c>
      <c r="U2077">
        <f>VLOOKUP(Auto_Sales_data___Copy[[#This Row],[CUSTOMER_NAME]],$AF$2:$AH$90,2,FALSE)</f>
        <v>24</v>
      </c>
      <c r="V2077">
        <f>VLOOKUP(Auto_Sales_data___Copy[[#This Row],[CUSTOMER_NAME]],$AF$2:$AH$90,3,FALSE)</f>
        <v>79224.23</v>
      </c>
      <c r="W2077" s="2">
        <f>6-MATCH(Auto_Sales_data___Copy[[#This Row],[DAYS_SINCE_LAST_ORDER]],Table2[R-Cutoff],1)</f>
        <v>2</v>
      </c>
      <c r="X2077" s="2">
        <f>MATCH(Auto_Sales_data___Copy[[#This Row],[Total_Orders_Per_Customer]],Table2[F-Cutoff],1)</f>
        <v>3</v>
      </c>
      <c r="Y2077" s="2">
        <f>MATCH(Auto_Sales_data___Copy[[#This Row],[Total_Sales_Per_Customer]],Table2[M-Cutoff],1)</f>
        <v>2</v>
      </c>
      <c r="Z2077" s="2" t="str">
        <f>Auto_Sales_data___Copy[[#This Row],[R-Score(1-5)]]&amp;Auto_Sales_data___Copy[[#This Row],[F-Score(1-5)]]&amp;Auto_Sales_data___Copy[[#This Row],[M-Score(1-5)]]</f>
        <v>232</v>
      </c>
      <c r="AA2077" s="2" t="str" cm="1">
        <f t="array" ref="AA20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7" s="2" t="str">
        <f>VLOOKUP(Auto_Sales_data___Copy[[#This Row],[Segment Name]],Table3[],2,FALSE)</f>
        <v>Re-Activation &amp; Re-Engagement</v>
      </c>
    </row>
    <row r="2078" spans="1:28" x14ac:dyDescent="0.25">
      <c r="A2078">
        <v>10284</v>
      </c>
      <c r="B2078">
        <v>50</v>
      </c>
      <c r="C2078">
        <v>81.86</v>
      </c>
      <c r="D2078">
        <v>4</v>
      </c>
      <c r="E2078">
        <v>4093</v>
      </c>
      <c r="F2078" s="1">
        <v>43698</v>
      </c>
      <c r="G2078" s="2" t="s">
        <v>19</v>
      </c>
      <c r="H2078" s="2" t="s">
        <v>589</v>
      </c>
      <c r="I2078">
        <v>68</v>
      </c>
      <c r="J2078" s="2" t="s">
        <v>700</v>
      </c>
      <c r="K2078" s="2" t="s">
        <v>582</v>
      </c>
      <c r="L2078" s="2" t="s">
        <v>583</v>
      </c>
      <c r="M2078" s="2" t="s">
        <v>584</v>
      </c>
      <c r="N2078" s="2" t="s">
        <v>585</v>
      </c>
      <c r="O2078" s="2" t="s">
        <v>586</v>
      </c>
      <c r="P2078" s="2" t="s">
        <v>73</v>
      </c>
      <c r="Q2078" s="2" t="s">
        <v>587</v>
      </c>
      <c r="R2078" s="2" t="s">
        <v>588</v>
      </c>
      <c r="S2078" s="2" t="s">
        <v>46</v>
      </c>
      <c r="T2078">
        <v>2528</v>
      </c>
      <c r="U2078">
        <f>VLOOKUP(Auto_Sales_data___Copy[[#This Row],[CUSTOMER_NAME]],$AF$2:$AH$90,2,FALSE)</f>
        <v>24</v>
      </c>
      <c r="V2078">
        <f>VLOOKUP(Auto_Sales_data___Copy[[#This Row],[CUSTOMER_NAME]],$AF$2:$AH$90,3,FALSE)</f>
        <v>79224.23</v>
      </c>
      <c r="W2078" s="2">
        <f>6-MATCH(Auto_Sales_data___Copy[[#This Row],[DAYS_SINCE_LAST_ORDER]],Table2[R-Cutoff],1)</f>
        <v>2</v>
      </c>
      <c r="X2078" s="2">
        <f>MATCH(Auto_Sales_data___Copy[[#This Row],[Total_Orders_Per_Customer]],Table2[F-Cutoff],1)</f>
        <v>3</v>
      </c>
      <c r="Y2078" s="2">
        <f>MATCH(Auto_Sales_data___Copy[[#This Row],[Total_Sales_Per_Customer]],Table2[M-Cutoff],1)</f>
        <v>2</v>
      </c>
      <c r="Z2078" s="2" t="str">
        <f>Auto_Sales_data___Copy[[#This Row],[R-Score(1-5)]]&amp;Auto_Sales_data___Copy[[#This Row],[F-Score(1-5)]]&amp;Auto_Sales_data___Copy[[#This Row],[M-Score(1-5)]]</f>
        <v>232</v>
      </c>
      <c r="AA2078" s="2" t="str" cm="1">
        <f t="array" ref="AA20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8" s="2" t="str">
        <f>VLOOKUP(Auto_Sales_data___Copy[[#This Row],[Segment Name]],Table3[],2,FALSE)</f>
        <v>Re-Activation &amp; Re-Engagement</v>
      </c>
    </row>
    <row r="2079" spans="1:28" x14ac:dyDescent="0.25">
      <c r="A2079">
        <v>10316</v>
      </c>
      <c r="B2079">
        <v>47</v>
      </c>
      <c r="C2079">
        <v>76.930000000000007</v>
      </c>
      <c r="D2079">
        <v>11</v>
      </c>
      <c r="E2079">
        <v>3615.71</v>
      </c>
      <c r="F2079" s="1">
        <v>43770</v>
      </c>
      <c r="G2079" s="2" t="s">
        <v>19</v>
      </c>
      <c r="H2079" s="2" t="s">
        <v>589</v>
      </c>
      <c r="I2079">
        <v>65</v>
      </c>
      <c r="J2079" s="2" t="s">
        <v>684</v>
      </c>
      <c r="K2079" s="2" t="s">
        <v>404</v>
      </c>
      <c r="L2079" s="2" t="s">
        <v>405</v>
      </c>
      <c r="M2079" s="2" t="s">
        <v>406</v>
      </c>
      <c r="N2079" s="2" t="s">
        <v>407</v>
      </c>
      <c r="O2079" s="2" t="s">
        <v>408</v>
      </c>
      <c r="P2079" s="2" t="s">
        <v>171</v>
      </c>
      <c r="Q2079" s="2" t="s">
        <v>409</v>
      </c>
      <c r="R2079" s="2" t="s">
        <v>410</v>
      </c>
      <c r="S2079" s="2" t="s">
        <v>46</v>
      </c>
      <c r="T2079">
        <v>2061</v>
      </c>
      <c r="U2079">
        <f>VLOOKUP(Auto_Sales_data___Copy[[#This Row],[CUSTOMER_NAME]],$AF$2:$AH$90,2,FALSE)</f>
        <v>26</v>
      </c>
      <c r="V2079">
        <f>VLOOKUP(Auto_Sales_data___Copy[[#This Row],[CUSTOMER_NAME]],$AF$2:$AH$90,3,FALSE)</f>
        <v>78240.84</v>
      </c>
      <c r="W2079" s="2">
        <f>6-MATCH(Auto_Sales_data___Copy[[#This Row],[DAYS_SINCE_LAST_ORDER]],Table2[R-Cutoff],1)</f>
        <v>2</v>
      </c>
      <c r="X2079" s="2">
        <f>MATCH(Auto_Sales_data___Copy[[#This Row],[Total_Orders_Per_Customer]],Table2[F-Cutoff],1)</f>
        <v>3</v>
      </c>
      <c r="Y2079" s="2">
        <f>MATCH(Auto_Sales_data___Copy[[#This Row],[Total_Sales_Per_Customer]],Table2[M-Cutoff],1)</f>
        <v>2</v>
      </c>
      <c r="Z2079" s="2" t="str">
        <f>Auto_Sales_data___Copy[[#This Row],[R-Score(1-5)]]&amp;Auto_Sales_data___Copy[[#This Row],[F-Score(1-5)]]&amp;Auto_Sales_data___Copy[[#This Row],[M-Score(1-5)]]</f>
        <v>232</v>
      </c>
      <c r="AA2079" s="2" t="str" cm="1">
        <f t="array" ref="AA20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9" s="2" t="str">
        <f>VLOOKUP(Auto_Sales_data___Copy[[#This Row],[Segment Name]],Table3[],2,FALSE)</f>
        <v>Re-Activation &amp; Re-Engagement</v>
      </c>
    </row>
    <row r="2080" spans="1:28" x14ac:dyDescent="0.25">
      <c r="A2080">
        <v>10316</v>
      </c>
      <c r="B2080">
        <v>25</v>
      </c>
      <c r="C2080">
        <v>92.25</v>
      </c>
      <c r="D2080">
        <v>16</v>
      </c>
      <c r="E2080">
        <v>2306.25</v>
      </c>
      <c r="F2080" s="1">
        <v>43770</v>
      </c>
      <c r="G2080" s="2" t="s">
        <v>19</v>
      </c>
      <c r="H2080" s="2" t="s">
        <v>589</v>
      </c>
      <c r="I2080">
        <v>83</v>
      </c>
      <c r="J2080" s="2" t="s">
        <v>686</v>
      </c>
      <c r="K2080" s="2" t="s">
        <v>404</v>
      </c>
      <c r="L2080" s="2" t="s">
        <v>405</v>
      </c>
      <c r="M2080" s="2" t="s">
        <v>406</v>
      </c>
      <c r="N2080" s="2" t="s">
        <v>407</v>
      </c>
      <c r="O2080" s="2" t="s">
        <v>408</v>
      </c>
      <c r="P2080" s="2" t="s">
        <v>171</v>
      </c>
      <c r="Q2080" s="2" t="s">
        <v>409</v>
      </c>
      <c r="R2080" s="2" t="s">
        <v>410</v>
      </c>
      <c r="S2080" s="2" t="s">
        <v>30</v>
      </c>
      <c r="T2080">
        <v>2110</v>
      </c>
      <c r="U2080">
        <f>VLOOKUP(Auto_Sales_data___Copy[[#This Row],[CUSTOMER_NAME]],$AF$2:$AH$90,2,FALSE)</f>
        <v>26</v>
      </c>
      <c r="V2080">
        <f>VLOOKUP(Auto_Sales_data___Copy[[#This Row],[CUSTOMER_NAME]],$AF$2:$AH$90,3,FALSE)</f>
        <v>78240.84</v>
      </c>
      <c r="W2080" s="2">
        <f>6-MATCH(Auto_Sales_data___Copy[[#This Row],[DAYS_SINCE_LAST_ORDER]],Table2[R-Cutoff],1)</f>
        <v>2</v>
      </c>
      <c r="X2080" s="2">
        <f>MATCH(Auto_Sales_data___Copy[[#This Row],[Total_Orders_Per_Customer]],Table2[F-Cutoff],1)</f>
        <v>3</v>
      </c>
      <c r="Y2080" s="2">
        <f>MATCH(Auto_Sales_data___Copy[[#This Row],[Total_Sales_Per_Customer]],Table2[M-Cutoff],1)</f>
        <v>2</v>
      </c>
      <c r="Z2080" s="2" t="str">
        <f>Auto_Sales_data___Copy[[#This Row],[R-Score(1-5)]]&amp;Auto_Sales_data___Copy[[#This Row],[F-Score(1-5)]]&amp;Auto_Sales_data___Copy[[#This Row],[M-Score(1-5)]]</f>
        <v>232</v>
      </c>
      <c r="AA2080" s="2" t="str" cm="1">
        <f t="array" ref="AA20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0" s="2" t="str">
        <f>VLOOKUP(Auto_Sales_data___Copy[[#This Row],[Segment Name]],Table3[],2,FALSE)</f>
        <v>Re-Activation &amp; Re-Engagement</v>
      </c>
    </row>
    <row r="2081" spans="1:28" x14ac:dyDescent="0.25">
      <c r="A2081">
        <v>10316</v>
      </c>
      <c r="B2081">
        <v>30</v>
      </c>
      <c r="C2081">
        <v>77.790000000000006</v>
      </c>
      <c r="D2081">
        <v>8</v>
      </c>
      <c r="E2081">
        <v>2333.6999999999998</v>
      </c>
      <c r="F2081" s="1">
        <v>43770</v>
      </c>
      <c r="G2081" s="2" t="s">
        <v>19</v>
      </c>
      <c r="H2081" s="2" t="s">
        <v>607</v>
      </c>
      <c r="I2081">
        <v>68</v>
      </c>
      <c r="J2081" s="2" t="s">
        <v>688</v>
      </c>
      <c r="K2081" s="2" t="s">
        <v>404</v>
      </c>
      <c r="L2081" s="2" t="s">
        <v>405</v>
      </c>
      <c r="M2081" s="2" t="s">
        <v>406</v>
      </c>
      <c r="N2081" s="2" t="s">
        <v>407</v>
      </c>
      <c r="O2081" s="2" t="s">
        <v>408</v>
      </c>
      <c r="P2081" s="2" t="s">
        <v>171</v>
      </c>
      <c r="Q2081" s="2" t="s">
        <v>409</v>
      </c>
      <c r="R2081" s="2" t="s">
        <v>410</v>
      </c>
      <c r="S2081" s="2" t="s">
        <v>30</v>
      </c>
      <c r="T2081">
        <v>2162</v>
      </c>
      <c r="U2081">
        <f>VLOOKUP(Auto_Sales_data___Copy[[#This Row],[CUSTOMER_NAME]],$AF$2:$AH$90,2,FALSE)</f>
        <v>26</v>
      </c>
      <c r="V2081">
        <f>VLOOKUP(Auto_Sales_data___Copy[[#This Row],[CUSTOMER_NAME]],$AF$2:$AH$90,3,FALSE)</f>
        <v>78240.84</v>
      </c>
      <c r="W2081" s="2">
        <f>6-MATCH(Auto_Sales_data___Copy[[#This Row],[DAYS_SINCE_LAST_ORDER]],Table2[R-Cutoff],1)</f>
        <v>2</v>
      </c>
      <c r="X2081" s="2">
        <f>MATCH(Auto_Sales_data___Copy[[#This Row],[Total_Orders_Per_Customer]],Table2[F-Cutoff],1)</f>
        <v>3</v>
      </c>
      <c r="Y2081" s="2">
        <f>MATCH(Auto_Sales_data___Copy[[#This Row],[Total_Sales_Per_Customer]],Table2[M-Cutoff],1)</f>
        <v>2</v>
      </c>
      <c r="Z2081" s="2" t="str">
        <f>Auto_Sales_data___Copy[[#This Row],[R-Score(1-5)]]&amp;Auto_Sales_data___Copy[[#This Row],[F-Score(1-5)]]&amp;Auto_Sales_data___Copy[[#This Row],[M-Score(1-5)]]</f>
        <v>232</v>
      </c>
      <c r="AA2081" s="2" t="str" cm="1">
        <f t="array" ref="AA20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1" s="2" t="str">
        <f>VLOOKUP(Auto_Sales_data___Copy[[#This Row],[Segment Name]],Table3[],2,FALSE)</f>
        <v>Re-Activation &amp; Re-Engagement</v>
      </c>
    </row>
    <row r="2082" spans="1:28" x14ac:dyDescent="0.25">
      <c r="A2082">
        <v>10316</v>
      </c>
      <c r="B2082">
        <v>24</v>
      </c>
      <c r="C2082">
        <v>59.16</v>
      </c>
      <c r="D2082">
        <v>2</v>
      </c>
      <c r="E2082">
        <v>1419.84</v>
      </c>
      <c r="F2082" s="1">
        <v>43770</v>
      </c>
      <c r="G2082" s="2" t="s">
        <v>19</v>
      </c>
      <c r="H2082" s="2" t="s">
        <v>589</v>
      </c>
      <c r="I2082">
        <v>68</v>
      </c>
      <c r="J2082" s="2" t="s">
        <v>700</v>
      </c>
      <c r="K2082" s="2" t="s">
        <v>404</v>
      </c>
      <c r="L2082" s="2" t="s">
        <v>405</v>
      </c>
      <c r="M2082" s="2" t="s">
        <v>406</v>
      </c>
      <c r="N2082" s="2" t="s">
        <v>407</v>
      </c>
      <c r="O2082" s="2" t="s">
        <v>408</v>
      </c>
      <c r="P2082" s="2" t="s">
        <v>171</v>
      </c>
      <c r="Q2082" s="2" t="s">
        <v>409</v>
      </c>
      <c r="R2082" s="2" t="s">
        <v>410</v>
      </c>
      <c r="S2082" s="2" t="s">
        <v>30</v>
      </c>
      <c r="T2082">
        <v>2459</v>
      </c>
      <c r="U2082">
        <f>VLOOKUP(Auto_Sales_data___Copy[[#This Row],[CUSTOMER_NAME]],$AF$2:$AH$90,2,FALSE)</f>
        <v>26</v>
      </c>
      <c r="V2082">
        <f>VLOOKUP(Auto_Sales_data___Copy[[#This Row],[CUSTOMER_NAME]],$AF$2:$AH$90,3,FALSE)</f>
        <v>78240.84</v>
      </c>
      <c r="W2082" s="2">
        <f>6-MATCH(Auto_Sales_data___Copy[[#This Row],[DAYS_SINCE_LAST_ORDER]],Table2[R-Cutoff],1)</f>
        <v>2</v>
      </c>
      <c r="X2082" s="2">
        <f>MATCH(Auto_Sales_data___Copy[[#This Row],[Total_Orders_Per_Customer]],Table2[F-Cutoff],1)</f>
        <v>3</v>
      </c>
      <c r="Y2082" s="2">
        <f>MATCH(Auto_Sales_data___Copy[[#This Row],[Total_Sales_Per_Customer]],Table2[M-Cutoff],1)</f>
        <v>2</v>
      </c>
      <c r="Z2082" s="2" t="str">
        <f>Auto_Sales_data___Copy[[#This Row],[R-Score(1-5)]]&amp;Auto_Sales_data___Copy[[#This Row],[F-Score(1-5)]]&amp;Auto_Sales_data___Copy[[#This Row],[M-Score(1-5)]]</f>
        <v>232</v>
      </c>
      <c r="AA2082" s="2" t="str" cm="1">
        <f t="array" ref="AA20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2" s="2" t="str">
        <f>VLOOKUP(Auto_Sales_data___Copy[[#This Row],[Segment Name]],Table3[],2,FALSE)</f>
        <v>Re-Activation &amp; Re-Engagement</v>
      </c>
    </row>
    <row r="2083" spans="1:28" x14ac:dyDescent="0.25">
      <c r="A2083">
        <v>10316</v>
      </c>
      <c r="B2083">
        <v>34</v>
      </c>
      <c r="C2083">
        <v>47.57</v>
      </c>
      <c r="D2083">
        <v>3</v>
      </c>
      <c r="E2083">
        <v>1617.38</v>
      </c>
      <c r="F2083" s="1">
        <v>43770</v>
      </c>
      <c r="G2083" s="2" t="s">
        <v>19</v>
      </c>
      <c r="H2083" s="2" t="s">
        <v>589</v>
      </c>
      <c r="I2083">
        <v>43</v>
      </c>
      <c r="J2083" s="2" t="s">
        <v>702</v>
      </c>
      <c r="K2083" s="2" t="s">
        <v>404</v>
      </c>
      <c r="L2083" s="2" t="s">
        <v>405</v>
      </c>
      <c r="M2083" s="2" t="s">
        <v>406</v>
      </c>
      <c r="N2083" s="2" t="s">
        <v>407</v>
      </c>
      <c r="O2083" s="2" t="s">
        <v>408</v>
      </c>
      <c r="P2083" s="2" t="s">
        <v>171</v>
      </c>
      <c r="Q2083" s="2" t="s">
        <v>409</v>
      </c>
      <c r="R2083" s="2" t="s">
        <v>410</v>
      </c>
      <c r="S2083" s="2" t="s">
        <v>30</v>
      </c>
      <c r="T2083">
        <v>2509</v>
      </c>
      <c r="U2083">
        <f>VLOOKUP(Auto_Sales_data___Copy[[#This Row],[CUSTOMER_NAME]],$AF$2:$AH$90,2,FALSE)</f>
        <v>26</v>
      </c>
      <c r="V2083">
        <f>VLOOKUP(Auto_Sales_data___Copy[[#This Row],[CUSTOMER_NAME]],$AF$2:$AH$90,3,FALSE)</f>
        <v>78240.84</v>
      </c>
      <c r="W2083" s="2">
        <f>6-MATCH(Auto_Sales_data___Copy[[#This Row],[DAYS_SINCE_LAST_ORDER]],Table2[R-Cutoff],1)</f>
        <v>2</v>
      </c>
      <c r="X2083" s="2">
        <f>MATCH(Auto_Sales_data___Copy[[#This Row],[Total_Orders_Per_Customer]],Table2[F-Cutoff],1)</f>
        <v>3</v>
      </c>
      <c r="Y2083" s="2">
        <f>MATCH(Auto_Sales_data___Copy[[#This Row],[Total_Sales_Per_Customer]],Table2[M-Cutoff],1)</f>
        <v>2</v>
      </c>
      <c r="Z2083" s="2" t="str">
        <f>Auto_Sales_data___Copy[[#This Row],[R-Score(1-5)]]&amp;Auto_Sales_data___Copy[[#This Row],[F-Score(1-5)]]&amp;Auto_Sales_data___Copy[[#This Row],[M-Score(1-5)]]</f>
        <v>232</v>
      </c>
      <c r="AA2083" s="2" t="str" cm="1">
        <f t="array" ref="AA20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3" s="2" t="str">
        <f>VLOOKUP(Auto_Sales_data___Copy[[#This Row],[Segment Name]],Table3[],2,FALSE)</f>
        <v>Re-Activation &amp; Re-Engagement</v>
      </c>
    </row>
    <row r="2084" spans="1:28" x14ac:dyDescent="0.25">
      <c r="A2084">
        <v>10364</v>
      </c>
      <c r="B2084">
        <v>48</v>
      </c>
      <c r="C2084">
        <v>48.28</v>
      </c>
      <c r="D2084">
        <v>1</v>
      </c>
      <c r="E2084">
        <v>2317.44</v>
      </c>
      <c r="F2084" s="1">
        <v>43836</v>
      </c>
      <c r="G2084" s="2" t="s">
        <v>19</v>
      </c>
      <c r="H2084" s="2" t="s">
        <v>20</v>
      </c>
      <c r="I2084">
        <v>40</v>
      </c>
      <c r="J2084" s="2" t="s">
        <v>696</v>
      </c>
      <c r="K2084" s="2" t="s">
        <v>458</v>
      </c>
      <c r="L2084" s="2" t="s">
        <v>459</v>
      </c>
      <c r="M2084" s="2" t="s">
        <v>460</v>
      </c>
      <c r="N2084" s="2" t="s">
        <v>461</v>
      </c>
      <c r="O2084" s="2" t="s">
        <v>462</v>
      </c>
      <c r="P2084" s="2" t="s">
        <v>36</v>
      </c>
      <c r="Q2084" s="2" t="s">
        <v>463</v>
      </c>
      <c r="R2084" s="2" t="s">
        <v>464</v>
      </c>
      <c r="S2084" s="2" t="s">
        <v>30</v>
      </c>
      <c r="T2084">
        <v>2295</v>
      </c>
      <c r="U2084">
        <f>VLOOKUP(Auto_Sales_data___Copy[[#This Row],[CUSTOMER_NAME]],$AF$2:$AH$90,2,FALSE)</f>
        <v>25</v>
      </c>
      <c r="V2084">
        <f>VLOOKUP(Auto_Sales_data___Copy[[#This Row],[CUSTOMER_NAME]],$AF$2:$AH$90,3,FALSE)</f>
        <v>74936.14</v>
      </c>
      <c r="W2084" s="2">
        <f>6-MATCH(Auto_Sales_data___Copy[[#This Row],[DAYS_SINCE_LAST_ORDER]],Table2[R-Cutoff],1)</f>
        <v>2</v>
      </c>
      <c r="X2084" s="2">
        <f>MATCH(Auto_Sales_data___Copy[[#This Row],[Total_Orders_Per_Customer]],Table2[F-Cutoff],1)</f>
        <v>3</v>
      </c>
      <c r="Y2084" s="2">
        <f>MATCH(Auto_Sales_data___Copy[[#This Row],[Total_Sales_Per_Customer]],Table2[M-Cutoff],1)</f>
        <v>2</v>
      </c>
      <c r="Z2084" s="2" t="str">
        <f>Auto_Sales_data___Copy[[#This Row],[R-Score(1-5)]]&amp;Auto_Sales_data___Copy[[#This Row],[F-Score(1-5)]]&amp;Auto_Sales_data___Copy[[#This Row],[M-Score(1-5)]]</f>
        <v>232</v>
      </c>
      <c r="AA2084" s="2" t="str" cm="1">
        <f t="array" ref="AA20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4" s="2" t="str">
        <f>VLOOKUP(Auto_Sales_data___Copy[[#This Row],[Segment Name]],Table3[],2,FALSE)</f>
        <v>Re-Activation &amp; Re-Engagement</v>
      </c>
    </row>
    <row r="2085" spans="1:28" x14ac:dyDescent="0.25">
      <c r="A2085">
        <v>10423</v>
      </c>
      <c r="B2085">
        <v>28</v>
      </c>
      <c r="C2085">
        <v>78.89</v>
      </c>
      <c r="D2085">
        <v>4</v>
      </c>
      <c r="E2085">
        <v>2208.92</v>
      </c>
      <c r="F2085" s="1">
        <v>43981</v>
      </c>
      <c r="G2085" s="2" t="s">
        <v>314</v>
      </c>
      <c r="H2085" s="2" t="s">
        <v>589</v>
      </c>
      <c r="I2085">
        <v>97</v>
      </c>
      <c r="J2085" s="2" t="s">
        <v>691</v>
      </c>
      <c r="K2085" s="2" t="s">
        <v>384</v>
      </c>
      <c r="L2085" s="2" t="s">
        <v>385</v>
      </c>
      <c r="M2085" s="2" t="s">
        <v>386</v>
      </c>
      <c r="N2085" s="2" t="s">
        <v>387</v>
      </c>
      <c r="O2085" s="2" t="s">
        <v>388</v>
      </c>
      <c r="P2085" s="2" t="s">
        <v>389</v>
      </c>
      <c r="Q2085" s="2" t="s">
        <v>390</v>
      </c>
      <c r="R2085" s="2" t="s">
        <v>391</v>
      </c>
      <c r="S2085" s="2" t="s">
        <v>30</v>
      </c>
      <c r="T2085">
        <v>2031</v>
      </c>
      <c r="U2085">
        <f>VLOOKUP(Auto_Sales_data___Copy[[#This Row],[CUSTOMER_NAME]],$AF$2:$AH$90,2,FALSE)</f>
        <v>25</v>
      </c>
      <c r="V2085">
        <f>VLOOKUP(Auto_Sales_data___Copy[[#This Row],[CUSTOMER_NAME]],$AF$2:$AH$90,3,FALSE)</f>
        <v>74972.52</v>
      </c>
      <c r="W2085" s="2">
        <f>6-MATCH(Auto_Sales_data___Copy[[#This Row],[DAYS_SINCE_LAST_ORDER]],Table2[R-Cutoff],1)</f>
        <v>2</v>
      </c>
      <c r="X2085" s="2">
        <f>MATCH(Auto_Sales_data___Copy[[#This Row],[Total_Orders_Per_Customer]],Table2[F-Cutoff],1)</f>
        <v>3</v>
      </c>
      <c r="Y2085" s="2">
        <f>MATCH(Auto_Sales_data___Copy[[#This Row],[Total_Sales_Per_Customer]],Table2[M-Cutoff],1)</f>
        <v>2</v>
      </c>
      <c r="Z2085" s="2" t="str">
        <f>Auto_Sales_data___Copy[[#This Row],[R-Score(1-5)]]&amp;Auto_Sales_data___Copy[[#This Row],[F-Score(1-5)]]&amp;Auto_Sales_data___Copy[[#This Row],[M-Score(1-5)]]</f>
        <v>232</v>
      </c>
      <c r="AA2085" s="2" t="str" cm="1">
        <f t="array" ref="AA20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5" s="2" t="str">
        <f>VLOOKUP(Auto_Sales_data___Copy[[#This Row],[Segment Name]],Table3[],2,FALSE)</f>
        <v>Re-Activation &amp; Re-Engagement</v>
      </c>
    </row>
    <row r="2086" spans="1:28" x14ac:dyDescent="0.25">
      <c r="A2086">
        <v>10101</v>
      </c>
      <c r="B2086">
        <v>45</v>
      </c>
      <c r="C2086">
        <v>31.2</v>
      </c>
      <c r="D2086">
        <v>3</v>
      </c>
      <c r="E2086">
        <v>1404</v>
      </c>
      <c r="F2086" s="1">
        <v>43109</v>
      </c>
      <c r="G2086" s="2" t="s">
        <v>19</v>
      </c>
      <c r="H2086" s="2" t="s">
        <v>589</v>
      </c>
      <c r="I2086">
        <v>33</v>
      </c>
      <c r="J2086" s="2" t="s">
        <v>670</v>
      </c>
      <c r="K2086" s="2" t="s">
        <v>492</v>
      </c>
      <c r="L2086" s="2" t="s">
        <v>493</v>
      </c>
      <c r="M2086" s="2" t="s">
        <v>494</v>
      </c>
      <c r="N2086" s="2" t="s">
        <v>495</v>
      </c>
      <c r="O2086" s="2" t="s">
        <v>496</v>
      </c>
      <c r="P2086" s="2" t="s">
        <v>470</v>
      </c>
      <c r="Q2086" s="2" t="s">
        <v>497</v>
      </c>
      <c r="R2086" s="2" t="s">
        <v>438</v>
      </c>
      <c r="S2086" s="2" t="s">
        <v>30</v>
      </c>
      <c r="T2086">
        <v>2360</v>
      </c>
      <c r="U2086">
        <f>VLOOKUP(Auto_Sales_data___Copy[[#This Row],[CUSTOMER_NAME]],$AF$2:$AH$90,2,FALSE)</f>
        <v>22</v>
      </c>
      <c r="V2086">
        <f>VLOOKUP(Auto_Sales_data___Copy[[#This Row],[CUSTOMER_NAME]],$AF$2:$AH$90,3,FALSE)</f>
        <v>85171.59</v>
      </c>
      <c r="W2086" s="2">
        <f>6-MATCH(Auto_Sales_data___Copy[[#This Row],[DAYS_SINCE_LAST_ORDER]],Table2[R-Cutoff],1)</f>
        <v>2</v>
      </c>
      <c r="X2086" s="2">
        <f>MATCH(Auto_Sales_data___Copy[[#This Row],[Total_Orders_Per_Customer]],Table2[F-Cutoff],1)</f>
        <v>2</v>
      </c>
      <c r="Y2086" s="2">
        <f>MATCH(Auto_Sales_data___Copy[[#This Row],[Total_Sales_Per_Customer]],Table2[M-Cutoff],1)</f>
        <v>3</v>
      </c>
      <c r="Z2086" s="2" t="str">
        <f>Auto_Sales_data___Copy[[#This Row],[R-Score(1-5)]]&amp;Auto_Sales_data___Copy[[#This Row],[F-Score(1-5)]]&amp;Auto_Sales_data___Copy[[#This Row],[M-Score(1-5)]]</f>
        <v>223</v>
      </c>
      <c r="AA2086" s="2" t="str" cm="1">
        <f t="array" ref="AA20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86" s="2" t="str">
        <f>VLOOKUP(Auto_Sales_data___Copy[[#This Row],[Segment Name]],Table3[],2,FALSE)</f>
        <v>Brand Awareness &amp; Value Proposition</v>
      </c>
    </row>
    <row r="2087" spans="1:28" x14ac:dyDescent="0.25">
      <c r="A2087">
        <v>10101</v>
      </c>
      <c r="B2087">
        <v>46</v>
      </c>
      <c r="C2087">
        <v>53.76</v>
      </c>
      <c r="D2087">
        <v>2</v>
      </c>
      <c r="E2087">
        <v>2472.96</v>
      </c>
      <c r="F2087" s="1">
        <v>43109</v>
      </c>
      <c r="G2087" s="2" t="s">
        <v>19</v>
      </c>
      <c r="H2087" s="2" t="s">
        <v>589</v>
      </c>
      <c r="I2087">
        <v>44</v>
      </c>
      <c r="J2087" s="2" t="s">
        <v>673</v>
      </c>
      <c r="K2087" s="2" t="s">
        <v>492</v>
      </c>
      <c r="L2087" s="2" t="s">
        <v>493</v>
      </c>
      <c r="M2087" s="2" t="s">
        <v>494</v>
      </c>
      <c r="N2087" s="2" t="s">
        <v>495</v>
      </c>
      <c r="O2087" s="2" t="s">
        <v>496</v>
      </c>
      <c r="P2087" s="2" t="s">
        <v>470</v>
      </c>
      <c r="Q2087" s="2" t="s">
        <v>497</v>
      </c>
      <c r="R2087" s="2" t="s">
        <v>438</v>
      </c>
      <c r="S2087" s="2" t="s">
        <v>30</v>
      </c>
      <c r="T2087">
        <v>2434</v>
      </c>
      <c r="U2087">
        <f>VLOOKUP(Auto_Sales_data___Copy[[#This Row],[CUSTOMER_NAME]],$AF$2:$AH$90,2,FALSE)</f>
        <v>22</v>
      </c>
      <c r="V2087">
        <f>VLOOKUP(Auto_Sales_data___Copy[[#This Row],[CUSTOMER_NAME]],$AF$2:$AH$90,3,FALSE)</f>
        <v>85171.59</v>
      </c>
      <c r="W2087" s="2">
        <f>6-MATCH(Auto_Sales_data___Copy[[#This Row],[DAYS_SINCE_LAST_ORDER]],Table2[R-Cutoff],1)</f>
        <v>2</v>
      </c>
      <c r="X2087" s="2">
        <f>MATCH(Auto_Sales_data___Copy[[#This Row],[Total_Orders_Per_Customer]],Table2[F-Cutoff],1)</f>
        <v>2</v>
      </c>
      <c r="Y2087" s="2">
        <f>MATCH(Auto_Sales_data___Copy[[#This Row],[Total_Sales_Per_Customer]],Table2[M-Cutoff],1)</f>
        <v>3</v>
      </c>
      <c r="Z2087" s="2" t="str">
        <f>Auto_Sales_data___Copy[[#This Row],[R-Score(1-5)]]&amp;Auto_Sales_data___Copy[[#This Row],[F-Score(1-5)]]&amp;Auto_Sales_data___Copy[[#This Row],[M-Score(1-5)]]</f>
        <v>223</v>
      </c>
      <c r="AA2087" s="2" t="str" cm="1">
        <f t="array" ref="AA20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87" s="2" t="str">
        <f>VLOOKUP(Auto_Sales_data___Copy[[#This Row],[Segment Name]],Table3[],2,FALSE)</f>
        <v>Brand Awareness &amp; Value Proposition</v>
      </c>
    </row>
    <row r="2088" spans="1:28" x14ac:dyDescent="0.25">
      <c r="A2088">
        <v>10109</v>
      </c>
      <c r="B2088">
        <v>29</v>
      </c>
      <c r="C2088">
        <v>32.1</v>
      </c>
      <c r="D2088">
        <v>6</v>
      </c>
      <c r="E2088">
        <v>930.9</v>
      </c>
      <c r="F2088" s="1">
        <v>43169</v>
      </c>
      <c r="G2088" s="2" t="s">
        <v>19</v>
      </c>
      <c r="H2088" s="2" t="s">
        <v>183</v>
      </c>
      <c r="I2088">
        <v>37</v>
      </c>
      <c r="J2088" s="2" t="s">
        <v>680</v>
      </c>
      <c r="K2088" s="2" t="s">
        <v>323</v>
      </c>
      <c r="L2088" s="2" t="s">
        <v>324</v>
      </c>
      <c r="M2088" s="2" t="s">
        <v>325</v>
      </c>
      <c r="N2088" s="2" t="s">
        <v>220</v>
      </c>
      <c r="O2088" s="2" t="s">
        <v>221</v>
      </c>
      <c r="P2088" s="2" t="s">
        <v>27</v>
      </c>
      <c r="Q2088" s="2" t="s">
        <v>120</v>
      </c>
      <c r="R2088" s="2" t="s">
        <v>326</v>
      </c>
      <c r="S2088" s="2" t="s">
        <v>30</v>
      </c>
      <c r="T2088">
        <v>2547</v>
      </c>
      <c r="U2088">
        <f>VLOOKUP(Auto_Sales_data___Copy[[#This Row],[CUSTOMER_NAME]],$AF$2:$AH$90,2,FALSE)</f>
        <v>23</v>
      </c>
      <c r="V2088">
        <f>VLOOKUP(Auto_Sales_data___Copy[[#This Row],[CUSTOMER_NAME]],$AF$2:$AH$90,3,FALSE)</f>
        <v>83682.16</v>
      </c>
      <c r="W2088" s="2">
        <f>6-MATCH(Auto_Sales_data___Copy[[#This Row],[DAYS_SINCE_LAST_ORDER]],Table2[R-Cutoff],1)</f>
        <v>2</v>
      </c>
      <c r="X2088" s="2">
        <f>MATCH(Auto_Sales_data___Copy[[#This Row],[Total_Orders_Per_Customer]],Table2[F-Cutoff],1)</f>
        <v>2</v>
      </c>
      <c r="Y2088" s="2">
        <f>MATCH(Auto_Sales_data___Copy[[#This Row],[Total_Sales_Per_Customer]],Table2[M-Cutoff],1)</f>
        <v>3</v>
      </c>
      <c r="Z2088" s="2" t="str">
        <f>Auto_Sales_data___Copy[[#This Row],[R-Score(1-5)]]&amp;Auto_Sales_data___Copy[[#This Row],[F-Score(1-5)]]&amp;Auto_Sales_data___Copy[[#This Row],[M-Score(1-5)]]</f>
        <v>223</v>
      </c>
      <c r="AA2088" s="2" t="str" cm="1">
        <f t="array" ref="AA20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88" s="2" t="str">
        <f>VLOOKUP(Auto_Sales_data___Copy[[#This Row],[Segment Name]],Table3[],2,FALSE)</f>
        <v>Brand Awareness &amp; Value Proposition</v>
      </c>
    </row>
    <row r="2089" spans="1:28" x14ac:dyDescent="0.25">
      <c r="A2089">
        <v>10114</v>
      </c>
      <c r="B2089">
        <v>41</v>
      </c>
      <c r="C2089">
        <v>117.45</v>
      </c>
      <c r="D2089">
        <v>9</v>
      </c>
      <c r="E2089">
        <v>4815.45</v>
      </c>
      <c r="F2089" s="1">
        <v>43191</v>
      </c>
      <c r="G2089" s="2" t="s">
        <v>19</v>
      </c>
      <c r="H2089" s="2" t="s">
        <v>537</v>
      </c>
      <c r="I2089">
        <v>121</v>
      </c>
      <c r="J2089" s="2" t="s">
        <v>661</v>
      </c>
      <c r="K2089" s="2" t="s">
        <v>425</v>
      </c>
      <c r="L2089" s="2" t="s">
        <v>426</v>
      </c>
      <c r="M2089" s="2" t="s">
        <v>427</v>
      </c>
      <c r="N2089" s="2" t="s">
        <v>42</v>
      </c>
      <c r="O2089" s="2" t="s">
        <v>428</v>
      </c>
      <c r="P2089" s="2" t="s">
        <v>36</v>
      </c>
      <c r="Q2089" s="2" t="s">
        <v>429</v>
      </c>
      <c r="R2089" s="2" t="s">
        <v>430</v>
      </c>
      <c r="S2089" s="2" t="s">
        <v>46</v>
      </c>
      <c r="T2089">
        <v>2059</v>
      </c>
      <c r="U2089">
        <f>VLOOKUP(Auto_Sales_data___Copy[[#This Row],[CUSTOMER_NAME]],$AF$2:$AH$90,2,FALSE)</f>
        <v>23</v>
      </c>
      <c r="V2089">
        <f>VLOOKUP(Auto_Sales_data___Copy[[#This Row],[CUSTOMER_NAME]],$AF$2:$AH$90,3,FALSE)</f>
        <v>97203.680000000008</v>
      </c>
      <c r="W2089" s="2">
        <f>6-MATCH(Auto_Sales_data___Copy[[#This Row],[DAYS_SINCE_LAST_ORDER]],Table2[R-Cutoff],1)</f>
        <v>2</v>
      </c>
      <c r="X2089" s="2">
        <f>MATCH(Auto_Sales_data___Copy[[#This Row],[Total_Orders_Per_Customer]],Table2[F-Cutoff],1)</f>
        <v>2</v>
      </c>
      <c r="Y2089" s="2">
        <f>MATCH(Auto_Sales_data___Copy[[#This Row],[Total_Sales_Per_Customer]],Table2[M-Cutoff],1)</f>
        <v>3</v>
      </c>
      <c r="Z2089" s="2" t="str">
        <f>Auto_Sales_data___Copy[[#This Row],[R-Score(1-5)]]&amp;Auto_Sales_data___Copy[[#This Row],[F-Score(1-5)]]&amp;Auto_Sales_data___Copy[[#This Row],[M-Score(1-5)]]</f>
        <v>223</v>
      </c>
      <c r="AA2089" s="2" t="str" cm="1">
        <f t="array" ref="AA20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89" s="2" t="str">
        <f>VLOOKUP(Auto_Sales_data___Copy[[#This Row],[Segment Name]],Table3[],2,FALSE)</f>
        <v>Brand Awareness &amp; Value Proposition</v>
      </c>
    </row>
    <row r="2090" spans="1:28" x14ac:dyDescent="0.25">
      <c r="A2090">
        <v>10114</v>
      </c>
      <c r="B2090">
        <v>21</v>
      </c>
      <c r="C2090">
        <v>139.29</v>
      </c>
      <c r="D2090">
        <v>5</v>
      </c>
      <c r="E2090">
        <v>2925.09</v>
      </c>
      <c r="F2090" s="1">
        <v>43191</v>
      </c>
      <c r="G2090" s="2" t="s">
        <v>19</v>
      </c>
      <c r="H2090" s="2" t="s">
        <v>537</v>
      </c>
      <c r="I2090">
        <v>127</v>
      </c>
      <c r="J2090" s="2" t="s">
        <v>674</v>
      </c>
      <c r="K2090" s="2" t="s">
        <v>425</v>
      </c>
      <c r="L2090" s="2" t="s">
        <v>426</v>
      </c>
      <c r="M2090" s="2" t="s">
        <v>427</v>
      </c>
      <c r="N2090" s="2" t="s">
        <v>42</v>
      </c>
      <c r="O2090" s="2" t="s">
        <v>428</v>
      </c>
      <c r="P2090" s="2" t="s">
        <v>36</v>
      </c>
      <c r="Q2090" s="2" t="s">
        <v>429</v>
      </c>
      <c r="R2090" s="2" t="s">
        <v>430</v>
      </c>
      <c r="S2090" s="2" t="s">
        <v>30</v>
      </c>
      <c r="T2090">
        <v>2377</v>
      </c>
      <c r="U2090">
        <f>VLOOKUP(Auto_Sales_data___Copy[[#This Row],[CUSTOMER_NAME]],$AF$2:$AH$90,2,FALSE)</f>
        <v>23</v>
      </c>
      <c r="V2090">
        <f>VLOOKUP(Auto_Sales_data___Copy[[#This Row],[CUSTOMER_NAME]],$AF$2:$AH$90,3,FALSE)</f>
        <v>97203.680000000008</v>
      </c>
      <c r="W2090" s="2">
        <f>6-MATCH(Auto_Sales_data___Copy[[#This Row],[DAYS_SINCE_LAST_ORDER]],Table2[R-Cutoff],1)</f>
        <v>2</v>
      </c>
      <c r="X2090" s="2">
        <f>MATCH(Auto_Sales_data___Copy[[#This Row],[Total_Orders_Per_Customer]],Table2[F-Cutoff],1)</f>
        <v>2</v>
      </c>
      <c r="Y2090" s="2">
        <f>MATCH(Auto_Sales_data___Copy[[#This Row],[Total_Sales_Per_Customer]],Table2[M-Cutoff],1)</f>
        <v>3</v>
      </c>
      <c r="Z2090" s="2" t="str">
        <f>Auto_Sales_data___Copy[[#This Row],[R-Score(1-5)]]&amp;Auto_Sales_data___Copy[[#This Row],[F-Score(1-5)]]&amp;Auto_Sales_data___Copy[[#This Row],[M-Score(1-5)]]</f>
        <v>223</v>
      </c>
      <c r="AA2090" s="2" t="str" cm="1">
        <f t="array" ref="AA20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0" s="2" t="str">
        <f>VLOOKUP(Auto_Sales_data___Copy[[#This Row],[Segment Name]],Table3[],2,FALSE)</f>
        <v>Brand Awareness &amp; Value Proposition</v>
      </c>
    </row>
    <row r="2091" spans="1:28" x14ac:dyDescent="0.25">
      <c r="A2091">
        <v>10114</v>
      </c>
      <c r="B2091">
        <v>24</v>
      </c>
      <c r="C2091">
        <v>30.06</v>
      </c>
      <c r="D2091">
        <v>1</v>
      </c>
      <c r="E2091">
        <v>721.44</v>
      </c>
      <c r="F2091" s="1">
        <v>43191</v>
      </c>
      <c r="G2091" s="2" t="s">
        <v>19</v>
      </c>
      <c r="H2091" s="2" t="s">
        <v>183</v>
      </c>
      <c r="I2091">
        <v>35</v>
      </c>
      <c r="J2091" s="2" t="s">
        <v>677</v>
      </c>
      <c r="K2091" s="2" t="s">
        <v>425</v>
      </c>
      <c r="L2091" s="2" t="s">
        <v>426</v>
      </c>
      <c r="M2091" s="2" t="s">
        <v>427</v>
      </c>
      <c r="N2091" s="2" t="s">
        <v>42</v>
      </c>
      <c r="O2091" s="2" t="s">
        <v>428</v>
      </c>
      <c r="P2091" s="2" t="s">
        <v>36</v>
      </c>
      <c r="Q2091" s="2" t="s">
        <v>429</v>
      </c>
      <c r="R2091" s="2" t="s">
        <v>430</v>
      </c>
      <c r="S2091" s="2" t="s">
        <v>30</v>
      </c>
      <c r="T2091">
        <v>2451</v>
      </c>
      <c r="U2091">
        <f>VLOOKUP(Auto_Sales_data___Copy[[#This Row],[CUSTOMER_NAME]],$AF$2:$AH$90,2,FALSE)</f>
        <v>23</v>
      </c>
      <c r="V2091">
        <f>VLOOKUP(Auto_Sales_data___Copy[[#This Row],[CUSTOMER_NAME]],$AF$2:$AH$90,3,FALSE)</f>
        <v>97203.680000000008</v>
      </c>
      <c r="W2091" s="2">
        <f>6-MATCH(Auto_Sales_data___Copy[[#This Row],[DAYS_SINCE_LAST_ORDER]],Table2[R-Cutoff],1)</f>
        <v>2</v>
      </c>
      <c r="X2091" s="2">
        <f>MATCH(Auto_Sales_data___Copy[[#This Row],[Total_Orders_Per_Customer]],Table2[F-Cutoff],1)</f>
        <v>2</v>
      </c>
      <c r="Y2091" s="2">
        <f>MATCH(Auto_Sales_data___Copy[[#This Row],[Total_Sales_Per_Customer]],Table2[M-Cutoff],1)</f>
        <v>3</v>
      </c>
      <c r="Z2091" s="2" t="str">
        <f>Auto_Sales_data___Copy[[#This Row],[R-Score(1-5)]]&amp;Auto_Sales_data___Copy[[#This Row],[F-Score(1-5)]]&amp;Auto_Sales_data___Copy[[#This Row],[M-Score(1-5)]]</f>
        <v>223</v>
      </c>
      <c r="AA2091" s="2" t="str" cm="1">
        <f t="array" ref="AA20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1" s="2" t="str">
        <f>VLOOKUP(Auto_Sales_data___Copy[[#This Row],[Segment Name]],Table3[],2,FALSE)</f>
        <v>Brand Awareness &amp; Value Proposition</v>
      </c>
    </row>
    <row r="2092" spans="1:28" x14ac:dyDescent="0.25">
      <c r="A2092">
        <v>10300</v>
      </c>
      <c r="B2092">
        <v>31</v>
      </c>
      <c r="C2092">
        <v>58.78</v>
      </c>
      <c r="D2092">
        <v>4</v>
      </c>
      <c r="E2092">
        <v>1822.18</v>
      </c>
      <c r="F2092" s="1">
        <v>43377</v>
      </c>
      <c r="G2092" s="2" t="s">
        <v>19</v>
      </c>
      <c r="H2092" s="2" t="s">
        <v>183</v>
      </c>
      <c r="I2092">
        <v>61</v>
      </c>
      <c r="J2092" s="2" t="s">
        <v>683</v>
      </c>
      <c r="K2092" s="2" t="s">
        <v>492</v>
      </c>
      <c r="L2092" s="2" t="s">
        <v>493</v>
      </c>
      <c r="M2092" s="2" t="s">
        <v>494</v>
      </c>
      <c r="N2092" s="2" t="s">
        <v>495</v>
      </c>
      <c r="O2092" s="2" t="s">
        <v>496</v>
      </c>
      <c r="P2092" s="2" t="s">
        <v>470</v>
      </c>
      <c r="Q2092" s="2" t="s">
        <v>497</v>
      </c>
      <c r="R2092" s="2" t="s">
        <v>438</v>
      </c>
      <c r="S2092" s="2" t="s">
        <v>30</v>
      </c>
      <c r="T2092">
        <v>2428</v>
      </c>
      <c r="U2092">
        <f>VLOOKUP(Auto_Sales_data___Copy[[#This Row],[CUSTOMER_NAME]],$AF$2:$AH$90,2,FALSE)</f>
        <v>22</v>
      </c>
      <c r="V2092">
        <f>VLOOKUP(Auto_Sales_data___Copy[[#This Row],[CUSTOMER_NAME]],$AF$2:$AH$90,3,FALSE)</f>
        <v>85171.59</v>
      </c>
      <c r="W2092" s="2">
        <f>6-MATCH(Auto_Sales_data___Copy[[#This Row],[DAYS_SINCE_LAST_ORDER]],Table2[R-Cutoff],1)</f>
        <v>2</v>
      </c>
      <c r="X2092" s="2">
        <f>MATCH(Auto_Sales_data___Copy[[#This Row],[Total_Orders_Per_Customer]],Table2[F-Cutoff],1)</f>
        <v>2</v>
      </c>
      <c r="Y2092" s="2">
        <f>MATCH(Auto_Sales_data___Copy[[#This Row],[Total_Sales_Per_Customer]],Table2[M-Cutoff],1)</f>
        <v>3</v>
      </c>
      <c r="Z2092" s="2" t="str">
        <f>Auto_Sales_data___Copy[[#This Row],[R-Score(1-5)]]&amp;Auto_Sales_data___Copy[[#This Row],[F-Score(1-5)]]&amp;Auto_Sales_data___Copy[[#This Row],[M-Score(1-5)]]</f>
        <v>223</v>
      </c>
      <c r="AA2092" s="2" t="str" cm="1">
        <f t="array" ref="AA20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2" s="2" t="str">
        <f>VLOOKUP(Auto_Sales_data___Copy[[#This Row],[Segment Name]],Table3[],2,FALSE)</f>
        <v>Brand Awareness &amp; Value Proposition</v>
      </c>
    </row>
    <row r="2093" spans="1:28" x14ac:dyDescent="0.25">
      <c r="A2093">
        <v>10230</v>
      </c>
      <c r="B2093">
        <v>45</v>
      </c>
      <c r="C2093">
        <v>105.27</v>
      </c>
      <c r="D2093">
        <v>5</v>
      </c>
      <c r="E2093">
        <v>4737.1499999999996</v>
      </c>
      <c r="F2093" s="1">
        <v>43539</v>
      </c>
      <c r="G2093" s="2" t="s">
        <v>19</v>
      </c>
      <c r="H2093" s="2" t="s">
        <v>183</v>
      </c>
      <c r="I2093">
        <v>118</v>
      </c>
      <c r="J2093" s="2" t="s">
        <v>690</v>
      </c>
      <c r="K2093" s="2" t="s">
        <v>492</v>
      </c>
      <c r="L2093" s="2" t="s">
        <v>493</v>
      </c>
      <c r="M2093" s="2" t="s">
        <v>494</v>
      </c>
      <c r="N2093" s="2" t="s">
        <v>495</v>
      </c>
      <c r="O2093" s="2" t="s">
        <v>496</v>
      </c>
      <c r="P2093" s="2" t="s">
        <v>470</v>
      </c>
      <c r="Q2093" s="2" t="s">
        <v>497</v>
      </c>
      <c r="R2093" s="2" t="s">
        <v>438</v>
      </c>
      <c r="S2093" s="2" t="s">
        <v>46</v>
      </c>
      <c r="T2093">
        <v>2435</v>
      </c>
      <c r="U2093">
        <f>VLOOKUP(Auto_Sales_data___Copy[[#This Row],[CUSTOMER_NAME]],$AF$2:$AH$90,2,FALSE)</f>
        <v>22</v>
      </c>
      <c r="V2093">
        <f>VLOOKUP(Auto_Sales_data___Copy[[#This Row],[CUSTOMER_NAME]],$AF$2:$AH$90,3,FALSE)</f>
        <v>85171.59</v>
      </c>
      <c r="W2093" s="2">
        <f>6-MATCH(Auto_Sales_data___Copy[[#This Row],[DAYS_SINCE_LAST_ORDER]],Table2[R-Cutoff],1)</f>
        <v>2</v>
      </c>
      <c r="X2093" s="2">
        <f>MATCH(Auto_Sales_data___Copy[[#This Row],[Total_Orders_Per_Customer]],Table2[F-Cutoff],1)</f>
        <v>2</v>
      </c>
      <c r="Y2093" s="2">
        <f>MATCH(Auto_Sales_data___Copy[[#This Row],[Total_Sales_Per_Customer]],Table2[M-Cutoff],1)</f>
        <v>3</v>
      </c>
      <c r="Z2093" s="2" t="str">
        <f>Auto_Sales_data___Copy[[#This Row],[R-Score(1-5)]]&amp;Auto_Sales_data___Copy[[#This Row],[F-Score(1-5)]]&amp;Auto_Sales_data___Copy[[#This Row],[M-Score(1-5)]]</f>
        <v>223</v>
      </c>
      <c r="AA2093" s="2" t="str" cm="1">
        <f t="array" ref="AA20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3" s="2" t="str">
        <f>VLOOKUP(Auto_Sales_data___Copy[[#This Row],[Segment Name]],Table3[],2,FALSE)</f>
        <v>Brand Awareness &amp; Value Proposition</v>
      </c>
    </row>
    <row r="2094" spans="1:28" x14ac:dyDescent="0.25">
      <c r="A2094">
        <v>10233</v>
      </c>
      <c r="B2094">
        <v>40</v>
      </c>
      <c r="C2094">
        <v>94.71</v>
      </c>
      <c r="D2094">
        <v>2</v>
      </c>
      <c r="E2094">
        <v>3788.4</v>
      </c>
      <c r="F2094" s="1">
        <v>43553</v>
      </c>
      <c r="G2094" s="2" t="s">
        <v>19</v>
      </c>
      <c r="H2094" s="2" t="s">
        <v>589</v>
      </c>
      <c r="I2094">
        <v>88</v>
      </c>
      <c r="J2094" s="2" t="s">
        <v>681</v>
      </c>
      <c r="K2094" s="2" t="s">
        <v>95</v>
      </c>
      <c r="L2094" s="2" t="s">
        <v>96</v>
      </c>
      <c r="M2094" s="2" t="s">
        <v>97</v>
      </c>
      <c r="N2094" s="2" t="s">
        <v>98</v>
      </c>
      <c r="O2094" s="2" t="s">
        <v>99</v>
      </c>
      <c r="P2094" s="2" t="s">
        <v>27</v>
      </c>
      <c r="Q2094" s="2" t="s">
        <v>100</v>
      </c>
      <c r="R2094" s="2" t="s">
        <v>101</v>
      </c>
      <c r="S2094" s="2" t="s">
        <v>46</v>
      </c>
      <c r="T2094">
        <v>2200</v>
      </c>
      <c r="U2094">
        <f>VLOOKUP(Auto_Sales_data___Copy[[#This Row],[CUSTOMER_NAME]],$AF$2:$AH$90,2,FALSE)</f>
        <v>21</v>
      </c>
      <c r="V2094">
        <f>VLOOKUP(Auto_Sales_data___Copy[[#This Row],[CUSTOMER_NAME]],$AF$2:$AH$90,3,FALSE)</f>
        <v>83228.189999999973</v>
      </c>
      <c r="W2094" s="2">
        <f>6-MATCH(Auto_Sales_data___Copy[[#This Row],[DAYS_SINCE_LAST_ORDER]],Table2[R-Cutoff],1)</f>
        <v>2</v>
      </c>
      <c r="X2094" s="2">
        <f>MATCH(Auto_Sales_data___Copy[[#This Row],[Total_Orders_Per_Customer]],Table2[F-Cutoff],1)</f>
        <v>2</v>
      </c>
      <c r="Y2094" s="2">
        <f>MATCH(Auto_Sales_data___Copy[[#This Row],[Total_Sales_Per_Customer]],Table2[M-Cutoff],1)</f>
        <v>3</v>
      </c>
      <c r="Z2094" s="2" t="str">
        <f>Auto_Sales_data___Copy[[#This Row],[R-Score(1-5)]]&amp;Auto_Sales_data___Copy[[#This Row],[F-Score(1-5)]]&amp;Auto_Sales_data___Copy[[#This Row],[M-Score(1-5)]]</f>
        <v>223</v>
      </c>
      <c r="AA2094" s="2" t="str" cm="1">
        <f t="array" ref="AA20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4" s="2" t="str">
        <f>VLOOKUP(Auto_Sales_data___Copy[[#This Row],[Segment Name]],Table3[],2,FALSE)</f>
        <v>Brand Awareness &amp; Value Proposition</v>
      </c>
    </row>
    <row r="2095" spans="1:28" x14ac:dyDescent="0.25">
      <c r="A2095">
        <v>10241</v>
      </c>
      <c r="B2095">
        <v>47</v>
      </c>
      <c r="C2095">
        <v>94.5</v>
      </c>
      <c r="D2095">
        <v>6</v>
      </c>
      <c r="E2095">
        <v>4441.5</v>
      </c>
      <c r="F2095" s="1">
        <v>43568</v>
      </c>
      <c r="G2095" s="2" t="s">
        <v>19</v>
      </c>
      <c r="H2095" s="2" t="s">
        <v>183</v>
      </c>
      <c r="I2095">
        <v>90</v>
      </c>
      <c r="J2095" s="2" t="s">
        <v>676</v>
      </c>
      <c r="K2095" s="2" t="s">
        <v>568</v>
      </c>
      <c r="L2095" s="2" t="s">
        <v>569</v>
      </c>
      <c r="M2095" s="2" t="s">
        <v>570</v>
      </c>
      <c r="N2095" s="2" t="s">
        <v>571</v>
      </c>
      <c r="O2095" s="2" t="s">
        <v>572</v>
      </c>
      <c r="P2095" s="2" t="s">
        <v>36</v>
      </c>
      <c r="Q2095" s="2" t="s">
        <v>573</v>
      </c>
      <c r="R2095" s="2" t="s">
        <v>574</v>
      </c>
      <c r="S2095" s="2" t="s">
        <v>46</v>
      </c>
      <c r="T2095">
        <v>2060</v>
      </c>
      <c r="U2095">
        <f>VLOOKUP(Auto_Sales_data___Copy[[#This Row],[CUSTOMER_NAME]],$AF$2:$AH$90,2,FALSE)</f>
        <v>19</v>
      </c>
      <c r="V2095">
        <f>VLOOKUP(Auto_Sales_data___Copy[[#This Row],[CUSTOMER_NAME]],$AF$2:$AH$90,3,FALSE)</f>
        <v>80438.48</v>
      </c>
      <c r="W2095" s="2">
        <f>6-MATCH(Auto_Sales_data___Copy[[#This Row],[DAYS_SINCE_LAST_ORDER]],Table2[R-Cutoff],1)</f>
        <v>2</v>
      </c>
      <c r="X2095" s="2">
        <f>MATCH(Auto_Sales_data___Copy[[#This Row],[Total_Orders_Per_Customer]],Table2[F-Cutoff],1)</f>
        <v>2</v>
      </c>
      <c r="Y2095" s="2">
        <f>MATCH(Auto_Sales_data___Copy[[#This Row],[Total_Sales_Per_Customer]],Table2[M-Cutoff],1)</f>
        <v>3</v>
      </c>
      <c r="Z2095" s="2" t="str">
        <f>Auto_Sales_data___Copy[[#This Row],[R-Score(1-5)]]&amp;Auto_Sales_data___Copy[[#This Row],[F-Score(1-5)]]&amp;Auto_Sales_data___Copy[[#This Row],[M-Score(1-5)]]</f>
        <v>223</v>
      </c>
      <c r="AA2095" s="2" t="str" cm="1">
        <f t="array" ref="AA20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5" s="2" t="str">
        <f>VLOOKUP(Auto_Sales_data___Copy[[#This Row],[Segment Name]],Table3[],2,FALSE)</f>
        <v>Brand Awareness &amp; Value Proposition</v>
      </c>
    </row>
    <row r="2096" spans="1:28" x14ac:dyDescent="0.25">
      <c r="A2096">
        <v>10241</v>
      </c>
      <c r="B2096">
        <v>28</v>
      </c>
      <c r="C2096">
        <v>98.65</v>
      </c>
      <c r="D2096">
        <v>5</v>
      </c>
      <c r="E2096">
        <v>2762.2</v>
      </c>
      <c r="F2096" s="1">
        <v>43568</v>
      </c>
      <c r="G2096" s="2" t="s">
        <v>19</v>
      </c>
      <c r="H2096" s="2" t="s">
        <v>183</v>
      </c>
      <c r="I2096">
        <v>117</v>
      </c>
      <c r="J2096" s="2" t="s">
        <v>679</v>
      </c>
      <c r="K2096" s="2" t="s">
        <v>568</v>
      </c>
      <c r="L2096" s="2" t="s">
        <v>569</v>
      </c>
      <c r="M2096" s="2" t="s">
        <v>570</v>
      </c>
      <c r="N2096" s="2" t="s">
        <v>571</v>
      </c>
      <c r="O2096" s="2" t="s">
        <v>572</v>
      </c>
      <c r="P2096" s="2" t="s">
        <v>36</v>
      </c>
      <c r="Q2096" s="2" t="s">
        <v>573</v>
      </c>
      <c r="R2096" s="2" t="s">
        <v>574</v>
      </c>
      <c r="S2096" s="2" t="s">
        <v>30</v>
      </c>
      <c r="T2096">
        <v>2136</v>
      </c>
      <c r="U2096">
        <f>VLOOKUP(Auto_Sales_data___Copy[[#This Row],[CUSTOMER_NAME]],$AF$2:$AH$90,2,FALSE)</f>
        <v>19</v>
      </c>
      <c r="V2096">
        <f>VLOOKUP(Auto_Sales_data___Copy[[#This Row],[CUSTOMER_NAME]],$AF$2:$AH$90,3,FALSE)</f>
        <v>80438.48</v>
      </c>
      <c r="W2096" s="2">
        <f>6-MATCH(Auto_Sales_data___Copy[[#This Row],[DAYS_SINCE_LAST_ORDER]],Table2[R-Cutoff],1)</f>
        <v>2</v>
      </c>
      <c r="X2096" s="2">
        <f>MATCH(Auto_Sales_data___Copy[[#This Row],[Total_Orders_Per_Customer]],Table2[F-Cutoff],1)</f>
        <v>2</v>
      </c>
      <c r="Y2096" s="2">
        <f>MATCH(Auto_Sales_data___Copy[[#This Row],[Total_Sales_Per_Customer]],Table2[M-Cutoff],1)</f>
        <v>3</v>
      </c>
      <c r="Z2096" s="2" t="str">
        <f>Auto_Sales_data___Copy[[#This Row],[R-Score(1-5)]]&amp;Auto_Sales_data___Copy[[#This Row],[F-Score(1-5)]]&amp;Auto_Sales_data___Copy[[#This Row],[M-Score(1-5)]]</f>
        <v>223</v>
      </c>
      <c r="AA2096" s="2" t="str" cm="1">
        <f t="array" ref="AA20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6" s="2" t="str">
        <f>VLOOKUP(Auto_Sales_data___Copy[[#This Row],[Segment Name]],Table3[],2,FALSE)</f>
        <v>Brand Awareness &amp; Value Proposition</v>
      </c>
    </row>
    <row r="2097" spans="1:28" x14ac:dyDescent="0.25">
      <c r="A2097">
        <v>10241</v>
      </c>
      <c r="B2097">
        <v>26</v>
      </c>
      <c r="C2097">
        <v>81.33</v>
      </c>
      <c r="D2097">
        <v>7</v>
      </c>
      <c r="E2097">
        <v>2114.58</v>
      </c>
      <c r="F2097" s="1">
        <v>43568</v>
      </c>
      <c r="G2097" s="2" t="s">
        <v>19</v>
      </c>
      <c r="H2097" s="2" t="s">
        <v>183</v>
      </c>
      <c r="I2097">
        <v>85</v>
      </c>
      <c r="J2097" s="2" t="s">
        <v>682</v>
      </c>
      <c r="K2097" s="2" t="s">
        <v>568</v>
      </c>
      <c r="L2097" s="2" t="s">
        <v>569</v>
      </c>
      <c r="M2097" s="2" t="s">
        <v>570</v>
      </c>
      <c r="N2097" s="2" t="s">
        <v>571</v>
      </c>
      <c r="O2097" s="2" t="s">
        <v>572</v>
      </c>
      <c r="P2097" s="2" t="s">
        <v>36</v>
      </c>
      <c r="Q2097" s="2" t="s">
        <v>573</v>
      </c>
      <c r="R2097" s="2" t="s">
        <v>574</v>
      </c>
      <c r="S2097" s="2" t="s">
        <v>30</v>
      </c>
      <c r="T2097">
        <v>2209</v>
      </c>
      <c r="U2097">
        <f>VLOOKUP(Auto_Sales_data___Copy[[#This Row],[CUSTOMER_NAME]],$AF$2:$AH$90,2,FALSE)</f>
        <v>19</v>
      </c>
      <c r="V2097">
        <f>VLOOKUP(Auto_Sales_data___Copy[[#This Row],[CUSTOMER_NAME]],$AF$2:$AH$90,3,FALSE)</f>
        <v>80438.48</v>
      </c>
      <c r="W2097" s="2">
        <f>6-MATCH(Auto_Sales_data___Copy[[#This Row],[DAYS_SINCE_LAST_ORDER]],Table2[R-Cutoff],1)</f>
        <v>2</v>
      </c>
      <c r="X2097" s="2">
        <f>MATCH(Auto_Sales_data___Copy[[#This Row],[Total_Orders_Per_Customer]],Table2[F-Cutoff],1)</f>
        <v>2</v>
      </c>
      <c r="Y2097" s="2">
        <f>MATCH(Auto_Sales_data___Copy[[#This Row],[Total_Sales_Per_Customer]],Table2[M-Cutoff],1)</f>
        <v>3</v>
      </c>
      <c r="Z2097" s="2" t="str">
        <f>Auto_Sales_data___Copy[[#This Row],[R-Score(1-5)]]&amp;Auto_Sales_data___Copy[[#This Row],[F-Score(1-5)]]&amp;Auto_Sales_data___Copy[[#This Row],[M-Score(1-5)]]</f>
        <v>223</v>
      </c>
      <c r="AA2097" s="2" t="str" cm="1">
        <f t="array" ref="AA20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7" s="2" t="str">
        <f>VLOOKUP(Auto_Sales_data___Copy[[#This Row],[Segment Name]],Table3[],2,FALSE)</f>
        <v>Brand Awareness &amp; Value Proposition</v>
      </c>
    </row>
    <row r="2098" spans="1:28" x14ac:dyDescent="0.25">
      <c r="A2098">
        <v>10241</v>
      </c>
      <c r="B2098">
        <v>27</v>
      </c>
      <c r="C2098">
        <v>86.73</v>
      </c>
      <c r="D2098">
        <v>9</v>
      </c>
      <c r="E2098">
        <v>2341.71</v>
      </c>
      <c r="F2098" s="1">
        <v>43568</v>
      </c>
      <c r="G2098" s="2" t="s">
        <v>19</v>
      </c>
      <c r="H2098" s="2" t="s">
        <v>183</v>
      </c>
      <c r="I2098">
        <v>107</v>
      </c>
      <c r="J2098" s="2" t="s">
        <v>685</v>
      </c>
      <c r="K2098" s="2" t="s">
        <v>568</v>
      </c>
      <c r="L2098" s="2" t="s">
        <v>569</v>
      </c>
      <c r="M2098" s="2" t="s">
        <v>570</v>
      </c>
      <c r="N2098" s="2" t="s">
        <v>571</v>
      </c>
      <c r="O2098" s="2" t="s">
        <v>572</v>
      </c>
      <c r="P2098" s="2" t="s">
        <v>36</v>
      </c>
      <c r="Q2098" s="2" t="s">
        <v>573</v>
      </c>
      <c r="R2098" s="2" t="s">
        <v>574</v>
      </c>
      <c r="S2098" s="2" t="s">
        <v>30</v>
      </c>
      <c r="T2098">
        <v>2283</v>
      </c>
      <c r="U2098">
        <f>VLOOKUP(Auto_Sales_data___Copy[[#This Row],[CUSTOMER_NAME]],$AF$2:$AH$90,2,FALSE)</f>
        <v>19</v>
      </c>
      <c r="V2098">
        <f>VLOOKUP(Auto_Sales_data___Copy[[#This Row],[CUSTOMER_NAME]],$AF$2:$AH$90,3,FALSE)</f>
        <v>80438.48</v>
      </c>
      <c r="W2098" s="2">
        <f>6-MATCH(Auto_Sales_data___Copy[[#This Row],[DAYS_SINCE_LAST_ORDER]],Table2[R-Cutoff],1)</f>
        <v>2</v>
      </c>
      <c r="X2098" s="2">
        <f>MATCH(Auto_Sales_data___Copy[[#This Row],[Total_Orders_Per_Customer]],Table2[F-Cutoff],1)</f>
        <v>2</v>
      </c>
      <c r="Y2098" s="2">
        <f>MATCH(Auto_Sales_data___Copy[[#This Row],[Total_Sales_Per_Customer]],Table2[M-Cutoff],1)</f>
        <v>3</v>
      </c>
      <c r="Z2098" s="2" t="str">
        <f>Auto_Sales_data___Copy[[#This Row],[R-Score(1-5)]]&amp;Auto_Sales_data___Copy[[#This Row],[F-Score(1-5)]]&amp;Auto_Sales_data___Copy[[#This Row],[M-Score(1-5)]]</f>
        <v>223</v>
      </c>
      <c r="AA2098" s="2" t="str" cm="1">
        <f t="array" ref="AA20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8" s="2" t="str">
        <f>VLOOKUP(Auto_Sales_data___Copy[[#This Row],[Segment Name]],Table3[],2,FALSE)</f>
        <v>Brand Awareness &amp; Value Proposition</v>
      </c>
    </row>
    <row r="2099" spans="1:28" x14ac:dyDescent="0.25">
      <c r="A2099">
        <v>10331</v>
      </c>
      <c r="B2099">
        <v>21</v>
      </c>
      <c r="C2099">
        <v>149.33000000000001</v>
      </c>
      <c r="D2099">
        <v>1</v>
      </c>
      <c r="E2099">
        <v>3135.93</v>
      </c>
      <c r="F2099" s="1">
        <v>43786</v>
      </c>
      <c r="G2099" s="2" t="s">
        <v>19</v>
      </c>
      <c r="H2099" s="2" t="s">
        <v>183</v>
      </c>
      <c r="I2099">
        <v>140</v>
      </c>
      <c r="J2099" s="2" t="s">
        <v>687</v>
      </c>
      <c r="K2099" s="2" t="s">
        <v>323</v>
      </c>
      <c r="L2099" s="2" t="s">
        <v>324</v>
      </c>
      <c r="M2099" s="2" t="s">
        <v>325</v>
      </c>
      <c r="N2099" s="2" t="s">
        <v>220</v>
      </c>
      <c r="O2099" s="2" t="s">
        <v>221</v>
      </c>
      <c r="P2099" s="2" t="s">
        <v>27</v>
      </c>
      <c r="Q2099" s="2" t="s">
        <v>120</v>
      </c>
      <c r="R2099" s="2" t="s">
        <v>326</v>
      </c>
      <c r="S2099" s="2" t="s">
        <v>46</v>
      </c>
      <c r="T2099">
        <v>2121</v>
      </c>
      <c r="U2099">
        <f>VLOOKUP(Auto_Sales_data___Copy[[#This Row],[CUSTOMER_NAME]],$AF$2:$AH$90,2,FALSE)</f>
        <v>23</v>
      </c>
      <c r="V2099">
        <f>VLOOKUP(Auto_Sales_data___Copy[[#This Row],[CUSTOMER_NAME]],$AF$2:$AH$90,3,FALSE)</f>
        <v>83682.16</v>
      </c>
      <c r="W2099" s="2">
        <f>6-MATCH(Auto_Sales_data___Copy[[#This Row],[DAYS_SINCE_LAST_ORDER]],Table2[R-Cutoff],1)</f>
        <v>2</v>
      </c>
      <c r="X2099" s="2">
        <f>MATCH(Auto_Sales_data___Copy[[#This Row],[Total_Orders_Per_Customer]],Table2[F-Cutoff],1)</f>
        <v>2</v>
      </c>
      <c r="Y2099" s="2">
        <f>MATCH(Auto_Sales_data___Copy[[#This Row],[Total_Sales_Per_Customer]],Table2[M-Cutoff],1)</f>
        <v>3</v>
      </c>
      <c r="Z2099" s="2" t="str">
        <f>Auto_Sales_data___Copy[[#This Row],[R-Score(1-5)]]&amp;Auto_Sales_data___Copy[[#This Row],[F-Score(1-5)]]&amp;Auto_Sales_data___Copy[[#This Row],[M-Score(1-5)]]</f>
        <v>223</v>
      </c>
      <c r="AA2099" s="2" t="str" cm="1">
        <f t="array" ref="AA20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9" s="2" t="str">
        <f>VLOOKUP(Auto_Sales_data___Copy[[#This Row],[Segment Name]],Table3[],2,FALSE)</f>
        <v>Brand Awareness &amp; Value Proposition</v>
      </c>
    </row>
    <row r="2100" spans="1:28" x14ac:dyDescent="0.25">
      <c r="A2100">
        <v>10331</v>
      </c>
      <c r="B2100">
        <v>41</v>
      </c>
      <c r="C2100">
        <v>139.4</v>
      </c>
      <c r="D2100">
        <v>2</v>
      </c>
      <c r="E2100">
        <v>5715.4</v>
      </c>
      <c r="F2100" s="1">
        <v>43786</v>
      </c>
      <c r="G2100" s="2" t="s">
        <v>19</v>
      </c>
      <c r="H2100" s="2" t="s">
        <v>183</v>
      </c>
      <c r="I2100">
        <v>80</v>
      </c>
      <c r="J2100" s="2" t="s">
        <v>693</v>
      </c>
      <c r="K2100" s="2" t="s">
        <v>323</v>
      </c>
      <c r="L2100" s="2" t="s">
        <v>324</v>
      </c>
      <c r="M2100" s="2" t="s">
        <v>325</v>
      </c>
      <c r="N2100" s="2" t="s">
        <v>220</v>
      </c>
      <c r="O2100" s="2" t="s">
        <v>221</v>
      </c>
      <c r="P2100" s="2" t="s">
        <v>27</v>
      </c>
      <c r="Q2100" s="2" t="s">
        <v>120</v>
      </c>
      <c r="R2100" s="2" t="s">
        <v>326</v>
      </c>
      <c r="S2100" s="2" t="s">
        <v>46</v>
      </c>
      <c r="T2100">
        <v>2268</v>
      </c>
      <c r="U2100">
        <f>VLOOKUP(Auto_Sales_data___Copy[[#This Row],[CUSTOMER_NAME]],$AF$2:$AH$90,2,FALSE)</f>
        <v>23</v>
      </c>
      <c r="V2100">
        <f>VLOOKUP(Auto_Sales_data___Copy[[#This Row],[CUSTOMER_NAME]],$AF$2:$AH$90,3,FALSE)</f>
        <v>83682.16</v>
      </c>
      <c r="W2100" s="2">
        <f>6-MATCH(Auto_Sales_data___Copy[[#This Row],[DAYS_SINCE_LAST_ORDER]],Table2[R-Cutoff],1)</f>
        <v>2</v>
      </c>
      <c r="X2100" s="2">
        <f>MATCH(Auto_Sales_data___Copy[[#This Row],[Total_Orders_Per_Customer]],Table2[F-Cutoff],1)</f>
        <v>2</v>
      </c>
      <c r="Y2100" s="2">
        <f>MATCH(Auto_Sales_data___Copy[[#This Row],[Total_Sales_Per_Customer]],Table2[M-Cutoff],1)</f>
        <v>3</v>
      </c>
      <c r="Z2100" s="2" t="str">
        <f>Auto_Sales_data___Copy[[#This Row],[R-Score(1-5)]]&amp;Auto_Sales_data___Copy[[#This Row],[F-Score(1-5)]]&amp;Auto_Sales_data___Copy[[#This Row],[M-Score(1-5)]]</f>
        <v>223</v>
      </c>
      <c r="AA2100" s="2" t="str" cm="1">
        <f t="array" ref="AA21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0" s="2" t="str">
        <f>VLOOKUP(Auto_Sales_data___Copy[[#This Row],[Segment Name]],Table3[],2,FALSE)</f>
        <v>Brand Awareness &amp; Value Proposition</v>
      </c>
    </row>
    <row r="2101" spans="1:28" x14ac:dyDescent="0.25">
      <c r="A2101">
        <v>10331</v>
      </c>
      <c r="B2101">
        <v>28</v>
      </c>
      <c r="C2101">
        <v>146.52000000000001</v>
      </c>
      <c r="D2101">
        <v>3</v>
      </c>
      <c r="E2101">
        <v>4102.5600000000004</v>
      </c>
      <c r="F2101" s="1">
        <v>43786</v>
      </c>
      <c r="G2101" s="2" t="s">
        <v>19</v>
      </c>
      <c r="H2101" s="2" t="s">
        <v>20</v>
      </c>
      <c r="I2101">
        <v>40</v>
      </c>
      <c r="J2101" s="2" t="s">
        <v>696</v>
      </c>
      <c r="K2101" s="2" t="s">
        <v>323</v>
      </c>
      <c r="L2101" s="2" t="s">
        <v>324</v>
      </c>
      <c r="M2101" s="2" t="s">
        <v>325</v>
      </c>
      <c r="N2101" s="2" t="s">
        <v>220</v>
      </c>
      <c r="O2101" s="2" t="s">
        <v>221</v>
      </c>
      <c r="P2101" s="2" t="s">
        <v>27</v>
      </c>
      <c r="Q2101" s="2" t="s">
        <v>120</v>
      </c>
      <c r="R2101" s="2" t="s">
        <v>326</v>
      </c>
      <c r="S2101" s="2" t="s">
        <v>46</v>
      </c>
      <c r="T2101">
        <v>2342</v>
      </c>
      <c r="U2101">
        <f>VLOOKUP(Auto_Sales_data___Copy[[#This Row],[CUSTOMER_NAME]],$AF$2:$AH$90,2,FALSE)</f>
        <v>23</v>
      </c>
      <c r="V2101">
        <f>VLOOKUP(Auto_Sales_data___Copy[[#This Row],[CUSTOMER_NAME]],$AF$2:$AH$90,3,FALSE)</f>
        <v>83682.16</v>
      </c>
      <c r="W2101" s="2">
        <f>6-MATCH(Auto_Sales_data___Copy[[#This Row],[DAYS_SINCE_LAST_ORDER]],Table2[R-Cutoff],1)</f>
        <v>2</v>
      </c>
      <c r="X2101" s="2">
        <f>MATCH(Auto_Sales_data___Copy[[#This Row],[Total_Orders_Per_Customer]],Table2[F-Cutoff],1)</f>
        <v>2</v>
      </c>
      <c r="Y2101" s="2">
        <f>MATCH(Auto_Sales_data___Copy[[#This Row],[Total_Sales_Per_Customer]],Table2[M-Cutoff],1)</f>
        <v>3</v>
      </c>
      <c r="Z2101" s="2" t="str">
        <f>Auto_Sales_data___Copy[[#This Row],[R-Score(1-5)]]&amp;Auto_Sales_data___Copy[[#This Row],[F-Score(1-5)]]&amp;Auto_Sales_data___Copy[[#This Row],[M-Score(1-5)]]</f>
        <v>223</v>
      </c>
      <c r="AA2101" s="2" t="str" cm="1">
        <f t="array" ref="AA21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1" s="2" t="str">
        <f>VLOOKUP(Auto_Sales_data___Copy[[#This Row],[Segment Name]],Table3[],2,FALSE)</f>
        <v>Brand Awareness &amp; Value Proposition</v>
      </c>
    </row>
    <row r="2102" spans="1:28" x14ac:dyDescent="0.25">
      <c r="A2102">
        <v>10331</v>
      </c>
      <c r="B2102">
        <v>32</v>
      </c>
      <c r="C2102">
        <v>157.08000000000001</v>
      </c>
      <c r="D2102">
        <v>4</v>
      </c>
      <c r="E2102">
        <v>5026.5600000000004</v>
      </c>
      <c r="F2102" s="1">
        <v>43786</v>
      </c>
      <c r="G2102" s="2" t="s">
        <v>19</v>
      </c>
      <c r="H2102" s="2" t="s">
        <v>20</v>
      </c>
      <c r="I2102">
        <v>102</v>
      </c>
      <c r="J2102" s="2" t="s">
        <v>701</v>
      </c>
      <c r="K2102" s="2" t="s">
        <v>323</v>
      </c>
      <c r="L2102" s="2" t="s">
        <v>324</v>
      </c>
      <c r="M2102" s="2" t="s">
        <v>325</v>
      </c>
      <c r="N2102" s="2" t="s">
        <v>220</v>
      </c>
      <c r="O2102" s="2" t="s">
        <v>221</v>
      </c>
      <c r="P2102" s="2" t="s">
        <v>27</v>
      </c>
      <c r="Q2102" s="2" t="s">
        <v>120</v>
      </c>
      <c r="R2102" s="2" t="s">
        <v>326</v>
      </c>
      <c r="S2102" s="2" t="s">
        <v>46</v>
      </c>
      <c r="T2102">
        <v>2470</v>
      </c>
      <c r="U2102">
        <f>VLOOKUP(Auto_Sales_data___Copy[[#This Row],[CUSTOMER_NAME]],$AF$2:$AH$90,2,FALSE)</f>
        <v>23</v>
      </c>
      <c r="V2102">
        <f>VLOOKUP(Auto_Sales_data___Copy[[#This Row],[CUSTOMER_NAME]],$AF$2:$AH$90,3,FALSE)</f>
        <v>83682.16</v>
      </c>
      <c r="W2102" s="2">
        <f>6-MATCH(Auto_Sales_data___Copy[[#This Row],[DAYS_SINCE_LAST_ORDER]],Table2[R-Cutoff],1)</f>
        <v>2</v>
      </c>
      <c r="X2102" s="2">
        <f>MATCH(Auto_Sales_data___Copy[[#This Row],[Total_Orders_Per_Customer]],Table2[F-Cutoff],1)</f>
        <v>2</v>
      </c>
      <c r="Y2102" s="2">
        <f>MATCH(Auto_Sales_data___Copy[[#This Row],[Total_Sales_Per_Customer]],Table2[M-Cutoff],1)</f>
        <v>3</v>
      </c>
      <c r="Z2102" s="2" t="str">
        <f>Auto_Sales_data___Copy[[#This Row],[R-Score(1-5)]]&amp;Auto_Sales_data___Copy[[#This Row],[F-Score(1-5)]]&amp;Auto_Sales_data___Copy[[#This Row],[M-Score(1-5)]]</f>
        <v>223</v>
      </c>
      <c r="AA2102" s="2" t="str" cm="1">
        <f t="array" ref="AA21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2" s="2" t="str">
        <f>VLOOKUP(Auto_Sales_data___Copy[[#This Row],[Segment Name]],Table3[],2,FALSE)</f>
        <v>Brand Awareness &amp; Value Proposition</v>
      </c>
    </row>
    <row r="2103" spans="1:28" x14ac:dyDescent="0.25">
      <c r="A2103">
        <v>10336</v>
      </c>
      <c r="B2103">
        <v>31</v>
      </c>
      <c r="C2103">
        <v>148.99</v>
      </c>
      <c r="D2103">
        <v>5</v>
      </c>
      <c r="E2103">
        <v>4618.6899999999996</v>
      </c>
      <c r="F2103" s="1">
        <v>43789</v>
      </c>
      <c r="G2103" s="2" t="s">
        <v>19</v>
      </c>
      <c r="H2103" s="2" t="s">
        <v>183</v>
      </c>
      <c r="I2103">
        <v>118</v>
      </c>
      <c r="J2103" s="2" t="s">
        <v>690</v>
      </c>
      <c r="K2103" s="2" t="s">
        <v>425</v>
      </c>
      <c r="L2103" s="2" t="s">
        <v>426</v>
      </c>
      <c r="M2103" s="2" t="s">
        <v>427</v>
      </c>
      <c r="N2103" s="2" t="s">
        <v>42</v>
      </c>
      <c r="O2103" s="2" t="s">
        <v>428</v>
      </c>
      <c r="P2103" s="2" t="s">
        <v>36</v>
      </c>
      <c r="Q2103" s="2" t="s">
        <v>429</v>
      </c>
      <c r="R2103" s="2" t="s">
        <v>430</v>
      </c>
      <c r="S2103" s="2" t="s">
        <v>46</v>
      </c>
      <c r="T2103">
        <v>2193</v>
      </c>
      <c r="U2103">
        <f>VLOOKUP(Auto_Sales_data___Copy[[#This Row],[CUSTOMER_NAME]],$AF$2:$AH$90,2,FALSE)</f>
        <v>23</v>
      </c>
      <c r="V2103">
        <f>VLOOKUP(Auto_Sales_data___Copy[[#This Row],[CUSTOMER_NAME]],$AF$2:$AH$90,3,FALSE)</f>
        <v>97203.680000000008</v>
      </c>
      <c r="W2103" s="2">
        <f>6-MATCH(Auto_Sales_data___Copy[[#This Row],[DAYS_SINCE_LAST_ORDER]],Table2[R-Cutoff],1)</f>
        <v>2</v>
      </c>
      <c r="X2103" s="2">
        <f>MATCH(Auto_Sales_data___Copy[[#This Row],[Total_Orders_Per_Customer]],Table2[F-Cutoff],1)</f>
        <v>2</v>
      </c>
      <c r="Y2103" s="2">
        <f>MATCH(Auto_Sales_data___Copy[[#This Row],[Total_Sales_Per_Customer]],Table2[M-Cutoff],1)</f>
        <v>3</v>
      </c>
      <c r="Z2103" s="2" t="str">
        <f>Auto_Sales_data___Copy[[#This Row],[R-Score(1-5)]]&amp;Auto_Sales_data___Copy[[#This Row],[F-Score(1-5)]]&amp;Auto_Sales_data___Copy[[#This Row],[M-Score(1-5)]]</f>
        <v>223</v>
      </c>
      <c r="AA2103" s="2" t="str" cm="1">
        <f t="array" ref="AA21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3" s="2" t="str">
        <f>VLOOKUP(Auto_Sales_data___Copy[[#This Row],[Segment Name]],Table3[],2,FALSE)</f>
        <v>Brand Awareness &amp; Value Proposition</v>
      </c>
    </row>
    <row r="2104" spans="1:28" x14ac:dyDescent="0.25">
      <c r="A2104">
        <v>10336</v>
      </c>
      <c r="B2104">
        <v>31</v>
      </c>
      <c r="C2104">
        <v>84.71</v>
      </c>
      <c r="D2104">
        <v>9</v>
      </c>
      <c r="E2104">
        <v>2626.01</v>
      </c>
      <c r="F2104" s="1">
        <v>43789</v>
      </c>
      <c r="G2104" s="2" t="s">
        <v>19</v>
      </c>
      <c r="H2104" s="2" t="s">
        <v>650</v>
      </c>
      <c r="I2104">
        <v>62</v>
      </c>
      <c r="J2104" s="2" t="s">
        <v>698</v>
      </c>
      <c r="K2104" s="2" t="s">
        <v>425</v>
      </c>
      <c r="L2104" s="2" t="s">
        <v>426</v>
      </c>
      <c r="M2104" s="2" t="s">
        <v>427</v>
      </c>
      <c r="N2104" s="2" t="s">
        <v>42</v>
      </c>
      <c r="O2104" s="2" t="s">
        <v>428</v>
      </c>
      <c r="P2104" s="2" t="s">
        <v>36</v>
      </c>
      <c r="Q2104" s="2" t="s">
        <v>429</v>
      </c>
      <c r="R2104" s="2" t="s">
        <v>430</v>
      </c>
      <c r="S2104" s="2" t="s">
        <v>30</v>
      </c>
      <c r="T2104">
        <v>2393</v>
      </c>
      <c r="U2104">
        <f>VLOOKUP(Auto_Sales_data___Copy[[#This Row],[CUSTOMER_NAME]],$AF$2:$AH$90,2,FALSE)</f>
        <v>23</v>
      </c>
      <c r="V2104">
        <f>VLOOKUP(Auto_Sales_data___Copy[[#This Row],[CUSTOMER_NAME]],$AF$2:$AH$90,3,FALSE)</f>
        <v>97203.680000000008</v>
      </c>
      <c r="W2104" s="2">
        <f>6-MATCH(Auto_Sales_data___Copy[[#This Row],[DAYS_SINCE_LAST_ORDER]],Table2[R-Cutoff],1)</f>
        <v>2</v>
      </c>
      <c r="X2104" s="2">
        <f>MATCH(Auto_Sales_data___Copy[[#This Row],[Total_Orders_Per_Customer]],Table2[F-Cutoff],1)</f>
        <v>2</v>
      </c>
      <c r="Y2104" s="2">
        <f>MATCH(Auto_Sales_data___Copy[[#This Row],[Total_Sales_Per_Customer]],Table2[M-Cutoff],1)</f>
        <v>3</v>
      </c>
      <c r="Z2104" s="2" t="str">
        <f>Auto_Sales_data___Copy[[#This Row],[R-Score(1-5)]]&amp;Auto_Sales_data___Copy[[#This Row],[F-Score(1-5)]]&amp;Auto_Sales_data___Copy[[#This Row],[M-Score(1-5)]]</f>
        <v>223</v>
      </c>
      <c r="AA2104" s="2" t="str" cm="1">
        <f t="array" ref="AA21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4" s="2" t="str">
        <f>VLOOKUP(Auto_Sales_data___Copy[[#This Row],[Segment Name]],Table3[],2,FALSE)</f>
        <v>Brand Awareness &amp; Value Proposition</v>
      </c>
    </row>
    <row r="2105" spans="1:28" x14ac:dyDescent="0.25">
      <c r="A2105">
        <v>10336</v>
      </c>
      <c r="B2105">
        <v>23</v>
      </c>
      <c r="C2105">
        <v>136.59</v>
      </c>
      <c r="D2105">
        <v>8</v>
      </c>
      <c r="E2105">
        <v>3141.57</v>
      </c>
      <c r="F2105" s="1">
        <v>43789</v>
      </c>
      <c r="G2105" s="2" t="s">
        <v>19</v>
      </c>
      <c r="H2105" s="2" t="s">
        <v>537</v>
      </c>
      <c r="I2105">
        <v>115</v>
      </c>
      <c r="J2105" s="2" t="s">
        <v>703</v>
      </c>
      <c r="K2105" s="2" t="s">
        <v>425</v>
      </c>
      <c r="L2105" s="2" t="s">
        <v>426</v>
      </c>
      <c r="M2105" s="2" t="s">
        <v>427</v>
      </c>
      <c r="N2105" s="2" t="s">
        <v>42</v>
      </c>
      <c r="O2105" s="2" t="s">
        <v>428</v>
      </c>
      <c r="P2105" s="2" t="s">
        <v>36</v>
      </c>
      <c r="Q2105" s="2" t="s">
        <v>429</v>
      </c>
      <c r="R2105" s="2" t="s">
        <v>430</v>
      </c>
      <c r="S2105" s="2" t="s">
        <v>46</v>
      </c>
      <c r="T2105">
        <v>2520</v>
      </c>
      <c r="U2105">
        <f>VLOOKUP(Auto_Sales_data___Copy[[#This Row],[CUSTOMER_NAME]],$AF$2:$AH$90,2,FALSE)</f>
        <v>23</v>
      </c>
      <c r="V2105">
        <f>VLOOKUP(Auto_Sales_data___Copy[[#This Row],[CUSTOMER_NAME]],$AF$2:$AH$90,3,FALSE)</f>
        <v>97203.680000000008</v>
      </c>
      <c r="W2105" s="2">
        <f>6-MATCH(Auto_Sales_data___Copy[[#This Row],[DAYS_SINCE_LAST_ORDER]],Table2[R-Cutoff],1)</f>
        <v>2</v>
      </c>
      <c r="X2105" s="2">
        <f>MATCH(Auto_Sales_data___Copy[[#This Row],[Total_Orders_Per_Customer]],Table2[F-Cutoff],1)</f>
        <v>2</v>
      </c>
      <c r="Y2105" s="2">
        <f>MATCH(Auto_Sales_data___Copy[[#This Row],[Total_Sales_Per_Customer]],Table2[M-Cutoff],1)</f>
        <v>3</v>
      </c>
      <c r="Z2105" s="2" t="str">
        <f>Auto_Sales_data___Copy[[#This Row],[R-Score(1-5)]]&amp;Auto_Sales_data___Copy[[#This Row],[F-Score(1-5)]]&amp;Auto_Sales_data___Copy[[#This Row],[M-Score(1-5)]]</f>
        <v>223</v>
      </c>
      <c r="AA2105" s="2" t="str" cm="1">
        <f t="array" ref="AA21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5" s="2" t="str">
        <f>VLOOKUP(Auto_Sales_data___Copy[[#This Row],[Segment Name]],Table3[],2,FALSE)</f>
        <v>Brand Awareness &amp; Value Proposition</v>
      </c>
    </row>
    <row r="2106" spans="1:28" x14ac:dyDescent="0.25">
      <c r="A2106">
        <v>10401</v>
      </c>
      <c r="B2106">
        <v>52</v>
      </c>
      <c r="C2106">
        <v>81.14</v>
      </c>
      <c r="D2106">
        <v>4</v>
      </c>
      <c r="E2106">
        <v>4219.28</v>
      </c>
      <c r="F2106" s="1">
        <v>43924</v>
      </c>
      <c r="G2106" s="2" t="s">
        <v>423</v>
      </c>
      <c r="H2106" s="2" t="s">
        <v>607</v>
      </c>
      <c r="I2106">
        <v>72</v>
      </c>
      <c r="J2106" s="2" t="s">
        <v>692</v>
      </c>
      <c r="K2106" s="2" t="s">
        <v>95</v>
      </c>
      <c r="L2106" s="2" t="s">
        <v>96</v>
      </c>
      <c r="M2106" s="2" t="s">
        <v>97</v>
      </c>
      <c r="N2106" s="2" t="s">
        <v>98</v>
      </c>
      <c r="O2106" s="2" t="s">
        <v>99</v>
      </c>
      <c r="P2106" s="2" t="s">
        <v>27</v>
      </c>
      <c r="Q2106" s="2" t="s">
        <v>100</v>
      </c>
      <c r="R2106" s="2" t="s">
        <v>101</v>
      </c>
      <c r="S2106" s="2" t="s">
        <v>46</v>
      </c>
      <c r="T2106">
        <v>2111</v>
      </c>
      <c r="U2106">
        <f>VLOOKUP(Auto_Sales_data___Copy[[#This Row],[CUSTOMER_NAME]],$AF$2:$AH$90,2,FALSE)</f>
        <v>21</v>
      </c>
      <c r="V2106">
        <f>VLOOKUP(Auto_Sales_data___Copy[[#This Row],[CUSTOMER_NAME]],$AF$2:$AH$90,3,FALSE)</f>
        <v>83228.189999999973</v>
      </c>
      <c r="W2106" s="2">
        <f>6-MATCH(Auto_Sales_data___Copy[[#This Row],[DAYS_SINCE_LAST_ORDER]],Table2[R-Cutoff],1)</f>
        <v>2</v>
      </c>
      <c r="X2106" s="2">
        <f>MATCH(Auto_Sales_data___Copy[[#This Row],[Total_Orders_Per_Customer]],Table2[F-Cutoff],1)</f>
        <v>2</v>
      </c>
      <c r="Y2106" s="2">
        <f>MATCH(Auto_Sales_data___Copy[[#This Row],[Total_Sales_Per_Customer]],Table2[M-Cutoff],1)</f>
        <v>3</v>
      </c>
      <c r="Z2106" s="2" t="str">
        <f>Auto_Sales_data___Copy[[#This Row],[R-Score(1-5)]]&amp;Auto_Sales_data___Copy[[#This Row],[F-Score(1-5)]]&amp;Auto_Sales_data___Copy[[#This Row],[M-Score(1-5)]]</f>
        <v>223</v>
      </c>
      <c r="AA2106" s="2" t="str" cm="1">
        <f t="array" ref="AA21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6" s="2" t="str">
        <f>VLOOKUP(Auto_Sales_data___Copy[[#This Row],[Segment Name]],Table3[],2,FALSE)</f>
        <v>Brand Awareness &amp; Value Proposition</v>
      </c>
    </row>
    <row r="2107" spans="1:28" x14ac:dyDescent="0.25">
      <c r="A2107">
        <v>10401</v>
      </c>
      <c r="B2107">
        <v>49</v>
      </c>
      <c r="C2107">
        <v>101.89</v>
      </c>
      <c r="D2107">
        <v>1</v>
      </c>
      <c r="E2107">
        <v>4992.6099999999997</v>
      </c>
      <c r="F2107" s="1">
        <v>43924</v>
      </c>
      <c r="G2107" s="2" t="s">
        <v>423</v>
      </c>
      <c r="H2107" s="2" t="s">
        <v>20</v>
      </c>
      <c r="I2107">
        <v>99</v>
      </c>
      <c r="J2107" s="2" t="s">
        <v>695</v>
      </c>
      <c r="K2107" s="2" t="s">
        <v>95</v>
      </c>
      <c r="L2107" s="2" t="s">
        <v>96</v>
      </c>
      <c r="M2107" s="2" t="s">
        <v>97</v>
      </c>
      <c r="N2107" s="2" t="s">
        <v>98</v>
      </c>
      <c r="O2107" s="2" t="s">
        <v>99</v>
      </c>
      <c r="P2107" s="2" t="s">
        <v>27</v>
      </c>
      <c r="Q2107" s="2" t="s">
        <v>100</v>
      </c>
      <c r="R2107" s="2" t="s">
        <v>101</v>
      </c>
      <c r="S2107" s="2" t="s">
        <v>46</v>
      </c>
      <c r="T2107">
        <v>2185</v>
      </c>
      <c r="U2107">
        <f>VLOOKUP(Auto_Sales_data___Copy[[#This Row],[CUSTOMER_NAME]],$AF$2:$AH$90,2,FALSE)</f>
        <v>21</v>
      </c>
      <c r="V2107">
        <f>VLOOKUP(Auto_Sales_data___Copy[[#This Row],[CUSTOMER_NAME]],$AF$2:$AH$90,3,FALSE)</f>
        <v>83228.189999999973</v>
      </c>
      <c r="W2107" s="2">
        <f>6-MATCH(Auto_Sales_data___Copy[[#This Row],[DAYS_SINCE_LAST_ORDER]],Table2[R-Cutoff],1)</f>
        <v>2</v>
      </c>
      <c r="X2107" s="2">
        <f>MATCH(Auto_Sales_data___Copy[[#This Row],[Total_Orders_Per_Customer]],Table2[F-Cutoff],1)</f>
        <v>2</v>
      </c>
      <c r="Y2107" s="2">
        <f>MATCH(Auto_Sales_data___Copy[[#This Row],[Total_Sales_Per_Customer]],Table2[M-Cutoff],1)</f>
        <v>3</v>
      </c>
      <c r="Z2107" s="2" t="str">
        <f>Auto_Sales_data___Copy[[#This Row],[R-Score(1-5)]]&amp;Auto_Sales_data___Copy[[#This Row],[F-Score(1-5)]]&amp;Auto_Sales_data___Copy[[#This Row],[M-Score(1-5)]]</f>
        <v>223</v>
      </c>
      <c r="AA2107" s="2" t="str" cm="1">
        <f t="array" ref="AA21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7" s="2" t="str">
        <f>VLOOKUP(Auto_Sales_data___Copy[[#This Row],[Segment Name]],Table3[],2,FALSE)</f>
        <v>Brand Awareness &amp; Value Proposition</v>
      </c>
    </row>
    <row r="2108" spans="1:28" x14ac:dyDescent="0.25">
      <c r="A2108">
        <v>10401</v>
      </c>
      <c r="B2108">
        <v>62</v>
      </c>
      <c r="C2108">
        <v>77.73</v>
      </c>
      <c r="D2108">
        <v>6</v>
      </c>
      <c r="E2108">
        <v>4819.26</v>
      </c>
      <c r="F2108" s="1">
        <v>43924</v>
      </c>
      <c r="G2108" s="2" t="s">
        <v>423</v>
      </c>
      <c r="H2108" s="2" t="s">
        <v>589</v>
      </c>
      <c r="I2108">
        <v>68</v>
      </c>
      <c r="J2108" s="2" t="s">
        <v>700</v>
      </c>
      <c r="K2108" s="2" t="s">
        <v>95</v>
      </c>
      <c r="L2108" s="2" t="s">
        <v>96</v>
      </c>
      <c r="M2108" s="2" t="s">
        <v>97</v>
      </c>
      <c r="N2108" s="2" t="s">
        <v>98</v>
      </c>
      <c r="O2108" s="2" t="s">
        <v>99</v>
      </c>
      <c r="P2108" s="2" t="s">
        <v>27</v>
      </c>
      <c r="Q2108" s="2" t="s">
        <v>100</v>
      </c>
      <c r="R2108" s="2" t="s">
        <v>101</v>
      </c>
      <c r="S2108" s="2" t="s">
        <v>46</v>
      </c>
      <c r="T2108">
        <v>2313</v>
      </c>
      <c r="U2108">
        <f>VLOOKUP(Auto_Sales_data___Copy[[#This Row],[CUSTOMER_NAME]],$AF$2:$AH$90,2,FALSE)</f>
        <v>21</v>
      </c>
      <c r="V2108">
        <f>VLOOKUP(Auto_Sales_data___Copy[[#This Row],[CUSTOMER_NAME]],$AF$2:$AH$90,3,FALSE)</f>
        <v>83228.189999999973</v>
      </c>
      <c r="W2108" s="2">
        <f>6-MATCH(Auto_Sales_data___Copy[[#This Row],[DAYS_SINCE_LAST_ORDER]],Table2[R-Cutoff],1)</f>
        <v>2</v>
      </c>
      <c r="X2108" s="2">
        <f>MATCH(Auto_Sales_data___Copy[[#This Row],[Total_Orders_Per_Customer]],Table2[F-Cutoff],1)</f>
        <v>2</v>
      </c>
      <c r="Y2108" s="2">
        <f>MATCH(Auto_Sales_data___Copy[[#This Row],[Total_Sales_Per_Customer]],Table2[M-Cutoff],1)</f>
        <v>3</v>
      </c>
      <c r="Z2108" s="2" t="str">
        <f>Auto_Sales_data___Copy[[#This Row],[R-Score(1-5)]]&amp;Auto_Sales_data___Copy[[#This Row],[F-Score(1-5)]]&amp;Auto_Sales_data___Copy[[#This Row],[M-Score(1-5)]]</f>
        <v>223</v>
      </c>
      <c r="AA2108" s="2" t="str" cm="1">
        <f t="array" ref="AA21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8" s="2" t="str">
        <f>VLOOKUP(Auto_Sales_data___Copy[[#This Row],[Segment Name]],Table3[],2,FALSE)</f>
        <v>Brand Awareness &amp; Value Proposition</v>
      </c>
    </row>
    <row r="2109" spans="1:28" x14ac:dyDescent="0.25">
      <c r="A2109">
        <v>10401</v>
      </c>
      <c r="B2109">
        <v>56</v>
      </c>
      <c r="C2109">
        <v>35.35</v>
      </c>
      <c r="D2109">
        <v>7</v>
      </c>
      <c r="E2109">
        <v>1979.6</v>
      </c>
      <c r="F2109" s="1">
        <v>43924</v>
      </c>
      <c r="G2109" s="2" t="s">
        <v>423</v>
      </c>
      <c r="H2109" s="2" t="s">
        <v>589</v>
      </c>
      <c r="I2109">
        <v>43</v>
      </c>
      <c r="J2109" s="2" t="s">
        <v>702</v>
      </c>
      <c r="K2109" s="2" t="s">
        <v>95</v>
      </c>
      <c r="L2109" s="2" t="s">
        <v>96</v>
      </c>
      <c r="M2109" s="2" t="s">
        <v>97</v>
      </c>
      <c r="N2109" s="2" t="s">
        <v>98</v>
      </c>
      <c r="O2109" s="2" t="s">
        <v>99</v>
      </c>
      <c r="P2109" s="2" t="s">
        <v>27</v>
      </c>
      <c r="Q2109" s="2" t="s">
        <v>100</v>
      </c>
      <c r="R2109" s="2" t="s">
        <v>101</v>
      </c>
      <c r="S2109" s="2" t="s">
        <v>30</v>
      </c>
      <c r="T2109">
        <v>2363</v>
      </c>
      <c r="U2109">
        <f>VLOOKUP(Auto_Sales_data___Copy[[#This Row],[CUSTOMER_NAME]],$AF$2:$AH$90,2,FALSE)</f>
        <v>21</v>
      </c>
      <c r="V2109">
        <f>VLOOKUP(Auto_Sales_data___Copy[[#This Row],[CUSTOMER_NAME]],$AF$2:$AH$90,3,FALSE)</f>
        <v>83228.189999999973</v>
      </c>
      <c r="W2109" s="2">
        <f>6-MATCH(Auto_Sales_data___Copy[[#This Row],[DAYS_SINCE_LAST_ORDER]],Table2[R-Cutoff],1)</f>
        <v>2</v>
      </c>
      <c r="X2109" s="2">
        <f>MATCH(Auto_Sales_data___Copy[[#This Row],[Total_Orders_Per_Customer]],Table2[F-Cutoff],1)</f>
        <v>2</v>
      </c>
      <c r="Y2109" s="2">
        <f>MATCH(Auto_Sales_data___Copy[[#This Row],[Total_Sales_Per_Customer]],Table2[M-Cutoff],1)</f>
        <v>3</v>
      </c>
      <c r="Z2109" s="2" t="str">
        <f>Auto_Sales_data___Copy[[#This Row],[R-Score(1-5)]]&amp;Auto_Sales_data___Copy[[#This Row],[F-Score(1-5)]]&amp;Auto_Sales_data___Copy[[#This Row],[M-Score(1-5)]]</f>
        <v>223</v>
      </c>
      <c r="AA2109" s="2" t="str" cm="1">
        <f t="array" ref="AA21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9" s="2" t="str">
        <f>VLOOKUP(Auto_Sales_data___Copy[[#This Row],[Segment Name]],Table3[],2,FALSE)</f>
        <v>Brand Awareness &amp; Value Proposition</v>
      </c>
    </row>
    <row r="2110" spans="1:28" x14ac:dyDescent="0.25">
      <c r="A2110">
        <v>10401</v>
      </c>
      <c r="B2110">
        <v>11</v>
      </c>
      <c r="C2110">
        <v>103.21</v>
      </c>
      <c r="D2110">
        <v>8</v>
      </c>
      <c r="E2110">
        <v>1135.31</v>
      </c>
      <c r="F2110" s="1">
        <v>43924</v>
      </c>
      <c r="G2110" s="2" t="s">
        <v>423</v>
      </c>
      <c r="H2110" s="2" t="s">
        <v>607</v>
      </c>
      <c r="I2110">
        <v>91</v>
      </c>
      <c r="J2110" s="2" t="s">
        <v>707</v>
      </c>
      <c r="K2110" s="2" t="s">
        <v>95</v>
      </c>
      <c r="L2110" s="2" t="s">
        <v>96</v>
      </c>
      <c r="M2110" s="2" t="s">
        <v>97</v>
      </c>
      <c r="N2110" s="2" t="s">
        <v>98</v>
      </c>
      <c r="O2110" s="2" t="s">
        <v>99</v>
      </c>
      <c r="P2110" s="2" t="s">
        <v>27</v>
      </c>
      <c r="Q2110" s="2" t="s">
        <v>100</v>
      </c>
      <c r="R2110" s="2" t="s">
        <v>101</v>
      </c>
      <c r="S2110" s="2" t="s">
        <v>30</v>
      </c>
      <c r="T2110">
        <v>2493</v>
      </c>
      <c r="U2110">
        <f>VLOOKUP(Auto_Sales_data___Copy[[#This Row],[CUSTOMER_NAME]],$AF$2:$AH$90,2,FALSE)</f>
        <v>21</v>
      </c>
      <c r="V2110">
        <f>VLOOKUP(Auto_Sales_data___Copy[[#This Row],[CUSTOMER_NAME]],$AF$2:$AH$90,3,FALSE)</f>
        <v>83228.189999999973</v>
      </c>
      <c r="W2110" s="2">
        <f>6-MATCH(Auto_Sales_data___Copy[[#This Row],[DAYS_SINCE_LAST_ORDER]],Table2[R-Cutoff],1)</f>
        <v>2</v>
      </c>
      <c r="X2110" s="2">
        <f>MATCH(Auto_Sales_data___Copy[[#This Row],[Total_Orders_Per_Customer]],Table2[F-Cutoff],1)</f>
        <v>2</v>
      </c>
      <c r="Y2110" s="2">
        <f>MATCH(Auto_Sales_data___Copy[[#This Row],[Total_Sales_Per_Customer]],Table2[M-Cutoff],1)</f>
        <v>3</v>
      </c>
      <c r="Z2110" s="2" t="str">
        <f>Auto_Sales_data___Copy[[#This Row],[R-Score(1-5)]]&amp;Auto_Sales_data___Copy[[#This Row],[F-Score(1-5)]]&amp;Auto_Sales_data___Copy[[#This Row],[M-Score(1-5)]]</f>
        <v>223</v>
      </c>
      <c r="AA2110" s="2" t="str" cm="1">
        <f t="array" ref="AA21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10" s="2" t="str">
        <f>VLOOKUP(Auto_Sales_data___Copy[[#This Row],[Segment Name]],Table3[],2,FALSE)</f>
        <v>Brand Awareness &amp; Value Proposition</v>
      </c>
    </row>
    <row r="2111" spans="1:28" x14ac:dyDescent="0.25">
      <c r="A2111">
        <v>10115</v>
      </c>
      <c r="B2111">
        <v>47</v>
      </c>
      <c r="C2111">
        <v>69.36</v>
      </c>
      <c r="D2111">
        <v>2</v>
      </c>
      <c r="E2111">
        <v>3259.92</v>
      </c>
      <c r="F2111" s="1">
        <v>43194</v>
      </c>
      <c r="G2111" s="2" t="s">
        <v>19</v>
      </c>
      <c r="H2111" s="2" t="s">
        <v>183</v>
      </c>
      <c r="I2111">
        <v>57</v>
      </c>
      <c r="J2111" s="2" t="s">
        <v>666</v>
      </c>
      <c r="K2111" s="2" t="s">
        <v>206</v>
      </c>
      <c r="L2111" s="2" t="s">
        <v>207</v>
      </c>
      <c r="M2111" s="2" t="s">
        <v>208</v>
      </c>
      <c r="N2111" s="2" t="s">
        <v>25</v>
      </c>
      <c r="O2111" s="2" t="s">
        <v>26</v>
      </c>
      <c r="P2111" s="2" t="s">
        <v>27</v>
      </c>
      <c r="Q2111" s="2" t="s">
        <v>120</v>
      </c>
      <c r="R2111" s="2" t="s">
        <v>209</v>
      </c>
      <c r="S2111" s="2" t="s">
        <v>46</v>
      </c>
      <c r="T2111">
        <v>2177</v>
      </c>
      <c r="U2111">
        <f>VLOOKUP(Auto_Sales_data___Copy[[#This Row],[CUSTOMER_NAME]],$AF$2:$AH$90,2,FALSE)</f>
        <v>20</v>
      </c>
      <c r="V2111">
        <f>VLOOKUP(Auto_Sales_data___Copy[[#This Row],[CUSTOMER_NAME]],$AF$2:$AH$90,3,FALSE)</f>
        <v>77795.200000000012</v>
      </c>
      <c r="W2111" s="2">
        <f>6-MATCH(Auto_Sales_data___Copy[[#This Row],[DAYS_SINCE_LAST_ORDER]],Table2[R-Cutoff],1)</f>
        <v>2</v>
      </c>
      <c r="X2111" s="2">
        <f>MATCH(Auto_Sales_data___Copy[[#This Row],[Total_Orders_Per_Customer]],Table2[F-Cutoff],1)</f>
        <v>2</v>
      </c>
      <c r="Y2111" s="2">
        <f>MATCH(Auto_Sales_data___Copy[[#This Row],[Total_Sales_Per_Customer]],Table2[M-Cutoff],1)</f>
        <v>2</v>
      </c>
      <c r="Z2111" s="2" t="str">
        <f>Auto_Sales_data___Copy[[#This Row],[R-Score(1-5)]]&amp;Auto_Sales_data___Copy[[#This Row],[F-Score(1-5)]]&amp;Auto_Sales_data___Copy[[#This Row],[M-Score(1-5)]]</f>
        <v>222</v>
      </c>
      <c r="AA2111" s="2" t="str" cm="1">
        <f t="array" ref="AA21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1" s="2" t="str">
        <f>VLOOKUP(Auto_Sales_data___Copy[[#This Row],[Segment Name]],Table3[],2,FALSE)</f>
        <v>Re-Activation &amp; Re-Engagement</v>
      </c>
    </row>
    <row r="2112" spans="1:28" x14ac:dyDescent="0.25">
      <c r="A2112">
        <v>10134</v>
      </c>
      <c r="B2112">
        <v>35</v>
      </c>
      <c r="C2112">
        <v>93.54</v>
      </c>
      <c r="D2112">
        <v>3</v>
      </c>
      <c r="E2112">
        <v>3273.9</v>
      </c>
      <c r="F2112" s="1">
        <v>43282</v>
      </c>
      <c r="G2112" s="2" t="s">
        <v>19</v>
      </c>
      <c r="H2112" s="2" t="s">
        <v>20</v>
      </c>
      <c r="I2112">
        <v>112</v>
      </c>
      <c r="J2112" s="2" t="s">
        <v>667</v>
      </c>
      <c r="K2112" s="2" t="s">
        <v>39</v>
      </c>
      <c r="L2112" s="2" t="s">
        <v>40</v>
      </c>
      <c r="M2112" s="2" t="s">
        <v>41</v>
      </c>
      <c r="N2112" s="2" t="s">
        <v>42</v>
      </c>
      <c r="O2112" s="2" t="s">
        <v>43</v>
      </c>
      <c r="P2112" s="2" t="s">
        <v>36</v>
      </c>
      <c r="Q2112" s="2" t="s">
        <v>44</v>
      </c>
      <c r="R2112" s="2" t="s">
        <v>45</v>
      </c>
      <c r="S2112" s="2" t="s">
        <v>46</v>
      </c>
      <c r="T2112">
        <v>2118</v>
      </c>
      <c r="U2112">
        <f>VLOOKUP(Auto_Sales_data___Copy[[#This Row],[CUSTOMER_NAME]],$AF$2:$AH$90,2,FALSE)</f>
        <v>20</v>
      </c>
      <c r="V2112">
        <f>VLOOKUP(Auto_Sales_data___Copy[[#This Row],[CUSTOMER_NAME]],$AF$2:$AH$90,3,FALSE)</f>
        <v>78570.34</v>
      </c>
      <c r="W2112" s="2">
        <f>6-MATCH(Auto_Sales_data___Copy[[#This Row],[DAYS_SINCE_LAST_ORDER]],Table2[R-Cutoff],1)</f>
        <v>2</v>
      </c>
      <c r="X2112" s="2">
        <f>MATCH(Auto_Sales_data___Copy[[#This Row],[Total_Orders_Per_Customer]],Table2[F-Cutoff],1)</f>
        <v>2</v>
      </c>
      <c r="Y2112" s="2">
        <f>MATCH(Auto_Sales_data___Copy[[#This Row],[Total_Sales_Per_Customer]],Table2[M-Cutoff],1)</f>
        <v>2</v>
      </c>
      <c r="Z2112" s="2" t="str">
        <f>Auto_Sales_data___Copy[[#This Row],[R-Score(1-5)]]&amp;Auto_Sales_data___Copy[[#This Row],[F-Score(1-5)]]&amp;Auto_Sales_data___Copy[[#This Row],[M-Score(1-5)]]</f>
        <v>222</v>
      </c>
      <c r="AA2112" s="2" t="str" cm="1">
        <f t="array" ref="AA21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2" s="2" t="str">
        <f>VLOOKUP(Auto_Sales_data___Copy[[#This Row],[Segment Name]],Table3[],2,FALSE)</f>
        <v>Re-Activation &amp; Re-Engagement</v>
      </c>
    </row>
    <row r="2113" spans="1:28" x14ac:dyDescent="0.25">
      <c r="A2113">
        <v>10134</v>
      </c>
      <c r="B2113">
        <v>43</v>
      </c>
      <c r="C2113">
        <v>83.03</v>
      </c>
      <c r="D2113">
        <v>7</v>
      </c>
      <c r="E2113">
        <v>3570.29</v>
      </c>
      <c r="F2113" s="1">
        <v>43282</v>
      </c>
      <c r="G2113" s="2" t="s">
        <v>19</v>
      </c>
      <c r="H2113" s="2" t="s">
        <v>20</v>
      </c>
      <c r="I2113">
        <v>76</v>
      </c>
      <c r="J2113" s="2" t="s">
        <v>671</v>
      </c>
      <c r="K2113" s="2" t="s">
        <v>39</v>
      </c>
      <c r="L2113" s="2" t="s">
        <v>40</v>
      </c>
      <c r="M2113" s="2" t="s">
        <v>41</v>
      </c>
      <c r="N2113" s="2" t="s">
        <v>42</v>
      </c>
      <c r="O2113" s="2" t="s">
        <v>43</v>
      </c>
      <c r="P2113" s="2" t="s">
        <v>36</v>
      </c>
      <c r="Q2113" s="2" t="s">
        <v>44</v>
      </c>
      <c r="R2113" s="2" t="s">
        <v>45</v>
      </c>
      <c r="S2113" s="2" t="s">
        <v>46</v>
      </c>
      <c r="T2113">
        <v>2213</v>
      </c>
      <c r="U2113">
        <f>VLOOKUP(Auto_Sales_data___Copy[[#This Row],[CUSTOMER_NAME]],$AF$2:$AH$90,2,FALSE)</f>
        <v>20</v>
      </c>
      <c r="V2113">
        <f>VLOOKUP(Auto_Sales_data___Copy[[#This Row],[CUSTOMER_NAME]],$AF$2:$AH$90,3,FALSE)</f>
        <v>78570.34</v>
      </c>
      <c r="W2113" s="2">
        <f>6-MATCH(Auto_Sales_data___Copy[[#This Row],[DAYS_SINCE_LAST_ORDER]],Table2[R-Cutoff],1)</f>
        <v>2</v>
      </c>
      <c r="X2113" s="2">
        <f>MATCH(Auto_Sales_data___Copy[[#This Row],[Total_Orders_Per_Customer]],Table2[F-Cutoff],1)</f>
        <v>2</v>
      </c>
      <c r="Y2113" s="2">
        <f>MATCH(Auto_Sales_data___Copy[[#This Row],[Total_Sales_Per_Customer]],Table2[M-Cutoff],1)</f>
        <v>2</v>
      </c>
      <c r="Z2113" s="2" t="str">
        <f>Auto_Sales_data___Copy[[#This Row],[R-Score(1-5)]]&amp;Auto_Sales_data___Copy[[#This Row],[F-Score(1-5)]]&amp;Auto_Sales_data___Copy[[#This Row],[M-Score(1-5)]]</f>
        <v>222</v>
      </c>
      <c r="AA2113" s="2" t="str" cm="1">
        <f t="array" ref="AA21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3" s="2" t="str">
        <f>VLOOKUP(Auto_Sales_data___Copy[[#This Row],[Segment Name]],Table3[],2,FALSE)</f>
        <v>Re-Activation &amp; Re-Engagement</v>
      </c>
    </row>
    <row r="2114" spans="1:28" x14ac:dyDescent="0.25">
      <c r="A2114">
        <v>10171</v>
      </c>
      <c r="B2114">
        <v>36</v>
      </c>
      <c r="C2114">
        <v>35.49</v>
      </c>
      <c r="D2114">
        <v>4</v>
      </c>
      <c r="E2114">
        <v>1277.6400000000001</v>
      </c>
      <c r="F2114" s="1">
        <v>43409</v>
      </c>
      <c r="G2114" s="2" t="s">
        <v>19</v>
      </c>
      <c r="H2114" s="2" t="s">
        <v>183</v>
      </c>
      <c r="I2114">
        <v>37</v>
      </c>
      <c r="J2114" s="2" t="s">
        <v>680</v>
      </c>
      <c r="K2114" s="2" t="s">
        <v>307</v>
      </c>
      <c r="L2114" s="2" t="s">
        <v>308</v>
      </c>
      <c r="M2114" s="2" t="s">
        <v>309</v>
      </c>
      <c r="N2114" s="2" t="s">
        <v>310</v>
      </c>
      <c r="O2114" s="2" t="s">
        <v>311</v>
      </c>
      <c r="P2114" s="2" t="s">
        <v>236</v>
      </c>
      <c r="Q2114" s="2" t="s">
        <v>312</v>
      </c>
      <c r="R2114" s="2" t="s">
        <v>313</v>
      </c>
      <c r="S2114" s="2" t="s">
        <v>30</v>
      </c>
      <c r="T2114">
        <v>2311</v>
      </c>
      <c r="U2114">
        <f>VLOOKUP(Auto_Sales_data___Copy[[#This Row],[CUSTOMER_NAME]],$AF$2:$AH$90,2,FALSE)</f>
        <v>22</v>
      </c>
      <c r="V2114">
        <f>VLOOKUP(Auto_Sales_data___Copy[[#This Row],[CUSTOMER_NAME]],$AF$2:$AH$90,3,FALSE)</f>
        <v>74204.790000000008</v>
      </c>
      <c r="W2114" s="2">
        <f>6-MATCH(Auto_Sales_data___Copy[[#This Row],[DAYS_SINCE_LAST_ORDER]],Table2[R-Cutoff],1)</f>
        <v>2</v>
      </c>
      <c r="X2114" s="2">
        <f>MATCH(Auto_Sales_data___Copy[[#This Row],[Total_Orders_Per_Customer]],Table2[F-Cutoff],1)</f>
        <v>2</v>
      </c>
      <c r="Y2114" s="2">
        <f>MATCH(Auto_Sales_data___Copy[[#This Row],[Total_Sales_Per_Customer]],Table2[M-Cutoff],1)</f>
        <v>2</v>
      </c>
      <c r="Z2114" s="2" t="str">
        <f>Auto_Sales_data___Copy[[#This Row],[R-Score(1-5)]]&amp;Auto_Sales_data___Copy[[#This Row],[F-Score(1-5)]]&amp;Auto_Sales_data___Copy[[#This Row],[M-Score(1-5)]]</f>
        <v>222</v>
      </c>
      <c r="AA2114" s="2" t="str" cm="1">
        <f t="array" ref="AA21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4" s="2" t="str">
        <f>VLOOKUP(Auto_Sales_data___Copy[[#This Row],[Segment Name]],Table3[],2,FALSE)</f>
        <v>Re-Activation &amp; Re-Engagement</v>
      </c>
    </row>
    <row r="2115" spans="1:28" x14ac:dyDescent="0.25">
      <c r="A2115">
        <v>10178</v>
      </c>
      <c r="B2115">
        <v>34</v>
      </c>
      <c r="C2115">
        <v>80.84</v>
      </c>
      <c r="D2115">
        <v>5</v>
      </c>
      <c r="E2115">
        <v>2748.56</v>
      </c>
      <c r="F2115" s="1">
        <v>43412</v>
      </c>
      <c r="G2115" s="2" t="s">
        <v>19</v>
      </c>
      <c r="H2115" s="2" t="s">
        <v>607</v>
      </c>
      <c r="I2115">
        <v>68</v>
      </c>
      <c r="J2115" s="2" t="s">
        <v>678</v>
      </c>
      <c r="K2115" s="2" t="s">
        <v>359</v>
      </c>
      <c r="L2115" s="2" t="s">
        <v>360</v>
      </c>
      <c r="M2115" s="2" t="s">
        <v>361</v>
      </c>
      <c r="N2115" s="2" t="s">
        <v>362</v>
      </c>
      <c r="O2115" s="2" t="s">
        <v>363</v>
      </c>
      <c r="P2115" s="2" t="s">
        <v>36</v>
      </c>
      <c r="Q2115" s="2" t="s">
        <v>364</v>
      </c>
      <c r="R2115" s="2" t="s">
        <v>365</v>
      </c>
      <c r="S2115" s="2" t="s">
        <v>30</v>
      </c>
      <c r="T2115">
        <v>2263</v>
      </c>
      <c r="U2115">
        <f>VLOOKUP(Auto_Sales_data___Copy[[#This Row],[CUSTOMER_NAME]],$AF$2:$AH$90,2,FALSE)</f>
        <v>20</v>
      </c>
      <c r="V2115">
        <f>VLOOKUP(Auto_Sales_data___Copy[[#This Row],[CUSTOMER_NAME]],$AF$2:$AH$90,3,FALSE)</f>
        <v>70488.439999999988</v>
      </c>
      <c r="W2115" s="2">
        <f>6-MATCH(Auto_Sales_data___Copy[[#This Row],[DAYS_SINCE_LAST_ORDER]],Table2[R-Cutoff],1)</f>
        <v>2</v>
      </c>
      <c r="X2115" s="2">
        <f>MATCH(Auto_Sales_data___Copy[[#This Row],[Total_Orders_Per_Customer]],Table2[F-Cutoff],1)</f>
        <v>2</v>
      </c>
      <c r="Y2115" s="2">
        <f>MATCH(Auto_Sales_data___Copy[[#This Row],[Total_Sales_Per_Customer]],Table2[M-Cutoff],1)</f>
        <v>2</v>
      </c>
      <c r="Z2115" s="2" t="str">
        <f>Auto_Sales_data___Copy[[#This Row],[R-Score(1-5)]]&amp;Auto_Sales_data___Copy[[#This Row],[F-Score(1-5)]]&amp;Auto_Sales_data___Copy[[#This Row],[M-Score(1-5)]]</f>
        <v>222</v>
      </c>
      <c r="AA2115" s="2" t="str" cm="1">
        <f t="array" ref="AA21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5" s="2" t="str">
        <f>VLOOKUP(Auto_Sales_data___Copy[[#This Row],[Segment Name]],Table3[],2,FALSE)</f>
        <v>Re-Activation &amp; Re-Engagement</v>
      </c>
    </row>
    <row r="2116" spans="1:28" x14ac:dyDescent="0.25">
      <c r="A2116">
        <v>10178</v>
      </c>
      <c r="B2116">
        <v>27</v>
      </c>
      <c r="C2116">
        <v>73.64</v>
      </c>
      <c r="D2116">
        <v>6</v>
      </c>
      <c r="E2116">
        <v>1988.28</v>
      </c>
      <c r="F2116" s="1">
        <v>43412</v>
      </c>
      <c r="G2116" s="2" t="s">
        <v>19</v>
      </c>
      <c r="H2116" s="2" t="s">
        <v>589</v>
      </c>
      <c r="I2116">
        <v>65</v>
      </c>
      <c r="J2116" s="2" t="s">
        <v>684</v>
      </c>
      <c r="K2116" s="2" t="s">
        <v>359</v>
      </c>
      <c r="L2116" s="2" t="s">
        <v>360</v>
      </c>
      <c r="M2116" s="2" t="s">
        <v>361</v>
      </c>
      <c r="N2116" s="2" t="s">
        <v>362</v>
      </c>
      <c r="O2116" s="2" t="s">
        <v>363</v>
      </c>
      <c r="P2116" s="2" t="s">
        <v>36</v>
      </c>
      <c r="Q2116" s="2" t="s">
        <v>364</v>
      </c>
      <c r="R2116" s="2" t="s">
        <v>365</v>
      </c>
      <c r="S2116" s="2" t="s">
        <v>30</v>
      </c>
      <c r="T2116">
        <v>2409</v>
      </c>
      <c r="U2116">
        <f>VLOOKUP(Auto_Sales_data___Copy[[#This Row],[CUSTOMER_NAME]],$AF$2:$AH$90,2,FALSE)</f>
        <v>20</v>
      </c>
      <c r="V2116">
        <f>VLOOKUP(Auto_Sales_data___Copy[[#This Row],[CUSTOMER_NAME]],$AF$2:$AH$90,3,FALSE)</f>
        <v>70488.439999999988</v>
      </c>
      <c r="W2116" s="2">
        <f>6-MATCH(Auto_Sales_data___Copy[[#This Row],[DAYS_SINCE_LAST_ORDER]],Table2[R-Cutoff],1)</f>
        <v>2</v>
      </c>
      <c r="X2116" s="2">
        <f>MATCH(Auto_Sales_data___Copy[[#This Row],[Total_Orders_Per_Customer]],Table2[F-Cutoff],1)</f>
        <v>2</v>
      </c>
      <c r="Y2116" s="2">
        <f>MATCH(Auto_Sales_data___Copy[[#This Row],[Total_Sales_Per_Customer]],Table2[M-Cutoff],1)</f>
        <v>2</v>
      </c>
      <c r="Z2116" s="2" t="str">
        <f>Auto_Sales_data___Copy[[#This Row],[R-Score(1-5)]]&amp;Auto_Sales_data___Copy[[#This Row],[F-Score(1-5)]]&amp;Auto_Sales_data___Copy[[#This Row],[M-Score(1-5)]]</f>
        <v>222</v>
      </c>
      <c r="AA2116" s="2" t="str" cm="1">
        <f t="array" ref="AA21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6" s="2" t="str">
        <f>VLOOKUP(Auto_Sales_data___Copy[[#This Row],[Segment Name]],Table3[],2,FALSE)</f>
        <v>Re-Activation &amp; Re-Engagement</v>
      </c>
    </row>
    <row r="2117" spans="1:28" x14ac:dyDescent="0.25">
      <c r="A2117">
        <v>10178</v>
      </c>
      <c r="B2117">
        <v>21</v>
      </c>
      <c r="C2117">
        <v>72.12</v>
      </c>
      <c r="D2117">
        <v>11</v>
      </c>
      <c r="E2117">
        <v>1514.52</v>
      </c>
      <c r="F2117" s="1">
        <v>43412</v>
      </c>
      <c r="G2117" s="2" t="s">
        <v>19</v>
      </c>
      <c r="H2117" s="2" t="s">
        <v>589</v>
      </c>
      <c r="I2117">
        <v>83</v>
      </c>
      <c r="J2117" s="2" t="s">
        <v>686</v>
      </c>
      <c r="K2117" s="2" t="s">
        <v>359</v>
      </c>
      <c r="L2117" s="2" t="s">
        <v>360</v>
      </c>
      <c r="M2117" s="2" t="s">
        <v>361</v>
      </c>
      <c r="N2117" s="2" t="s">
        <v>362</v>
      </c>
      <c r="O2117" s="2" t="s">
        <v>363</v>
      </c>
      <c r="P2117" s="2" t="s">
        <v>36</v>
      </c>
      <c r="Q2117" s="2" t="s">
        <v>364</v>
      </c>
      <c r="R2117" s="2" t="s">
        <v>365</v>
      </c>
      <c r="S2117" s="2" t="s">
        <v>30</v>
      </c>
      <c r="T2117">
        <v>2458</v>
      </c>
      <c r="U2117">
        <f>VLOOKUP(Auto_Sales_data___Copy[[#This Row],[CUSTOMER_NAME]],$AF$2:$AH$90,2,FALSE)</f>
        <v>20</v>
      </c>
      <c r="V2117">
        <f>VLOOKUP(Auto_Sales_data___Copy[[#This Row],[CUSTOMER_NAME]],$AF$2:$AH$90,3,FALSE)</f>
        <v>70488.439999999988</v>
      </c>
      <c r="W2117" s="2">
        <f>6-MATCH(Auto_Sales_data___Copy[[#This Row],[DAYS_SINCE_LAST_ORDER]],Table2[R-Cutoff],1)</f>
        <v>2</v>
      </c>
      <c r="X2117" s="2">
        <f>MATCH(Auto_Sales_data___Copy[[#This Row],[Total_Orders_Per_Customer]],Table2[F-Cutoff],1)</f>
        <v>2</v>
      </c>
      <c r="Y2117" s="2">
        <f>MATCH(Auto_Sales_data___Copy[[#This Row],[Total_Sales_Per_Customer]],Table2[M-Cutoff],1)</f>
        <v>2</v>
      </c>
      <c r="Z2117" s="2" t="str">
        <f>Auto_Sales_data___Copy[[#This Row],[R-Score(1-5)]]&amp;Auto_Sales_data___Copy[[#This Row],[F-Score(1-5)]]&amp;Auto_Sales_data___Copy[[#This Row],[M-Score(1-5)]]</f>
        <v>222</v>
      </c>
      <c r="AA2117" s="2" t="str" cm="1">
        <f t="array" ref="AA21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7" s="2" t="str">
        <f>VLOOKUP(Auto_Sales_data___Copy[[#This Row],[Segment Name]],Table3[],2,FALSE)</f>
        <v>Re-Activation &amp; Re-Engagement</v>
      </c>
    </row>
    <row r="2118" spans="1:28" x14ac:dyDescent="0.25">
      <c r="A2118">
        <v>10178</v>
      </c>
      <c r="B2118">
        <v>30</v>
      </c>
      <c r="C2118">
        <v>72.33</v>
      </c>
      <c r="D2118">
        <v>3</v>
      </c>
      <c r="E2118">
        <v>2169.9</v>
      </c>
      <c r="F2118" s="1">
        <v>43412</v>
      </c>
      <c r="G2118" s="2" t="s">
        <v>19</v>
      </c>
      <c r="H2118" s="2" t="s">
        <v>607</v>
      </c>
      <c r="I2118">
        <v>68</v>
      </c>
      <c r="J2118" s="2" t="s">
        <v>688</v>
      </c>
      <c r="K2118" s="2" t="s">
        <v>359</v>
      </c>
      <c r="L2118" s="2" t="s">
        <v>360</v>
      </c>
      <c r="M2118" s="2" t="s">
        <v>361</v>
      </c>
      <c r="N2118" s="2" t="s">
        <v>362</v>
      </c>
      <c r="O2118" s="2" t="s">
        <v>363</v>
      </c>
      <c r="P2118" s="2" t="s">
        <v>36</v>
      </c>
      <c r="Q2118" s="2" t="s">
        <v>364</v>
      </c>
      <c r="R2118" s="2" t="s">
        <v>365</v>
      </c>
      <c r="S2118" s="2" t="s">
        <v>30</v>
      </c>
      <c r="T2118">
        <v>2509</v>
      </c>
      <c r="U2118">
        <f>VLOOKUP(Auto_Sales_data___Copy[[#This Row],[CUSTOMER_NAME]],$AF$2:$AH$90,2,FALSE)</f>
        <v>20</v>
      </c>
      <c r="V2118">
        <f>VLOOKUP(Auto_Sales_data___Copy[[#This Row],[CUSTOMER_NAME]],$AF$2:$AH$90,3,FALSE)</f>
        <v>70488.439999999988</v>
      </c>
      <c r="W2118" s="2">
        <f>6-MATCH(Auto_Sales_data___Copy[[#This Row],[DAYS_SINCE_LAST_ORDER]],Table2[R-Cutoff],1)</f>
        <v>2</v>
      </c>
      <c r="X2118" s="2">
        <f>MATCH(Auto_Sales_data___Copy[[#This Row],[Total_Orders_Per_Customer]],Table2[F-Cutoff],1)</f>
        <v>2</v>
      </c>
      <c r="Y2118" s="2">
        <f>MATCH(Auto_Sales_data___Copy[[#This Row],[Total_Sales_Per_Customer]],Table2[M-Cutoff],1)</f>
        <v>2</v>
      </c>
      <c r="Z2118" s="2" t="str">
        <f>Auto_Sales_data___Copy[[#This Row],[R-Score(1-5)]]&amp;Auto_Sales_data___Copy[[#This Row],[F-Score(1-5)]]&amp;Auto_Sales_data___Copy[[#This Row],[M-Score(1-5)]]</f>
        <v>222</v>
      </c>
      <c r="AA2118" s="2" t="str" cm="1">
        <f t="array" ref="AA21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8" s="2" t="str">
        <f>VLOOKUP(Auto_Sales_data___Copy[[#This Row],[Segment Name]],Table3[],2,FALSE)</f>
        <v>Re-Activation &amp; Re-Engagement</v>
      </c>
    </row>
    <row r="2119" spans="1:28" x14ac:dyDescent="0.25">
      <c r="A2119">
        <v>10180</v>
      </c>
      <c r="B2119">
        <v>28</v>
      </c>
      <c r="C2119">
        <v>68.55</v>
      </c>
      <c r="D2119">
        <v>14</v>
      </c>
      <c r="E2119">
        <v>1919.4</v>
      </c>
      <c r="F2119" s="1">
        <v>43415</v>
      </c>
      <c r="G2119" s="2" t="s">
        <v>19</v>
      </c>
      <c r="H2119" s="2" t="s">
        <v>20</v>
      </c>
      <c r="I2119">
        <v>76</v>
      </c>
      <c r="J2119" s="2" t="s">
        <v>671</v>
      </c>
      <c r="K2119" s="2" t="s">
        <v>61</v>
      </c>
      <c r="L2119" s="2" t="s">
        <v>62</v>
      </c>
      <c r="M2119" s="2" t="s">
        <v>63</v>
      </c>
      <c r="N2119" s="2" t="s">
        <v>64</v>
      </c>
      <c r="O2119" s="2" t="s">
        <v>65</v>
      </c>
      <c r="P2119" s="2" t="s">
        <v>36</v>
      </c>
      <c r="Q2119" s="2" t="s">
        <v>66</v>
      </c>
      <c r="R2119" s="2" t="s">
        <v>67</v>
      </c>
      <c r="S2119" s="2" t="s">
        <v>30</v>
      </c>
      <c r="T2119">
        <v>2084</v>
      </c>
      <c r="U2119">
        <f>VLOOKUP(Auto_Sales_data___Copy[[#This Row],[CUSTOMER_NAME]],$AF$2:$AH$90,2,FALSE)</f>
        <v>20</v>
      </c>
      <c r="V2119">
        <f>VLOOKUP(Auto_Sales_data___Copy[[#This Row],[CUSTOMER_NAME]],$AF$2:$AH$90,3,FALSE)</f>
        <v>69052.41</v>
      </c>
      <c r="W2119" s="2">
        <f>6-MATCH(Auto_Sales_data___Copy[[#This Row],[DAYS_SINCE_LAST_ORDER]],Table2[R-Cutoff],1)</f>
        <v>2</v>
      </c>
      <c r="X2119" s="2">
        <f>MATCH(Auto_Sales_data___Copy[[#This Row],[Total_Orders_Per_Customer]],Table2[F-Cutoff],1)</f>
        <v>2</v>
      </c>
      <c r="Y2119" s="2">
        <f>MATCH(Auto_Sales_data___Copy[[#This Row],[Total_Sales_Per_Customer]],Table2[M-Cutoff],1)</f>
        <v>2</v>
      </c>
      <c r="Z2119" s="2" t="str">
        <f>Auto_Sales_data___Copy[[#This Row],[R-Score(1-5)]]&amp;Auto_Sales_data___Copy[[#This Row],[F-Score(1-5)]]&amp;Auto_Sales_data___Copy[[#This Row],[M-Score(1-5)]]</f>
        <v>222</v>
      </c>
      <c r="AA2119" s="2" t="str" cm="1">
        <f t="array" ref="AA21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9" s="2" t="str">
        <f>VLOOKUP(Auto_Sales_data___Copy[[#This Row],[Segment Name]],Table3[],2,FALSE)</f>
        <v>Re-Activation &amp; Re-Engagement</v>
      </c>
    </row>
    <row r="2120" spans="1:28" x14ac:dyDescent="0.25">
      <c r="A2120">
        <v>10180</v>
      </c>
      <c r="B2120">
        <v>35</v>
      </c>
      <c r="C2120">
        <v>72.03</v>
      </c>
      <c r="D2120">
        <v>6</v>
      </c>
      <c r="E2120">
        <v>2521.0500000000002</v>
      </c>
      <c r="F2120" s="1">
        <v>43415</v>
      </c>
      <c r="G2120" s="2" t="s">
        <v>19</v>
      </c>
      <c r="H2120" s="2" t="s">
        <v>20</v>
      </c>
      <c r="I2120">
        <v>69</v>
      </c>
      <c r="J2120" s="2" t="s">
        <v>675</v>
      </c>
      <c r="K2120" s="2" t="s">
        <v>61</v>
      </c>
      <c r="L2120" s="2" t="s">
        <v>62</v>
      </c>
      <c r="M2120" s="2" t="s">
        <v>63</v>
      </c>
      <c r="N2120" s="2" t="s">
        <v>64</v>
      </c>
      <c r="O2120" s="2" t="s">
        <v>65</v>
      </c>
      <c r="P2120" s="2" t="s">
        <v>36</v>
      </c>
      <c r="Q2120" s="2" t="s">
        <v>66</v>
      </c>
      <c r="R2120" s="2" t="s">
        <v>67</v>
      </c>
      <c r="S2120" s="2" t="s">
        <v>30</v>
      </c>
      <c r="T2120">
        <v>2184</v>
      </c>
      <c r="U2120">
        <f>VLOOKUP(Auto_Sales_data___Copy[[#This Row],[CUSTOMER_NAME]],$AF$2:$AH$90,2,FALSE)</f>
        <v>20</v>
      </c>
      <c r="V2120">
        <f>VLOOKUP(Auto_Sales_data___Copy[[#This Row],[CUSTOMER_NAME]],$AF$2:$AH$90,3,FALSE)</f>
        <v>69052.41</v>
      </c>
      <c r="W2120" s="2">
        <f>6-MATCH(Auto_Sales_data___Copy[[#This Row],[DAYS_SINCE_LAST_ORDER]],Table2[R-Cutoff],1)</f>
        <v>2</v>
      </c>
      <c r="X2120" s="2">
        <f>MATCH(Auto_Sales_data___Copy[[#This Row],[Total_Orders_Per_Customer]],Table2[F-Cutoff],1)</f>
        <v>2</v>
      </c>
      <c r="Y2120" s="2">
        <f>MATCH(Auto_Sales_data___Copy[[#This Row],[Total_Sales_Per_Customer]],Table2[M-Cutoff],1)</f>
        <v>2</v>
      </c>
      <c r="Z2120" s="2" t="str">
        <f>Auto_Sales_data___Copy[[#This Row],[R-Score(1-5)]]&amp;Auto_Sales_data___Copy[[#This Row],[F-Score(1-5)]]&amp;Auto_Sales_data___Copy[[#This Row],[M-Score(1-5)]]</f>
        <v>222</v>
      </c>
      <c r="AA2120" s="2" t="str" cm="1">
        <f t="array" ref="AA21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0" s="2" t="str">
        <f>VLOOKUP(Auto_Sales_data___Copy[[#This Row],[Segment Name]],Table3[],2,FALSE)</f>
        <v>Re-Activation &amp; Re-Engagement</v>
      </c>
    </row>
    <row r="2121" spans="1:28" x14ac:dyDescent="0.25">
      <c r="A2121">
        <v>10197</v>
      </c>
      <c r="B2121">
        <v>41</v>
      </c>
      <c r="C2121">
        <v>110.6</v>
      </c>
      <c r="D2121">
        <v>13</v>
      </c>
      <c r="E2121">
        <v>4534.6000000000004</v>
      </c>
      <c r="F2121" s="1">
        <v>43430</v>
      </c>
      <c r="G2121" s="2" t="s">
        <v>19</v>
      </c>
      <c r="H2121" s="2" t="s">
        <v>642</v>
      </c>
      <c r="I2121">
        <v>122</v>
      </c>
      <c r="J2121" s="2" t="s">
        <v>672</v>
      </c>
      <c r="K2121" s="2" t="s">
        <v>372</v>
      </c>
      <c r="L2121" s="2" t="s">
        <v>373</v>
      </c>
      <c r="M2121" s="2" t="s">
        <v>374</v>
      </c>
      <c r="N2121" s="2" t="s">
        <v>375</v>
      </c>
      <c r="O2121" s="2" t="s">
        <v>376</v>
      </c>
      <c r="P2121" s="2" t="s">
        <v>180</v>
      </c>
      <c r="Q2121" s="2" t="s">
        <v>377</v>
      </c>
      <c r="R2121" s="2" t="s">
        <v>378</v>
      </c>
      <c r="S2121" s="2" t="s">
        <v>46</v>
      </c>
      <c r="T2121">
        <v>2096</v>
      </c>
      <c r="U2121">
        <f>VLOOKUP(Auto_Sales_data___Copy[[#This Row],[CUSTOMER_NAME]],$AF$2:$AH$90,2,FALSE)</f>
        <v>23</v>
      </c>
      <c r="V2121">
        <f>VLOOKUP(Auto_Sales_data___Copy[[#This Row],[CUSTOMER_NAME]],$AF$2:$AH$90,3,FALSE)</f>
        <v>78411.86</v>
      </c>
      <c r="W2121" s="2">
        <f>6-MATCH(Auto_Sales_data___Copy[[#This Row],[DAYS_SINCE_LAST_ORDER]],Table2[R-Cutoff],1)</f>
        <v>2</v>
      </c>
      <c r="X2121" s="2">
        <f>MATCH(Auto_Sales_data___Copy[[#This Row],[Total_Orders_Per_Customer]],Table2[F-Cutoff],1)</f>
        <v>2</v>
      </c>
      <c r="Y2121" s="2">
        <f>MATCH(Auto_Sales_data___Copy[[#This Row],[Total_Sales_Per_Customer]],Table2[M-Cutoff],1)</f>
        <v>2</v>
      </c>
      <c r="Z2121" s="2" t="str">
        <f>Auto_Sales_data___Copy[[#This Row],[R-Score(1-5)]]&amp;Auto_Sales_data___Copy[[#This Row],[F-Score(1-5)]]&amp;Auto_Sales_data___Copy[[#This Row],[M-Score(1-5)]]</f>
        <v>222</v>
      </c>
      <c r="AA2121" s="2" t="str" cm="1">
        <f t="array" ref="AA21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1" s="2" t="str">
        <f>VLOOKUP(Auto_Sales_data___Copy[[#This Row],[Segment Name]],Table3[],2,FALSE)</f>
        <v>Re-Activation &amp; Re-Engagement</v>
      </c>
    </row>
    <row r="2122" spans="1:28" x14ac:dyDescent="0.25">
      <c r="A2122">
        <v>10197</v>
      </c>
      <c r="B2122">
        <v>47</v>
      </c>
      <c r="C2122">
        <v>83.2</v>
      </c>
      <c r="D2122">
        <v>8</v>
      </c>
      <c r="E2122">
        <v>3910.4</v>
      </c>
      <c r="F2122" s="1">
        <v>43430</v>
      </c>
      <c r="G2122" s="2" t="s">
        <v>19</v>
      </c>
      <c r="H2122" s="2" t="s">
        <v>589</v>
      </c>
      <c r="I2122">
        <v>88</v>
      </c>
      <c r="J2122" s="2" t="s">
        <v>681</v>
      </c>
      <c r="K2122" s="2" t="s">
        <v>372</v>
      </c>
      <c r="L2122" s="2" t="s">
        <v>373</v>
      </c>
      <c r="M2122" s="2" t="s">
        <v>374</v>
      </c>
      <c r="N2122" s="2" t="s">
        <v>375</v>
      </c>
      <c r="O2122" s="2" t="s">
        <v>376</v>
      </c>
      <c r="P2122" s="2" t="s">
        <v>180</v>
      </c>
      <c r="Q2122" s="2" t="s">
        <v>377</v>
      </c>
      <c r="R2122" s="2" t="s">
        <v>378</v>
      </c>
      <c r="S2122" s="2" t="s">
        <v>46</v>
      </c>
      <c r="T2122">
        <v>2320</v>
      </c>
      <c r="U2122">
        <f>VLOOKUP(Auto_Sales_data___Copy[[#This Row],[CUSTOMER_NAME]],$AF$2:$AH$90,2,FALSE)</f>
        <v>23</v>
      </c>
      <c r="V2122">
        <f>VLOOKUP(Auto_Sales_data___Copy[[#This Row],[CUSTOMER_NAME]],$AF$2:$AH$90,3,FALSE)</f>
        <v>78411.86</v>
      </c>
      <c r="W2122" s="2">
        <f>6-MATCH(Auto_Sales_data___Copy[[#This Row],[DAYS_SINCE_LAST_ORDER]],Table2[R-Cutoff],1)</f>
        <v>2</v>
      </c>
      <c r="X2122" s="2">
        <f>MATCH(Auto_Sales_data___Copy[[#This Row],[Total_Orders_Per_Customer]],Table2[F-Cutoff],1)</f>
        <v>2</v>
      </c>
      <c r="Y2122" s="2">
        <f>MATCH(Auto_Sales_data___Copy[[#This Row],[Total_Sales_Per_Customer]],Table2[M-Cutoff],1)</f>
        <v>2</v>
      </c>
      <c r="Z2122" s="2" t="str">
        <f>Auto_Sales_data___Copy[[#This Row],[R-Score(1-5)]]&amp;Auto_Sales_data___Copy[[#This Row],[F-Score(1-5)]]&amp;Auto_Sales_data___Copy[[#This Row],[M-Score(1-5)]]</f>
        <v>222</v>
      </c>
      <c r="AA2122" s="2" t="str" cm="1">
        <f t="array" ref="AA21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2" s="2" t="str">
        <f>VLOOKUP(Auto_Sales_data___Copy[[#This Row],[Segment Name]],Table3[],2,FALSE)</f>
        <v>Re-Activation &amp; Re-Engagement</v>
      </c>
    </row>
    <row r="2123" spans="1:28" x14ac:dyDescent="0.25">
      <c r="A2123">
        <v>10197</v>
      </c>
      <c r="B2123">
        <v>22</v>
      </c>
      <c r="C2123">
        <v>86.38</v>
      </c>
      <c r="D2123">
        <v>5</v>
      </c>
      <c r="E2123">
        <v>1900.36</v>
      </c>
      <c r="F2123" s="1">
        <v>43430</v>
      </c>
      <c r="G2123" s="2" t="s">
        <v>19</v>
      </c>
      <c r="H2123" s="2" t="s">
        <v>589</v>
      </c>
      <c r="I2123">
        <v>83</v>
      </c>
      <c r="J2123" s="2" t="s">
        <v>686</v>
      </c>
      <c r="K2123" s="2" t="s">
        <v>372</v>
      </c>
      <c r="L2123" s="2" t="s">
        <v>373</v>
      </c>
      <c r="M2123" s="2" t="s">
        <v>374</v>
      </c>
      <c r="N2123" s="2" t="s">
        <v>375</v>
      </c>
      <c r="O2123" s="2" t="s">
        <v>376</v>
      </c>
      <c r="P2123" s="2" t="s">
        <v>180</v>
      </c>
      <c r="Q2123" s="2" t="s">
        <v>377</v>
      </c>
      <c r="R2123" s="2" t="s">
        <v>378</v>
      </c>
      <c r="S2123" s="2" t="s">
        <v>30</v>
      </c>
      <c r="T2123">
        <v>2442</v>
      </c>
      <c r="U2123">
        <f>VLOOKUP(Auto_Sales_data___Copy[[#This Row],[CUSTOMER_NAME]],$AF$2:$AH$90,2,FALSE)</f>
        <v>23</v>
      </c>
      <c r="V2123">
        <f>VLOOKUP(Auto_Sales_data___Copy[[#This Row],[CUSTOMER_NAME]],$AF$2:$AH$90,3,FALSE)</f>
        <v>78411.86</v>
      </c>
      <c r="W2123" s="2">
        <f>6-MATCH(Auto_Sales_data___Copy[[#This Row],[DAYS_SINCE_LAST_ORDER]],Table2[R-Cutoff],1)</f>
        <v>2</v>
      </c>
      <c r="X2123" s="2">
        <f>MATCH(Auto_Sales_data___Copy[[#This Row],[Total_Orders_Per_Customer]],Table2[F-Cutoff],1)</f>
        <v>2</v>
      </c>
      <c r="Y2123" s="2">
        <f>MATCH(Auto_Sales_data___Copy[[#This Row],[Total_Sales_Per_Customer]],Table2[M-Cutoff],1)</f>
        <v>2</v>
      </c>
      <c r="Z2123" s="2" t="str">
        <f>Auto_Sales_data___Copy[[#This Row],[R-Score(1-5)]]&amp;Auto_Sales_data___Copy[[#This Row],[F-Score(1-5)]]&amp;Auto_Sales_data___Copy[[#This Row],[M-Score(1-5)]]</f>
        <v>222</v>
      </c>
      <c r="AA2123" s="2" t="str" cm="1">
        <f t="array" ref="AA21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3" s="2" t="str">
        <f>VLOOKUP(Auto_Sales_data___Copy[[#This Row],[Segment Name]],Table3[],2,FALSE)</f>
        <v>Re-Activation &amp; Re-Engagement</v>
      </c>
    </row>
    <row r="2124" spans="1:28" x14ac:dyDescent="0.25">
      <c r="A2124">
        <v>10206</v>
      </c>
      <c r="B2124">
        <v>33</v>
      </c>
      <c r="C2124">
        <v>97.39</v>
      </c>
      <c r="D2124">
        <v>10</v>
      </c>
      <c r="E2124">
        <v>3213.87</v>
      </c>
      <c r="F2124" s="1">
        <v>43439</v>
      </c>
      <c r="G2124" s="2" t="s">
        <v>19</v>
      </c>
      <c r="H2124" s="2" t="s">
        <v>589</v>
      </c>
      <c r="I2124">
        <v>97</v>
      </c>
      <c r="J2124" s="2" t="s">
        <v>691</v>
      </c>
      <c r="K2124" s="2" t="s">
        <v>231</v>
      </c>
      <c r="L2124" s="2" t="s">
        <v>232</v>
      </c>
      <c r="M2124" s="2" t="s">
        <v>233</v>
      </c>
      <c r="N2124" s="2" t="s">
        <v>234</v>
      </c>
      <c r="O2124" s="2" t="s">
        <v>235</v>
      </c>
      <c r="P2124" s="2" t="s">
        <v>236</v>
      </c>
      <c r="Q2124" s="2" t="s">
        <v>237</v>
      </c>
      <c r="R2124" s="2" t="s">
        <v>238</v>
      </c>
      <c r="S2124" s="2" t="s">
        <v>46</v>
      </c>
      <c r="T2124">
        <v>2558</v>
      </c>
      <c r="U2124">
        <f>VLOOKUP(Auto_Sales_data___Copy[[#This Row],[CUSTOMER_NAME]],$AF$2:$AH$90,2,FALSE)</f>
        <v>22</v>
      </c>
      <c r="V2124">
        <f>VLOOKUP(Auto_Sales_data___Copy[[#This Row],[CUSTOMER_NAME]],$AF$2:$AH$90,3,FALSE)</f>
        <v>75238.92</v>
      </c>
      <c r="W2124" s="2">
        <f>6-MATCH(Auto_Sales_data___Copy[[#This Row],[DAYS_SINCE_LAST_ORDER]],Table2[R-Cutoff],1)</f>
        <v>2</v>
      </c>
      <c r="X2124" s="2">
        <f>MATCH(Auto_Sales_data___Copy[[#This Row],[Total_Orders_Per_Customer]],Table2[F-Cutoff],1)</f>
        <v>2</v>
      </c>
      <c r="Y2124" s="2">
        <f>MATCH(Auto_Sales_data___Copy[[#This Row],[Total_Sales_Per_Customer]],Table2[M-Cutoff],1)</f>
        <v>2</v>
      </c>
      <c r="Z2124" s="2" t="str">
        <f>Auto_Sales_data___Copy[[#This Row],[R-Score(1-5)]]&amp;Auto_Sales_data___Copy[[#This Row],[F-Score(1-5)]]&amp;Auto_Sales_data___Copy[[#This Row],[M-Score(1-5)]]</f>
        <v>222</v>
      </c>
      <c r="AA2124" s="2" t="str" cm="1">
        <f t="array" ref="AA21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4" s="2" t="str">
        <f>VLOOKUP(Auto_Sales_data___Copy[[#This Row],[Segment Name]],Table3[],2,FALSE)</f>
        <v>Re-Activation &amp; Re-Engagement</v>
      </c>
    </row>
    <row r="2125" spans="1:28" x14ac:dyDescent="0.25">
      <c r="A2125">
        <v>10207</v>
      </c>
      <c r="B2125">
        <v>46</v>
      </c>
      <c r="C2125">
        <v>148.24</v>
      </c>
      <c r="D2125">
        <v>12</v>
      </c>
      <c r="E2125">
        <v>6819.04</v>
      </c>
      <c r="F2125" s="1">
        <v>43443</v>
      </c>
      <c r="G2125" s="2" t="s">
        <v>19</v>
      </c>
      <c r="H2125" s="2" t="s">
        <v>537</v>
      </c>
      <c r="I2125">
        <v>127</v>
      </c>
      <c r="J2125" s="2" t="s">
        <v>674</v>
      </c>
      <c r="K2125" s="2" t="s">
        <v>439</v>
      </c>
      <c r="L2125" s="2" t="s">
        <v>440</v>
      </c>
      <c r="M2125" s="2" t="s">
        <v>441</v>
      </c>
      <c r="N2125" s="2" t="s">
        <v>401</v>
      </c>
      <c r="O2125" s="2" t="s">
        <v>402</v>
      </c>
      <c r="P2125" s="2" t="s">
        <v>27</v>
      </c>
      <c r="Q2125" s="2" t="s">
        <v>442</v>
      </c>
      <c r="R2125" s="2" t="s">
        <v>289</v>
      </c>
      <c r="S2125" s="2" t="s">
        <v>46</v>
      </c>
      <c r="T2125">
        <v>2133</v>
      </c>
      <c r="U2125">
        <f>VLOOKUP(Auto_Sales_data___Copy[[#This Row],[CUSTOMER_NAME]],$AF$2:$AH$90,2,FALSE)</f>
        <v>18</v>
      </c>
      <c r="V2125">
        <f>VLOOKUP(Auto_Sales_data___Copy[[#This Row],[CUSTOMER_NAME]],$AF$2:$AH$90,3,FALSE)</f>
        <v>70859.780000000013</v>
      </c>
      <c r="W2125" s="2">
        <f>6-MATCH(Auto_Sales_data___Copy[[#This Row],[DAYS_SINCE_LAST_ORDER]],Table2[R-Cutoff],1)</f>
        <v>2</v>
      </c>
      <c r="X2125" s="2">
        <f>MATCH(Auto_Sales_data___Copy[[#This Row],[Total_Orders_Per_Customer]],Table2[F-Cutoff],1)</f>
        <v>2</v>
      </c>
      <c r="Y2125" s="2">
        <f>MATCH(Auto_Sales_data___Copy[[#This Row],[Total_Sales_Per_Customer]],Table2[M-Cutoff],1)</f>
        <v>2</v>
      </c>
      <c r="Z2125" s="2" t="str">
        <f>Auto_Sales_data___Copy[[#This Row],[R-Score(1-5)]]&amp;Auto_Sales_data___Copy[[#This Row],[F-Score(1-5)]]&amp;Auto_Sales_data___Copy[[#This Row],[M-Score(1-5)]]</f>
        <v>222</v>
      </c>
      <c r="AA2125" s="2" t="str" cm="1">
        <f t="array" ref="AA21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5" s="2" t="str">
        <f>VLOOKUP(Auto_Sales_data___Copy[[#This Row],[Segment Name]],Table3[],2,FALSE)</f>
        <v>Re-Activation &amp; Re-Engagement</v>
      </c>
    </row>
    <row r="2126" spans="1:28" x14ac:dyDescent="0.25">
      <c r="A2126">
        <v>10207</v>
      </c>
      <c r="B2126">
        <v>42</v>
      </c>
      <c r="C2126">
        <v>29.7</v>
      </c>
      <c r="D2126">
        <v>8</v>
      </c>
      <c r="E2126">
        <v>1247.4000000000001</v>
      </c>
      <c r="F2126" s="1">
        <v>43443</v>
      </c>
      <c r="G2126" s="2" t="s">
        <v>19</v>
      </c>
      <c r="H2126" s="2" t="s">
        <v>183</v>
      </c>
      <c r="I2126">
        <v>35</v>
      </c>
      <c r="J2126" s="2" t="s">
        <v>677</v>
      </c>
      <c r="K2126" s="2" t="s">
        <v>439</v>
      </c>
      <c r="L2126" s="2" t="s">
        <v>440</v>
      </c>
      <c r="M2126" s="2" t="s">
        <v>441</v>
      </c>
      <c r="N2126" s="2" t="s">
        <v>401</v>
      </c>
      <c r="O2126" s="2" t="s">
        <v>402</v>
      </c>
      <c r="P2126" s="2" t="s">
        <v>27</v>
      </c>
      <c r="Q2126" s="2" t="s">
        <v>442</v>
      </c>
      <c r="R2126" s="2" t="s">
        <v>289</v>
      </c>
      <c r="S2126" s="2" t="s">
        <v>30</v>
      </c>
      <c r="T2126">
        <v>2207</v>
      </c>
      <c r="U2126">
        <f>VLOOKUP(Auto_Sales_data___Copy[[#This Row],[CUSTOMER_NAME]],$AF$2:$AH$90,2,FALSE)</f>
        <v>18</v>
      </c>
      <c r="V2126">
        <f>VLOOKUP(Auto_Sales_data___Copy[[#This Row],[CUSTOMER_NAME]],$AF$2:$AH$90,3,FALSE)</f>
        <v>70859.780000000013</v>
      </c>
      <c r="W2126" s="2">
        <f>6-MATCH(Auto_Sales_data___Copy[[#This Row],[DAYS_SINCE_LAST_ORDER]],Table2[R-Cutoff],1)</f>
        <v>2</v>
      </c>
      <c r="X2126" s="2">
        <f>MATCH(Auto_Sales_data___Copy[[#This Row],[Total_Orders_Per_Customer]],Table2[F-Cutoff],1)</f>
        <v>2</v>
      </c>
      <c r="Y2126" s="2">
        <f>MATCH(Auto_Sales_data___Copy[[#This Row],[Total_Sales_Per_Customer]],Table2[M-Cutoff],1)</f>
        <v>2</v>
      </c>
      <c r="Z2126" s="2" t="str">
        <f>Auto_Sales_data___Copy[[#This Row],[R-Score(1-5)]]&amp;Auto_Sales_data___Copy[[#This Row],[F-Score(1-5)]]&amp;Auto_Sales_data___Copy[[#This Row],[M-Score(1-5)]]</f>
        <v>222</v>
      </c>
      <c r="AA2126" s="2" t="str" cm="1">
        <f t="array" ref="AA21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6" s="2" t="str">
        <f>VLOOKUP(Auto_Sales_data___Copy[[#This Row],[Segment Name]],Table3[],2,FALSE)</f>
        <v>Re-Activation &amp; Re-Engagement</v>
      </c>
    </row>
    <row r="2127" spans="1:28" x14ac:dyDescent="0.25">
      <c r="A2127">
        <v>10207</v>
      </c>
      <c r="B2127">
        <v>28</v>
      </c>
      <c r="C2127">
        <v>106.45</v>
      </c>
      <c r="D2127">
        <v>3</v>
      </c>
      <c r="E2127">
        <v>2980.6</v>
      </c>
      <c r="F2127" s="1">
        <v>43443</v>
      </c>
      <c r="G2127" s="2" t="s">
        <v>19</v>
      </c>
      <c r="H2127" s="2" t="s">
        <v>183</v>
      </c>
      <c r="I2127">
        <v>118</v>
      </c>
      <c r="J2127" s="2" t="s">
        <v>690</v>
      </c>
      <c r="K2127" s="2" t="s">
        <v>439</v>
      </c>
      <c r="L2127" s="2" t="s">
        <v>440</v>
      </c>
      <c r="M2127" s="2" t="s">
        <v>441</v>
      </c>
      <c r="N2127" s="2" t="s">
        <v>401</v>
      </c>
      <c r="O2127" s="2" t="s">
        <v>402</v>
      </c>
      <c r="P2127" s="2" t="s">
        <v>27</v>
      </c>
      <c r="Q2127" s="2" t="s">
        <v>442</v>
      </c>
      <c r="R2127" s="2" t="s">
        <v>289</v>
      </c>
      <c r="S2127" s="2" t="s">
        <v>30</v>
      </c>
      <c r="T2127">
        <v>2529</v>
      </c>
      <c r="U2127">
        <f>VLOOKUP(Auto_Sales_data___Copy[[#This Row],[CUSTOMER_NAME]],$AF$2:$AH$90,2,FALSE)</f>
        <v>18</v>
      </c>
      <c r="V2127">
        <f>VLOOKUP(Auto_Sales_data___Copy[[#This Row],[CUSTOMER_NAME]],$AF$2:$AH$90,3,FALSE)</f>
        <v>70859.780000000013</v>
      </c>
      <c r="W2127" s="2">
        <f>6-MATCH(Auto_Sales_data___Copy[[#This Row],[DAYS_SINCE_LAST_ORDER]],Table2[R-Cutoff],1)</f>
        <v>2</v>
      </c>
      <c r="X2127" s="2">
        <f>MATCH(Auto_Sales_data___Copy[[#This Row],[Total_Orders_Per_Customer]],Table2[F-Cutoff],1)</f>
        <v>2</v>
      </c>
      <c r="Y2127" s="2">
        <f>MATCH(Auto_Sales_data___Copy[[#This Row],[Total_Sales_Per_Customer]],Table2[M-Cutoff],1)</f>
        <v>2</v>
      </c>
      <c r="Z2127" s="2" t="str">
        <f>Auto_Sales_data___Copy[[#This Row],[R-Score(1-5)]]&amp;Auto_Sales_data___Copy[[#This Row],[F-Score(1-5)]]&amp;Auto_Sales_data___Copy[[#This Row],[M-Score(1-5)]]</f>
        <v>222</v>
      </c>
      <c r="AA2127" s="2" t="str" cm="1">
        <f t="array" ref="AA21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7" s="2" t="str">
        <f>VLOOKUP(Auto_Sales_data___Copy[[#This Row],[Segment Name]],Table3[],2,FALSE)</f>
        <v>Re-Activation &amp; Re-Engagement</v>
      </c>
    </row>
    <row r="2128" spans="1:28" x14ac:dyDescent="0.25">
      <c r="A2128">
        <v>10210</v>
      </c>
      <c r="B2128">
        <v>29</v>
      </c>
      <c r="C2128">
        <v>69.599999999999994</v>
      </c>
      <c r="D2128">
        <v>16</v>
      </c>
      <c r="E2128">
        <v>2018.4</v>
      </c>
      <c r="F2128" s="1">
        <v>43477</v>
      </c>
      <c r="G2128" s="2" t="s">
        <v>19</v>
      </c>
      <c r="H2128" s="2" t="s">
        <v>607</v>
      </c>
      <c r="I2128">
        <v>68</v>
      </c>
      <c r="J2128" s="2" t="s">
        <v>688</v>
      </c>
      <c r="K2128" s="2" t="s">
        <v>316</v>
      </c>
      <c r="L2128" s="2" t="s">
        <v>317</v>
      </c>
      <c r="M2128" s="2" t="s">
        <v>318</v>
      </c>
      <c r="N2128" s="2" t="s">
        <v>319</v>
      </c>
      <c r="O2128" s="2" t="s">
        <v>320</v>
      </c>
      <c r="P2128" s="2" t="s">
        <v>261</v>
      </c>
      <c r="Q2128" s="2" t="s">
        <v>321</v>
      </c>
      <c r="R2128" s="2" t="s">
        <v>322</v>
      </c>
      <c r="S2128" s="2" t="s">
        <v>30</v>
      </c>
      <c r="T2128">
        <v>2446</v>
      </c>
      <c r="U2128">
        <f>VLOOKUP(Auto_Sales_data___Copy[[#This Row],[CUSTOMER_NAME]],$AF$2:$AH$90,2,FALSE)</f>
        <v>20</v>
      </c>
      <c r="V2128">
        <f>VLOOKUP(Auto_Sales_data___Copy[[#This Row],[CUSTOMER_NAME]],$AF$2:$AH$90,3,FALSE)</f>
        <v>67605.069999999992</v>
      </c>
      <c r="W2128" s="2">
        <f>6-MATCH(Auto_Sales_data___Copy[[#This Row],[DAYS_SINCE_LAST_ORDER]],Table2[R-Cutoff],1)</f>
        <v>2</v>
      </c>
      <c r="X2128" s="2">
        <f>MATCH(Auto_Sales_data___Copy[[#This Row],[Total_Orders_Per_Customer]],Table2[F-Cutoff],1)</f>
        <v>2</v>
      </c>
      <c r="Y2128" s="2">
        <f>MATCH(Auto_Sales_data___Copy[[#This Row],[Total_Sales_Per_Customer]],Table2[M-Cutoff],1)</f>
        <v>2</v>
      </c>
      <c r="Z2128" s="2" t="str">
        <f>Auto_Sales_data___Copy[[#This Row],[R-Score(1-5)]]&amp;Auto_Sales_data___Copy[[#This Row],[F-Score(1-5)]]&amp;Auto_Sales_data___Copy[[#This Row],[M-Score(1-5)]]</f>
        <v>222</v>
      </c>
      <c r="AA2128" s="2" t="str" cm="1">
        <f t="array" ref="AA21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8" s="2" t="str">
        <f>VLOOKUP(Auto_Sales_data___Copy[[#This Row],[Segment Name]],Table3[],2,FALSE)</f>
        <v>Re-Activation &amp; Re-Engagement</v>
      </c>
    </row>
    <row r="2129" spans="1:28" x14ac:dyDescent="0.25">
      <c r="A2129">
        <v>10210</v>
      </c>
      <c r="B2129">
        <v>40</v>
      </c>
      <c r="C2129">
        <v>71</v>
      </c>
      <c r="D2129">
        <v>8</v>
      </c>
      <c r="E2129">
        <v>2840</v>
      </c>
      <c r="F2129" s="1">
        <v>43477</v>
      </c>
      <c r="G2129" s="2" t="s">
        <v>19</v>
      </c>
      <c r="H2129" s="2" t="s">
        <v>607</v>
      </c>
      <c r="I2129">
        <v>72</v>
      </c>
      <c r="J2129" s="2" t="s">
        <v>692</v>
      </c>
      <c r="K2129" s="2" t="s">
        <v>316</v>
      </c>
      <c r="L2129" s="2" t="s">
        <v>317</v>
      </c>
      <c r="M2129" s="2" t="s">
        <v>318</v>
      </c>
      <c r="N2129" s="2" t="s">
        <v>319</v>
      </c>
      <c r="O2129" s="2" t="s">
        <v>320</v>
      </c>
      <c r="P2129" s="2" t="s">
        <v>261</v>
      </c>
      <c r="Q2129" s="2" t="s">
        <v>321</v>
      </c>
      <c r="R2129" s="2" t="s">
        <v>322</v>
      </c>
      <c r="S2129" s="2" t="s">
        <v>30</v>
      </c>
      <c r="T2129">
        <v>2541</v>
      </c>
      <c r="U2129">
        <f>VLOOKUP(Auto_Sales_data___Copy[[#This Row],[CUSTOMER_NAME]],$AF$2:$AH$90,2,FALSE)</f>
        <v>20</v>
      </c>
      <c r="V2129">
        <f>VLOOKUP(Auto_Sales_data___Copy[[#This Row],[CUSTOMER_NAME]],$AF$2:$AH$90,3,FALSE)</f>
        <v>67605.069999999992</v>
      </c>
      <c r="W2129" s="2">
        <f>6-MATCH(Auto_Sales_data___Copy[[#This Row],[DAYS_SINCE_LAST_ORDER]],Table2[R-Cutoff],1)</f>
        <v>2</v>
      </c>
      <c r="X2129" s="2">
        <f>MATCH(Auto_Sales_data___Copy[[#This Row],[Total_Orders_Per_Customer]],Table2[F-Cutoff],1)</f>
        <v>2</v>
      </c>
      <c r="Y2129" s="2">
        <f>MATCH(Auto_Sales_data___Copy[[#This Row],[Total_Sales_Per_Customer]],Table2[M-Cutoff],1)</f>
        <v>2</v>
      </c>
      <c r="Z2129" s="2" t="str">
        <f>Auto_Sales_data___Copy[[#This Row],[R-Score(1-5)]]&amp;Auto_Sales_data___Copy[[#This Row],[F-Score(1-5)]]&amp;Auto_Sales_data___Copy[[#This Row],[M-Score(1-5)]]</f>
        <v>222</v>
      </c>
      <c r="AA2129" s="2" t="str" cm="1">
        <f t="array" ref="AA21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9" s="2" t="str">
        <f>VLOOKUP(Auto_Sales_data___Copy[[#This Row],[Segment Name]],Table3[],2,FALSE)</f>
        <v>Re-Activation &amp; Re-Engagement</v>
      </c>
    </row>
    <row r="2130" spans="1:28" x14ac:dyDescent="0.25">
      <c r="A2130">
        <v>10224</v>
      </c>
      <c r="B2130">
        <v>37</v>
      </c>
      <c r="C2130">
        <v>80.34</v>
      </c>
      <c r="D2130">
        <v>4</v>
      </c>
      <c r="E2130">
        <v>2972.58</v>
      </c>
      <c r="F2130" s="1">
        <v>43517</v>
      </c>
      <c r="G2130" s="2" t="s">
        <v>19</v>
      </c>
      <c r="H2130" s="2" t="s">
        <v>20</v>
      </c>
      <c r="I2130">
        <v>69</v>
      </c>
      <c r="J2130" s="2" t="s">
        <v>675</v>
      </c>
      <c r="K2130" s="2" t="s">
        <v>61</v>
      </c>
      <c r="L2130" s="2" t="s">
        <v>62</v>
      </c>
      <c r="M2130" s="2" t="s">
        <v>63</v>
      </c>
      <c r="N2130" s="2" t="s">
        <v>64</v>
      </c>
      <c r="O2130" s="2" t="s">
        <v>65</v>
      </c>
      <c r="P2130" s="2" t="s">
        <v>36</v>
      </c>
      <c r="Q2130" s="2" t="s">
        <v>66</v>
      </c>
      <c r="R2130" s="2" t="s">
        <v>67</v>
      </c>
      <c r="S2130" s="2" t="s">
        <v>30</v>
      </c>
      <c r="T2130">
        <v>2085</v>
      </c>
      <c r="U2130">
        <f>VLOOKUP(Auto_Sales_data___Copy[[#This Row],[CUSTOMER_NAME]],$AF$2:$AH$90,2,FALSE)</f>
        <v>20</v>
      </c>
      <c r="V2130">
        <f>VLOOKUP(Auto_Sales_data___Copy[[#This Row],[CUSTOMER_NAME]],$AF$2:$AH$90,3,FALSE)</f>
        <v>69052.41</v>
      </c>
      <c r="W2130" s="2">
        <f>6-MATCH(Auto_Sales_data___Copy[[#This Row],[DAYS_SINCE_LAST_ORDER]],Table2[R-Cutoff],1)</f>
        <v>2</v>
      </c>
      <c r="X2130" s="2">
        <f>MATCH(Auto_Sales_data___Copy[[#This Row],[Total_Orders_Per_Customer]],Table2[F-Cutoff],1)</f>
        <v>2</v>
      </c>
      <c r="Y2130" s="2">
        <f>MATCH(Auto_Sales_data___Copy[[#This Row],[Total_Sales_Per_Customer]],Table2[M-Cutoff],1)</f>
        <v>2</v>
      </c>
      <c r="Z2130" s="2" t="str">
        <f>Auto_Sales_data___Copy[[#This Row],[R-Score(1-5)]]&amp;Auto_Sales_data___Copy[[#This Row],[F-Score(1-5)]]&amp;Auto_Sales_data___Copy[[#This Row],[M-Score(1-5)]]</f>
        <v>222</v>
      </c>
      <c r="AA2130" s="2" t="str" cm="1">
        <f t="array" ref="AA21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0" s="2" t="str">
        <f>VLOOKUP(Auto_Sales_data___Copy[[#This Row],[Segment Name]],Table3[],2,FALSE)</f>
        <v>Re-Activation &amp; Re-Engagement</v>
      </c>
    </row>
    <row r="2131" spans="1:28" x14ac:dyDescent="0.25">
      <c r="A2131">
        <v>10261</v>
      </c>
      <c r="B2131">
        <v>22</v>
      </c>
      <c r="C2131">
        <v>91.17</v>
      </c>
      <c r="D2131">
        <v>3</v>
      </c>
      <c r="E2131">
        <v>2005.74</v>
      </c>
      <c r="F2131" s="1">
        <v>43633</v>
      </c>
      <c r="G2131" s="2" t="s">
        <v>19</v>
      </c>
      <c r="H2131" s="2" t="s">
        <v>589</v>
      </c>
      <c r="I2131">
        <v>88</v>
      </c>
      <c r="J2131" s="2" t="s">
        <v>681</v>
      </c>
      <c r="K2131" s="2" t="s">
        <v>307</v>
      </c>
      <c r="L2131" s="2" t="s">
        <v>308</v>
      </c>
      <c r="M2131" s="2" t="s">
        <v>309</v>
      </c>
      <c r="N2131" s="2" t="s">
        <v>310</v>
      </c>
      <c r="O2131" s="2" t="s">
        <v>311</v>
      </c>
      <c r="P2131" s="2" t="s">
        <v>236</v>
      </c>
      <c r="Q2131" s="2" t="s">
        <v>312</v>
      </c>
      <c r="R2131" s="2" t="s">
        <v>313</v>
      </c>
      <c r="S2131" s="2" t="s">
        <v>30</v>
      </c>
      <c r="T2131">
        <v>2122</v>
      </c>
      <c r="U2131">
        <f>VLOOKUP(Auto_Sales_data___Copy[[#This Row],[CUSTOMER_NAME]],$AF$2:$AH$90,2,FALSE)</f>
        <v>22</v>
      </c>
      <c r="V2131">
        <f>VLOOKUP(Auto_Sales_data___Copy[[#This Row],[CUSTOMER_NAME]],$AF$2:$AH$90,3,FALSE)</f>
        <v>74204.790000000008</v>
      </c>
      <c r="W2131" s="2">
        <f>6-MATCH(Auto_Sales_data___Copy[[#This Row],[DAYS_SINCE_LAST_ORDER]],Table2[R-Cutoff],1)</f>
        <v>2</v>
      </c>
      <c r="X2131" s="2">
        <f>MATCH(Auto_Sales_data___Copy[[#This Row],[Total_Orders_Per_Customer]],Table2[F-Cutoff],1)</f>
        <v>2</v>
      </c>
      <c r="Y2131" s="2">
        <f>MATCH(Auto_Sales_data___Copy[[#This Row],[Total_Sales_Per_Customer]],Table2[M-Cutoff],1)</f>
        <v>2</v>
      </c>
      <c r="Z2131" s="2" t="str">
        <f>Auto_Sales_data___Copy[[#This Row],[R-Score(1-5)]]&amp;Auto_Sales_data___Copy[[#This Row],[F-Score(1-5)]]&amp;Auto_Sales_data___Copy[[#This Row],[M-Score(1-5)]]</f>
        <v>222</v>
      </c>
      <c r="AA2131" s="2" t="str" cm="1">
        <f t="array" ref="AA21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1" s="2" t="str">
        <f>VLOOKUP(Auto_Sales_data___Copy[[#This Row],[Segment Name]],Table3[],2,FALSE)</f>
        <v>Re-Activation &amp; Re-Engagement</v>
      </c>
    </row>
    <row r="2132" spans="1:28" x14ac:dyDescent="0.25">
      <c r="A2132">
        <v>10304</v>
      </c>
      <c r="B2132">
        <v>33</v>
      </c>
      <c r="C2132">
        <v>101.29</v>
      </c>
      <c r="D2132">
        <v>10</v>
      </c>
      <c r="E2132">
        <v>3342.57</v>
      </c>
      <c r="F2132" s="1">
        <v>43749</v>
      </c>
      <c r="G2132" s="2" t="s">
        <v>19</v>
      </c>
      <c r="H2132" s="2" t="s">
        <v>589</v>
      </c>
      <c r="I2132">
        <v>97</v>
      </c>
      <c r="J2132" s="2" t="s">
        <v>691</v>
      </c>
      <c r="K2132" s="2" t="s">
        <v>278</v>
      </c>
      <c r="L2132" s="2" t="s">
        <v>279</v>
      </c>
      <c r="M2132" s="2" t="s">
        <v>280</v>
      </c>
      <c r="N2132" s="2" t="s">
        <v>281</v>
      </c>
      <c r="O2132" s="2" t="s">
        <v>282</v>
      </c>
      <c r="P2132" s="2" t="s">
        <v>36</v>
      </c>
      <c r="Q2132" s="2" t="s">
        <v>283</v>
      </c>
      <c r="R2132" s="2" t="s">
        <v>45</v>
      </c>
      <c r="S2132" s="2" t="s">
        <v>46</v>
      </c>
      <c r="T2132">
        <v>2256</v>
      </c>
      <c r="U2132">
        <f>VLOOKUP(Auto_Sales_data___Copy[[#This Row],[CUSTOMER_NAME]],$AF$2:$AH$90,2,FALSE)</f>
        <v>18</v>
      </c>
      <c r="V2132">
        <f>VLOOKUP(Auto_Sales_data___Copy[[#This Row],[CUSTOMER_NAME]],$AF$2:$AH$90,3,FALSE)</f>
        <v>64834.320000000007</v>
      </c>
      <c r="W2132" s="2">
        <f>6-MATCH(Auto_Sales_data___Copy[[#This Row],[DAYS_SINCE_LAST_ORDER]],Table2[R-Cutoff],1)</f>
        <v>2</v>
      </c>
      <c r="X2132" s="2">
        <f>MATCH(Auto_Sales_data___Copy[[#This Row],[Total_Orders_Per_Customer]],Table2[F-Cutoff],1)</f>
        <v>2</v>
      </c>
      <c r="Y2132" s="2">
        <f>MATCH(Auto_Sales_data___Copy[[#This Row],[Total_Sales_Per_Customer]],Table2[M-Cutoff],1)</f>
        <v>2</v>
      </c>
      <c r="Z2132" s="2" t="str">
        <f>Auto_Sales_data___Copy[[#This Row],[R-Score(1-5)]]&amp;Auto_Sales_data___Copy[[#This Row],[F-Score(1-5)]]&amp;Auto_Sales_data___Copy[[#This Row],[M-Score(1-5)]]</f>
        <v>222</v>
      </c>
      <c r="AA2132" s="2" t="str" cm="1">
        <f t="array" ref="AA21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2" s="2" t="str">
        <f>VLOOKUP(Auto_Sales_data___Copy[[#This Row],[Segment Name]],Table3[],2,FALSE)</f>
        <v>Re-Activation &amp; Re-Engagement</v>
      </c>
    </row>
    <row r="2133" spans="1:28" x14ac:dyDescent="0.25">
      <c r="A2133">
        <v>10304</v>
      </c>
      <c r="B2133">
        <v>36</v>
      </c>
      <c r="C2133">
        <v>73.040000000000006</v>
      </c>
      <c r="D2133">
        <v>2</v>
      </c>
      <c r="E2133">
        <v>2629.44</v>
      </c>
      <c r="F2133" s="1">
        <v>43749</v>
      </c>
      <c r="G2133" s="2" t="s">
        <v>19</v>
      </c>
      <c r="H2133" s="2" t="s">
        <v>537</v>
      </c>
      <c r="I2133">
        <v>64</v>
      </c>
      <c r="J2133" s="2" t="s">
        <v>699</v>
      </c>
      <c r="K2133" s="2" t="s">
        <v>278</v>
      </c>
      <c r="L2133" s="2" t="s">
        <v>279</v>
      </c>
      <c r="M2133" s="2" t="s">
        <v>280</v>
      </c>
      <c r="N2133" s="2" t="s">
        <v>281</v>
      </c>
      <c r="O2133" s="2" t="s">
        <v>282</v>
      </c>
      <c r="P2133" s="2" t="s">
        <v>36</v>
      </c>
      <c r="Q2133" s="2" t="s">
        <v>283</v>
      </c>
      <c r="R2133" s="2" t="s">
        <v>45</v>
      </c>
      <c r="S2133" s="2" t="s">
        <v>30</v>
      </c>
      <c r="T2133">
        <v>2457</v>
      </c>
      <c r="U2133">
        <f>VLOOKUP(Auto_Sales_data___Copy[[#This Row],[CUSTOMER_NAME]],$AF$2:$AH$90,2,FALSE)</f>
        <v>18</v>
      </c>
      <c r="V2133">
        <f>VLOOKUP(Auto_Sales_data___Copy[[#This Row],[CUSTOMER_NAME]],$AF$2:$AH$90,3,FALSE)</f>
        <v>64834.320000000007</v>
      </c>
      <c r="W2133" s="2">
        <f>6-MATCH(Auto_Sales_data___Copy[[#This Row],[DAYS_SINCE_LAST_ORDER]],Table2[R-Cutoff],1)</f>
        <v>2</v>
      </c>
      <c r="X2133" s="2">
        <f>MATCH(Auto_Sales_data___Copy[[#This Row],[Total_Orders_Per_Customer]],Table2[F-Cutoff],1)</f>
        <v>2</v>
      </c>
      <c r="Y2133" s="2">
        <f>MATCH(Auto_Sales_data___Copy[[#This Row],[Total_Sales_Per_Customer]],Table2[M-Cutoff],1)</f>
        <v>2</v>
      </c>
      <c r="Z2133" s="2" t="str">
        <f>Auto_Sales_data___Copy[[#This Row],[R-Score(1-5)]]&amp;Auto_Sales_data___Copy[[#This Row],[F-Score(1-5)]]&amp;Auto_Sales_data___Copy[[#This Row],[M-Score(1-5)]]</f>
        <v>222</v>
      </c>
      <c r="AA2133" s="2" t="str" cm="1">
        <f t="array" ref="AA21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3" s="2" t="str">
        <f>VLOOKUP(Auto_Sales_data___Copy[[#This Row],[Segment Name]],Table3[],2,FALSE)</f>
        <v>Re-Activation &amp; Re-Engagement</v>
      </c>
    </row>
    <row r="2134" spans="1:28" x14ac:dyDescent="0.25">
      <c r="A2134">
        <v>10307</v>
      </c>
      <c r="B2134">
        <v>22</v>
      </c>
      <c r="C2134">
        <v>71.67</v>
      </c>
      <c r="D2134">
        <v>3</v>
      </c>
      <c r="E2134">
        <v>1576.74</v>
      </c>
      <c r="F2134" s="1">
        <v>43752</v>
      </c>
      <c r="G2134" s="2" t="s">
        <v>19</v>
      </c>
      <c r="H2134" s="2" t="s">
        <v>589</v>
      </c>
      <c r="I2134">
        <v>65</v>
      </c>
      <c r="J2134" s="2" t="s">
        <v>684</v>
      </c>
      <c r="K2134" s="2" t="s">
        <v>217</v>
      </c>
      <c r="L2134" s="2" t="s">
        <v>218</v>
      </c>
      <c r="M2134" s="2" t="s">
        <v>219</v>
      </c>
      <c r="N2134" s="2" t="s">
        <v>220</v>
      </c>
      <c r="O2134" s="2" t="s">
        <v>221</v>
      </c>
      <c r="P2134" s="2" t="s">
        <v>27</v>
      </c>
      <c r="Q2134" s="2" t="s">
        <v>222</v>
      </c>
      <c r="R2134" s="2" t="s">
        <v>223</v>
      </c>
      <c r="S2134" s="2" t="s">
        <v>30</v>
      </c>
      <c r="T2134">
        <v>2078</v>
      </c>
      <c r="U2134">
        <f>VLOOKUP(Auto_Sales_data___Copy[[#This Row],[CUSTOMER_NAME]],$AF$2:$AH$90,2,FALSE)</f>
        <v>21</v>
      </c>
      <c r="V2134">
        <f>VLOOKUP(Auto_Sales_data___Copy[[#This Row],[CUSTOMER_NAME]],$AF$2:$AH$90,3,FALSE)</f>
        <v>67506.969999999987</v>
      </c>
      <c r="W2134" s="2">
        <f>6-MATCH(Auto_Sales_data___Copy[[#This Row],[DAYS_SINCE_LAST_ORDER]],Table2[R-Cutoff],1)</f>
        <v>2</v>
      </c>
      <c r="X2134" s="2">
        <f>MATCH(Auto_Sales_data___Copy[[#This Row],[Total_Orders_Per_Customer]],Table2[F-Cutoff],1)</f>
        <v>2</v>
      </c>
      <c r="Y2134" s="2">
        <f>MATCH(Auto_Sales_data___Copy[[#This Row],[Total_Sales_Per_Customer]],Table2[M-Cutoff],1)</f>
        <v>2</v>
      </c>
      <c r="Z2134" s="2" t="str">
        <f>Auto_Sales_data___Copy[[#This Row],[R-Score(1-5)]]&amp;Auto_Sales_data___Copy[[#This Row],[F-Score(1-5)]]&amp;Auto_Sales_data___Copy[[#This Row],[M-Score(1-5)]]</f>
        <v>222</v>
      </c>
      <c r="AA2134" s="2" t="str" cm="1">
        <f t="array" ref="AA21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4" s="2" t="str">
        <f>VLOOKUP(Auto_Sales_data___Copy[[#This Row],[Segment Name]],Table3[],2,FALSE)</f>
        <v>Re-Activation &amp; Re-Engagement</v>
      </c>
    </row>
    <row r="2135" spans="1:28" x14ac:dyDescent="0.25">
      <c r="A2135">
        <v>10307</v>
      </c>
      <c r="B2135">
        <v>22</v>
      </c>
      <c r="C2135">
        <v>91.41</v>
      </c>
      <c r="D2135">
        <v>8</v>
      </c>
      <c r="E2135">
        <v>2011.02</v>
      </c>
      <c r="F2135" s="1">
        <v>43752</v>
      </c>
      <c r="G2135" s="2" t="s">
        <v>19</v>
      </c>
      <c r="H2135" s="2" t="s">
        <v>589</v>
      </c>
      <c r="I2135">
        <v>83</v>
      </c>
      <c r="J2135" s="2" t="s">
        <v>686</v>
      </c>
      <c r="K2135" s="2" t="s">
        <v>217</v>
      </c>
      <c r="L2135" s="2" t="s">
        <v>218</v>
      </c>
      <c r="M2135" s="2" t="s">
        <v>219</v>
      </c>
      <c r="N2135" s="2" t="s">
        <v>220</v>
      </c>
      <c r="O2135" s="2" t="s">
        <v>221</v>
      </c>
      <c r="P2135" s="2" t="s">
        <v>27</v>
      </c>
      <c r="Q2135" s="2" t="s">
        <v>222</v>
      </c>
      <c r="R2135" s="2" t="s">
        <v>223</v>
      </c>
      <c r="S2135" s="2" t="s">
        <v>30</v>
      </c>
      <c r="T2135">
        <v>2127</v>
      </c>
      <c r="U2135">
        <f>VLOOKUP(Auto_Sales_data___Copy[[#This Row],[CUSTOMER_NAME]],$AF$2:$AH$90,2,FALSE)</f>
        <v>21</v>
      </c>
      <c r="V2135">
        <f>VLOOKUP(Auto_Sales_data___Copy[[#This Row],[CUSTOMER_NAME]],$AF$2:$AH$90,3,FALSE)</f>
        <v>67506.969999999987</v>
      </c>
      <c r="W2135" s="2">
        <f>6-MATCH(Auto_Sales_data___Copy[[#This Row],[DAYS_SINCE_LAST_ORDER]],Table2[R-Cutoff],1)</f>
        <v>2</v>
      </c>
      <c r="X2135" s="2">
        <f>MATCH(Auto_Sales_data___Copy[[#This Row],[Total_Orders_Per_Customer]],Table2[F-Cutoff],1)</f>
        <v>2</v>
      </c>
      <c r="Y2135" s="2">
        <f>MATCH(Auto_Sales_data___Copy[[#This Row],[Total_Sales_Per_Customer]],Table2[M-Cutoff],1)</f>
        <v>2</v>
      </c>
      <c r="Z2135" s="2" t="str">
        <f>Auto_Sales_data___Copy[[#This Row],[R-Score(1-5)]]&amp;Auto_Sales_data___Copy[[#This Row],[F-Score(1-5)]]&amp;Auto_Sales_data___Copy[[#This Row],[M-Score(1-5)]]</f>
        <v>222</v>
      </c>
      <c r="AA2135" s="2" t="str" cm="1">
        <f t="array" ref="AA21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5" s="2" t="str">
        <f>VLOOKUP(Auto_Sales_data___Copy[[#This Row],[Segment Name]],Table3[],2,FALSE)</f>
        <v>Re-Activation &amp; Re-Engagement</v>
      </c>
    </row>
    <row r="2136" spans="1:28" x14ac:dyDescent="0.25">
      <c r="A2136">
        <v>10313</v>
      </c>
      <c r="B2136">
        <v>27</v>
      </c>
      <c r="C2136">
        <v>87.64</v>
      </c>
      <c r="D2136">
        <v>6</v>
      </c>
      <c r="E2136">
        <v>2366.2800000000002</v>
      </c>
      <c r="F2136" s="1">
        <v>43760</v>
      </c>
      <c r="G2136" s="2" t="s">
        <v>19</v>
      </c>
      <c r="H2136" s="2" t="s">
        <v>537</v>
      </c>
      <c r="I2136">
        <v>96</v>
      </c>
      <c r="J2136" s="2" t="s">
        <v>694</v>
      </c>
      <c r="K2136" s="2" t="s">
        <v>231</v>
      </c>
      <c r="L2136" s="2" t="s">
        <v>232</v>
      </c>
      <c r="M2136" s="2" t="s">
        <v>233</v>
      </c>
      <c r="N2136" s="2" t="s">
        <v>234</v>
      </c>
      <c r="O2136" s="2" t="s">
        <v>235</v>
      </c>
      <c r="P2136" s="2" t="s">
        <v>236</v>
      </c>
      <c r="Q2136" s="2" t="s">
        <v>237</v>
      </c>
      <c r="R2136" s="2" t="s">
        <v>238</v>
      </c>
      <c r="S2136" s="2" t="s">
        <v>30</v>
      </c>
      <c r="T2136">
        <v>2318</v>
      </c>
      <c r="U2136">
        <f>VLOOKUP(Auto_Sales_data___Copy[[#This Row],[CUSTOMER_NAME]],$AF$2:$AH$90,2,FALSE)</f>
        <v>22</v>
      </c>
      <c r="V2136">
        <f>VLOOKUP(Auto_Sales_data___Copy[[#This Row],[CUSTOMER_NAME]],$AF$2:$AH$90,3,FALSE)</f>
        <v>75238.92</v>
      </c>
      <c r="W2136" s="2">
        <f>6-MATCH(Auto_Sales_data___Copy[[#This Row],[DAYS_SINCE_LAST_ORDER]],Table2[R-Cutoff],1)</f>
        <v>2</v>
      </c>
      <c r="X2136" s="2">
        <f>MATCH(Auto_Sales_data___Copy[[#This Row],[Total_Orders_Per_Customer]],Table2[F-Cutoff],1)</f>
        <v>2</v>
      </c>
      <c r="Y2136" s="2">
        <f>MATCH(Auto_Sales_data___Copy[[#This Row],[Total_Sales_Per_Customer]],Table2[M-Cutoff],1)</f>
        <v>2</v>
      </c>
      <c r="Z2136" s="2" t="str">
        <f>Auto_Sales_data___Copy[[#This Row],[R-Score(1-5)]]&amp;Auto_Sales_data___Copy[[#This Row],[F-Score(1-5)]]&amp;Auto_Sales_data___Copy[[#This Row],[M-Score(1-5)]]</f>
        <v>222</v>
      </c>
      <c r="AA2136" s="2" t="str" cm="1">
        <f t="array" ref="AA21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6" s="2" t="str">
        <f>VLOOKUP(Auto_Sales_data___Copy[[#This Row],[Segment Name]],Table3[],2,FALSE)</f>
        <v>Re-Activation &amp; Re-Engagement</v>
      </c>
    </row>
    <row r="2137" spans="1:28" x14ac:dyDescent="0.25">
      <c r="A2137">
        <v>10313</v>
      </c>
      <c r="B2137">
        <v>38</v>
      </c>
      <c r="C2137">
        <v>45.45</v>
      </c>
      <c r="D2137">
        <v>1</v>
      </c>
      <c r="E2137">
        <v>1727.1</v>
      </c>
      <c r="F2137" s="1">
        <v>43760</v>
      </c>
      <c r="G2137" s="2" t="s">
        <v>19</v>
      </c>
      <c r="H2137" s="2" t="s">
        <v>537</v>
      </c>
      <c r="I2137">
        <v>54</v>
      </c>
      <c r="J2137" s="2" t="s">
        <v>697</v>
      </c>
      <c r="K2137" s="2" t="s">
        <v>231</v>
      </c>
      <c r="L2137" s="2" t="s">
        <v>232</v>
      </c>
      <c r="M2137" s="2" t="s">
        <v>233</v>
      </c>
      <c r="N2137" s="2" t="s">
        <v>234</v>
      </c>
      <c r="O2137" s="2" t="s">
        <v>235</v>
      </c>
      <c r="P2137" s="2" t="s">
        <v>236</v>
      </c>
      <c r="Q2137" s="2" t="s">
        <v>237</v>
      </c>
      <c r="R2137" s="2" t="s">
        <v>238</v>
      </c>
      <c r="S2137" s="2" t="s">
        <v>30</v>
      </c>
      <c r="T2137">
        <v>2393</v>
      </c>
      <c r="U2137">
        <f>VLOOKUP(Auto_Sales_data___Copy[[#This Row],[CUSTOMER_NAME]],$AF$2:$AH$90,2,FALSE)</f>
        <v>22</v>
      </c>
      <c r="V2137">
        <f>VLOOKUP(Auto_Sales_data___Copy[[#This Row],[CUSTOMER_NAME]],$AF$2:$AH$90,3,FALSE)</f>
        <v>75238.92</v>
      </c>
      <c r="W2137" s="2">
        <f>6-MATCH(Auto_Sales_data___Copy[[#This Row],[DAYS_SINCE_LAST_ORDER]],Table2[R-Cutoff],1)</f>
        <v>2</v>
      </c>
      <c r="X2137" s="2">
        <f>MATCH(Auto_Sales_data___Copy[[#This Row],[Total_Orders_Per_Customer]],Table2[F-Cutoff],1)</f>
        <v>2</v>
      </c>
      <c r="Y2137" s="2">
        <f>MATCH(Auto_Sales_data___Copy[[#This Row],[Total_Sales_Per_Customer]],Table2[M-Cutoff],1)</f>
        <v>2</v>
      </c>
      <c r="Z2137" s="2" t="str">
        <f>Auto_Sales_data___Copy[[#This Row],[R-Score(1-5)]]&amp;Auto_Sales_data___Copy[[#This Row],[F-Score(1-5)]]&amp;Auto_Sales_data___Copy[[#This Row],[M-Score(1-5)]]</f>
        <v>222</v>
      </c>
      <c r="AA2137" s="2" t="str" cm="1">
        <f t="array" ref="AA21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7" s="2" t="str">
        <f>VLOOKUP(Auto_Sales_data___Copy[[#This Row],[Segment Name]],Table3[],2,FALSE)</f>
        <v>Re-Activation &amp; Re-Engagement</v>
      </c>
    </row>
    <row r="2138" spans="1:28" x14ac:dyDescent="0.25">
      <c r="A2138">
        <v>10313</v>
      </c>
      <c r="B2138">
        <v>34</v>
      </c>
      <c r="C2138">
        <v>56.24</v>
      </c>
      <c r="D2138">
        <v>10</v>
      </c>
      <c r="E2138">
        <v>1912.16</v>
      </c>
      <c r="F2138" s="1">
        <v>43760</v>
      </c>
      <c r="G2138" s="2" t="s">
        <v>19</v>
      </c>
      <c r="H2138" s="2" t="s">
        <v>537</v>
      </c>
      <c r="I2138">
        <v>64</v>
      </c>
      <c r="J2138" s="2" t="s">
        <v>699</v>
      </c>
      <c r="K2138" s="2" t="s">
        <v>231</v>
      </c>
      <c r="L2138" s="2" t="s">
        <v>232</v>
      </c>
      <c r="M2138" s="2" t="s">
        <v>233</v>
      </c>
      <c r="N2138" s="2" t="s">
        <v>234</v>
      </c>
      <c r="O2138" s="2" t="s">
        <v>235</v>
      </c>
      <c r="P2138" s="2" t="s">
        <v>236</v>
      </c>
      <c r="Q2138" s="2" t="s">
        <v>237</v>
      </c>
      <c r="R2138" s="2" t="s">
        <v>238</v>
      </c>
      <c r="S2138" s="2" t="s">
        <v>30</v>
      </c>
      <c r="T2138">
        <v>2447</v>
      </c>
      <c r="U2138">
        <f>VLOOKUP(Auto_Sales_data___Copy[[#This Row],[CUSTOMER_NAME]],$AF$2:$AH$90,2,FALSE)</f>
        <v>22</v>
      </c>
      <c r="V2138">
        <f>VLOOKUP(Auto_Sales_data___Copy[[#This Row],[CUSTOMER_NAME]],$AF$2:$AH$90,3,FALSE)</f>
        <v>75238.92</v>
      </c>
      <c r="W2138" s="2">
        <f>6-MATCH(Auto_Sales_data___Copy[[#This Row],[DAYS_SINCE_LAST_ORDER]],Table2[R-Cutoff],1)</f>
        <v>2</v>
      </c>
      <c r="X2138" s="2">
        <f>MATCH(Auto_Sales_data___Copy[[#This Row],[Total_Orders_Per_Customer]],Table2[F-Cutoff],1)</f>
        <v>2</v>
      </c>
      <c r="Y2138" s="2">
        <f>MATCH(Auto_Sales_data___Copy[[#This Row],[Total_Sales_Per_Customer]],Table2[M-Cutoff],1)</f>
        <v>2</v>
      </c>
      <c r="Z2138" s="2" t="str">
        <f>Auto_Sales_data___Copy[[#This Row],[R-Score(1-5)]]&amp;Auto_Sales_data___Copy[[#This Row],[F-Score(1-5)]]&amp;Auto_Sales_data___Copy[[#This Row],[M-Score(1-5)]]</f>
        <v>222</v>
      </c>
      <c r="AA2138" s="2" t="str" cm="1">
        <f t="array" ref="AA21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8" s="2" t="str">
        <f>VLOOKUP(Auto_Sales_data___Copy[[#This Row],[Segment Name]],Table3[],2,FALSE)</f>
        <v>Re-Activation &amp; Re-Engagement</v>
      </c>
    </row>
    <row r="2139" spans="1:28" x14ac:dyDescent="0.25">
      <c r="A2139">
        <v>10320</v>
      </c>
      <c r="B2139">
        <v>26</v>
      </c>
      <c r="C2139">
        <v>61.23</v>
      </c>
      <c r="D2139">
        <v>2</v>
      </c>
      <c r="E2139">
        <v>1591.98</v>
      </c>
      <c r="F2139" s="1">
        <v>43772</v>
      </c>
      <c r="G2139" s="2" t="s">
        <v>19</v>
      </c>
      <c r="H2139" s="2" t="s">
        <v>183</v>
      </c>
      <c r="I2139">
        <v>61</v>
      </c>
      <c r="J2139" s="2" t="s">
        <v>683</v>
      </c>
      <c r="K2139" s="2" t="s">
        <v>185</v>
      </c>
      <c r="L2139" s="2" t="s">
        <v>186</v>
      </c>
      <c r="M2139" s="2" t="s">
        <v>187</v>
      </c>
      <c r="N2139" s="2" t="s">
        <v>188</v>
      </c>
      <c r="O2139" s="2" t="s">
        <v>189</v>
      </c>
      <c r="P2139" s="2" t="s">
        <v>190</v>
      </c>
      <c r="Q2139" s="2" t="s">
        <v>191</v>
      </c>
      <c r="R2139" s="2" t="s">
        <v>192</v>
      </c>
      <c r="S2139" s="2" t="s">
        <v>30</v>
      </c>
      <c r="T2139">
        <v>2035</v>
      </c>
      <c r="U2139">
        <f>VLOOKUP(Auto_Sales_data___Copy[[#This Row],[CUSTOMER_NAME]],$AF$2:$AH$90,2,FALSE)</f>
        <v>19</v>
      </c>
      <c r="V2139">
        <f>VLOOKUP(Auto_Sales_data___Copy[[#This Row],[CUSTOMER_NAME]],$AF$2:$AH$90,3,FALSE)</f>
        <v>75754.87999999999</v>
      </c>
      <c r="W2139" s="2">
        <f>6-MATCH(Auto_Sales_data___Copy[[#This Row],[DAYS_SINCE_LAST_ORDER]],Table2[R-Cutoff],1)</f>
        <v>2</v>
      </c>
      <c r="X2139" s="2">
        <f>MATCH(Auto_Sales_data___Copy[[#This Row],[Total_Orders_Per_Customer]],Table2[F-Cutoff],1)</f>
        <v>2</v>
      </c>
      <c r="Y2139" s="2">
        <f>MATCH(Auto_Sales_data___Copy[[#This Row],[Total_Sales_Per_Customer]],Table2[M-Cutoff],1)</f>
        <v>2</v>
      </c>
      <c r="Z2139" s="2" t="str">
        <f>Auto_Sales_data___Copy[[#This Row],[R-Score(1-5)]]&amp;Auto_Sales_data___Copy[[#This Row],[F-Score(1-5)]]&amp;Auto_Sales_data___Copy[[#This Row],[M-Score(1-5)]]</f>
        <v>222</v>
      </c>
      <c r="AA2139" s="2" t="str" cm="1">
        <f t="array" ref="AA21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9" s="2" t="str">
        <f>VLOOKUP(Auto_Sales_data___Copy[[#This Row],[Segment Name]],Table3[],2,FALSE)</f>
        <v>Re-Activation &amp; Re-Engagement</v>
      </c>
    </row>
    <row r="2140" spans="1:28" x14ac:dyDescent="0.25">
      <c r="A2140">
        <v>10326</v>
      </c>
      <c r="B2140">
        <v>20</v>
      </c>
      <c r="C2140">
        <v>92.25</v>
      </c>
      <c r="D2140">
        <v>2</v>
      </c>
      <c r="E2140">
        <v>1845</v>
      </c>
      <c r="F2140" s="1">
        <v>43778</v>
      </c>
      <c r="G2140" s="2" t="s">
        <v>19</v>
      </c>
      <c r="H2140" s="2" t="s">
        <v>589</v>
      </c>
      <c r="I2140">
        <v>83</v>
      </c>
      <c r="J2140" s="2" t="s">
        <v>686</v>
      </c>
      <c r="K2140" s="2" t="s">
        <v>185</v>
      </c>
      <c r="L2140" s="2" t="s">
        <v>186</v>
      </c>
      <c r="M2140" s="2" t="s">
        <v>187</v>
      </c>
      <c r="N2140" s="2" t="s">
        <v>188</v>
      </c>
      <c r="O2140" s="2" t="s">
        <v>189</v>
      </c>
      <c r="P2140" s="2" t="s">
        <v>190</v>
      </c>
      <c r="Q2140" s="2" t="s">
        <v>191</v>
      </c>
      <c r="R2140" s="2" t="s">
        <v>192</v>
      </c>
      <c r="S2140" s="2" t="s">
        <v>30</v>
      </c>
      <c r="T2140">
        <v>2103</v>
      </c>
      <c r="U2140">
        <f>VLOOKUP(Auto_Sales_data___Copy[[#This Row],[CUSTOMER_NAME]],$AF$2:$AH$90,2,FALSE)</f>
        <v>19</v>
      </c>
      <c r="V2140">
        <f>VLOOKUP(Auto_Sales_data___Copy[[#This Row],[CUSTOMER_NAME]],$AF$2:$AH$90,3,FALSE)</f>
        <v>75754.87999999999</v>
      </c>
      <c r="W2140" s="2">
        <f>6-MATCH(Auto_Sales_data___Copy[[#This Row],[DAYS_SINCE_LAST_ORDER]],Table2[R-Cutoff],1)</f>
        <v>2</v>
      </c>
      <c r="X2140" s="2">
        <f>MATCH(Auto_Sales_data___Copy[[#This Row],[Total_Orders_Per_Customer]],Table2[F-Cutoff],1)</f>
        <v>2</v>
      </c>
      <c r="Y2140" s="2">
        <f>MATCH(Auto_Sales_data___Copy[[#This Row],[Total_Sales_Per_Customer]],Table2[M-Cutoff],1)</f>
        <v>2</v>
      </c>
      <c r="Z2140" s="2" t="str">
        <f>Auto_Sales_data___Copy[[#This Row],[R-Score(1-5)]]&amp;Auto_Sales_data___Copy[[#This Row],[F-Score(1-5)]]&amp;Auto_Sales_data___Copy[[#This Row],[M-Score(1-5)]]</f>
        <v>222</v>
      </c>
      <c r="AA2140" s="2" t="str" cm="1">
        <f t="array" ref="AA21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0" s="2" t="str">
        <f>VLOOKUP(Auto_Sales_data___Copy[[#This Row],[Segment Name]],Table3[],2,FALSE)</f>
        <v>Re-Activation &amp; Re-Engagement</v>
      </c>
    </row>
    <row r="2141" spans="1:28" x14ac:dyDescent="0.25">
      <c r="A2141">
        <v>10337</v>
      </c>
      <c r="B2141">
        <v>21</v>
      </c>
      <c r="C2141">
        <v>109.37</v>
      </c>
      <c r="D2141">
        <v>6</v>
      </c>
      <c r="E2141">
        <v>2296.77</v>
      </c>
      <c r="F2141" s="1">
        <v>43790</v>
      </c>
      <c r="G2141" s="2" t="s">
        <v>19</v>
      </c>
      <c r="H2141" s="2" t="s">
        <v>650</v>
      </c>
      <c r="I2141">
        <v>58</v>
      </c>
      <c r="J2141" s="2" t="s">
        <v>704</v>
      </c>
      <c r="K2141" s="2" t="s">
        <v>206</v>
      </c>
      <c r="L2141" s="2" t="s">
        <v>207</v>
      </c>
      <c r="M2141" s="2" t="s">
        <v>208</v>
      </c>
      <c r="N2141" s="2" t="s">
        <v>25</v>
      </c>
      <c r="O2141" s="2" t="s">
        <v>26</v>
      </c>
      <c r="P2141" s="2" t="s">
        <v>27</v>
      </c>
      <c r="Q2141" s="2" t="s">
        <v>120</v>
      </c>
      <c r="R2141" s="2" t="s">
        <v>209</v>
      </c>
      <c r="S2141" s="2" t="s">
        <v>30</v>
      </c>
      <c r="T2141">
        <v>2546</v>
      </c>
      <c r="U2141">
        <f>VLOOKUP(Auto_Sales_data___Copy[[#This Row],[CUSTOMER_NAME]],$AF$2:$AH$90,2,FALSE)</f>
        <v>20</v>
      </c>
      <c r="V2141">
        <f>VLOOKUP(Auto_Sales_data___Copy[[#This Row],[CUSTOMER_NAME]],$AF$2:$AH$90,3,FALSE)</f>
        <v>77795.200000000012</v>
      </c>
      <c r="W2141" s="2">
        <f>6-MATCH(Auto_Sales_data___Copy[[#This Row],[DAYS_SINCE_LAST_ORDER]],Table2[R-Cutoff],1)</f>
        <v>2</v>
      </c>
      <c r="X2141" s="2">
        <f>MATCH(Auto_Sales_data___Copy[[#This Row],[Total_Orders_Per_Customer]],Table2[F-Cutoff],1)</f>
        <v>2</v>
      </c>
      <c r="Y2141" s="2">
        <f>MATCH(Auto_Sales_data___Copy[[#This Row],[Total_Sales_Per_Customer]],Table2[M-Cutoff],1)</f>
        <v>2</v>
      </c>
      <c r="Z2141" s="2" t="str">
        <f>Auto_Sales_data___Copy[[#This Row],[R-Score(1-5)]]&amp;Auto_Sales_data___Copy[[#This Row],[F-Score(1-5)]]&amp;Auto_Sales_data___Copy[[#This Row],[M-Score(1-5)]]</f>
        <v>222</v>
      </c>
      <c r="AA2141" s="2" t="str" cm="1">
        <f t="array" ref="AA21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1" s="2" t="str">
        <f>VLOOKUP(Auto_Sales_data___Copy[[#This Row],[Segment Name]],Table3[],2,FALSE)</f>
        <v>Re-Activation &amp; Re-Engagement</v>
      </c>
    </row>
    <row r="2142" spans="1:28" x14ac:dyDescent="0.25">
      <c r="A2142">
        <v>10340</v>
      </c>
      <c r="B2142">
        <v>40</v>
      </c>
      <c r="C2142">
        <v>84.77</v>
      </c>
      <c r="D2142">
        <v>1</v>
      </c>
      <c r="E2142">
        <v>3390.8</v>
      </c>
      <c r="F2142" s="1">
        <v>43793</v>
      </c>
      <c r="G2142" s="2" t="s">
        <v>19</v>
      </c>
      <c r="H2142" s="2" t="s">
        <v>607</v>
      </c>
      <c r="I2142">
        <v>72</v>
      </c>
      <c r="J2142" s="2" t="s">
        <v>692</v>
      </c>
      <c r="K2142" s="2" t="s">
        <v>372</v>
      </c>
      <c r="L2142" s="2" t="s">
        <v>373</v>
      </c>
      <c r="M2142" s="2" t="s">
        <v>374</v>
      </c>
      <c r="N2142" s="2" t="s">
        <v>375</v>
      </c>
      <c r="O2142" s="2" t="s">
        <v>376</v>
      </c>
      <c r="P2142" s="2" t="s">
        <v>180</v>
      </c>
      <c r="Q2142" s="2" t="s">
        <v>377</v>
      </c>
      <c r="R2142" s="2" t="s">
        <v>378</v>
      </c>
      <c r="S2142" s="2" t="s">
        <v>46</v>
      </c>
      <c r="T2142">
        <v>2236</v>
      </c>
      <c r="U2142">
        <f>VLOOKUP(Auto_Sales_data___Copy[[#This Row],[CUSTOMER_NAME]],$AF$2:$AH$90,2,FALSE)</f>
        <v>23</v>
      </c>
      <c r="V2142">
        <f>VLOOKUP(Auto_Sales_data___Copy[[#This Row],[CUSTOMER_NAME]],$AF$2:$AH$90,3,FALSE)</f>
        <v>78411.86</v>
      </c>
      <c r="W2142" s="2">
        <f>6-MATCH(Auto_Sales_data___Copy[[#This Row],[DAYS_SINCE_LAST_ORDER]],Table2[R-Cutoff],1)</f>
        <v>2</v>
      </c>
      <c r="X2142" s="2">
        <f>MATCH(Auto_Sales_data___Copy[[#This Row],[Total_Orders_Per_Customer]],Table2[F-Cutoff],1)</f>
        <v>2</v>
      </c>
      <c r="Y2142" s="2">
        <f>MATCH(Auto_Sales_data___Copy[[#This Row],[Total_Sales_Per_Customer]],Table2[M-Cutoff],1)</f>
        <v>2</v>
      </c>
      <c r="Z2142" s="2" t="str">
        <f>Auto_Sales_data___Copy[[#This Row],[R-Score(1-5)]]&amp;Auto_Sales_data___Copy[[#This Row],[F-Score(1-5)]]&amp;Auto_Sales_data___Copy[[#This Row],[M-Score(1-5)]]</f>
        <v>222</v>
      </c>
      <c r="AA2142" s="2" t="str" cm="1">
        <f t="array" ref="AA21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2" s="2" t="str">
        <f>VLOOKUP(Auto_Sales_data___Copy[[#This Row],[Segment Name]],Table3[],2,FALSE)</f>
        <v>Re-Activation &amp; Re-Engagement</v>
      </c>
    </row>
    <row r="2143" spans="1:28" x14ac:dyDescent="0.25">
      <c r="A2143">
        <v>10340</v>
      </c>
      <c r="B2143">
        <v>55</v>
      </c>
      <c r="C2143">
        <v>117.87</v>
      </c>
      <c r="D2143">
        <v>2</v>
      </c>
      <c r="E2143">
        <v>6482.85</v>
      </c>
      <c r="F2143" s="1">
        <v>43793</v>
      </c>
      <c r="G2143" s="2" t="s">
        <v>19</v>
      </c>
      <c r="H2143" s="2" t="s">
        <v>20</v>
      </c>
      <c r="I2143">
        <v>99</v>
      </c>
      <c r="J2143" s="2" t="s">
        <v>695</v>
      </c>
      <c r="K2143" s="2" t="s">
        <v>372</v>
      </c>
      <c r="L2143" s="2" t="s">
        <v>373</v>
      </c>
      <c r="M2143" s="2" t="s">
        <v>374</v>
      </c>
      <c r="N2143" s="2" t="s">
        <v>375</v>
      </c>
      <c r="O2143" s="2" t="s">
        <v>376</v>
      </c>
      <c r="P2143" s="2" t="s">
        <v>180</v>
      </c>
      <c r="Q2143" s="2" t="s">
        <v>377</v>
      </c>
      <c r="R2143" s="2" t="s">
        <v>378</v>
      </c>
      <c r="S2143" s="2" t="s">
        <v>46</v>
      </c>
      <c r="T2143">
        <v>2311</v>
      </c>
      <c r="U2143">
        <f>VLOOKUP(Auto_Sales_data___Copy[[#This Row],[CUSTOMER_NAME]],$AF$2:$AH$90,2,FALSE)</f>
        <v>23</v>
      </c>
      <c r="V2143">
        <f>VLOOKUP(Auto_Sales_data___Copy[[#This Row],[CUSTOMER_NAME]],$AF$2:$AH$90,3,FALSE)</f>
        <v>78411.86</v>
      </c>
      <c r="W2143" s="2">
        <f>6-MATCH(Auto_Sales_data___Copy[[#This Row],[DAYS_SINCE_LAST_ORDER]],Table2[R-Cutoff],1)</f>
        <v>2</v>
      </c>
      <c r="X2143" s="2">
        <f>MATCH(Auto_Sales_data___Copy[[#This Row],[Total_Orders_Per_Customer]],Table2[F-Cutoff],1)</f>
        <v>2</v>
      </c>
      <c r="Y2143" s="2">
        <f>MATCH(Auto_Sales_data___Copy[[#This Row],[Total_Sales_Per_Customer]],Table2[M-Cutoff],1)</f>
        <v>2</v>
      </c>
      <c r="Z2143" s="2" t="str">
        <f>Auto_Sales_data___Copy[[#This Row],[R-Score(1-5)]]&amp;Auto_Sales_data___Copy[[#This Row],[F-Score(1-5)]]&amp;Auto_Sales_data___Copy[[#This Row],[M-Score(1-5)]]</f>
        <v>222</v>
      </c>
      <c r="AA2143" s="2" t="str" cm="1">
        <f t="array" ref="AA21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3" s="2" t="str">
        <f>VLOOKUP(Auto_Sales_data___Copy[[#This Row],[Segment Name]],Table3[],2,FALSE)</f>
        <v>Re-Activation &amp; Re-Engagement</v>
      </c>
    </row>
    <row r="2144" spans="1:28" x14ac:dyDescent="0.25">
      <c r="A2144">
        <v>10340</v>
      </c>
      <c r="B2144">
        <v>39</v>
      </c>
      <c r="C2144">
        <v>59.16</v>
      </c>
      <c r="D2144">
        <v>3</v>
      </c>
      <c r="E2144">
        <v>2307.2399999999998</v>
      </c>
      <c r="F2144" s="1">
        <v>43793</v>
      </c>
      <c r="G2144" s="2" t="s">
        <v>19</v>
      </c>
      <c r="H2144" s="2" t="s">
        <v>589</v>
      </c>
      <c r="I2144">
        <v>68</v>
      </c>
      <c r="J2144" s="2" t="s">
        <v>700</v>
      </c>
      <c r="K2144" s="2" t="s">
        <v>372</v>
      </c>
      <c r="L2144" s="2" t="s">
        <v>373</v>
      </c>
      <c r="M2144" s="2" t="s">
        <v>374</v>
      </c>
      <c r="N2144" s="2" t="s">
        <v>375</v>
      </c>
      <c r="O2144" s="2" t="s">
        <v>376</v>
      </c>
      <c r="P2144" s="2" t="s">
        <v>180</v>
      </c>
      <c r="Q2144" s="2" t="s">
        <v>377</v>
      </c>
      <c r="R2144" s="2" t="s">
        <v>378</v>
      </c>
      <c r="S2144" s="2" t="s">
        <v>30</v>
      </c>
      <c r="T2144">
        <v>2438</v>
      </c>
      <c r="U2144">
        <f>VLOOKUP(Auto_Sales_data___Copy[[#This Row],[CUSTOMER_NAME]],$AF$2:$AH$90,2,FALSE)</f>
        <v>23</v>
      </c>
      <c r="V2144">
        <f>VLOOKUP(Auto_Sales_data___Copy[[#This Row],[CUSTOMER_NAME]],$AF$2:$AH$90,3,FALSE)</f>
        <v>78411.86</v>
      </c>
      <c r="W2144" s="2">
        <f>6-MATCH(Auto_Sales_data___Copy[[#This Row],[DAYS_SINCE_LAST_ORDER]],Table2[R-Cutoff],1)</f>
        <v>2</v>
      </c>
      <c r="X2144" s="2">
        <f>MATCH(Auto_Sales_data___Copy[[#This Row],[Total_Orders_Per_Customer]],Table2[F-Cutoff],1)</f>
        <v>2</v>
      </c>
      <c r="Y2144" s="2">
        <f>MATCH(Auto_Sales_data___Copy[[#This Row],[Total_Sales_Per_Customer]],Table2[M-Cutoff],1)</f>
        <v>2</v>
      </c>
      <c r="Z2144" s="2" t="str">
        <f>Auto_Sales_data___Copy[[#This Row],[R-Score(1-5)]]&amp;Auto_Sales_data___Copy[[#This Row],[F-Score(1-5)]]&amp;Auto_Sales_data___Copy[[#This Row],[M-Score(1-5)]]</f>
        <v>222</v>
      </c>
      <c r="AA2144" s="2" t="str" cm="1">
        <f t="array" ref="AA21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4" s="2" t="str">
        <f>VLOOKUP(Auto_Sales_data___Copy[[#This Row],[Segment Name]],Table3[],2,FALSE)</f>
        <v>Re-Activation &amp; Re-Engagement</v>
      </c>
    </row>
    <row r="2145" spans="1:28" x14ac:dyDescent="0.25">
      <c r="A2145">
        <v>10340</v>
      </c>
      <c r="B2145">
        <v>40</v>
      </c>
      <c r="C2145">
        <v>50.62</v>
      </c>
      <c r="D2145">
        <v>4</v>
      </c>
      <c r="E2145">
        <v>2024.8</v>
      </c>
      <c r="F2145" s="1">
        <v>43793</v>
      </c>
      <c r="G2145" s="2" t="s">
        <v>19</v>
      </c>
      <c r="H2145" s="2" t="s">
        <v>589</v>
      </c>
      <c r="I2145">
        <v>43</v>
      </c>
      <c r="J2145" s="2" t="s">
        <v>702</v>
      </c>
      <c r="K2145" s="2" t="s">
        <v>372</v>
      </c>
      <c r="L2145" s="2" t="s">
        <v>373</v>
      </c>
      <c r="M2145" s="2" t="s">
        <v>374</v>
      </c>
      <c r="N2145" s="2" t="s">
        <v>375</v>
      </c>
      <c r="O2145" s="2" t="s">
        <v>376</v>
      </c>
      <c r="P2145" s="2" t="s">
        <v>180</v>
      </c>
      <c r="Q2145" s="2" t="s">
        <v>377</v>
      </c>
      <c r="R2145" s="2" t="s">
        <v>378</v>
      </c>
      <c r="S2145" s="2" t="s">
        <v>30</v>
      </c>
      <c r="T2145">
        <v>2488</v>
      </c>
      <c r="U2145">
        <f>VLOOKUP(Auto_Sales_data___Copy[[#This Row],[CUSTOMER_NAME]],$AF$2:$AH$90,2,FALSE)</f>
        <v>23</v>
      </c>
      <c r="V2145">
        <f>VLOOKUP(Auto_Sales_data___Copy[[#This Row],[CUSTOMER_NAME]],$AF$2:$AH$90,3,FALSE)</f>
        <v>78411.86</v>
      </c>
      <c r="W2145" s="2">
        <f>6-MATCH(Auto_Sales_data___Copy[[#This Row],[DAYS_SINCE_LAST_ORDER]],Table2[R-Cutoff],1)</f>
        <v>2</v>
      </c>
      <c r="X2145" s="2">
        <f>MATCH(Auto_Sales_data___Copy[[#This Row],[Total_Orders_Per_Customer]],Table2[F-Cutoff],1)</f>
        <v>2</v>
      </c>
      <c r="Y2145" s="2">
        <f>MATCH(Auto_Sales_data___Copy[[#This Row],[Total_Sales_Per_Customer]],Table2[M-Cutoff],1)</f>
        <v>2</v>
      </c>
      <c r="Z2145" s="2" t="str">
        <f>Auto_Sales_data___Copy[[#This Row],[R-Score(1-5)]]&amp;Auto_Sales_data___Copy[[#This Row],[F-Score(1-5)]]&amp;Auto_Sales_data___Copy[[#This Row],[M-Score(1-5)]]</f>
        <v>222</v>
      </c>
      <c r="AA2145" s="2" t="str" cm="1">
        <f t="array" ref="AA21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5" s="2" t="str">
        <f>VLOOKUP(Auto_Sales_data___Copy[[#This Row],[Segment Name]],Table3[],2,FALSE)</f>
        <v>Re-Activation &amp; Re-Engagement</v>
      </c>
    </row>
    <row r="2146" spans="1:28" x14ac:dyDescent="0.25">
      <c r="A2146">
        <v>10356</v>
      </c>
      <c r="B2146">
        <v>26</v>
      </c>
      <c r="C2146">
        <v>151.44999999999999</v>
      </c>
      <c r="D2146">
        <v>4</v>
      </c>
      <c r="E2146">
        <v>3937.7</v>
      </c>
      <c r="F2146" s="1">
        <v>43808</v>
      </c>
      <c r="G2146" s="2" t="s">
        <v>19</v>
      </c>
      <c r="H2146" s="2" t="s">
        <v>20</v>
      </c>
      <c r="I2146">
        <v>81</v>
      </c>
      <c r="J2146" s="2" t="s">
        <v>705</v>
      </c>
      <c r="K2146" s="2" t="s">
        <v>39</v>
      </c>
      <c r="L2146" s="2" t="s">
        <v>40</v>
      </c>
      <c r="M2146" s="2" t="s">
        <v>41</v>
      </c>
      <c r="N2146" s="2" t="s">
        <v>42</v>
      </c>
      <c r="O2146" s="2" t="s">
        <v>43</v>
      </c>
      <c r="P2146" s="2" t="s">
        <v>36</v>
      </c>
      <c r="Q2146" s="2" t="s">
        <v>44</v>
      </c>
      <c r="R2146" s="2" t="s">
        <v>45</v>
      </c>
      <c r="S2146" s="2" t="s">
        <v>46</v>
      </c>
      <c r="T2146">
        <v>2554</v>
      </c>
      <c r="U2146">
        <f>VLOOKUP(Auto_Sales_data___Copy[[#This Row],[CUSTOMER_NAME]],$AF$2:$AH$90,2,FALSE)</f>
        <v>20</v>
      </c>
      <c r="V2146">
        <f>VLOOKUP(Auto_Sales_data___Copy[[#This Row],[CUSTOMER_NAME]],$AF$2:$AH$90,3,FALSE)</f>
        <v>78570.34</v>
      </c>
      <c r="W2146" s="2">
        <f>6-MATCH(Auto_Sales_data___Copy[[#This Row],[DAYS_SINCE_LAST_ORDER]],Table2[R-Cutoff],1)</f>
        <v>2</v>
      </c>
      <c r="X2146" s="2">
        <f>MATCH(Auto_Sales_data___Copy[[#This Row],[Total_Orders_Per_Customer]],Table2[F-Cutoff],1)</f>
        <v>2</v>
      </c>
      <c r="Y2146" s="2">
        <f>MATCH(Auto_Sales_data___Copy[[#This Row],[Total_Sales_Per_Customer]],Table2[M-Cutoff],1)</f>
        <v>2</v>
      </c>
      <c r="Z2146" s="2" t="str">
        <f>Auto_Sales_data___Copy[[#This Row],[R-Score(1-5)]]&amp;Auto_Sales_data___Copy[[#This Row],[F-Score(1-5)]]&amp;Auto_Sales_data___Copy[[#This Row],[M-Score(1-5)]]</f>
        <v>222</v>
      </c>
      <c r="AA2146" s="2" t="str" cm="1">
        <f t="array" ref="AA21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6" s="2" t="str">
        <f>VLOOKUP(Auto_Sales_data___Copy[[#This Row],[Segment Name]],Table3[],2,FALSE)</f>
        <v>Re-Activation &amp; Re-Engagement</v>
      </c>
    </row>
    <row r="2147" spans="1:28" x14ac:dyDescent="0.25">
      <c r="A2147">
        <v>10395</v>
      </c>
      <c r="B2147">
        <v>46</v>
      </c>
      <c r="C2147">
        <v>123.76</v>
      </c>
      <c r="D2147">
        <v>4</v>
      </c>
      <c r="E2147">
        <v>5692.96</v>
      </c>
      <c r="F2147" s="1">
        <v>43907</v>
      </c>
      <c r="G2147" s="2" t="s">
        <v>19</v>
      </c>
      <c r="H2147" s="2" t="s">
        <v>537</v>
      </c>
      <c r="I2147">
        <v>115</v>
      </c>
      <c r="J2147" s="2" t="s">
        <v>703</v>
      </c>
      <c r="K2147" s="2" t="s">
        <v>39</v>
      </c>
      <c r="L2147" s="2" t="s">
        <v>40</v>
      </c>
      <c r="M2147" s="2" t="s">
        <v>41</v>
      </c>
      <c r="N2147" s="2" t="s">
        <v>42</v>
      </c>
      <c r="O2147" s="2" t="s">
        <v>43</v>
      </c>
      <c r="P2147" s="2" t="s">
        <v>36</v>
      </c>
      <c r="Q2147" s="2" t="s">
        <v>44</v>
      </c>
      <c r="R2147" s="2" t="s">
        <v>45</v>
      </c>
      <c r="S2147" s="2" t="s">
        <v>46</v>
      </c>
      <c r="T2147">
        <v>2407</v>
      </c>
      <c r="U2147">
        <f>VLOOKUP(Auto_Sales_data___Copy[[#This Row],[CUSTOMER_NAME]],$AF$2:$AH$90,2,FALSE)</f>
        <v>20</v>
      </c>
      <c r="V2147">
        <f>VLOOKUP(Auto_Sales_data___Copy[[#This Row],[CUSTOMER_NAME]],$AF$2:$AH$90,3,FALSE)</f>
        <v>78570.34</v>
      </c>
      <c r="W2147" s="2">
        <f>6-MATCH(Auto_Sales_data___Copy[[#This Row],[DAYS_SINCE_LAST_ORDER]],Table2[R-Cutoff],1)</f>
        <v>2</v>
      </c>
      <c r="X2147" s="2">
        <f>MATCH(Auto_Sales_data___Copy[[#This Row],[Total_Orders_Per_Customer]],Table2[F-Cutoff],1)</f>
        <v>2</v>
      </c>
      <c r="Y2147" s="2">
        <f>MATCH(Auto_Sales_data___Copy[[#This Row],[Total_Sales_Per_Customer]],Table2[M-Cutoff],1)</f>
        <v>2</v>
      </c>
      <c r="Z2147" s="2" t="str">
        <f>Auto_Sales_data___Copy[[#This Row],[R-Score(1-5)]]&amp;Auto_Sales_data___Copy[[#This Row],[F-Score(1-5)]]&amp;Auto_Sales_data___Copy[[#This Row],[M-Score(1-5)]]</f>
        <v>222</v>
      </c>
      <c r="AA2147" s="2" t="str" cm="1">
        <f t="array" ref="AA21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7" s="2" t="str">
        <f>VLOOKUP(Auto_Sales_data___Copy[[#This Row],[Segment Name]],Table3[],2,FALSE)</f>
        <v>Re-Activation &amp; Re-Engagement</v>
      </c>
    </row>
    <row r="2148" spans="1:28" x14ac:dyDescent="0.25">
      <c r="A2148">
        <v>10395</v>
      </c>
      <c r="B2148">
        <v>45</v>
      </c>
      <c r="C2148">
        <v>199.49</v>
      </c>
      <c r="D2148">
        <v>3</v>
      </c>
      <c r="E2148">
        <v>8977.0499999999993</v>
      </c>
      <c r="F2148" s="1">
        <v>43907</v>
      </c>
      <c r="G2148" s="2" t="s">
        <v>19</v>
      </c>
      <c r="H2148" s="2" t="s">
        <v>650</v>
      </c>
      <c r="I2148">
        <v>58</v>
      </c>
      <c r="J2148" s="2" t="s">
        <v>704</v>
      </c>
      <c r="K2148" s="2" t="s">
        <v>39</v>
      </c>
      <c r="L2148" s="2" t="s">
        <v>40</v>
      </c>
      <c r="M2148" s="2" t="s">
        <v>41</v>
      </c>
      <c r="N2148" s="2" t="s">
        <v>42</v>
      </c>
      <c r="O2148" s="2" t="s">
        <v>43</v>
      </c>
      <c r="P2148" s="2" t="s">
        <v>36</v>
      </c>
      <c r="Q2148" s="2" t="s">
        <v>44</v>
      </c>
      <c r="R2148" s="2" t="s">
        <v>45</v>
      </c>
      <c r="S2148" s="2" t="s">
        <v>151</v>
      </c>
      <c r="T2148">
        <v>2434</v>
      </c>
      <c r="U2148">
        <f>VLOOKUP(Auto_Sales_data___Copy[[#This Row],[CUSTOMER_NAME]],$AF$2:$AH$90,2,FALSE)</f>
        <v>20</v>
      </c>
      <c r="V2148">
        <f>VLOOKUP(Auto_Sales_data___Copy[[#This Row],[CUSTOMER_NAME]],$AF$2:$AH$90,3,FALSE)</f>
        <v>78570.34</v>
      </c>
      <c r="W2148" s="2">
        <f>6-MATCH(Auto_Sales_data___Copy[[#This Row],[DAYS_SINCE_LAST_ORDER]],Table2[R-Cutoff],1)</f>
        <v>2</v>
      </c>
      <c r="X2148" s="2">
        <f>MATCH(Auto_Sales_data___Copy[[#This Row],[Total_Orders_Per_Customer]],Table2[F-Cutoff],1)</f>
        <v>2</v>
      </c>
      <c r="Y2148" s="2">
        <f>MATCH(Auto_Sales_data___Copy[[#This Row],[Total_Sales_Per_Customer]],Table2[M-Cutoff],1)</f>
        <v>2</v>
      </c>
      <c r="Z2148" s="2" t="str">
        <f>Auto_Sales_data___Copy[[#This Row],[R-Score(1-5)]]&amp;Auto_Sales_data___Copy[[#This Row],[F-Score(1-5)]]&amp;Auto_Sales_data___Copy[[#This Row],[M-Score(1-5)]]</f>
        <v>222</v>
      </c>
      <c r="AA2148" s="2" t="str" cm="1">
        <f t="array" ref="AA21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8" s="2" t="str">
        <f>VLOOKUP(Auto_Sales_data___Copy[[#This Row],[Segment Name]],Table3[],2,FALSE)</f>
        <v>Re-Activation &amp; Re-Engagement</v>
      </c>
    </row>
    <row r="2149" spans="1:28" x14ac:dyDescent="0.25">
      <c r="A2149">
        <v>10397</v>
      </c>
      <c r="B2149">
        <v>32</v>
      </c>
      <c r="C2149">
        <v>80.55</v>
      </c>
      <c r="D2149">
        <v>5</v>
      </c>
      <c r="E2149">
        <v>2577.6</v>
      </c>
      <c r="F2149" s="1">
        <v>43918</v>
      </c>
      <c r="G2149" s="2" t="s">
        <v>19</v>
      </c>
      <c r="H2149" s="2" t="s">
        <v>642</v>
      </c>
      <c r="I2149">
        <v>86</v>
      </c>
      <c r="J2149" s="2" t="s">
        <v>708</v>
      </c>
      <c r="K2149" s="2" t="s">
        <v>359</v>
      </c>
      <c r="L2149" s="2" t="s">
        <v>360</v>
      </c>
      <c r="M2149" s="2" t="s">
        <v>361</v>
      </c>
      <c r="N2149" s="2" t="s">
        <v>362</v>
      </c>
      <c r="O2149" s="2" t="s">
        <v>363</v>
      </c>
      <c r="P2149" s="2" t="s">
        <v>36</v>
      </c>
      <c r="Q2149" s="2" t="s">
        <v>364</v>
      </c>
      <c r="R2149" s="2" t="s">
        <v>365</v>
      </c>
      <c r="S2149" s="2" t="s">
        <v>30</v>
      </c>
      <c r="T2149">
        <v>2523</v>
      </c>
      <c r="U2149">
        <f>VLOOKUP(Auto_Sales_data___Copy[[#This Row],[CUSTOMER_NAME]],$AF$2:$AH$90,2,FALSE)</f>
        <v>20</v>
      </c>
      <c r="V2149">
        <f>VLOOKUP(Auto_Sales_data___Copy[[#This Row],[CUSTOMER_NAME]],$AF$2:$AH$90,3,FALSE)</f>
        <v>70488.439999999988</v>
      </c>
      <c r="W2149" s="2">
        <f>6-MATCH(Auto_Sales_data___Copy[[#This Row],[DAYS_SINCE_LAST_ORDER]],Table2[R-Cutoff],1)</f>
        <v>2</v>
      </c>
      <c r="X2149" s="2">
        <f>MATCH(Auto_Sales_data___Copy[[#This Row],[Total_Orders_Per_Customer]],Table2[F-Cutoff],1)</f>
        <v>2</v>
      </c>
      <c r="Y2149" s="2">
        <f>MATCH(Auto_Sales_data___Copy[[#This Row],[Total_Sales_Per_Customer]],Table2[M-Cutoff],1)</f>
        <v>2</v>
      </c>
      <c r="Z2149" s="2" t="str">
        <f>Auto_Sales_data___Copy[[#This Row],[R-Score(1-5)]]&amp;Auto_Sales_data___Copy[[#This Row],[F-Score(1-5)]]&amp;Auto_Sales_data___Copy[[#This Row],[M-Score(1-5)]]</f>
        <v>222</v>
      </c>
      <c r="AA2149" s="2" t="str" cm="1">
        <f t="array" ref="AA21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9" s="2" t="str">
        <f>VLOOKUP(Auto_Sales_data___Copy[[#This Row],[Segment Name]],Table3[],2,FALSE)</f>
        <v>Re-Activation &amp; Re-Engagement</v>
      </c>
    </row>
    <row r="2150" spans="1:28" x14ac:dyDescent="0.25">
      <c r="A2150">
        <v>10411</v>
      </c>
      <c r="B2150">
        <v>26</v>
      </c>
      <c r="C2150">
        <v>111.72</v>
      </c>
      <c r="D2150">
        <v>1</v>
      </c>
      <c r="E2150">
        <v>2904.72</v>
      </c>
      <c r="F2150" s="1">
        <v>43952</v>
      </c>
      <c r="G2150" s="2" t="s">
        <v>19</v>
      </c>
      <c r="H2150" s="2" t="s">
        <v>537</v>
      </c>
      <c r="I2150">
        <v>96</v>
      </c>
      <c r="J2150" s="2" t="s">
        <v>694</v>
      </c>
      <c r="K2150" s="2" t="s">
        <v>307</v>
      </c>
      <c r="L2150" s="2" t="s">
        <v>308</v>
      </c>
      <c r="M2150" s="2" t="s">
        <v>309</v>
      </c>
      <c r="N2150" s="2" t="s">
        <v>310</v>
      </c>
      <c r="O2150" s="2" t="s">
        <v>311</v>
      </c>
      <c r="P2150" s="2" t="s">
        <v>236</v>
      </c>
      <c r="Q2150" s="2" t="s">
        <v>312</v>
      </c>
      <c r="R2150" s="2" t="s">
        <v>313</v>
      </c>
      <c r="S2150" s="2" t="s">
        <v>30</v>
      </c>
      <c r="T2150">
        <v>2133</v>
      </c>
      <c r="U2150">
        <f>VLOOKUP(Auto_Sales_data___Copy[[#This Row],[CUSTOMER_NAME]],$AF$2:$AH$90,2,FALSE)</f>
        <v>22</v>
      </c>
      <c r="V2150">
        <f>VLOOKUP(Auto_Sales_data___Copy[[#This Row],[CUSTOMER_NAME]],$AF$2:$AH$90,3,FALSE)</f>
        <v>74204.790000000008</v>
      </c>
      <c r="W2150" s="2">
        <f>6-MATCH(Auto_Sales_data___Copy[[#This Row],[DAYS_SINCE_LAST_ORDER]],Table2[R-Cutoff],1)</f>
        <v>2</v>
      </c>
      <c r="X2150" s="2">
        <f>MATCH(Auto_Sales_data___Copy[[#This Row],[Total_Orders_Per_Customer]],Table2[F-Cutoff],1)</f>
        <v>2</v>
      </c>
      <c r="Y2150" s="2">
        <f>MATCH(Auto_Sales_data___Copy[[#This Row],[Total_Sales_Per_Customer]],Table2[M-Cutoff],1)</f>
        <v>2</v>
      </c>
      <c r="Z2150" s="2" t="str">
        <f>Auto_Sales_data___Copy[[#This Row],[R-Score(1-5)]]&amp;Auto_Sales_data___Copy[[#This Row],[F-Score(1-5)]]&amp;Auto_Sales_data___Copy[[#This Row],[M-Score(1-5)]]</f>
        <v>222</v>
      </c>
      <c r="AA2150" s="2" t="str" cm="1">
        <f t="array" ref="AA21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0" s="2" t="str">
        <f>VLOOKUP(Auto_Sales_data___Copy[[#This Row],[Segment Name]],Table3[],2,FALSE)</f>
        <v>Re-Activation &amp; Re-Engagement</v>
      </c>
    </row>
    <row r="2151" spans="1:28" x14ac:dyDescent="0.25">
      <c r="A2151">
        <v>10411</v>
      </c>
      <c r="B2151">
        <v>27</v>
      </c>
      <c r="C2151">
        <v>69.16</v>
      </c>
      <c r="D2151">
        <v>5</v>
      </c>
      <c r="E2151">
        <v>1867.32</v>
      </c>
      <c r="F2151" s="1">
        <v>43952</v>
      </c>
      <c r="G2151" s="2" t="s">
        <v>19</v>
      </c>
      <c r="H2151" s="2" t="s">
        <v>537</v>
      </c>
      <c r="I2151">
        <v>64</v>
      </c>
      <c r="J2151" s="2" t="s">
        <v>699</v>
      </c>
      <c r="K2151" s="2" t="s">
        <v>307</v>
      </c>
      <c r="L2151" s="2" t="s">
        <v>308</v>
      </c>
      <c r="M2151" s="2" t="s">
        <v>309</v>
      </c>
      <c r="N2151" s="2" t="s">
        <v>310</v>
      </c>
      <c r="O2151" s="2" t="s">
        <v>311</v>
      </c>
      <c r="P2151" s="2" t="s">
        <v>236</v>
      </c>
      <c r="Q2151" s="2" t="s">
        <v>312</v>
      </c>
      <c r="R2151" s="2" t="s">
        <v>313</v>
      </c>
      <c r="S2151" s="2" t="s">
        <v>30</v>
      </c>
      <c r="T2151">
        <v>2261</v>
      </c>
      <c r="U2151">
        <f>VLOOKUP(Auto_Sales_data___Copy[[#This Row],[CUSTOMER_NAME]],$AF$2:$AH$90,2,FALSE)</f>
        <v>22</v>
      </c>
      <c r="V2151">
        <f>VLOOKUP(Auto_Sales_data___Copy[[#This Row],[CUSTOMER_NAME]],$AF$2:$AH$90,3,FALSE)</f>
        <v>74204.790000000008</v>
      </c>
      <c r="W2151" s="2">
        <f>6-MATCH(Auto_Sales_data___Copy[[#This Row],[DAYS_SINCE_LAST_ORDER]],Table2[R-Cutoff],1)</f>
        <v>2</v>
      </c>
      <c r="X2151" s="2">
        <f>MATCH(Auto_Sales_data___Copy[[#This Row],[Total_Orders_Per_Customer]],Table2[F-Cutoff],1)</f>
        <v>2</v>
      </c>
      <c r="Y2151" s="2">
        <f>MATCH(Auto_Sales_data___Copy[[#This Row],[Total_Sales_Per_Customer]],Table2[M-Cutoff],1)</f>
        <v>2</v>
      </c>
      <c r="Z2151" s="2" t="str">
        <f>Auto_Sales_data___Copy[[#This Row],[R-Score(1-5)]]&amp;Auto_Sales_data___Copy[[#This Row],[F-Score(1-5)]]&amp;Auto_Sales_data___Copy[[#This Row],[M-Score(1-5)]]</f>
        <v>222</v>
      </c>
      <c r="AA2151" s="2" t="str" cm="1">
        <f t="array" ref="AA21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1" s="2" t="str">
        <f>VLOOKUP(Auto_Sales_data___Copy[[#This Row],[Segment Name]],Table3[],2,FALSE)</f>
        <v>Re-Activation &amp; Re-Engagement</v>
      </c>
    </row>
    <row r="2152" spans="1:28" x14ac:dyDescent="0.25">
      <c r="A2152">
        <v>10131</v>
      </c>
      <c r="B2152">
        <v>35</v>
      </c>
      <c r="C2152">
        <v>67.14</v>
      </c>
      <c r="D2152">
        <v>5</v>
      </c>
      <c r="E2152">
        <v>2349.9</v>
      </c>
      <c r="F2152" s="1">
        <v>43267</v>
      </c>
      <c r="G2152" s="2" t="s">
        <v>19</v>
      </c>
      <c r="H2152" s="2" t="s">
        <v>607</v>
      </c>
      <c r="I2152">
        <v>68</v>
      </c>
      <c r="J2152" s="2" t="s">
        <v>678</v>
      </c>
      <c r="K2152" s="2" t="s">
        <v>609</v>
      </c>
      <c r="L2152" s="2" t="s">
        <v>610</v>
      </c>
      <c r="M2152" s="2" t="s">
        <v>611</v>
      </c>
      <c r="N2152" s="2" t="s">
        <v>550</v>
      </c>
      <c r="O2152" s="2" t="s">
        <v>612</v>
      </c>
      <c r="P2152" s="2" t="s">
        <v>27</v>
      </c>
      <c r="Q2152" s="2" t="s">
        <v>613</v>
      </c>
      <c r="R2152" s="2" t="s">
        <v>614</v>
      </c>
      <c r="S2152" s="2" t="s">
        <v>30</v>
      </c>
      <c r="T2152">
        <v>2404</v>
      </c>
      <c r="U2152">
        <f>VLOOKUP(Auto_Sales_data___Copy[[#This Row],[CUSTOMER_NAME]],$AF$2:$AH$90,2,FALSE)</f>
        <v>19</v>
      </c>
      <c r="V2152">
        <f>VLOOKUP(Auto_Sales_data___Copy[[#This Row],[CUSTOMER_NAME]],$AF$2:$AH$90,3,FALSE)</f>
        <v>57294.420000000006</v>
      </c>
      <c r="W2152" s="2">
        <f>6-MATCH(Auto_Sales_data___Copy[[#This Row],[DAYS_SINCE_LAST_ORDER]],Table2[R-Cutoff],1)</f>
        <v>2</v>
      </c>
      <c r="X2152" s="2">
        <f>MATCH(Auto_Sales_data___Copy[[#This Row],[Total_Orders_Per_Customer]],Table2[F-Cutoff],1)</f>
        <v>2</v>
      </c>
      <c r="Y2152" s="2">
        <f>MATCH(Auto_Sales_data___Copy[[#This Row],[Total_Sales_Per_Customer]],Table2[M-Cutoff],1)</f>
        <v>1</v>
      </c>
      <c r="Z2152" s="2" t="str">
        <f>Auto_Sales_data___Copy[[#This Row],[R-Score(1-5)]]&amp;Auto_Sales_data___Copy[[#This Row],[F-Score(1-5)]]&amp;Auto_Sales_data___Copy[[#This Row],[M-Score(1-5)]]</f>
        <v>221</v>
      </c>
      <c r="AA2152" s="2" t="str" cm="1">
        <f t="array" ref="AA21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2" s="2" t="str">
        <f>VLOOKUP(Auto_Sales_data___Copy[[#This Row],[Segment Name]],Table3[],2,FALSE)</f>
        <v>Re-Activation &amp; Re-Engagement</v>
      </c>
    </row>
    <row r="2153" spans="1:28" x14ac:dyDescent="0.25">
      <c r="A2153">
        <v>10131</v>
      </c>
      <c r="B2153">
        <v>29</v>
      </c>
      <c r="C2153">
        <v>59.18</v>
      </c>
      <c r="D2153">
        <v>6</v>
      </c>
      <c r="E2153">
        <v>1716.22</v>
      </c>
      <c r="F2153" s="1">
        <v>43267</v>
      </c>
      <c r="G2153" s="2" t="s">
        <v>19</v>
      </c>
      <c r="H2153" s="2" t="s">
        <v>589</v>
      </c>
      <c r="I2153">
        <v>65</v>
      </c>
      <c r="J2153" s="2" t="s">
        <v>684</v>
      </c>
      <c r="K2153" s="2" t="s">
        <v>609</v>
      </c>
      <c r="L2153" s="2" t="s">
        <v>610</v>
      </c>
      <c r="M2153" s="2" t="s">
        <v>611</v>
      </c>
      <c r="N2153" s="2" t="s">
        <v>550</v>
      </c>
      <c r="O2153" s="2" t="s">
        <v>612</v>
      </c>
      <c r="P2153" s="2" t="s">
        <v>27</v>
      </c>
      <c r="Q2153" s="2" t="s">
        <v>613</v>
      </c>
      <c r="R2153" s="2" t="s">
        <v>614</v>
      </c>
      <c r="S2153" s="2" t="s">
        <v>30</v>
      </c>
      <c r="T2153">
        <v>2550</v>
      </c>
      <c r="U2153">
        <f>VLOOKUP(Auto_Sales_data___Copy[[#This Row],[CUSTOMER_NAME]],$AF$2:$AH$90,2,FALSE)</f>
        <v>19</v>
      </c>
      <c r="V2153">
        <f>VLOOKUP(Auto_Sales_data___Copy[[#This Row],[CUSTOMER_NAME]],$AF$2:$AH$90,3,FALSE)</f>
        <v>57294.420000000006</v>
      </c>
      <c r="W2153" s="2">
        <f>6-MATCH(Auto_Sales_data___Copy[[#This Row],[DAYS_SINCE_LAST_ORDER]],Table2[R-Cutoff],1)</f>
        <v>2</v>
      </c>
      <c r="X2153" s="2">
        <f>MATCH(Auto_Sales_data___Copy[[#This Row],[Total_Orders_Per_Customer]],Table2[F-Cutoff],1)</f>
        <v>2</v>
      </c>
      <c r="Y2153" s="2">
        <f>MATCH(Auto_Sales_data___Copy[[#This Row],[Total_Sales_Per_Customer]],Table2[M-Cutoff],1)</f>
        <v>1</v>
      </c>
      <c r="Z2153" s="2" t="str">
        <f>Auto_Sales_data___Copy[[#This Row],[R-Score(1-5)]]&amp;Auto_Sales_data___Copy[[#This Row],[F-Score(1-5)]]&amp;Auto_Sales_data___Copy[[#This Row],[M-Score(1-5)]]</f>
        <v>221</v>
      </c>
      <c r="AA2153" s="2" t="str" cm="1">
        <f t="array" ref="AA21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3" s="2" t="str">
        <f>VLOOKUP(Auto_Sales_data___Copy[[#This Row],[Segment Name]],Table3[],2,FALSE)</f>
        <v>Re-Activation &amp; Re-Engagement</v>
      </c>
    </row>
    <row r="2154" spans="1:28" x14ac:dyDescent="0.25">
      <c r="A2154">
        <v>10193</v>
      </c>
      <c r="B2154">
        <v>26</v>
      </c>
      <c r="C2154">
        <v>29.21</v>
      </c>
      <c r="D2154">
        <v>10</v>
      </c>
      <c r="E2154">
        <v>759.46</v>
      </c>
      <c r="F2154" s="1">
        <v>43425</v>
      </c>
      <c r="G2154" s="2" t="s">
        <v>19</v>
      </c>
      <c r="H2154" s="2" t="s">
        <v>589</v>
      </c>
      <c r="I2154">
        <v>33</v>
      </c>
      <c r="J2154" s="2" t="s">
        <v>670</v>
      </c>
      <c r="K2154" s="2" t="s">
        <v>598</v>
      </c>
      <c r="L2154" s="2" t="s">
        <v>599</v>
      </c>
      <c r="M2154" s="2" t="s">
        <v>600</v>
      </c>
      <c r="N2154" s="2" t="s">
        <v>601</v>
      </c>
      <c r="O2154" s="2" t="s">
        <v>602</v>
      </c>
      <c r="P2154" s="2" t="s">
        <v>87</v>
      </c>
      <c r="Q2154" s="2" t="s">
        <v>603</v>
      </c>
      <c r="R2154" s="2" t="s">
        <v>604</v>
      </c>
      <c r="S2154" s="2" t="s">
        <v>30</v>
      </c>
      <c r="T2154">
        <v>2050</v>
      </c>
      <c r="U2154">
        <f>VLOOKUP(Auto_Sales_data___Copy[[#This Row],[CUSTOMER_NAME]],$AF$2:$AH$90,2,FALSE)</f>
        <v>23</v>
      </c>
      <c r="V2154">
        <f>VLOOKUP(Auto_Sales_data___Copy[[#This Row],[CUSTOMER_NAME]],$AF$2:$AH$90,3,FALSE)</f>
        <v>64591.460000000014</v>
      </c>
      <c r="W2154" s="2">
        <f>6-MATCH(Auto_Sales_data___Copy[[#This Row],[DAYS_SINCE_LAST_ORDER]],Table2[R-Cutoff],1)</f>
        <v>2</v>
      </c>
      <c r="X2154" s="2">
        <f>MATCH(Auto_Sales_data___Copy[[#This Row],[Total_Orders_Per_Customer]],Table2[F-Cutoff],1)</f>
        <v>2</v>
      </c>
      <c r="Y2154" s="2">
        <f>MATCH(Auto_Sales_data___Copy[[#This Row],[Total_Sales_Per_Customer]],Table2[M-Cutoff],1)</f>
        <v>1</v>
      </c>
      <c r="Z2154" s="2" t="str">
        <f>Auto_Sales_data___Copy[[#This Row],[R-Score(1-5)]]&amp;Auto_Sales_data___Copy[[#This Row],[F-Score(1-5)]]&amp;Auto_Sales_data___Copy[[#This Row],[M-Score(1-5)]]</f>
        <v>221</v>
      </c>
      <c r="AA2154" s="2" t="str" cm="1">
        <f t="array" ref="AA21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4" s="2" t="str">
        <f>VLOOKUP(Auto_Sales_data___Copy[[#This Row],[Segment Name]],Table3[],2,FALSE)</f>
        <v>Re-Activation &amp; Re-Engagement</v>
      </c>
    </row>
    <row r="2155" spans="1:28" x14ac:dyDescent="0.25">
      <c r="A2155">
        <v>10193</v>
      </c>
      <c r="B2155">
        <v>20</v>
      </c>
      <c r="C2155">
        <v>50.62</v>
      </c>
      <c r="D2155">
        <v>9</v>
      </c>
      <c r="E2155">
        <v>1012.4</v>
      </c>
      <c r="F2155" s="1">
        <v>43425</v>
      </c>
      <c r="G2155" s="2" t="s">
        <v>19</v>
      </c>
      <c r="H2155" s="2" t="s">
        <v>589</v>
      </c>
      <c r="I2155">
        <v>44</v>
      </c>
      <c r="J2155" s="2" t="s">
        <v>673</v>
      </c>
      <c r="K2155" s="2" t="s">
        <v>598</v>
      </c>
      <c r="L2155" s="2" t="s">
        <v>599</v>
      </c>
      <c r="M2155" s="2" t="s">
        <v>600</v>
      </c>
      <c r="N2155" s="2" t="s">
        <v>601</v>
      </c>
      <c r="O2155" s="2" t="s">
        <v>602</v>
      </c>
      <c r="P2155" s="2" t="s">
        <v>87</v>
      </c>
      <c r="Q2155" s="2" t="s">
        <v>603</v>
      </c>
      <c r="R2155" s="2" t="s">
        <v>604</v>
      </c>
      <c r="S2155" s="2" t="s">
        <v>30</v>
      </c>
      <c r="T2155">
        <v>2124</v>
      </c>
      <c r="U2155">
        <f>VLOOKUP(Auto_Sales_data___Copy[[#This Row],[CUSTOMER_NAME]],$AF$2:$AH$90,2,FALSE)</f>
        <v>23</v>
      </c>
      <c r="V2155">
        <f>VLOOKUP(Auto_Sales_data___Copy[[#This Row],[CUSTOMER_NAME]],$AF$2:$AH$90,3,FALSE)</f>
        <v>64591.460000000014</v>
      </c>
      <c r="W2155" s="2">
        <f>6-MATCH(Auto_Sales_data___Copy[[#This Row],[DAYS_SINCE_LAST_ORDER]],Table2[R-Cutoff],1)</f>
        <v>2</v>
      </c>
      <c r="X2155" s="2">
        <f>MATCH(Auto_Sales_data___Copy[[#This Row],[Total_Orders_Per_Customer]],Table2[F-Cutoff],1)</f>
        <v>2</v>
      </c>
      <c r="Y2155" s="2">
        <f>MATCH(Auto_Sales_data___Copy[[#This Row],[Total_Sales_Per_Customer]],Table2[M-Cutoff],1)</f>
        <v>1</v>
      </c>
      <c r="Z2155" s="2" t="str">
        <f>Auto_Sales_data___Copy[[#This Row],[R-Score(1-5)]]&amp;Auto_Sales_data___Copy[[#This Row],[F-Score(1-5)]]&amp;Auto_Sales_data___Copy[[#This Row],[M-Score(1-5)]]</f>
        <v>221</v>
      </c>
      <c r="AA2155" s="2" t="str" cm="1">
        <f t="array" ref="AA21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5" s="2" t="str">
        <f>VLOOKUP(Auto_Sales_data___Copy[[#This Row],[Segment Name]],Table3[],2,FALSE)</f>
        <v>Re-Activation &amp; Re-Engagement</v>
      </c>
    </row>
    <row r="2156" spans="1:28" x14ac:dyDescent="0.25">
      <c r="A2156">
        <v>10193</v>
      </c>
      <c r="B2156">
        <v>22</v>
      </c>
      <c r="C2156">
        <v>41.03</v>
      </c>
      <c r="D2156">
        <v>12</v>
      </c>
      <c r="E2156">
        <v>902.66</v>
      </c>
      <c r="F2156" s="1">
        <v>43425</v>
      </c>
      <c r="G2156" s="2" t="s">
        <v>19</v>
      </c>
      <c r="H2156" s="2" t="s">
        <v>589</v>
      </c>
      <c r="I2156">
        <v>41</v>
      </c>
      <c r="J2156" s="2" t="s">
        <v>689</v>
      </c>
      <c r="K2156" s="2" t="s">
        <v>598</v>
      </c>
      <c r="L2156" s="2" t="s">
        <v>599</v>
      </c>
      <c r="M2156" s="2" t="s">
        <v>600</v>
      </c>
      <c r="N2156" s="2" t="s">
        <v>601</v>
      </c>
      <c r="O2156" s="2" t="s">
        <v>602</v>
      </c>
      <c r="P2156" s="2" t="s">
        <v>87</v>
      </c>
      <c r="Q2156" s="2" t="s">
        <v>603</v>
      </c>
      <c r="R2156" s="2" t="s">
        <v>604</v>
      </c>
      <c r="S2156" s="2" t="s">
        <v>30</v>
      </c>
      <c r="T2156">
        <v>2523</v>
      </c>
      <c r="U2156">
        <f>VLOOKUP(Auto_Sales_data___Copy[[#This Row],[CUSTOMER_NAME]],$AF$2:$AH$90,2,FALSE)</f>
        <v>23</v>
      </c>
      <c r="V2156">
        <f>VLOOKUP(Auto_Sales_data___Copy[[#This Row],[CUSTOMER_NAME]],$AF$2:$AH$90,3,FALSE)</f>
        <v>64591.460000000014</v>
      </c>
      <c r="W2156" s="2">
        <f>6-MATCH(Auto_Sales_data___Copy[[#This Row],[DAYS_SINCE_LAST_ORDER]],Table2[R-Cutoff],1)</f>
        <v>2</v>
      </c>
      <c r="X2156" s="2">
        <f>MATCH(Auto_Sales_data___Copy[[#This Row],[Total_Orders_Per_Customer]],Table2[F-Cutoff],1)</f>
        <v>2</v>
      </c>
      <c r="Y2156" s="2">
        <f>MATCH(Auto_Sales_data___Copy[[#This Row],[Total_Sales_Per_Customer]],Table2[M-Cutoff],1)</f>
        <v>1</v>
      </c>
      <c r="Z2156" s="2" t="str">
        <f>Auto_Sales_data___Copy[[#This Row],[R-Score(1-5)]]&amp;Auto_Sales_data___Copy[[#This Row],[F-Score(1-5)]]&amp;Auto_Sales_data___Copy[[#This Row],[M-Score(1-5)]]</f>
        <v>221</v>
      </c>
      <c r="AA2156" s="2" t="str" cm="1">
        <f t="array" ref="AA21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6" s="2" t="str">
        <f>VLOOKUP(Auto_Sales_data___Copy[[#This Row],[Segment Name]],Table3[],2,FALSE)</f>
        <v>Re-Activation &amp; Re-Engagement</v>
      </c>
    </row>
    <row r="2157" spans="1:28" x14ac:dyDescent="0.25">
      <c r="A2157">
        <v>10353</v>
      </c>
      <c r="B2157">
        <v>35</v>
      </c>
      <c r="C2157">
        <v>89.9</v>
      </c>
      <c r="D2157">
        <v>3</v>
      </c>
      <c r="E2157">
        <v>3146.5</v>
      </c>
      <c r="F2157" s="1">
        <v>43803</v>
      </c>
      <c r="G2157" s="2" t="s">
        <v>19</v>
      </c>
      <c r="H2157" s="2" t="s">
        <v>607</v>
      </c>
      <c r="I2157">
        <v>72</v>
      </c>
      <c r="J2157" s="2" t="s">
        <v>692</v>
      </c>
      <c r="K2157" s="2" t="s">
        <v>609</v>
      </c>
      <c r="L2157" s="2" t="s">
        <v>610</v>
      </c>
      <c r="M2157" s="2" t="s">
        <v>611</v>
      </c>
      <c r="N2157" s="2" t="s">
        <v>550</v>
      </c>
      <c r="O2157" s="2" t="s">
        <v>612</v>
      </c>
      <c r="P2157" s="2" t="s">
        <v>27</v>
      </c>
      <c r="Q2157" s="2" t="s">
        <v>613</v>
      </c>
      <c r="R2157" s="2" t="s">
        <v>614</v>
      </c>
      <c r="S2157" s="2" t="s">
        <v>46</v>
      </c>
      <c r="T2157">
        <v>2227</v>
      </c>
      <c r="U2157">
        <f>VLOOKUP(Auto_Sales_data___Copy[[#This Row],[CUSTOMER_NAME]],$AF$2:$AH$90,2,FALSE)</f>
        <v>19</v>
      </c>
      <c r="V2157">
        <f>VLOOKUP(Auto_Sales_data___Copy[[#This Row],[CUSTOMER_NAME]],$AF$2:$AH$90,3,FALSE)</f>
        <v>57294.420000000006</v>
      </c>
      <c r="W2157" s="2">
        <f>6-MATCH(Auto_Sales_data___Copy[[#This Row],[DAYS_SINCE_LAST_ORDER]],Table2[R-Cutoff],1)</f>
        <v>2</v>
      </c>
      <c r="X2157" s="2">
        <f>MATCH(Auto_Sales_data___Copy[[#This Row],[Total_Orders_Per_Customer]],Table2[F-Cutoff],1)</f>
        <v>2</v>
      </c>
      <c r="Y2157" s="2">
        <f>MATCH(Auto_Sales_data___Copy[[#This Row],[Total_Sales_Per_Customer]],Table2[M-Cutoff],1)</f>
        <v>1</v>
      </c>
      <c r="Z2157" s="2" t="str">
        <f>Auto_Sales_data___Copy[[#This Row],[R-Score(1-5)]]&amp;Auto_Sales_data___Copy[[#This Row],[F-Score(1-5)]]&amp;Auto_Sales_data___Copy[[#This Row],[M-Score(1-5)]]</f>
        <v>221</v>
      </c>
      <c r="AA2157" s="2" t="str" cm="1">
        <f t="array" ref="AA21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7" s="2" t="str">
        <f>VLOOKUP(Auto_Sales_data___Copy[[#This Row],[Segment Name]],Table3[],2,FALSE)</f>
        <v>Re-Activation &amp; Re-Engagement</v>
      </c>
    </row>
    <row r="2158" spans="1:28" x14ac:dyDescent="0.25">
      <c r="A2158">
        <v>10353</v>
      </c>
      <c r="B2158">
        <v>46</v>
      </c>
      <c r="C2158">
        <v>81.17</v>
      </c>
      <c r="D2158">
        <v>5</v>
      </c>
      <c r="E2158">
        <v>3733.82</v>
      </c>
      <c r="F2158" s="1">
        <v>43803</v>
      </c>
      <c r="G2158" s="2" t="s">
        <v>19</v>
      </c>
      <c r="H2158" s="2" t="s">
        <v>20</v>
      </c>
      <c r="I2158">
        <v>99</v>
      </c>
      <c r="J2158" s="2" t="s">
        <v>695</v>
      </c>
      <c r="K2158" s="2" t="s">
        <v>609</v>
      </c>
      <c r="L2158" s="2" t="s">
        <v>610</v>
      </c>
      <c r="M2158" s="2" t="s">
        <v>611</v>
      </c>
      <c r="N2158" s="2" t="s">
        <v>550</v>
      </c>
      <c r="O2158" s="2" t="s">
        <v>612</v>
      </c>
      <c r="P2158" s="2" t="s">
        <v>27</v>
      </c>
      <c r="Q2158" s="2" t="s">
        <v>613</v>
      </c>
      <c r="R2158" s="2" t="s">
        <v>614</v>
      </c>
      <c r="S2158" s="2" t="s">
        <v>46</v>
      </c>
      <c r="T2158">
        <v>2302</v>
      </c>
      <c r="U2158">
        <f>VLOOKUP(Auto_Sales_data___Copy[[#This Row],[CUSTOMER_NAME]],$AF$2:$AH$90,2,FALSE)</f>
        <v>19</v>
      </c>
      <c r="V2158">
        <f>VLOOKUP(Auto_Sales_data___Copy[[#This Row],[CUSTOMER_NAME]],$AF$2:$AH$90,3,FALSE)</f>
        <v>57294.420000000006</v>
      </c>
      <c r="W2158" s="2">
        <f>6-MATCH(Auto_Sales_data___Copy[[#This Row],[DAYS_SINCE_LAST_ORDER]],Table2[R-Cutoff],1)</f>
        <v>2</v>
      </c>
      <c r="X2158" s="2">
        <f>MATCH(Auto_Sales_data___Copy[[#This Row],[Total_Orders_Per_Customer]],Table2[F-Cutoff],1)</f>
        <v>2</v>
      </c>
      <c r="Y2158" s="2">
        <f>MATCH(Auto_Sales_data___Copy[[#This Row],[Total_Sales_Per_Customer]],Table2[M-Cutoff],1)</f>
        <v>1</v>
      </c>
      <c r="Z2158" s="2" t="str">
        <f>Auto_Sales_data___Copy[[#This Row],[R-Score(1-5)]]&amp;Auto_Sales_data___Copy[[#This Row],[F-Score(1-5)]]&amp;Auto_Sales_data___Copy[[#This Row],[M-Score(1-5)]]</f>
        <v>221</v>
      </c>
      <c r="AA2158" s="2" t="str" cm="1">
        <f t="array" ref="AA21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8" s="2" t="str">
        <f>VLOOKUP(Auto_Sales_data___Copy[[#This Row],[Segment Name]],Table3[],2,FALSE)</f>
        <v>Re-Activation &amp; Re-Engagement</v>
      </c>
    </row>
    <row r="2159" spans="1:28" x14ac:dyDescent="0.25">
      <c r="A2159">
        <v>10353</v>
      </c>
      <c r="B2159">
        <v>40</v>
      </c>
      <c r="C2159">
        <v>44.51</v>
      </c>
      <c r="D2159">
        <v>7</v>
      </c>
      <c r="E2159">
        <v>1780.4</v>
      </c>
      <c r="F2159" s="1">
        <v>43803</v>
      </c>
      <c r="G2159" s="2" t="s">
        <v>19</v>
      </c>
      <c r="H2159" s="2" t="s">
        <v>589</v>
      </c>
      <c r="I2159">
        <v>68</v>
      </c>
      <c r="J2159" s="2" t="s">
        <v>700</v>
      </c>
      <c r="K2159" s="2" t="s">
        <v>609</v>
      </c>
      <c r="L2159" s="2" t="s">
        <v>610</v>
      </c>
      <c r="M2159" s="2" t="s">
        <v>611</v>
      </c>
      <c r="N2159" s="2" t="s">
        <v>550</v>
      </c>
      <c r="O2159" s="2" t="s">
        <v>612</v>
      </c>
      <c r="P2159" s="2" t="s">
        <v>27</v>
      </c>
      <c r="Q2159" s="2" t="s">
        <v>613</v>
      </c>
      <c r="R2159" s="2" t="s">
        <v>614</v>
      </c>
      <c r="S2159" s="2" t="s">
        <v>30</v>
      </c>
      <c r="T2159">
        <v>2429</v>
      </c>
      <c r="U2159">
        <f>VLOOKUP(Auto_Sales_data___Copy[[#This Row],[CUSTOMER_NAME]],$AF$2:$AH$90,2,FALSE)</f>
        <v>19</v>
      </c>
      <c r="V2159">
        <f>VLOOKUP(Auto_Sales_data___Copy[[#This Row],[CUSTOMER_NAME]],$AF$2:$AH$90,3,FALSE)</f>
        <v>57294.420000000006</v>
      </c>
      <c r="W2159" s="2">
        <f>6-MATCH(Auto_Sales_data___Copy[[#This Row],[DAYS_SINCE_LAST_ORDER]],Table2[R-Cutoff],1)</f>
        <v>2</v>
      </c>
      <c r="X2159" s="2">
        <f>MATCH(Auto_Sales_data___Copy[[#This Row],[Total_Orders_Per_Customer]],Table2[F-Cutoff],1)</f>
        <v>2</v>
      </c>
      <c r="Y2159" s="2">
        <f>MATCH(Auto_Sales_data___Copy[[#This Row],[Total_Sales_Per_Customer]],Table2[M-Cutoff],1)</f>
        <v>1</v>
      </c>
      <c r="Z2159" s="2" t="str">
        <f>Auto_Sales_data___Copy[[#This Row],[R-Score(1-5)]]&amp;Auto_Sales_data___Copy[[#This Row],[F-Score(1-5)]]&amp;Auto_Sales_data___Copy[[#This Row],[M-Score(1-5)]]</f>
        <v>221</v>
      </c>
      <c r="AA2159" s="2" t="str" cm="1">
        <f t="array" ref="AA21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9" s="2" t="str">
        <f>VLOOKUP(Auto_Sales_data___Copy[[#This Row],[Segment Name]],Table3[],2,FALSE)</f>
        <v>Re-Activation &amp; Re-Engagement</v>
      </c>
    </row>
    <row r="2160" spans="1:28" x14ac:dyDescent="0.25">
      <c r="A2160">
        <v>10353</v>
      </c>
      <c r="B2160">
        <v>40</v>
      </c>
      <c r="C2160">
        <v>82.21</v>
      </c>
      <c r="D2160">
        <v>8</v>
      </c>
      <c r="E2160">
        <v>3288.4</v>
      </c>
      <c r="F2160" s="1">
        <v>43803</v>
      </c>
      <c r="G2160" s="2" t="s">
        <v>19</v>
      </c>
      <c r="H2160" s="2" t="s">
        <v>589</v>
      </c>
      <c r="I2160">
        <v>43</v>
      </c>
      <c r="J2160" s="2" t="s">
        <v>702</v>
      </c>
      <c r="K2160" s="2" t="s">
        <v>609</v>
      </c>
      <c r="L2160" s="2" t="s">
        <v>610</v>
      </c>
      <c r="M2160" s="2" t="s">
        <v>611</v>
      </c>
      <c r="N2160" s="2" t="s">
        <v>550</v>
      </c>
      <c r="O2160" s="2" t="s">
        <v>612</v>
      </c>
      <c r="P2160" s="2" t="s">
        <v>27</v>
      </c>
      <c r="Q2160" s="2" t="s">
        <v>613</v>
      </c>
      <c r="R2160" s="2" t="s">
        <v>614</v>
      </c>
      <c r="S2160" s="2" t="s">
        <v>46</v>
      </c>
      <c r="T2160">
        <v>2479</v>
      </c>
      <c r="U2160">
        <f>VLOOKUP(Auto_Sales_data___Copy[[#This Row],[CUSTOMER_NAME]],$AF$2:$AH$90,2,FALSE)</f>
        <v>19</v>
      </c>
      <c r="V2160">
        <f>VLOOKUP(Auto_Sales_data___Copy[[#This Row],[CUSTOMER_NAME]],$AF$2:$AH$90,3,FALSE)</f>
        <v>57294.420000000006</v>
      </c>
      <c r="W2160" s="2">
        <f>6-MATCH(Auto_Sales_data___Copy[[#This Row],[DAYS_SINCE_LAST_ORDER]],Table2[R-Cutoff],1)</f>
        <v>2</v>
      </c>
      <c r="X2160" s="2">
        <f>MATCH(Auto_Sales_data___Copy[[#This Row],[Total_Orders_Per_Customer]],Table2[F-Cutoff],1)</f>
        <v>2</v>
      </c>
      <c r="Y2160" s="2">
        <f>MATCH(Auto_Sales_data___Copy[[#This Row],[Total_Sales_Per_Customer]],Table2[M-Cutoff],1)</f>
        <v>1</v>
      </c>
      <c r="Z2160" s="2" t="str">
        <f>Auto_Sales_data___Copy[[#This Row],[R-Score(1-5)]]&amp;Auto_Sales_data___Copy[[#This Row],[F-Score(1-5)]]&amp;Auto_Sales_data___Copy[[#This Row],[M-Score(1-5)]]</f>
        <v>221</v>
      </c>
      <c r="AA2160" s="2" t="str" cm="1">
        <f t="array" ref="AA21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0" s="2" t="str">
        <f>VLOOKUP(Auto_Sales_data___Copy[[#This Row],[Segment Name]],Table3[],2,FALSE)</f>
        <v>Re-Activation &amp; Re-Engagement</v>
      </c>
    </row>
    <row r="2161" spans="1:28" x14ac:dyDescent="0.25">
      <c r="A2161">
        <v>10415</v>
      </c>
      <c r="B2161">
        <v>32</v>
      </c>
      <c r="C2161">
        <v>95.95</v>
      </c>
      <c r="D2161">
        <v>4</v>
      </c>
      <c r="E2161">
        <v>3070.4</v>
      </c>
      <c r="F2161" s="1">
        <v>43960</v>
      </c>
      <c r="G2161" s="2" t="s">
        <v>174</v>
      </c>
      <c r="H2161" s="2" t="s">
        <v>642</v>
      </c>
      <c r="I2161">
        <v>90</v>
      </c>
      <c r="J2161" s="2" t="s">
        <v>709</v>
      </c>
      <c r="K2161" s="2" t="s">
        <v>598</v>
      </c>
      <c r="L2161" s="2" t="s">
        <v>599</v>
      </c>
      <c r="M2161" s="2" t="s">
        <v>600</v>
      </c>
      <c r="N2161" s="2" t="s">
        <v>601</v>
      </c>
      <c r="O2161" s="2" t="s">
        <v>602</v>
      </c>
      <c r="P2161" s="2" t="s">
        <v>87</v>
      </c>
      <c r="Q2161" s="2" t="s">
        <v>603</v>
      </c>
      <c r="R2161" s="2" t="s">
        <v>604</v>
      </c>
      <c r="S2161" s="2" t="s">
        <v>46</v>
      </c>
      <c r="T2161">
        <v>2508</v>
      </c>
      <c r="U2161">
        <f>VLOOKUP(Auto_Sales_data___Copy[[#This Row],[CUSTOMER_NAME]],$AF$2:$AH$90,2,FALSE)</f>
        <v>23</v>
      </c>
      <c r="V2161">
        <f>VLOOKUP(Auto_Sales_data___Copy[[#This Row],[CUSTOMER_NAME]],$AF$2:$AH$90,3,FALSE)</f>
        <v>64591.460000000014</v>
      </c>
      <c r="W2161" s="2">
        <f>6-MATCH(Auto_Sales_data___Copy[[#This Row],[DAYS_SINCE_LAST_ORDER]],Table2[R-Cutoff],1)</f>
        <v>2</v>
      </c>
      <c r="X2161" s="2">
        <f>MATCH(Auto_Sales_data___Copy[[#This Row],[Total_Orders_Per_Customer]],Table2[F-Cutoff],1)</f>
        <v>2</v>
      </c>
      <c r="Y2161" s="2">
        <f>MATCH(Auto_Sales_data___Copy[[#This Row],[Total_Sales_Per_Customer]],Table2[M-Cutoff],1)</f>
        <v>1</v>
      </c>
      <c r="Z2161" s="2" t="str">
        <f>Auto_Sales_data___Copy[[#This Row],[R-Score(1-5)]]&amp;Auto_Sales_data___Copy[[#This Row],[F-Score(1-5)]]&amp;Auto_Sales_data___Copy[[#This Row],[M-Score(1-5)]]</f>
        <v>221</v>
      </c>
      <c r="AA2161" s="2" t="str" cm="1">
        <f t="array" ref="AA21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1" s="2" t="str">
        <f>VLOOKUP(Auto_Sales_data___Copy[[#This Row],[Segment Name]],Table3[],2,FALSE)</f>
        <v>Re-Activation &amp; Re-Engagement</v>
      </c>
    </row>
    <row r="2162" spans="1:28" x14ac:dyDescent="0.25">
      <c r="A2162">
        <v>10245</v>
      </c>
      <c r="B2162">
        <v>37</v>
      </c>
      <c r="C2162">
        <v>111.72</v>
      </c>
      <c r="D2162">
        <v>1</v>
      </c>
      <c r="E2162">
        <v>4133.6400000000003</v>
      </c>
      <c r="F2162" s="1">
        <v>43589</v>
      </c>
      <c r="G2162" s="2" t="s">
        <v>19</v>
      </c>
      <c r="H2162" s="2" t="s">
        <v>537</v>
      </c>
      <c r="I2162">
        <v>96</v>
      </c>
      <c r="J2162" s="2" t="s">
        <v>694</v>
      </c>
      <c r="K2162" s="2" t="s">
        <v>249</v>
      </c>
      <c r="L2162" s="2" t="s">
        <v>250</v>
      </c>
      <c r="M2162" s="2" t="s">
        <v>251</v>
      </c>
      <c r="N2162" s="2" t="s">
        <v>252</v>
      </c>
      <c r="O2162" s="2" t="s">
        <v>253</v>
      </c>
      <c r="P2162" s="2" t="s">
        <v>27</v>
      </c>
      <c r="Q2162" s="2" t="s">
        <v>254</v>
      </c>
      <c r="R2162" s="2" t="s">
        <v>255</v>
      </c>
      <c r="S2162" s="2" t="s">
        <v>46</v>
      </c>
      <c r="T2162">
        <v>2483</v>
      </c>
      <c r="U2162">
        <f>VLOOKUP(Auto_Sales_data___Copy[[#This Row],[CUSTOMER_NAME]],$AF$2:$AH$90,2,FALSE)</f>
        <v>17</v>
      </c>
      <c r="V2162">
        <f>VLOOKUP(Auto_Sales_data___Copy[[#This Row],[CUSTOMER_NAME]],$AF$2:$AH$90,3,FALSE)</f>
        <v>79472.070000000007</v>
      </c>
      <c r="W2162" s="2">
        <f>6-MATCH(Auto_Sales_data___Copy[[#This Row],[DAYS_SINCE_LAST_ORDER]],Table2[R-Cutoff],1)</f>
        <v>2</v>
      </c>
      <c r="X2162" s="2">
        <f>MATCH(Auto_Sales_data___Copy[[#This Row],[Total_Orders_Per_Customer]],Table2[F-Cutoff],1)</f>
        <v>1</v>
      </c>
      <c r="Y2162" s="2">
        <f>MATCH(Auto_Sales_data___Copy[[#This Row],[Total_Sales_Per_Customer]],Table2[M-Cutoff],1)</f>
        <v>2</v>
      </c>
      <c r="Z2162" s="2" t="str">
        <f>Auto_Sales_data___Copy[[#This Row],[R-Score(1-5)]]&amp;Auto_Sales_data___Copy[[#This Row],[F-Score(1-5)]]&amp;Auto_Sales_data___Copy[[#This Row],[M-Score(1-5)]]</f>
        <v>212</v>
      </c>
      <c r="AA2162" s="2" t="str" cm="1">
        <f t="array" ref="AA21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2" s="2" t="str">
        <f>VLOOKUP(Auto_Sales_data___Copy[[#This Row],[Segment Name]],Table3[],2,FALSE)</f>
        <v>Re-Activation &amp; Re-Engagement</v>
      </c>
    </row>
    <row r="2163" spans="1:28" x14ac:dyDescent="0.25">
      <c r="A2163">
        <v>10123</v>
      </c>
      <c r="B2163">
        <v>50</v>
      </c>
      <c r="C2163">
        <v>59.87</v>
      </c>
      <c r="D2163">
        <v>1</v>
      </c>
      <c r="E2163">
        <v>2993.5</v>
      </c>
      <c r="F2163" s="1">
        <v>43240</v>
      </c>
      <c r="G2163" s="2" t="s">
        <v>19</v>
      </c>
      <c r="H2163" s="2" t="s">
        <v>183</v>
      </c>
      <c r="I2163">
        <v>50</v>
      </c>
      <c r="J2163" s="2" t="s">
        <v>668</v>
      </c>
      <c r="K2163" s="2" t="s">
        <v>327</v>
      </c>
      <c r="L2163" s="2" t="s">
        <v>328</v>
      </c>
      <c r="M2163" s="2" t="s">
        <v>329</v>
      </c>
      <c r="N2163" s="2" t="s">
        <v>111</v>
      </c>
      <c r="O2163" s="2" t="s">
        <v>112</v>
      </c>
      <c r="P2163" s="2" t="s">
        <v>36</v>
      </c>
      <c r="Q2163" s="2" t="s">
        <v>330</v>
      </c>
      <c r="R2163" s="2" t="s">
        <v>331</v>
      </c>
      <c r="S2163" s="2" t="s">
        <v>30</v>
      </c>
      <c r="T2163">
        <v>2183</v>
      </c>
      <c r="U2163">
        <f>VLOOKUP(Auto_Sales_data___Copy[[#This Row],[CUSTOMER_NAME]],$AF$2:$AH$90,2,FALSE)</f>
        <v>7</v>
      </c>
      <c r="V2163">
        <f>VLOOKUP(Auto_Sales_data___Copy[[#This Row],[CUSTOMER_NAME]],$AF$2:$AH$90,3,FALSE)</f>
        <v>24179.96</v>
      </c>
      <c r="W2163" s="2">
        <f>6-MATCH(Auto_Sales_data___Copy[[#This Row],[DAYS_SINCE_LAST_ORDER]],Table2[R-Cutoff],1)</f>
        <v>2</v>
      </c>
      <c r="X2163" s="2">
        <f>MATCH(Auto_Sales_data___Copy[[#This Row],[Total_Orders_Per_Customer]],Table2[F-Cutoff],1)</f>
        <v>1</v>
      </c>
      <c r="Y2163" s="2">
        <f>MATCH(Auto_Sales_data___Copy[[#This Row],[Total_Sales_Per_Customer]],Table2[M-Cutoff],1)</f>
        <v>1</v>
      </c>
      <c r="Z2163" s="2" t="str">
        <f>Auto_Sales_data___Copy[[#This Row],[R-Score(1-5)]]&amp;Auto_Sales_data___Copy[[#This Row],[F-Score(1-5)]]&amp;Auto_Sales_data___Copy[[#This Row],[M-Score(1-5)]]</f>
        <v>211</v>
      </c>
      <c r="AA2163" s="2" t="str" cm="1">
        <f t="array" ref="AA21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3" s="2" t="str">
        <f>VLOOKUP(Auto_Sales_data___Copy[[#This Row],[Segment Name]],Table3[],2,FALSE)</f>
        <v>Re-Activation &amp; Re-Engagement</v>
      </c>
    </row>
    <row r="2164" spans="1:28" x14ac:dyDescent="0.25">
      <c r="A2164">
        <v>10149</v>
      </c>
      <c r="B2164">
        <v>36</v>
      </c>
      <c r="C2164">
        <v>33.19</v>
      </c>
      <c r="D2164">
        <v>7</v>
      </c>
      <c r="E2164">
        <v>1194.8399999999999</v>
      </c>
      <c r="F2164" s="1">
        <v>43355</v>
      </c>
      <c r="G2164" s="2" t="s">
        <v>19</v>
      </c>
      <c r="H2164" s="2" t="s">
        <v>589</v>
      </c>
      <c r="I2164">
        <v>33</v>
      </c>
      <c r="J2164" s="2" t="s">
        <v>670</v>
      </c>
      <c r="K2164" s="2" t="s">
        <v>562</v>
      </c>
      <c r="L2164" s="2" t="s">
        <v>563</v>
      </c>
      <c r="M2164" s="2" t="s">
        <v>564</v>
      </c>
      <c r="N2164" s="2" t="s">
        <v>565</v>
      </c>
      <c r="O2164" s="2" t="s">
        <v>58</v>
      </c>
      <c r="P2164" s="2" t="s">
        <v>27</v>
      </c>
      <c r="Q2164" s="2" t="s">
        <v>566</v>
      </c>
      <c r="R2164" s="2" t="s">
        <v>422</v>
      </c>
      <c r="S2164" s="2" t="s">
        <v>30</v>
      </c>
      <c r="T2164">
        <v>2117</v>
      </c>
      <c r="U2164">
        <f>VLOOKUP(Auto_Sales_data___Copy[[#This Row],[CUSTOMER_NAME]],$AF$2:$AH$90,2,FALSE)</f>
        <v>15</v>
      </c>
      <c r="V2164">
        <f>VLOOKUP(Auto_Sales_data___Copy[[#This Row],[CUSTOMER_NAME]],$AF$2:$AH$90,3,FALSE)</f>
        <v>50218.51</v>
      </c>
      <c r="W2164" s="2">
        <f>6-MATCH(Auto_Sales_data___Copy[[#This Row],[DAYS_SINCE_LAST_ORDER]],Table2[R-Cutoff],1)</f>
        <v>2</v>
      </c>
      <c r="X2164" s="2">
        <f>MATCH(Auto_Sales_data___Copy[[#This Row],[Total_Orders_Per_Customer]],Table2[F-Cutoff],1)</f>
        <v>1</v>
      </c>
      <c r="Y2164" s="2">
        <f>MATCH(Auto_Sales_data___Copy[[#This Row],[Total_Sales_Per_Customer]],Table2[M-Cutoff],1)</f>
        <v>1</v>
      </c>
      <c r="Z2164" s="2" t="str">
        <f>Auto_Sales_data___Copy[[#This Row],[R-Score(1-5)]]&amp;Auto_Sales_data___Copy[[#This Row],[F-Score(1-5)]]&amp;Auto_Sales_data___Copy[[#This Row],[M-Score(1-5)]]</f>
        <v>211</v>
      </c>
      <c r="AA2164" s="2" t="str" cm="1">
        <f t="array" ref="AA21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4" s="2" t="str">
        <f>VLOOKUP(Auto_Sales_data___Copy[[#This Row],[Segment Name]],Table3[],2,FALSE)</f>
        <v>Re-Activation &amp; Re-Engagement</v>
      </c>
    </row>
    <row r="2165" spans="1:28" x14ac:dyDescent="0.25">
      <c r="A2165">
        <v>10149</v>
      </c>
      <c r="B2165">
        <v>49</v>
      </c>
      <c r="C2165">
        <v>49.28</v>
      </c>
      <c r="D2165">
        <v>6</v>
      </c>
      <c r="E2165">
        <v>2414.7199999999998</v>
      </c>
      <c r="F2165" s="1">
        <v>43355</v>
      </c>
      <c r="G2165" s="2" t="s">
        <v>19</v>
      </c>
      <c r="H2165" s="2" t="s">
        <v>589</v>
      </c>
      <c r="I2165">
        <v>44</v>
      </c>
      <c r="J2165" s="2" t="s">
        <v>673</v>
      </c>
      <c r="K2165" s="2" t="s">
        <v>562</v>
      </c>
      <c r="L2165" s="2" t="s">
        <v>563</v>
      </c>
      <c r="M2165" s="2" t="s">
        <v>564</v>
      </c>
      <c r="N2165" s="2" t="s">
        <v>565</v>
      </c>
      <c r="O2165" s="2" t="s">
        <v>58</v>
      </c>
      <c r="P2165" s="2" t="s">
        <v>27</v>
      </c>
      <c r="Q2165" s="2" t="s">
        <v>566</v>
      </c>
      <c r="R2165" s="2" t="s">
        <v>422</v>
      </c>
      <c r="S2165" s="2" t="s">
        <v>30</v>
      </c>
      <c r="T2165">
        <v>2191</v>
      </c>
      <c r="U2165">
        <f>VLOOKUP(Auto_Sales_data___Copy[[#This Row],[CUSTOMER_NAME]],$AF$2:$AH$90,2,FALSE)</f>
        <v>15</v>
      </c>
      <c r="V2165">
        <f>VLOOKUP(Auto_Sales_data___Copy[[#This Row],[CUSTOMER_NAME]],$AF$2:$AH$90,3,FALSE)</f>
        <v>50218.51</v>
      </c>
      <c r="W2165" s="2">
        <f>6-MATCH(Auto_Sales_data___Copy[[#This Row],[DAYS_SINCE_LAST_ORDER]],Table2[R-Cutoff],1)</f>
        <v>2</v>
      </c>
      <c r="X2165" s="2">
        <f>MATCH(Auto_Sales_data___Copy[[#This Row],[Total_Orders_Per_Customer]],Table2[F-Cutoff],1)</f>
        <v>1</v>
      </c>
      <c r="Y2165" s="2">
        <f>MATCH(Auto_Sales_data___Copy[[#This Row],[Total_Sales_Per_Customer]],Table2[M-Cutoff],1)</f>
        <v>1</v>
      </c>
      <c r="Z2165" s="2" t="str">
        <f>Auto_Sales_data___Copy[[#This Row],[R-Score(1-5)]]&amp;Auto_Sales_data___Copy[[#This Row],[F-Score(1-5)]]&amp;Auto_Sales_data___Copy[[#This Row],[M-Score(1-5)]]</f>
        <v>211</v>
      </c>
      <c r="AA2165" s="2" t="str" cm="1">
        <f t="array" ref="AA21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5" s="2" t="str">
        <f>VLOOKUP(Auto_Sales_data___Copy[[#This Row],[Segment Name]],Table3[],2,FALSE)</f>
        <v>Re-Activation &amp; Re-Engagement</v>
      </c>
    </row>
    <row r="2166" spans="1:28" x14ac:dyDescent="0.25">
      <c r="A2166">
        <v>10154</v>
      </c>
      <c r="B2166">
        <v>31</v>
      </c>
      <c r="C2166">
        <v>91.17</v>
      </c>
      <c r="D2166">
        <v>2</v>
      </c>
      <c r="E2166">
        <v>2826.27</v>
      </c>
      <c r="F2166" s="1">
        <v>43375</v>
      </c>
      <c r="G2166" s="2" t="s">
        <v>19</v>
      </c>
      <c r="H2166" s="2" t="s">
        <v>589</v>
      </c>
      <c r="I2166">
        <v>88</v>
      </c>
      <c r="J2166" s="2" t="s">
        <v>681</v>
      </c>
      <c r="K2166" s="2" t="s">
        <v>547</v>
      </c>
      <c r="L2166" s="2" t="s">
        <v>548</v>
      </c>
      <c r="M2166" s="2" t="s">
        <v>549</v>
      </c>
      <c r="N2166" s="2" t="s">
        <v>550</v>
      </c>
      <c r="O2166" s="2" t="s">
        <v>551</v>
      </c>
      <c r="P2166" s="2" t="s">
        <v>27</v>
      </c>
      <c r="Q2166" s="2" t="s">
        <v>52</v>
      </c>
      <c r="R2166" s="2" t="s">
        <v>255</v>
      </c>
      <c r="S2166" s="2" t="s">
        <v>30</v>
      </c>
      <c r="T2166">
        <v>2371</v>
      </c>
      <c r="U2166">
        <f>VLOOKUP(Auto_Sales_data___Copy[[#This Row],[CUSTOMER_NAME]],$AF$2:$AH$90,2,FALSE)</f>
        <v>3</v>
      </c>
      <c r="V2166">
        <f>VLOOKUP(Auto_Sales_data___Copy[[#This Row],[CUSTOMER_NAME]],$AF$2:$AH$90,3,FALSE)</f>
        <v>9129.3499999999985</v>
      </c>
      <c r="W2166" s="2">
        <f>6-MATCH(Auto_Sales_data___Copy[[#This Row],[DAYS_SINCE_LAST_ORDER]],Table2[R-Cutoff],1)</f>
        <v>2</v>
      </c>
      <c r="X2166" s="2">
        <f>MATCH(Auto_Sales_data___Copy[[#This Row],[Total_Orders_Per_Customer]],Table2[F-Cutoff],1)</f>
        <v>1</v>
      </c>
      <c r="Y2166" s="2">
        <f>MATCH(Auto_Sales_data___Copy[[#This Row],[Total_Sales_Per_Customer]],Table2[M-Cutoff],1)</f>
        <v>1</v>
      </c>
      <c r="Z2166" s="2" t="str">
        <f>Auto_Sales_data___Copy[[#This Row],[R-Score(1-5)]]&amp;Auto_Sales_data___Copy[[#This Row],[F-Score(1-5)]]&amp;Auto_Sales_data___Copy[[#This Row],[M-Score(1-5)]]</f>
        <v>211</v>
      </c>
      <c r="AA2166" s="2" t="str" cm="1">
        <f t="array" ref="AA21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6" s="2" t="str">
        <f>VLOOKUP(Auto_Sales_data___Copy[[#This Row],[Segment Name]],Table3[],2,FALSE)</f>
        <v>Re-Activation &amp; Re-Engagement</v>
      </c>
    </row>
    <row r="2167" spans="1:28" x14ac:dyDescent="0.25">
      <c r="A2167">
        <v>10170</v>
      </c>
      <c r="B2167">
        <v>34</v>
      </c>
      <c r="C2167">
        <v>112.34</v>
      </c>
      <c r="D2167">
        <v>1</v>
      </c>
      <c r="E2167">
        <v>3819.56</v>
      </c>
      <c r="F2167" s="1">
        <v>43408</v>
      </c>
      <c r="G2167" s="2" t="s">
        <v>19</v>
      </c>
      <c r="H2167" s="2" t="s">
        <v>183</v>
      </c>
      <c r="I2167">
        <v>140</v>
      </c>
      <c r="J2167" s="2" t="s">
        <v>687</v>
      </c>
      <c r="K2167" s="2" t="s">
        <v>432</v>
      </c>
      <c r="L2167" s="2" t="s">
        <v>433</v>
      </c>
      <c r="M2167" s="2" t="s">
        <v>434</v>
      </c>
      <c r="N2167" s="2" t="s">
        <v>435</v>
      </c>
      <c r="O2167" s="2" t="s">
        <v>436</v>
      </c>
      <c r="P2167" s="2" t="s">
        <v>148</v>
      </c>
      <c r="Q2167" s="2" t="s">
        <v>437</v>
      </c>
      <c r="R2167" s="2" t="s">
        <v>438</v>
      </c>
      <c r="S2167" s="2" t="s">
        <v>46</v>
      </c>
      <c r="T2167">
        <v>2485</v>
      </c>
      <c r="U2167">
        <f>VLOOKUP(Auto_Sales_data___Copy[[#This Row],[CUSTOMER_NAME]],$AF$2:$AH$90,2,FALSE)</f>
        <v>15</v>
      </c>
      <c r="V2167">
        <f>VLOOKUP(Auto_Sales_data___Copy[[#This Row],[CUSTOMER_NAME]],$AF$2:$AH$90,3,FALSE)</f>
        <v>52263.899999999994</v>
      </c>
      <c r="W2167" s="2">
        <f>6-MATCH(Auto_Sales_data___Copy[[#This Row],[DAYS_SINCE_LAST_ORDER]],Table2[R-Cutoff],1)</f>
        <v>2</v>
      </c>
      <c r="X2167" s="2">
        <f>MATCH(Auto_Sales_data___Copy[[#This Row],[Total_Orders_Per_Customer]],Table2[F-Cutoff],1)</f>
        <v>1</v>
      </c>
      <c r="Y2167" s="2">
        <f>MATCH(Auto_Sales_data___Copy[[#This Row],[Total_Sales_Per_Customer]],Table2[M-Cutoff],1)</f>
        <v>1</v>
      </c>
      <c r="Z2167" s="2" t="str">
        <f>Auto_Sales_data___Copy[[#This Row],[R-Score(1-5)]]&amp;Auto_Sales_data___Copy[[#This Row],[F-Score(1-5)]]&amp;Auto_Sales_data___Copy[[#This Row],[M-Score(1-5)]]</f>
        <v>211</v>
      </c>
      <c r="AA2167" s="2" t="str" cm="1">
        <f t="array" ref="AA21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7" s="2" t="str">
        <f>VLOOKUP(Auto_Sales_data___Copy[[#This Row],[Segment Name]],Table3[],2,FALSE)</f>
        <v>Re-Activation &amp; Re-Engagement</v>
      </c>
    </row>
    <row r="2168" spans="1:28" x14ac:dyDescent="0.25">
      <c r="A2168">
        <v>10177</v>
      </c>
      <c r="B2168">
        <v>50</v>
      </c>
      <c r="C2168">
        <v>121.66</v>
      </c>
      <c r="D2168">
        <v>7</v>
      </c>
      <c r="E2168">
        <v>6083</v>
      </c>
      <c r="F2168" s="1">
        <v>43411</v>
      </c>
      <c r="G2168" s="2" t="s">
        <v>19</v>
      </c>
      <c r="H2168" s="2" t="s">
        <v>642</v>
      </c>
      <c r="I2168">
        <v>122</v>
      </c>
      <c r="J2168" s="2" t="s">
        <v>672</v>
      </c>
      <c r="K2168" s="2" t="s">
        <v>518</v>
      </c>
      <c r="L2168" s="2" t="s">
        <v>519</v>
      </c>
      <c r="M2168" s="2" t="s">
        <v>520</v>
      </c>
      <c r="N2168" s="2" t="s">
        <v>178</v>
      </c>
      <c r="O2168" s="2" t="s">
        <v>196</v>
      </c>
      <c r="P2168" s="2" t="s">
        <v>180</v>
      </c>
      <c r="Q2168" s="2" t="s">
        <v>521</v>
      </c>
      <c r="R2168" s="2" t="s">
        <v>522</v>
      </c>
      <c r="S2168" s="2" t="s">
        <v>46</v>
      </c>
      <c r="T2168">
        <v>2113</v>
      </c>
      <c r="U2168">
        <f>VLOOKUP(Auto_Sales_data___Copy[[#This Row],[CUSTOMER_NAME]],$AF$2:$AH$90,2,FALSE)</f>
        <v>13</v>
      </c>
      <c r="V2168">
        <f>VLOOKUP(Auto_Sales_data___Copy[[#This Row],[CUSTOMER_NAME]],$AF$2:$AH$90,3,FALSE)</f>
        <v>49642.05</v>
      </c>
      <c r="W2168" s="2">
        <f>6-MATCH(Auto_Sales_data___Copy[[#This Row],[DAYS_SINCE_LAST_ORDER]],Table2[R-Cutoff],1)</f>
        <v>2</v>
      </c>
      <c r="X2168" s="2">
        <f>MATCH(Auto_Sales_data___Copy[[#This Row],[Total_Orders_Per_Customer]],Table2[F-Cutoff],1)</f>
        <v>1</v>
      </c>
      <c r="Y2168" s="2">
        <f>MATCH(Auto_Sales_data___Copy[[#This Row],[Total_Sales_Per_Customer]],Table2[M-Cutoff],1)</f>
        <v>1</v>
      </c>
      <c r="Z2168" s="2" t="str">
        <f>Auto_Sales_data___Copy[[#This Row],[R-Score(1-5)]]&amp;Auto_Sales_data___Copy[[#This Row],[F-Score(1-5)]]&amp;Auto_Sales_data___Copy[[#This Row],[M-Score(1-5)]]</f>
        <v>211</v>
      </c>
      <c r="AA2168" s="2" t="str" cm="1">
        <f t="array" ref="AA21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8" s="2" t="str">
        <f>VLOOKUP(Auto_Sales_data___Copy[[#This Row],[Segment Name]],Table3[],2,FALSE)</f>
        <v>Re-Activation &amp; Re-Engagement</v>
      </c>
    </row>
    <row r="2169" spans="1:28" x14ac:dyDescent="0.25">
      <c r="A2169">
        <v>10177</v>
      </c>
      <c r="B2169">
        <v>45</v>
      </c>
      <c r="C2169">
        <v>72.58</v>
      </c>
      <c r="D2169">
        <v>2</v>
      </c>
      <c r="E2169">
        <v>3266.1</v>
      </c>
      <c r="F2169" s="1">
        <v>43411</v>
      </c>
      <c r="G2169" s="2" t="s">
        <v>19</v>
      </c>
      <c r="H2169" s="2" t="s">
        <v>589</v>
      </c>
      <c r="I2169">
        <v>88</v>
      </c>
      <c r="J2169" s="2" t="s">
        <v>681</v>
      </c>
      <c r="K2169" s="2" t="s">
        <v>518</v>
      </c>
      <c r="L2169" s="2" t="s">
        <v>519</v>
      </c>
      <c r="M2169" s="2" t="s">
        <v>520</v>
      </c>
      <c r="N2169" s="2" t="s">
        <v>178</v>
      </c>
      <c r="O2169" s="2" t="s">
        <v>196</v>
      </c>
      <c r="P2169" s="2" t="s">
        <v>180</v>
      </c>
      <c r="Q2169" s="2" t="s">
        <v>521</v>
      </c>
      <c r="R2169" s="2" t="s">
        <v>522</v>
      </c>
      <c r="S2169" s="2" t="s">
        <v>46</v>
      </c>
      <c r="T2169">
        <v>2337</v>
      </c>
      <c r="U2169">
        <f>VLOOKUP(Auto_Sales_data___Copy[[#This Row],[CUSTOMER_NAME]],$AF$2:$AH$90,2,FALSE)</f>
        <v>13</v>
      </c>
      <c r="V2169">
        <f>VLOOKUP(Auto_Sales_data___Copy[[#This Row],[CUSTOMER_NAME]],$AF$2:$AH$90,3,FALSE)</f>
        <v>49642.05</v>
      </c>
      <c r="W2169" s="2">
        <f>6-MATCH(Auto_Sales_data___Copy[[#This Row],[DAYS_SINCE_LAST_ORDER]],Table2[R-Cutoff],1)</f>
        <v>2</v>
      </c>
      <c r="X2169" s="2">
        <f>MATCH(Auto_Sales_data___Copy[[#This Row],[Total_Orders_Per_Customer]],Table2[F-Cutoff],1)</f>
        <v>1</v>
      </c>
      <c r="Y2169" s="2">
        <f>MATCH(Auto_Sales_data___Copy[[#This Row],[Total_Sales_Per_Customer]],Table2[M-Cutoff],1)</f>
        <v>1</v>
      </c>
      <c r="Z2169" s="2" t="str">
        <f>Auto_Sales_data___Copy[[#This Row],[R-Score(1-5)]]&amp;Auto_Sales_data___Copy[[#This Row],[F-Score(1-5)]]&amp;Auto_Sales_data___Copy[[#This Row],[M-Score(1-5)]]</f>
        <v>211</v>
      </c>
      <c r="AA2169" s="2" t="str" cm="1">
        <f t="array" ref="AA21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9" s="2" t="str">
        <f>VLOOKUP(Auto_Sales_data___Copy[[#This Row],[Segment Name]],Table3[],2,FALSE)</f>
        <v>Re-Activation &amp; Re-Engagement</v>
      </c>
    </row>
    <row r="2170" spans="1:28" x14ac:dyDescent="0.25">
      <c r="A2170">
        <v>10184</v>
      </c>
      <c r="B2170">
        <v>24</v>
      </c>
      <c r="C2170">
        <v>145.68</v>
      </c>
      <c r="D2170">
        <v>11</v>
      </c>
      <c r="E2170">
        <v>3496.32</v>
      </c>
      <c r="F2170" s="1">
        <v>43418</v>
      </c>
      <c r="G2170" s="2" t="s">
        <v>19</v>
      </c>
      <c r="H2170" s="2" t="s">
        <v>537</v>
      </c>
      <c r="I2170">
        <v>127</v>
      </c>
      <c r="J2170" s="2" t="s">
        <v>674</v>
      </c>
      <c r="K2170" s="2" t="s">
        <v>555</v>
      </c>
      <c r="L2170" s="2" t="s">
        <v>556</v>
      </c>
      <c r="M2170" s="2" t="s">
        <v>557</v>
      </c>
      <c r="N2170" s="2" t="s">
        <v>558</v>
      </c>
      <c r="O2170" s="2" t="s">
        <v>559</v>
      </c>
      <c r="P2170" s="2" t="s">
        <v>180</v>
      </c>
      <c r="Q2170" s="2" t="s">
        <v>560</v>
      </c>
      <c r="R2170" s="2" t="s">
        <v>561</v>
      </c>
      <c r="S2170" s="2" t="s">
        <v>46</v>
      </c>
      <c r="T2170">
        <v>2156</v>
      </c>
      <c r="U2170">
        <f>VLOOKUP(Auto_Sales_data___Copy[[#This Row],[CUSTOMER_NAME]],$AF$2:$AH$90,2,FALSE)</f>
        <v>15</v>
      </c>
      <c r="V2170">
        <f>VLOOKUP(Auto_Sales_data___Copy[[#This Row],[CUSTOMER_NAME]],$AF$2:$AH$90,3,FALSE)</f>
        <v>54723.62</v>
      </c>
      <c r="W2170" s="2">
        <f>6-MATCH(Auto_Sales_data___Copy[[#This Row],[DAYS_SINCE_LAST_ORDER]],Table2[R-Cutoff],1)</f>
        <v>2</v>
      </c>
      <c r="X2170" s="2">
        <f>MATCH(Auto_Sales_data___Copy[[#This Row],[Total_Orders_Per_Customer]],Table2[F-Cutoff],1)</f>
        <v>1</v>
      </c>
      <c r="Y2170" s="2">
        <f>MATCH(Auto_Sales_data___Copy[[#This Row],[Total_Sales_Per_Customer]],Table2[M-Cutoff],1)</f>
        <v>1</v>
      </c>
      <c r="Z2170" s="2" t="str">
        <f>Auto_Sales_data___Copy[[#This Row],[R-Score(1-5)]]&amp;Auto_Sales_data___Copy[[#This Row],[F-Score(1-5)]]&amp;Auto_Sales_data___Copy[[#This Row],[M-Score(1-5)]]</f>
        <v>211</v>
      </c>
      <c r="AA2170" s="2" t="str" cm="1">
        <f t="array" ref="AA21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0" s="2" t="str">
        <f>VLOOKUP(Auto_Sales_data___Copy[[#This Row],[Segment Name]],Table3[],2,FALSE)</f>
        <v>Re-Activation &amp; Re-Engagement</v>
      </c>
    </row>
    <row r="2171" spans="1:28" x14ac:dyDescent="0.25">
      <c r="A2171">
        <v>10184</v>
      </c>
      <c r="B2171">
        <v>42</v>
      </c>
      <c r="C2171">
        <v>31.82</v>
      </c>
      <c r="D2171">
        <v>7</v>
      </c>
      <c r="E2171">
        <v>1336.44</v>
      </c>
      <c r="F2171" s="1">
        <v>43418</v>
      </c>
      <c r="G2171" s="2" t="s">
        <v>19</v>
      </c>
      <c r="H2171" s="2" t="s">
        <v>183</v>
      </c>
      <c r="I2171">
        <v>35</v>
      </c>
      <c r="J2171" s="2" t="s">
        <v>677</v>
      </c>
      <c r="K2171" s="2" t="s">
        <v>555</v>
      </c>
      <c r="L2171" s="2" t="s">
        <v>556</v>
      </c>
      <c r="M2171" s="2" t="s">
        <v>557</v>
      </c>
      <c r="N2171" s="2" t="s">
        <v>558</v>
      </c>
      <c r="O2171" s="2" t="s">
        <v>559</v>
      </c>
      <c r="P2171" s="2" t="s">
        <v>180</v>
      </c>
      <c r="Q2171" s="2" t="s">
        <v>560</v>
      </c>
      <c r="R2171" s="2" t="s">
        <v>561</v>
      </c>
      <c r="S2171" s="2" t="s">
        <v>30</v>
      </c>
      <c r="T2171">
        <v>2230</v>
      </c>
      <c r="U2171">
        <f>VLOOKUP(Auto_Sales_data___Copy[[#This Row],[CUSTOMER_NAME]],$AF$2:$AH$90,2,FALSE)</f>
        <v>15</v>
      </c>
      <c r="V2171">
        <f>VLOOKUP(Auto_Sales_data___Copy[[#This Row],[CUSTOMER_NAME]],$AF$2:$AH$90,3,FALSE)</f>
        <v>54723.62</v>
      </c>
      <c r="W2171" s="2">
        <f>6-MATCH(Auto_Sales_data___Copy[[#This Row],[DAYS_SINCE_LAST_ORDER]],Table2[R-Cutoff],1)</f>
        <v>2</v>
      </c>
      <c r="X2171" s="2">
        <f>MATCH(Auto_Sales_data___Copy[[#This Row],[Total_Orders_Per_Customer]],Table2[F-Cutoff],1)</f>
        <v>1</v>
      </c>
      <c r="Y2171" s="2">
        <f>MATCH(Auto_Sales_data___Copy[[#This Row],[Total_Sales_Per_Customer]],Table2[M-Cutoff],1)</f>
        <v>1</v>
      </c>
      <c r="Z2171" s="2" t="str">
        <f>Auto_Sales_data___Copy[[#This Row],[R-Score(1-5)]]&amp;Auto_Sales_data___Copy[[#This Row],[F-Score(1-5)]]&amp;Auto_Sales_data___Copy[[#This Row],[M-Score(1-5)]]</f>
        <v>211</v>
      </c>
      <c r="AA2171" s="2" t="str" cm="1">
        <f t="array" ref="AA21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1" s="2" t="str">
        <f>VLOOKUP(Auto_Sales_data___Copy[[#This Row],[Segment Name]],Table3[],2,FALSE)</f>
        <v>Re-Activation &amp; Re-Engagement</v>
      </c>
    </row>
    <row r="2172" spans="1:28" x14ac:dyDescent="0.25">
      <c r="A2172">
        <v>10186</v>
      </c>
      <c r="B2172">
        <v>22</v>
      </c>
      <c r="C2172">
        <v>69.2</v>
      </c>
      <c r="D2172">
        <v>2</v>
      </c>
      <c r="E2172">
        <v>1522.4</v>
      </c>
      <c r="F2172" s="1">
        <v>43418</v>
      </c>
      <c r="G2172" s="2" t="s">
        <v>19</v>
      </c>
      <c r="H2172" s="2" t="s">
        <v>607</v>
      </c>
      <c r="I2172">
        <v>68</v>
      </c>
      <c r="J2172" s="2" t="s">
        <v>678</v>
      </c>
      <c r="K2172" s="2" t="s">
        <v>366</v>
      </c>
      <c r="L2172" s="2" t="s">
        <v>367</v>
      </c>
      <c r="M2172" s="2" t="s">
        <v>368</v>
      </c>
      <c r="N2172" s="2" t="s">
        <v>350</v>
      </c>
      <c r="O2172" s="2" t="s">
        <v>369</v>
      </c>
      <c r="P2172" s="2" t="s">
        <v>171</v>
      </c>
      <c r="Q2172" s="2" t="s">
        <v>370</v>
      </c>
      <c r="R2172" s="2" t="s">
        <v>371</v>
      </c>
      <c r="S2172" s="2" t="s">
        <v>30</v>
      </c>
      <c r="T2172">
        <v>2258</v>
      </c>
      <c r="U2172">
        <f>VLOOKUP(Auto_Sales_data___Copy[[#This Row],[CUSTOMER_NAME]],$AF$2:$AH$90,2,FALSE)</f>
        <v>12</v>
      </c>
      <c r="V2172">
        <f>VLOOKUP(Auto_Sales_data___Copy[[#This Row],[CUSTOMER_NAME]],$AF$2:$AH$90,3,FALSE)</f>
        <v>36019.039999999994</v>
      </c>
      <c r="W2172" s="2">
        <f>6-MATCH(Auto_Sales_data___Copy[[#This Row],[DAYS_SINCE_LAST_ORDER]],Table2[R-Cutoff],1)</f>
        <v>2</v>
      </c>
      <c r="X2172" s="2">
        <f>MATCH(Auto_Sales_data___Copy[[#This Row],[Total_Orders_Per_Customer]],Table2[F-Cutoff],1)</f>
        <v>1</v>
      </c>
      <c r="Y2172" s="2">
        <f>MATCH(Auto_Sales_data___Copy[[#This Row],[Total_Sales_Per_Customer]],Table2[M-Cutoff],1)</f>
        <v>1</v>
      </c>
      <c r="Z2172" s="2" t="str">
        <f>Auto_Sales_data___Copy[[#This Row],[R-Score(1-5)]]&amp;Auto_Sales_data___Copy[[#This Row],[F-Score(1-5)]]&amp;Auto_Sales_data___Copy[[#This Row],[M-Score(1-5)]]</f>
        <v>211</v>
      </c>
      <c r="AA2172" s="2" t="str" cm="1">
        <f t="array" ref="AA21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2" s="2" t="str">
        <f>VLOOKUP(Auto_Sales_data___Copy[[#This Row],[Segment Name]],Table3[],2,FALSE)</f>
        <v>Re-Activation &amp; Re-Engagement</v>
      </c>
    </row>
    <row r="2173" spans="1:28" x14ac:dyDescent="0.25">
      <c r="A2173">
        <v>10186</v>
      </c>
      <c r="B2173">
        <v>21</v>
      </c>
      <c r="C2173">
        <v>69.040000000000006</v>
      </c>
      <c r="D2173">
        <v>3</v>
      </c>
      <c r="E2173">
        <v>1449.84</v>
      </c>
      <c r="F2173" s="1">
        <v>43418</v>
      </c>
      <c r="G2173" s="2" t="s">
        <v>19</v>
      </c>
      <c r="H2173" s="2" t="s">
        <v>589</v>
      </c>
      <c r="I2173">
        <v>65</v>
      </c>
      <c r="J2173" s="2" t="s">
        <v>684</v>
      </c>
      <c r="K2173" s="2" t="s">
        <v>366</v>
      </c>
      <c r="L2173" s="2" t="s">
        <v>367</v>
      </c>
      <c r="M2173" s="2" t="s">
        <v>368</v>
      </c>
      <c r="N2173" s="2" t="s">
        <v>350</v>
      </c>
      <c r="O2173" s="2" t="s">
        <v>369</v>
      </c>
      <c r="P2173" s="2" t="s">
        <v>171</v>
      </c>
      <c r="Q2173" s="2" t="s">
        <v>370</v>
      </c>
      <c r="R2173" s="2" t="s">
        <v>371</v>
      </c>
      <c r="S2173" s="2" t="s">
        <v>30</v>
      </c>
      <c r="T2173">
        <v>2404</v>
      </c>
      <c r="U2173">
        <f>VLOOKUP(Auto_Sales_data___Copy[[#This Row],[CUSTOMER_NAME]],$AF$2:$AH$90,2,FALSE)</f>
        <v>12</v>
      </c>
      <c r="V2173">
        <f>VLOOKUP(Auto_Sales_data___Copy[[#This Row],[CUSTOMER_NAME]],$AF$2:$AH$90,3,FALSE)</f>
        <v>36019.039999999994</v>
      </c>
      <c r="W2173" s="2">
        <f>6-MATCH(Auto_Sales_data___Copy[[#This Row],[DAYS_SINCE_LAST_ORDER]],Table2[R-Cutoff],1)</f>
        <v>2</v>
      </c>
      <c r="X2173" s="2">
        <f>MATCH(Auto_Sales_data___Copy[[#This Row],[Total_Orders_Per_Customer]],Table2[F-Cutoff],1)</f>
        <v>1</v>
      </c>
      <c r="Y2173" s="2">
        <f>MATCH(Auto_Sales_data___Copy[[#This Row],[Total_Sales_Per_Customer]],Table2[M-Cutoff],1)</f>
        <v>1</v>
      </c>
      <c r="Z2173" s="2" t="str">
        <f>Auto_Sales_data___Copy[[#This Row],[R-Score(1-5)]]&amp;Auto_Sales_data___Copy[[#This Row],[F-Score(1-5)]]&amp;Auto_Sales_data___Copy[[#This Row],[M-Score(1-5)]]</f>
        <v>211</v>
      </c>
      <c r="AA2173" s="2" t="str" cm="1">
        <f t="array" ref="AA21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3" s="2" t="str">
        <f>VLOOKUP(Auto_Sales_data___Copy[[#This Row],[Segment Name]],Table3[],2,FALSE)</f>
        <v>Re-Activation &amp; Re-Engagement</v>
      </c>
    </row>
    <row r="2174" spans="1:28" x14ac:dyDescent="0.25">
      <c r="A2174">
        <v>10186</v>
      </c>
      <c r="B2174">
        <v>36</v>
      </c>
      <c r="C2174">
        <v>85.54</v>
      </c>
      <c r="D2174">
        <v>8</v>
      </c>
      <c r="E2174">
        <v>3079.44</v>
      </c>
      <c r="F2174" s="1">
        <v>43418</v>
      </c>
      <c r="G2174" s="2" t="s">
        <v>19</v>
      </c>
      <c r="H2174" s="2" t="s">
        <v>589</v>
      </c>
      <c r="I2174">
        <v>83</v>
      </c>
      <c r="J2174" s="2" t="s">
        <v>686</v>
      </c>
      <c r="K2174" s="2" t="s">
        <v>366</v>
      </c>
      <c r="L2174" s="2" t="s">
        <v>367</v>
      </c>
      <c r="M2174" s="2" t="s">
        <v>368</v>
      </c>
      <c r="N2174" s="2" t="s">
        <v>350</v>
      </c>
      <c r="O2174" s="2" t="s">
        <v>369</v>
      </c>
      <c r="P2174" s="2" t="s">
        <v>171</v>
      </c>
      <c r="Q2174" s="2" t="s">
        <v>370</v>
      </c>
      <c r="R2174" s="2" t="s">
        <v>371</v>
      </c>
      <c r="S2174" s="2" t="s">
        <v>46</v>
      </c>
      <c r="T2174">
        <v>2453</v>
      </c>
      <c r="U2174">
        <f>VLOOKUP(Auto_Sales_data___Copy[[#This Row],[CUSTOMER_NAME]],$AF$2:$AH$90,2,FALSE)</f>
        <v>12</v>
      </c>
      <c r="V2174">
        <f>VLOOKUP(Auto_Sales_data___Copy[[#This Row],[CUSTOMER_NAME]],$AF$2:$AH$90,3,FALSE)</f>
        <v>36019.039999999994</v>
      </c>
      <c r="W2174" s="2">
        <f>6-MATCH(Auto_Sales_data___Copy[[#This Row],[DAYS_SINCE_LAST_ORDER]],Table2[R-Cutoff],1)</f>
        <v>2</v>
      </c>
      <c r="X2174" s="2">
        <f>MATCH(Auto_Sales_data___Copy[[#This Row],[Total_Orders_Per_Customer]],Table2[F-Cutoff],1)</f>
        <v>1</v>
      </c>
      <c r="Y2174" s="2">
        <f>MATCH(Auto_Sales_data___Copy[[#This Row],[Total_Sales_Per_Customer]],Table2[M-Cutoff],1)</f>
        <v>1</v>
      </c>
      <c r="Z2174" s="2" t="str">
        <f>Auto_Sales_data___Copy[[#This Row],[R-Score(1-5)]]&amp;Auto_Sales_data___Copy[[#This Row],[F-Score(1-5)]]&amp;Auto_Sales_data___Copy[[#This Row],[M-Score(1-5)]]</f>
        <v>211</v>
      </c>
      <c r="AA2174" s="2" t="str" cm="1">
        <f t="array" ref="AA21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4" s="2" t="str">
        <f>VLOOKUP(Auto_Sales_data___Copy[[#This Row],[Segment Name]],Table3[],2,FALSE)</f>
        <v>Re-Activation &amp; Re-Engagement</v>
      </c>
    </row>
    <row r="2175" spans="1:28" x14ac:dyDescent="0.25">
      <c r="A2175">
        <v>10184</v>
      </c>
      <c r="B2175">
        <v>49</v>
      </c>
      <c r="C2175">
        <v>118.28</v>
      </c>
      <c r="D2175">
        <v>2</v>
      </c>
      <c r="E2175">
        <v>5795.72</v>
      </c>
      <c r="F2175" s="1">
        <v>43418</v>
      </c>
      <c r="G2175" s="2" t="s">
        <v>19</v>
      </c>
      <c r="H2175" s="2" t="s">
        <v>183</v>
      </c>
      <c r="I2175">
        <v>118</v>
      </c>
      <c r="J2175" s="2" t="s">
        <v>690</v>
      </c>
      <c r="K2175" s="2" t="s">
        <v>555</v>
      </c>
      <c r="L2175" s="2" t="s">
        <v>556</v>
      </c>
      <c r="M2175" s="2" t="s">
        <v>557</v>
      </c>
      <c r="N2175" s="2" t="s">
        <v>558</v>
      </c>
      <c r="O2175" s="2" t="s">
        <v>559</v>
      </c>
      <c r="P2175" s="2" t="s">
        <v>180</v>
      </c>
      <c r="Q2175" s="2" t="s">
        <v>560</v>
      </c>
      <c r="R2175" s="2" t="s">
        <v>561</v>
      </c>
      <c r="S2175" s="2" t="s">
        <v>46</v>
      </c>
      <c r="T2175">
        <v>2552</v>
      </c>
      <c r="U2175">
        <f>VLOOKUP(Auto_Sales_data___Copy[[#This Row],[CUSTOMER_NAME]],$AF$2:$AH$90,2,FALSE)</f>
        <v>15</v>
      </c>
      <c r="V2175">
        <f>VLOOKUP(Auto_Sales_data___Copy[[#This Row],[CUSTOMER_NAME]],$AF$2:$AH$90,3,FALSE)</f>
        <v>54723.62</v>
      </c>
      <c r="W2175" s="2">
        <f>6-MATCH(Auto_Sales_data___Copy[[#This Row],[DAYS_SINCE_LAST_ORDER]],Table2[R-Cutoff],1)</f>
        <v>2</v>
      </c>
      <c r="X2175" s="2">
        <f>MATCH(Auto_Sales_data___Copy[[#This Row],[Total_Orders_Per_Customer]],Table2[F-Cutoff],1)</f>
        <v>1</v>
      </c>
      <c r="Y2175" s="2">
        <f>MATCH(Auto_Sales_data___Copy[[#This Row],[Total_Sales_Per_Customer]],Table2[M-Cutoff],1)</f>
        <v>1</v>
      </c>
      <c r="Z2175" s="2" t="str">
        <f>Auto_Sales_data___Copy[[#This Row],[R-Score(1-5)]]&amp;Auto_Sales_data___Copy[[#This Row],[F-Score(1-5)]]&amp;Auto_Sales_data___Copy[[#This Row],[M-Score(1-5)]]</f>
        <v>211</v>
      </c>
      <c r="AA2175" s="2" t="str" cm="1">
        <f t="array" ref="AA21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5" s="2" t="str">
        <f>VLOOKUP(Auto_Sales_data___Copy[[#This Row],[Segment Name]],Table3[],2,FALSE)</f>
        <v>Re-Activation &amp; Re-Engagement</v>
      </c>
    </row>
    <row r="2176" spans="1:28" x14ac:dyDescent="0.25">
      <c r="A2176">
        <v>10213</v>
      </c>
      <c r="B2176">
        <v>27</v>
      </c>
      <c r="C2176">
        <v>103.35</v>
      </c>
      <c r="D2176">
        <v>3</v>
      </c>
      <c r="E2176">
        <v>2790.45</v>
      </c>
      <c r="F2176" s="1">
        <v>43487</v>
      </c>
      <c r="G2176" s="2" t="s">
        <v>19</v>
      </c>
      <c r="H2176" s="2" t="s">
        <v>183</v>
      </c>
      <c r="I2176">
        <v>117</v>
      </c>
      <c r="J2176" s="2" t="s">
        <v>679</v>
      </c>
      <c r="K2176" s="2" t="s">
        <v>366</v>
      </c>
      <c r="L2176" s="2" t="s">
        <v>367</v>
      </c>
      <c r="M2176" s="2" t="s">
        <v>368</v>
      </c>
      <c r="N2176" s="2" t="s">
        <v>350</v>
      </c>
      <c r="O2176" s="2" t="s">
        <v>369</v>
      </c>
      <c r="P2176" s="2" t="s">
        <v>171</v>
      </c>
      <c r="Q2176" s="2" t="s">
        <v>370</v>
      </c>
      <c r="R2176" s="2" t="s">
        <v>371</v>
      </c>
      <c r="S2176" s="2" t="s">
        <v>30</v>
      </c>
      <c r="T2176">
        <v>2215</v>
      </c>
      <c r="U2176">
        <f>VLOOKUP(Auto_Sales_data___Copy[[#This Row],[CUSTOMER_NAME]],$AF$2:$AH$90,2,FALSE)</f>
        <v>12</v>
      </c>
      <c r="V2176">
        <f>VLOOKUP(Auto_Sales_data___Copy[[#This Row],[CUSTOMER_NAME]],$AF$2:$AH$90,3,FALSE)</f>
        <v>36019.039999999994</v>
      </c>
      <c r="W2176" s="2">
        <f>6-MATCH(Auto_Sales_data___Copy[[#This Row],[DAYS_SINCE_LAST_ORDER]],Table2[R-Cutoff],1)</f>
        <v>2</v>
      </c>
      <c r="X2176" s="2">
        <f>MATCH(Auto_Sales_data___Copy[[#This Row],[Total_Orders_Per_Customer]],Table2[F-Cutoff],1)</f>
        <v>1</v>
      </c>
      <c r="Y2176" s="2">
        <f>MATCH(Auto_Sales_data___Copy[[#This Row],[Total_Sales_Per_Customer]],Table2[M-Cutoff],1)</f>
        <v>1</v>
      </c>
      <c r="Z2176" s="2" t="str">
        <f>Auto_Sales_data___Copy[[#This Row],[R-Score(1-5)]]&amp;Auto_Sales_data___Copy[[#This Row],[F-Score(1-5)]]&amp;Auto_Sales_data___Copy[[#This Row],[M-Score(1-5)]]</f>
        <v>211</v>
      </c>
      <c r="AA2176" s="2" t="str" cm="1">
        <f t="array" ref="AA21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6" s="2" t="str">
        <f>VLOOKUP(Auto_Sales_data___Copy[[#This Row],[Segment Name]],Table3[],2,FALSE)</f>
        <v>Re-Activation &amp; Re-Engagement</v>
      </c>
    </row>
    <row r="2177" spans="1:28" x14ac:dyDescent="0.25">
      <c r="A2177">
        <v>10215</v>
      </c>
      <c r="B2177">
        <v>39</v>
      </c>
      <c r="C2177">
        <v>90.57</v>
      </c>
      <c r="D2177">
        <v>7</v>
      </c>
      <c r="E2177">
        <v>3532.23</v>
      </c>
      <c r="F2177" s="1">
        <v>43494</v>
      </c>
      <c r="G2177" s="2" t="s">
        <v>19</v>
      </c>
      <c r="H2177" s="2" t="s">
        <v>589</v>
      </c>
      <c r="I2177">
        <v>97</v>
      </c>
      <c r="J2177" s="2" t="s">
        <v>691</v>
      </c>
      <c r="K2177" s="2" t="s">
        <v>239</v>
      </c>
      <c r="L2177" s="2" t="s">
        <v>240</v>
      </c>
      <c r="M2177" s="2" t="s">
        <v>241</v>
      </c>
      <c r="N2177" s="2" t="s">
        <v>242</v>
      </c>
      <c r="O2177" s="2" t="s">
        <v>99</v>
      </c>
      <c r="P2177" s="2" t="s">
        <v>27</v>
      </c>
      <c r="Q2177" s="2" t="s">
        <v>243</v>
      </c>
      <c r="R2177" s="2" t="s">
        <v>244</v>
      </c>
      <c r="S2177" s="2" t="s">
        <v>46</v>
      </c>
      <c r="T2177">
        <v>2504</v>
      </c>
      <c r="U2177">
        <f>VLOOKUP(Auto_Sales_data___Copy[[#This Row],[CUSTOMER_NAME]],$AF$2:$AH$90,2,FALSE)</f>
        <v>13</v>
      </c>
      <c r="V2177">
        <f>VLOOKUP(Auto_Sales_data___Copy[[#This Row],[CUSTOMER_NAME]],$AF$2:$AH$90,3,FALSE)</f>
        <v>46084.639999999999</v>
      </c>
      <c r="W2177" s="2">
        <f>6-MATCH(Auto_Sales_data___Copy[[#This Row],[DAYS_SINCE_LAST_ORDER]],Table2[R-Cutoff],1)</f>
        <v>2</v>
      </c>
      <c r="X2177" s="2">
        <f>MATCH(Auto_Sales_data___Copy[[#This Row],[Total_Orders_Per_Customer]],Table2[F-Cutoff],1)</f>
        <v>1</v>
      </c>
      <c r="Y2177" s="2">
        <f>MATCH(Auto_Sales_data___Copy[[#This Row],[Total_Sales_Per_Customer]],Table2[M-Cutoff],1)</f>
        <v>1</v>
      </c>
      <c r="Z2177" s="2" t="str">
        <f>Auto_Sales_data___Copy[[#This Row],[R-Score(1-5)]]&amp;Auto_Sales_data___Copy[[#This Row],[F-Score(1-5)]]&amp;Auto_Sales_data___Copy[[#This Row],[M-Score(1-5)]]</f>
        <v>211</v>
      </c>
      <c r="AA2177" s="2" t="str" cm="1">
        <f t="array" ref="AA21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7" s="2" t="str">
        <f>VLOOKUP(Auto_Sales_data___Copy[[#This Row],[Segment Name]],Table3[],2,FALSE)</f>
        <v>Re-Activation &amp; Re-Engagement</v>
      </c>
    </row>
    <row r="2178" spans="1:28" x14ac:dyDescent="0.25">
      <c r="A2178">
        <v>10219</v>
      </c>
      <c r="B2178">
        <v>21</v>
      </c>
      <c r="C2178">
        <v>40.31</v>
      </c>
      <c r="D2178">
        <v>3</v>
      </c>
      <c r="E2178">
        <v>846.51</v>
      </c>
      <c r="F2178" s="1">
        <v>43506</v>
      </c>
      <c r="G2178" s="2" t="s">
        <v>19</v>
      </c>
      <c r="H2178" s="2" t="s">
        <v>183</v>
      </c>
      <c r="I2178">
        <v>35</v>
      </c>
      <c r="J2178" s="2" t="s">
        <v>677</v>
      </c>
      <c r="K2178" s="2" t="s">
        <v>562</v>
      </c>
      <c r="L2178" s="2" t="s">
        <v>563</v>
      </c>
      <c r="M2178" s="2" t="s">
        <v>564</v>
      </c>
      <c r="N2178" s="2" t="s">
        <v>565</v>
      </c>
      <c r="O2178" s="2" t="s">
        <v>58</v>
      </c>
      <c r="P2178" s="2" t="s">
        <v>27</v>
      </c>
      <c r="Q2178" s="2" t="s">
        <v>566</v>
      </c>
      <c r="R2178" s="2" t="s">
        <v>422</v>
      </c>
      <c r="S2178" s="2" t="s">
        <v>30</v>
      </c>
      <c r="T2178">
        <v>2145</v>
      </c>
      <c r="U2178">
        <f>VLOOKUP(Auto_Sales_data___Copy[[#This Row],[CUSTOMER_NAME]],$AF$2:$AH$90,2,FALSE)</f>
        <v>15</v>
      </c>
      <c r="V2178">
        <f>VLOOKUP(Auto_Sales_data___Copy[[#This Row],[CUSTOMER_NAME]],$AF$2:$AH$90,3,FALSE)</f>
        <v>50218.51</v>
      </c>
      <c r="W2178" s="2">
        <f>6-MATCH(Auto_Sales_data___Copy[[#This Row],[DAYS_SINCE_LAST_ORDER]],Table2[R-Cutoff],1)</f>
        <v>2</v>
      </c>
      <c r="X2178" s="2">
        <f>MATCH(Auto_Sales_data___Copy[[#This Row],[Total_Orders_Per_Customer]],Table2[F-Cutoff],1)</f>
        <v>1</v>
      </c>
      <c r="Y2178" s="2">
        <f>MATCH(Auto_Sales_data___Copy[[#This Row],[Total_Sales_Per_Customer]],Table2[M-Cutoff],1)</f>
        <v>1</v>
      </c>
      <c r="Z2178" s="2" t="str">
        <f>Auto_Sales_data___Copy[[#This Row],[R-Score(1-5)]]&amp;Auto_Sales_data___Copy[[#This Row],[F-Score(1-5)]]&amp;Auto_Sales_data___Copy[[#This Row],[M-Score(1-5)]]</f>
        <v>211</v>
      </c>
      <c r="AA2178" s="2" t="str" cm="1">
        <f t="array" ref="AA21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8" s="2" t="str">
        <f>VLOOKUP(Auto_Sales_data___Copy[[#This Row],[Segment Name]],Table3[],2,FALSE)</f>
        <v>Re-Activation &amp; Re-Engagement</v>
      </c>
    </row>
    <row r="2179" spans="1:28" x14ac:dyDescent="0.25">
      <c r="A2179">
        <v>10220</v>
      </c>
      <c r="B2179">
        <v>37</v>
      </c>
      <c r="C2179">
        <v>136.02000000000001</v>
      </c>
      <c r="D2179">
        <v>7</v>
      </c>
      <c r="E2179">
        <v>5032.74</v>
      </c>
      <c r="F2179" s="1">
        <v>43508</v>
      </c>
      <c r="G2179" s="2" t="s">
        <v>19</v>
      </c>
      <c r="H2179" s="2" t="s">
        <v>183</v>
      </c>
      <c r="I2179">
        <v>118</v>
      </c>
      <c r="J2179" s="2" t="s">
        <v>690</v>
      </c>
      <c r="K2179" s="2" t="s">
        <v>510</v>
      </c>
      <c r="L2179" s="2" t="s">
        <v>511</v>
      </c>
      <c r="M2179" s="2" t="s">
        <v>512</v>
      </c>
      <c r="N2179" s="2" t="s">
        <v>513</v>
      </c>
      <c r="O2179" s="2" t="s">
        <v>514</v>
      </c>
      <c r="P2179" s="2" t="s">
        <v>515</v>
      </c>
      <c r="Q2179" s="2" t="s">
        <v>516</v>
      </c>
      <c r="R2179" s="2" t="s">
        <v>517</v>
      </c>
      <c r="S2179" s="2" t="s">
        <v>46</v>
      </c>
      <c r="T2179">
        <v>2465</v>
      </c>
      <c r="U2179">
        <f>VLOOKUP(Auto_Sales_data___Copy[[#This Row],[CUSTOMER_NAME]],$AF$2:$AH$90,2,FALSE)</f>
        <v>16</v>
      </c>
      <c r="V2179">
        <f>VLOOKUP(Auto_Sales_data___Copy[[#This Row],[CUSTOMER_NAME]],$AF$2:$AH$90,3,FALSE)</f>
        <v>57756.43</v>
      </c>
      <c r="W2179" s="2">
        <f>6-MATCH(Auto_Sales_data___Copy[[#This Row],[DAYS_SINCE_LAST_ORDER]],Table2[R-Cutoff],1)</f>
        <v>2</v>
      </c>
      <c r="X2179" s="2">
        <f>MATCH(Auto_Sales_data___Copy[[#This Row],[Total_Orders_Per_Customer]],Table2[F-Cutoff],1)</f>
        <v>1</v>
      </c>
      <c r="Y2179" s="2">
        <f>MATCH(Auto_Sales_data___Copy[[#This Row],[Total_Sales_Per_Customer]],Table2[M-Cutoff],1)</f>
        <v>1</v>
      </c>
      <c r="Z2179" s="2" t="str">
        <f>Auto_Sales_data___Copy[[#This Row],[R-Score(1-5)]]&amp;Auto_Sales_data___Copy[[#This Row],[F-Score(1-5)]]&amp;Auto_Sales_data___Copy[[#This Row],[M-Score(1-5)]]</f>
        <v>211</v>
      </c>
      <c r="AA2179" s="2" t="str" cm="1">
        <f t="array" ref="AA21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9" s="2" t="str">
        <f>VLOOKUP(Auto_Sales_data___Copy[[#This Row],[Segment Name]],Table3[],2,FALSE)</f>
        <v>Re-Activation &amp; Re-Engagement</v>
      </c>
    </row>
    <row r="2180" spans="1:28" x14ac:dyDescent="0.25">
      <c r="A2180">
        <v>10228</v>
      </c>
      <c r="B2180">
        <v>33</v>
      </c>
      <c r="C2180">
        <v>103.23</v>
      </c>
      <c r="D2180">
        <v>6</v>
      </c>
      <c r="E2180">
        <v>3406.59</v>
      </c>
      <c r="F2180" s="1">
        <v>43534</v>
      </c>
      <c r="G2180" s="2" t="s">
        <v>19</v>
      </c>
      <c r="H2180" s="2" t="s">
        <v>589</v>
      </c>
      <c r="I2180">
        <v>97</v>
      </c>
      <c r="J2180" s="2" t="s">
        <v>691</v>
      </c>
      <c r="K2180" s="2" t="s">
        <v>245</v>
      </c>
      <c r="L2180" s="2" t="s">
        <v>246</v>
      </c>
      <c r="M2180" s="2" t="s">
        <v>247</v>
      </c>
      <c r="N2180" s="2" t="s">
        <v>118</v>
      </c>
      <c r="O2180" s="2" t="s">
        <v>119</v>
      </c>
      <c r="P2180" s="2" t="s">
        <v>27</v>
      </c>
      <c r="Q2180" s="2" t="s">
        <v>248</v>
      </c>
      <c r="R2180" s="2" t="s">
        <v>142</v>
      </c>
      <c r="S2180" s="2" t="s">
        <v>46</v>
      </c>
      <c r="T2180">
        <v>2465</v>
      </c>
      <c r="U2180">
        <f>VLOOKUP(Auto_Sales_data___Copy[[#This Row],[CUSTOMER_NAME]],$AF$2:$AH$90,2,FALSE)</f>
        <v>11</v>
      </c>
      <c r="V2180">
        <f>VLOOKUP(Auto_Sales_data___Copy[[#This Row],[CUSTOMER_NAME]],$AF$2:$AH$90,3,FALSE)</f>
        <v>36163.619999999995</v>
      </c>
      <c r="W2180" s="2">
        <f>6-MATCH(Auto_Sales_data___Copy[[#This Row],[DAYS_SINCE_LAST_ORDER]],Table2[R-Cutoff],1)</f>
        <v>2</v>
      </c>
      <c r="X2180" s="2">
        <f>MATCH(Auto_Sales_data___Copy[[#This Row],[Total_Orders_Per_Customer]],Table2[F-Cutoff],1)</f>
        <v>1</v>
      </c>
      <c r="Y2180" s="2">
        <f>MATCH(Auto_Sales_data___Copy[[#This Row],[Total_Sales_Per_Customer]],Table2[M-Cutoff],1)</f>
        <v>1</v>
      </c>
      <c r="Z2180" s="2" t="str">
        <f>Auto_Sales_data___Copy[[#This Row],[R-Score(1-5)]]&amp;Auto_Sales_data___Copy[[#This Row],[F-Score(1-5)]]&amp;Auto_Sales_data___Copy[[#This Row],[M-Score(1-5)]]</f>
        <v>211</v>
      </c>
      <c r="AA2180" s="2" t="str" cm="1">
        <f t="array" ref="AA21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0" s="2" t="str">
        <f>VLOOKUP(Auto_Sales_data___Copy[[#This Row],[Segment Name]],Table3[],2,FALSE)</f>
        <v>Re-Activation &amp; Re-Engagement</v>
      </c>
    </row>
    <row r="2181" spans="1:28" x14ac:dyDescent="0.25">
      <c r="A2181">
        <v>10242</v>
      </c>
      <c r="B2181">
        <v>46</v>
      </c>
      <c r="C2181">
        <v>36.93</v>
      </c>
      <c r="D2181">
        <v>1</v>
      </c>
      <c r="E2181">
        <v>1698.78</v>
      </c>
      <c r="F2181" s="1">
        <v>43575</v>
      </c>
      <c r="G2181" s="2" t="s">
        <v>19</v>
      </c>
      <c r="H2181" s="2" t="s">
        <v>589</v>
      </c>
      <c r="I2181">
        <v>41</v>
      </c>
      <c r="J2181" s="2" t="s">
        <v>689</v>
      </c>
      <c r="K2181" s="2" t="s">
        <v>540</v>
      </c>
      <c r="L2181" s="2" t="s">
        <v>541</v>
      </c>
      <c r="M2181" s="2" t="s">
        <v>542</v>
      </c>
      <c r="N2181" s="2" t="s">
        <v>25</v>
      </c>
      <c r="O2181" s="2" t="s">
        <v>26</v>
      </c>
      <c r="P2181" s="2" t="s">
        <v>27</v>
      </c>
      <c r="Q2181" s="2" t="s">
        <v>543</v>
      </c>
      <c r="R2181" s="2" t="s">
        <v>544</v>
      </c>
      <c r="S2181" s="2" t="s">
        <v>30</v>
      </c>
      <c r="T2181">
        <v>2377</v>
      </c>
      <c r="U2181">
        <f>VLOOKUP(Auto_Sales_data___Copy[[#This Row],[CUSTOMER_NAME]],$AF$2:$AH$90,2,FALSE)</f>
        <v>10</v>
      </c>
      <c r="V2181">
        <f>VLOOKUP(Auto_Sales_data___Copy[[#This Row],[CUSTOMER_NAME]],$AF$2:$AH$90,3,FALSE)</f>
        <v>33144.930000000008</v>
      </c>
      <c r="W2181" s="2">
        <f>6-MATCH(Auto_Sales_data___Copy[[#This Row],[DAYS_SINCE_LAST_ORDER]],Table2[R-Cutoff],1)</f>
        <v>2</v>
      </c>
      <c r="X2181" s="2">
        <f>MATCH(Auto_Sales_data___Copy[[#This Row],[Total_Orders_Per_Customer]],Table2[F-Cutoff],1)</f>
        <v>1</v>
      </c>
      <c r="Y2181" s="2">
        <f>MATCH(Auto_Sales_data___Copy[[#This Row],[Total_Sales_Per_Customer]],Table2[M-Cutoff],1)</f>
        <v>1</v>
      </c>
      <c r="Z2181" s="2" t="str">
        <f>Auto_Sales_data___Copy[[#This Row],[R-Score(1-5)]]&amp;Auto_Sales_data___Copy[[#This Row],[F-Score(1-5)]]&amp;Auto_Sales_data___Copy[[#This Row],[M-Score(1-5)]]</f>
        <v>211</v>
      </c>
      <c r="AA2181" s="2" t="str" cm="1">
        <f t="array" ref="AA21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1" s="2" t="str">
        <f>VLOOKUP(Auto_Sales_data___Copy[[#This Row],[Segment Name]],Table3[],2,FALSE)</f>
        <v>Re-Activation &amp; Re-Engagement</v>
      </c>
    </row>
    <row r="2182" spans="1:28" x14ac:dyDescent="0.25">
      <c r="A2182">
        <v>10249</v>
      </c>
      <c r="B2182">
        <v>20</v>
      </c>
      <c r="C2182">
        <v>67.819999999999993</v>
      </c>
      <c r="D2182">
        <v>1</v>
      </c>
      <c r="E2182">
        <v>1356.4</v>
      </c>
      <c r="F2182" s="1">
        <v>43593</v>
      </c>
      <c r="G2182" s="2" t="s">
        <v>19</v>
      </c>
      <c r="H2182" s="2" t="s">
        <v>607</v>
      </c>
      <c r="I2182">
        <v>68</v>
      </c>
      <c r="J2182" s="2" t="s">
        <v>678</v>
      </c>
      <c r="K2182" s="2" t="s">
        <v>245</v>
      </c>
      <c r="L2182" s="2" t="s">
        <v>246</v>
      </c>
      <c r="M2182" s="2" t="s">
        <v>247</v>
      </c>
      <c r="N2182" s="2" t="s">
        <v>118</v>
      </c>
      <c r="O2182" s="2" t="s">
        <v>119</v>
      </c>
      <c r="P2182" s="2" t="s">
        <v>27</v>
      </c>
      <c r="Q2182" s="2" t="s">
        <v>248</v>
      </c>
      <c r="R2182" s="2" t="s">
        <v>142</v>
      </c>
      <c r="S2182" s="2" t="s">
        <v>30</v>
      </c>
      <c r="T2182">
        <v>2086</v>
      </c>
      <c r="U2182">
        <f>VLOOKUP(Auto_Sales_data___Copy[[#This Row],[CUSTOMER_NAME]],$AF$2:$AH$90,2,FALSE)</f>
        <v>11</v>
      </c>
      <c r="V2182">
        <f>VLOOKUP(Auto_Sales_data___Copy[[#This Row],[CUSTOMER_NAME]],$AF$2:$AH$90,3,FALSE)</f>
        <v>36163.619999999995</v>
      </c>
      <c r="W2182" s="2">
        <f>6-MATCH(Auto_Sales_data___Copy[[#This Row],[DAYS_SINCE_LAST_ORDER]],Table2[R-Cutoff],1)</f>
        <v>2</v>
      </c>
      <c r="X2182" s="2">
        <f>MATCH(Auto_Sales_data___Copy[[#This Row],[Total_Orders_Per_Customer]],Table2[F-Cutoff],1)</f>
        <v>1</v>
      </c>
      <c r="Y2182" s="2">
        <f>MATCH(Auto_Sales_data___Copy[[#This Row],[Total_Sales_Per_Customer]],Table2[M-Cutoff],1)</f>
        <v>1</v>
      </c>
      <c r="Z2182" s="2" t="str">
        <f>Auto_Sales_data___Copy[[#This Row],[R-Score(1-5)]]&amp;Auto_Sales_data___Copy[[#This Row],[F-Score(1-5)]]&amp;Auto_Sales_data___Copy[[#This Row],[M-Score(1-5)]]</f>
        <v>211</v>
      </c>
      <c r="AA2182" s="2" t="str" cm="1">
        <f t="array" ref="AA21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2" s="2" t="str">
        <f>VLOOKUP(Auto_Sales_data___Copy[[#This Row],[Segment Name]],Table3[],2,FALSE)</f>
        <v>Re-Activation &amp; Re-Engagement</v>
      </c>
    </row>
    <row r="2183" spans="1:28" x14ac:dyDescent="0.25">
      <c r="A2183">
        <v>10249</v>
      </c>
      <c r="B2183">
        <v>25</v>
      </c>
      <c r="C2183">
        <v>69.7</v>
      </c>
      <c r="D2183">
        <v>2</v>
      </c>
      <c r="E2183">
        <v>1742.5</v>
      </c>
      <c r="F2183" s="1">
        <v>43593</v>
      </c>
      <c r="G2183" s="2" t="s">
        <v>19</v>
      </c>
      <c r="H2183" s="2" t="s">
        <v>589</v>
      </c>
      <c r="I2183">
        <v>65</v>
      </c>
      <c r="J2183" s="2" t="s">
        <v>684</v>
      </c>
      <c r="K2183" s="2" t="s">
        <v>245</v>
      </c>
      <c r="L2183" s="2" t="s">
        <v>246</v>
      </c>
      <c r="M2183" s="2" t="s">
        <v>247</v>
      </c>
      <c r="N2183" s="2" t="s">
        <v>118</v>
      </c>
      <c r="O2183" s="2" t="s">
        <v>119</v>
      </c>
      <c r="P2183" s="2" t="s">
        <v>27</v>
      </c>
      <c r="Q2183" s="2" t="s">
        <v>248</v>
      </c>
      <c r="R2183" s="2" t="s">
        <v>142</v>
      </c>
      <c r="S2183" s="2" t="s">
        <v>30</v>
      </c>
      <c r="T2183">
        <v>2232</v>
      </c>
      <c r="U2183">
        <f>VLOOKUP(Auto_Sales_data___Copy[[#This Row],[CUSTOMER_NAME]],$AF$2:$AH$90,2,FALSE)</f>
        <v>11</v>
      </c>
      <c r="V2183">
        <f>VLOOKUP(Auto_Sales_data___Copy[[#This Row],[CUSTOMER_NAME]],$AF$2:$AH$90,3,FALSE)</f>
        <v>36163.619999999995</v>
      </c>
      <c r="W2183" s="2">
        <f>6-MATCH(Auto_Sales_data___Copy[[#This Row],[DAYS_SINCE_LAST_ORDER]],Table2[R-Cutoff],1)</f>
        <v>2</v>
      </c>
      <c r="X2183" s="2">
        <f>MATCH(Auto_Sales_data___Copy[[#This Row],[Total_Orders_Per_Customer]],Table2[F-Cutoff],1)</f>
        <v>1</v>
      </c>
      <c r="Y2183" s="2">
        <f>MATCH(Auto_Sales_data___Copy[[#This Row],[Total_Sales_Per_Customer]],Table2[M-Cutoff],1)</f>
        <v>1</v>
      </c>
      <c r="Z2183" s="2" t="str">
        <f>Auto_Sales_data___Copy[[#This Row],[R-Score(1-5)]]&amp;Auto_Sales_data___Copy[[#This Row],[F-Score(1-5)]]&amp;Auto_Sales_data___Copy[[#This Row],[M-Score(1-5)]]</f>
        <v>211</v>
      </c>
      <c r="AA2183" s="2" t="str" cm="1">
        <f t="array" ref="AA21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3" s="2" t="str">
        <f>VLOOKUP(Auto_Sales_data___Copy[[#This Row],[Segment Name]],Table3[],2,FALSE)</f>
        <v>Re-Activation &amp; Re-Engagement</v>
      </c>
    </row>
    <row r="2184" spans="1:28" x14ac:dyDescent="0.25">
      <c r="A2184">
        <v>10276</v>
      </c>
      <c r="B2184">
        <v>20</v>
      </c>
      <c r="C2184">
        <v>61.23</v>
      </c>
      <c r="D2184">
        <v>2</v>
      </c>
      <c r="E2184">
        <v>1224.5999999999999</v>
      </c>
      <c r="F2184" s="1">
        <v>43679</v>
      </c>
      <c r="G2184" s="2" t="s">
        <v>19</v>
      </c>
      <c r="H2184" s="2" t="s">
        <v>183</v>
      </c>
      <c r="I2184">
        <v>61</v>
      </c>
      <c r="J2184" s="2" t="s">
        <v>683</v>
      </c>
      <c r="K2184" s="2" t="s">
        <v>487</v>
      </c>
      <c r="L2184" s="2" t="s">
        <v>488</v>
      </c>
      <c r="M2184" s="2" t="s">
        <v>489</v>
      </c>
      <c r="N2184" s="2" t="s">
        <v>297</v>
      </c>
      <c r="O2184" s="2" t="s">
        <v>298</v>
      </c>
      <c r="P2184" s="2" t="s">
        <v>27</v>
      </c>
      <c r="Q2184" s="2" t="s">
        <v>490</v>
      </c>
      <c r="R2184" s="2" t="s">
        <v>491</v>
      </c>
      <c r="S2184" s="2" t="s">
        <v>30</v>
      </c>
      <c r="T2184">
        <v>2124</v>
      </c>
      <c r="U2184">
        <f>VLOOKUP(Auto_Sales_data___Copy[[#This Row],[CUSTOMER_NAME]],$AF$2:$AH$90,2,FALSE)</f>
        <v>15</v>
      </c>
      <c r="V2184">
        <f>VLOOKUP(Auto_Sales_data___Copy[[#This Row],[CUSTOMER_NAME]],$AF$2:$AH$90,3,FALSE)</f>
        <v>57197.959999999992</v>
      </c>
      <c r="W2184" s="2">
        <f>6-MATCH(Auto_Sales_data___Copy[[#This Row],[DAYS_SINCE_LAST_ORDER]],Table2[R-Cutoff],1)</f>
        <v>2</v>
      </c>
      <c r="X2184" s="2">
        <f>MATCH(Auto_Sales_data___Copy[[#This Row],[Total_Orders_Per_Customer]],Table2[F-Cutoff],1)</f>
        <v>1</v>
      </c>
      <c r="Y2184" s="2">
        <f>MATCH(Auto_Sales_data___Copy[[#This Row],[Total_Sales_Per_Customer]],Table2[M-Cutoff],1)</f>
        <v>1</v>
      </c>
      <c r="Z2184" s="2" t="str">
        <f>Auto_Sales_data___Copy[[#This Row],[R-Score(1-5)]]&amp;Auto_Sales_data___Copy[[#This Row],[F-Score(1-5)]]&amp;Auto_Sales_data___Copy[[#This Row],[M-Score(1-5)]]</f>
        <v>211</v>
      </c>
      <c r="AA2184" s="2" t="str" cm="1">
        <f t="array" ref="AA21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4" s="2" t="str">
        <f>VLOOKUP(Auto_Sales_data___Copy[[#This Row],[Segment Name]],Table3[],2,FALSE)</f>
        <v>Re-Activation &amp; Re-Engagement</v>
      </c>
    </row>
    <row r="2185" spans="1:28" x14ac:dyDescent="0.25">
      <c r="A2185">
        <v>10276</v>
      </c>
      <c r="B2185">
        <v>48</v>
      </c>
      <c r="C2185">
        <v>75.180000000000007</v>
      </c>
      <c r="D2185">
        <v>7</v>
      </c>
      <c r="E2185">
        <v>3608.64</v>
      </c>
      <c r="F2185" s="1">
        <v>43679</v>
      </c>
      <c r="G2185" s="2" t="s">
        <v>19</v>
      </c>
      <c r="H2185" s="2" t="s">
        <v>183</v>
      </c>
      <c r="I2185">
        <v>80</v>
      </c>
      <c r="J2185" s="2" t="s">
        <v>693</v>
      </c>
      <c r="K2185" s="2" t="s">
        <v>487</v>
      </c>
      <c r="L2185" s="2" t="s">
        <v>488</v>
      </c>
      <c r="M2185" s="2" t="s">
        <v>489</v>
      </c>
      <c r="N2185" s="2" t="s">
        <v>297</v>
      </c>
      <c r="O2185" s="2" t="s">
        <v>298</v>
      </c>
      <c r="P2185" s="2" t="s">
        <v>27</v>
      </c>
      <c r="Q2185" s="2" t="s">
        <v>490</v>
      </c>
      <c r="R2185" s="2" t="s">
        <v>491</v>
      </c>
      <c r="S2185" s="2" t="s">
        <v>46</v>
      </c>
      <c r="T2185">
        <v>2370</v>
      </c>
      <c r="U2185">
        <f>VLOOKUP(Auto_Sales_data___Copy[[#This Row],[CUSTOMER_NAME]],$AF$2:$AH$90,2,FALSE)</f>
        <v>15</v>
      </c>
      <c r="V2185">
        <f>VLOOKUP(Auto_Sales_data___Copy[[#This Row],[CUSTOMER_NAME]],$AF$2:$AH$90,3,FALSE)</f>
        <v>57197.959999999992</v>
      </c>
      <c r="W2185" s="2">
        <f>6-MATCH(Auto_Sales_data___Copy[[#This Row],[DAYS_SINCE_LAST_ORDER]],Table2[R-Cutoff],1)</f>
        <v>2</v>
      </c>
      <c r="X2185" s="2">
        <f>MATCH(Auto_Sales_data___Copy[[#This Row],[Total_Orders_Per_Customer]],Table2[F-Cutoff],1)</f>
        <v>1</v>
      </c>
      <c r="Y2185" s="2">
        <f>MATCH(Auto_Sales_data___Copy[[#This Row],[Total_Sales_Per_Customer]],Table2[M-Cutoff],1)</f>
        <v>1</v>
      </c>
      <c r="Z2185" s="2" t="str">
        <f>Auto_Sales_data___Copy[[#This Row],[R-Score(1-5)]]&amp;Auto_Sales_data___Copy[[#This Row],[F-Score(1-5)]]&amp;Auto_Sales_data___Copy[[#This Row],[M-Score(1-5)]]</f>
        <v>211</v>
      </c>
      <c r="AA2185" s="2" t="str" cm="1">
        <f t="array" ref="AA21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5" s="2" t="str">
        <f>VLOOKUP(Auto_Sales_data___Copy[[#This Row],[Segment Name]],Table3[],2,FALSE)</f>
        <v>Re-Activation &amp; Re-Engagement</v>
      </c>
    </row>
    <row r="2186" spans="1:28" x14ac:dyDescent="0.25">
      <c r="A2186">
        <v>10276</v>
      </c>
      <c r="B2186">
        <v>27</v>
      </c>
      <c r="C2186">
        <v>36.61</v>
      </c>
      <c r="D2186">
        <v>10</v>
      </c>
      <c r="E2186">
        <v>988.47</v>
      </c>
      <c r="F2186" s="1">
        <v>43679</v>
      </c>
      <c r="G2186" s="2" t="s">
        <v>19</v>
      </c>
      <c r="H2186" s="2" t="s">
        <v>20</v>
      </c>
      <c r="I2186">
        <v>40</v>
      </c>
      <c r="J2186" s="2" t="s">
        <v>696</v>
      </c>
      <c r="K2186" s="2" t="s">
        <v>487</v>
      </c>
      <c r="L2186" s="2" t="s">
        <v>488</v>
      </c>
      <c r="M2186" s="2" t="s">
        <v>489</v>
      </c>
      <c r="N2186" s="2" t="s">
        <v>297</v>
      </c>
      <c r="O2186" s="2" t="s">
        <v>298</v>
      </c>
      <c r="P2186" s="2" t="s">
        <v>27</v>
      </c>
      <c r="Q2186" s="2" t="s">
        <v>490</v>
      </c>
      <c r="R2186" s="2" t="s">
        <v>491</v>
      </c>
      <c r="S2186" s="2" t="s">
        <v>30</v>
      </c>
      <c r="T2186">
        <v>2444</v>
      </c>
      <c r="U2186">
        <f>VLOOKUP(Auto_Sales_data___Copy[[#This Row],[CUSTOMER_NAME]],$AF$2:$AH$90,2,FALSE)</f>
        <v>15</v>
      </c>
      <c r="V2186">
        <f>VLOOKUP(Auto_Sales_data___Copy[[#This Row],[CUSTOMER_NAME]],$AF$2:$AH$90,3,FALSE)</f>
        <v>57197.959999999992</v>
      </c>
      <c r="W2186" s="2">
        <f>6-MATCH(Auto_Sales_data___Copy[[#This Row],[DAYS_SINCE_LAST_ORDER]],Table2[R-Cutoff],1)</f>
        <v>2</v>
      </c>
      <c r="X2186" s="2">
        <f>MATCH(Auto_Sales_data___Copy[[#This Row],[Total_Orders_Per_Customer]],Table2[F-Cutoff],1)</f>
        <v>1</v>
      </c>
      <c r="Y2186" s="2">
        <f>MATCH(Auto_Sales_data___Copy[[#This Row],[Total_Sales_Per_Customer]],Table2[M-Cutoff],1)</f>
        <v>1</v>
      </c>
      <c r="Z2186" s="2" t="str">
        <f>Auto_Sales_data___Copy[[#This Row],[R-Score(1-5)]]&amp;Auto_Sales_data___Copy[[#This Row],[F-Score(1-5)]]&amp;Auto_Sales_data___Copy[[#This Row],[M-Score(1-5)]]</f>
        <v>211</v>
      </c>
      <c r="AA2186" s="2" t="str" cm="1">
        <f t="array" ref="AA21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6" s="2" t="str">
        <f>VLOOKUP(Auto_Sales_data___Copy[[#This Row],[Segment Name]],Table3[],2,FALSE)</f>
        <v>Re-Activation &amp; Re-Engagement</v>
      </c>
    </row>
    <row r="2187" spans="1:28" x14ac:dyDescent="0.25">
      <c r="A2187">
        <v>10290</v>
      </c>
      <c r="B2187">
        <v>45</v>
      </c>
      <c r="C2187">
        <v>114.92</v>
      </c>
      <c r="D2187">
        <v>1</v>
      </c>
      <c r="E2187">
        <v>5171.3999999999996</v>
      </c>
      <c r="F2187" s="1">
        <v>43715</v>
      </c>
      <c r="G2187" s="2" t="s">
        <v>19</v>
      </c>
      <c r="H2187" s="2" t="s">
        <v>589</v>
      </c>
      <c r="I2187">
        <v>97</v>
      </c>
      <c r="J2187" s="2" t="s">
        <v>691</v>
      </c>
      <c r="K2187" s="2" t="s">
        <v>644</v>
      </c>
      <c r="L2187" s="2" t="s">
        <v>645</v>
      </c>
      <c r="M2187" s="2" t="s">
        <v>646</v>
      </c>
      <c r="N2187" s="2" t="s">
        <v>297</v>
      </c>
      <c r="O2187" s="2" t="s">
        <v>298</v>
      </c>
      <c r="P2187" s="2" t="s">
        <v>27</v>
      </c>
      <c r="Q2187" s="2" t="s">
        <v>566</v>
      </c>
      <c r="R2187" s="2" t="s">
        <v>255</v>
      </c>
      <c r="S2187" s="2" t="s">
        <v>46</v>
      </c>
      <c r="T2187">
        <v>2289</v>
      </c>
      <c r="U2187">
        <f>VLOOKUP(Auto_Sales_data___Copy[[#This Row],[CUSTOMER_NAME]],$AF$2:$AH$90,2,FALSE)</f>
        <v>8</v>
      </c>
      <c r="V2187">
        <f>VLOOKUP(Auto_Sales_data___Copy[[#This Row],[CUSTOMER_NAME]],$AF$2:$AH$90,3,FALSE)</f>
        <v>26479.260000000002</v>
      </c>
      <c r="W2187" s="2">
        <f>6-MATCH(Auto_Sales_data___Copy[[#This Row],[DAYS_SINCE_LAST_ORDER]],Table2[R-Cutoff],1)</f>
        <v>2</v>
      </c>
      <c r="X2187" s="2">
        <f>MATCH(Auto_Sales_data___Copy[[#This Row],[Total_Orders_Per_Customer]],Table2[F-Cutoff],1)</f>
        <v>1</v>
      </c>
      <c r="Y2187" s="2">
        <f>MATCH(Auto_Sales_data___Copy[[#This Row],[Total_Sales_Per_Customer]],Table2[M-Cutoff],1)</f>
        <v>1</v>
      </c>
      <c r="Z2187" s="2" t="str">
        <f>Auto_Sales_data___Copy[[#This Row],[R-Score(1-5)]]&amp;Auto_Sales_data___Copy[[#This Row],[F-Score(1-5)]]&amp;Auto_Sales_data___Copy[[#This Row],[M-Score(1-5)]]</f>
        <v>211</v>
      </c>
      <c r="AA2187" s="2" t="str" cm="1">
        <f t="array" ref="AA21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7" s="2" t="str">
        <f>VLOOKUP(Auto_Sales_data___Copy[[#This Row],[Segment Name]],Table3[],2,FALSE)</f>
        <v>Re-Activation &amp; Re-Engagement</v>
      </c>
    </row>
    <row r="2188" spans="1:28" x14ac:dyDescent="0.25">
      <c r="A2188">
        <v>10296</v>
      </c>
      <c r="B2188">
        <v>31</v>
      </c>
      <c r="C2188">
        <v>53.92</v>
      </c>
      <c r="D2188">
        <v>9</v>
      </c>
      <c r="E2188">
        <v>1671.52</v>
      </c>
      <c r="F2188" s="1">
        <v>43723</v>
      </c>
      <c r="G2188" s="2" t="s">
        <v>19</v>
      </c>
      <c r="H2188" s="2" t="s">
        <v>589</v>
      </c>
      <c r="I2188">
        <v>65</v>
      </c>
      <c r="J2188" s="2" t="s">
        <v>684</v>
      </c>
      <c r="K2188" s="2" t="s">
        <v>615</v>
      </c>
      <c r="L2188" s="2" t="s">
        <v>616</v>
      </c>
      <c r="M2188" s="2" t="s">
        <v>617</v>
      </c>
      <c r="N2188" s="2" t="s">
        <v>618</v>
      </c>
      <c r="O2188" s="2" t="s">
        <v>619</v>
      </c>
      <c r="P2188" s="2" t="s">
        <v>470</v>
      </c>
      <c r="Q2188" s="2" t="s">
        <v>620</v>
      </c>
      <c r="R2188" s="2" t="s">
        <v>94</v>
      </c>
      <c r="S2188" s="2" t="s">
        <v>30</v>
      </c>
      <c r="T2188">
        <v>2106</v>
      </c>
      <c r="U2188">
        <f>VLOOKUP(Auto_Sales_data___Copy[[#This Row],[CUSTOMER_NAME]],$AF$2:$AH$90,2,FALSE)</f>
        <v>14</v>
      </c>
      <c r="V2188">
        <f>VLOOKUP(Auto_Sales_data___Copy[[#This Row],[CUSTOMER_NAME]],$AF$2:$AH$90,3,FALSE)</f>
        <v>34993.919999999998</v>
      </c>
      <c r="W2188" s="2">
        <f>6-MATCH(Auto_Sales_data___Copy[[#This Row],[DAYS_SINCE_LAST_ORDER]],Table2[R-Cutoff],1)</f>
        <v>2</v>
      </c>
      <c r="X2188" s="2">
        <f>MATCH(Auto_Sales_data___Copy[[#This Row],[Total_Orders_Per_Customer]],Table2[F-Cutoff],1)</f>
        <v>1</v>
      </c>
      <c r="Y2188" s="2">
        <f>MATCH(Auto_Sales_data___Copy[[#This Row],[Total_Sales_Per_Customer]],Table2[M-Cutoff],1)</f>
        <v>1</v>
      </c>
      <c r="Z2188" s="2" t="str">
        <f>Auto_Sales_data___Copy[[#This Row],[R-Score(1-5)]]&amp;Auto_Sales_data___Copy[[#This Row],[F-Score(1-5)]]&amp;Auto_Sales_data___Copy[[#This Row],[M-Score(1-5)]]</f>
        <v>211</v>
      </c>
      <c r="AA2188" s="2" t="str" cm="1">
        <f t="array" ref="AA21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8" s="2" t="str">
        <f>VLOOKUP(Auto_Sales_data___Copy[[#This Row],[Segment Name]],Table3[],2,FALSE)</f>
        <v>Re-Activation &amp; Re-Engagement</v>
      </c>
    </row>
    <row r="2189" spans="1:28" x14ac:dyDescent="0.25">
      <c r="A2189">
        <v>10296</v>
      </c>
      <c r="B2189">
        <v>22</v>
      </c>
      <c r="C2189">
        <v>77.150000000000006</v>
      </c>
      <c r="D2189">
        <v>14</v>
      </c>
      <c r="E2189">
        <v>1697.3</v>
      </c>
      <c r="F2189" s="1">
        <v>43723</v>
      </c>
      <c r="G2189" s="2" t="s">
        <v>19</v>
      </c>
      <c r="H2189" s="2" t="s">
        <v>589</v>
      </c>
      <c r="I2189">
        <v>83</v>
      </c>
      <c r="J2189" s="2" t="s">
        <v>686</v>
      </c>
      <c r="K2189" s="2" t="s">
        <v>615</v>
      </c>
      <c r="L2189" s="2" t="s">
        <v>616</v>
      </c>
      <c r="M2189" s="2" t="s">
        <v>617</v>
      </c>
      <c r="N2189" s="2" t="s">
        <v>618</v>
      </c>
      <c r="O2189" s="2" t="s">
        <v>619</v>
      </c>
      <c r="P2189" s="2" t="s">
        <v>470</v>
      </c>
      <c r="Q2189" s="2" t="s">
        <v>620</v>
      </c>
      <c r="R2189" s="2" t="s">
        <v>94</v>
      </c>
      <c r="S2189" s="2" t="s">
        <v>30</v>
      </c>
      <c r="T2189">
        <v>2155</v>
      </c>
      <c r="U2189">
        <f>VLOOKUP(Auto_Sales_data___Copy[[#This Row],[CUSTOMER_NAME]],$AF$2:$AH$90,2,FALSE)</f>
        <v>14</v>
      </c>
      <c r="V2189">
        <f>VLOOKUP(Auto_Sales_data___Copy[[#This Row],[CUSTOMER_NAME]],$AF$2:$AH$90,3,FALSE)</f>
        <v>34993.919999999998</v>
      </c>
      <c r="W2189" s="2">
        <f>6-MATCH(Auto_Sales_data___Copy[[#This Row],[DAYS_SINCE_LAST_ORDER]],Table2[R-Cutoff],1)</f>
        <v>2</v>
      </c>
      <c r="X2189" s="2">
        <f>MATCH(Auto_Sales_data___Copy[[#This Row],[Total_Orders_Per_Customer]],Table2[F-Cutoff],1)</f>
        <v>1</v>
      </c>
      <c r="Y2189" s="2">
        <f>MATCH(Auto_Sales_data___Copy[[#This Row],[Total_Sales_Per_Customer]],Table2[M-Cutoff],1)</f>
        <v>1</v>
      </c>
      <c r="Z2189" s="2" t="str">
        <f>Auto_Sales_data___Copy[[#This Row],[R-Score(1-5)]]&amp;Auto_Sales_data___Copy[[#This Row],[F-Score(1-5)]]&amp;Auto_Sales_data___Copy[[#This Row],[M-Score(1-5)]]</f>
        <v>211</v>
      </c>
      <c r="AA2189" s="2" t="str" cm="1">
        <f t="array" ref="AA21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9" s="2" t="str">
        <f>VLOOKUP(Auto_Sales_data___Copy[[#This Row],[Segment Name]],Table3[],2,FALSE)</f>
        <v>Re-Activation &amp; Re-Engagement</v>
      </c>
    </row>
    <row r="2190" spans="1:28" x14ac:dyDescent="0.25">
      <c r="A2190">
        <v>10296</v>
      </c>
      <c r="B2190">
        <v>32</v>
      </c>
      <c r="C2190">
        <v>71.650000000000006</v>
      </c>
      <c r="D2190">
        <v>6</v>
      </c>
      <c r="E2190">
        <v>2292.8000000000002</v>
      </c>
      <c r="F2190" s="1">
        <v>43723</v>
      </c>
      <c r="G2190" s="2" t="s">
        <v>19</v>
      </c>
      <c r="H2190" s="2" t="s">
        <v>607</v>
      </c>
      <c r="I2190">
        <v>68</v>
      </c>
      <c r="J2190" s="2" t="s">
        <v>688</v>
      </c>
      <c r="K2190" s="2" t="s">
        <v>615</v>
      </c>
      <c r="L2190" s="2" t="s">
        <v>616</v>
      </c>
      <c r="M2190" s="2" t="s">
        <v>617</v>
      </c>
      <c r="N2190" s="2" t="s">
        <v>618</v>
      </c>
      <c r="O2190" s="2" t="s">
        <v>619</v>
      </c>
      <c r="P2190" s="2" t="s">
        <v>470</v>
      </c>
      <c r="Q2190" s="2" t="s">
        <v>620</v>
      </c>
      <c r="R2190" s="2" t="s">
        <v>94</v>
      </c>
      <c r="S2190" s="2" t="s">
        <v>30</v>
      </c>
      <c r="T2190">
        <v>2207</v>
      </c>
      <c r="U2190">
        <f>VLOOKUP(Auto_Sales_data___Copy[[#This Row],[CUSTOMER_NAME]],$AF$2:$AH$90,2,FALSE)</f>
        <v>14</v>
      </c>
      <c r="V2190">
        <f>VLOOKUP(Auto_Sales_data___Copy[[#This Row],[CUSTOMER_NAME]],$AF$2:$AH$90,3,FALSE)</f>
        <v>34993.919999999998</v>
      </c>
      <c r="W2190" s="2">
        <f>6-MATCH(Auto_Sales_data___Copy[[#This Row],[DAYS_SINCE_LAST_ORDER]],Table2[R-Cutoff],1)</f>
        <v>2</v>
      </c>
      <c r="X2190" s="2">
        <f>MATCH(Auto_Sales_data___Copy[[#This Row],[Total_Orders_Per_Customer]],Table2[F-Cutoff],1)</f>
        <v>1</v>
      </c>
      <c r="Y2190" s="2">
        <f>MATCH(Auto_Sales_data___Copy[[#This Row],[Total_Sales_Per_Customer]],Table2[M-Cutoff],1)</f>
        <v>1</v>
      </c>
      <c r="Z2190" s="2" t="str">
        <f>Auto_Sales_data___Copy[[#This Row],[R-Score(1-5)]]&amp;Auto_Sales_data___Copy[[#This Row],[F-Score(1-5)]]&amp;Auto_Sales_data___Copy[[#This Row],[M-Score(1-5)]]</f>
        <v>211</v>
      </c>
      <c r="AA2190" s="2" t="str" cm="1">
        <f t="array" ref="AA21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0" s="2" t="str">
        <f>VLOOKUP(Auto_Sales_data___Copy[[#This Row],[Segment Name]],Table3[],2,FALSE)</f>
        <v>Re-Activation &amp; Re-Engagement</v>
      </c>
    </row>
    <row r="2191" spans="1:28" x14ac:dyDescent="0.25">
      <c r="A2191">
        <v>10296</v>
      </c>
      <c r="B2191">
        <v>26</v>
      </c>
      <c r="C2191">
        <v>48.44</v>
      </c>
      <c r="D2191">
        <v>1</v>
      </c>
      <c r="E2191">
        <v>1259.44</v>
      </c>
      <c r="F2191" s="1">
        <v>43723</v>
      </c>
      <c r="G2191" s="2" t="s">
        <v>19</v>
      </c>
      <c r="H2191" s="2" t="s">
        <v>589</v>
      </c>
      <c r="I2191">
        <v>43</v>
      </c>
      <c r="J2191" s="2" t="s">
        <v>702</v>
      </c>
      <c r="K2191" s="2" t="s">
        <v>615</v>
      </c>
      <c r="L2191" s="2" t="s">
        <v>616</v>
      </c>
      <c r="M2191" s="2" t="s">
        <v>617</v>
      </c>
      <c r="N2191" s="2" t="s">
        <v>618</v>
      </c>
      <c r="O2191" s="2" t="s">
        <v>619</v>
      </c>
      <c r="P2191" s="2" t="s">
        <v>470</v>
      </c>
      <c r="Q2191" s="2" t="s">
        <v>620</v>
      </c>
      <c r="R2191" s="2" t="s">
        <v>94</v>
      </c>
      <c r="S2191" s="2" t="s">
        <v>30</v>
      </c>
      <c r="T2191">
        <v>2554</v>
      </c>
      <c r="U2191">
        <f>VLOOKUP(Auto_Sales_data___Copy[[#This Row],[CUSTOMER_NAME]],$AF$2:$AH$90,2,FALSE)</f>
        <v>14</v>
      </c>
      <c r="V2191">
        <f>VLOOKUP(Auto_Sales_data___Copy[[#This Row],[CUSTOMER_NAME]],$AF$2:$AH$90,3,FALSE)</f>
        <v>34993.919999999998</v>
      </c>
      <c r="W2191" s="2">
        <f>6-MATCH(Auto_Sales_data___Copy[[#This Row],[DAYS_SINCE_LAST_ORDER]],Table2[R-Cutoff],1)</f>
        <v>2</v>
      </c>
      <c r="X2191" s="2">
        <f>MATCH(Auto_Sales_data___Copy[[#This Row],[Total_Orders_Per_Customer]],Table2[F-Cutoff],1)</f>
        <v>1</v>
      </c>
      <c r="Y2191" s="2">
        <f>MATCH(Auto_Sales_data___Copy[[#This Row],[Total_Sales_Per_Customer]],Table2[M-Cutoff],1)</f>
        <v>1</v>
      </c>
      <c r="Z2191" s="2" t="str">
        <f>Auto_Sales_data___Copy[[#This Row],[R-Score(1-5)]]&amp;Auto_Sales_data___Copy[[#This Row],[F-Score(1-5)]]&amp;Auto_Sales_data___Copy[[#This Row],[M-Score(1-5)]]</f>
        <v>211</v>
      </c>
      <c r="AA2191" s="2" t="str" cm="1">
        <f t="array" ref="AA21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1" s="2" t="str">
        <f>VLOOKUP(Auto_Sales_data___Copy[[#This Row],[Segment Name]],Table3[],2,FALSE)</f>
        <v>Re-Activation &amp; Re-Engagement</v>
      </c>
    </row>
    <row r="2192" spans="1:28" x14ac:dyDescent="0.25">
      <c r="A2192">
        <v>10297</v>
      </c>
      <c r="B2192">
        <v>23</v>
      </c>
      <c r="C2192">
        <v>72.45</v>
      </c>
      <c r="D2192">
        <v>5</v>
      </c>
      <c r="E2192">
        <v>1666.35</v>
      </c>
      <c r="F2192" s="1">
        <v>43724</v>
      </c>
      <c r="G2192" s="2" t="s">
        <v>19</v>
      </c>
      <c r="H2192" s="2" t="s">
        <v>607</v>
      </c>
      <c r="I2192">
        <v>72</v>
      </c>
      <c r="J2192" s="2" t="s">
        <v>692</v>
      </c>
      <c r="K2192" s="2" t="s">
        <v>510</v>
      </c>
      <c r="L2192" s="2" t="s">
        <v>511</v>
      </c>
      <c r="M2192" s="2" t="s">
        <v>512</v>
      </c>
      <c r="N2192" s="2" t="s">
        <v>513</v>
      </c>
      <c r="O2192" s="2" t="s">
        <v>514</v>
      </c>
      <c r="P2192" s="2" t="s">
        <v>515</v>
      </c>
      <c r="Q2192" s="2" t="s">
        <v>516</v>
      </c>
      <c r="R2192" s="2" t="s">
        <v>517</v>
      </c>
      <c r="S2192" s="2" t="s">
        <v>30</v>
      </c>
      <c r="T2192">
        <v>2301</v>
      </c>
      <c r="U2192">
        <f>VLOOKUP(Auto_Sales_data___Copy[[#This Row],[CUSTOMER_NAME]],$AF$2:$AH$90,2,FALSE)</f>
        <v>16</v>
      </c>
      <c r="V2192">
        <f>VLOOKUP(Auto_Sales_data___Copy[[#This Row],[CUSTOMER_NAME]],$AF$2:$AH$90,3,FALSE)</f>
        <v>57756.43</v>
      </c>
      <c r="W2192" s="2">
        <f>6-MATCH(Auto_Sales_data___Copy[[#This Row],[DAYS_SINCE_LAST_ORDER]],Table2[R-Cutoff],1)</f>
        <v>2</v>
      </c>
      <c r="X2192" s="2">
        <f>MATCH(Auto_Sales_data___Copy[[#This Row],[Total_Orders_Per_Customer]],Table2[F-Cutoff],1)</f>
        <v>1</v>
      </c>
      <c r="Y2192" s="2">
        <f>MATCH(Auto_Sales_data___Copy[[#This Row],[Total_Sales_Per_Customer]],Table2[M-Cutoff],1)</f>
        <v>1</v>
      </c>
      <c r="Z2192" s="2" t="str">
        <f>Auto_Sales_data___Copy[[#This Row],[R-Score(1-5)]]&amp;Auto_Sales_data___Copy[[#This Row],[F-Score(1-5)]]&amp;Auto_Sales_data___Copy[[#This Row],[M-Score(1-5)]]</f>
        <v>211</v>
      </c>
      <c r="AA2192" s="2" t="str" cm="1">
        <f t="array" ref="AA21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2" s="2" t="str">
        <f>VLOOKUP(Auto_Sales_data___Copy[[#This Row],[Segment Name]],Table3[],2,FALSE)</f>
        <v>Re-Activation &amp; Re-Engagement</v>
      </c>
    </row>
    <row r="2193" spans="1:28" x14ac:dyDescent="0.25">
      <c r="A2193">
        <v>10297</v>
      </c>
      <c r="B2193">
        <v>26</v>
      </c>
      <c r="C2193">
        <v>109.88</v>
      </c>
      <c r="D2193">
        <v>2</v>
      </c>
      <c r="E2193">
        <v>2856.88</v>
      </c>
      <c r="F2193" s="1">
        <v>43724</v>
      </c>
      <c r="G2193" s="2" t="s">
        <v>19</v>
      </c>
      <c r="H2193" s="2" t="s">
        <v>20</v>
      </c>
      <c r="I2193">
        <v>99</v>
      </c>
      <c r="J2193" s="2" t="s">
        <v>695</v>
      </c>
      <c r="K2193" s="2" t="s">
        <v>510</v>
      </c>
      <c r="L2193" s="2" t="s">
        <v>511</v>
      </c>
      <c r="M2193" s="2" t="s">
        <v>512</v>
      </c>
      <c r="N2193" s="2" t="s">
        <v>513</v>
      </c>
      <c r="O2193" s="2" t="s">
        <v>514</v>
      </c>
      <c r="P2193" s="2" t="s">
        <v>515</v>
      </c>
      <c r="Q2193" s="2" t="s">
        <v>516</v>
      </c>
      <c r="R2193" s="2" t="s">
        <v>517</v>
      </c>
      <c r="S2193" s="2" t="s">
        <v>30</v>
      </c>
      <c r="T2193">
        <v>2376</v>
      </c>
      <c r="U2193">
        <f>VLOOKUP(Auto_Sales_data___Copy[[#This Row],[CUSTOMER_NAME]],$AF$2:$AH$90,2,FALSE)</f>
        <v>16</v>
      </c>
      <c r="V2193">
        <f>VLOOKUP(Auto_Sales_data___Copy[[#This Row],[CUSTOMER_NAME]],$AF$2:$AH$90,3,FALSE)</f>
        <v>57756.43</v>
      </c>
      <c r="W2193" s="2">
        <f>6-MATCH(Auto_Sales_data___Copy[[#This Row],[DAYS_SINCE_LAST_ORDER]],Table2[R-Cutoff],1)</f>
        <v>2</v>
      </c>
      <c r="X2193" s="2">
        <f>MATCH(Auto_Sales_data___Copy[[#This Row],[Total_Orders_Per_Customer]],Table2[F-Cutoff],1)</f>
        <v>1</v>
      </c>
      <c r="Y2193" s="2">
        <f>MATCH(Auto_Sales_data___Copy[[#This Row],[Total_Sales_Per_Customer]],Table2[M-Cutoff],1)</f>
        <v>1</v>
      </c>
      <c r="Z2193" s="2" t="str">
        <f>Auto_Sales_data___Copy[[#This Row],[R-Score(1-5)]]&amp;Auto_Sales_data___Copy[[#This Row],[F-Score(1-5)]]&amp;Auto_Sales_data___Copy[[#This Row],[M-Score(1-5)]]</f>
        <v>211</v>
      </c>
      <c r="AA2193" s="2" t="str" cm="1">
        <f t="array" ref="AA21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3" s="2" t="str">
        <f>VLOOKUP(Auto_Sales_data___Copy[[#This Row],[Segment Name]],Table3[],2,FALSE)</f>
        <v>Re-Activation &amp; Re-Engagement</v>
      </c>
    </row>
    <row r="2194" spans="1:28" x14ac:dyDescent="0.25">
      <c r="A2194">
        <v>10297</v>
      </c>
      <c r="B2194">
        <v>28</v>
      </c>
      <c r="C2194">
        <v>79.8</v>
      </c>
      <c r="D2194">
        <v>7</v>
      </c>
      <c r="E2194">
        <v>2234.4</v>
      </c>
      <c r="F2194" s="1">
        <v>43724</v>
      </c>
      <c r="G2194" s="2" t="s">
        <v>19</v>
      </c>
      <c r="H2194" s="2" t="s">
        <v>589</v>
      </c>
      <c r="I2194">
        <v>68</v>
      </c>
      <c r="J2194" s="2" t="s">
        <v>700</v>
      </c>
      <c r="K2194" s="2" t="s">
        <v>510</v>
      </c>
      <c r="L2194" s="2" t="s">
        <v>511</v>
      </c>
      <c r="M2194" s="2" t="s">
        <v>512</v>
      </c>
      <c r="N2194" s="2" t="s">
        <v>513</v>
      </c>
      <c r="O2194" s="2" t="s">
        <v>514</v>
      </c>
      <c r="P2194" s="2" t="s">
        <v>515</v>
      </c>
      <c r="Q2194" s="2" t="s">
        <v>516</v>
      </c>
      <c r="R2194" s="2" t="s">
        <v>517</v>
      </c>
      <c r="S2194" s="2" t="s">
        <v>30</v>
      </c>
      <c r="T2194">
        <v>2503</v>
      </c>
      <c r="U2194">
        <f>VLOOKUP(Auto_Sales_data___Copy[[#This Row],[CUSTOMER_NAME]],$AF$2:$AH$90,2,FALSE)</f>
        <v>16</v>
      </c>
      <c r="V2194">
        <f>VLOOKUP(Auto_Sales_data___Copy[[#This Row],[CUSTOMER_NAME]],$AF$2:$AH$90,3,FALSE)</f>
        <v>57756.43</v>
      </c>
      <c r="W2194" s="2">
        <f>6-MATCH(Auto_Sales_data___Copy[[#This Row],[DAYS_SINCE_LAST_ORDER]],Table2[R-Cutoff],1)</f>
        <v>2</v>
      </c>
      <c r="X2194" s="2">
        <f>MATCH(Auto_Sales_data___Copy[[#This Row],[Total_Orders_Per_Customer]],Table2[F-Cutoff],1)</f>
        <v>1</v>
      </c>
      <c r="Y2194" s="2">
        <f>MATCH(Auto_Sales_data___Copy[[#This Row],[Total_Sales_Per_Customer]],Table2[M-Cutoff],1)</f>
        <v>1</v>
      </c>
      <c r="Z2194" s="2" t="str">
        <f>Auto_Sales_data___Copy[[#This Row],[R-Score(1-5)]]&amp;Auto_Sales_data___Copy[[#This Row],[F-Score(1-5)]]&amp;Auto_Sales_data___Copy[[#This Row],[M-Score(1-5)]]</f>
        <v>211</v>
      </c>
      <c r="AA2194" s="2" t="str" cm="1">
        <f t="array" ref="AA21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4" s="2" t="str">
        <f>VLOOKUP(Auto_Sales_data___Copy[[#This Row],[Segment Name]],Table3[],2,FALSE)</f>
        <v>Re-Activation &amp; Re-Engagement</v>
      </c>
    </row>
    <row r="2195" spans="1:28" x14ac:dyDescent="0.25">
      <c r="A2195">
        <v>10303</v>
      </c>
      <c r="B2195">
        <v>24</v>
      </c>
      <c r="C2195">
        <v>40.21</v>
      </c>
      <c r="D2195">
        <v>1</v>
      </c>
      <c r="E2195">
        <v>965.04</v>
      </c>
      <c r="F2195" s="1">
        <v>43744</v>
      </c>
      <c r="G2195" s="2" t="s">
        <v>19</v>
      </c>
      <c r="H2195" s="2" t="s">
        <v>589</v>
      </c>
      <c r="I2195">
        <v>41</v>
      </c>
      <c r="J2195" s="2" t="s">
        <v>689</v>
      </c>
      <c r="K2195" s="2" t="s">
        <v>555</v>
      </c>
      <c r="L2195" s="2" t="s">
        <v>556</v>
      </c>
      <c r="M2195" s="2" t="s">
        <v>557</v>
      </c>
      <c r="N2195" s="2" t="s">
        <v>558</v>
      </c>
      <c r="O2195" s="2" t="s">
        <v>559</v>
      </c>
      <c r="P2195" s="2" t="s">
        <v>180</v>
      </c>
      <c r="Q2195" s="2" t="s">
        <v>560</v>
      </c>
      <c r="R2195" s="2" t="s">
        <v>561</v>
      </c>
      <c r="S2195" s="2" t="s">
        <v>30</v>
      </c>
      <c r="T2195">
        <v>2211</v>
      </c>
      <c r="U2195">
        <f>VLOOKUP(Auto_Sales_data___Copy[[#This Row],[CUSTOMER_NAME]],$AF$2:$AH$90,2,FALSE)</f>
        <v>15</v>
      </c>
      <c r="V2195">
        <f>VLOOKUP(Auto_Sales_data___Copy[[#This Row],[CUSTOMER_NAME]],$AF$2:$AH$90,3,FALSE)</f>
        <v>54723.62</v>
      </c>
      <c r="W2195" s="2">
        <f>6-MATCH(Auto_Sales_data___Copy[[#This Row],[DAYS_SINCE_LAST_ORDER]],Table2[R-Cutoff],1)</f>
        <v>2</v>
      </c>
      <c r="X2195" s="2">
        <f>MATCH(Auto_Sales_data___Copy[[#This Row],[Total_Orders_Per_Customer]],Table2[F-Cutoff],1)</f>
        <v>1</v>
      </c>
      <c r="Y2195" s="2">
        <f>MATCH(Auto_Sales_data___Copy[[#This Row],[Total_Sales_Per_Customer]],Table2[M-Cutoff],1)</f>
        <v>1</v>
      </c>
      <c r="Z2195" s="2" t="str">
        <f>Auto_Sales_data___Copy[[#This Row],[R-Score(1-5)]]&amp;Auto_Sales_data___Copy[[#This Row],[F-Score(1-5)]]&amp;Auto_Sales_data___Copy[[#This Row],[M-Score(1-5)]]</f>
        <v>211</v>
      </c>
      <c r="AA2195" s="2" t="str" cm="1">
        <f t="array" ref="AA21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5" s="2" t="str">
        <f>VLOOKUP(Auto_Sales_data___Copy[[#This Row],[Segment Name]],Table3[],2,FALSE)</f>
        <v>Re-Activation &amp; Re-Engagement</v>
      </c>
    </row>
    <row r="2196" spans="1:28" x14ac:dyDescent="0.25">
      <c r="A2196">
        <v>10319</v>
      </c>
      <c r="B2196">
        <v>43</v>
      </c>
      <c r="C2196">
        <v>85.69</v>
      </c>
      <c r="D2196">
        <v>2</v>
      </c>
      <c r="E2196">
        <v>3684.67</v>
      </c>
      <c r="F2196" s="1">
        <v>43772</v>
      </c>
      <c r="G2196" s="2" t="s">
        <v>19</v>
      </c>
      <c r="H2196" s="2" t="s">
        <v>183</v>
      </c>
      <c r="I2196">
        <v>80</v>
      </c>
      <c r="J2196" s="2" t="s">
        <v>693</v>
      </c>
      <c r="K2196" s="2" t="s">
        <v>540</v>
      </c>
      <c r="L2196" s="2" t="s">
        <v>541</v>
      </c>
      <c r="M2196" s="2" t="s">
        <v>542</v>
      </c>
      <c r="N2196" s="2" t="s">
        <v>25</v>
      </c>
      <c r="O2196" s="2" t="s">
        <v>26</v>
      </c>
      <c r="P2196" s="2" t="s">
        <v>27</v>
      </c>
      <c r="Q2196" s="2" t="s">
        <v>543</v>
      </c>
      <c r="R2196" s="2" t="s">
        <v>544</v>
      </c>
      <c r="S2196" s="2" t="s">
        <v>46</v>
      </c>
      <c r="T2196">
        <v>2281</v>
      </c>
      <c r="U2196">
        <f>VLOOKUP(Auto_Sales_data___Copy[[#This Row],[CUSTOMER_NAME]],$AF$2:$AH$90,2,FALSE)</f>
        <v>10</v>
      </c>
      <c r="V2196">
        <f>VLOOKUP(Auto_Sales_data___Copy[[#This Row],[CUSTOMER_NAME]],$AF$2:$AH$90,3,FALSE)</f>
        <v>33144.930000000008</v>
      </c>
      <c r="W2196" s="2">
        <f>6-MATCH(Auto_Sales_data___Copy[[#This Row],[DAYS_SINCE_LAST_ORDER]],Table2[R-Cutoff],1)</f>
        <v>2</v>
      </c>
      <c r="X2196" s="2">
        <f>MATCH(Auto_Sales_data___Copy[[#This Row],[Total_Orders_Per_Customer]],Table2[F-Cutoff],1)</f>
        <v>1</v>
      </c>
      <c r="Y2196" s="2">
        <f>MATCH(Auto_Sales_data___Copy[[#This Row],[Total_Sales_Per_Customer]],Table2[M-Cutoff],1)</f>
        <v>1</v>
      </c>
      <c r="Z2196" s="2" t="str">
        <f>Auto_Sales_data___Copy[[#This Row],[R-Score(1-5)]]&amp;Auto_Sales_data___Copy[[#This Row],[F-Score(1-5)]]&amp;Auto_Sales_data___Copy[[#This Row],[M-Score(1-5)]]</f>
        <v>211</v>
      </c>
      <c r="AA2196" s="2" t="str" cm="1">
        <f t="array" ref="AA21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6" s="2" t="str">
        <f>VLOOKUP(Auto_Sales_data___Copy[[#This Row],[Segment Name]],Table3[],2,FALSE)</f>
        <v>Re-Activation &amp; Re-Engagement</v>
      </c>
    </row>
    <row r="2197" spans="1:28" x14ac:dyDescent="0.25">
      <c r="A2197">
        <v>10319</v>
      </c>
      <c r="B2197">
        <v>29</v>
      </c>
      <c r="C2197">
        <v>38.22</v>
      </c>
      <c r="D2197">
        <v>5</v>
      </c>
      <c r="E2197">
        <v>1108.3800000000001</v>
      </c>
      <c r="F2197" s="1">
        <v>43772</v>
      </c>
      <c r="G2197" s="2" t="s">
        <v>19</v>
      </c>
      <c r="H2197" s="2" t="s">
        <v>20</v>
      </c>
      <c r="I2197">
        <v>40</v>
      </c>
      <c r="J2197" s="2" t="s">
        <v>696</v>
      </c>
      <c r="K2197" s="2" t="s">
        <v>540</v>
      </c>
      <c r="L2197" s="2" t="s">
        <v>541</v>
      </c>
      <c r="M2197" s="2" t="s">
        <v>542</v>
      </c>
      <c r="N2197" s="2" t="s">
        <v>25</v>
      </c>
      <c r="O2197" s="2" t="s">
        <v>26</v>
      </c>
      <c r="P2197" s="2" t="s">
        <v>27</v>
      </c>
      <c r="Q2197" s="2" t="s">
        <v>543</v>
      </c>
      <c r="R2197" s="2" t="s">
        <v>544</v>
      </c>
      <c r="S2197" s="2" t="s">
        <v>30</v>
      </c>
      <c r="T2197">
        <v>2355</v>
      </c>
      <c r="U2197">
        <f>VLOOKUP(Auto_Sales_data___Copy[[#This Row],[CUSTOMER_NAME]],$AF$2:$AH$90,2,FALSE)</f>
        <v>10</v>
      </c>
      <c r="V2197">
        <f>VLOOKUP(Auto_Sales_data___Copy[[#This Row],[CUSTOMER_NAME]],$AF$2:$AH$90,3,FALSE)</f>
        <v>33144.930000000008</v>
      </c>
      <c r="W2197" s="2">
        <f>6-MATCH(Auto_Sales_data___Copy[[#This Row],[DAYS_SINCE_LAST_ORDER]],Table2[R-Cutoff],1)</f>
        <v>2</v>
      </c>
      <c r="X2197" s="2">
        <f>MATCH(Auto_Sales_data___Copy[[#This Row],[Total_Orders_Per_Customer]],Table2[F-Cutoff],1)</f>
        <v>1</v>
      </c>
      <c r="Y2197" s="2">
        <f>MATCH(Auto_Sales_data___Copy[[#This Row],[Total_Sales_Per_Customer]],Table2[M-Cutoff],1)</f>
        <v>1</v>
      </c>
      <c r="Z2197" s="2" t="str">
        <f>Auto_Sales_data___Copy[[#This Row],[R-Score(1-5)]]&amp;Auto_Sales_data___Copy[[#This Row],[F-Score(1-5)]]&amp;Auto_Sales_data___Copy[[#This Row],[M-Score(1-5)]]</f>
        <v>211</v>
      </c>
      <c r="AA2197" s="2" t="str" cm="1">
        <f t="array" ref="AA21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7" s="2" t="str">
        <f>VLOOKUP(Auto_Sales_data___Copy[[#This Row],[Segment Name]],Table3[],2,FALSE)</f>
        <v>Re-Activation &amp; Re-Engagement</v>
      </c>
    </row>
    <row r="2198" spans="1:28" x14ac:dyDescent="0.25">
      <c r="A2198">
        <v>10319</v>
      </c>
      <c r="B2198">
        <v>22</v>
      </c>
      <c r="C2198">
        <v>119.4</v>
      </c>
      <c r="D2198">
        <v>8</v>
      </c>
      <c r="E2198">
        <v>2626.8</v>
      </c>
      <c r="F2198" s="1">
        <v>43772</v>
      </c>
      <c r="G2198" s="2" t="s">
        <v>19</v>
      </c>
      <c r="H2198" s="2" t="s">
        <v>20</v>
      </c>
      <c r="I2198">
        <v>102</v>
      </c>
      <c r="J2198" s="2" t="s">
        <v>701</v>
      </c>
      <c r="K2198" s="2" t="s">
        <v>540</v>
      </c>
      <c r="L2198" s="2" t="s">
        <v>541</v>
      </c>
      <c r="M2198" s="2" t="s">
        <v>542</v>
      </c>
      <c r="N2198" s="2" t="s">
        <v>25</v>
      </c>
      <c r="O2198" s="2" t="s">
        <v>26</v>
      </c>
      <c r="P2198" s="2" t="s">
        <v>27</v>
      </c>
      <c r="Q2198" s="2" t="s">
        <v>543</v>
      </c>
      <c r="R2198" s="2" t="s">
        <v>544</v>
      </c>
      <c r="S2198" s="2" t="s">
        <v>30</v>
      </c>
      <c r="T2198">
        <v>2483</v>
      </c>
      <c r="U2198">
        <f>VLOOKUP(Auto_Sales_data___Copy[[#This Row],[CUSTOMER_NAME]],$AF$2:$AH$90,2,FALSE)</f>
        <v>10</v>
      </c>
      <c r="V2198">
        <f>VLOOKUP(Auto_Sales_data___Copy[[#This Row],[CUSTOMER_NAME]],$AF$2:$AH$90,3,FALSE)</f>
        <v>33144.930000000008</v>
      </c>
      <c r="W2198" s="2">
        <f>6-MATCH(Auto_Sales_data___Copy[[#This Row],[DAYS_SINCE_LAST_ORDER]],Table2[R-Cutoff],1)</f>
        <v>2</v>
      </c>
      <c r="X2198" s="2">
        <f>MATCH(Auto_Sales_data___Copy[[#This Row],[Total_Orders_Per_Customer]],Table2[F-Cutoff],1)</f>
        <v>1</v>
      </c>
      <c r="Y2198" s="2">
        <f>MATCH(Auto_Sales_data___Copy[[#This Row],[Total_Sales_Per_Customer]],Table2[M-Cutoff],1)</f>
        <v>1</v>
      </c>
      <c r="Z2198" s="2" t="str">
        <f>Auto_Sales_data___Copy[[#This Row],[R-Score(1-5)]]&amp;Auto_Sales_data___Copy[[#This Row],[F-Score(1-5)]]&amp;Auto_Sales_data___Copy[[#This Row],[M-Score(1-5)]]</f>
        <v>211</v>
      </c>
      <c r="AA2198" s="2" t="str" cm="1">
        <f t="array" ref="AA21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8" s="2" t="str">
        <f>VLOOKUP(Auto_Sales_data___Copy[[#This Row],[Segment Name]],Table3[],2,FALSE)</f>
        <v>Re-Activation &amp; Re-Engagement</v>
      </c>
    </row>
    <row r="2199" spans="1:28" x14ac:dyDescent="0.25">
      <c r="A2199">
        <v>10104</v>
      </c>
      <c r="B2199">
        <v>26</v>
      </c>
      <c r="C2199">
        <v>112.37</v>
      </c>
      <c r="D2199">
        <v>5</v>
      </c>
      <c r="E2199">
        <v>2921.62</v>
      </c>
      <c r="F2199" s="1">
        <v>43131</v>
      </c>
      <c r="G2199" s="2" t="s">
        <v>19</v>
      </c>
      <c r="H2199" s="2" t="s">
        <v>183</v>
      </c>
      <c r="I2199">
        <v>118</v>
      </c>
      <c r="J2199" s="2" t="s">
        <v>690</v>
      </c>
      <c r="K2199" s="2" t="s">
        <v>175</v>
      </c>
      <c r="L2199" s="2" t="s">
        <v>176</v>
      </c>
      <c r="M2199" s="2" t="s">
        <v>177</v>
      </c>
      <c r="N2199" s="2" t="s">
        <v>178</v>
      </c>
      <c r="O2199" s="2" t="s">
        <v>179</v>
      </c>
      <c r="P2199" s="2" t="s">
        <v>180</v>
      </c>
      <c r="Q2199" s="2" t="s">
        <v>181</v>
      </c>
      <c r="R2199" s="2" t="s">
        <v>182</v>
      </c>
      <c r="S2199" s="2" t="s">
        <v>30</v>
      </c>
      <c r="T2199">
        <v>2832</v>
      </c>
      <c r="U2199">
        <f>VLOOKUP(Auto_Sales_data___Copy[[#This Row],[CUSTOMER_NAME]],$AF$2:$AH$90,2,FALSE)</f>
        <v>259</v>
      </c>
      <c r="V2199">
        <f>VLOOKUP(Auto_Sales_data___Copy[[#This Row],[CUSTOMER_NAME]],$AF$2:$AH$90,3,FALSE)</f>
        <v>912294.1100000001</v>
      </c>
      <c r="W2199" s="2">
        <f>6-MATCH(Auto_Sales_data___Copy[[#This Row],[DAYS_SINCE_LAST_ORDER]],Table2[R-Cutoff],1)</f>
        <v>1</v>
      </c>
      <c r="X2199" s="2">
        <f>MATCH(Auto_Sales_data___Copy[[#This Row],[Total_Orders_Per_Customer]],Table2[F-Cutoff],1)</f>
        <v>5</v>
      </c>
      <c r="Y2199" s="2">
        <f>MATCH(Auto_Sales_data___Copy[[#This Row],[Total_Sales_Per_Customer]],Table2[M-Cutoff],1)</f>
        <v>5</v>
      </c>
      <c r="Z2199" s="2" t="str">
        <f>Auto_Sales_data___Copy[[#This Row],[R-Score(1-5)]]&amp;Auto_Sales_data___Copy[[#This Row],[F-Score(1-5)]]&amp;Auto_Sales_data___Copy[[#This Row],[M-Score(1-5)]]</f>
        <v>155</v>
      </c>
      <c r="AA2199" s="2" t="str" cm="1">
        <f t="array" ref="AA21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99" s="2" t="str">
        <f>VLOOKUP(Auto_Sales_data___Copy[[#This Row],[Segment Name]],Table3[],2,FALSE)</f>
        <v>Brand Awareness &amp; Value Proposition</v>
      </c>
    </row>
    <row r="2200" spans="1:28" x14ac:dyDescent="0.25">
      <c r="A2200">
        <v>10104</v>
      </c>
      <c r="B2200">
        <v>35</v>
      </c>
      <c r="C2200">
        <v>47.62</v>
      </c>
      <c r="D2200">
        <v>11</v>
      </c>
      <c r="E2200">
        <v>1666.7</v>
      </c>
      <c r="F2200" s="1">
        <v>43131</v>
      </c>
      <c r="G2200" s="2" t="s">
        <v>19</v>
      </c>
      <c r="H2200" s="2" t="s">
        <v>537</v>
      </c>
      <c r="I2200">
        <v>54</v>
      </c>
      <c r="J2200" s="2" t="s">
        <v>697</v>
      </c>
      <c r="K2200" s="2" t="s">
        <v>175</v>
      </c>
      <c r="L2200" s="2" t="s">
        <v>176</v>
      </c>
      <c r="M2200" s="2" t="s">
        <v>177</v>
      </c>
      <c r="N2200" s="2" t="s">
        <v>178</v>
      </c>
      <c r="O2200" s="2" t="s">
        <v>179</v>
      </c>
      <c r="P2200" s="2" t="s">
        <v>180</v>
      </c>
      <c r="Q2200" s="2" t="s">
        <v>181</v>
      </c>
      <c r="R2200" s="2" t="s">
        <v>182</v>
      </c>
      <c r="S2200" s="2" t="s">
        <v>30</v>
      </c>
      <c r="T2200">
        <v>3004</v>
      </c>
      <c r="U2200">
        <f>VLOOKUP(Auto_Sales_data___Copy[[#This Row],[CUSTOMER_NAME]],$AF$2:$AH$90,2,FALSE)</f>
        <v>259</v>
      </c>
      <c r="V2200">
        <f>VLOOKUP(Auto_Sales_data___Copy[[#This Row],[CUSTOMER_NAME]],$AF$2:$AH$90,3,FALSE)</f>
        <v>912294.1100000001</v>
      </c>
      <c r="W2200" s="2">
        <f>6-MATCH(Auto_Sales_data___Copy[[#This Row],[DAYS_SINCE_LAST_ORDER]],Table2[R-Cutoff],1)</f>
        <v>1</v>
      </c>
      <c r="X2200" s="2">
        <f>MATCH(Auto_Sales_data___Copy[[#This Row],[Total_Orders_Per_Customer]],Table2[F-Cutoff],1)</f>
        <v>5</v>
      </c>
      <c r="Y2200" s="2">
        <f>MATCH(Auto_Sales_data___Copy[[#This Row],[Total_Sales_Per_Customer]],Table2[M-Cutoff],1)</f>
        <v>5</v>
      </c>
      <c r="Z2200" s="2" t="str">
        <f>Auto_Sales_data___Copy[[#This Row],[R-Score(1-5)]]&amp;Auto_Sales_data___Copy[[#This Row],[F-Score(1-5)]]&amp;Auto_Sales_data___Copy[[#This Row],[M-Score(1-5)]]</f>
        <v>155</v>
      </c>
      <c r="AA2200" s="2" t="str" cm="1">
        <f t="array" ref="AA22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0" s="2" t="str">
        <f>VLOOKUP(Auto_Sales_data___Copy[[#This Row],[Segment Name]],Table3[],2,FALSE)</f>
        <v>Brand Awareness &amp; Value Proposition</v>
      </c>
    </row>
    <row r="2201" spans="1:28" x14ac:dyDescent="0.25">
      <c r="A2201">
        <v>10104</v>
      </c>
      <c r="B2201">
        <v>49</v>
      </c>
      <c r="C2201">
        <v>65.87</v>
      </c>
      <c r="D2201">
        <v>4</v>
      </c>
      <c r="E2201">
        <v>3227.63</v>
      </c>
      <c r="F2201" s="1">
        <v>43131</v>
      </c>
      <c r="G2201" s="2" t="s">
        <v>19</v>
      </c>
      <c r="H2201" s="2" t="s">
        <v>650</v>
      </c>
      <c r="I2201">
        <v>62</v>
      </c>
      <c r="J2201" s="2" t="s">
        <v>698</v>
      </c>
      <c r="K2201" s="2" t="s">
        <v>175</v>
      </c>
      <c r="L2201" s="2" t="s">
        <v>176</v>
      </c>
      <c r="M2201" s="2" t="s">
        <v>177</v>
      </c>
      <c r="N2201" s="2" t="s">
        <v>178</v>
      </c>
      <c r="O2201" s="2" t="s">
        <v>179</v>
      </c>
      <c r="P2201" s="2" t="s">
        <v>180</v>
      </c>
      <c r="Q2201" s="2" t="s">
        <v>181</v>
      </c>
      <c r="R2201" s="2" t="s">
        <v>182</v>
      </c>
      <c r="S2201" s="2" t="s">
        <v>46</v>
      </c>
      <c r="T2201">
        <v>3032</v>
      </c>
      <c r="U2201">
        <f>VLOOKUP(Auto_Sales_data___Copy[[#This Row],[CUSTOMER_NAME]],$AF$2:$AH$90,2,FALSE)</f>
        <v>259</v>
      </c>
      <c r="V2201">
        <f>VLOOKUP(Auto_Sales_data___Copy[[#This Row],[CUSTOMER_NAME]],$AF$2:$AH$90,3,FALSE)</f>
        <v>912294.1100000001</v>
      </c>
      <c r="W2201" s="2">
        <f>6-MATCH(Auto_Sales_data___Copy[[#This Row],[DAYS_SINCE_LAST_ORDER]],Table2[R-Cutoff],1)</f>
        <v>1</v>
      </c>
      <c r="X2201" s="2">
        <f>MATCH(Auto_Sales_data___Copy[[#This Row],[Total_Orders_Per_Customer]],Table2[F-Cutoff],1)</f>
        <v>5</v>
      </c>
      <c r="Y2201" s="2">
        <f>MATCH(Auto_Sales_data___Copy[[#This Row],[Total_Sales_Per_Customer]],Table2[M-Cutoff],1)</f>
        <v>5</v>
      </c>
      <c r="Z2201" s="2" t="str">
        <f>Auto_Sales_data___Copy[[#This Row],[R-Score(1-5)]]&amp;Auto_Sales_data___Copy[[#This Row],[F-Score(1-5)]]&amp;Auto_Sales_data___Copy[[#This Row],[M-Score(1-5)]]</f>
        <v>155</v>
      </c>
      <c r="AA2201" s="2" t="str" cm="1">
        <f t="array" ref="AA22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1" s="2" t="str">
        <f>VLOOKUP(Auto_Sales_data___Copy[[#This Row],[Segment Name]],Table3[],2,FALSE)</f>
        <v>Brand Awareness &amp; Value Proposition</v>
      </c>
    </row>
    <row r="2202" spans="1:28" x14ac:dyDescent="0.25">
      <c r="A2202">
        <v>10104</v>
      </c>
      <c r="B2202">
        <v>33</v>
      </c>
      <c r="C2202">
        <v>112.28</v>
      </c>
      <c r="D2202">
        <v>7</v>
      </c>
      <c r="E2202">
        <v>3705.24</v>
      </c>
      <c r="F2202" s="1">
        <v>43131</v>
      </c>
      <c r="G2202" s="2" t="s">
        <v>19</v>
      </c>
      <c r="H2202" s="2" t="s">
        <v>537</v>
      </c>
      <c r="I2202">
        <v>115</v>
      </c>
      <c r="J2202" s="2" t="s">
        <v>703</v>
      </c>
      <c r="K2202" s="2" t="s">
        <v>175</v>
      </c>
      <c r="L2202" s="2" t="s">
        <v>176</v>
      </c>
      <c r="M2202" s="2" t="s">
        <v>177</v>
      </c>
      <c r="N2202" s="2" t="s">
        <v>178</v>
      </c>
      <c r="O2202" s="2" t="s">
        <v>179</v>
      </c>
      <c r="P2202" s="2" t="s">
        <v>180</v>
      </c>
      <c r="Q2202" s="2" t="s">
        <v>181</v>
      </c>
      <c r="R2202" s="2" t="s">
        <v>182</v>
      </c>
      <c r="S2202" s="2" t="s">
        <v>46</v>
      </c>
      <c r="T2202">
        <v>3158</v>
      </c>
      <c r="U2202">
        <f>VLOOKUP(Auto_Sales_data___Copy[[#This Row],[CUSTOMER_NAME]],$AF$2:$AH$90,2,FALSE)</f>
        <v>259</v>
      </c>
      <c r="V2202">
        <f>VLOOKUP(Auto_Sales_data___Copy[[#This Row],[CUSTOMER_NAME]],$AF$2:$AH$90,3,FALSE)</f>
        <v>912294.1100000001</v>
      </c>
      <c r="W2202" s="2">
        <f>6-MATCH(Auto_Sales_data___Copy[[#This Row],[DAYS_SINCE_LAST_ORDER]],Table2[R-Cutoff],1)</f>
        <v>1</v>
      </c>
      <c r="X2202" s="2">
        <f>MATCH(Auto_Sales_data___Copy[[#This Row],[Total_Orders_Per_Customer]],Table2[F-Cutoff],1)</f>
        <v>5</v>
      </c>
      <c r="Y2202" s="2">
        <f>MATCH(Auto_Sales_data___Copy[[#This Row],[Total_Sales_Per_Customer]],Table2[M-Cutoff],1)</f>
        <v>5</v>
      </c>
      <c r="Z2202" s="2" t="str">
        <f>Auto_Sales_data___Copy[[#This Row],[R-Score(1-5)]]&amp;Auto_Sales_data___Copy[[#This Row],[F-Score(1-5)]]&amp;Auto_Sales_data___Copy[[#This Row],[M-Score(1-5)]]</f>
        <v>155</v>
      </c>
      <c r="AA2202" s="2" t="str" cm="1">
        <f t="array" ref="AA22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2" s="2" t="str">
        <f>VLOOKUP(Auto_Sales_data___Copy[[#This Row],[Segment Name]],Table3[],2,FALSE)</f>
        <v>Brand Awareness &amp; Value Proposition</v>
      </c>
    </row>
    <row r="2203" spans="1:28" x14ac:dyDescent="0.25">
      <c r="A2203">
        <v>10104</v>
      </c>
      <c r="B2203">
        <v>32</v>
      </c>
      <c r="C2203">
        <v>53.31</v>
      </c>
      <c r="D2203">
        <v>2</v>
      </c>
      <c r="E2203">
        <v>1705.92</v>
      </c>
      <c r="F2203" s="1">
        <v>43131</v>
      </c>
      <c r="G2203" s="2" t="s">
        <v>19</v>
      </c>
      <c r="H2203" s="2" t="s">
        <v>650</v>
      </c>
      <c r="I2203">
        <v>58</v>
      </c>
      <c r="J2203" s="2" t="s">
        <v>704</v>
      </c>
      <c r="K2203" s="2" t="s">
        <v>175</v>
      </c>
      <c r="L2203" s="2" t="s">
        <v>176</v>
      </c>
      <c r="M2203" s="2" t="s">
        <v>177</v>
      </c>
      <c r="N2203" s="2" t="s">
        <v>178</v>
      </c>
      <c r="O2203" s="2" t="s">
        <v>179</v>
      </c>
      <c r="P2203" s="2" t="s">
        <v>180</v>
      </c>
      <c r="Q2203" s="2" t="s">
        <v>181</v>
      </c>
      <c r="R2203" s="2" t="s">
        <v>182</v>
      </c>
      <c r="S2203" s="2" t="s">
        <v>30</v>
      </c>
      <c r="T2203">
        <v>3186</v>
      </c>
      <c r="U2203">
        <f>VLOOKUP(Auto_Sales_data___Copy[[#This Row],[CUSTOMER_NAME]],$AF$2:$AH$90,2,FALSE)</f>
        <v>259</v>
      </c>
      <c r="V2203">
        <f>VLOOKUP(Auto_Sales_data___Copy[[#This Row],[CUSTOMER_NAME]],$AF$2:$AH$90,3,FALSE)</f>
        <v>912294.1100000001</v>
      </c>
      <c r="W2203" s="2">
        <f>6-MATCH(Auto_Sales_data___Copy[[#This Row],[DAYS_SINCE_LAST_ORDER]],Table2[R-Cutoff],1)</f>
        <v>1</v>
      </c>
      <c r="X2203" s="2">
        <f>MATCH(Auto_Sales_data___Copy[[#This Row],[Total_Orders_Per_Customer]],Table2[F-Cutoff],1)</f>
        <v>5</v>
      </c>
      <c r="Y2203" s="2">
        <f>MATCH(Auto_Sales_data___Copy[[#This Row],[Total_Sales_Per_Customer]],Table2[M-Cutoff],1)</f>
        <v>5</v>
      </c>
      <c r="Z2203" s="2" t="str">
        <f>Auto_Sales_data___Copy[[#This Row],[R-Score(1-5)]]&amp;Auto_Sales_data___Copy[[#This Row],[F-Score(1-5)]]&amp;Auto_Sales_data___Copy[[#This Row],[M-Score(1-5)]]</f>
        <v>155</v>
      </c>
      <c r="AA2203" s="2" t="str" cm="1">
        <f t="array" ref="AA22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3" s="2" t="str">
        <f>VLOOKUP(Auto_Sales_data___Copy[[#This Row],[Segment Name]],Table3[],2,FALSE)</f>
        <v>Brand Awareness &amp; Value Proposition</v>
      </c>
    </row>
    <row r="2204" spans="1:28" x14ac:dyDescent="0.25">
      <c r="A2204">
        <v>10128</v>
      </c>
      <c r="B2204">
        <v>32</v>
      </c>
      <c r="C2204">
        <v>97</v>
      </c>
      <c r="D2204">
        <v>3</v>
      </c>
      <c r="E2204">
        <v>3104</v>
      </c>
      <c r="F2204" s="1">
        <v>43257</v>
      </c>
      <c r="G2204" s="2" t="s">
        <v>19</v>
      </c>
      <c r="H2204" s="2" t="s">
        <v>642</v>
      </c>
      <c r="I2204">
        <v>86</v>
      </c>
      <c r="J2204" s="2" t="s">
        <v>708</v>
      </c>
      <c r="K2204" s="2" t="s">
        <v>175</v>
      </c>
      <c r="L2204" s="2" t="s">
        <v>176</v>
      </c>
      <c r="M2204" s="2" t="s">
        <v>177</v>
      </c>
      <c r="N2204" s="2" t="s">
        <v>178</v>
      </c>
      <c r="O2204" s="2" t="s">
        <v>179</v>
      </c>
      <c r="P2204" s="2" t="s">
        <v>180</v>
      </c>
      <c r="Q2204" s="2" t="s">
        <v>181</v>
      </c>
      <c r="R2204" s="2" t="s">
        <v>182</v>
      </c>
      <c r="S2204" s="2" t="s">
        <v>46</v>
      </c>
      <c r="T2204">
        <v>3164</v>
      </c>
      <c r="U2204">
        <f>VLOOKUP(Auto_Sales_data___Copy[[#This Row],[CUSTOMER_NAME]],$AF$2:$AH$90,2,FALSE)</f>
        <v>259</v>
      </c>
      <c r="V2204">
        <f>VLOOKUP(Auto_Sales_data___Copy[[#This Row],[CUSTOMER_NAME]],$AF$2:$AH$90,3,FALSE)</f>
        <v>912294.1100000001</v>
      </c>
      <c r="W2204" s="2">
        <f>6-MATCH(Auto_Sales_data___Copy[[#This Row],[DAYS_SINCE_LAST_ORDER]],Table2[R-Cutoff],1)</f>
        <v>1</v>
      </c>
      <c r="X2204" s="2">
        <f>MATCH(Auto_Sales_data___Copy[[#This Row],[Total_Orders_Per_Customer]],Table2[F-Cutoff],1)</f>
        <v>5</v>
      </c>
      <c r="Y2204" s="2">
        <f>MATCH(Auto_Sales_data___Copy[[#This Row],[Total_Sales_Per_Customer]],Table2[M-Cutoff],1)</f>
        <v>5</v>
      </c>
      <c r="Z2204" s="2" t="str">
        <f>Auto_Sales_data___Copy[[#This Row],[R-Score(1-5)]]&amp;Auto_Sales_data___Copy[[#This Row],[F-Score(1-5)]]&amp;Auto_Sales_data___Copy[[#This Row],[M-Score(1-5)]]</f>
        <v>155</v>
      </c>
      <c r="AA2204" s="2" t="str" cm="1">
        <f t="array" ref="AA22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4" s="2" t="str">
        <f>VLOOKUP(Auto_Sales_data___Copy[[#This Row],[Segment Name]],Table3[],2,FALSE)</f>
        <v>Brand Awareness &amp; Value Proposition</v>
      </c>
    </row>
    <row r="2205" spans="1:28" x14ac:dyDescent="0.25">
      <c r="A2205">
        <v>10133</v>
      </c>
      <c r="B2205">
        <v>46</v>
      </c>
      <c r="C2205">
        <v>77.52</v>
      </c>
      <c r="D2205">
        <v>4</v>
      </c>
      <c r="E2205">
        <v>3565.92</v>
      </c>
      <c r="F2205" s="1">
        <v>43278</v>
      </c>
      <c r="G2205" s="2" t="s">
        <v>19</v>
      </c>
      <c r="H2205" s="2" t="s">
        <v>607</v>
      </c>
      <c r="I2205">
        <v>72</v>
      </c>
      <c r="J2205" s="2" t="s">
        <v>692</v>
      </c>
      <c r="K2205" s="2" t="s">
        <v>175</v>
      </c>
      <c r="L2205" s="2" t="s">
        <v>176</v>
      </c>
      <c r="M2205" s="2" t="s">
        <v>177</v>
      </c>
      <c r="N2205" s="2" t="s">
        <v>178</v>
      </c>
      <c r="O2205" s="2" t="s">
        <v>179</v>
      </c>
      <c r="P2205" s="2" t="s">
        <v>180</v>
      </c>
      <c r="Q2205" s="2" t="s">
        <v>181</v>
      </c>
      <c r="R2205" s="2" t="s">
        <v>182</v>
      </c>
      <c r="S2205" s="2" t="s">
        <v>46</v>
      </c>
      <c r="T2205">
        <v>2737</v>
      </c>
      <c r="U2205">
        <f>VLOOKUP(Auto_Sales_data___Copy[[#This Row],[CUSTOMER_NAME]],$AF$2:$AH$90,2,FALSE)</f>
        <v>259</v>
      </c>
      <c r="V2205">
        <f>VLOOKUP(Auto_Sales_data___Copy[[#This Row],[CUSTOMER_NAME]],$AF$2:$AH$90,3,FALSE)</f>
        <v>912294.1100000001</v>
      </c>
      <c r="W2205" s="2">
        <f>6-MATCH(Auto_Sales_data___Copy[[#This Row],[DAYS_SINCE_LAST_ORDER]],Table2[R-Cutoff],1)</f>
        <v>1</v>
      </c>
      <c r="X2205" s="2">
        <f>MATCH(Auto_Sales_data___Copy[[#This Row],[Total_Orders_Per_Customer]],Table2[F-Cutoff],1)</f>
        <v>5</v>
      </c>
      <c r="Y2205" s="2">
        <f>MATCH(Auto_Sales_data___Copy[[#This Row],[Total_Sales_Per_Customer]],Table2[M-Cutoff],1)</f>
        <v>5</v>
      </c>
      <c r="Z2205" s="2" t="str">
        <f>Auto_Sales_data___Copy[[#This Row],[R-Score(1-5)]]&amp;Auto_Sales_data___Copy[[#This Row],[F-Score(1-5)]]&amp;Auto_Sales_data___Copy[[#This Row],[M-Score(1-5)]]</f>
        <v>155</v>
      </c>
      <c r="AA2205" s="2" t="str" cm="1">
        <f t="array" ref="AA22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5" s="2" t="str">
        <f>VLOOKUP(Auto_Sales_data___Copy[[#This Row],[Segment Name]],Table3[],2,FALSE)</f>
        <v>Brand Awareness &amp; Value Proposition</v>
      </c>
    </row>
    <row r="2206" spans="1:28" x14ac:dyDescent="0.25">
      <c r="A2206">
        <v>10133</v>
      </c>
      <c r="B2206">
        <v>23</v>
      </c>
      <c r="C2206">
        <v>114.87</v>
      </c>
      <c r="D2206">
        <v>1</v>
      </c>
      <c r="E2206">
        <v>2642.01</v>
      </c>
      <c r="F2206" s="1">
        <v>43278</v>
      </c>
      <c r="G2206" s="2" t="s">
        <v>19</v>
      </c>
      <c r="H2206" s="2" t="s">
        <v>20</v>
      </c>
      <c r="I2206">
        <v>99</v>
      </c>
      <c r="J2206" s="2" t="s">
        <v>695</v>
      </c>
      <c r="K2206" s="2" t="s">
        <v>175</v>
      </c>
      <c r="L2206" s="2" t="s">
        <v>176</v>
      </c>
      <c r="M2206" s="2" t="s">
        <v>177</v>
      </c>
      <c r="N2206" s="2" t="s">
        <v>178</v>
      </c>
      <c r="O2206" s="2" t="s">
        <v>179</v>
      </c>
      <c r="P2206" s="2" t="s">
        <v>180</v>
      </c>
      <c r="Q2206" s="2" t="s">
        <v>181</v>
      </c>
      <c r="R2206" s="2" t="s">
        <v>182</v>
      </c>
      <c r="S2206" s="2" t="s">
        <v>30</v>
      </c>
      <c r="T2206">
        <v>2811</v>
      </c>
      <c r="U2206">
        <f>VLOOKUP(Auto_Sales_data___Copy[[#This Row],[CUSTOMER_NAME]],$AF$2:$AH$90,2,FALSE)</f>
        <v>259</v>
      </c>
      <c r="V2206">
        <f>VLOOKUP(Auto_Sales_data___Copy[[#This Row],[CUSTOMER_NAME]],$AF$2:$AH$90,3,FALSE)</f>
        <v>912294.1100000001</v>
      </c>
      <c r="W2206" s="2">
        <f>6-MATCH(Auto_Sales_data___Copy[[#This Row],[DAYS_SINCE_LAST_ORDER]],Table2[R-Cutoff],1)</f>
        <v>1</v>
      </c>
      <c r="X2206" s="2">
        <f>MATCH(Auto_Sales_data___Copy[[#This Row],[Total_Orders_Per_Customer]],Table2[F-Cutoff],1)</f>
        <v>5</v>
      </c>
      <c r="Y2206" s="2">
        <f>MATCH(Auto_Sales_data___Copy[[#This Row],[Total_Sales_Per_Customer]],Table2[M-Cutoff],1)</f>
        <v>5</v>
      </c>
      <c r="Z2206" s="2" t="str">
        <f>Auto_Sales_data___Copy[[#This Row],[R-Score(1-5)]]&amp;Auto_Sales_data___Copy[[#This Row],[F-Score(1-5)]]&amp;Auto_Sales_data___Copy[[#This Row],[M-Score(1-5)]]</f>
        <v>155</v>
      </c>
      <c r="AA2206" s="2" t="str" cm="1">
        <f t="array" ref="AA22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6" s="2" t="str">
        <f>VLOOKUP(Auto_Sales_data___Copy[[#This Row],[Segment Name]],Table3[],2,FALSE)</f>
        <v>Brand Awareness &amp; Value Proposition</v>
      </c>
    </row>
    <row r="2207" spans="1:28" x14ac:dyDescent="0.25">
      <c r="A2207">
        <v>10133</v>
      </c>
      <c r="B2207">
        <v>49</v>
      </c>
      <c r="C2207">
        <v>57.1</v>
      </c>
      <c r="D2207">
        <v>6</v>
      </c>
      <c r="E2207">
        <v>2797.9</v>
      </c>
      <c r="F2207" s="1">
        <v>43278</v>
      </c>
      <c r="G2207" s="2" t="s">
        <v>19</v>
      </c>
      <c r="H2207" s="2" t="s">
        <v>589</v>
      </c>
      <c r="I2207">
        <v>68</v>
      </c>
      <c r="J2207" s="2" t="s">
        <v>700</v>
      </c>
      <c r="K2207" s="2" t="s">
        <v>175</v>
      </c>
      <c r="L2207" s="2" t="s">
        <v>176</v>
      </c>
      <c r="M2207" s="2" t="s">
        <v>177</v>
      </c>
      <c r="N2207" s="2" t="s">
        <v>178</v>
      </c>
      <c r="O2207" s="2" t="s">
        <v>179</v>
      </c>
      <c r="P2207" s="2" t="s">
        <v>180</v>
      </c>
      <c r="Q2207" s="2" t="s">
        <v>181</v>
      </c>
      <c r="R2207" s="2" t="s">
        <v>182</v>
      </c>
      <c r="S2207" s="2" t="s">
        <v>30</v>
      </c>
      <c r="T2207">
        <v>2939</v>
      </c>
      <c r="U2207">
        <f>VLOOKUP(Auto_Sales_data___Copy[[#This Row],[CUSTOMER_NAME]],$AF$2:$AH$90,2,FALSE)</f>
        <v>259</v>
      </c>
      <c r="V2207">
        <f>VLOOKUP(Auto_Sales_data___Copy[[#This Row],[CUSTOMER_NAME]],$AF$2:$AH$90,3,FALSE)</f>
        <v>912294.1100000001</v>
      </c>
      <c r="W2207" s="2">
        <f>6-MATCH(Auto_Sales_data___Copy[[#This Row],[DAYS_SINCE_LAST_ORDER]],Table2[R-Cutoff],1)</f>
        <v>1</v>
      </c>
      <c r="X2207" s="2">
        <f>MATCH(Auto_Sales_data___Copy[[#This Row],[Total_Orders_Per_Customer]],Table2[F-Cutoff],1)</f>
        <v>5</v>
      </c>
      <c r="Y2207" s="2">
        <f>MATCH(Auto_Sales_data___Copy[[#This Row],[Total_Sales_Per_Customer]],Table2[M-Cutoff],1)</f>
        <v>5</v>
      </c>
      <c r="Z2207" s="2" t="str">
        <f>Auto_Sales_data___Copy[[#This Row],[R-Score(1-5)]]&amp;Auto_Sales_data___Copy[[#This Row],[F-Score(1-5)]]&amp;Auto_Sales_data___Copy[[#This Row],[M-Score(1-5)]]</f>
        <v>155</v>
      </c>
      <c r="AA2207" s="2" t="str" cm="1">
        <f t="array" ref="AA22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7" s="2" t="str">
        <f>VLOOKUP(Auto_Sales_data___Copy[[#This Row],[Segment Name]],Table3[],2,FALSE)</f>
        <v>Brand Awareness &amp; Value Proposition</v>
      </c>
    </row>
    <row r="2208" spans="1:28" x14ac:dyDescent="0.25">
      <c r="A2208">
        <v>10133</v>
      </c>
      <c r="B2208">
        <v>27</v>
      </c>
      <c r="C2208">
        <v>50.19</v>
      </c>
      <c r="D2208">
        <v>7</v>
      </c>
      <c r="E2208">
        <v>1355.13</v>
      </c>
      <c r="F2208" s="1">
        <v>43278</v>
      </c>
      <c r="G2208" s="2" t="s">
        <v>19</v>
      </c>
      <c r="H2208" s="2" t="s">
        <v>589</v>
      </c>
      <c r="I2208">
        <v>43</v>
      </c>
      <c r="J2208" s="2" t="s">
        <v>702</v>
      </c>
      <c r="K2208" s="2" t="s">
        <v>175</v>
      </c>
      <c r="L2208" s="2" t="s">
        <v>176</v>
      </c>
      <c r="M2208" s="2" t="s">
        <v>177</v>
      </c>
      <c r="N2208" s="2" t="s">
        <v>178</v>
      </c>
      <c r="O2208" s="2" t="s">
        <v>179</v>
      </c>
      <c r="P2208" s="2" t="s">
        <v>180</v>
      </c>
      <c r="Q2208" s="2" t="s">
        <v>181</v>
      </c>
      <c r="R2208" s="2" t="s">
        <v>182</v>
      </c>
      <c r="S2208" s="2" t="s">
        <v>30</v>
      </c>
      <c r="T2208">
        <v>2987</v>
      </c>
      <c r="U2208">
        <f>VLOOKUP(Auto_Sales_data___Copy[[#This Row],[CUSTOMER_NAME]],$AF$2:$AH$90,2,FALSE)</f>
        <v>259</v>
      </c>
      <c r="V2208">
        <f>VLOOKUP(Auto_Sales_data___Copy[[#This Row],[CUSTOMER_NAME]],$AF$2:$AH$90,3,FALSE)</f>
        <v>912294.1100000001</v>
      </c>
      <c r="W2208" s="2">
        <f>6-MATCH(Auto_Sales_data___Copy[[#This Row],[DAYS_SINCE_LAST_ORDER]],Table2[R-Cutoff],1)</f>
        <v>1</v>
      </c>
      <c r="X2208" s="2">
        <f>MATCH(Auto_Sales_data___Copy[[#This Row],[Total_Orders_Per_Customer]],Table2[F-Cutoff],1)</f>
        <v>5</v>
      </c>
      <c r="Y2208" s="2">
        <f>MATCH(Auto_Sales_data___Copy[[#This Row],[Total_Sales_Per_Customer]],Table2[M-Cutoff],1)</f>
        <v>5</v>
      </c>
      <c r="Z2208" s="2" t="str">
        <f>Auto_Sales_data___Copy[[#This Row],[R-Score(1-5)]]&amp;Auto_Sales_data___Copy[[#This Row],[F-Score(1-5)]]&amp;Auto_Sales_data___Copy[[#This Row],[M-Score(1-5)]]</f>
        <v>155</v>
      </c>
      <c r="AA2208" s="2" t="str" cm="1">
        <f t="array" ref="AA22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8" s="2" t="str">
        <f>VLOOKUP(Auto_Sales_data___Copy[[#This Row],[Segment Name]],Table3[],2,FALSE)</f>
        <v>Brand Awareness &amp; Value Proposition</v>
      </c>
    </row>
    <row r="2209" spans="1:28" x14ac:dyDescent="0.25">
      <c r="A2209">
        <v>10133</v>
      </c>
      <c r="B2209">
        <v>24</v>
      </c>
      <c r="C2209">
        <v>77.64</v>
      </c>
      <c r="D2209">
        <v>8</v>
      </c>
      <c r="E2209">
        <v>1863.36</v>
      </c>
      <c r="F2209" s="1">
        <v>43278</v>
      </c>
      <c r="G2209" s="2" t="s">
        <v>19</v>
      </c>
      <c r="H2209" s="2" t="s">
        <v>607</v>
      </c>
      <c r="I2209">
        <v>91</v>
      </c>
      <c r="J2209" s="2" t="s">
        <v>707</v>
      </c>
      <c r="K2209" s="2" t="s">
        <v>175</v>
      </c>
      <c r="L2209" s="2" t="s">
        <v>176</v>
      </c>
      <c r="M2209" s="2" t="s">
        <v>177</v>
      </c>
      <c r="N2209" s="2" t="s">
        <v>178</v>
      </c>
      <c r="O2209" s="2" t="s">
        <v>179</v>
      </c>
      <c r="P2209" s="2" t="s">
        <v>180</v>
      </c>
      <c r="Q2209" s="2" t="s">
        <v>181</v>
      </c>
      <c r="R2209" s="2" t="s">
        <v>182</v>
      </c>
      <c r="S2209" s="2" t="s">
        <v>30</v>
      </c>
      <c r="T2209">
        <v>3117</v>
      </c>
      <c r="U2209">
        <f>VLOOKUP(Auto_Sales_data___Copy[[#This Row],[CUSTOMER_NAME]],$AF$2:$AH$90,2,FALSE)</f>
        <v>259</v>
      </c>
      <c r="V2209">
        <f>VLOOKUP(Auto_Sales_data___Copy[[#This Row],[CUSTOMER_NAME]],$AF$2:$AH$90,3,FALSE)</f>
        <v>912294.1100000001</v>
      </c>
      <c r="W2209" s="2">
        <f>6-MATCH(Auto_Sales_data___Copy[[#This Row],[DAYS_SINCE_LAST_ORDER]],Table2[R-Cutoff],1)</f>
        <v>1</v>
      </c>
      <c r="X2209" s="2">
        <f>MATCH(Auto_Sales_data___Copy[[#This Row],[Total_Orders_Per_Customer]],Table2[F-Cutoff],1)</f>
        <v>5</v>
      </c>
      <c r="Y2209" s="2">
        <f>MATCH(Auto_Sales_data___Copy[[#This Row],[Total_Sales_Per_Customer]],Table2[M-Cutoff],1)</f>
        <v>5</v>
      </c>
      <c r="Z2209" s="2" t="str">
        <f>Auto_Sales_data___Copy[[#This Row],[R-Score(1-5)]]&amp;Auto_Sales_data___Copy[[#This Row],[F-Score(1-5)]]&amp;Auto_Sales_data___Copy[[#This Row],[M-Score(1-5)]]</f>
        <v>155</v>
      </c>
      <c r="AA2209" s="2" t="str" cm="1">
        <f t="array" ref="AA22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9" s="2" t="str">
        <f>VLOOKUP(Auto_Sales_data___Copy[[#This Row],[Segment Name]],Table3[],2,FALSE)</f>
        <v>Brand Awareness &amp; Value Proposition</v>
      </c>
    </row>
    <row r="2210" spans="1:28" x14ac:dyDescent="0.25">
      <c r="A2210">
        <v>10133</v>
      </c>
      <c r="B2210">
        <v>27</v>
      </c>
      <c r="C2210">
        <v>99.67</v>
      </c>
      <c r="D2210">
        <v>2</v>
      </c>
      <c r="E2210">
        <v>2691.09</v>
      </c>
      <c r="F2210" s="1">
        <v>43278</v>
      </c>
      <c r="G2210" s="2" t="s">
        <v>19</v>
      </c>
      <c r="H2210" s="2" t="s">
        <v>607</v>
      </c>
      <c r="I2210">
        <v>118</v>
      </c>
      <c r="J2210" s="2" t="s">
        <v>713</v>
      </c>
      <c r="K2210" s="2" t="s">
        <v>175</v>
      </c>
      <c r="L2210" s="2" t="s">
        <v>176</v>
      </c>
      <c r="M2210" s="2" t="s">
        <v>177</v>
      </c>
      <c r="N2210" s="2" t="s">
        <v>178</v>
      </c>
      <c r="O2210" s="2" t="s">
        <v>179</v>
      </c>
      <c r="P2210" s="2" t="s">
        <v>180</v>
      </c>
      <c r="Q2210" s="2" t="s">
        <v>181</v>
      </c>
      <c r="R2210" s="2" t="s">
        <v>182</v>
      </c>
      <c r="S2210" s="2" t="s">
        <v>30</v>
      </c>
      <c r="T2210">
        <v>3273</v>
      </c>
      <c r="U2210">
        <f>VLOOKUP(Auto_Sales_data___Copy[[#This Row],[CUSTOMER_NAME]],$AF$2:$AH$90,2,FALSE)</f>
        <v>259</v>
      </c>
      <c r="V2210">
        <f>VLOOKUP(Auto_Sales_data___Copy[[#This Row],[CUSTOMER_NAME]],$AF$2:$AH$90,3,FALSE)</f>
        <v>912294.1100000001</v>
      </c>
      <c r="W2210" s="2">
        <f>6-MATCH(Auto_Sales_data___Copy[[#This Row],[DAYS_SINCE_LAST_ORDER]],Table2[R-Cutoff],1)</f>
        <v>1</v>
      </c>
      <c r="X2210" s="2">
        <f>MATCH(Auto_Sales_data___Copy[[#This Row],[Total_Orders_Per_Customer]],Table2[F-Cutoff],1)</f>
        <v>5</v>
      </c>
      <c r="Y2210" s="2">
        <f>MATCH(Auto_Sales_data___Copy[[#This Row],[Total_Sales_Per_Customer]],Table2[M-Cutoff],1)</f>
        <v>5</v>
      </c>
      <c r="Z2210" s="2" t="str">
        <f>Auto_Sales_data___Copy[[#This Row],[R-Score(1-5)]]&amp;Auto_Sales_data___Copy[[#This Row],[F-Score(1-5)]]&amp;Auto_Sales_data___Copy[[#This Row],[M-Score(1-5)]]</f>
        <v>155</v>
      </c>
      <c r="AA2210" s="2" t="str" cm="1">
        <f t="array" ref="AA22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0" s="2" t="str">
        <f>VLOOKUP(Auto_Sales_data___Copy[[#This Row],[Segment Name]],Table3[],2,FALSE)</f>
        <v>Brand Awareness &amp; Value Proposition</v>
      </c>
    </row>
    <row r="2211" spans="1:28" x14ac:dyDescent="0.25">
      <c r="A2211">
        <v>10153</v>
      </c>
      <c r="B2211">
        <v>31</v>
      </c>
      <c r="C2211">
        <v>57.41</v>
      </c>
      <c r="D2211">
        <v>13</v>
      </c>
      <c r="E2211">
        <v>1779.71</v>
      </c>
      <c r="F2211" s="1">
        <v>43371</v>
      </c>
      <c r="G2211" s="2" t="s">
        <v>19</v>
      </c>
      <c r="H2211" s="2" t="s">
        <v>650</v>
      </c>
      <c r="I2211">
        <v>58</v>
      </c>
      <c r="J2211" s="2" t="s">
        <v>704</v>
      </c>
      <c r="K2211" s="2" t="s">
        <v>175</v>
      </c>
      <c r="L2211" s="2" t="s">
        <v>176</v>
      </c>
      <c r="M2211" s="2" t="s">
        <v>177</v>
      </c>
      <c r="N2211" s="2" t="s">
        <v>178</v>
      </c>
      <c r="O2211" s="2" t="s">
        <v>179</v>
      </c>
      <c r="P2211" s="2" t="s">
        <v>180</v>
      </c>
      <c r="Q2211" s="2" t="s">
        <v>181</v>
      </c>
      <c r="R2211" s="2" t="s">
        <v>182</v>
      </c>
      <c r="S2211" s="2" t="s">
        <v>30</v>
      </c>
      <c r="T2211">
        <v>2950</v>
      </c>
      <c r="U2211">
        <f>VLOOKUP(Auto_Sales_data___Copy[[#This Row],[CUSTOMER_NAME]],$AF$2:$AH$90,2,FALSE)</f>
        <v>259</v>
      </c>
      <c r="V2211">
        <f>VLOOKUP(Auto_Sales_data___Copy[[#This Row],[CUSTOMER_NAME]],$AF$2:$AH$90,3,FALSE)</f>
        <v>912294.1100000001</v>
      </c>
      <c r="W2211" s="2">
        <f>6-MATCH(Auto_Sales_data___Copy[[#This Row],[DAYS_SINCE_LAST_ORDER]],Table2[R-Cutoff],1)</f>
        <v>1</v>
      </c>
      <c r="X2211" s="2">
        <f>MATCH(Auto_Sales_data___Copy[[#This Row],[Total_Orders_Per_Customer]],Table2[F-Cutoff],1)</f>
        <v>5</v>
      </c>
      <c r="Y2211" s="2">
        <f>MATCH(Auto_Sales_data___Copy[[#This Row],[Total_Sales_Per_Customer]],Table2[M-Cutoff],1)</f>
        <v>5</v>
      </c>
      <c r="Z2211" s="2" t="str">
        <f>Auto_Sales_data___Copy[[#This Row],[R-Score(1-5)]]&amp;Auto_Sales_data___Copy[[#This Row],[F-Score(1-5)]]&amp;Auto_Sales_data___Copy[[#This Row],[M-Score(1-5)]]</f>
        <v>155</v>
      </c>
      <c r="AA2211" s="2" t="str" cm="1">
        <f t="array" ref="AA22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1" s="2" t="str">
        <f>VLOOKUP(Auto_Sales_data___Copy[[#This Row],[Segment Name]],Table3[],2,FALSE)</f>
        <v>Brand Awareness &amp; Value Proposition</v>
      </c>
    </row>
    <row r="2212" spans="1:28" x14ac:dyDescent="0.25">
      <c r="A2212">
        <v>10153</v>
      </c>
      <c r="B2212">
        <v>43</v>
      </c>
      <c r="C2212">
        <v>64.67</v>
      </c>
      <c r="D2212">
        <v>1</v>
      </c>
      <c r="E2212">
        <v>2780.81</v>
      </c>
      <c r="F2212" s="1">
        <v>43371</v>
      </c>
      <c r="G2212" s="2" t="s">
        <v>19</v>
      </c>
      <c r="H2212" s="2" t="s">
        <v>642</v>
      </c>
      <c r="I2212">
        <v>66</v>
      </c>
      <c r="J2212" s="2" t="s">
        <v>706</v>
      </c>
      <c r="K2212" s="2" t="s">
        <v>175</v>
      </c>
      <c r="L2212" s="2" t="s">
        <v>176</v>
      </c>
      <c r="M2212" s="2" t="s">
        <v>177</v>
      </c>
      <c r="N2212" s="2" t="s">
        <v>178</v>
      </c>
      <c r="O2212" s="2" t="s">
        <v>179</v>
      </c>
      <c r="P2212" s="2" t="s">
        <v>180</v>
      </c>
      <c r="Q2212" s="2" t="s">
        <v>181</v>
      </c>
      <c r="R2212" s="2" t="s">
        <v>182</v>
      </c>
      <c r="S2212" s="2" t="s">
        <v>30</v>
      </c>
      <c r="T2212">
        <v>3000</v>
      </c>
      <c r="U2212">
        <f>VLOOKUP(Auto_Sales_data___Copy[[#This Row],[CUSTOMER_NAME]],$AF$2:$AH$90,2,FALSE)</f>
        <v>259</v>
      </c>
      <c r="V2212">
        <f>VLOOKUP(Auto_Sales_data___Copy[[#This Row],[CUSTOMER_NAME]],$AF$2:$AH$90,3,FALSE)</f>
        <v>912294.1100000001</v>
      </c>
      <c r="W2212" s="2">
        <f>6-MATCH(Auto_Sales_data___Copy[[#This Row],[DAYS_SINCE_LAST_ORDER]],Table2[R-Cutoff],1)</f>
        <v>1</v>
      </c>
      <c r="X2212" s="2">
        <f>MATCH(Auto_Sales_data___Copy[[#This Row],[Total_Orders_Per_Customer]],Table2[F-Cutoff],1)</f>
        <v>5</v>
      </c>
      <c r="Y2212" s="2">
        <f>MATCH(Auto_Sales_data___Copy[[#This Row],[Total_Sales_Per_Customer]],Table2[M-Cutoff],1)</f>
        <v>5</v>
      </c>
      <c r="Z2212" s="2" t="str">
        <f>Auto_Sales_data___Copy[[#This Row],[R-Score(1-5)]]&amp;Auto_Sales_data___Copy[[#This Row],[F-Score(1-5)]]&amp;Auto_Sales_data___Copy[[#This Row],[M-Score(1-5)]]</f>
        <v>155</v>
      </c>
      <c r="AA2212" s="2" t="str" cm="1">
        <f t="array" ref="AA22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2" s="2" t="str">
        <f>VLOOKUP(Auto_Sales_data___Copy[[#This Row],[Segment Name]],Table3[],2,FALSE)</f>
        <v>Brand Awareness &amp; Value Proposition</v>
      </c>
    </row>
    <row r="2213" spans="1:28" x14ac:dyDescent="0.25">
      <c r="A2213">
        <v>10153</v>
      </c>
      <c r="B2213">
        <v>31</v>
      </c>
      <c r="C2213">
        <v>87.48</v>
      </c>
      <c r="D2213">
        <v>8</v>
      </c>
      <c r="E2213">
        <v>2711.88</v>
      </c>
      <c r="F2213" s="1">
        <v>43371</v>
      </c>
      <c r="G2213" s="2" t="s">
        <v>19</v>
      </c>
      <c r="H2213" s="2" t="s">
        <v>642</v>
      </c>
      <c r="I2213">
        <v>86</v>
      </c>
      <c r="J2213" s="2" t="s">
        <v>708</v>
      </c>
      <c r="K2213" s="2" t="s">
        <v>175</v>
      </c>
      <c r="L2213" s="2" t="s">
        <v>176</v>
      </c>
      <c r="M2213" s="2" t="s">
        <v>177</v>
      </c>
      <c r="N2213" s="2" t="s">
        <v>178</v>
      </c>
      <c r="O2213" s="2" t="s">
        <v>179</v>
      </c>
      <c r="P2213" s="2" t="s">
        <v>180</v>
      </c>
      <c r="Q2213" s="2" t="s">
        <v>181</v>
      </c>
      <c r="R2213" s="2" t="s">
        <v>182</v>
      </c>
      <c r="S2213" s="2" t="s">
        <v>30</v>
      </c>
      <c r="T2213">
        <v>3052</v>
      </c>
      <c r="U2213">
        <f>VLOOKUP(Auto_Sales_data___Copy[[#This Row],[CUSTOMER_NAME]],$AF$2:$AH$90,2,FALSE)</f>
        <v>259</v>
      </c>
      <c r="V2213">
        <f>VLOOKUP(Auto_Sales_data___Copy[[#This Row],[CUSTOMER_NAME]],$AF$2:$AH$90,3,FALSE)</f>
        <v>912294.1100000001</v>
      </c>
      <c r="W2213" s="2">
        <f>6-MATCH(Auto_Sales_data___Copy[[#This Row],[DAYS_SINCE_LAST_ORDER]],Table2[R-Cutoff],1)</f>
        <v>1</v>
      </c>
      <c r="X2213" s="2">
        <f>MATCH(Auto_Sales_data___Copy[[#This Row],[Total_Orders_Per_Customer]],Table2[F-Cutoff],1)</f>
        <v>5</v>
      </c>
      <c r="Y2213" s="2">
        <f>MATCH(Auto_Sales_data___Copy[[#This Row],[Total_Sales_Per_Customer]],Table2[M-Cutoff],1)</f>
        <v>5</v>
      </c>
      <c r="Z2213" s="2" t="str">
        <f>Auto_Sales_data___Copy[[#This Row],[R-Score(1-5)]]&amp;Auto_Sales_data___Copy[[#This Row],[F-Score(1-5)]]&amp;Auto_Sales_data___Copy[[#This Row],[M-Score(1-5)]]</f>
        <v>155</v>
      </c>
      <c r="AA2213" s="2" t="str" cm="1">
        <f t="array" ref="AA22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3" s="2" t="str">
        <f>VLOOKUP(Auto_Sales_data___Copy[[#This Row],[Segment Name]],Table3[],2,FALSE)</f>
        <v>Brand Awareness &amp; Value Proposition</v>
      </c>
    </row>
    <row r="2214" spans="1:28" x14ac:dyDescent="0.25">
      <c r="A2214">
        <v>10153</v>
      </c>
      <c r="B2214">
        <v>50</v>
      </c>
      <c r="C2214">
        <v>88.15</v>
      </c>
      <c r="D2214">
        <v>2</v>
      </c>
      <c r="E2214">
        <v>4407.5</v>
      </c>
      <c r="F2214" s="1">
        <v>43371</v>
      </c>
      <c r="G2214" s="2" t="s">
        <v>19</v>
      </c>
      <c r="H2214" s="2" t="s">
        <v>642</v>
      </c>
      <c r="I2214">
        <v>100</v>
      </c>
      <c r="J2214" s="2" t="s">
        <v>715</v>
      </c>
      <c r="K2214" s="2" t="s">
        <v>175</v>
      </c>
      <c r="L2214" s="2" t="s">
        <v>176</v>
      </c>
      <c r="M2214" s="2" t="s">
        <v>177</v>
      </c>
      <c r="N2214" s="2" t="s">
        <v>178</v>
      </c>
      <c r="O2214" s="2" t="s">
        <v>179</v>
      </c>
      <c r="P2214" s="2" t="s">
        <v>180</v>
      </c>
      <c r="Q2214" s="2" t="s">
        <v>181</v>
      </c>
      <c r="R2214" s="2" t="s">
        <v>182</v>
      </c>
      <c r="S2214" s="2" t="s">
        <v>46</v>
      </c>
      <c r="T2214">
        <v>3232</v>
      </c>
      <c r="U2214">
        <f>VLOOKUP(Auto_Sales_data___Copy[[#This Row],[CUSTOMER_NAME]],$AF$2:$AH$90,2,FALSE)</f>
        <v>259</v>
      </c>
      <c r="V2214">
        <f>VLOOKUP(Auto_Sales_data___Copy[[#This Row],[CUSTOMER_NAME]],$AF$2:$AH$90,3,FALSE)</f>
        <v>912294.1100000001</v>
      </c>
      <c r="W2214" s="2">
        <f>6-MATCH(Auto_Sales_data___Copy[[#This Row],[DAYS_SINCE_LAST_ORDER]],Table2[R-Cutoff],1)</f>
        <v>1</v>
      </c>
      <c r="X2214" s="2">
        <f>MATCH(Auto_Sales_data___Copy[[#This Row],[Total_Orders_Per_Customer]],Table2[F-Cutoff],1)</f>
        <v>5</v>
      </c>
      <c r="Y2214" s="2">
        <f>MATCH(Auto_Sales_data___Copy[[#This Row],[Total_Sales_Per_Customer]],Table2[M-Cutoff],1)</f>
        <v>5</v>
      </c>
      <c r="Z2214" s="2" t="str">
        <f>Auto_Sales_data___Copy[[#This Row],[R-Score(1-5)]]&amp;Auto_Sales_data___Copy[[#This Row],[F-Score(1-5)]]&amp;Auto_Sales_data___Copy[[#This Row],[M-Score(1-5)]]</f>
        <v>155</v>
      </c>
      <c r="AA2214" s="2" t="str" cm="1">
        <f t="array" ref="AA22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4" s="2" t="str">
        <f>VLOOKUP(Auto_Sales_data___Copy[[#This Row],[Segment Name]],Table3[],2,FALSE)</f>
        <v>Brand Awareness &amp; Value Proposition</v>
      </c>
    </row>
    <row r="2215" spans="1:28" x14ac:dyDescent="0.25">
      <c r="A2215">
        <v>10153</v>
      </c>
      <c r="B2215">
        <v>20</v>
      </c>
      <c r="C2215">
        <v>110.23</v>
      </c>
      <c r="D2215">
        <v>3</v>
      </c>
      <c r="E2215">
        <v>2204.6</v>
      </c>
      <c r="F2215" s="1">
        <v>43371</v>
      </c>
      <c r="G2215" s="2" t="s">
        <v>19</v>
      </c>
      <c r="H2215" s="2" t="s">
        <v>642</v>
      </c>
      <c r="I2215">
        <v>99</v>
      </c>
      <c r="J2215" s="2" t="s">
        <v>716</v>
      </c>
      <c r="K2215" s="2" t="s">
        <v>175</v>
      </c>
      <c r="L2215" s="2" t="s">
        <v>176</v>
      </c>
      <c r="M2215" s="2" t="s">
        <v>177</v>
      </c>
      <c r="N2215" s="2" t="s">
        <v>178</v>
      </c>
      <c r="O2215" s="2" t="s">
        <v>179</v>
      </c>
      <c r="P2215" s="2" t="s">
        <v>180</v>
      </c>
      <c r="Q2215" s="2" t="s">
        <v>181</v>
      </c>
      <c r="R2215" s="2" t="s">
        <v>182</v>
      </c>
      <c r="S2215" s="2" t="s">
        <v>30</v>
      </c>
      <c r="T2215">
        <v>3258</v>
      </c>
      <c r="U2215">
        <f>VLOOKUP(Auto_Sales_data___Copy[[#This Row],[CUSTOMER_NAME]],$AF$2:$AH$90,2,FALSE)</f>
        <v>259</v>
      </c>
      <c r="V2215">
        <f>VLOOKUP(Auto_Sales_data___Copy[[#This Row],[CUSTOMER_NAME]],$AF$2:$AH$90,3,FALSE)</f>
        <v>912294.1100000001</v>
      </c>
      <c r="W2215" s="2">
        <f>6-MATCH(Auto_Sales_data___Copy[[#This Row],[DAYS_SINCE_LAST_ORDER]],Table2[R-Cutoff],1)</f>
        <v>1</v>
      </c>
      <c r="X2215" s="2">
        <f>MATCH(Auto_Sales_data___Copy[[#This Row],[Total_Orders_Per_Customer]],Table2[F-Cutoff],1)</f>
        <v>5</v>
      </c>
      <c r="Y2215" s="2">
        <f>MATCH(Auto_Sales_data___Copy[[#This Row],[Total_Sales_Per_Customer]],Table2[M-Cutoff],1)</f>
        <v>5</v>
      </c>
      <c r="Z2215" s="2" t="str">
        <f>Auto_Sales_data___Copy[[#This Row],[R-Score(1-5)]]&amp;Auto_Sales_data___Copy[[#This Row],[F-Score(1-5)]]&amp;Auto_Sales_data___Copy[[#This Row],[M-Score(1-5)]]</f>
        <v>155</v>
      </c>
      <c r="AA2215" s="2" t="str" cm="1">
        <f t="array" ref="AA22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5" s="2" t="str">
        <f>VLOOKUP(Auto_Sales_data___Copy[[#This Row],[Segment Name]],Table3[],2,FALSE)</f>
        <v>Brand Awareness &amp; Value Proposition</v>
      </c>
    </row>
    <row r="2216" spans="1:28" x14ac:dyDescent="0.25">
      <c r="A2216">
        <v>10153</v>
      </c>
      <c r="B2216">
        <v>50</v>
      </c>
      <c r="C2216">
        <v>60.06</v>
      </c>
      <c r="D2216">
        <v>4</v>
      </c>
      <c r="E2216">
        <v>3003</v>
      </c>
      <c r="F2216" s="1">
        <v>43371</v>
      </c>
      <c r="G2216" s="2" t="s">
        <v>19</v>
      </c>
      <c r="H2216" s="2" t="s">
        <v>642</v>
      </c>
      <c r="I2216">
        <v>54</v>
      </c>
      <c r="J2216" s="2" t="s">
        <v>719</v>
      </c>
      <c r="K2216" s="2" t="s">
        <v>175</v>
      </c>
      <c r="L2216" s="2" t="s">
        <v>176</v>
      </c>
      <c r="M2216" s="2" t="s">
        <v>177</v>
      </c>
      <c r="N2216" s="2" t="s">
        <v>178</v>
      </c>
      <c r="O2216" s="2" t="s">
        <v>179</v>
      </c>
      <c r="P2216" s="2" t="s">
        <v>180</v>
      </c>
      <c r="Q2216" s="2" t="s">
        <v>181</v>
      </c>
      <c r="R2216" s="2" t="s">
        <v>182</v>
      </c>
      <c r="S2216" s="2" t="s">
        <v>46</v>
      </c>
      <c r="T2216">
        <v>3337</v>
      </c>
      <c r="U2216">
        <f>VLOOKUP(Auto_Sales_data___Copy[[#This Row],[CUSTOMER_NAME]],$AF$2:$AH$90,2,FALSE)</f>
        <v>259</v>
      </c>
      <c r="V2216">
        <f>VLOOKUP(Auto_Sales_data___Copy[[#This Row],[CUSTOMER_NAME]],$AF$2:$AH$90,3,FALSE)</f>
        <v>912294.1100000001</v>
      </c>
      <c r="W2216" s="2">
        <f>6-MATCH(Auto_Sales_data___Copy[[#This Row],[DAYS_SINCE_LAST_ORDER]],Table2[R-Cutoff],1)</f>
        <v>1</v>
      </c>
      <c r="X2216" s="2">
        <f>MATCH(Auto_Sales_data___Copy[[#This Row],[Total_Orders_Per_Customer]],Table2[F-Cutoff],1)</f>
        <v>5</v>
      </c>
      <c r="Y2216" s="2">
        <f>MATCH(Auto_Sales_data___Copy[[#This Row],[Total_Sales_Per_Customer]],Table2[M-Cutoff],1)</f>
        <v>5</v>
      </c>
      <c r="Z2216" s="2" t="str">
        <f>Auto_Sales_data___Copy[[#This Row],[R-Score(1-5)]]&amp;Auto_Sales_data___Copy[[#This Row],[F-Score(1-5)]]&amp;Auto_Sales_data___Copy[[#This Row],[M-Score(1-5)]]</f>
        <v>155</v>
      </c>
      <c r="AA2216" s="2" t="str" cm="1">
        <f t="array" ref="AA22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6" s="2" t="str">
        <f>VLOOKUP(Auto_Sales_data___Copy[[#This Row],[Segment Name]],Table3[],2,FALSE)</f>
        <v>Brand Awareness &amp; Value Proposition</v>
      </c>
    </row>
    <row r="2217" spans="1:28" x14ac:dyDescent="0.25">
      <c r="A2217">
        <v>10156</v>
      </c>
      <c r="B2217">
        <v>20</v>
      </c>
      <c r="C2217">
        <v>41.02</v>
      </c>
      <c r="D2217">
        <v>1</v>
      </c>
      <c r="E2217">
        <v>820.4</v>
      </c>
      <c r="F2217" s="1">
        <v>43381</v>
      </c>
      <c r="G2217" s="2" t="s">
        <v>19</v>
      </c>
      <c r="H2217" s="2" t="s">
        <v>589</v>
      </c>
      <c r="I2217">
        <v>43</v>
      </c>
      <c r="J2217" s="2" t="s">
        <v>702</v>
      </c>
      <c r="K2217" s="2" t="s">
        <v>175</v>
      </c>
      <c r="L2217" s="2" t="s">
        <v>176</v>
      </c>
      <c r="M2217" s="2" t="s">
        <v>177</v>
      </c>
      <c r="N2217" s="2" t="s">
        <v>178</v>
      </c>
      <c r="O2217" s="2" t="s">
        <v>179</v>
      </c>
      <c r="P2217" s="2" t="s">
        <v>180</v>
      </c>
      <c r="Q2217" s="2" t="s">
        <v>181</v>
      </c>
      <c r="R2217" s="2" t="s">
        <v>182</v>
      </c>
      <c r="S2217" s="2" t="s">
        <v>30</v>
      </c>
      <c r="T2217">
        <v>2886</v>
      </c>
      <c r="U2217">
        <f>VLOOKUP(Auto_Sales_data___Copy[[#This Row],[CUSTOMER_NAME]],$AF$2:$AH$90,2,FALSE)</f>
        <v>259</v>
      </c>
      <c r="V2217">
        <f>VLOOKUP(Auto_Sales_data___Copy[[#This Row],[CUSTOMER_NAME]],$AF$2:$AH$90,3,FALSE)</f>
        <v>912294.1100000001</v>
      </c>
      <c r="W2217" s="2">
        <f>6-MATCH(Auto_Sales_data___Copy[[#This Row],[DAYS_SINCE_LAST_ORDER]],Table2[R-Cutoff],1)</f>
        <v>1</v>
      </c>
      <c r="X2217" s="2">
        <f>MATCH(Auto_Sales_data___Copy[[#This Row],[Total_Orders_Per_Customer]],Table2[F-Cutoff],1)</f>
        <v>5</v>
      </c>
      <c r="Y2217" s="2">
        <f>MATCH(Auto_Sales_data___Copy[[#This Row],[Total_Sales_Per_Customer]],Table2[M-Cutoff],1)</f>
        <v>5</v>
      </c>
      <c r="Z2217" s="2" t="str">
        <f>Auto_Sales_data___Copy[[#This Row],[R-Score(1-5)]]&amp;Auto_Sales_data___Copy[[#This Row],[F-Score(1-5)]]&amp;Auto_Sales_data___Copy[[#This Row],[M-Score(1-5)]]</f>
        <v>155</v>
      </c>
      <c r="AA2217" s="2" t="str" cm="1">
        <f t="array" ref="AA22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7" s="2" t="str">
        <f>VLOOKUP(Auto_Sales_data___Copy[[#This Row],[Segment Name]],Table3[],2,FALSE)</f>
        <v>Brand Awareness &amp; Value Proposition</v>
      </c>
    </row>
    <row r="2218" spans="1:28" x14ac:dyDescent="0.25">
      <c r="A2218">
        <v>10156</v>
      </c>
      <c r="B2218">
        <v>48</v>
      </c>
      <c r="C2218">
        <v>103.21</v>
      </c>
      <c r="D2218">
        <v>2</v>
      </c>
      <c r="E2218">
        <v>4954.08</v>
      </c>
      <c r="F2218" s="1">
        <v>43381</v>
      </c>
      <c r="G2218" s="2" t="s">
        <v>19</v>
      </c>
      <c r="H2218" s="2" t="s">
        <v>607</v>
      </c>
      <c r="I2218">
        <v>91</v>
      </c>
      <c r="J2218" s="2" t="s">
        <v>707</v>
      </c>
      <c r="K2218" s="2" t="s">
        <v>175</v>
      </c>
      <c r="L2218" s="2" t="s">
        <v>176</v>
      </c>
      <c r="M2218" s="2" t="s">
        <v>177</v>
      </c>
      <c r="N2218" s="2" t="s">
        <v>178</v>
      </c>
      <c r="O2218" s="2" t="s">
        <v>179</v>
      </c>
      <c r="P2218" s="2" t="s">
        <v>180</v>
      </c>
      <c r="Q2218" s="2" t="s">
        <v>181</v>
      </c>
      <c r="R2218" s="2" t="s">
        <v>182</v>
      </c>
      <c r="S2218" s="2" t="s">
        <v>46</v>
      </c>
      <c r="T2218">
        <v>3016</v>
      </c>
      <c r="U2218">
        <f>VLOOKUP(Auto_Sales_data___Copy[[#This Row],[CUSTOMER_NAME]],$AF$2:$AH$90,2,FALSE)</f>
        <v>259</v>
      </c>
      <c r="V2218">
        <f>VLOOKUP(Auto_Sales_data___Copy[[#This Row],[CUSTOMER_NAME]],$AF$2:$AH$90,3,FALSE)</f>
        <v>912294.1100000001</v>
      </c>
      <c r="W2218" s="2">
        <f>6-MATCH(Auto_Sales_data___Copy[[#This Row],[DAYS_SINCE_LAST_ORDER]],Table2[R-Cutoff],1)</f>
        <v>1</v>
      </c>
      <c r="X2218" s="2">
        <f>MATCH(Auto_Sales_data___Copy[[#This Row],[Total_Orders_Per_Customer]],Table2[F-Cutoff],1)</f>
        <v>5</v>
      </c>
      <c r="Y2218" s="2">
        <f>MATCH(Auto_Sales_data___Copy[[#This Row],[Total_Sales_Per_Customer]],Table2[M-Cutoff],1)</f>
        <v>5</v>
      </c>
      <c r="Z2218" s="2" t="str">
        <f>Auto_Sales_data___Copy[[#This Row],[R-Score(1-5)]]&amp;Auto_Sales_data___Copy[[#This Row],[F-Score(1-5)]]&amp;Auto_Sales_data___Copy[[#This Row],[M-Score(1-5)]]</f>
        <v>155</v>
      </c>
      <c r="AA2218" s="2" t="str" cm="1">
        <f t="array" ref="AA22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8" s="2" t="str">
        <f>VLOOKUP(Auto_Sales_data___Copy[[#This Row],[Segment Name]],Table3[],2,FALSE)</f>
        <v>Brand Awareness &amp; Value Proposition</v>
      </c>
    </row>
    <row r="2219" spans="1:28" x14ac:dyDescent="0.25">
      <c r="A2219">
        <v>10190</v>
      </c>
      <c r="B2219">
        <v>46</v>
      </c>
      <c r="C2219">
        <v>32.99</v>
      </c>
      <c r="D2219">
        <v>1</v>
      </c>
      <c r="E2219">
        <v>1517.54</v>
      </c>
      <c r="F2219" s="1">
        <v>43423</v>
      </c>
      <c r="G2219" s="2" t="s">
        <v>19</v>
      </c>
      <c r="H2219" s="2" t="s">
        <v>20</v>
      </c>
      <c r="I2219">
        <v>40</v>
      </c>
      <c r="J2219" s="2" t="s">
        <v>696</v>
      </c>
      <c r="K2219" s="2" t="s">
        <v>175</v>
      </c>
      <c r="L2219" s="2" t="s">
        <v>176</v>
      </c>
      <c r="M2219" s="2" t="s">
        <v>177</v>
      </c>
      <c r="N2219" s="2" t="s">
        <v>178</v>
      </c>
      <c r="O2219" s="2" t="s">
        <v>179</v>
      </c>
      <c r="P2219" s="2" t="s">
        <v>180</v>
      </c>
      <c r="Q2219" s="2" t="s">
        <v>181</v>
      </c>
      <c r="R2219" s="2" t="s">
        <v>182</v>
      </c>
      <c r="S2219" s="2" t="s">
        <v>30</v>
      </c>
      <c r="T2219">
        <v>2694</v>
      </c>
      <c r="U2219">
        <f>VLOOKUP(Auto_Sales_data___Copy[[#This Row],[CUSTOMER_NAME]],$AF$2:$AH$90,2,FALSE)</f>
        <v>259</v>
      </c>
      <c r="V2219">
        <f>VLOOKUP(Auto_Sales_data___Copy[[#This Row],[CUSTOMER_NAME]],$AF$2:$AH$90,3,FALSE)</f>
        <v>912294.1100000001</v>
      </c>
      <c r="W2219" s="2">
        <f>6-MATCH(Auto_Sales_data___Copy[[#This Row],[DAYS_SINCE_LAST_ORDER]],Table2[R-Cutoff],1)</f>
        <v>1</v>
      </c>
      <c r="X2219" s="2">
        <f>MATCH(Auto_Sales_data___Copy[[#This Row],[Total_Orders_Per_Customer]],Table2[F-Cutoff],1)</f>
        <v>5</v>
      </c>
      <c r="Y2219" s="2">
        <f>MATCH(Auto_Sales_data___Copy[[#This Row],[Total_Sales_Per_Customer]],Table2[M-Cutoff],1)</f>
        <v>5</v>
      </c>
      <c r="Z2219" s="2" t="str">
        <f>Auto_Sales_data___Copy[[#This Row],[R-Score(1-5)]]&amp;Auto_Sales_data___Copy[[#This Row],[F-Score(1-5)]]&amp;Auto_Sales_data___Copy[[#This Row],[M-Score(1-5)]]</f>
        <v>155</v>
      </c>
      <c r="AA2219" s="2" t="str" cm="1">
        <f t="array" ref="AA22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9" s="2" t="str">
        <f>VLOOKUP(Auto_Sales_data___Copy[[#This Row],[Segment Name]],Table3[],2,FALSE)</f>
        <v>Brand Awareness &amp; Value Proposition</v>
      </c>
    </row>
    <row r="2220" spans="1:28" x14ac:dyDescent="0.25">
      <c r="A2220">
        <v>10190</v>
      </c>
      <c r="B2220">
        <v>42</v>
      </c>
      <c r="C2220">
        <v>85.72</v>
      </c>
      <c r="D2220">
        <v>4</v>
      </c>
      <c r="E2220">
        <v>3600.24</v>
      </c>
      <c r="F2220" s="1">
        <v>43423</v>
      </c>
      <c r="G2220" s="2" t="s">
        <v>19</v>
      </c>
      <c r="H2220" s="2" t="s">
        <v>20</v>
      </c>
      <c r="I2220">
        <v>102</v>
      </c>
      <c r="J2220" s="2" t="s">
        <v>701</v>
      </c>
      <c r="K2220" s="2" t="s">
        <v>175</v>
      </c>
      <c r="L2220" s="2" t="s">
        <v>176</v>
      </c>
      <c r="M2220" s="2" t="s">
        <v>177</v>
      </c>
      <c r="N2220" s="2" t="s">
        <v>178</v>
      </c>
      <c r="O2220" s="2" t="s">
        <v>179</v>
      </c>
      <c r="P2220" s="2" t="s">
        <v>180</v>
      </c>
      <c r="Q2220" s="2" t="s">
        <v>181</v>
      </c>
      <c r="R2220" s="2" t="s">
        <v>182</v>
      </c>
      <c r="S2220" s="2" t="s">
        <v>46</v>
      </c>
      <c r="T2220">
        <v>2822</v>
      </c>
      <c r="U2220">
        <f>VLOOKUP(Auto_Sales_data___Copy[[#This Row],[CUSTOMER_NAME]],$AF$2:$AH$90,2,FALSE)</f>
        <v>259</v>
      </c>
      <c r="V2220">
        <f>VLOOKUP(Auto_Sales_data___Copy[[#This Row],[CUSTOMER_NAME]],$AF$2:$AH$90,3,FALSE)</f>
        <v>912294.1100000001</v>
      </c>
      <c r="W2220" s="2">
        <f>6-MATCH(Auto_Sales_data___Copy[[#This Row],[DAYS_SINCE_LAST_ORDER]],Table2[R-Cutoff],1)</f>
        <v>1</v>
      </c>
      <c r="X2220" s="2">
        <f>MATCH(Auto_Sales_data___Copy[[#This Row],[Total_Orders_Per_Customer]],Table2[F-Cutoff],1)</f>
        <v>5</v>
      </c>
      <c r="Y2220" s="2">
        <f>MATCH(Auto_Sales_data___Copy[[#This Row],[Total_Sales_Per_Customer]],Table2[M-Cutoff],1)</f>
        <v>5</v>
      </c>
      <c r="Z2220" s="2" t="str">
        <f>Auto_Sales_data___Copy[[#This Row],[R-Score(1-5)]]&amp;Auto_Sales_data___Copy[[#This Row],[F-Score(1-5)]]&amp;Auto_Sales_data___Copy[[#This Row],[M-Score(1-5)]]</f>
        <v>155</v>
      </c>
      <c r="AA2220" s="2" t="str" cm="1">
        <f t="array" ref="AA22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0" s="2" t="str">
        <f>VLOOKUP(Auto_Sales_data___Copy[[#This Row],[Segment Name]],Table3[],2,FALSE)</f>
        <v>Brand Awareness &amp; Value Proposition</v>
      </c>
    </row>
    <row r="2221" spans="1:28" x14ac:dyDescent="0.25">
      <c r="A2221">
        <v>10190</v>
      </c>
      <c r="B2221">
        <v>40</v>
      </c>
      <c r="C2221">
        <v>66.72</v>
      </c>
      <c r="D2221">
        <v>2</v>
      </c>
      <c r="E2221">
        <v>2668.8</v>
      </c>
      <c r="F2221" s="1">
        <v>43423</v>
      </c>
      <c r="G2221" s="2" t="s">
        <v>19</v>
      </c>
      <c r="H2221" s="2" t="s">
        <v>20</v>
      </c>
      <c r="I2221">
        <v>81</v>
      </c>
      <c r="J2221" s="2" t="s">
        <v>705</v>
      </c>
      <c r="K2221" s="2" t="s">
        <v>175</v>
      </c>
      <c r="L2221" s="2" t="s">
        <v>176</v>
      </c>
      <c r="M2221" s="2" t="s">
        <v>177</v>
      </c>
      <c r="N2221" s="2" t="s">
        <v>178</v>
      </c>
      <c r="O2221" s="2" t="s">
        <v>179</v>
      </c>
      <c r="P2221" s="2" t="s">
        <v>180</v>
      </c>
      <c r="Q2221" s="2" t="s">
        <v>181</v>
      </c>
      <c r="R2221" s="2" t="s">
        <v>182</v>
      </c>
      <c r="S2221" s="2" t="s">
        <v>30</v>
      </c>
      <c r="T2221">
        <v>2926</v>
      </c>
      <c r="U2221">
        <f>VLOOKUP(Auto_Sales_data___Copy[[#This Row],[CUSTOMER_NAME]],$AF$2:$AH$90,2,FALSE)</f>
        <v>259</v>
      </c>
      <c r="V2221">
        <f>VLOOKUP(Auto_Sales_data___Copy[[#This Row],[CUSTOMER_NAME]],$AF$2:$AH$90,3,FALSE)</f>
        <v>912294.1100000001</v>
      </c>
      <c r="W2221" s="2">
        <f>6-MATCH(Auto_Sales_data___Copy[[#This Row],[DAYS_SINCE_LAST_ORDER]],Table2[R-Cutoff],1)</f>
        <v>1</v>
      </c>
      <c r="X2221" s="2">
        <f>MATCH(Auto_Sales_data___Copy[[#This Row],[Total_Orders_Per_Customer]],Table2[F-Cutoff],1)</f>
        <v>5</v>
      </c>
      <c r="Y2221" s="2">
        <f>MATCH(Auto_Sales_data___Copy[[#This Row],[Total_Sales_Per_Customer]],Table2[M-Cutoff],1)</f>
        <v>5</v>
      </c>
      <c r="Z2221" s="2" t="str">
        <f>Auto_Sales_data___Copy[[#This Row],[R-Score(1-5)]]&amp;Auto_Sales_data___Copy[[#This Row],[F-Score(1-5)]]&amp;Auto_Sales_data___Copy[[#This Row],[M-Score(1-5)]]</f>
        <v>155</v>
      </c>
      <c r="AA2221" s="2" t="str" cm="1">
        <f t="array" ref="AA22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1" s="2" t="str">
        <f>VLOOKUP(Auto_Sales_data___Copy[[#This Row],[Segment Name]],Table3[],2,FALSE)</f>
        <v>Brand Awareness &amp; Value Proposition</v>
      </c>
    </row>
    <row r="2222" spans="1:28" x14ac:dyDescent="0.25">
      <c r="A2222">
        <v>10246</v>
      </c>
      <c r="B2222">
        <v>22</v>
      </c>
      <c r="C2222">
        <v>133.11000000000001</v>
      </c>
      <c r="D2222">
        <v>3</v>
      </c>
      <c r="E2222">
        <v>2928.42</v>
      </c>
      <c r="F2222" s="1">
        <v>43590</v>
      </c>
      <c r="G2222" s="2" t="s">
        <v>19</v>
      </c>
      <c r="H2222" s="2" t="s">
        <v>537</v>
      </c>
      <c r="I2222">
        <v>115</v>
      </c>
      <c r="J2222" s="2" t="s">
        <v>703</v>
      </c>
      <c r="K2222" s="2" t="s">
        <v>175</v>
      </c>
      <c r="L2222" s="2" t="s">
        <v>176</v>
      </c>
      <c r="M2222" s="2" t="s">
        <v>177</v>
      </c>
      <c r="N2222" s="2" t="s">
        <v>178</v>
      </c>
      <c r="O2222" s="2" t="s">
        <v>179</v>
      </c>
      <c r="P2222" s="2" t="s">
        <v>180</v>
      </c>
      <c r="Q2222" s="2" t="s">
        <v>181</v>
      </c>
      <c r="R2222" s="2" t="s">
        <v>182</v>
      </c>
      <c r="S2222" s="2" t="s">
        <v>30</v>
      </c>
      <c r="T2222">
        <v>2711</v>
      </c>
      <c r="U2222">
        <f>VLOOKUP(Auto_Sales_data___Copy[[#This Row],[CUSTOMER_NAME]],$AF$2:$AH$90,2,FALSE)</f>
        <v>259</v>
      </c>
      <c r="V2222">
        <f>VLOOKUP(Auto_Sales_data___Copy[[#This Row],[CUSTOMER_NAME]],$AF$2:$AH$90,3,FALSE)</f>
        <v>912294.1100000001</v>
      </c>
      <c r="W2222" s="2">
        <f>6-MATCH(Auto_Sales_data___Copy[[#This Row],[DAYS_SINCE_LAST_ORDER]],Table2[R-Cutoff],1)</f>
        <v>1</v>
      </c>
      <c r="X2222" s="2">
        <f>MATCH(Auto_Sales_data___Copy[[#This Row],[Total_Orders_Per_Customer]],Table2[F-Cutoff],1)</f>
        <v>5</v>
      </c>
      <c r="Y2222" s="2">
        <f>MATCH(Auto_Sales_data___Copy[[#This Row],[Total_Sales_Per_Customer]],Table2[M-Cutoff],1)</f>
        <v>5</v>
      </c>
      <c r="Z2222" s="2" t="str">
        <f>Auto_Sales_data___Copy[[#This Row],[R-Score(1-5)]]&amp;Auto_Sales_data___Copy[[#This Row],[F-Score(1-5)]]&amp;Auto_Sales_data___Copy[[#This Row],[M-Score(1-5)]]</f>
        <v>155</v>
      </c>
      <c r="AA2222" s="2" t="str" cm="1">
        <f t="array" ref="AA22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2" s="2" t="str">
        <f>VLOOKUP(Auto_Sales_data___Copy[[#This Row],[Segment Name]],Table3[],2,FALSE)</f>
        <v>Brand Awareness &amp; Value Proposition</v>
      </c>
    </row>
    <row r="2223" spans="1:28" x14ac:dyDescent="0.25">
      <c r="A2223">
        <v>10262</v>
      </c>
      <c r="B2223">
        <v>40</v>
      </c>
      <c r="C2223">
        <v>79.11</v>
      </c>
      <c r="D2223">
        <v>2</v>
      </c>
      <c r="E2223">
        <v>3164.4</v>
      </c>
      <c r="F2223" s="1">
        <v>43640</v>
      </c>
      <c r="G2223" s="2" t="s">
        <v>358</v>
      </c>
      <c r="H2223" s="2" t="s">
        <v>589</v>
      </c>
      <c r="I2223">
        <v>68</v>
      </c>
      <c r="J2223" s="2" t="s">
        <v>700</v>
      </c>
      <c r="K2223" s="2" t="s">
        <v>175</v>
      </c>
      <c r="L2223" s="2" t="s">
        <v>176</v>
      </c>
      <c r="M2223" s="2" t="s">
        <v>177</v>
      </c>
      <c r="N2223" s="2" t="s">
        <v>178</v>
      </c>
      <c r="O2223" s="2" t="s">
        <v>179</v>
      </c>
      <c r="P2223" s="2" t="s">
        <v>180</v>
      </c>
      <c r="Q2223" s="2" t="s">
        <v>181</v>
      </c>
      <c r="R2223" s="2" t="s">
        <v>182</v>
      </c>
      <c r="S2223" s="2" t="s">
        <v>46</v>
      </c>
      <c r="T2223">
        <v>2584</v>
      </c>
      <c r="U2223">
        <f>VLOOKUP(Auto_Sales_data___Copy[[#This Row],[CUSTOMER_NAME]],$AF$2:$AH$90,2,FALSE)</f>
        <v>259</v>
      </c>
      <c r="V2223">
        <f>VLOOKUP(Auto_Sales_data___Copy[[#This Row],[CUSTOMER_NAME]],$AF$2:$AH$90,3,FALSE)</f>
        <v>912294.1100000001</v>
      </c>
      <c r="W2223" s="2">
        <f>6-MATCH(Auto_Sales_data___Copy[[#This Row],[DAYS_SINCE_LAST_ORDER]],Table2[R-Cutoff],1)</f>
        <v>1</v>
      </c>
      <c r="X2223" s="2">
        <f>MATCH(Auto_Sales_data___Copy[[#This Row],[Total_Orders_Per_Customer]],Table2[F-Cutoff],1)</f>
        <v>5</v>
      </c>
      <c r="Y2223" s="2">
        <f>MATCH(Auto_Sales_data___Copy[[#This Row],[Total_Sales_Per_Customer]],Table2[M-Cutoff],1)</f>
        <v>5</v>
      </c>
      <c r="Z2223" s="2" t="str">
        <f>Auto_Sales_data___Copy[[#This Row],[R-Score(1-5)]]&amp;Auto_Sales_data___Copy[[#This Row],[F-Score(1-5)]]&amp;Auto_Sales_data___Copy[[#This Row],[M-Score(1-5)]]</f>
        <v>155</v>
      </c>
      <c r="AA2223" s="2" t="str" cm="1">
        <f t="array" ref="AA22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3" s="2" t="str">
        <f>VLOOKUP(Auto_Sales_data___Copy[[#This Row],[Segment Name]],Table3[],2,FALSE)</f>
        <v>Brand Awareness &amp; Value Proposition</v>
      </c>
    </row>
    <row r="2224" spans="1:28" x14ac:dyDescent="0.25">
      <c r="A2224">
        <v>10262</v>
      </c>
      <c r="B2224">
        <v>49</v>
      </c>
      <c r="C2224">
        <v>37.97</v>
      </c>
      <c r="D2224">
        <v>3</v>
      </c>
      <c r="E2224">
        <v>1860.53</v>
      </c>
      <c r="F2224" s="1">
        <v>43640</v>
      </c>
      <c r="G2224" s="2" t="s">
        <v>358</v>
      </c>
      <c r="H2224" s="2" t="s">
        <v>589</v>
      </c>
      <c r="I2224">
        <v>43</v>
      </c>
      <c r="J2224" s="2" t="s">
        <v>702</v>
      </c>
      <c r="K2224" s="2" t="s">
        <v>175</v>
      </c>
      <c r="L2224" s="2" t="s">
        <v>176</v>
      </c>
      <c r="M2224" s="2" t="s">
        <v>177</v>
      </c>
      <c r="N2224" s="2" t="s">
        <v>178</v>
      </c>
      <c r="O2224" s="2" t="s">
        <v>179</v>
      </c>
      <c r="P2224" s="2" t="s">
        <v>180</v>
      </c>
      <c r="Q2224" s="2" t="s">
        <v>181</v>
      </c>
      <c r="R2224" s="2" t="s">
        <v>182</v>
      </c>
      <c r="S2224" s="2" t="s">
        <v>30</v>
      </c>
      <c r="T2224">
        <v>2634</v>
      </c>
      <c r="U2224">
        <f>VLOOKUP(Auto_Sales_data___Copy[[#This Row],[CUSTOMER_NAME]],$AF$2:$AH$90,2,FALSE)</f>
        <v>259</v>
      </c>
      <c r="V2224">
        <f>VLOOKUP(Auto_Sales_data___Copy[[#This Row],[CUSTOMER_NAME]],$AF$2:$AH$90,3,FALSE)</f>
        <v>912294.1100000001</v>
      </c>
      <c r="W2224" s="2">
        <f>6-MATCH(Auto_Sales_data___Copy[[#This Row],[DAYS_SINCE_LAST_ORDER]],Table2[R-Cutoff],1)</f>
        <v>1</v>
      </c>
      <c r="X2224" s="2">
        <f>MATCH(Auto_Sales_data___Copy[[#This Row],[Total_Orders_Per_Customer]],Table2[F-Cutoff],1)</f>
        <v>5</v>
      </c>
      <c r="Y2224" s="2">
        <f>MATCH(Auto_Sales_data___Copy[[#This Row],[Total_Sales_Per_Customer]],Table2[M-Cutoff],1)</f>
        <v>5</v>
      </c>
      <c r="Z2224" s="2" t="str">
        <f>Auto_Sales_data___Copy[[#This Row],[R-Score(1-5)]]&amp;Auto_Sales_data___Copy[[#This Row],[F-Score(1-5)]]&amp;Auto_Sales_data___Copy[[#This Row],[M-Score(1-5)]]</f>
        <v>155</v>
      </c>
      <c r="AA2224" s="2" t="str" cm="1">
        <f t="array" ref="AA22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4" s="2" t="str">
        <f>VLOOKUP(Auto_Sales_data___Copy[[#This Row],[Segment Name]],Table3[],2,FALSE)</f>
        <v>Brand Awareness &amp; Value Proposition</v>
      </c>
    </row>
    <row r="2225" spans="1:28" x14ac:dyDescent="0.25">
      <c r="A2225">
        <v>10262</v>
      </c>
      <c r="B2225">
        <v>40</v>
      </c>
      <c r="C2225">
        <v>84.03</v>
      </c>
      <c r="D2225">
        <v>4</v>
      </c>
      <c r="E2225">
        <v>3361.2</v>
      </c>
      <c r="F2225" s="1">
        <v>43640</v>
      </c>
      <c r="G2225" s="2" t="s">
        <v>358</v>
      </c>
      <c r="H2225" s="2" t="s">
        <v>607</v>
      </c>
      <c r="I2225">
        <v>91</v>
      </c>
      <c r="J2225" s="2" t="s">
        <v>707</v>
      </c>
      <c r="K2225" s="2" t="s">
        <v>175</v>
      </c>
      <c r="L2225" s="2" t="s">
        <v>176</v>
      </c>
      <c r="M2225" s="2" t="s">
        <v>177</v>
      </c>
      <c r="N2225" s="2" t="s">
        <v>178</v>
      </c>
      <c r="O2225" s="2" t="s">
        <v>179</v>
      </c>
      <c r="P2225" s="2" t="s">
        <v>180</v>
      </c>
      <c r="Q2225" s="2" t="s">
        <v>181</v>
      </c>
      <c r="R2225" s="2" t="s">
        <v>182</v>
      </c>
      <c r="S2225" s="2" t="s">
        <v>46</v>
      </c>
      <c r="T2225">
        <v>2764</v>
      </c>
      <c r="U2225">
        <f>VLOOKUP(Auto_Sales_data___Copy[[#This Row],[CUSTOMER_NAME]],$AF$2:$AH$90,2,FALSE)</f>
        <v>259</v>
      </c>
      <c r="V2225">
        <f>VLOOKUP(Auto_Sales_data___Copy[[#This Row],[CUSTOMER_NAME]],$AF$2:$AH$90,3,FALSE)</f>
        <v>912294.1100000001</v>
      </c>
      <c r="W2225" s="2">
        <f>6-MATCH(Auto_Sales_data___Copy[[#This Row],[DAYS_SINCE_LAST_ORDER]],Table2[R-Cutoff],1)</f>
        <v>1</v>
      </c>
      <c r="X2225" s="2">
        <f>MATCH(Auto_Sales_data___Copy[[#This Row],[Total_Orders_Per_Customer]],Table2[F-Cutoff],1)</f>
        <v>5</v>
      </c>
      <c r="Y2225" s="2">
        <f>MATCH(Auto_Sales_data___Copy[[#This Row],[Total_Sales_Per_Customer]],Table2[M-Cutoff],1)</f>
        <v>5</v>
      </c>
      <c r="Z2225" s="2" t="str">
        <f>Auto_Sales_data___Copy[[#This Row],[R-Score(1-5)]]&amp;Auto_Sales_data___Copy[[#This Row],[F-Score(1-5)]]&amp;Auto_Sales_data___Copy[[#This Row],[M-Score(1-5)]]</f>
        <v>155</v>
      </c>
      <c r="AA2225" s="2" t="str" cm="1">
        <f t="array" ref="AA22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5" s="2" t="str">
        <f>VLOOKUP(Auto_Sales_data___Copy[[#This Row],[Segment Name]],Table3[],2,FALSE)</f>
        <v>Brand Awareness &amp; Value Proposition</v>
      </c>
    </row>
    <row r="2226" spans="1:28" x14ac:dyDescent="0.25">
      <c r="A2226">
        <v>10262</v>
      </c>
      <c r="B2226">
        <v>44</v>
      </c>
      <c r="C2226">
        <v>94.14</v>
      </c>
      <c r="D2226">
        <v>13</v>
      </c>
      <c r="E2226">
        <v>4142.16</v>
      </c>
      <c r="F2226" s="1">
        <v>43640</v>
      </c>
      <c r="G2226" s="2" t="s">
        <v>358</v>
      </c>
      <c r="H2226" s="2" t="s">
        <v>642</v>
      </c>
      <c r="I2226">
        <v>90</v>
      </c>
      <c r="J2226" s="2" t="s">
        <v>709</v>
      </c>
      <c r="K2226" s="2" t="s">
        <v>175</v>
      </c>
      <c r="L2226" s="2" t="s">
        <v>176</v>
      </c>
      <c r="M2226" s="2" t="s">
        <v>177</v>
      </c>
      <c r="N2226" s="2" t="s">
        <v>178</v>
      </c>
      <c r="O2226" s="2" t="s">
        <v>179</v>
      </c>
      <c r="P2226" s="2" t="s">
        <v>180</v>
      </c>
      <c r="Q2226" s="2" t="s">
        <v>181</v>
      </c>
      <c r="R2226" s="2" t="s">
        <v>182</v>
      </c>
      <c r="S2226" s="2" t="s">
        <v>46</v>
      </c>
      <c r="T2226">
        <v>2814</v>
      </c>
      <c r="U2226">
        <f>VLOOKUP(Auto_Sales_data___Copy[[#This Row],[CUSTOMER_NAME]],$AF$2:$AH$90,2,FALSE)</f>
        <v>259</v>
      </c>
      <c r="V2226">
        <f>VLOOKUP(Auto_Sales_data___Copy[[#This Row],[CUSTOMER_NAME]],$AF$2:$AH$90,3,FALSE)</f>
        <v>912294.1100000001</v>
      </c>
      <c r="W2226" s="2">
        <f>6-MATCH(Auto_Sales_data___Copy[[#This Row],[DAYS_SINCE_LAST_ORDER]],Table2[R-Cutoff],1)</f>
        <v>1</v>
      </c>
      <c r="X2226" s="2">
        <f>MATCH(Auto_Sales_data___Copy[[#This Row],[Total_Orders_Per_Customer]],Table2[F-Cutoff],1)</f>
        <v>5</v>
      </c>
      <c r="Y2226" s="2">
        <f>MATCH(Auto_Sales_data___Copy[[#This Row],[Total_Sales_Per_Customer]],Table2[M-Cutoff],1)</f>
        <v>5</v>
      </c>
      <c r="Z2226" s="2" t="str">
        <f>Auto_Sales_data___Copy[[#This Row],[R-Score(1-5)]]&amp;Auto_Sales_data___Copy[[#This Row],[F-Score(1-5)]]&amp;Auto_Sales_data___Copy[[#This Row],[M-Score(1-5)]]</f>
        <v>155</v>
      </c>
      <c r="AA2226" s="2" t="str" cm="1">
        <f t="array" ref="AA22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6" s="2" t="str">
        <f>VLOOKUP(Auto_Sales_data___Copy[[#This Row],[Segment Name]],Table3[],2,FALSE)</f>
        <v>Brand Awareness &amp; Value Proposition</v>
      </c>
    </row>
    <row r="2227" spans="1:28" x14ac:dyDescent="0.25">
      <c r="A2227">
        <v>10262</v>
      </c>
      <c r="B2227">
        <v>33</v>
      </c>
      <c r="C2227">
        <v>90.75</v>
      </c>
      <c r="D2227">
        <v>6</v>
      </c>
      <c r="E2227">
        <v>2994.75</v>
      </c>
      <c r="F2227" s="1">
        <v>43640</v>
      </c>
      <c r="G2227" s="2" t="s">
        <v>358</v>
      </c>
      <c r="H2227" s="2" t="s">
        <v>607</v>
      </c>
      <c r="I2227">
        <v>99</v>
      </c>
      <c r="J2227" s="2" t="s">
        <v>710</v>
      </c>
      <c r="K2227" s="2" t="s">
        <v>175</v>
      </c>
      <c r="L2227" s="2" t="s">
        <v>176</v>
      </c>
      <c r="M2227" s="2" t="s">
        <v>177</v>
      </c>
      <c r="N2227" s="2" t="s">
        <v>178</v>
      </c>
      <c r="O2227" s="2" t="s">
        <v>179</v>
      </c>
      <c r="P2227" s="2" t="s">
        <v>180</v>
      </c>
      <c r="Q2227" s="2" t="s">
        <v>181</v>
      </c>
      <c r="R2227" s="2" t="s">
        <v>182</v>
      </c>
      <c r="S2227" s="2" t="s">
        <v>30</v>
      </c>
      <c r="T2227">
        <v>2841</v>
      </c>
      <c r="U2227">
        <f>VLOOKUP(Auto_Sales_data___Copy[[#This Row],[CUSTOMER_NAME]],$AF$2:$AH$90,2,FALSE)</f>
        <v>259</v>
      </c>
      <c r="V2227">
        <f>VLOOKUP(Auto_Sales_data___Copy[[#This Row],[CUSTOMER_NAME]],$AF$2:$AH$90,3,FALSE)</f>
        <v>912294.1100000001</v>
      </c>
      <c r="W2227" s="2">
        <f>6-MATCH(Auto_Sales_data___Copy[[#This Row],[DAYS_SINCE_LAST_ORDER]],Table2[R-Cutoff],1)</f>
        <v>1</v>
      </c>
      <c r="X2227" s="2">
        <f>MATCH(Auto_Sales_data___Copy[[#This Row],[Total_Orders_Per_Customer]],Table2[F-Cutoff],1)</f>
        <v>5</v>
      </c>
      <c r="Y2227" s="2">
        <f>MATCH(Auto_Sales_data___Copy[[#This Row],[Total_Sales_Per_Customer]],Table2[M-Cutoff],1)</f>
        <v>5</v>
      </c>
      <c r="Z2227" s="2" t="str">
        <f>Auto_Sales_data___Copy[[#This Row],[R-Score(1-5)]]&amp;Auto_Sales_data___Copy[[#This Row],[F-Score(1-5)]]&amp;Auto_Sales_data___Copy[[#This Row],[M-Score(1-5)]]</f>
        <v>155</v>
      </c>
      <c r="AA2227" s="2" t="str" cm="1">
        <f t="array" ref="AA22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7" s="2" t="str">
        <f>VLOOKUP(Auto_Sales_data___Copy[[#This Row],[Segment Name]],Table3[],2,FALSE)</f>
        <v>Brand Awareness &amp; Value Proposition</v>
      </c>
    </row>
    <row r="2228" spans="1:28" x14ac:dyDescent="0.25">
      <c r="A2228">
        <v>10262</v>
      </c>
      <c r="B2228">
        <v>27</v>
      </c>
      <c r="C2228">
        <v>76</v>
      </c>
      <c r="D2228">
        <v>5</v>
      </c>
      <c r="E2228">
        <v>2052</v>
      </c>
      <c r="F2228" s="1">
        <v>43640</v>
      </c>
      <c r="G2228" s="2" t="s">
        <v>358</v>
      </c>
      <c r="H2228" s="2" t="s">
        <v>607</v>
      </c>
      <c r="I2228">
        <v>80</v>
      </c>
      <c r="J2228" s="2" t="s">
        <v>714</v>
      </c>
      <c r="K2228" s="2" t="s">
        <v>175</v>
      </c>
      <c r="L2228" s="2" t="s">
        <v>176</v>
      </c>
      <c r="M2228" s="2" t="s">
        <v>177</v>
      </c>
      <c r="N2228" s="2" t="s">
        <v>178</v>
      </c>
      <c r="O2228" s="2" t="s">
        <v>179</v>
      </c>
      <c r="P2228" s="2" t="s">
        <v>180</v>
      </c>
      <c r="Q2228" s="2" t="s">
        <v>181</v>
      </c>
      <c r="R2228" s="2" t="s">
        <v>182</v>
      </c>
      <c r="S2228" s="2" t="s">
        <v>30</v>
      </c>
      <c r="T2228">
        <v>2944</v>
      </c>
      <c r="U2228">
        <f>VLOOKUP(Auto_Sales_data___Copy[[#This Row],[CUSTOMER_NAME]],$AF$2:$AH$90,2,FALSE)</f>
        <v>259</v>
      </c>
      <c r="V2228">
        <f>VLOOKUP(Auto_Sales_data___Copy[[#This Row],[CUSTOMER_NAME]],$AF$2:$AH$90,3,FALSE)</f>
        <v>912294.1100000001</v>
      </c>
      <c r="W2228" s="2">
        <f>6-MATCH(Auto_Sales_data___Copy[[#This Row],[DAYS_SINCE_LAST_ORDER]],Table2[R-Cutoff],1)</f>
        <v>1</v>
      </c>
      <c r="X2228" s="2">
        <f>MATCH(Auto_Sales_data___Copy[[#This Row],[Total_Orders_Per_Customer]],Table2[F-Cutoff],1)</f>
        <v>5</v>
      </c>
      <c r="Y2228" s="2">
        <f>MATCH(Auto_Sales_data___Copy[[#This Row],[Total_Sales_Per_Customer]],Table2[M-Cutoff],1)</f>
        <v>5</v>
      </c>
      <c r="Z2228" s="2" t="str">
        <f>Auto_Sales_data___Copy[[#This Row],[R-Score(1-5)]]&amp;Auto_Sales_data___Copy[[#This Row],[F-Score(1-5)]]&amp;Auto_Sales_data___Copy[[#This Row],[M-Score(1-5)]]</f>
        <v>155</v>
      </c>
      <c r="AA2228" s="2" t="str" cm="1">
        <f t="array" ref="AA22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8" s="2" t="str">
        <f>VLOOKUP(Auto_Sales_data___Copy[[#This Row],[Segment Name]],Table3[],2,FALSE)</f>
        <v>Brand Awareness &amp; Value Proposition</v>
      </c>
    </row>
    <row r="2229" spans="1:28" x14ac:dyDescent="0.25">
      <c r="A2229">
        <v>10262</v>
      </c>
      <c r="B2229">
        <v>35</v>
      </c>
      <c r="C2229">
        <v>71.069999999999993</v>
      </c>
      <c r="D2229">
        <v>7</v>
      </c>
      <c r="E2229">
        <v>2487.4499999999998</v>
      </c>
      <c r="F2229" s="1">
        <v>43640</v>
      </c>
      <c r="G2229" s="2" t="s">
        <v>358</v>
      </c>
      <c r="H2229" s="2" t="s">
        <v>607</v>
      </c>
      <c r="I2229">
        <v>74</v>
      </c>
      <c r="J2229" s="2" t="s">
        <v>717</v>
      </c>
      <c r="K2229" s="2" t="s">
        <v>175</v>
      </c>
      <c r="L2229" s="2" t="s">
        <v>176</v>
      </c>
      <c r="M2229" s="2" t="s">
        <v>177</v>
      </c>
      <c r="N2229" s="2" t="s">
        <v>178</v>
      </c>
      <c r="O2229" s="2" t="s">
        <v>179</v>
      </c>
      <c r="P2229" s="2" t="s">
        <v>180</v>
      </c>
      <c r="Q2229" s="2" t="s">
        <v>181</v>
      </c>
      <c r="R2229" s="2" t="s">
        <v>182</v>
      </c>
      <c r="S2229" s="2" t="s">
        <v>30</v>
      </c>
      <c r="T2229">
        <v>3023</v>
      </c>
      <c r="U2229">
        <f>VLOOKUP(Auto_Sales_data___Copy[[#This Row],[CUSTOMER_NAME]],$AF$2:$AH$90,2,FALSE)</f>
        <v>259</v>
      </c>
      <c r="V2229">
        <f>VLOOKUP(Auto_Sales_data___Copy[[#This Row],[CUSTOMER_NAME]],$AF$2:$AH$90,3,FALSE)</f>
        <v>912294.1100000001</v>
      </c>
      <c r="W2229" s="2">
        <f>6-MATCH(Auto_Sales_data___Copy[[#This Row],[DAYS_SINCE_LAST_ORDER]],Table2[R-Cutoff],1)</f>
        <v>1</v>
      </c>
      <c r="X2229" s="2">
        <f>MATCH(Auto_Sales_data___Copy[[#This Row],[Total_Orders_Per_Customer]],Table2[F-Cutoff],1)</f>
        <v>5</v>
      </c>
      <c r="Y2229" s="2">
        <f>MATCH(Auto_Sales_data___Copy[[#This Row],[Total_Sales_Per_Customer]],Table2[M-Cutoff],1)</f>
        <v>5</v>
      </c>
      <c r="Z2229" s="2" t="str">
        <f>Auto_Sales_data___Copy[[#This Row],[R-Score(1-5)]]&amp;Auto_Sales_data___Copy[[#This Row],[F-Score(1-5)]]&amp;Auto_Sales_data___Copy[[#This Row],[M-Score(1-5)]]</f>
        <v>155</v>
      </c>
      <c r="AA2229" s="2" t="str" cm="1">
        <f t="array" ref="AA22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9" s="2" t="str">
        <f>VLOOKUP(Auto_Sales_data___Copy[[#This Row],[Segment Name]],Table3[],2,FALSE)</f>
        <v>Brand Awareness &amp; Value Proposition</v>
      </c>
    </row>
    <row r="2230" spans="1:28" x14ac:dyDescent="0.25">
      <c r="A2230">
        <v>10262</v>
      </c>
      <c r="B2230">
        <v>21</v>
      </c>
      <c r="C2230">
        <v>57.11</v>
      </c>
      <c r="D2230">
        <v>12</v>
      </c>
      <c r="E2230">
        <v>1199.31</v>
      </c>
      <c r="F2230" s="1">
        <v>43640</v>
      </c>
      <c r="G2230" s="2" t="s">
        <v>358</v>
      </c>
      <c r="H2230" s="2" t="s">
        <v>607</v>
      </c>
      <c r="I2230">
        <v>49</v>
      </c>
      <c r="J2230" s="2" t="s">
        <v>718</v>
      </c>
      <c r="K2230" s="2" t="s">
        <v>175</v>
      </c>
      <c r="L2230" s="2" t="s">
        <v>176</v>
      </c>
      <c r="M2230" s="2" t="s">
        <v>177</v>
      </c>
      <c r="N2230" s="2" t="s">
        <v>178</v>
      </c>
      <c r="O2230" s="2" t="s">
        <v>179</v>
      </c>
      <c r="P2230" s="2" t="s">
        <v>180</v>
      </c>
      <c r="Q2230" s="2" t="s">
        <v>181</v>
      </c>
      <c r="R2230" s="2" t="s">
        <v>182</v>
      </c>
      <c r="S2230" s="2" t="s">
        <v>30</v>
      </c>
      <c r="T2230">
        <v>3049</v>
      </c>
      <c r="U2230">
        <f>VLOOKUP(Auto_Sales_data___Copy[[#This Row],[CUSTOMER_NAME]],$AF$2:$AH$90,2,FALSE)</f>
        <v>259</v>
      </c>
      <c r="V2230">
        <f>VLOOKUP(Auto_Sales_data___Copy[[#This Row],[CUSTOMER_NAME]],$AF$2:$AH$90,3,FALSE)</f>
        <v>912294.1100000001</v>
      </c>
      <c r="W2230" s="2">
        <f>6-MATCH(Auto_Sales_data___Copy[[#This Row],[DAYS_SINCE_LAST_ORDER]],Table2[R-Cutoff],1)</f>
        <v>1</v>
      </c>
      <c r="X2230" s="2">
        <f>MATCH(Auto_Sales_data___Copy[[#This Row],[Total_Orders_Per_Customer]],Table2[F-Cutoff],1)</f>
        <v>5</v>
      </c>
      <c r="Y2230" s="2">
        <f>MATCH(Auto_Sales_data___Copy[[#This Row],[Total_Sales_Per_Customer]],Table2[M-Cutoff],1)</f>
        <v>5</v>
      </c>
      <c r="Z2230" s="2" t="str">
        <f>Auto_Sales_data___Copy[[#This Row],[R-Score(1-5)]]&amp;Auto_Sales_data___Copy[[#This Row],[F-Score(1-5)]]&amp;Auto_Sales_data___Copy[[#This Row],[M-Score(1-5)]]</f>
        <v>155</v>
      </c>
      <c r="AA2230" s="2" t="str" cm="1">
        <f t="array" ref="AA22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0" s="2" t="str">
        <f>VLOOKUP(Auto_Sales_data___Copy[[#This Row],[Segment Name]],Table3[],2,FALSE)</f>
        <v>Brand Awareness &amp; Value Proposition</v>
      </c>
    </row>
    <row r="2231" spans="1:28" x14ac:dyDescent="0.25">
      <c r="A2231">
        <v>10350</v>
      </c>
      <c r="B2231">
        <v>46</v>
      </c>
      <c r="C2231">
        <v>76.67</v>
      </c>
      <c r="D2231">
        <v>11</v>
      </c>
      <c r="E2231">
        <v>3526.82</v>
      </c>
      <c r="F2231" s="1">
        <v>43801</v>
      </c>
      <c r="G2231" s="2" t="s">
        <v>19</v>
      </c>
      <c r="H2231" s="2" t="s">
        <v>642</v>
      </c>
      <c r="I2231">
        <v>66</v>
      </c>
      <c r="J2231" s="2" t="s">
        <v>706</v>
      </c>
      <c r="K2231" s="2" t="s">
        <v>175</v>
      </c>
      <c r="L2231" s="2" t="s">
        <v>176</v>
      </c>
      <c r="M2231" s="2" t="s">
        <v>177</v>
      </c>
      <c r="N2231" s="2" t="s">
        <v>178</v>
      </c>
      <c r="O2231" s="2" t="s">
        <v>179</v>
      </c>
      <c r="P2231" s="2" t="s">
        <v>180</v>
      </c>
      <c r="Q2231" s="2" t="s">
        <v>181</v>
      </c>
      <c r="R2231" s="2" t="s">
        <v>182</v>
      </c>
      <c r="S2231" s="2" t="s">
        <v>46</v>
      </c>
      <c r="T2231">
        <v>2587</v>
      </c>
      <c r="U2231">
        <f>VLOOKUP(Auto_Sales_data___Copy[[#This Row],[CUSTOMER_NAME]],$AF$2:$AH$90,2,FALSE)</f>
        <v>259</v>
      </c>
      <c r="V2231">
        <f>VLOOKUP(Auto_Sales_data___Copy[[#This Row],[CUSTOMER_NAME]],$AF$2:$AH$90,3,FALSE)</f>
        <v>912294.1100000001</v>
      </c>
      <c r="W2231" s="2">
        <f>6-MATCH(Auto_Sales_data___Copy[[#This Row],[DAYS_SINCE_LAST_ORDER]],Table2[R-Cutoff],1)</f>
        <v>1</v>
      </c>
      <c r="X2231" s="2">
        <f>MATCH(Auto_Sales_data___Copy[[#This Row],[Total_Orders_Per_Customer]],Table2[F-Cutoff],1)</f>
        <v>5</v>
      </c>
      <c r="Y2231" s="2">
        <f>MATCH(Auto_Sales_data___Copy[[#This Row],[Total_Sales_Per_Customer]],Table2[M-Cutoff],1)</f>
        <v>5</v>
      </c>
      <c r="Z2231" s="2" t="str">
        <f>Auto_Sales_data___Copy[[#This Row],[R-Score(1-5)]]&amp;Auto_Sales_data___Copy[[#This Row],[F-Score(1-5)]]&amp;Auto_Sales_data___Copy[[#This Row],[M-Score(1-5)]]</f>
        <v>155</v>
      </c>
      <c r="AA2231" s="2" t="str" cm="1">
        <f t="array" ref="AA22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1" s="2" t="str">
        <f>VLOOKUP(Auto_Sales_data___Copy[[#This Row],[Segment Name]],Table3[],2,FALSE)</f>
        <v>Brand Awareness &amp; Value Proposition</v>
      </c>
    </row>
    <row r="2232" spans="1:28" x14ac:dyDescent="0.25">
      <c r="A2232">
        <v>10350</v>
      </c>
      <c r="B2232">
        <v>28</v>
      </c>
      <c r="C2232">
        <v>104.44</v>
      </c>
      <c r="D2232">
        <v>4</v>
      </c>
      <c r="E2232">
        <v>2924.32</v>
      </c>
      <c r="F2232" s="1">
        <v>43801</v>
      </c>
      <c r="G2232" s="2" t="s">
        <v>19</v>
      </c>
      <c r="H2232" s="2" t="s">
        <v>642</v>
      </c>
      <c r="I2232">
        <v>86</v>
      </c>
      <c r="J2232" s="2" t="s">
        <v>708</v>
      </c>
      <c r="K2232" s="2" t="s">
        <v>175</v>
      </c>
      <c r="L2232" s="2" t="s">
        <v>176</v>
      </c>
      <c r="M2232" s="2" t="s">
        <v>177</v>
      </c>
      <c r="N2232" s="2" t="s">
        <v>178</v>
      </c>
      <c r="O2232" s="2" t="s">
        <v>179</v>
      </c>
      <c r="P2232" s="2" t="s">
        <v>180</v>
      </c>
      <c r="Q2232" s="2" t="s">
        <v>181</v>
      </c>
      <c r="R2232" s="2" t="s">
        <v>182</v>
      </c>
      <c r="S2232" s="2" t="s">
        <v>30</v>
      </c>
      <c r="T2232">
        <v>2638</v>
      </c>
      <c r="U2232">
        <f>VLOOKUP(Auto_Sales_data___Copy[[#This Row],[CUSTOMER_NAME]],$AF$2:$AH$90,2,FALSE)</f>
        <v>259</v>
      </c>
      <c r="V2232">
        <f>VLOOKUP(Auto_Sales_data___Copy[[#This Row],[CUSTOMER_NAME]],$AF$2:$AH$90,3,FALSE)</f>
        <v>912294.1100000001</v>
      </c>
      <c r="W2232" s="2">
        <f>6-MATCH(Auto_Sales_data___Copy[[#This Row],[DAYS_SINCE_LAST_ORDER]],Table2[R-Cutoff],1)</f>
        <v>1</v>
      </c>
      <c r="X2232" s="2">
        <f>MATCH(Auto_Sales_data___Copy[[#This Row],[Total_Orders_Per_Customer]],Table2[F-Cutoff],1)</f>
        <v>5</v>
      </c>
      <c r="Y2232" s="2">
        <f>MATCH(Auto_Sales_data___Copy[[#This Row],[Total_Sales_Per_Customer]],Table2[M-Cutoff],1)</f>
        <v>5</v>
      </c>
      <c r="Z2232" s="2" t="str">
        <f>Auto_Sales_data___Copy[[#This Row],[R-Score(1-5)]]&amp;Auto_Sales_data___Copy[[#This Row],[F-Score(1-5)]]&amp;Auto_Sales_data___Copy[[#This Row],[M-Score(1-5)]]</f>
        <v>155</v>
      </c>
      <c r="AA2232" s="2" t="str" cm="1">
        <f t="array" ref="AA22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2" s="2" t="str">
        <f>VLOOKUP(Auto_Sales_data___Copy[[#This Row],[Segment Name]],Table3[],2,FALSE)</f>
        <v>Brand Awareness &amp; Value Proposition</v>
      </c>
    </row>
    <row r="2233" spans="1:28" x14ac:dyDescent="0.25">
      <c r="A2233">
        <v>10350</v>
      </c>
      <c r="B2233">
        <v>29</v>
      </c>
      <c r="C2233">
        <v>75.349999999999994</v>
      </c>
      <c r="D2233">
        <v>12</v>
      </c>
      <c r="E2233">
        <v>2185.15</v>
      </c>
      <c r="F2233" s="1">
        <v>43801</v>
      </c>
      <c r="G2233" s="2" t="s">
        <v>19</v>
      </c>
      <c r="H2233" s="2" t="s">
        <v>642</v>
      </c>
      <c r="I2233">
        <v>72</v>
      </c>
      <c r="J2233" s="2" t="s">
        <v>711</v>
      </c>
      <c r="K2233" s="2" t="s">
        <v>175</v>
      </c>
      <c r="L2233" s="2" t="s">
        <v>176</v>
      </c>
      <c r="M2233" s="2" t="s">
        <v>177</v>
      </c>
      <c r="N2233" s="2" t="s">
        <v>178</v>
      </c>
      <c r="O2233" s="2" t="s">
        <v>179</v>
      </c>
      <c r="P2233" s="2" t="s">
        <v>180</v>
      </c>
      <c r="Q2233" s="2" t="s">
        <v>181</v>
      </c>
      <c r="R2233" s="2" t="s">
        <v>182</v>
      </c>
      <c r="S2233" s="2" t="s">
        <v>30</v>
      </c>
      <c r="T2233">
        <v>2716</v>
      </c>
      <c r="U2233">
        <f>VLOOKUP(Auto_Sales_data___Copy[[#This Row],[CUSTOMER_NAME]],$AF$2:$AH$90,2,FALSE)</f>
        <v>259</v>
      </c>
      <c r="V2233">
        <f>VLOOKUP(Auto_Sales_data___Copy[[#This Row],[CUSTOMER_NAME]],$AF$2:$AH$90,3,FALSE)</f>
        <v>912294.1100000001</v>
      </c>
      <c r="W2233" s="2">
        <f>6-MATCH(Auto_Sales_data___Copy[[#This Row],[DAYS_SINCE_LAST_ORDER]],Table2[R-Cutoff],1)</f>
        <v>1</v>
      </c>
      <c r="X2233" s="2">
        <f>MATCH(Auto_Sales_data___Copy[[#This Row],[Total_Orders_Per_Customer]],Table2[F-Cutoff],1)</f>
        <v>5</v>
      </c>
      <c r="Y2233" s="2">
        <f>MATCH(Auto_Sales_data___Copy[[#This Row],[Total_Sales_Per_Customer]],Table2[M-Cutoff],1)</f>
        <v>5</v>
      </c>
      <c r="Z2233" s="2" t="str">
        <f>Auto_Sales_data___Copy[[#This Row],[R-Score(1-5)]]&amp;Auto_Sales_data___Copy[[#This Row],[F-Score(1-5)]]&amp;Auto_Sales_data___Copy[[#This Row],[M-Score(1-5)]]</f>
        <v>155</v>
      </c>
      <c r="AA2233" s="2" t="str" cm="1">
        <f t="array" ref="AA22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3" s="2" t="str">
        <f>VLOOKUP(Auto_Sales_data___Copy[[#This Row],[Segment Name]],Table3[],2,FALSE)</f>
        <v>Brand Awareness &amp; Value Proposition</v>
      </c>
    </row>
    <row r="2234" spans="1:28" x14ac:dyDescent="0.25">
      <c r="A2234">
        <v>10350</v>
      </c>
      <c r="B2234">
        <v>31</v>
      </c>
      <c r="C2234">
        <v>77.34</v>
      </c>
      <c r="D2234">
        <v>13</v>
      </c>
      <c r="E2234">
        <v>2397.54</v>
      </c>
      <c r="F2234" s="1">
        <v>43801</v>
      </c>
      <c r="G2234" s="2" t="s">
        <v>19</v>
      </c>
      <c r="H2234" s="2" t="s">
        <v>642</v>
      </c>
      <c r="I2234">
        <v>100</v>
      </c>
      <c r="J2234" s="2" t="s">
        <v>715</v>
      </c>
      <c r="K2234" s="2" t="s">
        <v>175</v>
      </c>
      <c r="L2234" s="2" t="s">
        <v>176</v>
      </c>
      <c r="M2234" s="2" t="s">
        <v>177</v>
      </c>
      <c r="N2234" s="2" t="s">
        <v>178</v>
      </c>
      <c r="O2234" s="2" t="s">
        <v>179</v>
      </c>
      <c r="P2234" s="2" t="s">
        <v>180</v>
      </c>
      <c r="Q2234" s="2" t="s">
        <v>181</v>
      </c>
      <c r="R2234" s="2" t="s">
        <v>182</v>
      </c>
      <c r="S2234" s="2" t="s">
        <v>30</v>
      </c>
      <c r="T2234">
        <v>2819</v>
      </c>
      <c r="U2234">
        <f>VLOOKUP(Auto_Sales_data___Copy[[#This Row],[CUSTOMER_NAME]],$AF$2:$AH$90,2,FALSE)</f>
        <v>259</v>
      </c>
      <c r="V2234">
        <f>VLOOKUP(Auto_Sales_data___Copy[[#This Row],[CUSTOMER_NAME]],$AF$2:$AH$90,3,FALSE)</f>
        <v>912294.1100000001</v>
      </c>
      <c r="W2234" s="2">
        <f>6-MATCH(Auto_Sales_data___Copy[[#This Row],[DAYS_SINCE_LAST_ORDER]],Table2[R-Cutoff],1)</f>
        <v>1</v>
      </c>
      <c r="X2234" s="2">
        <f>MATCH(Auto_Sales_data___Copy[[#This Row],[Total_Orders_Per_Customer]],Table2[F-Cutoff],1)</f>
        <v>5</v>
      </c>
      <c r="Y2234" s="2">
        <f>MATCH(Auto_Sales_data___Copy[[#This Row],[Total_Sales_Per_Customer]],Table2[M-Cutoff],1)</f>
        <v>5</v>
      </c>
      <c r="Z2234" s="2" t="str">
        <f>Auto_Sales_data___Copy[[#This Row],[R-Score(1-5)]]&amp;Auto_Sales_data___Copy[[#This Row],[F-Score(1-5)]]&amp;Auto_Sales_data___Copy[[#This Row],[M-Score(1-5)]]</f>
        <v>155</v>
      </c>
      <c r="AA2234" s="2" t="str" cm="1">
        <f t="array" ref="AA22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4" s="2" t="str">
        <f>VLOOKUP(Auto_Sales_data___Copy[[#This Row],[Segment Name]],Table3[],2,FALSE)</f>
        <v>Brand Awareness &amp; Value Proposition</v>
      </c>
    </row>
    <row r="2235" spans="1:28" x14ac:dyDescent="0.25">
      <c r="A2235">
        <v>10350</v>
      </c>
      <c r="B2235">
        <v>25</v>
      </c>
      <c r="C2235">
        <v>114.19</v>
      </c>
      <c r="D2235">
        <v>16</v>
      </c>
      <c r="E2235">
        <v>2854.75</v>
      </c>
      <c r="F2235" s="1">
        <v>43801</v>
      </c>
      <c r="G2235" s="2" t="s">
        <v>19</v>
      </c>
      <c r="H2235" s="2" t="s">
        <v>642</v>
      </c>
      <c r="I2235">
        <v>99</v>
      </c>
      <c r="J2235" s="2" t="s">
        <v>716</v>
      </c>
      <c r="K2235" s="2" t="s">
        <v>175</v>
      </c>
      <c r="L2235" s="2" t="s">
        <v>176</v>
      </c>
      <c r="M2235" s="2" t="s">
        <v>177</v>
      </c>
      <c r="N2235" s="2" t="s">
        <v>178</v>
      </c>
      <c r="O2235" s="2" t="s">
        <v>179</v>
      </c>
      <c r="P2235" s="2" t="s">
        <v>180</v>
      </c>
      <c r="Q2235" s="2" t="s">
        <v>181</v>
      </c>
      <c r="R2235" s="2" t="s">
        <v>182</v>
      </c>
      <c r="S2235" s="2" t="s">
        <v>30</v>
      </c>
      <c r="T2235">
        <v>2845</v>
      </c>
      <c r="U2235">
        <f>VLOOKUP(Auto_Sales_data___Copy[[#This Row],[CUSTOMER_NAME]],$AF$2:$AH$90,2,FALSE)</f>
        <v>259</v>
      </c>
      <c r="V2235">
        <f>VLOOKUP(Auto_Sales_data___Copy[[#This Row],[CUSTOMER_NAME]],$AF$2:$AH$90,3,FALSE)</f>
        <v>912294.1100000001</v>
      </c>
      <c r="W2235" s="2">
        <f>6-MATCH(Auto_Sales_data___Copy[[#This Row],[DAYS_SINCE_LAST_ORDER]],Table2[R-Cutoff],1)</f>
        <v>1</v>
      </c>
      <c r="X2235" s="2">
        <f>MATCH(Auto_Sales_data___Copy[[#This Row],[Total_Orders_Per_Customer]],Table2[F-Cutoff],1)</f>
        <v>5</v>
      </c>
      <c r="Y2235" s="2">
        <f>MATCH(Auto_Sales_data___Copy[[#This Row],[Total_Sales_Per_Customer]],Table2[M-Cutoff],1)</f>
        <v>5</v>
      </c>
      <c r="Z2235" s="2" t="str">
        <f>Auto_Sales_data___Copy[[#This Row],[R-Score(1-5)]]&amp;Auto_Sales_data___Copy[[#This Row],[F-Score(1-5)]]&amp;Auto_Sales_data___Copy[[#This Row],[M-Score(1-5)]]</f>
        <v>155</v>
      </c>
      <c r="AA2235" s="2" t="str" cm="1">
        <f t="array" ref="AA22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5" s="2" t="str">
        <f>VLOOKUP(Auto_Sales_data___Copy[[#This Row],[Segment Name]],Table3[],2,FALSE)</f>
        <v>Brand Awareness &amp; Value Proposition</v>
      </c>
    </row>
    <row r="2236" spans="1:28" x14ac:dyDescent="0.25">
      <c r="A2236">
        <v>10350</v>
      </c>
      <c r="B2236">
        <v>20</v>
      </c>
      <c r="C2236">
        <v>112.22</v>
      </c>
      <c r="D2236">
        <v>15</v>
      </c>
      <c r="E2236">
        <v>2244.4</v>
      </c>
      <c r="F2236" s="1">
        <v>43801</v>
      </c>
      <c r="G2236" s="2" t="s">
        <v>19</v>
      </c>
      <c r="H2236" s="2" t="s">
        <v>642</v>
      </c>
      <c r="I2236">
        <v>54</v>
      </c>
      <c r="J2236" s="2" t="s">
        <v>719</v>
      </c>
      <c r="K2236" s="2" t="s">
        <v>175</v>
      </c>
      <c r="L2236" s="2" t="s">
        <v>176</v>
      </c>
      <c r="M2236" s="2" t="s">
        <v>177</v>
      </c>
      <c r="N2236" s="2" t="s">
        <v>178</v>
      </c>
      <c r="O2236" s="2" t="s">
        <v>179</v>
      </c>
      <c r="P2236" s="2" t="s">
        <v>180</v>
      </c>
      <c r="Q2236" s="2" t="s">
        <v>181</v>
      </c>
      <c r="R2236" s="2" t="s">
        <v>182</v>
      </c>
      <c r="S2236" s="2" t="s">
        <v>30</v>
      </c>
      <c r="T2236">
        <v>2924</v>
      </c>
      <c r="U2236">
        <f>VLOOKUP(Auto_Sales_data___Copy[[#This Row],[CUSTOMER_NAME]],$AF$2:$AH$90,2,FALSE)</f>
        <v>259</v>
      </c>
      <c r="V2236">
        <f>VLOOKUP(Auto_Sales_data___Copy[[#This Row],[CUSTOMER_NAME]],$AF$2:$AH$90,3,FALSE)</f>
        <v>912294.1100000001</v>
      </c>
      <c r="W2236" s="2">
        <f>6-MATCH(Auto_Sales_data___Copy[[#This Row],[DAYS_SINCE_LAST_ORDER]],Table2[R-Cutoff],1)</f>
        <v>1</v>
      </c>
      <c r="X2236" s="2">
        <f>MATCH(Auto_Sales_data___Copy[[#This Row],[Total_Orders_Per_Customer]],Table2[F-Cutoff],1)</f>
        <v>5</v>
      </c>
      <c r="Y2236" s="2">
        <f>MATCH(Auto_Sales_data___Copy[[#This Row],[Total_Sales_Per_Customer]],Table2[M-Cutoff],1)</f>
        <v>5</v>
      </c>
      <c r="Z2236" s="2" t="str">
        <f>Auto_Sales_data___Copy[[#This Row],[R-Score(1-5)]]&amp;Auto_Sales_data___Copy[[#This Row],[F-Score(1-5)]]&amp;Auto_Sales_data___Copy[[#This Row],[M-Score(1-5)]]</f>
        <v>155</v>
      </c>
      <c r="AA2236" s="2" t="str" cm="1">
        <f t="array" ref="AA22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6" s="2" t="str">
        <f>VLOOKUP(Auto_Sales_data___Copy[[#This Row],[Segment Name]],Table3[],2,FALSE)</f>
        <v>Brand Awareness &amp; Value Proposition</v>
      </c>
    </row>
    <row r="2237" spans="1:28" x14ac:dyDescent="0.25">
      <c r="A2237">
        <v>10358</v>
      </c>
      <c r="B2237">
        <v>27</v>
      </c>
      <c r="C2237">
        <v>139.31</v>
      </c>
      <c r="D2237">
        <v>3</v>
      </c>
      <c r="E2237">
        <v>3761.37</v>
      </c>
      <c r="F2237" s="1">
        <v>43809</v>
      </c>
      <c r="G2237" s="2" t="s">
        <v>19</v>
      </c>
      <c r="H2237" s="2" t="s">
        <v>183</v>
      </c>
      <c r="I2237">
        <v>101</v>
      </c>
      <c r="J2237" s="2" t="s">
        <v>712</v>
      </c>
      <c r="K2237" s="2" t="s">
        <v>175</v>
      </c>
      <c r="L2237" s="2" t="s">
        <v>176</v>
      </c>
      <c r="M2237" s="2" t="s">
        <v>177</v>
      </c>
      <c r="N2237" s="2" t="s">
        <v>178</v>
      </c>
      <c r="O2237" s="2" t="s">
        <v>179</v>
      </c>
      <c r="P2237" s="2" t="s">
        <v>180</v>
      </c>
      <c r="Q2237" s="2" t="s">
        <v>181</v>
      </c>
      <c r="R2237" s="2" t="s">
        <v>182</v>
      </c>
      <c r="S2237" s="2" t="s">
        <v>46</v>
      </c>
      <c r="T2237">
        <v>2735</v>
      </c>
      <c r="U2237">
        <f>VLOOKUP(Auto_Sales_data___Copy[[#This Row],[CUSTOMER_NAME]],$AF$2:$AH$90,2,FALSE)</f>
        <v>259</v>
      </c>
      <c r="V2237">
        <f>VLOOKUP(Auto_Sales_data___Copy[[#This Row],[CUSTOMER_NAME]],$AF$2:$AH$90,3,FALSE)</f>
        <v>912294.1100000001</v>
      </c>
      <c r="W2237" s="2">
        <f>6-MATCH(Auto_Sales_data___Copy[[#This Row],[DAYS_SINCE_LAST_ORDER]],Table2[R-Cutoff],1)</f>
        <v>1</v>
      </c>
      <c r="X2237" s="2">
        <f>MATCH(Auto_Sales_data___Copy[[#This Row],[Total_Orders_Per_Customer]],Table2[F-Cutoff],1)</f>
        <v>5</v>
      </c>
      <c r="Y2237" s="2">
        <f>MATCH(Auto_Sales_data___Copy[[#This Row],[Total_Sales_Per_Customer]],Table2[M-Cutoff],1)</f>
        <v>5</v>
      </c>
      <c r="Z2237" s="2" t="str">
        <f>Auto_Sales_data___Copy[[#This Row],[R-Score(1-5)]]&amp;Auto_Sales_data___Copy[[#This Row],[F-Score(1-5)]]&amp;Auto_Sales_data___Copy[[#This Row],[M-Score(1-5)]]</f>
        <v>155</v>
      </c>
      <c r="AA2237" s="2" t="str" cm="1">
        <f t="array" ref="AA22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7" s="2" t="str">
        <f>VLOOKUP(Auto_Sales_data___Copy[[#This Row],[Segment Name]],Table3[],2,FALSE)</f>
        <v>Brand Awareness &amp; Value Proposition</v>
      </c>
    </row>
    <row r="2238" spans="1:28" x14ac:dyDescent="0.25">
      <c r="A2238">
        <v>10386</v>
      </c>
      <c r="B2238">
        <v>29</v>
      </c>
      <c r="C2238">
        <v>85.76</v>
      </c>
      <c r="D2238">
        <v>13</v>
      </c>
      <c r="E2238">
        <v>2487.04</v>
      </c>
      <c r="F2238" s="1">
        <v>43891</v>
      </c>
      <c r="G2238" s="2" t="s">
        <v>431</v>
      </c>
      <c r="H2238" s="2" t="s">
        <v>642</v>
      </c>
      <c r="I2238">
        <v>90</v>
      </c>
      <c r="J2238" s="2" t="s">
        <v>709</v>
      </c>
      <c r="K2238" s="2" t="s">
        <v>175</v>
      </c>
      <c r="L2238" s="2" t="s">
        <v>176</v>
      </c>
      <c r="M2238" s="2" t="s">
        <v>177</v>
      </c>
      <c r="N2238" s="2" t="s">
        <v>178</v>
      </c>
      <c r="O2238" s="2" t="s">
        <v>179</v>
      </c>
      <c r="P2238" s="2" t="s">
        <v>180</v>
      </c>
      <c r="Q2238" s="2" t="s">
        <v>181</v>
      </c>
      <c r="R2238" s="2" t="s">
        <v>182</v>
      </c>
      <c r="S2238" s="2" t="s">
        <v>30</v>
      </c>
      <c r="T2238">
        <v>2574</v>
      </c>
      <c r="U2238">
        <f>VLOOKUP(Auto_Sales_data___Copy[[#This Row],[CUSTOMER_NAME]],$AF$2:$AH$90,2,FALSE)</f>
        <v>259</v>
      </c>
      <c r="V2238">
        <f>VLOOKUP(Auto_Sales_data___Copy[[#This Row],[CUSTOMER_NAME]],$AF$2:$AH$90,3,FALSE)</f>
        <v>912294.1100000001</v>
      </c>
      <c r="W2238" s="2">
        <f>6-MATCH(Auto_Sales_data___Copy[[#This Row],[DAYS_SINCE_LAST_ORDER]],Table2[R-Cutoff],1)</f>
        <v>1</v>
      </c>
      <c r="X2238" s="2">
        <f>MATCH(Auto_Sales_data___Copy[[#This Row],[Total_Orders_Per_Customer]],Table2[F-Cutoff],1)</f>
        <v>5</v>
      </c>
      <c r="Y2238" s="2">
        <f>MATCH(Auto_Sales_data___Copy[[#This Row],[Total_Sales_Per_Customer]],Table2[M-Cutoff],1)</f>
        <v>5</v>
      </c>
      <c r="Z2238" s="2" t="str">
        <f>Auto_Sales_data___Copy[[#This Row],[R-Score(1-5)]]&amp;Auto_Sales_data___Copy[[#This Row],[F-Score(1-5)]]&amp;Auto_Sales_data___Copy[[#This Row],[M-Score(1-5)]]</f>
        <v>155</v>
      </c>
      <c r="AA2238" s="2" t="str" cm="1">
        <f t="array" ref="AA22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8" s="2" t="str">
        <f>VLOOKUP(Auto_Sales_data___Copy[[#This Row],[Segment Name]],Table3[],2,FALSE)</f>
        <v>Brand Awareness &amp; Value Proposition</v>
      </c>
    </row>
    <row r="2239" spans="1:28" x14ac:dyDescent="0.25">
      <c r="A2239">
        <v>10386</v>
      </c>
      <c r="B2239">
        <v>37</v>
      </c>
      <c r="C2239">
        <v>83.84</v>
      </c>
      <c r="D2239">
        <v>14</v>
      </c>
      <c r="E2239">
        <v>3102.08</v>
      </c>
      <c r="F2239" s="1">
        <v>43891</v>
      </c>
      <c r="G2239" s="2" t="s">
        <v>431</v>
      </c>
      <c r="H2239" s="2" t="s">
        <v>607</v>
      </c>
      <c r="I2239">
        <v>99</v>
      </c>
      <c r="J2239" s="2" t="s">
        <v>710</v>
      </c>
      <c r="K2239" s="2" t="s">
        <v>175</v>
      </c>
      <c r="L2239" s="2" t="s">
        <v>176</v>
      </c>
      <c r="M2239" s="2" t="s">
        <v>177</v>
      </c>
      <c r="N2239" s="2" t="s">
        <v>178</v>
      </c>
      <c r="O2239" s="2" t="s">
        <v>179</v>
      </c>
      <c r="P2239" s="2" t="s">
        <v>180</v>
      </c>
      <c r="Q2239" s="2" t="s">
        <v>181</v>
      </c>
      <c r="R2239" s="2" t="s">
        <v>182</v>
      </c>
      <c r="S2239" s="2" t="s">
        <v>46</v>
      </c>
      <c r="T2239">
        <v>2601</v>
      </c>
      <c r="U2239">
        <f>VLOOKUP(Auto_Sales_data___Copy[[#This Row],[CUSTOMER_NAME]],$AF$2:$AH$90,2,FALSE)</f>
        <v>259</v>
      </c>
      <c r="V2239">
        <f>VLOOKUP(Auto_Sales_data___Copy[[#This Row],[CUSTOMER_NAME]],$AF$2:$AH$90,3,FALSE)</f>
        <v>912294.1100000001</v>
      </c>
      <c r="W2239" s="2">
        <f>6-MATCH(Auto_Sales_data___Copy[[#This Row],[DAYS_SINCE_LAST_ORDER]],Table2[R-Cutoff],1)</f>
        <v>1</v>
      </c>
      <c r="X2239" s="2">
        <f>MATCH(Auto_Sales_data___Copy[[#This Row],[Total_Orders_Per_Customer]],Table2[F-Cutoff],1)</f>
        <v>5</v>
      </c>
      <c r="Y2239" s="2">
        <f>MATCH(Auto_Sales_data___Copy[[#This Row],[Total_Sales_Per_Customer]],Table2[M-Cutoff],1)</f>
        <v>5</v>
      </c>
      <c r="Z2239" s="2" t="str">
        <f>Auto_Sales_data___Copy[[#This Row],[R-Score(1-5)]]&amp;Auto_Sales_data___Copy[[#This Row],[F-Score(1-5)]]&amp;Auto_Sales_data___Copy[[#This Row],[M-Score(1-5)]]</f>
        <v>155</v>
      </c>
      <c r="AA2239" s="2" t="str" cm="1">
        <f t="array" ref="AA22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9" s="2" t="str">
        <f>VLOOKUP(Auto_Sales_data___Copy[[#This Row],[Segment Name]],Table3[],2,FALSE)</f>
        <v>Brand Awareness &amp; Value Proposition</v>
      </c>
    </row>
    <row r="2240" spans="1:28" x14ac:dyDescent="0.25">
      <c r="A2240">
        <v>10386</v>
      </c>
      <c r="B2240">
        <v>37</v>
      </c>
      <c r="C2240">
        <v>135.61000000000001</v>
      </c>
      <c r="D2240">
        <v>10</v>
      </c>
      <c r="E2240">
        <v>5017.57</v>
      </c>
      <c r="F2240" s="1">
        <v>43891</v>
      </c>
      <c r="G2240" s="2" t="s">
        <v>431</v>
      </c>
      <c r="H2240" s="2" t="s">
        <v>642</v>
      </c>
      <c r="I2240">
        <v>72</v>
      </c>
      <c r="J2240" s="2" t="s">
        <v>711</v>
      </c>
      <c r="K2240" s="2" t="s">
        <v>175</v>
      </c>
      <c r="L2240" s="2" t="s">
        <v>176</v>
      </c>
      <c r="M2240" s="2" t="s">
        <v>177</v>
      </c>
      <c r="N2240" s="2" t="s">
        <v>178</v>
      </c>
      <c r="O2240" s="2" t="s">
        <v>179</v>
      </c>
      <c r="P2240" s="2" t="s">
        <v>180</v>
      </c>
      <c r="Q2240" s="2" t="s">
        <v>181</v>
      </c>
      <c r="R2240" s="2" t="s">
        <v>182</v>
      </c>
      <c r="S2240" s="2" t="s">
        <v>46</v>
      </c>
      <c r="T2240">
        <v>2628</v>
      </c>
      <c r="U2240">
        <f>VLOOKUP(Auto_Sales_data___Copy[[#This Row],[CUSTOMER_NAME]],$AF$2:$AH$90,2,FALSE)</f>
        <v>259</v>
      </c>
      <c r="V2240">
        <f>VLOOKUP(Auto_Sales_data___Copy[[#This Row],[CUSTOMER_NAME]],$AF$2:$AH$90,3,FALSE)</f>
        <v>912294.1100000001</v>
      </c>
      <c r="W2240" s="2">
        <f>6-MATCH(Auto_Sales_data___Copy[[#This Row],[DAYS_SINCE_LAST_ORDER]],Table2[R-Cutoff],1)</f>
        <v>1</v>
      </c>
      <c r="X2240" s="2">
        <f>MATCH(Auto_Sales_data___Copy[[#This Row],[Total_Orders_Per_Customer]],Table2[F-Cutoff],1)</f>
        <v>5</v>
      </c>
      <c r="Y2240" s="2">
        <f>MATCH(Auto_Sales_data___Copy[[#This Row],[Total_Sales_Per_Customer]],Table2[M-Cutoff],1)</f>
        <v>5</v>
      </c>
      <c r="Z2240" s="2" t="str">
        <f>Auto_Sales_data___Copy[[#This Row],[R-Score(1-5)]]&amp;Auto_Sales_data___Copy[[#This Row],[F-Score(1-5)]]&amp;Auto_Sales_data___Copy[[#This Row],[M-Score(1-5)]]</f>
        <v>155</v>
      </c>
      <c r="AA2240" s="2" t="str" cm="1">
        <f t="array" ref="AA22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0" s="2" t="str">
        <f>VLOOKUP(Auto_Sales_data___Copy[[#This Row],[Segment Name]],Table3[],2,FALSE)</f>
        <v>Brand Awareness &amp; Value Proposition</v>
      </c>
    </row>
    <row r="2241" spans="1:28" x14ac:dyDescent="0.25">
      <c r="A2241">
        <v>10386</v>
      </c>
      <c r="B2241">
        <v>32</v>
      </c>
      <c r="C2241">
        <v>94.34</v>
      </c>
      <c r="D2241">
        <v>17</v>
      </c>
      <c r="E2241">
        <v>3018.88</v>
      </c>
      <c r="F2241" s="1">
        <v>43891</v>
      </c>
      <c r="G2241" s="2" t="s">
        <v>431</v>
      </c>
      <c r="H2241" s="2" t="s">
        <v>607</v>
      </c>
      <c r="I2241">
        <v>80</v>
      </c>
      <c r="J2241" s="2" t="s">
        <v>714</v>
      </c>
      <c r="K2241" s="2" t="s">
        <v>175</v>
      </c>
      <c r="L2241" s="2" t="s">
        <v>176</v>
      </c>
      <c r="M2241" s="2" t="s">
        <v>177</v>
      </c>
      <c r="N2241" s="2" t="s">
        <v>178</v>
      </c>
      <c r="O2241" s="2" t="s">
        <v>179</v>
      </c>
      <c r="P2241" s="2" t="s">
        <v>180</v>
      </c>
      <c r="Q2241" s="2" t="s">
        <v>181</v>
      </c>
      <c r="R2241" s="2" t="s">
        <v>182</v>
      </c>
      <c r="S2241" s="2" t="s">
        <v>46</v>
      </c>
      <c r="T2241">
        <v>2704</v>
      </c>
      <c r="U2241">
        <f>VLOOKUP(Auto_Sales_data___Copy[[#This Row],[CUSTOMER_NAME]],$AF$2:$AH$90,2,FALSE)</f>
        <v>259</v>
      </c>
      <c r="V2241">
        <f>VLOOKUP(Auto_Sales_data___Copy[[#This Row],[CUSTOMER_NAME]],$AF$2:$AH$90,3,FALSE)</f>
        <v>912294.1100000001</v>
      </c>
      <c r="W2241" s="2">
        <f>6-MATCH(Auto_Sales_data___Copy[[#This Row],[DAYS_SINCE_LAST_ORDER]],Table2[R-Cutoff],1)</f>
        <v>1</v>
      </c>
      <c r="X2241" s="2">
        <f>MATCH(Auto_Sales_data___Copy[[#This Row],[Total_Orders_Per_Customer]],Table2[F-Cutoff],1)</f>
        <v>5</v>
      </c>
      <c r="Y2241" s="2">
        <f>MATCH(Auto_Sales_data___Copy[[#This Row],[Total_Sales_Per_Customer]],Table2[M-Cutoff],1)</f>
        <v>5</v>
      </c>
      <c r="Z2241" s="2" t="str">
        <f>Auto_Sales_data___Copy[[#This Row],[R-Score(1-5)]]&amp;Auto_Sales_data___Copy[[#This Row],[F-Score(1-5)]]&amp;Auto_Sales_data___Copy[[#This Row],[M-Score(1-5)]]</f>
        <v>155</v>
      </c>
      <c r="AA2241" s="2" t="str" cm="1">
        <f t="array" ref="AA22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1" s="2" t="str">
        <f>VLOOKUP(Auto_Sales_data___Copy[[#This Row],[Segment Name]],Table3[],2,FALSE)</f>
        <v>Brand Awareness &amp; Value Proposition</v>
      </c>
    </row>
    <row r="2242" spans="1:28" x14ac:dyDescent="0.25">
      <c r="A2242">
        <v>10386</v>
      </c>
      <c r="B2242">
        <v>45</v>
      </c>
      <c r="C2242">
        <v>92.08</v>
      </c>
      <c r="D2242">
        <v>2</v>
      </c>
      <c r="E2242">
        <v>4143.6000000000004</v>
      </c>
      <c r="F2242" s="1">
        <v>43891</v>
      </c>
      <c r="G2242" s="2" t="s">
        <v>431</v>
      </c>
      <c r="H2242" s="2" t="s">
        <v>642</v>
      </c>
      <c r="I2242">
        <v>100</v>
      </c>
      <c r="J2242" s="2" t="s">
        <v>715</v>
      </c>
      <c r="K2242" s="2" t="s">
        <v>175</v>
      </c>
      <c r="L2242" s="2" t="s">
        <v>176</v>
      </c>
      <c r="M2242" s="2" t="s">
        <v>177</v>
      </c>
      <c r="N2242" s="2" t="s">
        <v>178</v>
      </c>
      <c r="O2242" s="2" t="s">
        <v>179</v>
      </c>
      <c r="P2242" s="2" t="s">
        <v>180</v>
      </c>
      <c r="Q2242" s="2" t="s">
        <v>181</v>
      </c>
      <c r="R2242" s="2" t="s">
        <v>182</v>
      </c>
      <c r="S2242" s="2" t="s">
        <v>46</v>
      </c>
      <c r="T2242">
        <v>2731</v>
      </c>
      <c r="U2242">
        <f>VLOOKUP(Auto_Sales_data___Copy[[#This Row],[CUSTOMER_NAME]],$AF$2:$AH$90,2,FALSE)</f>
        <v>259</v>
      </c>
      <c r="V2242">
        <f>VLOOKUP(Auto_Sales_data___Copy[[#This Row],[CUSTOMER_NAME]],$AF$2:$AH$90,3,FALSE)</f>
        <v>912294.1100000001</v>
      </c>
      <c r="W2242" s="2">
        <f>6-MATCH(Auto_Sales_data___Copy[[#This Row],[DAYS_SINCE_LAST_ORDER]],Table2[R-Cutoff],1)</f>
        <v>1</v>
      </c>
      <c r="X2242" s="2">
        <f>MATCH(Auto_Sales_data___Copy[[#This Row],[Total_Orders_Per_Customer]],Table2[F-Cutoff],1)</f>
        <v>5</v>
      </c>
      <c r="Y2242" s="2">
        <f>MATCH(Auto_Sales_data___Copy[[#This Row],[Total_Sales_Per_Customer]],Table2[M-Cutoff],1)</f>
        <v>5</v>
      </c>
      <c r="Z2242" s="2" t="str">
        <f>Auto_Sales_data___Copy[[#This Row],[R-Score(1-5)]]&amp;Auto_Sales_data___Copy[[#This Row],[F-Score(1-5)]]&amp;Auto_Sales_data___Copy[[#This Row],[M-Score(1-5)]]</f>
        <v>155</v>
      </c>
      <c r="AA2242" s="2" t="str" cm="1">
        <f t="array" ref="AA22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2" s="2" t="str">
        <f>VLOOKUP(Auto_Sales_data___Copy[[#This Row],[Segment Name]],Table3[],2,FALSE)</f>
        <v>Brand Awareness &amp; Value Proposition</v>
      </c>
    </row>
    <row r="2243" spans="1:28" x14ac:dyDescent="0.25">
      <c r="A2243">
        <v>10386</v>
      </c>
      <c r="B2243">
        <v>30</v>
      </c>
      <c r="C2243">
        <v>95.48</v>
      </c>
      <c r="D2243">
        <v>3</v>
      </c>
      <c r="E2243">
        <v>2864.4</v>
      </c>
      <c r="F2243" s="1">
        <v>43891</v>
      </c>
      <c r="G2243" s="2" t="s">
        <v>431</v>
      </c>
      <c r="H2243" s="2" t="s">
        <v>642</v>
      </c>
      <c r="I2243">
        <v>99</v>
      </c>
      <c r="J2243" s="2" t="s">
        <v>716</v>
      </c>
      <c r="K2243" s="2" t="s">
        <v>175</v>
      </c>
      <c r="L2243" s="2" t="s">
        <v>176</v>
      </c>
      <c r="M2243" s="2" t="s">
        <v>177</v>
      </c>
      <c r="N2243" s="2" t="s">
        <v>178</v>
      </c>
      <c r="O2243" s="2" t="s">
        <v>179</v>
      </c>
      <c r="P2243" s="2" t="s">
        <v>180</v>
      </c>
      <c r="Q2243" s="2" t="s">
        <v>181</v>
      </c>
      <c r="R2243" s="2" t="s">
        <v>182</v>
      </c>
      <c r="S2243" s="2" t="s">
        <v>30</v>
      </c>
      <c r="T2243">
        <v>2757</v>
      </c>
      <c r="U2243">
        <f>VLOOKUP(Auto_Sales_data___Copy[[#This Row],[CUSTOMER_NAME]],$AF$2:$AH$90,2,FALSE)</f>
        <v>259</v>
      </c>
      <c r="V2243">
        <f>VLOOKUP(Auto_Sales_data___Copy[[#This Row],[CUSTOMER_NAME]],$AF$2:$AH$90,3,FALSE)</f>
        <v>912294.1100000001</v>
      </c>
      <c r="W2243" s="2">
        <f>6-MATCH(Auto_Sales_data___Copy[[#This Row],[DAYS_SINCE_LAST_ORDER]],Table2[R-Cutoff],1)</f>
        <v>1</v>
      </c>
      <c r="X2243" s="2">
        <f>MATCH(Auto_Sales_data___Copy[[#This Row],[Total_Orders_Per_Customer]],Table2[F-Cutoff],1)</f>
        <v>5</v>
      </c>
      <c r="Y2243" s="2">
        <f>MATCH(Auto_Sales_data___Copy[[#This Row],[Total_Sales_Per_Customer]],Table2[M-Cutoff],1)</f>
        <v>5</v>
      </c>
      <c r="Z2243" s="2" t="str">
        <f>Auto_Sales_data___Copy[[#This Row],[R-Score(1-5)]]&amp;Auto_Sales_data___Copy[[#This Row],[F-Score(1-5)]]&amp;Auto_Sales_data___Copy[[#This Row],[M-Score(1-5)]]</f>
        <v>155</v>
      </c>
      <c r="AA2243" s="2" t="str" cm="1">
        <f t="array" ref="AA22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3" s="2" t="str">
        <f>VLOOKUP(Auto_Sales_data___Copy[[#This Row],[Segment Name]],Table3[],2,FALSE)</f>
        <v>Brand Awareness &amp; Value Proposition</v>
      </c>
    </row>
    <row r="2244" spans="1:28" x14ac:dyDescent="0.25">
      <c r="A2244">
        <v>10386</v>
      </c>
      <c r="B2244">
        <v>44</v>
      </c>
      <c r="C2244">
        <v>86.4</v>
      </c>
      <c r="D2244">
        <v>15</v>
      </c>
      <c r="E2244">
        <v>3801.6</v>
      </c>
      <c r="F2244" s="1">
        <v>43891</v>
      </c>
      <c r="G2244" s="2" t="s">
        <v>431</v>
      </c>
      <c r="H2244" s="2" t="s">
        <v>607</v>
      </c>
      <c r="I2244">
        <v>74</v>
      </c>
      <c r="J2244" s="2" t="s">
        <v>717</v>
      </c>
      <c r="K2244" s="2" t="s">
        <v>175</v>
      </c>
      <c r="L2244" s="2" t="s">
        <v>176</v>
      </c>
      <c r="M2244" s="2" t="s">
        <v>177</v>
      </c>
      <c r="N2244" s="2" t="s">
        <v>178</v>
      </c>
      <c r="O2244" s="2" t="s">
        <v>179</v>
      </c>
      <c r="P2244" s="2" t="s">
        <v>180</v>
      </c>
      <c r="Q2244" s="2" t="s">
        <v>181</v>
      </c>
      <c r="R2244" s="2" t="s">
        <v>182</v>
      </c>
      <c r="S2244" s="2" t="s">
        <v>46</v>
      </c>
      <c r="T2244">
        <v>2783</v>
      </c>
      <c r="U2244">
        <f>VLOOKUP(Auto_Sales_data___Copy[[#This Row],[CUSTOMER_NAME]],$AF$2:$AH$90,2,FALSE)</f>
        <v>259</v>
      </c>
      <c r="V2244">
        <f>VLOOKUP(Auto_Sales_data___Copy[[#This Row],[CUSTOMER_NAME]],$AF$2:$AH$90,3,FALSE)</f>
        <v>912294.1100000001</v>
      </c>
      <c r="W2244" s="2">
        <f>6-MATCH(Auto_Sales_data___Copy[[#This Row],[DAYS_SINCE_LAST_ORDER]],Table2[R-Cutoff],1)</f>
        <v>1</v>
      </c>
      <c r="X2244" s="2">
        <f>MATCH(Auto_Sales_data___Copy[[#This Row],[Total_Orders_Per_Customer]],Table2[F-Cutoff],1)</f>
        <v>5</v>
      </c>
      <c r="Y2244" s="2">
        <f>MATCH(Auto_Sales_data___Copy[[#This Row],[Total_Sales_Per_Customer]],Table2[M-Cutoff],1)</f>
        <v>5</v>
      </c>
      <c r="Z2244" s="2" t="str">
        <f>Auto_Sales_data___Copy[[#This Row],[R-Score(1-5)]]&amp;Auto_Sales_data___Copy[[#This Row],[F-Score(1-5)]]&amp;Auto_Sales_data___Copy[[#This Row],[M-Score(1-5)]]</f>
        <v>155</v>
      </c>
      <c r="AA2244" s="2" t="str" cm="1">
        <f t="array" ref="AA22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4" s="2" t="str">
        <f>VLOOKUP(Auto_Sales_data___Copy[[#This Row],[Segment Name]],Table3[],2,FALSE)</f>
        <v>Brand Awareness &amp; Value Proposition</v>
      </c>
    </row>
    <row r="2245" spans="1:28" x14ac:dyDescent="0.25">
      <c r="A2245">
        <v>10386</v>
      </c>
      <c r="B2245">
        <v>50</v>
      </c>
      <c r="C2245">
        <v>87.15</v>
      </c>
      <c r="D2245">
        <v>16</v>
      </c>
      <c r="E2245">
        <v>4357.5</v>
      </c>
      <c r="F2245" s="1">
        <v>43891</v>
      </c>
      <c r="G2245" s="2" t="s">
        <v>431</v>
      </c>
      <c r="H2245" s="2" t="s">
        <v>607</v>
      </c>
      <c r="I2245">
        <v>49</v>
      </c>
      <c r="J2245" s="2" t="s">
        <v>718</v>
      </c>
      <c r="K2245" s="2" t="s">
        <v>175</v>
      </c>
      <c r="L2245" s="2" t="s">
        <v>176</v>
      </c>
      <c r="M2245" s="2" t="s">
        <v>177</v>
      </c>
      <c r="N2245" s="2" t="s">
        <v>178</v>
      </c>
      <c r="O2245" s="2" t="s">
        <v>179</v>
      </c>
      <c r="P2245" s="2" t="s">
        <v>180</v>
      </c>
      <c r="Q2245" s="2" t="s">
        <v>181</v>
      </c>
      <c r="R2245" s="2" t="s">
        <v>182</v>
      </c>
      <c r="S2245" s="2" t="s">
        <v>46</v>
      </c>
      <c r="T2245">
        <v>2809</v>
      </c>
      <c r="U2245">
        <f>VLOOKUP(Auto_Sales_data___Copy[[#This Row],[CUSTOMER_NAME]],$AF$2:$AH$90,2,FALSE)</f>
        <v>259</v>
      </c>
      <c r="V2245">
        <f>VLOOKUP(Auto_Sales_data___Copy[[#This Row],[CUSTOMER_NAME]],$AF$2:$AH$90,3,FALSE)</f>
        <v>912294.1100000001</v>
      </c>
      <c r="W2245" s="2">
        <f>6-MATCH(Auto_Sales_data___Copy[[#This Row],[DAYS_SINCE_LAST_ORDER]],Table2[R-Cutoff],1)</f>
        <v>1</v>
      </c>
      <c r="X2245" s="2">
        <f>MATCH(Auto_Sales_data___Copy[[#This Row],[Total_Orders_Per_Customer]],Table2[F-Cutoff],1)</f>
        <v>5</v>
      </c>
      <c r="Y2245" s="2">
        <f>MATCH(Auto_Sales_data___Copy[[#This Row],[Total_Sales_Per_Customer]],Table2[M-Cutoff],1)</f>
        <v>5</v>
      </c>
      <c r="Z2245" s="2" t="str">
        <f>Auto_Sales_data___Copy[[#This Row],[R-Score(1-5)]]&amp;Auto_Sales_data___Copy[[#This Row],[F-Score(1-5)]]&amp;Auto_Sales_data___Copy[[#This Row],[M-Score(1-5)]]</f>
        <v>155</v>
      </c>
      <c r="AA2245" s="2" t="str" cm="1">
        <f t="array" ref="AA22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5" s="2" t="str">
        <f>VLOOKUP(Auto_Sales_data___Copy[[#This Row],[Segment Name]],Table3[],2,FALSE)</f>
        <v>Brand Awareness &amp; Value Proposition</v>
      </c>
    </row>
    <row r="2246" spans="1:28" x14ac:dyDescent="0.25">
      <c r="A2246">
        <v>10386</v>
      </c>
      <c r="B2246">
        <v>43</v>
      </c>
      <c r="C2246">
        <v>125.99</v>
      </c>
      <c r="D2246">
        <v>4</v>
      </c>
      <c r="E2246">
        <v>5417.57</v>
      </c>
      <c r="F2246" s="1">
        <v>43891</v>
      </c>
      <c r="G2246" s="2" t="s">
        <v>431</v>
      </c>
      <c r="H2246" s="2" t="s">
        <v>642</v>
      </c>
      <c r="I2246">
        <v>54</v>
      </c>
      <c r="J2246" s="2" t="s">
        <v>719</v>
      </c>
      <c r="K2246" s="2" t="s">
        <v>175</v>
      </c>
      <c r="L2246" s="2" t="s">
        <v>176</v>
      </c>
      <c r="M2246" s="2" t="s">
        <v>177</v>
      </c>
      <c r="N2246" s="2" t="s">
        <v>178</v>
      </c>
      <c r="O2246" s="2" t="s">
        <v>179</v>
      </c>
      <c r="P2246" s="2" t="s">
        <v>180</v>
      </c>
      <c r="Q2246" s="2" t="s">
        <v>181</v>
      </c>
      <c r="R2246" s="2" t="s">
        <v>182</v>
      </c>
      <c r="S2246" s="2" t="s">
        <v>46</v>
      </c>
      <c r="T2246">
        <v>2836</v>
      </c>
      <c r="U2246">
        <f>VLOOKUP(Auto_Sales_data___Copy[[#This Row],[CUSTOMER_NAME]],$AF$2:$AH$90,2,FALSE)</f>
        <v>259</v>
      </c>
      <c r="V2246">
        <f>VLOOKUP(Auto_Sales_data___Copy[[#This Row],[CUSTOMER_NAME]],$AF$2:$AH$90,3,FALSE)</f>
        <v>912294.1100000001</v>
      </c>
      <c r="W2246" s="2">
        <f>6-MATCH(Auto_Sales_data___Copy[[#This Row],[DAYS_SINCE_LAST_ORDER]],Table2[R-Cutoff],1)</f>
        <v>1</v>
      </c>
      <c r="X2246" s="2">
        <f>MATCH(Auto_Sales_data___Copy[[#This Row],[Total_Orders_Per_Customer]],Table2[F-Cutoff],1)</f>
        <v>5</v>
      </c>
      <c r="Y2246" s="2">
        <f>MATCH(Auto_Sales_data___Copy[[#This Row],[Total_Sales_Per_Customer]],Table2[M-Cutoff],1)</f>
        <v>5</v>
      </c>
      <c r="Z2246" s="2" t="str">
        <f>Auto_Sales_data___Copy[[#This Row],[R-Score(1-5)]]&amp;Auto_Sales_data___Copy[[#This Row],[F-Score(1-5)]]&amp;Auto_Sales_data___Copy[[#This Row],[M-Score(1-5)]]</f>
        <v>155</v>
      </c>
      <c r="AA2246" s="2" t="str" cm="1">
        <f t="array" ref="AA22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6" s="2" t="str">
        <f>VLOOKUP(Auto_Sales_data___Copy[[#This Row],[Segment Name]],Table3[],2,FALSE)</f>
        <v>Brand Awareness &amp; Value Proposition</v>
      </c>
    </row>
    <row r="2247" spans="1:28" x14ac:dyDescent="0.25">
      <c r="A2247">
        <v>10100</v>
      </c>
      <c r="B2247">
        <v>49</v>
      </c>
      <c r="C2247">
        <v>34.47</v>
      </c>
      <c r="D2247">
        <v>1</v>
      </c>
      <c r="E2247">
        <v>1689.03</v>
      </c>
      <c r="F2247" s="1">
        <v>43106</v>
      </c>
      <c r="G2247" s="2" t="s">
        <v>19</v>
      </c>
      <c r="H2247" s="2" t="s">
        <v>589</v>
      </c>
      <c r="I2247">
        <v>41</v>
      </c>
      <c r="J2247" s="2" t="s">
        <v>689</v>
      </c>
      <c r="K2247" s="2" t="s">
        <v>290</v>
      </c>
      <c r="L2247" s="2" t="s">
        <v>291</v>
      </c>
      <c r="M2247" s="2" t="s">
        <v>292</v>
      </c>
      <c r="N2247" s="2" t="s">
        <v>293</v>
      </c>
      <c r="O2247" s="2" t="s">
        <v>294</v>
      </c>
      <c r="P2247" s="2" t="s">
        <v>27</v>
      </c>
      <c r="Q2247" s="2" t="s">
        <v>52</v>
      </c>
      <c r="R2247" s="2" t="s">
        <v>289</v>
      </c>
      <c r="S2247" s="2" t="s">
        <v>30</v>
      </c>
      <c r="T2247">
        <v>2836</v>
      </c>
      <c r="U2247">
        <f>VLOOKUP(Auto_Sales_data___Copy[[#This Row],[CUSTOMER_NAME]],$AF$2:$AH$90,2,FALSE)</f>
        <v>34</v>
      </c>
      <c r="V2247">
        <f>VLOOKUP(Auto_Sales_data___Copy[[#This Row],[CUSTOMER_NAME]],$AF$2:$AH$90,3,FALSE)</f>
        <v>131685.29999999999</v>
      </c>
      <c r="W2247" s="2">
        <f>6-MATCH(Auto_Sales_data___Copy[[#This Row],[DAYS_SINCE_LAST_ORDER]],Table2[R-Cutoff],1)</f>
        <v>1</v>
      </c>
      <c r="X2247" s="2">
        <f>MATCH(Auto_Sales_data___Copy[[#This Row],[Total_Orders_Per_Customer]],Table2[F-Cutoff],1)</f>
        <v>4</v>
      </c>
      <c r="Y2247" s="2">
        <f>MATCH(Auto_Sales_data___Copy[[#This Row],[Total_Sales_Per_Customer]],Table2[M-Cutoff],1)</f>
        <v>4</v>
      </c>
      <c r="Z2247" s="2" t="str">
        <f>Auto_Sales_data___Copy[[#This Row],[R-Score(1-5)]]&amp;Auto_Sales_data___Copy[[#This Row],[F-Score(1-5)]]&amp;Auto_Sales_data___Copy[[#This Row],[M-Score(1-5)]]</f>
        <v>144</v>
      </c>
      <c r="AA2247" s="2" t="str" cm="1">
        <f t="array" ref="AA22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7" s="2" t="str">
        <f>VLOOKUP(Auto_Sales_data___Copy[[#This Row],[Segment Name]],Table3[],2,FALSE)</f>
        <v>Brand Awareness &amp; Value Proposition</v>
      </c>
    </row>
    <row r="2248" spans="1:28" x14ac:dyDescent="0.25">
      <c r="A2248">
        <v>10103</v>
      </c>
      <c r="B2248">
        <v>25</v>
      </c>
      <c r="C2248">
        <v>114.92</v>
      </c>
      <c r="D2248">
        <v>15</v>
      </c>
      <c r="E2248">
        <v>2873</v>
      </c>
      <c r="F2248" s="1">
        <v>43129</v>
      </c>
      <c r="G2248" s="2" t="s">
        <v>19</v>
      </c>
      <c r="H2248" s="2" t="s">
        <v>589</v>
      </c>
      <c r="I2248">
        <v>97</v>
      </c>
      <c r="J2248" s="2" t="s">
        <v>691</v>
      </c>
      <c r="K2248" s="2" t="s">
        <v>130</v>
      </c>
      <c r="L2248" s="2" t="s">
        <v>131</v>
      </c>
      <c r="M2248" s="2" t="s">
        <v>132</v>
      </c>
      <c r="N2248" s="2" t="s">
        <v>133</v>
      </c>
      <c r="O2248" s="2" t="s">
        <v>134</v>
      </c>
      <c r="P2248" s="2" t="s">
        <v>73</v>
      </c>
      <c r="Q2248" s="2" t="s">
        <v>135</v>
      </c>
      <c r="R2248" s="2" t="s">
        <v>136</v>
      </c>
      <c r="S2248" s="2" t="s">
        <v>30</v>
      </c>
      <c r="T2248">
        <v>2860</v>
      </c>
      <c r="U2248">
        <f>VLOOKUP(Auto_Sales_data___Copy[[#This Row],[CUSTOMER_NAME]],$AF$2:$AH$90,2,FALSE)</f>
        <v>32</v>
      </c>
      <c r="V2248">
        <f>VLOOKUP(Auto_Sales_data___Copy[[#This Row],[CUSTOMER_NAME]],$AF$2:$AH$90,3,FALSE)</f>
        <v>116599.18999999999</v>
      </c>
      <c r="W2248" s="2">
        <f>6-MATCH(Auto_Sales_data___Copy[[#This Row],[DAYS_SINCE_LAST_ORDER]],Table2[R-Cutoff],1)</f>
        <v>1</v>
      </c>
      <c r="X2248" s="2">
        <f>MATCH(Auto_Sales_data___Copy[[#This Row],[Total_Orders_Per_Customer]],Table2[F-Cutoff],1)</f>
        <v>4</v>
      </c>
      <c r="Y2248" s="2">
        <f>MATCH(Auto_Sales_data___Copy[[#This Row],[Total_Sales_Per_Customer]],Table2[M-Cutoff],1)</f>
        <v>4</v>
      </c>
      <c r="Z2248" s="2" t="str">
        <f>Auto_Sales_data___Copy[[#This Row],[R-Score(1-5)]]&amp;Auto_Sales_data___Copy[[#This Row],[F-Score(1-5)]]&amp;Auto_Sales_data___Copy[[#This Row],[M-Score(1-5)]]</f>
        <v>144</v>
      </c>
      <c r="AA2248" s="2" t="str" cm="1">
        <f t="array" ref="AA22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8" s="2" t="str">
        <f>VLOOKUP(Auto_Sales_data___Copy[[#This Row],[Segment Name]],Table3[],2,FALSE)</f>
        <v>Brand Awareness &amp; Value Proposition</v>
      </c>
    </row>
    <row r="2249" spans="1:28" x14ac:dyDescent="0.25">
      <c r="A2249">
        <v>10103</v>
      </c>
      <c r="B2249">
        <v>31</v>
      </c>
      <c r="C2249">
        <v>104.01</v>
      </c>
      <c r="D2249">
        <v>3</v>
      </c>
      <c r="E2249">
        <v>3224.31</v>
      </c>
      <c r="F2249" s="1">
        <v>43129</v>
      </c>
      <c r="G2249" s="2" t="s">
        <v>19</v>
      </c>
      <c r="H2249" s="2" t="s">
        <v>537</v>
      </c>
      <c r="I2249">
        <v>96</v>
      </c>
      <c r="J2249" s="2" t="s">
        <v>694</v>
      </c>
      <c r="K2249" s="2" t="s">
        <v>130</v>
      </c>
      <c r="L2249" s="2" t="s">
        <v>131</v>
      </c>
      <c r="M2249" s="2" t="s">
        <v>132</v>
      </c>
      <c r="N2249" s="2" t="s">
        <v>133</v>
      </c>
      <c r="O2249" s="2" t="s">
        <v>134</v>
      </c>
      <c r="P2249" s="2" t="s">
        <v>73</v>
      </c>
      <c r="Q2249" s="2" t="s">
        <v>135</v>
      </c>
      <c r="R2249" s="2" t="s">
        <v>136</v>
      </c>
      <c r="S2249" s="2" t="s">
        <v>46</v>
      </c>
      <c r="T2249">
        <v>2931</v>
      </c>
      <c r="U2249">
        <f>VLOOKUP(Auto_Sales_data___Copy[[#This Row],[CUSTOMER_NAME]],$AF$2:$AH$90,2,FALSE)</f>
        <v>32</v>
      </c>
      <c r="V2249">
        <f>VLOOKUP(Auto_Sales_data___Copy[[#This Row],[CUSTOMER_NAME]],$AF$2:$AH$90,3,FALSE)</f>
        <v>116599.18999999999</v>
      </c>
      <c r="W2249" s="2">
        <f>6-MATCH(Auto_Sales_data___Copy[[#This Row],[DAYS_SINCE_LAST_ORDER]],Table2[R-Cutoff],1)</f>
        <v>1</v>
      </c>
      <c r="X2249" s="2">
        <f>MATCH(Auto_Sales_data___Copy[[#This Row],[Total_Orders_Per_Customer]],Table2[F-Cutoff],1)</f>
        <v>4</v>
      </c>
      <c r="Y2249" s="2">
        <f>MATCH(Auto_Sales_data___Copy[[#This Row],[Total_Sales_Per_Customer]],Table2[M-Cutoff],1)</f>
        <v>4</v>
      </c>
      <c r="Z2249" s="2" t="str">
        <f>Auto_Sales_data___Copy[[#This Row],[R-Score(1-5)]]&amp;Auto_Sales_data___Copy[[#This Row],[F-Score(1-5)]]&amp;Auto_Sales_data___Copy[[#This Row],[M-Score(1-5)]]</f>
        <v>144</v>
      </c>
      <c r="AA2249" s="2" t="str" cm="1">
        <f t="array" ref="AA22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9" s="2" t="str">
        <f>VLOOKUP(Auto_Sales_data___Copy[[#This Row],[Segment Name]],Table3[],2,FALSE)</f>
        <v>Brand Awareness &amp; Value Proposition</v>
      </c>
    </row>
    <row r="2250" spans="1:28" x14ac:dyDescent="0.25">
      <c r="A2250">
        <v>10103</v>
      </c>
      <c r="B2250">
        <v>45</v>
      </c>
      <c r="C2250">
        <v>75.63</v>
      </c>
      <c r="D2250">
        <v>7</v>
      </c>
      <c r="E2250">
        <v>3403.35</v>
      </c>
      <c r="F2250" s="1">
        <v>43129</v>
      </c>
      <c r="G2250" s="2" t="s">
        <v>19</v>
      </c>
      <c r="H2250" s="2" t="s">
        <v>537</v>
      </c>
      <c r="I2250">
        <v>64</v>
      </c>
      <c r="J2250" s="2" t="s">
        <v>699</v>
      </c>
      <c r="K2250" s="2" t="s">
        <v>130</v>
      </c>
      <c r="L2250" s="2" t="s">
        <v>131</v>
      </c>
      <c r="M2250" s="2" t="s">
        <v>132</v>
      </c>
      <c r="N2250" s="2" t="s">
        <v>133</v>
      </c>
      <c r="O2250" s="2" t="s">
        <v>134</v>
      </c>
      <c r="P2250" s="2" t="s">
        <v>73</v>
      </c>
      <c r="Q2250" s="2" t="s">
        <v>135</v>
      </c>
      <c r="R2250" s="2" t="s">
        <v>136</v>
      </c>
      <c r="S2250" s="2" t="s">
        <v>46</v>
      </c>
      <c r="T2250">
        <v>3060</v>
      </c>
      <c r="U2250">
        <f>VLOOKUP(Auto_Sales_data___Copy[[#This Row],[CUSTOMER_NAME]],$AF$2:$AH$90,2,FALSE)</f>
        <v>32</v>
      </c>
      <c r="V2250">
        <f>VLOOKUP(Auto_Sales_data___Copy[[#This Row],[CUSTOMER_NAME]],$AF$2:$AH$90,3,FALSE)</f>
        <v>116599.18999999999</v>
      </c>
      <c r="W2250" s="2">
        <f>6-MATCH(Auto_Sales_data___Copy[[#This Row],[DAYS_SINCE_LAST_ORDER]],Table2[R-Cutoff],1)</f>
        <v>1</v>
      </c>
      <c r="X2250" s="2">
        <f>MATCH(Auto_Sales_data___Copy[[#This Row],[Total_Orders_Per_Customer]],Table2[F-Cutoff],1)</f>
        <v>4</v>
      </c>
      <c r="Y2250" s="2">
        <f>MATCH(Auto_Sales_data___Copy[[#This Row],[Total_Sales_Per_Customer]],Table2[M-Cutoff],1)</f>
        <v>4</v>
      </c>
      <c r="Z2250" s="2" t="str">
        <f>Auto_Sales_data___Copy[[#This Row],[R-Score(1-5)]]&amp;Auto_Sales_data___Copy[[#This Row],[F-Score(1-5)]]&amp;Auto_Sales_data___Copy[[#This Row],[M-Score(1-5)]]</f>
        <v>144</v>
      </c>
      <c r="AA2250" s="2" t="str" cm="1">
        <f t="array" ref="AA22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0" s="2" t="str">
        <f>VLOOKUP(Auto_Sales_data___Copy[[#This Row],[Segment Name]],Table3[],2,FALSE)</f>
        <v>Brand Awareness &amp; Value Proposition</v>
      </c>
    </row>
    <row r="2251" spans="1:28" x14ac:dyDescent="0.25">
      <c r="A2251">
        <v>10103</v>
      </c>
      <c r="B2251">
        <v>42</v>
      </c>
      <c r="C2251">
        <v>106.21</v>
      </c>
      <c r="D2251">
        <v>6</v>
      </c>
      <c r="E2251">
        <v>4460.82</v>
      </c>
      <c r="F2251" s="1">
        <v>43129</v>
      </c>
      <c r="G2251" s="2" t="s">
        <v>19</v>
      </c>
      <c r="H2251" s="2" t="s">
        <v>183</v>
      </c>
      <c r="I2251">
        <v>101</v>
      </c>
      <c r="J2251" s="2" t="s">
        <v>712</v>
      </c>
      <c r="K2251" s="2" t="s">
        <v>130</v>
      </c>
      <c r="L2251" s="2" t="s">
        <v>131</v>
      </c>
      <c r="M2251" s="2" t="s">
        <v>132</v>
      </c>
      <c r="N2251" s="2" t="s">
        <v>133</v>
      </c>
      <c r="O2251" s="2" t="s">
        <v>134</v>
      </c>
      <c r="P2251" s="2" t="s">
        <v>73</v>
      </c>
      <c r="Q2251" s="2" t="s">
        <v>135</v>
      </c>
      <c r="R2251" s="2" t="s">
        <v>136</v>
      </c>
      <c r="S2251" s="2" t="s">
        <v>46</v>
      </c>
      <c r="T2251">
        <v>3393</v>
      </c>
      <c r="U2251">
        <f>VLOOKUP(Auto_Sales_data___Copy[[#This Row],[CUSTOMER_NAME]],$AF$2:$AH$90,2,FALSE)</f>
        <v>32</v>
      </c>
      <c r="V2251">
        <f>VLOOKUP(Auto_Sales_data___Copy[[#This Row],[CUSTOMER_NAME]],$AF$2:$AH$90,3,FALSE)</f>
        <v>116599.18999999999</v>
      </c>
      <c r="W2251" s="2">
        <f>6-MATCH(Auto_Sales_data___Copy[[#This Row],[DAYS_SINCE_LAST_ORDER]],Table2[R-Cutoff],1)</f>
        <v>1</v>
      </c>
      <c r="X2251" s="2">
        <f>MATCH(Auto_Sales_data___Copy[[#This Row],[Total_Orders_Per_Customer]],Table2[F-Cutoff],1)</f>
        <v>4</v>
      </c>
      <c r="Y2251" s="2">
        <f>MATCH(Auto_Sales_data___Copy[[#This Row],[Total_Sales_Per_Customer]],Table2[M-Cutoff],1)</f>
        <v>4</v>
      </c>
      <c r="Z2251" s="2" t="str">
        <f>Auto_Sales_data___Copy[[#This Row],[R-Score(1-5)]]&amp;Auto_Sales_data___Copy[[#This Row],[F-Score(1-5)]]&amp;Auto_Sales_data___Copy[[#This Row],[M-Score(1-5)]]</f>
        <v>144</v>
      </c>
      <c r="AA2251" s="2" t="str" cm="1">
        <f t="array" ref="AA22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1" s="2" t="str">
        <f>VLOOKUP(Auto_Sales_data___Copy[[#This Row],[Segment Name]],Table3[],2,FALSE)</f>
        <v>Brand Awareness &amp; Value Proposition</v>
      </c>
    </row>
    <row r="2252" spans="1:28" x14ac:dyDescent="0.25">
      <c r="A2252">
        <v>10105</v>
      </c>
      <c r="B2252">
        <v>44</v>
      </c>
      <c r="C2252">
        <v>72.58</v>
      </c>
      <c r="D2252">
        <v>4</v>
      </c>
      <c r="E2252">
        <v>3193.52</v>
      </c>
      <c r="F2252" s="1">
        <v>43142</v>
      </c>
      <c r="G2252" s="2" t="s">
        <v>19</v>
      </c>
      <c r="H2252" s="2" t="s">
        <v>589</v>
      </c>
      <c r="I2252">
        <v>88</v>
      </c>
      <c r="J2252" s="2" t="s">
        <v>681</v>
      </c>
      <c r="K2252" s="2" t="s">
        <v>339</v>
      </c>
      <c r="L2252" s="2" t="s">
        <v>340</v>
      </c>
      <c r="M2252" s="2" t="s">
        <v>341</v>
      </c>
      <c r="N2252" s="2" t="s">
        <v>342</v>
      </c>
      <c r="O2252" s="2" t="s">
        <v>343</v>
      </c>
      <c r="P2252" s="2" t="s">
        <v>344</v>
      </c>
      <c r="Q2252" s="2" t="s">
        <v>345</v>
      </c>
      <c r="R2252" s="2" t="s">
        <v>346</v>
      </c>
      <c r="S2252" s="2" t="s">
        <v>46</v>
      </c>
      <c r="T2252">
        <v>2600</v>
      </c>
      <c r="U2252">
        <f>VLOOKUP(Auto_Sales_data___Copy[[#This Row],[CUSTOMER_NAME]],$AF$2:$AH$90,2,FALSE)</f>
        <v>36</v>
      </c>
      <c r="V2252">
        <f>VLOOKUP(Auto_Sales_data___Copy[[#This Row],[CUSTOMER_NAME]],$AF$2:$AH$90,3,FALSE)</f>
        <v>145041.60000000001</v>
      </c>
      <c r="W2252" s="2">
        <f>6-MATCH(Auto_Sales_data___Copy[[#This Row],[DAYS_SINCE_LAST_ORDER]],Table2[R-Cutoff],1)</f>
        <v>1</v>
      </c>
      <c r="X2252" s="2">
        <f>MATCH(Auto_Sales_data___Copy[[#This Row],[Total_Orders_Per_Customer]],Table2[F-Cutoff],1)</f>
        <v>4</v>
      </c>
      <c r="Y2252" s="2">
        <f>MATCH(Auto_Sales_data___Copy[[#This Row],[Total_Sales_Per_Customer]],Table2[M-Cutoff],1)</f>
        <v>4</v>
      </c>
      <c r="Z2252" s="2" t="str">
        <f>Auto_Sales_data___Copy[[#This Row],[R-Score(1-5)]]&amp;Auto_Sales_data___Copy[[#This Row],[F-Score(1-5)]]&amp;Auto_Sales_data___Copy[[#This Row],[M-Score(1-5)]]</f>
        <v>144</v>
      </c>
      <c r="AA2252" s="2" t="str" cm="1">
        <f t="array" ref="AA22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2" s="2" t="str">
        <f>VLOOKUP(Auto_Sales_data___Copy[[#This Row],[Segment Name]],Table3[],2,FALSE)</f>
        <v>Brand Awareness &amp; Value Proposition</v>
      </c>
    </row>
    <row r="2253" spans="1:28" x14ac:dyDescent="0.25">
      <c r="A2253">
        <v>10105</v>
      </c>
      <c r="B2253">
        <v>50</v>
      </c>
      <c r="C2253">
        <v>79.67</v>
      </c>
      <c r="D2253">
        <v>1</v>
      </c>
      <c r="E2253">
        <v>3983.5</v>
      </c>
      <c r="F2253" s="1">
        <v>43142</v>
      </c>
      <c r="G2253" s="2" t="s">
        <v>19</v>
      </c>
      <c r="H2253" s="2" t="s">
        <v>589</v>
      </c>
      <c r="I2253">
        <v>83</v>
      </c>
      <c r="J2253" s="2" t="s">
        <v>686</v>
      </c>
      <c r="K2253" s="2" t="s">
        <v>339</v>
      </c>
      <c r="L2253" s="2" t="s">
        <v>340</v>
      </c>
      <c r="M2253" s="2" t="s">
        <v>341</v>
      </c>
      <c r="N2253" s="2" t="s">
        <v>342</v>
      </c>
      <c r="O2253" s="2" t="s">
        <v>343</v>
      </c>
      <c r="P2253" s="2" t="s">
        <v>344</v>
      </c>
      <c r="Q2253" s="2" t="s">
        <v>345</v>
      </c>
      <c r="R2253" s="2" t="s">
        <v>346</v>
      </c>
      <c r="S2253" s="2" t="s">
        <v>46</v>
      </c>
      <c r="T2253">
        <v>2722</v>
      </c>
      <c r="U2253">
        <f>VLOOKUP(Auto_Sales_data___Copy[[#This Row],[CUSTOMER_NAME]],$AF$2:$AH$90,2,FALSE)</f>
        <v>36</v>
      </c>
      <c r="V2253">
        <f>VLOOKUP(Auto_Sales_data___Copy[[#This Row],[CUSTOMER_NAME]],$AF$2:$AH$90,3,FALSE)</f>
        <v>145041.60000000001</v>
      </c>
      <c r="W2253" s="2">
        <f>6-MATCH(Auto_Sales_data___Copy[[#This Row],[DAYS_SINCE_LAST_ORDER]],Table2[R-Cutoff],1)</f>
        <v>1</v>
      </c>
      <c r="X2253" s="2">
        <f>MATCH(Auto_Sales_data___Copy[[#This Row],[Total_Orders_Per_Customer]],Table2[F-Cutoff],1)</f>
        <v>4</v>
      </c>
      <c r="Y2253" s="2">
        <f>MATCH(Auto_Sales_data___Copy[[#This Row],[Total_Sales_Per_Customer]],Table2[M-Cutoff],1)</f>
        <v>4</v>
      </c>
      <c r="Z2253" s="2" t="str">
        <f>Auto_Sales_data___Copy[[#This Row],[R-Score(1-5)]]&amp;Auto_Sales_data___Copy[[#This Row],[F-Score(1-5)]]&amp;Auto_Sales_data___Copy[[#This Row],[M-Score(1-5)]]</f>
        <v>144</v>
      </c>
      <c r="AA2253" s="2" t="str" cm="1">
        <f t="array" ref="AA22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3" s="2" t="str">
        <f>VLOOKUP(Auto_Sales_data___Copy[[#This Row],[Segment Name]],Table3[],2,FALSE)</f>
        <v>Brand Awareness &amp; Value Proposition</v>
      </c>
    </row>
    <row r="2254" spans="1:28" x14ac:dyDescent="0.25">
      <c r="A2254">
        <v>10105</v>
      </c>
      <c r="B2254">
        <v>41</v>
      </c>
      <c r="C2254">
        <v>70.67</v>
      </c>
      <c r="D2254">
        <v>5</v>
      </c>
      <c r="E2254">
        <v>2897.47</v>
      </c>
      <c r="F2254" s="1">
        <v>43142</v>
      </c>
      <c r="G2254" s="2" t="s">
        <v>19</v>
      </c>
      <c r="H2254" s="2" t="s">
        <v>642</v>
      </c>
      <c r="I2254">
        <v>66</v>
      </c>
      <c r="J2254" s="2" t="s">
        <v>706</v>
      </c>
      <c r="K2254" s="2" t="s">
        <v>339</v>
      </c>
      <c r="L2254" s="2" t="s">
        <v>340</v>
      </c>
      <c r="M2254" s="2" t="s">
        <v>341</v>
      </c>
      <c r="N2254" s="2" t="s">
        <v>342</v>
      </c>
      <c r="O2254" s="2" t="s">
        <v>343</v>
      </c>
      <c r="P2254" s="2" t="s">
        <v>344</v>
      </c>
      <c r="Q2254" s="2" t="s">
        <v>345</v>
      </c>
      <c r="R2254" s="2" t="s">
        <v>346</v>
      </c>
      <c r="S2254" s="2" t="s">
        <v>30</v>
      </c>
      <c r="T2254">
        <v>3225</v>
      </c>
      <c r="U2254">
        <f>VLOOKUP(Auto_Sales_data___Copy[[#This Row],[CUSTOMER_NAME]],$AF$2:$AH$90,2,FALSE)</f>
        <v>36</v>
      </c>
      <c r="V2254">
        <f>VLOOKUP(Auto_Sales_data___Copy[[#This Row],[CUSTOMER_NAME]],$AF$2:$AH$90,3,FALSE)</f>
        <v>145041.60000000001</v>
      </c>
      <c r="W2254" s="2">
        <f>6-MATCH(Auto_Sales_data___Copy[[#This Row],[DAYS_SINCE_LAST_ORDER]],Table2[R-Cutoff],1)</f>
        <v>1</v>
      </c>
      <c r="X2254" s="2">
        <f>MATCH(Auto_Sales_data___Copy[[#This Row],[Total_Orders_Per_Customer]],Table2[F-Cutoff],1)</f>
        <v>4</v>
      </c>
      <c r="Y2254" s="2">
        <f>MATCH(Auto_Sales_data___Copy[[#This Row],[Total_Sales_Per_Customer]],Table2[M-Cutoff],1)</f>
        <v>4</v>
      </c>
      <c r="Z2254" s="2" t="str">
        <f>Auto_Sales_data___Copy[[#This Row],[R-Score(1-5)]]&amp;Auto_Sales_data___Copy[[#This Row],[F-Score(1-5)]]&amp;Auto_Sales_data___Copy[[#This Row],[M-Score(1-5)]]</f>
        <v>144</v>
      </c>
      <c r="AA2254" s="2" t="str" cm="1">
        <f t="array" ref="AA22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4" s="2" t="str">
        <f>VLOOKUP(Auto_Sales_data___Copy[[#This Row],[Segment Name]],Table3[],2,FALSE)</f>
        <v>Brand Awareness &amp; Value Proposition</v>
      </c>
    </row>
    <row r="2255" spans="1:28" x14ac:dyDescent="0.25">
      <c r="A2255">
        <v>10105</v>
      </c>
      <c r="B2255">
        <v>29</v>
      </c>
      <c r="C2255">
        <v>70.150000000000006</v>
      </c>
      <c r="D2255">
        <v>12</v>
      </c>
      <c r="E2255">
        <v>2034.35</v>
      </c>
      <c r="F2255" s="1">
        <v>43142</v>
      </c>
      <c r="G2255" s="2" t="s">
        <v>19</v>
      </c>
      <c r="H2255" s="2" t="s">
        <v>642</v>
      </c>
      <c r="I2255">
        <v>86</v>
      </c>
      <c r="J2255" s="2" t="s">
        <v>708</v>
      </c>
      <c r="K2255" s="2" t="s">
        <v>339</v>
      </c>
      <c r="L2255" s="2" t="s">
        <v>340</v>
      </c>
      <c r="M2255" s="2" t="s">
        <v>341</v>
      </c>
      <c r="N2255" s="2" t="s">
        <v>342</v>
      </c>
      <c r="O2255" s="2" t="s">
        <v>343</v>
      </c>
      <c r="P2255" s="2" t="s">
        <v>344</v>
      </c>
      <c r="Q2255" s="2" t="s">
        <v>345</v>
      </c>
      <c r="R2255" s="2" t="s">
        <v>346</v>
      </c>
      <c r="S2255" s="2" t="s">
        <v>30</v>
      </c>
      <c r="T2255">
        <v>3277</v>
      </c>
      <c r="U2255">
        <f>VLOOKUP(Auto_Sales_data___Copy[[#This Row],[CUSTOMER_NAME]],$AF$2:$AH$90,2,FALSE)</f>
        <v>36</v>
      </c>
      <c r="V2255">
        <f>VLOOKUP(Auto_Sales_data___Copy[[#This Row],[CUSTOMER_NAME]],$AF$2:$AH$90,3,FALSE)</f>
        <v>145041.60000000001</v>
      </c>
      <c r="W2255" s="2">
        <f>6-MATCH(Auto_Sales_data___Copy[[#This Row],[DAYS_SINCE_LAST_ORDER]],Table2[R-Cutoff],1)</f>
        <v>1</v>
      </c>
      <c r="X2255" s="2">
        <f>MATCH(Auto_Sales_data___Copy[[#This Row],[Total_Orders_Per_Customer]],Table2[F-Cutoff],1)</f>
        <v>4</v>
      </c>
      <c r="Y2255" s="2">
        <f>MATCH(Auto_Sales_data___Copy[[#This Row],[Total_Sales_Per_Customer]],Table2[M-Cutoff],1)</f>
        <v>4</v>
      </c>
      <c r="Z2255" s="2" t="str">
        <f>Auto_Sales_data___Copy[[#This Row],[R-Score(1-5)]]&amp;Auto_Sales_data___Copy[[#This Row],[F-Score(1-5)]]&amp;Auto_Sales_data___Copy[[#This Row],[M-Score(1-5)]]</f>
        <v>144</v>
      </c>
      <c r="AA2255" s="2" t="str" cm="1">
        <f t="array" ref="AA22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5" s="2" t="str">
        <f>VLOOKUP(Auto_Sales_data___Copy[[#This Row],[Segment Name]],Table3[],2,FALSE)</f>
        <v>Brand Awareness &amp; Value Proposition</v>
      </c>
    </row>
    <row r="2256" spans="1:28" x14ac:dyDescent="0.25">
      <c r="A2256">
        <v>10105</v>
      </c>
      <c r="B2256">
        <v>31</v>
      </c>
      <c r="C2256">
        <v>65.77</v>
      </c>
      <c r="D2256">
        <v>3</v>
      </c>
      <c r="E2256">
        <v>2038.87</v>
      </c>
      <c r="F2256" s="1">
        <v>43142</v>
      </c>
      <c r="G2256" s="2" t="s">
        <v>19</v>
      </c>
      <c r="H2256" s="2" t="s">
        <v>642</v>
      </c>
      <c r="I2256">
        <v>72</v>
      </c>
      <c r="J2256" s="2" t="s">
        <v>711</v>
      </c>
      <c r="K2256" s="2" t="s">
        <v>339</v>
      </c>
      <c r="L2256" s="2" t="s">
        <v>340</v>
      </c>
      <c r="M2256" s="2" t="s">
        <v>341</v>
      </c>
      <c r="N2256" s="2" t="s">
        <v>342</v>
      </c>
      <c r="O2256" s="2" t="s">
        <v>343</v>
      </c>
      <c r="P2256" s="2" t="s">
        <v>344</v>
      </c>
      <c r="Q2256" s="2" t="s">
        <v>345</v>
      </c>
      <c r="R2256" s="2" t="s">
        <v>346</v>
      </c>
      <c r="S2256" s="2" t="s">
        <v>30</v>
      </c>
      <c r="T2256">
        <v>3354</v>
      </c>
      <c r="U2256">
        <f>VLOOKUP(Auto_Sales_data___Copy[[#This Row],[CUSTOMER_NAME]],$AF$2:$AH$90,2,FALSE)</f>
        <v>36</v>
      </c>
      <c r="V2256">
        <f>VLOOKUP(Auto_Sales_data___Copy[[#This Row],[CUSTOMER_NAME]],$AF$2:$AH$90,3,FALSE)</f>
        <v>145041.60000000001</v>
      </c>
      <c r="W2256" s="2">
        <f>6-MATCH(Auto_Sales_data___Copy[[#This Row],[DAYS_SINCE_LAST_ORDER]],Table2[R-Cutoff],1)</f>
        <v>1</v>
      </c>
      <c r="X2256" s="2">
        <f>MATCH(Auto_Sales_data___Copy[[#This Row],[Total_Orders_Per_Customer]],Table2[F-Cutoff],1)</f>
        <v>4</v>
      </c>
      <c r="Y2256" s="2">
        <f>MATCH(Auto_Sales_data___Copy[[#This Row],[Total_Sales_Per_Customer]],Table2[M-Cutoff],1)</f>
        <v>4</v>
      </c>
      <c r="Z2256" s="2" t="str">
        <f>Auto_Sales_data___Copy[[#This Row],[R-Score(1-5)]]&amp;Auto_Sales_data___Copy[[#This Row],[F-Score(1-5)]]&amp;Auto_Sales_data___Copy[[#This Row],[M-Score(1-5)]]</f>
        <v>144</v>
      </c>
      <c r="AA2256" s="2" t="str" cm="1">
        <f t="array" ref="AA22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6" s="2" t="str">
        <f>VLOOKUP(Auto_Sales_data___Copy[[#This Row],[Segment Name]],Table3[],2,FALSE)</f>
        <v>Brand Awareness &amp; Value Proposition</v>
      </c>
    </row>
    <row r="2257" spans="1:28" x14ac:dyDescent="0.25">
      <c r="A2257">
        <v>10105</v>
      </c>
      <c r="B2257">
        <v>39</v>
      </c>
      <c r="C2257">
        <v>81.14</v>
      </c>
      <c r="D2257">
        <v>6</v>
      </c>
      <c r="E2257">
        <v>3164.46</v>
      </c>
      <c r="F2257" s="1">
        <v>43142</v>
      </c>
      <c r="G2257" s="2" t="s">
        <v>19</v>
      </c>
      <c r="H2257" s="2" t="s">
        <v>642</v>
      </c>
      <c r="I2257">
        <v>100</v>
      </c>
      <c r="J2257" s="2" t="s">
        <v>715</v>
      </c>
      <c r="K2257" s="2" t="s">
        <v>339</v>
      </c>
      <c r="L2257" s="2" t="s">
        <v>340</v>
      </c>
      <c r="M2257" s="2" t="s">
        <v>341</v>
      </c>
      <c r="N2257" s="2" t="s">
        <v>342</v>
      </c>
      <c r="O2257" s="2" t="s">
        <v>343</v>
      </c>
      <c r="P2257" s="2" t="s">
        <v>344</v>
      </c>
      <c r="Q2257" s="2" t="s">
        <v>345</v>
      </c>
      <c r="R2257" s="2" t="s">
        <v>346</v>
      </c>
      <c r="S2257" s="2" t="s">
        <v>46</v>
      </c>
      <c r="T2257">
        <v>3457</v>
      </c>
      <c r="U2257">
        <f>VLOOKUP(Auto_Sales_data___Copy[[#This Row],[CUSTOMER_NAME]],$AF$2:$AH$90,2,FALSE)</f>
        <v>36</v>
      </c>
      <c r="V2257">
        <f>VLOOKUP(Auto_Sales_data___Copy[[#This Row],[CUSTOMER_NAME]],$AF$2:$AH$90,3,FALSE)</f>
        <v>145041.60000000001</v>
      </c>
      <c r="W2257" s="2">
        <f>6-MATCH(Auto_Sales_data___Copy[[#This Row],[DAYS_SINCE_LAST_ORDER]],Table2[R-Cutoff],1)</f>
        <v>1</v>
      </c>
      <c r="X2257" s="2">
        <f>MATCH(Auto_Sales_data___Copy[[#This Row],[Total_Orders_Per_Customer]],Table2[F-Cutoff],1)</f>
        <v>4</v>
      </c>
      <c r="Y2257" s="2">
        <f>MATCH(Auto_Sales_data___Copy[[#This Row],[Total_Sales_Per_Customer]],Table2[M-Cutoff],1)</f>
        <v>4</v>
      </c>
      <c r="Z2257" s="2" t="str">
        <f>Auto_Sales_data___Copy[[#This Row],[R-Score(1-5)]]&amp;Auto_Sales_data___Copy[[#This Row],[F-Score(1-5)]]&amp;Auto_Sales_data___Copy[[#This Row],[M-Score(1-5)]]</f>
        <v>144</v>
      </c>
      <c r="AA2257" s="2" t="str" cm="1">
        <f t="array" ref="AA22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7" s="2" t="str">
        <f>VLOOKUP(Auto_Sales_data___Copy[[#This Row],[Segment Name]],Table3[],2,FALSE)</f>
        <v>Brand Awareness &amp; Value Proposition</v>
      </c>
    </row>
    <row r="2258" spans="1:28" x14ac:dyDescent="0.25">
      <c r="A2258">
        <v>10105</v>
      </c>
      <c r="B2258">
        <v>22</v>
      </c>
      <c r="C2258">
        <v>116.19</v>
      </c>
      <c r="D2258">
        <v>7</v>
      </c>
      <c r="E2258">
        <v>2556.1799999999998</v>
      </c>
      <c r="F2258" s="1">
        <v>43142</v>
      </c>
      <c r="G2258" s="2" t="s">
        <v>19</v>
      </c>
      <c r="H2258" s="2" t="s">
        <v>642</v>
      </c>
      <c r="I2258">
        <v>99</v>
      </c>
      <c r="J2258" s="2" t="s">
        <v>716</v>
      </c>
      <c r="K2258" s="2" t="s">
        <v>339</v>
      </c>
      <c r="L2258" s="2" t="s">
        <v>340</v>
      </c>
      <c r="M2258" s="2" t="s">
        <v>341</v>
      </c>
      <c r="N2258" s="2" t="s">
        <v>342</v>
      </c>
      <c r="O2258" s="2" t="s">
        <v>343</v>
      </c>
      <c r="P2258" s="2" t="s">
        <v>344</v>
      </c>
      <c r="Q2258" s="2" t="s">
        <v>345</v>
      </c>
      <c r="R2258" s="2" t="s">
        <v>346</v>
      </c>
      <c r="S2258" s="2" t="s">
        <v>30</v>
      </c>
      <c r="T2258">
        <v>3483</v>
      </c>
      <c r="U2258">
        <f>VLOOKUP(Auto_Sales_data___Copy[[#This Row],[CUSTOMER_NAME]],$AF$2:$AH$90,2,FALSE)</f>
        <v>36</v>
      </c>
      <c r="V2258">
        <f>VLOOKUP(Auto_Sales_data___Copy[[#This Row],[CUSTOMER_NAME]],$AF$2:$AH$90,3,FALSE)</f>
        <v>145041.60000000001</v>
      </c>
      <c r="W2258" s="2">
        <f>6-MATCH(Auto_Sales_data___Copy[[#This Row],[DAYS_SINCE_LAST_ORDER]],Table2[R-Cutoff],1)</f>
        <v>1</v>
      </c>
      <c r="X2258" s="2">
        <f>MATCH(Auto_Sales_data___Copy[[#This Row],[Total_Orders_Per_Customer]],Table2[F-Cutoff],1)</f>
        <v>4</v>
      </c>
      <c r="Y2258" s="2">
        <f>MATCH(Auto_Sales_data___Copy[[#This Row],[Total_Sales_Per_Customer]],Table2[M-Cutoff],1)</f>
        <v>4</v>
      </c>
      <c r="Z2258" s="2" t="str">
        <f>Auto_Sales_data___Copy[[#This Row],[R-Score(1-5)]]&amp;Auto_Sales_data___Copy[[#This Row],[F-Score(1-5)]]&amp;Auto_Sales_data___Copy[[#This Row],[M-Score(1-5)]]</f>
        <v>144</v>
      </c>
      <c r="AA2258" s="2" t="str" cm="1">
        <f t="array" ref="AA22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8" s="2" t="str">
        <f>VLOOKUP(Auto_Sales_data___Copy[[#This Row],[Segment Name]],Table3[],2,FALSE)</f>
        <v>Brand Awareness &amp; Value Proposition</v>
      </c>
    </row>
    <row r="2259" spans="1:28" x14ac:dyDescent="0.25">
      <c r="A2259">
        <v>10105</v>
      </c>
      <c r="B2259">
        <v>25</v>
      </c>
      <c r="C2259">
        <v>56.78</v>
      </c>
      <c r="D2259">
        <v>8</v>
      </c>
      <c r="E2259">
        <v>1419.5</v>
      </c>
      <c r="F2259" s="1">
        <v>43142</v>
      </c>
      <c r="G2259" s="2" t="s">
        <v>19</v>
      </c>
      <c r="H2259" s="2" t="s">
        <v>642</v>
      </c>
      <c r="I2259">
        <v>54</v>
      </c>
      <c r="J2259" s="2" t="s">
        <v>719</v>
      </c>
      <c r="K2259" s="2" t="s">
        <v>339</v>
      </c>
      <c r="L2259" s="2" t="s">
        <v>340</v>
      </c>
      <c r="M2259" s="2" t="s">
        <v>341</v>
      </c>
      <c r="N2259" s="2" t="s">
        <v>342</v>
      </c>
      <c r="O2259" s="2" t="s">
        <v>343</v>
      </c>
      <c r="P2259" s="2" t="s">
        <v>344</v>
      </c>
      <c r="Q2259" s="2" t="s">
        <v>345</v>
      </c>
      <c r="R2259" s="2" t="s">
        <v>346</v>
      </c>
      <c r="S2259" s="2" t="s">
        <v>30</v>
      </c>
      <c r="T2259">
        <v>3562</v>
      </c>
      <c r="U2259">
        <f>VLOOKUP(Auto_Sales_data___Copy[[#This Row],[CUSTOMER_NAME]],$AF$2:$AH$90,2,FALSE)</f>
        <v>36</v>
      </c>
      <c r="V2259">
        <f>VLOOKUP(Auto_Sales_data___Copy[[#This Row],[CUSTOMER_NAME]],$AF$2:$AH$90,3,FALSE)</f>
        <v>145041.60000000001</v>
      </c>
      <c r="W2259" s="2">
        <f>6-MATCH(Auto_Sales_data___Copy[[#This Row],[DAYS_SINCE_LAST_ORDER]],Table2[R-Cutoff],1)</f>
        <v>1</v>
      </c>
      <c r="X2259" s="2">
        <f>MATCH(Auto_Sales_data___Copy[[#This Row],[Total_Orders_Per_Customer]],Table2[F-Cutoff],1)</f>
        <v>4</v>
      </c>
      <c r="Y2259" s="2">
        <f>MATCH(Auto_Sales_data___Copy[[#This Row],[Total_Sales_Per_Customer]],Table2[M-Cutoff],1)</f>
        <v>4</v>
      </c>
      <c r="Z2259" s="2" t="str">
        <f>Auto_Sales_data___Copy[[#This Row],[R-Score(1-5)]]&amp;Auto_Sales_data___Copy[[#This Row],[F-Score(1-5)]]&amp;Auto_Sales_data___Copy[[#This Row],[M-Score(1-5)]]</f>
        <v>144</v>
      </c>
      <c r="AA2259" s="2" t="str" cm="1">
        <f t="array" ref="AA22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9" s="2" t="str">
        <f>VLOOKUP(Auto_Sales_data___Copy[[#This Row],[Segment Name]],Table3[],2,FALSE)</f>
        <v>Brand Awareness &amp; Value Proposition</v>
      </c>
    </row>
    <row r="2260" spans="1:28" x14ac:dyDescent="0.25">
      <c r="A2260">
        <v>10106</v>
      </c>
      <c r="B2260">
        <v>31</v>
      </c>
      <c r="C2260">
        <v>52.6</v>
      </c>
      <c r="D2260">
        <v>14</v>
      </c>
      <c r="E2260">
        <v>1630.6</v>
      </c>
      <c r="F2260" s="1">
        <v>43148</v>
      </c>
      <c r="G2260" s="2" t="s">
        <v>19</v>
      </c>
      <c r="H2260" s="2" t="s">
        <v>589</v>
      </c>
      <c r="I2260">
        <v>65</v>
      </c>
      <c r="J2260" s="2" t="s">
        <v>684</v>
      </c>
      <c r="K2260" s="2" t="s">
        <v>591</v>
      </c>
      <c r="L2260" s="2" t="s">
        <v>592</v>
      </c>
      <c r="M2260" s="2" t="s">
        <v>593</v>
      </c>
      <c r="N2260" s="2" t="s">
        <v>594</v>
      </c>
      <c r="O2260" s="2" t="s">
        <v>595</v>
      </c>
      <c r="P2260" s="2" t="s">
        <v>269</v>
      </c>
      <c r="Q2260" s="2" t="s">
        <v>596</v>
      </c>
      <c r="R2260" s="2" t="s">
        <v>597</v>
      </c>
      <c r="S2260" s="2" t="s">
        <v>30</v>
      </c>
      <c r="T2260">
        <v>2667</v>
      </c>
      <c r="U2260">
        <f>VLOOKUP(Auto_Sales_data___Copy[[#This Row],[CUSTOMER_NAME]],$AF$2:$AH$90,2,FALSE)</f>
        <v>48</v>
      </c>
      <c r="V2260">
        <f>VLOOKUP(Auto_Sales_data___Copy[[#This Row],[CUSTOMER_NAME]],$AF$2:$AH$90,3,FALSE)</f>
        <v>137955.72</v>
      </c>
      <c r="W2260" s="2">
        <f>6-MATCH(Auto_Sales_data___Copy[[#This Row],[DAYS_SINCE_LAST_ORDER]],Table2[R-Cutoff],1)</f>
        <v>1</v>
      </c>
      <c r="X2260" s="2">
        <f>MATCH(Auto_Sales_data___Copy[[#This Row],[Total_Orders_Per_Customer]],Table2[F-Cutoff],1)</f>
        <v>4</v>
      </c>
      <c r="Y2260" s="2">
        <f>MATCH(Auto_Sales_data___Copy[[#This Row],[Total_Sales_Per_Customer]],Table2[M-Cutoff],1)</f>
        <v>4</v>
      </c>
      <c r="Z2260" s="2" t="str">
        <f>Auto_Sales_data___Copy[[#This Row],[R-Score(1-5)]]&amp;Auto_Sales_data___Copy[[#This Row],[F-Score(1-5)]]&amp;Auto_Sales_data___Copy[[#This Row],[M-Score(1-5)]]</f>
        <v>144</v>
      </c>
      <c r="AA2260" s="2" t="str" cm="1">
        <f t="array" ref="AA22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0" s="2" t="str">
        <f>VLOOKUP(Auto_Sales_data___Copy[[#This Row],[Segment Name]],Table3[],2,FALSE)</f>
        <v>Brand Awareness &amp; Value Proposition</v>
      </c>
    </row>
    <row r="2261" spans="1:28" x14ac:dyDescent="0.25">
      <c r="A2261">
        <v>10106</v>
      </c>
      <c r="B2261">
        <v>50</v>
      </c>
      <c r="C2261">
        <v>64.83</v>
      </c>
      <c r="D2261">
        <v>11</v>
      </c>
      <c r="E2261">
        <v>3241.5</v>
      </c>
      <c r="F2261" s="1">
        <v>43148</v>
      </c>
      <c r="G2261" s="2" t="s">
        <v>19</v>
      </c>
      <c r="H2261" s="2" t="s">
        <v>607</v>
      </c>
      <c r="I2261">
        <v>68</v>
      </c>
      <c r="J2261" s="2" t="s">
        <v>688</v>
      </c>
      <c r="K2261" s="2" t="s">
        <v>591</v>
      </c>
      <c r="L2261" s="2" t="s">
        <v>592</v>
      </c>
      <c r="M2261" s="2" t="s">
        <v>593</v>
      </c>
      <c r="N2261" s="2" t="s">
        <v>594</v>
      </c>
      <c r="O2261" s="2" t="s">
        <v>595</v>
      </c>
      <c r="P2261" s="2" t="s">
        <v>269</v>
      </c>
      <c r="Q2261" s="2" t="s">
        <v>596</v>
      </c>
      <c r="R2261" s="2" t="s">
        <v>597</v>
      </c>
      <c r="S2261" s="2" t="s">
        <v>46</v>
      </c>
      <c r="T2261">
        <v>2767</v>
      </c>
      <c r="U2261">
        <f>VLOOKUP(Auto_Sales_data___Copy[[#This Row],[CUSTOMER_NAME]],$AF$2:$AH$90,2,FALSE)</f>
        <v>48</v>
      </c>
      <c r="V2261">
        <f>VLOOKUP(Auto_Sales_data___Copy[[#This Row],[CUSTOMER_NAME]],$AF$2:$AH$90,3,FALSE)</f>
        <v>137955.72</v>
      </c>
      <c r="W2261" s="2">
        <f>6-MATCH(Auto_Sales_data___Copy[[#This Row],[DAYS_SINCE_LAST_ORDER]],Table2[R-Cutoff],1)</f>
        <v>1</v>
      </c>
      <c r="X2261" s="2">
        <f>MATCH(Auto_Sales_data___Copy[[#This Row],[Total_Orders_Per_Customer]],Table2[F-Cutoff],1)</f>
        <v>4</v>
      </c>
      <c r="Y2261" s="2">
        <f>MATCH(Auto_Sales_data___Copy[[#This Row],[Total_Sales_Per_Customer]],Table2[M-Cutoff],1)</f>
        <v>4</v>
      </c>
      <c r="Z2261" s="2" t="str">
        <f>Auto_Sales_data___Copy[[#This Row],[R-Score(1-5)]]&amp;Auto_Sales_data___Copy[[#This Row],[F-Score(1-5)]]&amp;Auto_Sales_data___Copy[[#This Row],[M-Score(1-5)]]</f>
        <v>144</v>
      </c>
      <c r="AA2261" s="2" t="str" cm="1">
        <f t="array" ref="AA22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1" s="2" t="str">
        <f>VLOOKUP(Auto_Sales_data___Copy[[#This Row],[Segment Name]],Table3[],2,FALSE)</f>
        <v>Brand Awareness &amp; Value Proposition</v>
      </c>
    </row>
    <row r="2262" spans="1:28" x14ac:dyDescent="0.25">
      <c r="A2262">
        <v>10106</v>
      </c>
      <c r="B2262">
        <v>26</v>
      </c>
      <c r="C2262">
        <v>63.76</v>
      </c>
      <c r="D2262">
        <v>3</v>
      </c>
      <c r="E2262">
        <v>1657.76</v>
      </c>
      <c r="F2262" s="1">
        <v>43148</v>
      </c>
      <c r="G2262" s="2" t="s">
        <v>19</v>
      </c>
      <c r="H2262" s="2" t="s">
        <v>607</v>
      </c>
      <c r="I2262">
        <v>72</v>
      </c>
      <c r="J2262" s="2" t="s">
        <v>692</v>
      </c>
      <c r="K2262" s="2" t="s">
        <v>591</v>
      </c>
      <c r="L2262" s="2" t="s">
        <v>592</v>
      </c>
      <c r="M2262" s="2" t="s">
        <v>593</v>
      </c>
      <c r="N2262" s="2" t="s">
        <v>594</v>
      </c>
      <c r="O2262" s="2" t="s">
        <v>595</v>
      </c>
      <c r="P2262" s="2" t="s">
        <v>269</v>
      </c>
      <c r="Q2262" s="2" t="s">
        <v>596</v>
      </c>
      <c r="R2262" s="2" t="s">
        <v>597</v>
      </c>
      <c r="S2262" s="2" t="s">
        <v>30</v>
      </c>
      <c r="T2262">
        <v>2865</v>
      </c>
      <c r="U2262">
        <f>VLOOKUP(Auto_Sales_data___Copy[[#This Row],[CUSTOMER_NAME]],$AF$2:$AH$90,2,FALSE)</f>
        <v>48</v>
      </c>
      <c r="V2262">
        <f>VLOOKUP(Auto_Sales_data___Copy[[#This Row],[CUSTOMER_NAME]],$AF$2:$AH$90,3,FALSE)</f>
        <v>137955.72</v>
      </c>
      <c r="W2262" s="2">
        <f>6-MATCH(Auto_Sales_data___Copy[[#This Row],[DAYS_SINCE_LAST_ORDER]],Table2[R-Cutoff],1)</f>
        <v>1</v>
      </c>
      <c r="X2262" s="2">
        <f>MATCH(Auto_Sales_data___Copy[[#This Row],[Total_Orders_Per_Customer]],Table2[F-Cutoff],1)</f>
        <v>4</v>
      </c>
      <c r="Y2262" s="2">
        <f>MATCH(Auto_Sales_data___Copy[[#This Row],[Total_Sales_Per_Customer]],Table2[M-Cutoff],1)</f>
        <v>4</v>
      </c>
      <c r="Z2262" s="2" t="str">
        <f>Auto_Sales_data___Copy[[#This Row],[R-Score(1-5)]]&amp;Auto_Sales_data___Copy[[#This Row],[F-Score(1-5)]]&amp;Auto_Sales_data___Copy[[#This Row],[M-Score(1-5)]]</f>
        <v>144</v>
      </c>
      <c r="AA2262" s="2" t="str" cm="1">
        <f t="array" ref="AA22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2" s="2" t="str">
        <f>VLOOKUP(Auto_Sales_data___Copy[[#This Row],[Segment Name]],Table3[],2,FALSE)</f>
        <v>Brand Awareness &amp; Value Proposition</v>
      </c>
    </row>
    <row r="2263" spans="1:28" x14ac:dyDescent="0.25">
      <c r="A2263">
        <v>10106</v>
      </c>
      <c r="B2263">
        <v>33</v>
      </c>
      <c r="C2263">
        <v>72.92</v>
      </c>
      <c r="D2263">
        <v>5</v>
      </c>
      <c r="E2263">
        <v>2406.36</v>
      </c>
      <c r="F2263" s="1">
        <v>43148</v>
      </c>
      <c r="G2263" s="2" t="s">
        <v>19</v>
      </c>
      <c r="H2263" s="2" t="s">
        <v>589</v>
      </c>
      <c r="I2263">
        <v>68</v>
      </c>
      <c r="J2263" s="2" t="s">
        <v>700</v>
      </c>
      <c r="K2263" s="2" t="s">
        <v>591</v>
      </c>
      <c r="L2263" s="2" t="s">
        <v>592</v>
      </c>
      <c r="M2263" s="2" t="s">
        <v>593</v>
      </c>
      <c r="N2263" s="2" t="s">
        <v>594</v>
      </c>
      <c r="O2263" s="2" t="s">
        <v>595</v>
      </c>
      <c r="P2263" s="2" t="s">
        <v>269</v>
      </c>
      <c r="Q2263" s="2" t="s">
        <v>596</v>
      </c>
      <c r="R2263" s="2" t="s">
        <v>597</v>
      </c>
      <c r="S2263" s="2" t="s">
        <v>30</v>
      </c>
      <c r="T2263">
        <v>3067</v>
      </c>
      <c r="U2263">
        <f>VLOOKUP(Auto_Sales_data___Copy[[#This Row],[CUSTOMER_NAME]],$AF$2:$AH$90,2,FALSE)</f>
        <v>48</v>
      </c>
      <c r="V2263">
        <f>VLOOKUP(Auto_Sales_data___Copy[[#This Row],[CUSTOMER_NAME]],$AF$2:$AH$90,3,FALSE)</f>
        <v>137955.72</v>
      </c>
      <c r="W2263" s="2">
        <f>6-MATCH(Auto_Sales_data___Copy[[#This Row],[DAYS_SINCE_LAST_ORDER]],Table2[R-Cutoff],1)</f>
        <v>1</v>
      </c>
      <c r="X2263" s="2">
        <f>MATCH(Auto_Sales_data___Copy[[#This Row],[Total_Orders_Per_Customer]],Table2[F-Cutoff],1)</f>
        <v>4</v>
      </c>
      <c r="Y2263" s="2">
        <f>MATCH(Auto_Sales_data___Copy[[#This Row],[Total_Sales_Per_Customer]],Table2[M-Cutoff],1)</f>
        <v>4</v>
      </c>
      <c r="Z2263" s="2" t="str">
        <f>Auto_Sales_data___Copy[[#This Row],[R-Score(1-5)]]&amp;Auto_Sales_data___Copy[[#This Row],[F-Score(1-5)]]&amp;Auto_Sales_data___Copy[[#This Row],[M-Score(1-5)]]</f>
        <v>144</v>
      </c>
      <c r="AA2263" s="2" t="str" cm="1">
        <f t="array" ref="AA22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3" s="2" t="str">
        <f>VLOOKUP(Auto_Sales_data___Copy[[#This Row],[Segment Name]],Table3[],2,FALSE)</f>
        <v>Brand Awareness &amp; Value Proposition</v>
      </c>
    </row>
    <row r="2264" spans="1:28" x14ac:dyDescent="0.25">
      <c r="A2264">
        <v>10106</v>
      </c>
      <c r="B2264">
        <v>39</v>
      </c>
      <c r="C2264">
        <v>40.15</v>
      </c>
      <c r="D2264">
        <v>6</v>
      </c>
      <c r="E2264">
        <v>1565.85</v>
      </c>
      <c r="F2264" s="1">
        <v>43148</v>
      </c>
      <c r="G2264" s="2" t="s">
        <v>19</v>
      </c>
      <c r="H2264" s="2" t="s">
        <v>589</v>
      </c>
      <c r="I2264">
        <v>43</v>
      </c>
      <c r="J2264" s="2" t="s">
        <v>702</v>
      </c>
      <c r="K2264" s="2" t="s">
        <v>591</v>
      </c>
      <c r="L2264" s="2" t="s">
        <v>592</v>
      </c>
      <c r="M2264" s="2" t="s">
        <v>593</v>
      </c>
      <c r="N2264" s="2" t="s">
        <v>594</v>
      </c>
      <c r="O2264" s="2" t="s">
        <v>595</v>
      </c>
      <c r="P2264" s="2" t="s">
        <v>269</v>
      </c>
      <c r="Q2264" s="2" t="s">
        <v>596</v>
      </c>
      <c r="R2264" s="2" t="s">
        <v>597</v>
      </c>
      <c r="S2264" s="2" t="s">
        <v>30</v>
      </c>
      <c r="T2264">
        <v>3115</v>
      </c>
      <c r="U2264">
        <f>VLOOKUP(Auto_Sales_data___Copy[[#This Row],[CUSTOMER_NAME]],$AF$2:$AH$90,2,FALSE)</f>
        <v>48</v>
      </c>
      <c r="V2264">
        <f>VLOOKUP(Auto_Sales_data___Copy[[#This Row],[CUSTOMER_NAME]],$AF$2:$AH$90,3,FALSE)</f>
        <v>137955.72</v>
      </c>
      <c r="W2264" s="2">
        <f>6-MATCH(Auto_Sales_data___Copy[[#This Row],[DAYS_SINCE_LAST_ORDER]],Table2[R-Cutoff],1)</f>
        <v>1</v>
      </c>
      <c r="X2264" s="2">
        <f>MATCH(Auto_Sales_data___Copy[[#This Row],[Total_Orders_Per_Customer]],Table2[F-Cutoff],1)</f>
        <v>4</v>
      </c>
      <c r="Y2264" s="2">
        <f>MATCH(Auto_Sales_data___Copy[[#This Row],[Total_Sales_Per_Customer]],Table2[M-Cutoff],1)</f>
        <v>4</v>
      </c>
      <c r="Z2264" s="2" t="str">
        <f>Auto_Sales_data___Copy[[#This Row],[R-Score(1-5)]]&amp;Auto_Sales_data___Copy[[#This Row],[F-Score(1-5)]]&amp;Auto_Sales_data___Copy[[#This Row],[M-Score(1-5)]]</f>
        <v>144</v>
      </c>
      <c r="AA2264" s="2" t="str" cm="1">
        <f t="array" ref="AA22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4" s="2" t="str">
        <f>VLOOKUP(Auto_Sales_data___Copy[[#This Row],[Segment Name]],Table3[],2,FALSE)</f>
        <v>Brand Awareness &amp; Value Proposition</v>
      </c>
    </row>
    <row r="2265" spans="1:28" x14ac:dyDescent="0.25">
      <c r="A2265">
        <v>10106</v>
      </c>
      <c r="B2265">
        <v>31</v>
      </c>
      <c r="C2265">
        <v>106.87</v>
      </c>
      <c r="D2265">
        <v>7</v>
      </c>
      <c r="E2265">
        <v>3312.97</v>
      </c>
      <c r="F2265" s="1">
        <v>43148</v>
      </c>
      <c r="G2265" s="2" t="s">
        <v>19</v>
      </c>
      <c r="H2265" s="2" t="s">
        <v>607</v>
      </c>
      <c r="I2265">
        <v>91</v>
      </c>
      <c r="J2265" s="2" t="s">
        <v>707</v>
      </c>
      <c r="K2265" s="2" t="s">
        <v>591</v>
      </c>
      <c r="L2265" s="2" t="s">
        <v>592</v>
      </c>
      <c r="M2265" s="2" t="s">
        <v>593</v>
      </c>
      <c r="N2265" s="2" t="s">
        <v>594</v>
      </c>
      <c r="O2265" s="2" t="s">
        <v>595</v>
      </c>
      <c r="P2265" s="2" t="s">
        <v>269</v>
      </c>
      <c r="Q2265" s="2" t="s">
        <v>596</v>
      </c>
      <c r="R2265" s="2" t="s">
        <v>597</v>
      </c>
      <c r="S2265" s="2" t="s">
        <v>46</v>
      </c>
      <c r="T2265">
        <v>3245</v>
      </c>
      <c r="U2265">
        <f>VLOOKUP(Auto_Sales_data___Copy[[#This Row],[CUSTOMER_NAME]],$AF$2:$AH$90,2,FALSE)</f>
        <v>48</v>
      </c>
      <c r="V2265">
        <f>VLOOKUP(Auto_Sales_data___Copy[[#This Row],[CUSTOMER_NAME]],$AF$2:$AH$90,3,FALSE)</f>
        <v>137955.72</v>
      </c>
      <c r="W2265" s="2">
        <f>6-MATCH(Auto_Sales_data___Copy[[#This Row],[DAYS_SINCE_LAST_ORDER]],Table2[R-Cutoff],1)</f>
        <v>1</v>
      </c>
      <c r="X2265" s="2">
        <f>MATCH(Auto_Sales_data___Copy[[#This Row],[Total_Orders_Per_Customer]],Table2[F-Cutoff],1)</f>
        <v>4</v>
      </c>
      <c r="Y2265" s="2">
        <f>MATCH(Auto_Sales_data___Copy[[#This Row],[Total_Sales_Per_Customer]],Table2[M-Cutoff],1)</f>
        <v>4</v>
      </c>
      <c r="Z2265" s="2" t="str">
        <f>Auto_Sales_data___Copy[[#This Row],[R-Score(1-5)]]&amp;Auto_Sales_data___Copy[[#This Row],[F-Score(1-5)]]&amp;Auto_Sales_data___Copy[[#This Row],[M-Score(1-5)]]</f>
        <v>144</v>
      </c>
      <c r="AA2265" s="2" t="str" cm="1">
        <f t="array" ref="AA22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5" s="2" t="str">
        <f>VLOOKUP(Auto_Sales_data___Copy[[#This Row],[Segment Name]],Table3[],2,FALSE)</f>
        <v>Brand Awareness &amp; Value Proposition</v>
      </c>
    </row>
    <row r="2266" spans="1:28" x14ac:dyDescent="0.25">
      <c r="A2266">
        <v>10106</v>
      </c>
      <c r="B2266">
        <v>30</v>
      </c>
      <c r="C2266">
        <v>105.91</v>
      </c>
      <c r="D2266">
        <v>16</v>
      </c>
      <c r="E2266">
        <v>3177.3</v>
      </c>
      <c r="F2266" s="1">
        <v>43148</v>
      </c>
      <c r="G2266" s="2" t="s">
        <v>19</v>
      </c>
      <c r="H2266" s="2" t="s">
        <v>642</v>
      </c>
      <c r="I2266">
        <v>90</v>
      </c>
      <c r="J2266" s="2" t="s">
        <v>709</v>
      </c>
      <c r="K2266" s="2" t="s">
        <v>591</v>
      </c>
      <c r="L2266" s="2" t="s">
        <v>592</v>
      </c>
      <c r="M2266" s="2" t="s">
        <v>593</v>
      </c>
      <c r="N2266" s="2" t="s">
        <v>594</v>
      </c>
      <c r="O2266" s="2" t="s">
        <v>595</v>
      </c>
      <c r="P2266" s="2" t="s">
        <v>269</v>
      </c>
      <c r="Q2266" s="2" t="s">
        <v>596</v>
      </c>
      <c r="R2266" s="2" t="s">
        <v>597</v>
      </c>
      <c r="S2266" s="2" t="s">
        <v>46</v>
      </c>
      <c r="T2266">
        <v>3295</v>
      </c>
      <c r="U2266">
        <f>VLOOKUP(Auto_Sales_data___Copy[[#This Row],[CUSTOMER_NAME]],$AF$2:$AH$90,2,FALSE)</f>
        <v>48</v>
      </c>
      <c r="V2266">
        <f>VLOOKUP(Auto_Sales_data___Copy[[#This Row],[CUSTOMER_NAME]],$AF$2:$AH$90,3,FALSE)</f>
        <v>137955.72</v>
      </c>
      <c r="W2266" s="2">
        <f>6-MATCH(Auto_Sales_data___Copy[[#This Row],[DAYS_SINCE_LAST_ORDER]],Table2[R-Cutoff],1)</f>
        <v>1</v>
      </c>
      <c r="X2266" s="2">
        <f>MATCH(Auto_Sales_data___Copy[[#This Row],[Total_Orders_Per_Customer]],Table2[F-Cutoff],1)</f>
        <v>4</v>
      </c>
      <c r="Y2266" s="2">
        <f>MATCH(Auto_Sales_data___Copy[[#This Row],[Total_Sales_Per_Customer]],Table2[M-Cutoff],1)</f>
        <v>4</v>
      </c>
      <c r="Z2266" s="2" t="str">
        <f>Auto_Sales_data___Copy[[#This Row],[R-Score(1-5)]]&amp;Auto_Sales_data___Copy[[#This Row],[F-Score(1-5)]]&amp;Auto_Sales_data___Copy[[#This Row],[M-Score(1-5)]]</f>
        <v>144</v>
      </c>
      <c r="AA2266" s="2" t="str" cm="1">
        <f t="array" ref="AA22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6" s="2" t="str">
        <f>VLOOKUP(Auto_Sales_data___Copy[[#This Row],[Segment Name]],Table3[],2,FALSE)</f>
        <v>Brand Awareness &amp; Value Proposition</v>
      </c>
    </row>
    <row r="2267" spans="1:28" x14ac:dyDescent="0.25">
      <c r="A2267">
        <v>10106</v>
      </c>
      <c r="B2267">
        <v>34</v>
      </c>
      <c r="C2267">
        <v>110.69</v>
      </c>
      <c r="D2267">
        <v>9</v>
      </c>
      <c r="E2267">
        <v>3763.46</v>
      </c>
      <c r="F2267" s="1">
        <v>43148</v>
      </c>
      <c r="G2267" s="2" t="s">
        <v>19</v>
      </c>
      <c r="H2267" s="2" t="s">
        <v>607</v>
      </c>
      <c r="I2267">
        <v>99</v>
      </c>
      <c r="J2267" s="2" t="s">
        <v>710</v>
      </c>
      <c r="K2267" s="2" t="s">
        <v>591</v>
      </c>
      <c r="L2267" s="2" t="s">
        <v>592</v>
      </c>
      <c r="M2267" s="2" t="s">
        <v>593</v>
      </c>
      <c r="N2267" s="2" t="s">
        <v>594</v>
      </c>
      <c r="O2267" s="2" t="s">
        <v>595</v>
      </c>
      <c r="P2267" s="2" t="s">
        <v>269</v>
      </c>
      <c r="Q2267" s="2" t="s">
        <v>596</v>
      </c>
      <c r="R2267" s="2" t="s">
        <v>597</v>
      </c>
      <c r="S2267" s="2" t="s">
        <v>46</v>
      </c>
      <c r="T2267">
        <v>3321</v>
      </c>
      <c r="U2267">
        <f>VLOOKUP(Auto_Sales_data___Copy[[#This Row],[CUSTOMER_NAME]],$AF$2:$AH$90,2,FALSE)</f>
        <v>48</v>
      </c>
      <c r="V2267">
        <f>VLOOKUP(Auto_Sales_data___Copy[[#This Row],[CUSTOMER_NAME]],$AF$2:$AH$90,3,FALSE)</f>
        <v>137955.72</v>
      </c>
      <c r="W2267" s="2">
        <f>6-MATCH(Auto_Sales_data___Copy[[#This Row],[DAYS_SINCE_LAST_ORDER]],Table2[R-Cutoff],1)</f>
        <v>1</v>
      </c>
      <c r="X2267" s="2">
        <f>MATCH(Auto_Sales_data___Copy[[#This Row],[Total_Orders_Per_Customer]],Table2[F-Cutoff],1)</f>
        <v>4</v>
      </c>
      <c r="Y2267" s="2">
        <f>MATCH(Auto_Sales_data___Copy[[#This Row],[Total_Sales_Per_Customer]],Table2[M-Cutoff],1)</f>
        <v>4</v>
      </c>
      <c r="Z2267" s="2" t="str">
        <f>Auto_Sales_data___Copy[[#This Row],[R-Score(1-5)]]&amp;Auto_Sales_data___Copy[[#This Row],[F-Score(1-5)]]&amp;Auto_Sales_data___Copy[[#This Row],[M-Score(1-5)]]</f>
        <v>144</v>
      </c>
      <c r="AA2267" s="2" t="str" cm="1">
        <f t="array" ref="AA22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7" s="2" t="str">
        <f>VLOOKUP(Auto_Sales_data___Copy[[#This Row],[Segment Name]],Table3[],2,FALSE)</f>
        <v>Brand Awareness &amp; Value Proposition</v>
      </c>
    </row>
    <row r="2268" spans="1:28" x14ac:dyDescent="0.25">
      <c r="A2268">
        <v>10106</v>
      </c>
      <c r="B2268">
        <v>32</v>
      </c>
      <c r="C2268">
        <v>124.58</v>
      </c>
      <c r="D2268">
        <v>1</v>
      </c>
      <c r="E2268">
        <v>3986.56</v>
      </c>
      <c r="F2268" s="1">
        <v>43148</v>
      </c>
      <c r="G2268" s="2" t="s">
        <v>19</v>
      </c>
      <c r="H2268" s="2" t="s">
        <v>607</v>
      </c>
      <c r="I2268">
        <v>118</v>
      </c>
      <c r="J2268" s="2" t="s">
        <v>713</v>
      </c>
      <c r="K2268" s="2" t="s">
        <v>591</v>
      </c>
      <c r="L2268" s="2" t="s">
        <v>592</v>
      </c>
      <c r="M2268" s="2" t="s">
        <v>593</v>
      </c>
      <c r="N2268" s="2" t="s">
        <v>594</v>
      </c>
      <c r="O2268" s="2" t="s">
        <v>595</v>
      </c>
      <c r="P2268" s="2" t="s">
        <v>269</v>
      </c>
      <c r="Q2268" s="2" t="s">
        <v>596</v>
      </c>
      <c r="R2268" s="2" t="s">
        <v>597</v>
      </c>
      <c r="S2268" s="2" t="s">
        <v>46</v>
      </c>
      <c r="T2268">
        <v>3401</v>
      </c>
      <c r="U2268">
        <f>VLOOKUP(Auto_Sales_data___Copy[[#This Row],[CUSTOMER_NAME]],$AF$2:$AH$90,2,FALSE)</f>
        <v>48</v>
      </c>
      <c r="V2268">
        <f>VLOOKUP(Auto_Sales_data___Copy[[#This Row],[CUSTOMER_NAME]],$AF$2:$AH$90,3,FALSE)</f>
        <v>137955.72</v>
      </c>
      <c r="W2268" s="2">
        <f>6-MATCH(Auto_Sales_data___Copy[[#This Row],[DAYS_SINCE_LAST_ORDER]],Table2[R-Cutoff],1)</f>
        <v>1</v>
      </c>
      <c r="X2268" s="2">
        <f>MATCH(Auto_Sales_data___Copy[[#This Row],[Total_Orders_Per_Customer]],Table2[F-Cutoff],1)</f>
        <v>4</v>
      </c>
      <c r="Y2268" s="2">
        <f>MATCH(Auto_Sales_data___Copy[[#This Row],[Total_Sales_Per_Customer]],Table2[M-Cutoff],1)</f>
        <v>4</v>
      </c>
      <c r="Z2268" s="2" t="str">
        <f>Auto_Sales_data___Copy[[#This Row],[R-Score(1-5)]]&amp;Auto_Sales_data___Copy[[#This Row],[F-Score(1-5)]]&amp;Auto_Sales_data___Copy[[#This Row],[M-Score(1-5)]]</f>
        <v>144</v>
      </c>
      <c r="AA2268" s="2" t="str" cm="1">
        <f t="array" ref="AA22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8" s="2" t="str">
        <f>VLOOKUP(Auto_Sales_data___Copy[[#This Row],[Segment Name]],Table3[],2,FALSE)</f>
        <v>Brand Awareness &amp; Value Proposition</v>
      </c>
    </row>
    <row r="2269" spans="1:28" x14ac:dyDescent="0.25">
      <c r="A2269">
        <v>10106</v>
      </c>
      <c r="B2269">
        <v>44</v>
      </c>
      <c r="C2269">
        <v>74.400000000000006</v>
      </c>
      <c r="D2269">
        <v>8</v>
      </c>
      <c r="E2269">
        <v>3273.6</v>
      </c>
      <c r="F2269" s="1">
        <v>43148</v>
      </c>
      <c r="G2269" s="2" t="s">
        <v>19</v>
      </c>
      <c r="H2269" s="2" t="s">
        <v>607</v>
      </c>
      <c r="I2269">
        <v>80</v>
      </c>
      <c r="J2269" s="2" t="s">
        <v>714</v>
      </c>
      <c r="K2269" s="2" t="s">
        <v>591</v>
      </c>
      <c r="L2269" s="2" t="s">
        <v>592</v>
      </c>
      <c r="M2269" s="2" t="s">
        <v>593</v>
      </c>
      <c r="N2269" s="2" t="s">
        <v>594</v>
      </c>
      <c r="O2269" s="2" t="s">
        <v>595</v>
      </c>
      <c r="P2269" s="2" t="s">
        <v>269</v>
      </c>
      <c r="Q2269" s="2" t="s">
        <v>596</v>
      </c>
      <c r="R2269" s="2" t="s">
        <v>597</v>
      </c>
      <c r="S2269" s="2" t="s">
        <v>46</v>
      </c>
      <c r="T2269">
        <v>3426</v>
      </c>
      <c r="U2269">
        <f>VLOOKUP(Auto_Sales_data___Copy[[#This Row],[CUSTOMER_NAME]],$AF$2:$AH$90,2,FALSE)</f>
        <v>48</v>
      </c>
      <c r="V2269">
        <f>VLOOKUP(Auto_Sales_data___Copy[[#This Row],[CUSTOMER_NAME]],$AF$2:$AH$90,3,FALSE)</f>
        <v>137955.72</v>
      </c>
      <c r="W2269" s="2">
        <f>6-MATCH(Auto_Sales_data___Copy[[#This Row],[DAYS_SINCE_LAST_ORDER]],Table2[R-Cutoff],1)</f>
        <v>1</v>
      </c>
      <c r="X2269" s="2">
        <f>MATCH(Auto_Sales_data___Copy[[#This Row],[Total_Orders_Per_Customer]],Table2[F-Cutoff],1)</f>
        <v>4</v>
      </c>
      <c r="Y2269" s="2">
        <f>MATCH(Auto_Sales_data___Copy[[#This Row],[Total_Sales_Per_Customer]],Table2[M-Cutoff],1)</f>
        <v>4</v>
      </c>
      <c r="Z2269" s="2" t="str">
        <f>Auto_Sales_data___Copy[[#This Row],[R-Score(1-5)]]&amp;Auto_Sales_data___Copy[[#This Row],[F-Score(1-5)]]&amp;Auto_Sales_data___Copy[[#This Row],[M-Score(1-5)]]</f>
        <v>144</v>
      </c>
      <c r="AA2269" s="2" t="str" cm="1">
        <f t="array" ref="AA22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9" s="2" t="str">
        <f>VLOOKUP(Auto_Sales_data___Copy[[#This Row],[Segment Name]],Table3[],2,FALSE)</f>
        <v>Brand Awareness &amp; Value Proposition</v>
      </c>
    </row>
    <row r="2270" spans="1:28" x14ac:dyDescent="0.25">
      <c r="A2270">
        <v>10106</v>
      </c>
      <c r="B2270">
        <v>48</v>
      </c>
      <c r="C2270">
        <v>61.44</v>
      </c>
      <c r="D2270">
        <v>10</v>
      </c>
      <c r="E2270">
        <v>2949.12</v>
      </c>
      <c r="F2270" s="1">
        <v>43148</v>
      </c>
      <c r="G2270" s="2" t="s">
        <v>19</v>
      </c>
      <c r="H2270" s="2" t="s">
        <v>607</v>
      </c>
      <c r="I2270">
        <v>74</v>
      </c>
      <c r="J2270" s="2" t="s">
        <v>717</v>
      </c>
      <c r="K2270" s="2" t="s">
        <v>591</v>
      </c>
      <c r="L2270" s="2" t="s">
        <v>592</v>
      </c>
      <c r="M2270" s="2" t="s">
        <v>593</v>
      </c>
      <c r="N2270" s="2" t="s">
        <v>594</v>
      </c>
      <c r="O2270" s="2" t="s">
        <v>595</v>
      </c>
      <c r="P2270" s="2" t="s">
        <v>269</v>
      </c>
      <c r="Q2270" s="2" t="s">
        <v>596</v>
      </c>
      <c r="R2270" s="2" t="s">
        <v>597</v>
      </c>
      <c r="S2270" s="2" t="s">
        <v>30</v>
      </c>
      <c r="T2270">
        <v>3503</v>
      </c>
      <c r="U2270">
        <f>VLOOKUP(Auto_Sales_data___Copy[[#This Row],[CUSTOMER_NAME]],$AF$2:$AH$90,2,FALSE)</f>
        <v>48</v>
      </c>
      <c r="V2270">
        <f>VLOOKUP(Auto_Sales_data___Copy[[#This Row],[CUSTOMER_NAME]],$AF$2:$AH$90,3,FALSE)</f>
        <v>137955.72</v>
      </c>
      <c r="W2270" s="2">
        <f>6-MATCH(Auto_Sales_data___Copy[[#This Row],[DAYS_SINCE_LAST_ORDER]],Table2[R-Cutoff],1)</f>
        <v>1</v>
      </c>
      <c r="X2270" s="2">
        <f>MATCH(Auto_Sales_data___Copy[[#This Row],[Total_Orders_Per_Customer]],Table2[F-Cutoff],1)</f>
        <v>4</v>
      </c>
      <c r="Y2270" s="2">
        <f>MATCH(Auto_Sales_data___Copy[[#This Row],[Total_Sales_Per_Customer]],Table2[M-Cutoff],1)</f>
        <v>4</v>
      </c>
      <c r="Z2270" s="2" t="str">
        <f>Auto_Sales_data___Copy[[#This Row],[R-Score(1-5)]]&amp;Auto_Sales_data___Copy[[#This Row],[F-Score(1-5)]]&amp;Auto_Sales_data___Copy[[#This Row],[M-Score(1-5)]]</f>
        <v>144</v>
      </c>
      <c r="AA2270" s="2" t="str" cm="1">
        <f t="array" ref="AA22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0" s="2" t="str">
        <f>VLOOKUP(Auto_Sales_data___Copy[[#This Row],[Segment Name]],Table3[],2,FALSE)</f>
        <v>Brand Awareness &amp; Value Proposition</v>
      </c>
    </row>
    <row r="2271" spans="1:28" x14ac:dyDescent="0.25">
      <c r="A2271">
        <v>10106</v>
      </c>
      <c r="B2271">
        <v>48</v>
      </c>
      <c r="C2271">
        <v>52.64</v>
      </c>
      <c r="D2271">
        <v>15</v>
      </c>
      <c r="E2271">
        <v>2526.7199999999998</v>
      </c>
      <c r="F2271" s="1">
        <v>43148</v>
      </c>
      <c r="G2271" s="2" t="s">
        <v>19</v>
      </c>
      <c r="H2271" s="2" t="s">
        <v>607</v>
      </c>
      <c r="I2271">
        <v>49</v>
      </c>
      <c r="J2271" s="2" t="s">
        <v>718</v>
      </c>
      <c r="K2271" s="2" t="s">
        <v>591</v>
      </c>
      <c r="L2271" s="2" t="s">
        <v>592</v>
      </c>
      <c r="M2271" s="2" t="s">
        <v>593</v>
      </c>
      <c r="N2271" s="2" t="s">
        <v>594</v>
      </c>
      <c r="O2271" s="2" t="s">
        <v>595</v>
      </c>
      <c r="P2271" s="2" t="s">
        <v>269</v>
      </c>
      <c r="Q2271" s="2" t="s">
        <v>596</v>
      </c>
      <c r="R2271" s="2" t="s">
        <v>597</v>
      </c>
      <c r="S2271" s="2" t="s">
        <v>30</v>
      </c>
      <c r="T2271">
        <v>3530</v>
      </c>
      <c r="U2271">
        <f>VLOOKUP(Auto_Sales_data___Copy[[#This Row],[CUSTOMER_NAME]],$AF$2:$AH$90,2,FALSE)</f>
        <v>48</v>
      </c>
      <c r="V2271">
        <f>VLOOKUP(Auto_Sales_data___Copy[[#This Row],[CUSTOMER_NAME]],$AF$2:$AH$90,3,FALSE)</f>
        <v>137955.72</v>
      </c>
      <c r="W2271" s="2">
        <f>6-MATCH(Auto_Sales_data___Copy[[#This Row],[DAYS_SINCE_LAST_ORDER]],Table2[R-Cutoff],1)</f>
        <v>1</v>
      </c>
      <c r="X2271" s="2">
        <f>MATCH(Auto_Sales_data___Copy[[#This Row],[Total_Orders_Per_Customer]],Table2[F-Cutoff],1)</f>
        <v>4</v>
      </c>
      <c r="Y2271" s="2">
        <f>MATCH(Auto_Sales_data___Copy[[#This Row],[Total_Sales_Per_Customer]],Table2[M-Cutoff],1)</f>
        <v>4</v>
      </c>
      <c r="Z2271" s="2" t="str">
        <f>Auto_Sales_data___Copy[[#This Row],[R-Score(1-5)]]&amp;Auto_Sales_data___Copy[[#This Row],[F-Score(1-5)]]&amp;Auto_Sales_data___Copy[[#This Row],[M-Score(1-5)]]</f>
        <v>144</v>
      </c>
      <c r="AA2271" s="2" t="str" cm="1">
        <f t="array" ref="AA22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1" s="2" t="str">
        <f>VLOOKUP(Auto_Sales_data___Copy[[#This Row],[Segment Name]],Table3[],2,FALSE)</f>
        <v>Brand Awareness &amp; Value Proposition</v>
      </c>
    </row>
    <row r="2272" spans="1:28" x14ac:dyDescent="0.25">
      <c r="A2272">
        <v>10107</v>
      </c>
      <c r="B2272">
        <v>20</v>
      </c>
      <c r="C2272">
        <v>92.9</v>
      </c>
      <c r="D2272">
        <v>8</v>
      </c>
      <c r="E2272">
        <v>1858</v>
      </c>
      <c r="F2272" s="1">
        <v>43155</v>
      </c>
      <c r="G2272" s="2" t="s">
        <v>19</v>
      </c>
      <c r="H2272" s="2" t="s">
        <v>20</v>
      </c>
      <c r="I2272">
        <v>99</v>
      </c>
      <c r="J2272" s="2" t="s">
        <v>695</v>
      </c>
      <c r="K2272" s="2" t="s">
        <v>22</v>
      </c>
      <c r="L2272" s="2" t="s">
        <v>23</v>
      </c>
      <c r="M2272" s="2" t="s">
        <v>24</v>
      </c>
      <c r="N2272" s="2" t="s">
        <v>25</v>
      </c>
      <c r="O2272" s="2" t="s">
        <v>26</v>
      </c>
      <c r="P2272" s="2" t="s">
        <v>27</v>
      </c>
      <c r="Q2272" s="2" t="s">
        <v>28</v>
      </c>
      <c r="R2272" s="2" t="s">
        <v>29</v>
      </c>
      <c r="S2272" s="2" t="s">
        <v>30</v>
      </c>
      <c r="T2272">
        <v>2932</v>
      </c>
      <c r="U2272">
        <f>VLOOKUP(Auto_Sales_data___Copy[[#This Row],[CUSTOMER_NAME]],$AF$2:$AH$90,2,FALSE)</f>
        <v>49</v>
      </c>
      <c r="V2272">
        <f>VLOOKUP(Auto_Sales_data___Copy[[#This Row],[CUSTOMER_NAME]],$AF$2:$AH$90,3,FALSE)</f>
        <v>164069.43999999997</v>
      </c>
      <c r="W2272" s="2">
        <f>6-MATCH(Auto_Sales_data___Copy[[#This Row],[DAYS_SINCE_LAST_ORDER]],Table2[R-Cutoff],1)</f>
        <v>1</v>
      </c>
      <c r="X2272" s="2">
        <f>MATCH(Auto_Sales_data___Copy[[#This Row],[Total_Orders_Per_Customer]],Table2[F-Cutoff],1)</f>
        <v>4</v>
      </c>
      <c r="Y2272" s="2">
        <f>MATCH(Auto_Sales_data___Copy[[#This Row],[Total_Sales_Per_Customer]],Table2[M-Cutoff],1)</f>
        <v>4</v>
      </c>
      <c r="Z2272" s="2" t="str">
        <f>Auto_Sales_data___Copy[[#This Row],[R-Score(1-5)]]&amp;Auto_Sales_data___Copy[[#This Row],[F-Score(1-5)]]&amp;Auto_Sales_data___Copy[[#This Row],[M-Score(1-5)]]</f>
        <v>144</v>
      </c>
      <c r="AA2272" s="2" t="str" cm="1">
        <f t="array" ref="AA22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2" s="2" t="str">
        <f>VLOOKUP(Auto_Sales_data___Copy[[#This Row],[Segment Name]],Table3[],2,FALSE)</f>
        <v>Brand Awareness &amp; Value Proposition</v>
      </c>
    </row>
    <row r="2273" spans="1:28" x14ac:dyDescent="0.25">
      <c r="A2273">
        <v>10110</v>
      </c>
      <c r="B2273">
        <v>27</v>
      </c>
      <c r="C2273">
        <v>73.62</v>
      </c>
      <c r="D2273">
        <v>12</v>
      </c>
      <c r="E2273">
        <v>1987.74</v>
      </c>
      <c r="F2273" s="1">
        <v>43177</v>
      </c>
      <c r="G2273" s="2" t="s">
        <v>19</v>
      </c>
      <c r="H2273" s="2" t="s">
        <v>183</v>
      </c>
      <c r="I2273">
        <v>85</v>
      </c>
      <c r="J2273" s="2" t="s">
        <v>682</v>
      </c>
      <c r="K2273" s="2" t="s">
        <v>523</v>
      </c>
      <c r="L2273" s="2" t="s">
        <v>524</v>
      </c>
      <c r="M2273" s="2" t="s">
        <v>525</v>
      </c>
      <c r="N2273" s="2" t="s">
        <v>526</v>
      </c>
      <c r="O2273" s="2" t="s">
        <v>527</v>
      </c>
      <c r="P2273" s="2" t="s">
        <v>171</v>
      </c>
      <c r="Q2273" s="2" t="s">
        <v>528</v>
      </c>
      <c r="R2273" s="2" t="s">
        <v>529</v>
      </c>
      <c r="S2273" s="2" t="s">
        <v>30</v>
      </c>
      <c r="T2273">
        <v>2590</v>
      </c>
      <c r="U2273">
        <f>VLOOKUP(Auto_Sales_data___Copy[[#This Row],[CUSTOMER_NAME]],$AF$2:$AH$90,2,FALSE)</f>
        <v>51</v>
      </c>
      <c r="V2273">
        <f>VLOOKUP(Auto_Sales_data___Copy[[#This Row],[CUSTOMER_NAME]],$AF$2:$AH$90,3,FALSE)</f>
        <v>157807.80999999994</v>
      </c>
      <c r="W2273" s="2">
        <f>6-MATCH(Auto_Sales_data___Copy[[#This Row],[DAYS_SINCE_LAST_ORDER]],Table2[R-Cutoff],1)</f>
        <v>1</v>
      </c>
      <c r="X2273" s="2">
        <f>MATCH(Auto_Sales_data___Copy[[#This Row],[Total_Orders_Per_Customer]],Table2[F-Cutoff],1)</f>
        <v>4</v>
      </c>
      <c r="Y2273" s="2">
        <f>MATCH(Auto_Sales_data___Copy[[#This Row],[Total_Sales_Per_Customer]],Table2[M-Cutoff],1)</f>
        <v>4</v>
      </c>
      <c r="Z2273" s="2" t="str">
        <f>Auto_Sales_data___Copy[[#This Row],[R-Score(1-5)]]&amp;Auto_Sales_data___Copy[[#This Row],[F-Score(1-5)]]&amp;Auto_Sales_data___Copy[[#This Row],[M-Score(1-5)]]</f>
        <v>144</v>
      </c>
      <c r="AA2273" s="2" t="str" cm="1">
        <f t="array" ref="AA22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3" s="2" t="str">
        <f>VLOOKUP(Auto_Sales_data___Copy[[#This Row],[Segment Name]],Table3[],2,FALSE)</f>
        <v>Brand Awareness &amp; Value Proposition</v>
      </c>
    </row>
    <row r="2274" spans="1:28" x14ac:dyDescent="0.25">
      <c r="A2274">
        <v>10110</v>
      </c>
      <c r="B2274">
        <v>37</v>
      </c>
      <c r="C2274">
        <v>100.66</v>
      </c>
      <c r="D2274">
        <v>14</v>
      </c>
      <c r="E2274">
        <v>3724.42</v>
      </c>
      <c r="F2274" s="1">
        <v>43177</v>
      </c>
      <c r="G2274" s="2" t="s">
        <v>19</v>
      </c>
      <c r="H2274" s="2" t="s">
        <v>183</v>
      </c>
      <c r="I2274">
        <v>107</v>
      </c>
      <c r="J2274" s="2" t="s">
        <v>685</v>
      </c>
      <c r="K2274" s="2" t="s">
        <v>523</v>
      </c>
      <c r="L2274" s="2" t="s">
        <v>524</v>
      </c>
      <c r="M2274" s="2" t="s">
        <v>525</v>
      </c>
      <c r="N2274" s="2" t="s">
        <v>526</v>
      </c>
      <c r="O2274" s="2" t="s">
        <v>527</v>
      </c>
      <c r="P2274" s="2" t="s">
        <v>171</v>
      </c>
      <c r="Q2274" s="2" t="s">
        <v>528</v>
      </c>
      <c r="R2274" s="2" t="s">
        <v>529</v>
      </c>
      <c r="S2274" s="2" t="s">
        <v>46</v>
      </c>
      <c r="T2274">
        <v>2664</v>
      </c>
      <c r="U2274">
        <f>VLOOKUP(Auto_Sales_data___Copy[[#This Row],[CUSTOMER_NAME]],$AF$2:$AH$90,2,FALSE)</f>
        <v>51</v>
      </c>
      <c r="V2274">
        <f>VLOOKUP(Auto_Sales_data___Copy[[#This Row],[CUSTOMER_NAME]],$AF$2:$AH$90,3,FALSE)</f>
        <v>157807.80999999994</v>
      </c>
      <c r="W2274" s="2">
        <f>6-MATCH(Auto_Sales_data___Copy[[#This Row],[DAYS_SINCE_LAST_ORDER]],Table2[R-Cutoff],1)</f>
        <v>1</v>
      </c>
      <c r="X2274" s="2">
        <f>MATCH(Auto_Sales_data___Copy[[#This Row],[Total_Orders_Per_Customer]],Table2[F-Cutoff],1)</f>
        <v>4</v>
      </c>
      <c r="Y2274" s="2">
        <f>MATCH(Auto_Sales_data___Copy[[#This Row],[Total_Sales_Per_Customer]],Table2[M-Cutoff],1)</f>
        <v>4</v>
      </c>
      <c r="Z2274" s="2" t="str">
        <f>Auto_Sales_data___Copy[[#This Row],[R-Score(1-5)]]&amp;Auto_Sales_data___Copy[[#This Row],[F-Score(1-5)]]&amp;Auto_Sales_data___Copy[[#This Row],[M-Score(1-5)]]</f>
        <v>144</v>
      </c>
      <c r="AA2274" s="2" t="str" cm="1">
        <f t="array" ref="AA22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4" s="2" t="str">
        <f>VLOOKUP(Auto_Sales_data___Copy[[#This Row],[Segment Name]],Table3[],2,FALSE)</f>
        <v>Brand Awareness &amp; Value Proposition</v>
      </c>
    </row>
    <row r="2275" spans="1:28" x14ac:dyDescent="0.25">
      <c r="A2275">
        <v>10110</v>
      </c>
      <c r="B2275">
        <v>48</v>
      </c>
      <c r="C2275">
        <v>34.47</v>
      </c>
      <c r="D2275">
        <v>5</v>
      </c>
      <c r="E2275">
        <v>1654.56</v>
      </c>
      <c r="F2275" s="1">
        <v>43177</v>
      </c>
      <c r="G2275" s="2" t="s">
        <v>19</v>
      </c>
      <c r="H2275" s="2" t="s">
        <v>589</v>
      </c>
      <c r="I2275">
        <v>41</v>
      </c>
      <c r="J2275" s="2" t="s">
        <v>689</v>
      </c>
      <c r="K2275" s="2" t="s">
        <v>523</v>
      </c>
      <c r="L2275" s="2" t="s">
        <v>524</v>
      </c>
      <c r="M2275" s="2" t="s">
        <v>525</v>
      </c>
      <c r="N2275" s="2" t="s">
        <v>526</v>
      </c>
      <c r="O2275" s="2" t="s">
        <v>527</v>
      </c>
      <c r="P2275" s="2" t="s">
        <v>171</v>
      </c>
      <c r="Q2275" s="2" t="s">
        <v>528</v>
      </c>
      <c r="R2275" s="2" t="s">
        <v>529</v>
      </c>
      <c r="S2275" s="2" t="s">
        <v>30</v>
      </c>
      <c r="T2275">
        <v>2766</v>
      </c>
      <c r="U2275">
        <f>VLOOKUP(Auto_Sales_data___Copy[[#This Row],[CUSTOMER_NAME]],$AF$2:$AH$90,2,FALSE)</f>
        <v>51</v>
      </c>
      <c r="V2275">
        <f>VLOOKUP(Auto_Sales_data___Copy[[#This Row],[CUSTOMER_NAME]],$AF$2:$AH$90,3,FALSE)</f>
        <v>157807.80999999994</v>
      </c>
      <c r="W2275" s="2">
        <f>6-MATCH(Auto_Sales_data___Copy[[#This Row],[DAYS_SINCE_LAST_ORDER]],Table2[R-Cutoff],1)</f>
        <v>1</v>
      </c>
      <c r="X2275" s="2">
        <f>MATCH(Auto_Sales_data___Copy[[#This Row],[Total_Orders_Per_Customer]],Table2[F-Cutoff],1)</f>
        <v>4</v>
      </c>
      <c r="Y2275" s="2">
        <f>MATCH(Auto_Sales_data___Copy[[#This Row],[Total_Sales_Per_Customer]],Table2[M-Cutoff],1)</f>
        <v>4</v>
      </c>
      <c r="Z2275" s="2" t="str">
        <f>Auto_Sales_data___Copy[[#This Row],[R-Score(1-5)]]&amp;Auto_Sales_data___Copy[[#This Row],[F-Score(1-5)]]&amp;Auto_Sales_data___Copy[[#This Row],[M-Score(1-5)]]</f>
        <v>144</v>
      </c>
      <c r="AA2275" s="2" t="str" cm="1">
        <f t="array" ref="AA22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5" s="2" t="str">
        <f>VLOOKUP(Auto_Sales_data___Copy[[#This Row],[Segment Name]],Table3[],2,FALSE)</f>
        <v>Brand Awareness &amp; Value Proposition</v>
      </c>
    </row>
    <row r="2276" spans="1:28" x14ac:dyDescent="0.25">
      <c r="A2276">
        <v>10113</v>
      </c>
      <c r="B2276">
        <v>23</v>
      </c>
      <c r="C2276">
        <v>68.52</v>
      </c>
      <c r="D2276">
        <v>1</v>
      </c>
      <c r="E2276">
        <v>1575.96</v>
      </c>
      <c r="F2276" s="1">
        <v>43185</v>
      </c>
      <c r="G2276" s="2" t="s">
        <v>19</v>
      </c>
      <c r="H2276" s="2" t="s">
        <v>537</v>
      </c>
      <c r="I2276">
        <v>64</v>
      </c>
      <c r="J2276" s="2" t="s">
        <v>699</v>
      </c>
      <c r="K2276" s="2" t="s">
        <v>284</v>
      </c>
      <c r="L2276" s="2" t="s">
        <v>285</v>
      </c>
      <c r="M2276" s="2" t="s">
        <v>286</v>
      </c>
      <c r="N2276" s="2" t="s">
        <v>287</v>
      </c>
      <c r="O2276" s="2" t="s">
        <v>106</v>
      </c>
      <c r="P2276" s="2" t="s">
        <v>27</v>
      </c>
      <c r="Q2276" s="2" t="s">
        <v>288</v>
      </c>
      <c r="R2276" s="2" t="s">
        <v>289</v>
      </c>
      <c r="S2276" s="2" t="s">
        <v>30</v>
      </c>
      <c r="T2276">
        <v>3005</v>
      </c>
      <c r="U2276">
        <f>VLOOKUP(Auto_Sales_data___Copy[[#This Row],[CUSTOMER_NAME]],$AF$2:$AH$90,2,FALSE)</f>
        <v>180</v>
      </c>
      <c r="V2276">
        <f>VLOOKUP(Auto_Sales_data___Copy[[#This Row],[CUSTOMER_NAME]],$AF$2:$AH$90,3,FALSE)</f>
        <v>654858.06000000017</v>
      </c>
      <c r="W2276" s="2">
        <f>6-MATCH(Auto_Sales_data___Copy[[#This Row],[DAYS_SINCE_LAST_ORDER]],Table2[R-Cutoff],1)</f>
        <v>1</v>
      </c>
      <c r="X2276" s="2">
        <f>MATCH(Auto_Sales_data___Copy[[#This Row],[Total_Orders_Per_Customer]],Table2[F-Cutoff],1)</f>
        <v>4</v>
      </c>
      <c r="Y2276" s="2">
        <f>MATCH(Auto_Sales_data___Copy[[#This Row],[Total_Sales_Per_Customer]],Table2[M-Cutoff],1)</f>
        <v>4</v>
      </c>
      <c r="Z2276" s="2" t="str">
        <f>Auto_Sales_data___Copy[[#This Row],[R-Score(1-5)]]&amp;Auto_Sales_data___Copy[[#This Row],[F-Score(1-5)]]&amp;Auto_Sales_data___Copy[[#This Row],[M-Score(1-5)]]</f>
        <v>144</v>
      </c>
      <c r="AA2276" s="2" t="str" cm="1">
        <f t="array" ref="AA22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6" s="2" t="str">
        <f>VLOOKUP(Auto_Sales_data___Copy[[#This Row],[Segment Name]],Table3[],2,FALSE)</f>
        <v>Brand Awareness &amp; Value Proposition</v>
      </c>
    </row>
    <row r="2277" spans="1:28" x14ac:dyDescent="0.25">
      <c r="A2277">
        <v>10117</v>
      </c>
      <c r="B2277">
        <v>21</v>
      </c>
      <c r="C2277">
        <v>49.21</v>
      </c>
      <c r="D2277">
        <v>11</v>
      </c>
      <c r="E2277">
        <v>1033.4100000000001</v>
      </c>
      <c r="F2277" s="1">
        <v>43206</v>
      </c>
      <c r="G2277" s="2" t="s">
        <v>19</v>
      </c>
      <c r="H2277" s="2" t="s">
        <v>650</v>
      </c>
      <c r="I2277">
        <v>58</v>
      </c>
      <c r="J2277" s="2" t="s">
        <v>704</v>
      </c>
      <c r="K2277" s="2" t="s">
        <v>199</v>
      </c>
      <c r="L2277" s="2" t="s">
        <v>200</v>
      </c>
      <c r="M2277" s="2" t="s">
        <v>201</v>
      </c>
      <c r="N2277" s="2" t="s">
        <v>202</v>
      </c>
      <c r="O2277" s="2" t="s">
        <v>203</v>
      </c>
      <c r="P2277" s="2" t="s">
        <v>202</v>
      </c>
      <c r="Q2277" s="2" t="s">
        <v>204</v>
      </c>
      <c r="R2277" s="2" t="s">
        <v>205</v>
      </c>
      <c r="S2277" s="2" t="s">
        <v>30</v>
      </c>
      <c r="T2277">
        <v>3112</v>
      </c>
      <c r="U2277">
        <f>VLOOKUP(Auto_Sales_data___Copy[[#This Row],[CUSTOMER_NAME]],$AF$2:$AH$90,2,FALSE)</f>
        <v>43</v>
      </c>
      <c r="V2277">
        <f>VLOOKUP(Auto_Sales_data___Copy[[#This Row],[CUSTOMER_NAME]],$AF$2:$AH$90,3,FALSE)</f>
        <v>172989.68000000008</v>
      </c>
      <c r="W2277" s="2">
        <f>6-MATCH(Auto_Sales_data___Copy[[#This Row],[DAYS_SINCE_LAST_ORDER]],Table2[R-Cutoff],1)</f>
        <v>1</v>
      </c>
      <c r="X2277" s="2">
        <f>MATCH(Auto_Sales_data___Copy[[#This Row],[Total_Orders_Per_Customer]],Table2[F-Cutoff],1)</f>
        <v>4</v>
      </c>
      <c r="Y2277" s="2">
        <f>MATCH(Auto_Sales_data___Copy[[#This Row],[Total_Sales_Per_Customer]],Table2[M-Cutoff],1)</f>
        <v>4</v>
      </c>
      <c r="Z2277" s="2" t="str">
        <f>Auto_Sales_data___Copy[[#This Row],[R-Score(1-5)]]&amp;Auto_Sales_data___Copy[[#This Row],[F-Score(1-5)]]&amp;Auto_Sales_data___Copy[[#This Row],[M-Score(1-5)]]</f>
        <v>144</v>
      </c>
      <c r="AA2277" s="2" t="str" cm="1">
        <f t="array" ref="AA22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7" s="2" t="str">
        <f>VLOOKUP(Auto_Sales_data___Copy[[#This Row],[Segment Name]],Table3[],2,FALSE)</f>
        <v>Brand Awareness &amp; Value Proposition</v>
      </c>
    </row>
    <row r="2278" spans="1:28" x14ac:dyDescent="0.25">
      <c r="A2278">
        <v>10117</v>
      </c>
      <c r="B2278">
        <v>38</v>
      </c>
      <c r="C2278">
        <v>79.680000000000007</v>
      </c>
      <c r="D2278">
        <v>6</v>
      </c>
      <c r="E2278">
        <v>3027.84</v>
      </c>
      <c r="F2278" s="1">
        <v>43206</v>
      </c>
      <c r="G2278" s="2" t="s">
        <v>19</v>
      </c>
      <c r="H2278" s="2" t="s">
        <v>642</v>
      </c>
      <c r="I2278">
        <v>86</v>
      </c>
      <c r="J2278" s="2" t="s">
        <v>708</v>
      </c>
      <c r="K2278" s="2" t="s">
        <v>199</v>
      </c>
      <c r="L2278" s="2" t="s">
        <v>200</v>
      </c>
      <c r="M2278" s="2" t="s">
        <v>201</v>
      </c>
      <c r="N2278" s="2" t="s">
        <v>202</v>
      </c>
      <c r="O2278" s="2" t="s">
        <v>203</v>
      </c>
      <c r="P2278" s="2" t="s">
        <v>202</v>
      </c>
      <c r="Q2278" s="2" t="s">
        <v>204</v>
      </c>
      <c r="R2278" s="2" t="s">
        <v>205</v>
      </c>
      <c r="S2278" s="2" t="s">
        <v>46</v>
      </c>
      <c r="T2278">
        <v>3214</v>
      </c>
      <c r="U2278">
        <f>VLOOKUP(Auto_Sales_data___Copy[[#This Row],[CUSTOMER_NAME]],$AF$2:$AH$90,2,FALSE)</f>
        <v>43</v>
      </c>
      <c r="V2278">
        <f>VLOOKUP(Auto_Sales_data___Copy[[#This Row],[CUSTOMER_NAME]],$AF$2:$AH$90,3,FALSE)</f>
        <v>172989.68000000008</v>
      </c>
      <c r="W2278" s="2">
        <f>6-MATCH(Auto_Sales_data___Copy[[#This Row],[DAYS_SINCE_LAST_ORDER]],Table2[R-Cutoff],1)</f>
        <v>1</v>
      </c>
      <c r="X2278" s="2">
        <f>MATCH(Auto_Sales_data___Copy[[#This Row],[Total_Orders_Per_Customer]],Table2[F-Cutoff],1)</f>
        <v>4</v>
      </c>
      <c r="Y2278" s="2">
        <f>MATCH(Auto_Sales_data___Copy[[#This Row],[Total_Sales_Per_Customer]],Table2[M-Cutoff],1)</f>
        <v>4</v>
      </c>
      <c r="Z2278" s="2" t="str">
        <f>Auto_Sales_data___Copy[[#This Row],[R-Score(1-5)]]&amp;Auto_Sales_data___Copy[[#This Row],[F-Score(1-5)]]&amp;Auto_Sales_data___Copy[[#This Row],[M-Score(1-5)]]</f>
        <v>144</v>
      </c>
      <c r="AA2278" s="2" t="str" cm="1">
        <f t="array" ref="AA22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8" s="2" t="str">
        <f>VLOOKUP(Auto_Sales_data___Copy[[#This Row],[Segment Name]],Table3[],2,FALSE)</f>
        <v>Brand Awareness &amp; Value Proposition</v>
      </c>
    </row>
    <row r="2279" spans="1:28" x14ac:dyDescent="0.25">
      <c r="A2279">
        <v>10117</v>
      </c>
      <c r="B2279">
        <v>45</v>
      </c>
      <c r="C2279">
        <v>83.42</v>
      </c>
      <c r="D2279">
        <v>1</v>
      </c>
      <c r="E2279">
        <v>3753.9</v>
      </c>
      <c r="F2279" s="1">
        <v>43206</v>
      </c>
      <c r="G2279" s="2" t="s">
        <v>19</v>
      </c>
      <c r="H2279" s="2" t="s">
        <v>642</v>
      </c>
      <c r="I2279">
        <v>99</v>
      </c>
      <c r="J2279" s="2" t="s">
        <v>716</v>
      </c>
      <c r="K2279" s="2" t="s">
        <v>199</v>
      </c>
      <c r="L2279" s="2" t="s">
        <v>200</v>
      </c>
      <c r="M2279" s="2" t="s">
        <v>201</v>
      </c>
      <c r="N2279" s="2" t="s">
        <v>202</v>
      </c>
      <c r="O2279" s="2" t="s">
        <v>203</v>
      </c>
      <c r="P2279" s="2" t="s">
        <v>202</v>
      </c>
      <c r="Q2279" s="2" t="s">
        <v>204</v>
      </c>
      <c r="R2279" s="2" t="s">
        <v>205</v>
      </c>
      <c r="S2279" s="2" t="s">
        <v>46</v>
      </c>
      <c r="T2279">
        <v>3420</v>
      </c>
      <c r="U2279">
        <f>VLOOKUP(Auto_Sales_data___Copy[[#This Row],[CUSTOMER_NAME]],$AF$2:$AH$90,2,FALSE)</f>
        <v>43</v>
      </c>
      <c r="V2279">
        <f>VLOOKUP(Auto_Sales_data___Copy[[#This Row],[CUSTOMER_NAME]],$AF$2:$AH$90,3,FALSE)</f>
        <v>172989.68000000008</v>
      </c>
      <c r="W2279" s="2">
        <f>6-MATCH(Auto_Sales_data___Copy[[#This Row],[DAYS_SINCE_LAST_ORDER]],Table2[R-Cutoff],1)</f>
        <v>1</v>
      </c>
      <c r="X2279" s="2">
        <f>MATCH(Auto_Sales_data___Copy[[#This Row],[Total_Orders_Per_Customer]],Table2[F-Cutoff],1)</f>
        <v>4</v>
      </c>
      <c r="Y2279" s="2">
        <f>MATCH(Auto_Sales_data___Copy[[#This Row],[Total_Sales_Per_Customer]],Table2[M-Cutoff],1)</f>
        <v>4</v>
      </c>
      <c r="Z2279" s="2" t="str">
        <f>Auto_Sales_data___Copy[[#This Row],[R-Score(1-5)]]&amp;Auto_Sales_data___Copy[[#This Row],[F-Score(1-5)]]&amp;Auto_Sales_data___Copy[[#This Row],[M-Score(1-5)]]</f>
        <v>144</v>
      </c>
      <c r="AA2279" s="2" t="str" cm="1">
        <f t="array" ref="AA22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9" s="2" t="str">
        <f>VLOOKUP(Auto_Sales_data___Copy[[#This Row],[Segment Name]],Table3[],2,FALSE)</f>
        <v>Brand Awareness &amp; Value Proposition</v>
      </c>
    </row>
    <row r="2280" spans="1:28" x14ac:dyDescent="0.25">
      <c r="A2280">
        <v>10117</v>
      </c>
      <c r="B2280">
        <v>50</v>
      </c>
      <c r="C2280">
        <v>43.68</v>
      </c>
      <c r="D2280">
        <v>2</v>
      </c>
      <c r="E2280">
        <v>2184</v>
      </c>
      <c r="F2280" s="1">
        <v>43206</v>
      </c>
      <c r="G2280" s="2" t="s">
        <v>19</v>
      </c>
      <c r="H2280" s="2" t="s">
        <v>642</v>
      </c>
      <c r="I2280">
        <v>54</v>
      </c>
      <c r="J2280" s="2" t="s">
        <v>719</v>
      </c>
      <c r="K2280" s="2" t="s">
        <v>199</v>
      </c>
      <c r="L2280" s="2" t="s">
        <v>200</v>
      </c>
      <c r="M2280" s="2" t="s">
        <v>201</v>
      </c>
      <c r="N2280" s="2" t="s">
        <v>202</v>
      </c>
      <c r="O2280" s="2" t="s">
        <v>203</v>
      </c>
      <c r="P2280" s="2" t="s">
        <v>202</v>
      </c>
      <c r="Q2280" s="2" t="s">
        <v>204</v>
      </c>
      <c r="R2280" s="2" t="s">
        <v>205</v>
      </c>
      <c r="S2280" s="2" t="s">
        <v>30</v>
      </c>
      <c r="T2280">
        <v>3499</v>
      </c>
      <c r="U2280">
        <f>VLOOKUP(Auto_Sales_data___Copy[[#This Row],[CUSTOMER_NAME]],$AF$2:$AH$90,2,FALSE)</f>
        <v>43</v>
      </c>
      <c r="V2280">
        <f>VLOOKUP(Auto_Sales_data___Copy[[#This Row],[CUSTOMER_NAME]],$AF$2:$AH$90,3,FALSE)</f>
        <v>172989.68000000008</v>
      </c>
      <c r="W2280" s="2">
        <f>6-MATCH(Auto_Sales_data___Copy[[#This Row],[DAYS_SINCE_LAST_ORDER]],Table2[R-Cutoff],1)</f>
        <v>1</v>
      </c>
      <c r="X2280" s="2">
        <f>MATCH(Auto_Sales_data___Copy[[#This Row],[Total_Orders_Per_Customer]],Table2[F-Cutoff],1)</f>
        <v>4</v>
      </c>
      <c r="Y2280" s="2">
        <f>MATCH(Auto_Sales_data___Copy[[#This Row],[Total_Sales_Per_Customer]],Table2[M-Cutoff],1)</f>
        <v>4</v>
      </c>
      <c r="Z2280" s="2" t="str">
        <f>Auto_Sales_data___Copy[[#This Row],[R-Score(1-5)]]&amp;Auto_Sales_data___Copy[[#This Row],[F-Score(1-5)]]&amp;Auto_Sales_data___Copy[[#This Row],[M-Score(1-5)]]</f>
        <v>144</v>
      </c>
      <c r="AA2280" s="2" t="str" cm="1">
        <f t="array" ref="AA22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0" s="2" t="str">
        <f>VLOOKUP(Auto_Sales_data___Copy[[#This Row],[Segment Name]],Table3[],2,FALSE)</f>
        <v>Brand Awareness &amp; Value Proposition</v>
      </c>
    </row>
    <row r="2281" spans="1:28" x14ac:dyDescent="0.25">
      <c r="A2281">
        <v>10119</v>
      </c>
      <c r="B2281">
        <v>20</v>
      </c>
      <c r="C2281">
        <v>72.98</v>
      </c>
      <c r="D2281">
        <v>5</v>
      </c>
      <c r="E2281">
        <v>1459.6</v>
      </c>
      <c r="F2281" s="1">
        <v>43218</v>
      </c>
      <c r="G2281" s="2" t="s">
        <v>19</v>
      </c>
      <c r="H2281" s="2" t="s">
        <v>589</v>
      </c>
      <c r="I2281">
        <v>65</v>
      </c>
      <c r="J2281" s="2" t="s">
        <v>684</v>
      </c>
      <c r="K2281" s="2" t="s">
        <v>143</v>
      </c>
      <c r="L2281" s="2" t="s">
        <v>144</v>
      </c>
      <c r="M2281" s="2" t="s">
        <v>145</v>
      </c>
      <c r="N2281" s="2" t="s">
        <v>146</v>
      </c>
      <c r="O2281" s="2" t="s">
        <v>147</v>
      </c>
      <c r="P2281" s="2" t="s">
        <v>148</v>
      </c>
      <c r="Q2281" s="2" t="s">
        <v>149</v>
      </c>
      <c r="R2281" s="2" t="s">
        <v>150</v>
      </c>
      <c r="S2281" s="2" t="s">
        <v>30</v>
      </c>
      <c r="T2281">
        <v>2598</v>
      </c>
      <c r="U2281">
        <f>VLOOKUP(Auto_Sales_data___Copy[[#This Row],[CUSTOMER_NAME]],$AF$2:$AH$90,2,FALSE)</f>
        <v>40</v>
      </c>
      <c r="V2281">
        <f>VLOOKUP(Auto_Sales_data___Copy[[#This Row],[CUSTOMER_NAME]],$AF$2:$AH$90,3,FALSE)</f>
        <v>149798.63</v>
      </c>
      <c r="W2281" s="2">
        <f>6-MATCH(Auto_Sales_data___Copy[[#This Row],[DAYS_SINCE_LAST_ORDER]],Table2[R-Cutoff],1)</f>
        <v>1</v>
      </c>
      <c r="X2281" s="2">
        <f>MATCH(Auto_Sales_data___Copy[[#This Row],[Total_Orders_Per_Customer]],Table2[F-Cutoff],1)</f>
        <v>4</v>
      </c>
      <c r="Y2281" s="2">
        <f>MATCH(Auto_Sales_data___Copy[[#This Row],[Total_Sales_Per_Customer]],Table2[M-Cutoff],1)</f>
        <v>4</v>
      </c>
      <c r="Z2281" s="2" t="str">
        <f>Auto_Sales_data___Copy[[#This Row],[R-Score(1-5)]]&amp;Auto_Sales_data___Copy[[#This Row],[F-Score(1-5)]]&amp;Auto_Sales_data___Copy[[#This Row],[M-Score(1-5)]]</f>
        <v>144</v>
      </c>
      <c r="AA2281" s="2" t="str" cm="1">
        <f t="array" ref="AA22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1" s="2" t="str">
        <f>VLOOKUP(Auto_Sales_data___Copy[[#This Row],[Segment Name]],Table3[],2,FALSE)</f>
        <v>Brand Awareness &amp; Value Proposition</v>
      </c>
    </row>
    <row r="2282" spans="1:28" x14ac:dyDescent="0.25">
      <c r="A2282">
        <v>10119</v>
      </c>
      <c r="B2282">
        <v>35</v>
      </c>
      <c r="C2282">
        <v>90.57</v>
      </c>
      <c r="D2282">
        <v>10</v>
      </c>
      <c r="E2282">
        <v>3169.95</v>
      </c>
      <c r="F2282" s="1">
        <v>43218</v>
      </c>
      <c r="G2282" s="2" t="s">
        <v>19</v>
      </c>
      <c r="H2282" s="2" t="s">
        <v>589</v>
      </c>
      <c r="I2282">
        <v>83</v>
      </c>
      <c r="J2282" s="2" t="s">
        <v>686</v>
      </c>
      <c r="K2282" s="2" t="s">
        <v>143</v>
      </c>
      <c r="L2282" s="2" t="s">
        <v>144</v>
      </c>
      <c r="M2282" s="2" t="s">
        <v>145</v>
      </c>
      <c r="N2282" s="2" t="s">
        <v>146</v>
      </c>
      <c r="O2282" s="2" t="s">
        <v>147</v>
      </c>
      <c r="P2282" s="2" t="s">
        <v>148</v>
      </c>
      <c r="Q2282" s="2" t="s">
        <v>149</v>
      </c>
      <c r="R2282" s="2" t="s">
        <v>150</v>
      </c>
      <c r="S2282" s="2" t="s">
        <v>46</v>
      </c>
      <c r="T2282">
        <v>2647</v>
      </c>
      <c r="U2282">
        <f>VLOOKUP(Auto_Sales_data___Copy[[#This Row],[CUSTOMER_NAME]],$AF$2:$AH$90,2,FALSE)</f>
        <v>40</v>
      </c>
      <c r="V2282">
        <f>VLOOKUP(Auto_Sales_data___Copy[[#This Row],[CUSTOMER_NAME]],$AF$2:$AH$90,3,FALSE)</f>
        <v>149798.63</v>
      </c>
      <c r="W2282" s="2">
        <f>6-MATCH(Auto_Sales_data___Copy[[#This Row],[DAYS_SINCE_LAST_ORDER]],Table2[R-Cutoff],1)</f>
        <v>1</v>
      </c>
      <c r="X2282" s="2">
        <f>MATCH(Auto_Sales_data___Copy[[#This Row],[Total_Orders_Per_Customer]],Table2[F-Cutoff],1)</f>
        <v>4</v>
      </c>
      <c r="Y2282" s="2">
        <f>MATCH(Auto_Sales_data___Copy[[#This Row],[Total_Sales_Per_Customer]],Table2[M-Cutoff],1)</f>
        <v>4</v>
      </c>
      <c r="Z2282" s="2" t="str">
        <f>Auto_Sales_data___Copy[[#This Row],[R-Score(1-5)]]&amp;Auto_Sales_data___Copy[[#This Row],[F-Score(1-5)]]&amp;Auto_Sales_data___Copy[[#This Row],[M-Score(1-5)]]</f>
        <v>144</v>
      </c>
      <c r="AA2282" s="2" t="str" cm="1">
        <f t="array" ref="AA22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2" s="2" t="str">
        <f>VLOOKUP(Auto_Sales_data___Copy[[#This Row],[Segment Name]],Table3[],2,FALSE)</f>
        <v>Brand Awareness &amp; Value Proposition</v>
      </c>
    </row>
    <row r="2283" spans="1:28" x14ac:dyDescent="0.25">
      <c r="A2283">
        <v>10119</v>
      </c>
      <c r="B2283">
        <v>28</v>
      </c>
      <c r="C2283">
        <v>70.290000000000006</v>
      </c>
      <c r="D2283">
        <v>2</v>
      </c>
      <c r="E2283">
        <v>1968.12</v>
      </c>
      <c r="F2283" s="1">
        <v>43218</v>
      </c>
      <c r="G2283" s="2" t="s">
        <v>19</v>
      </c>
      <c r="H2283" s="2" t="s">
        <v>607</v>
      </c>
      <c r="I2283">
        <v>68</v>
      </c>
      <c r="J2283" s="2" t="s">
        <v>688</v>
      </c>
      <c r="K2283" s="2" t="s">
        <v>143</v>
      </c>
      <c r="L2283" s="2" t="s">
        <v>144</v>
      </c>
      <c r="M2283" s="2" t="s">
        <v>145</v>
      </c>
      <c r="N2283" s="2" t="s">
        <v>146</v>
      </c>
      <c r="O2283" s="2" t="s">
        <v>147</v>
      </c>
      <c r="P2283" s="2" t="s">
        <v>148</v>
      </c>
      <c r="Q2283" s="2" t="s">
        <v>149</v>
      </c>
      <c r="R2283" s="2" t="s">
        <v>150</v>
      </c>
      <c r="S2283" s="2" t="s">
        <v>30</v>
      </c>
      <c r="T2283">
        <v>2698</v>
      </c>
      <c r="U2283">
        <f>VLOOKUP(Auto_Sales_data___Copy[[#This Row],[CUSTOMER_NAME]],$AF$2:$AH$90,2,FALSE)</f>
        <v>40</v>
      </c>
      <c r="V2283">
        <f>VLOOKUP(Auto_Sales_data___Copy[[#This Row],[CUSTOMER_NAME]],$AF$2:$AH$90,3,FALSE)</f>
        <v>149798.63</v>
      </c>
      <c r="W2283" s="2">
        <f>6-MATCH(Auto_Sales_data___Copy[[#This Row],[DAYS_SINCE_LAST_ORDER]],Table2[R-Cutoff],1)</f>
        <v>1</v>
      </c>
      <c r="X2283" s="2">
        <f>MATCH(Auto_Sales_data___Copy[[#This Row],[Total_Orders_Per_Customer]],Table2[F-Cutoff],1)</f>
        <v>4</v>
      </c>
      <c r="Y2283" s="2">
        <f>MATCH(Auto_Sales_data___Copy[[#This Row],[Total_Sales_Per_Customer]],Table2[M-Cutoff],1)</f>
        <v>4</v>
      </c>
      <c r="Z2283" s="2" t="str">
        <f>Auto_Sales_data___Copy[[#This Row],[R-Score(1-5)]]&amp;Auto_Sales_data___Copy[[#This Row],[F-Score(1-5)]]&amp;Auto_Sales_data___Copy[[#This Row],[M-Score(1-5)]]</f>
        <v>144</v>
      </c>
      <c r="AA2283" s="2" t="str" cm="1">
        <f t="array" ref="AA22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3" s="2" t="str">
        <f>VLOOKUP(Auto_Sales_data___Copy[[#This Row],[Segment Name]],Table3[],2,FALSE)</f>
        <v>Brand Awareness &amp; Value Proposition</v>
      </c>
    </row>
    <row r="2284" spans="1:28" x14ac:dyDescent="0.25">
      <c r="A2284">
        <v>10119</v>
      </c>
      <c r="B2284">
        <v>25</v>
      </c>
      <c r="C2284">
        <v>76.67</v>
      </c>
      <c r="D2284">
        <v>14</v>
      </c>
      <c r="E2284">
        <v>1916.75</v>
      </c>
      <c r="F2284" s="1">
        <v>43218</v>
      </c>
      <c r="G2284" s="2" t="s">
        <v>19</v>
      </c>
      <c r="H2284" s="2" t="s">
        <v>642</v>
      </c>
      <c r="I2284">
        <v>66</v>
      </c>
      <c r="J2284" s="2" t="s">
        <v>706</v>
      </c>
      <c r="K2284" s="2" t="s">
        <v>143</v>
      </c>
      <c r="L2284" s="2" t="s">
        <v>144</v>
      </c>
      <c r="M2284" s="2" t="s">
        <v>145</v>
      </c>
      <c r="N2284" s="2" t="s">
        <v>146</v>
      </c>
      <c r="O2284" s="2" t="s">
        <v>147</v>
      </c>
      <c r="P2284" s="2" t="s">
        <v>148</v>
      </c>
      <c r="Q2284" s="2" t="s">
        <v>149</v>
      </c>
      <c r="R2284" s="2" t="s">
        <v>150</v>
      </c>
      <c r="S2284" s="2" t="s">
        <v>30</v>
      </c>
      <c r="T2284">
        <v>3150</v>
      </c>
      <c r="U2284">
        <f>VLOOKUP(Auto_Sales_data___Copy[[#This Row],[CUSTOMER_NAME]],$AF$2:$AH$90,2,FALSE)</f>
        <v>40</v>
      </c>
      <c r="V2284">
        <f>VLOOKUP(Auto_Sales_data___Copy[[#This Row],[CUSTOMER_NAME]],$AF$2:$AH$90,3,FALSE)</f>
        <v>149798.63</v>
      </c>
      <c r="W2284" s="2">
        <f>6-MATCH(Auto_Sales_data___Copy[[#This Row],[DAYS_SINCE_LAST_ORDER]],Table2[R-Cutoff],1)</f>
        <v>1</v>
      </c>
      <c r="X2284" s="2">
        <f>MATCH(Auto_Sales_data___Copy[[#This Row],[Total_Orders_Per_Customer]],Table2[F-Cutoff],1)</f>
        <v>4</v>
      </c>
      <c r="Y2284" s="2">
        <f>MATCH(Auto_Sales_data___Copy[[#This Row],[Total_Sales_Per_Customer]],Table2[M-Cutoff],1)</f>
        <v>4</v>
      </c>
      <c r="Z2284" s="2" t="str">
        <f>Auto_Sales_data___Copy[[#This Row],[R-Score(1-5)]]&amp;Auto_Sales_data___Copy[[#This Row],[F-Score(1-5)]]&amp;Auto_Sales_data___Copy[[#This Row],[M-Score(1-5)]]</f>
        <v>144</v>
      </c>
      <c r="AA2284" s="2" t="str" cm="1">
        <f t="array" ref="AA22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4" s="2" t="str">
        <f>VLOOKUP(Auto_Sales_data___Copy[[#This Row],[Segment Name]],Table3[],2,FALSE)</f>
        <v>Brand Awareness &amp; Value Proposition</v>
      </c>
    </row>
    <row r="2285" spans="1:28" x14ac:dyDescent="0.25">
      <c r="A2285">
        <v>10119</v>
      </c>
      <c r="B2285">
        <v>29</v>
      </c>
      <c r="C2285">
        <v>94.14</v>
      </c>
      <c r="D2285">
        <v>7</v>
      </c>
      <c r="E2285">
        <v>2730.06</v>
      </c>
      <c r="F2285" s="1">
        <v>43218</v>
      </c>
      <c r="G2285" s="2" t="s">
        <v>19</v>
      </c>
      <c r="H2285" s="2" t="s">
        <v>642</v>
      </c>
      <c r="I2285">
        <v>90</v>
      </c>
      <c r="J2285" s="2" t="s">
        <v>709</v>
      </c>
      <c r="K2285" s="2" t="s">
        <v>143</v>
      </c>
      <c r="L2285" s="2" t="s">
        <v>144</v>
      </c>
      <c r="M2285" s="2" t="s">
        <v>145</v>
      </c>
      <c r="N2285" s="2" t="s">
        <v>146</v>
      </c>
      <c r="O2285" s="2" t="s">
        <v>147</v>
      </c>
      <c r="P2285" s="2" t="s">
        <v>148</v>
      </c>
      <c r="Q2285" s="2" t="s">
        <v>149</v>
      </c>
      <c r="R2285" s="2" t="s">
        <v>150</v>
      </c>
      <c r="S2285" s="2" t="s">
        <v>30</v>
      </c>
      <c r="T2285">
        <v>3226</v>
      </c>
      <c r="U2285">
        <f>VLOOKUP(Auto_Sales_data___Copy[[#This Row],[CUSTOMER_NAME]],$AF$2:$AH$90,2,FALSE)</f>
        <v>40</v>
      </c>
      <c r="V2285">
        <f>VLOOKUP(Auto_Sales_data___Copy[[#This Row],[CUSTOMER_NAME]],$AF$2:$AH$90,3,FALSE)</f>
        <v>149798.63</v>
      </c>
      <c r="W2285" s="2">
        <f>6-MATCH(Auto_Sales_data___Copy[[#This Row],[DAYS_SINCE_LAST_ORDER]],Table2[R-Cutoff],1)</f>
        <v>1</v>
      </c>
      <c r="X2285" s="2">
        <f>MATCH(Auto_Sales_data___Copy[[#This Row],[Total_Orders_Per_Customer]],Table2[F-Cutoff],1)</f>
        <v>4</v>
      </c>
      <c r="Y2285" s="2">
        <f>MATCH(Auto_Sales_data___Copy[[#This Row],[Total_Sales_Per_Customer]],Table2[M-Cutoff],1)</f>
        <v>4</v>
      </c>
      <c r="Z2285" s="2" t="str">
        <f>Auto_Sales_data___Copy[[#This Row],[R-Score(1-5)]]&amp;Auto_Sales_data___Copy[[#This Row],[F-Score(1-5)]]&amp;Auto_Sales_data___Copy[[#This Row],[M-Score(1-5)]]</f>
        <v>144</v>
      </c>
      <c r="AA2285" s="2" t="str" cm="1">
        <f t="array" ref="AA22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5" s="2" t="str">
        <f>VLOOKUP(Auto_Sales_data___Copy[[#This Row],[Segment Name]],Table3[],2,FALSE)</f>
        <v>Brand Awareness &amp; Value Proposition</v>
      </c>
    </row>
    <row r="2286" spans="1:28" x14ac:dyDescent="0.25">
      <c r="A2286">
        <v>10119</v>
      </c>
      <c r="B2286">
        <v>38</v>
      </c>
      <c r="C2286">
        <v>65.77</v>
      </c>
      <c r="D2286">
        <v>12</v>
      </c>
      <c r="E2286">
        <v>2499.2600000000002</v>
      </c>
      <c r="F2286" s="1">
        <v>43218</v>
      </c>
      <c r="G2286" s="2" t="s">
        <v>19</v>
      </c>
      <c r="H2286" s="2" t="s">
        <v>642</v>
      </c>
      <c r="I2286">
        <v>72</v>
      </c>
      <c r="J2286" s="2" t="s">
        <v>711</v>
      </c>
      <c r="K2286" s="2" t="s">
        <v>143</v>
      </c>
      <c r="L2286" s="2" t="s">
        <v>144</v>
      </c>
      <c r="M2286" s="2" t="s">
        <v>145</v>
      </c>
      <c r="N2286" s="2" t="s">
        <v>146</v>
      </c>
      <c r="O2286" s="2" t="s">
        <v>147</v>
      </c>
      <c r="P2286" s="2" t="s">
        <v>148</v>
      </c>
      <c r="Q2286" s="2" t="s">
        <v>149</v>
      </c>
      <c r="R2286" s="2" t="s">
        <v>150</v>
      </c>
      <c r="S2286" s="2" t="s">
        <v>30</v>
      </c>
      <c r="T2286">
        <v>3279</v>
      </c>
      <c r="U2286">
        <f>VLOOKUP(Auto_Sales_data___Copy[[#This Row],[CUSTOMER_NAME]],$AF$2:$AH$90,2,FALSE)</f>
        <v>40</v>
      </c>
      <c r="V2286">
        <f>VLOOKUP(Auto_Sales_data___Copy[[#This Row],[CUSTOMER_NAME]],$AF$2:$AH$90,3,FALSE)</f>
        <v>149798.63</v>
      </c>
      <c r="W2286" s="2">
        <f>6-MATCH(Auto_Sales_data___Copy[[#This Row],[DAYS_SINCE_LAST_ORDER]],Table2[R-Cutoff],1)</f>
        <v>1</v>
      </c>
      <c r="X2286" s="2">
        <f>MATCH(Auto_Sales_data___Copy[[#This Row],[Total_Orders_Per_Customer]],Table2[F-Cutoff],1)</f>
        <v>4</v>
      </c>
      <c r="Y2286" s="2">
        <f>MATCH(Auto_Sales_data___Copy[[#This Row],[Total_Sales_Per_Customer]],Table2[M-Cutoff],1)</f>
        <v>4</v>
      </c>
      <c r="Z2286" s="2" t="str">
        <f>Auto_Sales_data___Copy[[#This Row],[R-Score(1-5)]]&amp;Auto_Sales_data___Copy[[#This Row],[F-Score(1-5)]]&amp;Auto_Sales_data___Copy[[#This Row],[M-Score(1-5)]]</f>
        <v>144</v>
      </c>
      <c r="AA2286" s="2" t="str" cm="1">
        <f t="array" ref="AA22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6" s="2" t="str">
        <f>VLOOKUP(Auto_Sales_data___Copy[[#This Row],[Segment Name]],Table3[],2,FALSE)</f>
        <v>Brand Awareness &amp; Value Proposition</v>
      </c>
    </row>
    <row r="2287" spans="1:28" x14ac:dyDescent="0.25">
      <c r="A2287">
        <v>10119</v>
      </c>
      <c r="B2287">
        <v>26</v>
      </c>
      <c r="C2287">
        <v>59.22</v>
      </c>
      <c r="D2287">
        <v>1</v>
      </c>
      <c r="E2287">
        <v>1539.72</v>
      </c>
      <c r="F2287" s="1">
        <v>43218</v>
      </c>
      <c r="G2287" s="2" t="s">
        <v>19</v>
      </c>
      <c r="H2287" s="2" t="s">
        <v>607</v>
      </c>
      <c r="I2287">
        <v>74</v>
      </c>
      <c r="J2287" s="2" t="s">
        <v>717</v>
      </c>
      <c r="K2287" s="2" t="s">
        <v>143</v>
      </c>
      <c r="L2287" s="2" t="s">
        <v>144</v>
      </c>
      <c r="M2287" s="2" t="s">
        <v>145</v>
      </c>
      <c r="N2287" s="2" t="s">
        <v>146</v>
      </c>
      <c r="O2287" s="2" t="s">
        <v>147</v>
      </c>
      <c r="P2287" s="2" t="s">
        <v>148</v>
      </c>
      <c r="Q2287" s="2" t="s">
        <v>149</v>
      </c>
      <c r="R2287" s="2" t="s">
        <v>150</v>
      </c>
      <c r="S2287" s="2" t="s">
        <v>30</v>
      </c>
      <c r="T2287">
        <v>3434</v>
      </c>
      <c r="U2287">
        <f>VLOOKUP(Auto_Sales_data___Copy[[#This Row],[CUSTOMER_NAME]],$AF$2:$AH$90,2,FALSE)</f>
        <v>40</v>
      </c>
      <c r="V2287">
        <f>VLOOKUP(Auto_Sales_data___Copy[[#This Row],[CUSTOMER_NAME]],$AF$2:$AH$90,3,FALSE)</f>
        <v>149798.63</v>
      </c>
      <c r="W2287" s="2">
        <f>6-MATCH(Auto_Sales_data___Copy[[#This Row],[DAYS_SINCE_LAST_ORDER]],Table2[R-Cutoff],1)</f>
        <v>1</v>
      </c>
      <c r="X2287" s="2">
        <f>MATCH(Auto_Sales_data___Copy[[#This Row],[Total_Orders_Per_Customer]],Table2[F-Cutoff],1)</f>
        <v>4</v>
      </c>
      <c r="Y2287" s="2">
        <f>MATCH(Auto_Sales_data___Copy[[#This Row],[Total_Sales_Per_Customer]],Table2[M-Cutoff],1)</f>
        <v>4</v>
      </c>
      <c r="Z2287" s="2" t="str">
        <f>Auto_Sales_data___Copy[[#This Row],[R-Score(1-5)]]&amp;Auto_Sales_data___Copy[[#This Row],[F-Score(1-5)]]&amp;Auto_Sales_data___Copy[[#This Row],[M-Score(1-5)]]</f>
        <v>144</v>
      </c>
      <c r="AA2287" s="2" t="str" cm="1">
        <f t="array" ref="AA22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7" s="2" t="str">
        <f>VLOOKUP(Auto_Sales_data___Copy[[#This Row],[Segment Name]],Table3[],2,FALSE)</f>
        <v>Brand Awareness &amp; Value Proposition</v>
      </c>
    </row>
    <row r="2288" spans="1:28" x14ac:dyDescent="0.25">
      <c r="A2288">
        <v>10119</v>
      </c>
      <c r="B2288">
        <v>28</v>
      </c>
      <c r="C2288">
        <v>48.17</v>
      </c>
      <c r="D2288">
        <v>6</v>
      </c>
      <c r="E2288">
        <v>1348.76</v>
      </c>
      <c r="F2288" s="1">
        <v>43218</v>
      </c>
      <c r="G2288" s="2" t="s">
        <v>19</v>
      </c>
      <c r="H2288" s="2" t="s">
        <v>607</v>
      </c>
      <c r="I2288">
        <v>49</v>
      </c>
      <c r="J2288" s="2" t="s">
        <v>718</v>
      </c>
      <c r="K2288" s="2" t="s">
        <v>143</v>
      </c>
      <c r="L2288" s="2" t="s">
        <v>144</v>
      </c>
      <c r="M2288" s="2" t="s">
        <v>145</v>
      </c>
      <c r="N2288" s="2" t="s">
        <v>146</v>
      </c>
      <c r="O2288" s="2" t="s">
        <v>147</v>
      </c>
      <c r="P2288" s="2" t="s">
        <v>148</v>
      </c>
      <c r="Q2288" s="2" t="s">
        <v>149</v>
      </c>
      <c r="R2288" s="2" t="s">
        <v>150</v>
      </c>
      <c r="S2288" s="2" t="s">
        <v>30</v>
      </c>
      <c r="T2288">
        <v>3461</v>
      </c>
      <c r="U2288">
        <f>VLOOKUP(Auto_Sales_data___Copy[[#This Row],[CUSTOMER_NAME]],$AF$2:$AH$90,2,FALSE)</f>
        <v>40</v>
      </c>
      <c r="V2288">
        <f>VLOOKUP(Auto_Sales_data___Copy[[#This Row],[CUSTOMER_NAME]],$AF$2:$AH$90,3,FALSE)</f>
        <v>149798.63</v>
      </c>
      <c r="W2288" s="2">
        <f>6-MATCH(Auto_Sales_data___Copy[[#This Row],[DAYS_SINCE_LAST_ORDER]],Table2[R-Cutoff],1)</f>
        <v>1</v>
      </c>
      <c r="X2288" s="2">
        <f>MATCH(Auto_Sales_data___Copy[[#This Row],[Total_Orders_Per_Customer]],Table2[F-Cutoff],1)</f>
        <v>4</v>
      </c>
      <c r="Y2288" s="2">
        <f>MATCH(Auto_Sales_data___Copy[[#This Row],[Total_Sales_Per_Customer]],Table2[M-Cutoff],1)</f>
        <v>4</v>
      </c>
      <c r="Z2288" s="2" t="str">
        <f>Auto_Sales_data___Copy[[#This Row],[R-Score(1-5)]]&amp;Auto_Sales_data___Copy[[#This Row],[F-Score(1-5)]]&amp;Auto_Sales_data___Copy[[#This Row],[M-Score(1-5)]]</f>
        <v>144</v>
      </c>
      <c r="AA2288" s="2" t="str" cm="1">
        <f t="array" ref="AA22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8" s="2" t="str">
        <f>VLOOKUP(Auto_Sales_data___Copy[[#This Row],[Segment Name]],Table3[],2,FALSE)</f>
        <v>Brand Awareness &amp; Value Proposition</v>
      </c>
    </row>
    <row r="2289" spans="1:28" x14ac:dyDescent="0.25">
      <c r="A2289">
        <v>10120</v>
      </c>
      <c r="B2289">
        <v>29</v>
      </c>
      <c r="C2289">
        <v>85.49</v>
      </c>
      <c r="D2289">
        <v>9</v>
      </c>
      <c r="E2289">
        <v>2479.21</v>
      </c>
      <c r="F2289" s="1">
        <v>43219</v>
      </c>
      <c r="G2289" s="2" t="s">
        <v>19</v>
      </c>
      <c r="H2289" s="2" t="s">
        <v>607</v>
      </c>
      <c r="I2289">
        <v>72</v>
      </c>
      <c r="J2289" s="2" t="s">
        <v>692</v>
      </c>
      <c r="K2289" s="2" t="s">
        <v>82</v>
      </c>
      <c r="L2289" s="2" t="s">
        <v>83</v>
      </c>
      <c r="M2289" s="2" t="s">
        <v>84</v>
      </c>
      <c r="N2289" s="2" t="s">
        <v>85</v>
      </c>
      <c r="O2289" s="2" t="s">
        <v>86</v>
      </c>
      <c r="P2289" s="2" t="s">
        <v>87</v>
      </c>
      <c r="Q2289" s="2" t="s">
        <v>88</v>
      </c>
      <c r="R2289" s="2" t="s">
        <v>89</v>
      </c>
      <c r="S2289" s="2" t="s">
        <v>30</v>
      </c>
      <c r="T2289">
        <v>2795</v>
      </c>
      <c r="U2289">
        <f>VLOOKUP(Auto_Sales_data___Copy[[#This Row],[CUSTOMER_NAME]],$AF$2:$AH$90,2,FALSE)</f>
        <v>55</v>
      </c>
      <c r="V2289">
        <f>VLOOKUP(Auto_Sales_data___Copy[[#This Row],[CUSTOMER_NAME]],$AF$2:$AH$90,3,FALSE)</f>
        <v>200995.41000000006</v>
      </c>
      <c r="W2289" s="2">
        <f>6-MATCH(Auto_Sales_data___Copy[[#This Row],[DAYS_SINCE_LAST_ORDER]],Table2[R-Cutoff],1)</f>
        <v>1</v>
      </c>
      <c r="X2289" s="2">
        <f>MATCH(Auto_Sales_data___Copy[[#This Row],[Total_Orders_Per_Customer]],Table2[F-Cutoff],1)</f>
        <v>4</v>
      </c>
      <c r="Y2289" s="2">
        <f>MATCH(Auto_Sales_data___Copy[[#This Row],[Total_Sales_Per_Customer]],Table2[M-Cutoff],1)</f>
        <v>4</v>
      </c>
      <c r="Z2289" s="2" t="str">
        <f>Auto_Sales_data___Copy[[#This Row],[R-Score(1-5)]]&amp;Auto_Sales_data___Copy[[#This Row],[F-Score(1-5)]]&amp;Auto_Sales_data___Copy[[#This Row],[M-Score(1-5)]]</f>
        <v>144</v>
      </c>
      <c r="AA2289" s="2" t="str" cm="1">
        <f t="array" ref="AA22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9" s="2" t="str">
        <f>VLOOKUP(Auto_Sales_data___Copy[[#This Row],[Segment Name]],Table3[],2,FALSE)</f>
        <v>Brand Awareness &amp; Value Proposition</v>
      </c>
    </row>
    <row r="2290" spans="1:28" x14ac:dyDescent="0.25">
      <c r="A2290">
        <v>10120</v>
      </c>
      <c r="B2290">
        <v>22</v>
      </c>
      <c r="C2290">
        <v>111.88</v>
      </c>
      <c r="D2290">
        <v>6</v>
      </c>
      <c r="E2290">
        <v>2461.36</v>
      </c>
      <c r="F2290" s="1">
        <v>43219</v>
      </c>
      <c r="G2290" s="2" t="s">
        <v>19</v>
      </c>
      <c r="H2290" s="2" t="s">
        <v>20</v>
      </c>
      <c r="I2290">
        <v>99</v>
      </c>
      <c r="J2290" s="2" t="s">
        <v>695</v>
      </c>
      <c r="K2290" s="2" t="s">
        <v>82</v>
      </c>
      <c r="L2290" s="2" t="s">
        <v>83</v>
      </c>
      <c r="M2290" s="2" t="s">
        <v>84</v>
      </c>
      <c r="N2290" s="2" t="s">
        <v>85</v>
      </c>
      <c r="O2290" s="2" t="s">
        <v>86</v>
      </c>
      <c r="P2290" s="2" t="s">
        <v>87</v>
      </c>
      <c r="Q2290" s="2" t="s">
        <v>88</v>
      </c>
      <c r="R2290" s="2" t="s">
        <v>89</v>
      </c>
      <c r="S2290" s="2" t="s">
        <v>30</v>
      </c>
      <c r="T2290">
        <v>2869</v>
      </c>
      <c r="U2290">
        <f>VLOOKUP(Auto_Sales_data___Copy[[#This Row],[CUSTOMER_NAME]],$AF$2:$AH$90,2,FALSE)</f>
        <v>55</v>
      </c>
      <c r="V2290">
        <f>VLOOKUP(Auto_Sales_data___Copy[[#This Row],[CUSTOMER_NAME]],$AF$2:$AH$90,3,FALSE)</f>
        <v>200995.41000000006</v>
      </c>
      <c r="W2290" s="2">
        <f>6-MATCH(Auto_Sales_data___Copy[[#This Row],[DAYS_SINCE_LAST_ORDER]],Table2[R-Cutoff],1)</f>
        <v>1</v>
      </c>
      <c r="X2290" s="2">
        <f>MATCH(Auto_Sales_data___Copy[[#This Row],[Total_Orders_Per_Customer]],Table2[F-Cutoff],1)</f>
        <v>4</v>
      </c>
      <c r="Y2290" s="2">
        <f>MATCH(Auto_Sales_data___Copy[[#This Row],[Total_Sales_Per_Customer]],Table2[M-Cutoff],1)</f>
        <v>4</v>
      </c>
      <c r="Z2290" s="2" t="str">
        <f>Auto_Sales_data___Copy[[#This Row],[R-Score(1-5)]]&amp;Auto_Sales_data___Copy[[#This Row],[F-Score(1-5)]]&amp;Auto_Sales_data___Copy[[#This Row],[M-Score(1-5)]]</f>
        <v>144</v>
      </c>
      <c r="AA2290" s="2" t="str" cm="1">
        <f t="array" ref="AA22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0" s="2" t="str">
        <f>VLOOKUP(Auto_Sales_data___Copy[[#This Row],[Segment Name]],Table3[],2,FALSE)</f>
        <v>Brand Awareness &amp; Value Proposition</v>
      </c>
    </row>
    <row r="2291" spans="1:28" x14ac:dyDescent="0.25">
      <c r="A2291">
        <v>10120</v>
      </c>
      <c r="B2291">
        <v>29</v>
      </c>
      <c r="C2291">
        <v>72.23</v>
      </c>
      <c r="D2291">
        <v>11</v>
      </c>
      <c r="E2291">
        <v>2094.67</v>
      </c>
      <c r="F2291" s="1">
        <v>43219</v>
      </c>
      <c r="G2291" s="2" t="s">
        <v>19</v>
      </c>
      <c r="H2291" s="2" t="s">
        <v>589</v>
      </c>
      <c r="I2291">
        <v>68</v>
      </c>
      <c r="J2291" s="2" t="s">
        <v>700</v>
      </c>
      <c r="K2291" s="2" t="s">
        <v>82</v>
      </c>
      <c r="L2291" s="2" t="s">
        <v>83</v>
      </c>
      <c r="M2291" s="2" t="s">
        <v>84</v>
      </c>
      <c r="N2291" s="2" t="s">
        <v>85</v>
      </c>
      <c r="O2291" s="2" t="s">
        <v>86</v>
      </c>
      <c r="P2291" s="2" t="s">
        <v>87</v>
      </c>
      <c r="Q2291" s="2" t="s">
        <v>88</v>
      </c>
      <c r="R2291" s="2" t="s">
        <v>89</v>
      </c>
      <c r="S2291" s="2" t="s">
        <v>30</v>
      </c>
      <c r="T2291">
        <v>2997</v>
      </c>
      <c r="U2291">
        <f>VLOOKUP(Auto_Sales_data___Copy[[#This Row],[CUSTOMER_NAME]],$AF$2:$AH$90,2,FALSE)</f>
        <v>55</v>
      </c>
      <c r="V2291">
        <f>VLOOKUP(Auto_Sales_data___Copy[[#This Row],[CUSTOMER_NAME]],$AF$2:$AH$90,3,FALSE)</f>
        <v>200995.41000000006</v>
      </c>
      <c r="W2291" s="2">
        <f>6-MATCH(Auto_Sales_data___Copy[[#This Row],[DAYS_SINCE_LAST_ORDER]],Table2[R-Cutoff],1)</f>
        <v>1</v>
      </c>
      <c r="X2291" s="2">
        <f>MATCH(Auto_Sales_data___Copy[[#This Row],[Total_Orders_Per_Customer]],Table2[F-Cutoff],1)</f>
        <v>4</v>
      </c>
      <c r="Y2291" s="2">
        <f>MATCH(Auto_Sales_data___Copy[[#This Row],[Total_Sales_Per_Customer]],Table2[M-Cutoff],1)</f>
        <v>4</v>
      </c>
      <c r="Z2291" s="2" t="str">
        <f>Auto_Sales_data___Copy[[#This Row],[R-Score(1-5)]]&amp;Auto_Sales_data___Copy[[#This Row],[F-Score(1-5)]]&amp;Auto_Sales_data___Copy[[#This Row],[M-Score(1-5)]]</f>
        <v>144</v>
      </c>
      <c r="AA2291" s="2" t="str" cm="1">
        <f t="array" ref="AA22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1" s="2" t="str">
        <f>VLOOKUP(Auto_Sales_data___Copy[[#This Row],[Segment Name]],Table3[],2,FALSE)</f>
        <v>Brand Awareness &amp; Value Proposition</v>
      </c>
    </row>
    <row r="2292" spans="1:28" x14ac:dyDescent="0.25">
      <c r="A2292">
        <v>10120</v>
      </c>
      <c r="B2292">
        <v>49</v>
      </c>
      <c r="C2292">
        <v>50.62</v>
      </c>
      <c r="D2292">
        <v>12</v>
      </c>
      <c r="E2292">
        <v>2480.38</v>
      </c>
      <c r="F2292" s="1">
        <v>43219</v>
      </c>
      <c r="G2292" s="2" t="s">
        <v>19</v>
      </c>
      <c r="H2292" s="2" t="s">
        <v>589</v>
      </c>
      <c r="I2292">
        <v>43</v>
      </c>
      <c r="J2292" s="2" t="s">
        <v>702</v>
      </c>
      <c r="K2292" s="2" t="s">
        <v>82</v>
      </c>
      <c r="L2292" s="2" t="s">
        <v>83</v>
      </c>
      <c r="M2292" s="2" t="s">
        <v>84</v>
      </c>
      <c r="N2292" s="2" t="s">
        <v>85</v>
      </c>
      <c r="O2292" s="2" t="s">
        <v>86</v>
      </c>
      <c r="P2292" s="2" t="s">
        <v>87</v>
      </c>
      <c r="Q2292" s="2" t="s">
        <v>88</v>
      </c>
      <c r="R2292" s="2" t="s">
        <v>89</v>
      </c>
      <c r="S2292" s="2" t="s">
        <v>30</v>
      </c>
      <c r="T2292">
        <v>3045</v>
      </c>
      <c r="U2292">
        <f>VLOOKUP(Auto_Sales_data___Copy[[#This Row],[CUSTOMER_NAME]],$AF$2:$AH$90,2,FALSE)</f>
        <v>55</v>
      </c>
      <c r="V2292">
        <f>VLOOKUP(Auto_Sales_data___Copy[[#This Row],[CUSTOMER_NAME]],$AF$2:$AH$90,3,FALSE)</f>
        <v>200995.41000000006</v>
      </c>
      <c r="W2292" s="2">
        <f>6-MATCH(Auto_Sales_data___Copy[[#This Row],[DAYS_SINCE_LAST_ORDER]],Table2[R-Cutoff],1)</f>
        <v>1</v>
      </c>
      <c r="X2292" s="2">
        <f>MATCH(Auto_Sales_data___Copy[[#This Row],[Total_Orders_Per_Customer]],Table2[F-Cutoff],1)</f>
        <v>4</v>
      </c>
      <c r="Y2292" s="2">
        <f>MATCH(Auto_Sales_data___Copy[[#This Row],[Total_Sales_Per_Customer]],Table2[M-Cutoff],1)</f>
        <v>4</v>
      </c>
      <c r="Z2292" s="2" t="str">
        <f>Auto_Sales_data___Copy[[#This Row],[R-Score(1-5)]]&amp;Auto_Sales_data___Copy[[#This Row],[F-Score(1-5)]]&amp;Auto_Sales_data___Copy[[#This Row],[M-Score(1-5)]]</f>
        <v>144</v>
      </c>
      <c r="AA2292" s="2" t="str" cm="1">
        <f t="array" ref="AA22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2" s="2" t="str">
        <f>VLOOKUP(Auto_Sales_data___Copy[[#This Row],[Segment Name]],Table3[],2,FALSE)</f>
        <v>Brand Awareness &amp; Value Proposition</v>
      </c>
    </row>
    <row r="2293" spans="1:28" x14ac:dyDescent="0.25">
      <c r="A2293">
        <v>10120</v>
      </c>
      <c r="B2293">
        <v>47</v>
      </c>
      <c r="C2293">
        <v>82.21</v>
      </c>
      <c r="D2293">
        <v>13</v>
      </c>
      <c r="E2293">
        <v>3863.87</v>
      </c>
      <c r="F2293" s="1">
        <v>43219</v>
      </c>
      <c r="G2293" s="2" t="s">
        <v>19</v>
      </c>
      <c r="H2293" s="2" t="s">
        <v>607</v>
      </c>
      <c r="I2293">
        <v>91</v>
      </c>
      <c r="J2293" s="2" t="s">
        <v>707</v>
      </c>
      <c r="K2293" s="2" t="s">
        <v>82</v>
      </c>
      <c r="L2293" s="2" t="s">
        <v>83</v>
      </c>
      <c r="M2293" s="2" t="s">
        <v>84</v>
      </c>
      <c r="N2293" s="2" t="s">
        <v>85</v>
      </c>
      <c r="O2293" s="2" t="s">
        <v>86</v>
      </c>
      <c r="P2293" s="2" t="s">
        <v>87</v>
      </c>
      <c r="Q2293" s="2" t="s">
        <v>88</v>
      </c>
      <c r="R2293" s="2" t="s">
        <v>89</v>
      </c>
      <c r="S2293" s="2" t="s">
        <v>46</v>
      </c>
      <c r="T2293">
        <v>3175</v>
      </c>
      <c r="U2293">
        <f>VLOOKUP(Auto_Sales_data___Copy[[#This Row],[CUSTOMER_NAME]],$AF$2:$AH$90,2,FALSE)</f>
        <v>55</v>
      </c>
      <c r="V2293">
        <f>VLOOKUP(Auto_Sales_data___Copy[[#This Row],[CUSTOMER_NAME]],$AF$2:$AH$90,3,FALSE)</f>
        <v>200995.41000000006</v>
      </c>
      <c r="W2293" s="2">
        <f>6-MATCH(Auto_Sales_data___Copy[[#This Row],[DAYS_SINCE_LAST_ORDER]],Table2[R-Cutoff],1)</f>
        <v>1</v>
      </c>
      <c r="X2293" s="2">
        <f>MATCH(Auto_Sales_data___Copy[[#This Row],[Total_Orders_Per_Customer]],Table2[F-Cutoff],1)</f>
        <v>4</v>
      </c>
      <c r="Y2293" s="2">
        <f>MATCH(Auto_Sales_data___Copy[[#This Row],[Total_Sales_Per_Customer]],Table2[M-Cutoff],1)</f>
        <v>4</v>
      </c>
      <c r="Z2293" s="2" t="str">
        <f>Auto_Sales_data___Copy[[#This Row],[R-Score(1-5)]]&amp;Auto_Sales_data___Copy[[#This Row],[F-Score(1-5)]]&amp;Auto_Sales_data___Copy[[#This Row],[M-Score(1-5)]]</f>
        <v>144</v>
      </c>
      <c r="AA2293" s="2" t="str" cm="1">
        <f t="array" ref="AA22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3" s="2" t="str">
        <f>VLOOKUP(Auto_Sales_data___Copy[[#This Row],[Segment Name]],Table3[],2,FALSE)</f>
        <v>Brand Awareness &amp; Value Proposition</v>
      </c>
    </row>
    <row r="2294" spans="1:28" x14ac:dyDescent="0.25">
      <c r="A2294">
        <v>10120</v>
      </c>
      <c r="B2294">
        <v>24</v>
      </c>
      <c r="C2294">
        <v>107.7</v>
      </c>
      <c r="D2294">
        <v>15</v>
      </c>
      <c r="E2294">
        <v>2584.8000000000002</v>
      </c>
      <c r="F2294" s="1">
        <v>43219</v>
      </c>
      <c r="G2294" s="2" t="s">
        <v>19</v>
      </c>
      <c r="H2294" s="2" t="s">
        <v>607</v>
      </c>
      <c r="I2294">
        <v>99</v>
      </c>
      <c r="J2294" s="2" t="s">
        <v>710</v>
      </c>
      <c r="K2294" s="2" t="s">
        <v>82</v>
      </c>
      <c r="L2294" s="2" t="s">
        <v>83</v>
      </c>
      <c r="M2294" s="2" t="s">
        <v>84</v>
      </c>
      <c r="N2294" s="2" t="s">
        <v>85</v>
      </c>
      <c r="O2294" s="2" t="s">
        <v>86</v>
      </c>
      <c r="P2294" s="2" t="s">
        <v>87</v>
      </c>
      <c r="Q2294" s="2" t="s">
        <v>88</v>
      </c>
      <c r="R2294" s="2" t="s">
        <v>89</v>
      </c>
      <c r="S2294" s="2" t="s">
        <v>30</v>
      </c>
      <c r="T2294">
        <v>3251</v>
      </c>
      <c r="U2294">
        <f>VLOOKUP(Auto_Sales_data___Copy[[#This Row],[CUSTOMER_NAME]],$AF$2:$AH$90,2,FALSE)</f>
        <v>55</v>
      </c>
      <c r="V2294">
        <f>VLOOKUP(Auto_Sales_data___Copy[[#This Row],[CUSTOMER_NAME]],$AF$2:$AH$90,3,FALSE)</f>
        <v>200995.41000000006</v>
      </c>
      <c r="W2294" s="2">
        <f>6-MATCH(Auto_Sales_data___Copy[[#This Row],[DAYS_SINCE_LAST_ORDER]],Table2[R-Cutoff],1)</f>
        <v>1</v>
      </c>
      <c r="X2294" s="2">
        <f>MATCH(Auto_Sales_data___Copy[[#This Row],[Total_Orders_Per_Customer]],Table2[F-Cutoff],1)</f>
        <v>4</v>
      </c>
      <c r="Y2294" s="2">
        <f>MATCH(Auto_Sales_data___Copy[[#This Row],[Total_Sales_Per_Customer]],Table2[M-Cutoff],1)</f>
        <v>4</v>
      </c>
      <c r="Z2294" s="2" t="str">
        <f>Auto_Sales_data___Copy[[#This Row],[R-Score(1-5)]]&amp;Auto_Sales_data___Copy[[#This Row],[F-Score(1-5)]]&amp;Auto_Sales_data___Copy[[#This Row],[M-Score(1-5)]]</f>
        <v>144</v>
      </c>
      <c r="AA2294" s="2" t="str" cm="1">
        <f t="array" ref="AA22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4" s="2" t="str">
        <f>VLOOKUP(Auto_Sales_data___Copy[[#This Row],[Segment Name]],Table3[],2,FALSE)</f>
        <v>Brand Awareness &amp; Value Proposition</v>
      </c>
    </row>
    <row r="2295" spans="1:28" x14ac:dyDescent="0.25">
      <c r="A2295">
        <v>10120</v>
      </c>
      <c r="B2295">
        <v>24</v>
      </c>
      <c r="C2295">
        <v>142.38</v>
      </c>
      <c r="D2295">
        <v>7</v>
      </c>
      <c r="E2295">
        <v>3417.12</v>
      </c>
      <c r="F2295" s="1">
        <v>43219</v>
      </c>
      <c r="G2295" s="2" t="s">
        <v>19</v>
      </c>
      <c r="H2295" s="2" t="s">
        <v>607</v>
      </c>
      <c r="I2295">
        <v>118</v>
      </c>
      <c r="J2295" s="2" t="s">
        <v>713</v>
      </c>
      <c r="K2295" s="2" t="s">
        <v>82</v>
      </c>
      <c r="L2295" s="2" t="s">
        <v>83</v>
      </c>
      <c r="M2295" s="2" t="s">
        <v>84</v>
      </c>
      <c r="N2295" s="2" t="s">
        <v>85</v>
      </c>
      <c r="O2295" s="2" t="s">
        <v>86</v>
      </c>
      <c r="P2295" s="2" t="s">
        <v>87</v>
      </c>
      <c r="Q2295" s="2" t="s">
        <v>88</v>
      </c>
      <c r="R2295" s="2" t="s">
        <v>89</v>
      </c>
      <c r="S2295" s="2" t="s">
        <v>46</v>
      </c>
      <c r="T2295">
        <v>3331</v>
      </c>
      <c r="U2295">
        <f>VLOOKUP(Auto_Sales_data___Copy[[#This Row],[CUSTOMER_NAME]],$AF$2:$AH$90,2,FALSE)</f>
        <v>55</v>
      </c>
      <c r="V2295">
        <f>VLOOKUP(Auto_Sales_data___Copy[[#This Row],[CUSTOMER_NAME]],$AF$2:$AH$90,3,FALSE)</f>
        <v>200995.41000000006</v>
      </c>
      <c r="W2295" s="2">
        <f>6-MATCH(Auto_Sales_data___Copy[[#This Row],[DAYS_SINCE_LAST_ORDER]],Table2[R-Cutoff],1)</f>
        <v>1</v>
      </c>
      <c r="X2295" s="2">
        <f>MATCH(Auto_Sales_data___Copy[[#This Row],[Total_Orders_Per_Customer]],Table2[F-Cutoff],1)</f>
        <v>4</v>
      </c>
      <c r="Y2295" s="2">
        <f>MATCH(Auto_Sales_data___Copy[[#This Row],[Total_Sales_Per_Customer]],Table2[M-Cutoff],1)</f>
        <v>4</v>
      </c>
      <c r="Z2295" s="2" t="str">
        <f>Auto_Sales_data___Copy[[#This Row],[R-Score(1-5)]]&amp;Auto_Sales_data___Copy[[#This Row],[F-Score(1-5)]]&amp;Auto_Sales_data___Copy[[#This Row],[M-Score(1-5)]]</f>
        <v>144</v>
      </c>
      <c r="AA2295" s="2" t="str" cm="1">
        <f t="array" ref="AA22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5" s="2" t="str">
        <f>VLOOKUP(Auto_Sales_data___Copy[[#This Row],[Segment Name]],Table3[],2,FALSE)</f>
        <v>Brand Awareness &amp; Value Proposition</v>
      </c>
    </row>
    <row r="2296" spans="1:28" x14ac:dyDescent="0.25">
      <c r="A2296">
        <v>10120</v>
      </c>
      <c r="B2296">
        <v>43</v>
      </c>
      <c r="C2296">
        <v>76</v>
      </c>
      <c r="D2296">
        <v>14</v>
      </c>
      <c r="E2296">
        <v>3268</v>
      </c>
      <c r="F2296" s="1">
        <v>43219</v>
      </c>
      <c r="G2296" s="2" t="s">
        <v>19</v>
      </c>
      <c r="H2296" s="2" t="s">
        <v>607</v>
      </c>
      <c r="I2296">
        <v>80</v>
      </c>
      <c r="J2296" s="2" t="s">
        <v>714</v>
      </c>
      <c r="K2296" s="2" t="s">
        <v>82</v>
      </c>
      <c r="L2296" s="2" t="s">
        <v>83</v>
      </c>
      <c r="M2296" s="2" t="s">
        <v>84</v>
      </c>
      <c r="N2296" s="2" t="s">
        <v>85</v>
      </c>
      <c r="O2296" s="2" t="s">
        <v>86</v>
      </c>
      <c r="P2296" s="2" t="s">
        <v>87</v>
      </c>
      <c r="Q2296" s="2" t="s">
        <v>88</v>
      </c>
      <c r="R2296" s="2" t="s">
        <v>89</v>
      </c>
      <c r="S2296" s="2" t="s">
        <v>46</v>
      </c>
      <c r="T2296">
        <v>3356</v>
      </c>
      <c r="U2296">
        <f>VLOOKUP(Auto_Sales_data___Copy[[#This Row],[CUSTOMER_NAME]],$AF$2:$AH$90,2,FALSE)</f>
        <v>55</v>
      </c>
      <c r="V2296">
        <f>VLOOKUP(Auto_Sales_data___Copy[[#This Row],[CUSTOMER_NAME]],$AF$2:$AH$90,3,FALSE)</f>
        <v>200995.41000000006</v>
      </c>
      <c r="W2296" s="2">
        <f>6-MATCH(Auto_Sales_data___Copy[[#This Row],[DAYS_SINCE_LAST_ORDER]],Table2[R-Cutoff],1)</f>
        <v>1</v>
      </c>
      <c r="X2296" s="2">
        <f>MATCH(Auto_Sales_data___Copy[[#This Row],[Total_Orders_Per_Customer]],Table2[F-Cutoff],1)</f>
        <v>4</v>
      </c>
      <c r="Y2296" s="2">
        <f>MATCH(Auto_Sales_data___Copy[[#This Row],[Total_Sales_Per_Customer]],Table2[M-Cutoff],1)</f>
        <v>4</v>
      </c>
      <c r="Z2296" s="2" t="str">
        <f>Auto_Sales_data___Copy[[#This Row],[R-Score(1-5)]]&amp;Auto_Sales_data___Copy[[#This Row],[F-Score(1-5)]]&amp;Auto_Sales_data___Copy[[#This Row],[M-Score(1-5)]]</f>
        <v>144</v>
      </c>
      <c r="AA2296" s="2" t="str" cm="1">
        <f t="array" ref="AA22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6" s="2" t="str">
        <f>VLOOKUP(Auto_Sales_data___Copy[[#This Row],[Segment Name]],Table3[],2,FALSE)</f>
        <v>Brand Awareness &amp; Value Proposition</v>
      </c>
    </row>
    <row r="2297" spans="1:28" x14ac:dyDescent="0.25">
      <c r="A2297">
        <v>10121</v>
      </c>
      <c r="B2297">
        <v>25</v>
      </c>
      <c r="C2297">
        <v>86.74</v>
      </c>
      <c r="D2297">
        <v>3</v>
      </c>
      <c r="E2297">
        <v>2168.5</v>
      </c>
      <c r="F2297" s="1">
        <v>43227</v>
      </c>
      <c r="G2297" s="2" t="s">
        <v>19</v>
      </c>
      <c r="H2297" s="2" t="s">
        <v>20</v>
      </c>
      <c r="I2297">
        <v>102</v>
      </c>
      <c r="J2297" s="2" t="s">
        <v>701</v>
      </c>
      <c r="K2297" s="2" t="s">
        <v>31</v>
      </c>
      <c r="L2297" s="2" t="s">
        <v>32</v>
      </c>
      <c r="M2297" s="2" t="s">
        <v>33</v>
      </c>
      <c r="N2297" s="2" t="s">
        <v>34</v>
      </c>
      <c r="O2297" s="2" t="s">
        <v>35</v>
      </c>
      <c r="P2297" s="2" t="s">
        <v>36</v>
      </c>
      <c r="Q2297" s="2" t="s">
        <v>37</v>
      </c>
      <c r="R2297" s="2" t="s">
        <v>38</v>
      </c>
      <c r="S2297" s="2" t="s">
        <v>30</v>
      </c>
      <c r="T2297">
        <v>3013</v>
      </c>
      <c r="U2297">
        <f>VLOOKUP(Auto_Sales_data___Copy[[#This Row],[CUSTOMER_NAME]],$AF$2:$AH$90,2,FALSE)</f>
        <v>41</v>
      </c>
      <c r="V2297">
        <f>VLOOKUP(Auto_Sales_data___Copy[[#This Row],[CUSTOMER_NAME]],$AF$2:$AH$90,3,FALSE)</f>
        <v>135042.94</v>
      </c>
      <c r="W2297" s="2">
        <f>6-MATCH(Auto_Sales_data___Copy[[#This Row],[DAYS_SINCE_LAST_ORDER]],Table2[R-Cutoff],1)</f>
        <v>1</v>
      </c>
      <c r="X2297" s="2">
        <f>MATCH(Auto_Sales_data___Copy[[#This Row],[Total_Orders_Per_Customer]],Table2[F-Cutoff],1)</f>
        <v>4</v>
      </c>
      <c r="Y2297" s="2">
        <f>MATCH(Auto_Sales_data___Copy[[#This Row],[Total_Sales_Per_Customer]],Table2[M-Cutoff],1)</f>
        <v>4</v>
      </c>
      <c r="Z2297" s="2" t="str">
        <f>Auto_Sales_data___Copy[[#This Row],[R-Score(1-5)]]&amp;Auto_Sales_data___Copy[[#This Row],[F-Score(1-5)]]&amp;Auto_Sales_data___Copy[[#This Row],[M-Score(1-5)]]</f>
        <v>144</v>
      </c>
      <c r="AA2297" s="2" t="str" cm="1">
        <f t="array" ref="AA22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7" s="2" t="str">
        <f>VLOOKUP(Auto_Sales_data___Copy[[#This Row],[Segment Name]],Table3[],2,FALSE)</f>
        <v>Brand Awareness &amp; Value Proposition</v>
      </c>
    </row>
    <row r="2298" spans="1:28" x14ac:dyDescent="0.25">
      <c r="A2298">
        <v>10121</v>
      </c>
      <c r="B2298">
        <v>44</v>
      </c>
      <c r="C2298">
        <v>74.849999999999994</v>
      </c>
      <c r="D2298">
        <v>1</v>
      </c>
      <c r="E2298">
        <v>3293.4</v>
      </c>
      <c r="F2298" s="1">
        <v>43227</v>
      </c>
      <c r="G2298" s="2" t="s">
        <v>19</v>
      </c>
      <c r="H2298" s="2" t="s">
        <v>20</v>
      </c>
      <c r="I2298">
        <v>81</v>
      </c>
      <c r="J2298" s="2" t="s">
        <v>705</v>
      </c>
      <c r="K2298" s="2" t="s">
        <v>31</v>
      </c>
      <c r="L2298" s="2" t="s">
        <v>32</v>
      </c>
      <c r="M2298" s="2" t="s">
        <v>33</v>
      </c>
      <c r="N2298" s="2" t="s">
        <v>34</v>
      </c>
      <c r="O2298" s="2" t="s">
        <v>35</v>
      </c>
      <c r="P2298" s="2" t="s">
        <v>36</v>
      </c>
      <c r="Q2298" s="2" t="s">
        <v>37</v>
      </c>
      <c r="R2298" s="2" t="s">
        <v>38</v>
      </c>
      <c r="S2298" s="2" t="s">
        <v>46</v>
      </c>
      <c r="T2298">
        <v>3117</v>
      </c>
      <c r="U2298">
        <f>VLOOKUP(Auto_Sales_data___Copy[[#This Row],[CUSTOMER_NAME]],$AF$2:$AH$90,2,FALSE)</f>
        <v>41</v>
      </c>
      <c r="V2298">
        <f>VLOOKUP(Auto_Sales_data___Copy[[#This Row],[CUSTOMER_NAME]],$AF$2:$AH$90,3,FALSE)</f>
        <v>135042.94</v>
      </c>
      <c r="W2298" s="2">
        <f>6-MATCH(Auto_Sales_data___Copy[[#This Row],[DAYS_SINCE_LAST_ORDER]],Table2[R-Cutoff],1)</f>
        <v>1</v>
      </c>
      <c r="X2298" s="2">
        <f>MATCH(Auto_Sales_data___Copy[[#This Row],[Total_Orders_Per_Customer]],Table2[F-Cutoff],1)</f>
        <v>4</v>
      </c>
      <c r="Y2298" s="2">
        <f>MATCH(Auto_Sales_data___Copy[[#This Row],[Total_Sales_Per_Customer]],Table2[M-Cutoff],1)</f>
        <v>4</v>
      </c>
      <c r="Z2298" s="2" t="str">
        <f>Auto_Sales_data___Copy[[#This Row],[R-Score(1-5)]]&amp;Auto_Sales_data___Copy[[#This Row],[F-Score(1-5)]]&amp;Auto_Sales_data___Copy[[#This Row],[M-Score(1-5)]]</f>
        <v>144</v>
      </c>
      <c r="AA2298" s="2" t="str" cm="1">
        <f t="array" ref="AA22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8" s="2" t="str">
        <f>VLOOKUP(Auto_Sales_data___Copy[[#This Row],[Segment Name]],Table3[],2,FALSE)</f>
        <v>Brand Awareness &amp; Value Proposition</v>
      </c>
    </row>
    <row r="2299" spans="1:28" x14ac:dyDescent="0.25">
      <c r="A2299">
        <v>10126</v>
      </c>
      <c r="B2299">
        <v>34</v>
      </c>
      <c r="C2299">
        <v>105.18</v>
      </c>
      <c r="D2299">
        <v>15</v>
      </c>
      <c r="E2299">
        <v>3576.12</v>
      </c>
      <c r="F2299" s="1">
        <v>43248</v>
      </c>
      <c r="G2299" s="2" t="s">
        <v>19</v>
      </c>
      <c r="H2299" s="2" t="s">
        <v>589</v>
      </c>
      <c r="I2299">
        <v>97</v>
      </c>
      <c r="J2299" s="2" t="s">
        <v>691</v>
      </c>
      <c r="K2299" s="2" t="s">
        <v>193</v>
      </c>
      <c r="L2299" s="2" t="s">
        <v>194</v>
      </c>
      <c r="M2299" s="2" t="s">
        <v>195</v>
      </c>
      <c r="N2299" s="2" t="s">
        <v>178</v>
      </c>
      <c r="O2299" s="2" t="s">
        <v>196</v>
      </c>
      <c r="P2299" s="2" t="s">
        <v>180</v>
      </c>
      <c r="Q2299" s="2" t="s">
        <v>197</v>
      </c>
      <c r="R2299" s="2" t="s">
        <v>198</v>
      </c>
      <c r="S2299" s="2" t="s">
        <v>46</v>
      </c>
      <c r="T2299">
        <v>2742</v>
      </c>
      <c r="U2299">
        <f>VLOOKUP(Auto_Sales_data___Copy[[#This Row],[CUSTOMER_NAME]],$AF$2:$AH$90,2,FALSE)</f>
        <v>32</v>
      </c>
      <c r="V2299">
        <f>VLOOKUP(Auto_Sales_data___Copy[[#This Row],[CUSTOMER_NAME]],$AF$2:$AH$90,3,FALSE)</f>
        <v>120615.28</v>
      </c>
      <c r="W2299" s="2">
        <f>6-MATCH(Auto_Sales_data___Copy[[#This Row],[DAYS_SINCE_LAST_ORDER]],Table2[R-Cutoff],1)</f>
        <v>1</v>
      </c>
      <c r="X2299" s="2">
        <f>MATCH(Auto_Sales_data___Copy[[#This Row],[Total_Orders_Per_Customer]],Table2[F-Cutoff],1)</f>
        <v>4</v>
      </c>
      <c r="Y2299" s="2">
        <f>MATCH(Auto_Sales_data___Copy[[#This Row],[Total_Sales_Per_Customer]],Table2[M-Cutoff],1)</f>
        <v>4</v>
      </c>
      <c r="Z2299" s="2" t="str">
        <f>Auto_Sales_data___Copy[[#This Row],[R-Score(1-5)]]&amp;Auto_Sales_data___Copy[[#This Row],[F-Score(1-5)]]&amp;Auto_Sales_data___Copy[[#This Row],[M-Score(1-5)]]</f>
        <v>144</v>
      </c>
      <c r="AA2299" s="2" t="str" cm="1">
        <f t="array" ref="AA22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9" s="2" t="str">
        <f>VLOOKUP(Auto_Sales_data___Copy[[#This Row],[Segment Name]],Table3[],2,FALSE)</f>
        <v>Brand Awareness &amp; Value Proposition</v>
      </c>
    </row>
    <row r="2300" spans="1:28" x14ac:dyDescent="0.25">
      <c r="A2300">
        <v>10126</v>
      </c>
      <c r="B2300">
        <v>43</v>
      </c>
      <c r="C2300">
        <v>96.31</v>
      </c>
      <c r="D2300">
        <v>3</v>
      </c>
      <c r="E2300">
        <v>4141.33</v>
      </c>
      <c r="F2300" s="1">
        <v>43248</v>
      </c>
      <c r="G2300" s="2" t="s">
        <v>19</v>
      </c>
      <c r="H2300" s="2" t="s">
        <v>537</v>
      </c>
      <c r="I2300">
        <v>96</v>
      </c>
      <c r="J2300" s="2" t="s">
        <v>694</v>
      </c>
      <c r="K2300" s="2" t="s">
        <v>193</v>
      </c>
      <c r="L2300" s="2" t="s">
        <v>194</v>
      </c>
      <c r="M2300" s="2" t="s">
        <v>195</v>
      </c>
      <c r="N2300" s="2" t="s">
        <v>178</v>
      </c>
      <c r="O2300" s="2" t="s">
        <v>196</v>
      </c>
      <c r="P2300" s="2" t="s">
        <v>180</v>
      </c>
      <c r="Q2300" s="2" t="s">
        <v>197</v>
      </c>
      <c r="R2300" s="2" t="s">
        <v>198</v>
      </c>
      <c r="S2300" s="2" t="s">
        <v>46</v>
      </c>
      <c r="T2300">
        <v>2814</v>
      </c>
      <c r="U2300">
        <f>VLOOKUP(Auto_Sales_data___Copy[[#This Row],[CUSTOMER_NAME]],$AF$2:$AH$90,2,FALSE)</f>
        <v>32</v>
      </c>
      <c r="V2300">
        <f>VLOOKUP(Auto_Sales_data___Copy[[#This Row],[CUSTOMER_NAME]],$AF$2:$AH$90,3,FALSE)</f>
        <v>120615.28</v>
      </c>
      <c r="W2300" s="2">
        <f>6-MATCH(Auto_Sales_data___Copy[[#This Row],[DAYS_SINCE_LAST_ORDER]],Table2[R-Cutoff],1)</f>
        <v>1</v>
      </c>
      <c r="X2300" s="2">
        <f>MATCH(Auto_Sales_data___Copy[[#This Row],[Total_Orders_Per_Customer]],Table2[F-Cutoff],1)</f>
        <v>4</v>
      </c>
      <c r="Y2300" s="2">
        <f>MATCH(Auto_Sales_data___Copy[[#This Row],[Total_Sales_Per_Customer]],Table2[M-Cutoff],1)</f>
        <v>4</v>
      </c>
      <c r="Z2300" s="2" t="str">
        <f>Auto_Sales_data___Copy[[#This Row],[R-Score(1-5)]]&amp;Auto_Sales_data___Copy[[#This Row],[F-Score(1-5)]]&amp;Auto_Sales_data___Copy[[#This Row],[M-Score(1-5)]]</f>
        <v>144</v>
      </c>
      <c r="AA2300" s="2" t="str" cm="1">
        <f t="array" ref="AA23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0" s="2" t="str">
        <f>VLOOKUP(Auto_Sales_data___Copy[[#This Row],[Segment Name]],Table3[],2,FALSE)</f>
        <v>Brand Awareness &amp; Value Proposition</v>
      </c>
    </row>
    <row r="2301" spans="1:28" x14ac:dyDescent="0.25">
      <c r="A2301">
        <v>10126</v>
      </c>
      <c r="B2301">
        <v>26</v>
      </c>
      <c r="C2301">
        <v>62.7</v>
      </c>
      <c r="D2301">
        <v>7</v>
      </c>
      <c r="E2301">
        <v>1630.2</v>
      </c>
      <c r="F2301" s="1">
        <v>43248</v>
      </c>
      <c r="G2301" s="2" t="s">
        <v>19</v>
      </c>
      <c r="H2301" s="2" t="s">
        <v>537</v>
      </c>
      <c r="I2301">
        <v>64</v>
      </c>
      <c r="J2301" s="2" t="s">
        <v>699</v>
      </c>
      <c r="K2301" s="2" t="s">
        <v>193</v>
      </c>
      <c r="L2301" s="2" t="s">
        <v>194</v>
      </c>
      <c r="M2301" s="2" t="s">
        <v>195</v>
      </c>
      <c r="N2301" s="2" t="s">
        <v>178</v>
      </c>
      <c r="O2301" s="2" t="s">
        <v>196</v>
      </c>
      <c r="P2301" s="2" t="s">
        <v>180</v>
      </c>
      <c r="Q2301" s="2" t="s">
        <v>197</v>
      </c>
      <c r="R2301" s="2" t="s">
        <v>198</v>
      </c>
      <c r="S2301" s="2" t="s">
        <v>30</v>
      </c>
      <c r="T2301">
        <v>2943</v>
      </c>
      <c r="U2301">
        <f>VLOOKUP(Auto_Sales_data___Copy[[#This Row],[CUSTOMER_NAME]],$AF$2:$AH$90,2,FALSE)</f>
        <v>32</v>
      </c>
      <c r="V2301">
        <f>VLOOKUP(Auto_Sales_data___Copy[[#This Row],[CUSTOMER_NAME]],$AF$2:$AH$90,3,FALSE)</f>
        <v>120615.28</v>
      </c>
      <c r="W2301" s="2">
        <f>6-MATCH(Auto_Sales_data___Copy[[#This Row],[DAYS_SINCE_LAST_ORDER]],Table2[R-Cutoff],1)</f>
        <v>1</v>
      </c>
      <c r="X2301" s="2">
        <f>MATCH(Auto_Sales_data___Copy[[#This Row],[Total_Orders_Per_Customer]],Table2[F-Cutoff],1)</f>
        <v>4</v>
      </c>
      <c r="Y2301" s="2">
        <f>MATCH(Auto_Sales_data___Copy[[#This Row],[Total_Sales_Per_Customer]],Table2[M-Cutoff],1)</f>
        <v>4</v>
      </c>
      <c r="Z2301" s="2" t="str">
        <f>Auto_Sales_data___Copy[[#This Row],[R-Score(1-5)]]&amp;Auto_Sales_data___Copy[[#This Row],[F-Score(1-5)]]&amp;Auto_Sales_data___Copy[[#This Row],[M-Score(1-5)]]</f>
        <v>144</v>
      </c>
      <c r="AA2301" s="2" t="str" cm="1">
        <f t="array" ref="AA23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1" s="2" t="str">
        <f>VLOOKUP(Auto_Sales_data___Copy[[#This Row],[Segment Name]],Table3[],2,FALSE)</f>
        <v>Brand Awareness &amp; Value Proposition</v>
      </c>
    </row>
    <row r="2302" spans="1:28" x14ac:dyDescent="0.25">
      <c r="A2302">
        <v>10126</v>
      </c>
      <c r="B2302">
        <v>45</v>
      </c>
      <c r="C2302">
        <v>102.16</v>
      </c>
      <c r="D2302">
        <v>6</v>
      </c>
      <c r="E2302">
        <v>4597.2</v>
      </c>
      <c r="F2302" s="1">
        <v>43248</v>
      </c>
      <c r="G2302" s="2" t="s">
        <v>19</v>
      </c>
      <c r="H2302" s="2" t="s">
        <v>183</v>
      </c>
      <c r="I2302">
        <v>101</v>
      </c>
      <c r="J2302" s="2" t="s">
        <v>712</v>
      </c>
      <c r="K2302" s="2" t="s">
        <v>193</v>
      </c>
      <c r="L2302" s="2" t="s">
        <v>194</v>
      </c>
      <c r="M2302" s="2" t="s">
        <v>195</v>
      </c>
      <c r="N2302" s="2" t="s">
        <v>178</v>
      </c>
      <c r="O2302" s="2" t="s">
        <v>196</v>
      </c>
      <c r="P2302" s="2" t="s">
        <v>180</v>
      </c>
      <c r="Q2302" s="2" t="s">
        <v>197</v>
      </c>
      <c r="R2302" s="2" t="s">
        <v>198</v>
      </c>
      <c r="S2302" s="2" t="s">
        <v>46</v>
      </c>
      <c r="T2302">
        <v>3276</v>
      </c>
      <c r="U2302">
        <f>VLOOKUP(Auto_Sales_data___Copy[[#This Row],[CUSTOMER_NAME]],$AF$2:$AH$90,2,FALSE)</f>
        <v>32</v>
      </c>
      <c r="V2302">
        <f>VLOOKUP(Auto_Sales_data___Copy[[#This Row],[CUSTOMER_NAME]],$AF$2:$AH$90,3,FALSE)</f>
        <v>120615.28</v>
      </c>
      <c r="W2302" s="2">
        <f>6-MATCH(Auto_Sales_data___Copy[[#This Row],[DAYS_SINCE_LAST_ORDER]],Table2[R-Cutoff],1)</f>
        <v>1</v>
      </c>
      <c r="X2302" s="2">
        <f>MATCH(Auto_Sales_data___Copy[[#This Row],[Total_Orders_Per_Customer]],Table2[F-Cutoff],1)</f>
        <v>4</v>
      </c>
      <c r="Y2302" s="2">
        <f>MATCH(Auto_Sales_data___Copy[[#This Row],[Total_Sales_Per_Customer]],Table2[M-Cutoff],1)</f>
        <v>4</v>
      </c>
      <c r="Z2302" s="2" t="str">
        <f>Auto_Sales_data___Copy[[#This Row],[R-Score(1-5)]]&amp;Auto_Sales_data___Copy[[#This Row],[F-Score(1-5)]]&amp;Auto_Sales_data___Copy[[#This Row],[M-Score(1-5)]]</f>
        <v>144</v>
      </c>
      <c r="AA2302" s="2" t="str" cm="1">
        <f t="array" ref="AA23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2" s="2" t="str">
        <f>VLOOKUP(Auto_Sales_data___Copy[[#This Row],[Segment Name]],Table3[],2,FALSE)</f>
        <v>Brand Awareness &amp; Value Proposition</v>
      </c>
    </row>
    <row r="2303" spans="1:28" x14ac:dyDescent="0.25">
      <c r="A2303">
        <v>10127</v>
      </c>
      <c r="B2303">
        <v>20</v>
      </c>
      <c r="C2303">
        <v>96.99</v>
      </c>
      <c r="D2303">
        <v>7</v>
      </c>
      <c r="E2303">
        <v>1939.8</v>
      </c>
      <c r="F2303" s="1">
        <v>43254</v>
      </c>
      <c r="G2303" s="2" t="s">
        <v>19</v>
      </c>
      <c r="H2303" s="2" t="s">
        <v>183</v>
      </c>
      <c r="I2303">
        <v>118</v>
      </c>
      <c r="J2303" s="2" t="s">
        <v>690</v>
      </c>
      <c r="K2303" s="2" t="s">
        <v>506</v>
      </c>
      <c r="L2303" s="2" t="s">
        <v>507</v>
      </c>
      <c r="M2303" s="2" t="s">
        <v>508</v>
      </c>
      <c r="N2303" s="2" t="s">
        <v>25</v>
      </c>
      <c r="O2303" s="2" t="s">
        <v>26</v>
      </c>
      <c r="P2303" s="2" t="s">
        <v>27</v>
      </c>
      <c r="Q2303" s="2" t="s">
        <v>52</v>
      </c>
      <c r="R2303" s="2" t="s">
        <v>509</v>
      </c>
      <c r="S2303" s="2" t="s">
        <v>30</v>
      </c>
      <c r="T2303">
        <v>2711</v>
      </c>
      <c r="U2303">
        <f>VLOOKUP(Auto_Sales_data___Copy[[#This Row],[CUSTOMER_NAME]],$AF$2:$AH$90,2,FALSE)</f>
        <v>48</v>
      </c>
      <c r="V2303">
        <f>VLOOKUP(Auto_Sales_data___Copy[[#This Row],[CUSTOMER_NAME]],$AF$2:$AH$90,3,FALSE)</f>
        <v>197736.93999999997</v>
      </c>
      <c r="W2303" s="2">
        <f>6-MATCH(Auto_Sales_data___Copy[[#This Row],[DAYS_SINCE_LAST_ORDER]],Table2[R-Cutoff],1)</f>
        <v>1</v>
      </c>
      <c r="X2303" s="2">
        <f>MATCH(Auto_Sales_data___Copy[[#This Row],[Total_Orders_Per_Customer]],Table2[F-Cutoff],1)</f>
        <v>4</v>
      </c>
      <c r="Y2303" s="2">
        <f>MATCH(Auto_Sales_data___Copy[[#This Row],[Total_Sales_Per_Customer]],Table2[M-Cutoff],1)</f>
        <v>4</v>
      </c>
      <c r="Z2303" s="2" t="str">
        <f>Auto_Sales_data___Copy[[#This Row],[R-Score(1-5)]]&amp;Auto_Sales_data___Copy[[#This Row],[F-Score(1-5)]]&amp;Auto_Sales_data___Copy[[#This Row],[M-Score(1-5)]]</f>
        <v>144</v>
      </c>
      <c r="AA2303" s="2" t="str" cm="1">
        <f t="array" ref="AA23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3" s="2" t="str">
        <f>VLOOKUP(Auto_Sales_data___Copy[[#This Row],[Segment Name]],Table3[],2,FALSE)</f>
        <v>Brand Awareness &amp; Value Proposition</v>
      </c>
    </row>
    <row r="2304" spans="1:28" x14ac:dyDescent="0.25">
      <c r="A2304">
        <v>10127</v>
      </c>
      <c r="B2304">
        <v>45</v>
      </c>
      <c r="C2304">
        <v>51.95</v>
      </c>
      <c r="D2304">
        <v>13</v>
      </c>
      <c r="E2304">
        <v>2337.75</v>
      </c>
      <c r="F2304" s="1">
        <v>43254</v>
      </c>
      <c r="G2304" s="2" t="s">
        <v>19</v>
      </c>
      <c r="H2304" s="2" t="s">
        <v>537</v>
      </c>
      <c r="I2304">
        <v>54</v>
      </c>
      <c r="J2304" s="2" t="s">
        <v>697</v>
      </c>
      <c r="K2304" s="2" t="s">
        <v>506</v>
      </c>
      <c r="L2304" s="2" t="s">
        <v>507</v>
      </c>
      <c r="M2304" s="2" t="s">
        <v>508</v>
      </c>
      <c r="N2304" s="2" t="s">
        <v>25</v>
      </c>
      <c r="O2304" s="2" t="s">
        <v>26</v>
      </c>
      <c r="P2304" s="2" t="s">
        <v>27</v>
      </c>
      <c r="Q2304" s="2" t="s">
        <v>52</v>
      </c>
      <c r="R2304" s="2" t="s">
        <v>509</v>
      </c>
      <c r="S2304" s="2" t="s">
        <v>30</v>
      </c>
      <c r="T2304">
        <v>2883</v>
      </c>
      <c r="U2304">
        <f>VLOOKUP(Auto_Sales_data___Copy[[#This Row],[CUSTOMER_NAME]],$AF$2:$AH$90,2,FALSE)</f>
        <v>48</v>
      </c>
      <c r="V2304">
        <f>VLOOKUP(Auto_Sales_data___Copy[[#This Row],[CUSTOMER_NAME]],$AF$2:$AH$90,3,FALSE)</f>
        <v>197736.93999999997</v>
      </c>
      <c r="W2304" s="2">
        <f>6-MATCH(Auto_Sales_data___Copy[[#This Row],[DAYS_SINCE_LAST_ORDER]],Table2[R-Cutoff],1)</f>
        <v>1</v>
      </c>
      <c r="X2304" s="2">
        <f>MATCH(Auto_Sales_data___Copy[[#This Row],[Total_Orders_Per_Customer]],Table2[F-Cutoff],1)</f>
        <v>4</v>
      </c>
      <c r="Y2304" s="2">
        <f>MATCH(Auto_Sales_data___Copy[[#This Row],[Total_Sales_Per_Customer]],Table2[M-Cutoff],1)</f>
        <v>4</v>
      </c>
      <c r="Z2304" s="2" t="str">
        <f>Auto_Sales_data___Copy[[#This Row],[R-Score(1-5)]]&amp;Auto_Sales_data___Copy[[#This Row],[F-Score(1-5)]]&amp;Auto_Sales_data___Copy[[#This Row],[M-Score(1-5)]]</f>
        <v>144</v>
      </c>
      <c r="AA2304" s="2" t="str" cm="1">
        <f t="array" ref="AA23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4" s="2" t="str">
        <f>VLOOKUP(Auto_Sales_data___Copy[[#This Row],[Segment Name]],Table3[],2,FALSE)</f>
        <v>Brand Awareness &amp; Value Proposition</v>
      </c>
    </row>
    <row r="2305" spans="1:28" x14ac:dyDescent="0.25">
      <c r="A2305">
        <v>10127</v>
      </c>
      <c r="B2305">
        <v>29</v>
      </c>
      <c r="C2305">
        <v>70.84</v>
      </c>
      <c r="D2305">
        <v>6</v>
      </c>
      <c r="E2305">
        <v>2054.36</v>
      </c>
      <c r="F2305" s="1">
        <v>43254</v>
      </c>
      <c r="G2305" s="2" t="s">
        <v>19</v>
      </c>
      <c r="H2305" s="2" t="s">
        <v>650</v>
      </c>
      <c r="I2305">
        <v>62</v>
      </c>
      <c r="J2305" s="2" t="s">
        <v>698</v>
      </c>
      <c r="K2305" s="2" t="s">
        <v>506</v>
      </c>
      <c r="L2305" s="2" t="s">
        <v>507</v>
      </c>
      <c r="M2305" s="2" t="s">
        <v>508</v>
      </c>
      <c r="N2305" s="2" t="s">
        <v>25</v>
      </c>
      <c r="O2305" s="2" t="s">
        <v>26</v>
      </c>
      <c r="P2305" s="2" t="s">
        <v>27</v>
      </c>
      <c r="Q2305" s="2" t="s">
        <v>52</v>
      </c>
      <c r="R2305" s="2" t="s">
        <v>509</v>
      </c>
      <c r="S2305" s="2" t="s">
        <v>30</v>
      </c>
      <c r="T2305">
        <v>2911</v>
      </c>
      <c r="U2305">
        <f>VLOOKUP(Auto_Sales_data___Copy[[#This Row],[CUSTOMER_NAME]],$AF$2:$AH$90,2,FALSE)</f>
        <v>48</v>
      </c>
      <c r="V2305">
        <f>VLOOKUP(Auto_Sales_data___Copy[[#This Row],[CUSTOMER_NAME]],$AF$2:$AH$90,3,FALSE)</f>
        <v>197736.93999999997</v>
      </c>
      <c r="W2305" s="2">
        <f>6-MATCH(Auto_Sales_data___Copy[[#This Row],[DAYS_SINCE_LAST_ORDER]],Table2[R-Cutoff],1)</f>
        <v>1</v>
      </c>
      <c r="X2305" s="2">
        <f>MATCH(Auto_Sales_data___Copy[[#This Row],[Total_Orders_Per_Customer]],Table2[F-Cutoff],1)</f>
        <v>4</v>
      </c>
      <c r="Y2305" s="2">
        <f>MATCH(Auto_Sales_data___Copy[[#This Row],[Total_Sales_Per_Customer]],Table2[M-Cutoff],1)</f>
        <v>4</v>
      </c>
      <c r="Z2305" s="2" t="str">
        <f>Auto_Sales_data___Copy[[#This Row],[R-Score(1-5)]]&amp;Auto_Sales_data___Copy[[#This Row],[F-Score(1-5)]]&amp;Auto_Sales_data___Copy[[#This Row],[M-Score(1-5)]]</f>
        <v>144</v>
      </c>
      <c r="AA2305" s="2" t="str" cm="1">
        <f t="array" ref="AA23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5" s="2" t="str">
        <f>VLOOKUP(Auto_Sales_data___Copy[[#This Row],[Segment Name]],Table3[],2,FALSE)</f>
        <v>Brand Awareness &amp; Value Proposition</v>
      </c>
    </row>
    <row r="2306" spans="1:28" x14ac:dyDescent="0.25">
      <c r="A2306">
        <v>10127</v>
      </c>
      <c r="B2306">
        <v>46</v>
      </c>
      <c r="C2306">
        <v>134.27000000000001</v>
      </c>
      <c r="D2306">
        <v>9</v>
      </c>
      <c r="E2306">
        <v>6176.42</v>
      </c>
      <c r="F2306" s="1">
        <v>43254</v>
      </c>
      <c r="G2306" s="2" t="s">
        <v>19</v>
      </c>
      <c r="H2306" s="2" t="s">
        <v>537</v>
      </c>
      <c r="I2306">
        <v>115</v>
      </c>
      <c r="J2306" s="2" t="s">
        <v>703</v>
      </c>
      <c r="K2306" s="2" t="s">
        <v>506</v>
      </c>
      <c r="L2306" s="2" t="s">
        <v>507</v>
      </c>
      <c r="M2306" s="2" t="s">
        <v>508</v>
      </c>
      <c r="N2306" s="2" t="s">
        <v>25</v>
      </c>
      <c r="O2306" s="2" t="s">
        <v>26</v>
      </c>
      <c r="P2306" s="2" t="s">
        <v>27</v>
      </c>
      <c r="Q2306" s="2" t="s">
        <v>52</v>
      </c>
      <c r="R2306" s="2" t="s">
        <v>509</v>
      </c>
      <c r="S2306" s="2" t="s">
        <v>46</v>
      </c>
      <c r="T2306">
        <v>3037</v>
      </c>
      <c r="U2306">
        <f>VLOOKUP(Auto_Sales_data___Copy[[#This Row],[CUSTOMER_NAME]],$AF$2:$AH$90,2,FALSE)</f>
        <v>48</v>
      </c>
      <c r="V2306">
        <f>VLOOKUP(Auto_Sales_data___Copy[[#This Row],[CUSTOMER_NAME]],$AF$2:$AH$90,3,FALSE)</f>
        <v>197736.93999999997</v>
      </c>
      <c r="W2306" s="2">
        <f>6-MATCH(Auto_Sales_data___Copy[[#This Row],[DAYS_SINCE_LAST_ORDER]],Table2[R-Cutoff],1)</f>
        <v>1</v>
      </c>
      <c r="X2306" s="2">
        <f>MATCH(Auto_Sales_data___Copy[[#This Row],[Total_Orders_Per_Customer]],Table2[F-Cutoff],1)</f>
        <v>4</v>
      </c>
      <c r="Y2306" s="2">
        <f>MATCH(Auto_Sales_data___Copy[[#This Row],[Total_Sales_Per_Customer]],Table2[M-Cutoff],1)</f>
        <v>4</v>
      </c>
      <c r="Z2306" s="2" t="str">
        <f>Auto_Sales_data___Copy[[#This Row],[R-Score(1-5)]]&amp;Auto_Sales_data___Copy[[#This Row],[F-Score(1-5)]]&amp;Auto_Sales_data___Copy[[#This Row],[M-Score(1-5)]]</f>
        <v>144</v>
      </c>
      <c r="AA2306" s="2" t="str" cm="1">
        <f t="array" ref="AA23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6" s="2" t="str">
        <f>VLOOKUP(Auto_Sales_data___Copy[[#This Row],[Segment Name]],Table3[],2,FALSE)</f>
        <v>Brand Awareness &amp; Value Proposition</v>
      </c>
    </row>
    <row r="2307" spans="1:28" x14ac:dyDescent="0.25">
      <c r="A2307">
        <v>10127</v>
      </c>
      <c r="B2307">
        <v>46</v>
      </c>
      <c r="C2307">
        <v>69.12</v>
      </c>
      <c r="D2307">
        <v>4</v>
      </c>
      <c r="E2307">
        <v>3179.52</v>
      </c>
      <c r="F2307" s="1">
        <v>43254</v>
      </c>
      <c r="G2307" s="2" t="s">
        <v>19</v>
      </c>
      <c r="H2307" s="2" t="s">
        <v>650</v>
      </c>
      <c r="I2307">
        <v>58</v>
      </c>
      <c r="J2307" s="2" t="s">
        <v>704</v>
      </c>
      <c r="K2307" s="2" t="s">
        <v>506</v>
      </c>
      <c r="L2307" s="2" t="s">
        <v>507</v>
      </c>
      <c r="M2307" s="2" t="s">
        <v>508</v>
      </c>
      <c r="N2307" s="2" t="s">
        <v>25</v>
      </c>
      <c r="O2307" s="2" t="s">
        <v>26</v>
      </c>
      <c r="P2307" s="2" t="s">
        <v>27</v>
      </c>
      <c r="Q2307" s="2" t="s">
        <v>52</v>
      </c>
      <c r="R2307" s="2" t="s">
        <v>509</v>
      </c>
      <c r="S2307" s="2" t="s">
        <v>46</v>
      </c>
      <c r="T2307">
        <v>3065</v>
      </c>
      <c r="U2307">
        <f>VLOOKUP(Auto_Sales_data___Copy[[#This Row],[CUSTOMER_NAME]],$AF$2:$AH$90,2,FALSE)</f>
        <v>48</v>
      </c>
      <c r="V2307">
        <f>VLOOKUP(Auto_Sales_data___Copy[[#This Row],[CUSTOMER_NAME]],$AF$2:$AH$90,3,FALSE)</f>
        <v>197736.93999999997</v>
      </c>
      <c r="W2307" s="2">
        <f>6-MATCH(Auto_Sales_data___Copy[[#This Row],[DAYS_SINCE_LAST_ORDER]],Table2[R-Cutoff],1)</f>
        <v>1</v>
      </c>
      <c r="X2307" s="2">
        <f>MATCH(Auto_Sales_data___Copy[[#This Row],[Total_Orders_Per_Customer]],Table2[F-Cutoff],1)</f>
        <v>4</v>
      </c>
      <c r="Y2307" s="2">
        <f>MATCH(Auto_Sales_data___Copy[[#This Row],[Total_Sales_Per_Customer]],Table2[M-Cutoff],1)</f>
        <v>4</v>
      </c>
      <c r="Z2307" s="2" t="str">
        <f>Auto_Sales_data___Copy[[#This Row],[R-Score(1-5)]]&amp;Auto_Sales_data___Copy[[#This Row],[F-Score(1-5)]]&amp;Auto_Sales_data___Copy[[#This Row],[M-Score(1-5)]]</f>
        <v>144</v>
      </c>
      <c r="AA2307" s="2" t="str" cm="1">
        <f t="array" ref="AA23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7" s="2" t="str">
        <f>VLOOKUP(Auto_Sales_data___Copy[[#This Row],[Segment Name]],Table3[],2,FALSE)</f>
        <v>Brand Awareness &amp; Value Proposition</v>
      </c>
    </row>
    <row r="2308" spans="1:28" x14ac:dyDescent="0.25">
      <c r="A2308">
        <v>10135</v>
      </c>
      <c r="B2308">
        <v>47</v>
      </c>
      <c r="C2308">
        <v>134.81</v>
      </c>
      <c r="D2308">
        <v>2</v>
      </c>
      <c r="E2308">
        <v>6336.07</v>
      </c>
      <c r="F2308" s="1">
        <v>43283</v>
      </c>
      <c r="G2308" s="2" t="s">
        <v>19</v>
      </c>
      <c r="H2308" s="2" t="s">
        <v>183</v>
      </c>
      <c r="I2308">
        <v>140</v>
      </c>
      <c r="J2308" s="2" t="s">
        <v>687</v>
      </c>
      <c r="K2308" s="2" t="s">
        <v>284</v>
      </c>
      <c r="L2308" s="2" t="s">
        <v>285</v>
      </c>
      <c r="M2308" s="2" t="s">
        <v>286</v>
      </c>
      <c r="N2308" s="2" t="s">
        <v>287</v>
      </c>
      <c r="O2308" s="2" t="s">
        <v>106</v>
      </c>
      <c r="P2308" s="2" t="s">
        <v>27</v>
      </c>
      <c r="Q2308" s="2" t="s">
        <v>288</v>
      </c>
      <c r="R2308" s="2" t="s">
        <v>289</v>
      </c>
      <c r="S2308" s="2" t="s">
        <v>46</v>
      </c>
      <c r="T2308">
        <v>2608</v>
      </c>
      <c r="U2308">
        <f>VLOOKUP(Auto_Sales_data___Copy[[#This Row],[CUSTOMER_NAME]],$AF$2:$AH$90,2,FALSE)</f>
        <v>180</v>
      </c>
      <c r="V2308">
        <f>VLOOKUP(Auto_Sales_data___Copy[[#This Row],[CUSTOMER_NAME]],$AF$2:$AH$90,3,FALSE)</f>
        <v>654858.06000000017</v>
      </c>
      <c r="W2308" s="2">
        <f>6-MATCH(Auto_Sales_data___Copy[[#This Row],[DAYS_SINCE_LAST_ORDER]],Table2[R-Cutoff],1)</f>
        <v>1</v>
      </c>
      <c r="X2308" s="2">
        <f>MATCH(Auto_Sales_data___Copy[[#This Row],[Total_Orders_Per_Customer]],Table2[F-Cutoff],1)</f>
        <v>4</v>
      </c>
      <c r="Y2308" s="2">
        <f>MATCH(Auto_Sales_data___Copy[[#This Row],[Total_Sales_Per_Customer]],Table2[M-Cutoff],1)</f>
        <v>4</v>
      </c>
      <c r="Z2308" s="2" t="str">
        <f>Auto_Sales_data___Copy[[#This Row],[R-Score(1-5)]]&amp;Auto_Sales_data___Copy[[#This Row],[F-Score(1-5)]]&amp;Auto_Sales_data___Copy[[#This Row],[M-Score(1-5)]]</f>
        <v>144</v>
      </c>
      <c r="AA2308" s="2" t="str" cm="1">
        <f t="array" ref="AA23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8" s="2" t="str">
        <f>VLOOKUP(Auto_Sales_data___Copy[[#This Row],[Segment Name]],Table3[],2,FALSE)</f>
        <v>Brand Awareness &amp; Value Proposition</v>
      </c>
    </row>
    <row r="2309" spans="1:28" x14ac:dyDescent="0.25">
      <c r="A2309">
        <v>10135</v>
      </c>
      <c r="B2309">
        <v>23</v>
      </c>
      <c r="C2309">
        <v>87.31</v>
      </c>
      <c r="D2309">
        <v>11</v>
      </c>
      <c r="E2309">
        <v>2008.13</v>
      </c>
      <c r="F2309" s="1">
        <v>43283</v>
      </c>
      <c r="G2309" s="2" t="s">
        <v>19</v>
      </c>
      <c r="H2309" s="2" t="s">
        <v>183</v>
      </c>
      <c r="I2309">
        <v>80</v>
      </c>
      <c r="J2309" s="2" t="s">
        <v>693</v>
      </c>
      <c r="K2309" s="2" t="s">
        <v>284</v>
      </c>
      <c r="L2309" s="2" t="s">
        <v>285</v>
      </c>
      <c r="M2309" s="2" t="s">
        <v>286</v>
      </c>
      <c r="N2309" s="2" t="s">
        <v>287</v>
      </c>
      <c r="O2309" s="2" t="s">
        <v>106</v>
      </c>
      <c r="P2309" s="2" t="s">
        <v>27</v>
      </c>
      <c r="Q2309" s="2" t="s">
        <v>288</v>
      </c>
      <c r="R2309" s="2" t="s">
        <v>289</v>
      </c>
      <c r="S2309" s="2" t="s">
        <v>30</v>
      </c>
      <c r="T2309">
        <v>2756</v>
      </c>
      <c r="U2309">
        <f>VLOOKUP(Auto_Sales_data___Copy[[#This Row],[CUSTOMER_NAME]],$AF$2:$AH$90,2,FALSE)</f>
        <v>180</v>
      </c>
      <c r="V2309">
        <f>VLOOKUP(Auto_Sales_data___Copy[[#This Row],[CUSTOMER_NAME]],$AF$2:$AH$90,3,FALSE)</f>
        <v>654858.06000000017</v>
      </c>
      <c r="W2309" s="2">
        <f>6-MATCH(Auto_Sales_data___Copy[[#This Row],[DAYS_SINCE_LAST_ORDER]],Table2[R-Cutoff],1)</f>
        <v>1</v>
      </c>
      <c r="X2309" s="2">
        <f>MATCH(Auto_Sales_data___Copy[[#This Row],[Total_Orders_Per_Customer]],Table2[F-Cutoff],1)</f>
        <v>4</v>
      </c>
      <c r="Y2309" s="2">
        <f>MATCH(Auto_Sales_data___Copy[[#This Row],[Total_Sales_Per_Customer]],Table2[M-Cutoff],1)</f>
        <v>4</v>
      </c>
      <c r="Z2309" s="2" t="str">
        <f>Auto_Sales_data___Copy[[#This Row],[R-Score(1-5)]]&amp;Auto_Sales_data___Copy[[#This Row],[F-Score(1-5)]]&amp;Auto_Sales_data___Copy[[#This Row],[M-Score(1-5)]]</f>
        <v>144</v>
      </c>
      <c r="AA2309" s="2" t="str" cm="1">
        <f t="array" ref="AA23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9" s="2" t="str">
        <f>VLOOKUP(Auto_Sales_data___Copy[[#This Row],[Segment Name]],Table3[],2,FALSE)</f>
        <v>Brand Awareness &amp; Value Proposition</v>
      </c>
    </row>
    <row r="2310" spans="1:28" x14ac:dyDescent="0.25">
      <c r="A2310">
        <v>10135</v>
      </c>
      <c r="B2310">
        <v>33</v>
      </c>
      <c r="C2310">
        <v>40.229999999999997</v>
      </c>
      <c r="D2310">
        <v>14</v>
      </c>
      <c r="E2310">
        <v>1327.59</v>
      </c>
      <c r="F2310" s="1">
        <v>43283</v>
      </c>
      <c r="G2310" s="2" t="s">
        <v>19</v>
      </c>
      <c r="H2310" s="2" t="s">
        <v>20</v>
      </c>
      <c r="I2310">
        <v>40</v>
      </c>
      <c r="J2310" s="2" t="s">
        <v>696</v>
      </c>
      <c r="K2310" s="2" t="s">
        <v>284</v>
      </c>
      <c r="L2310" s="2" t="s">
        <v>285</v>
      </c>
      <c r="M2310" s="2" t="s">
        <v>286</v>
      </c>
      <c r="N2310" s="2" t="s">
        <v>287</v>
      </c>
      <c r="O2310" s="2" t="s">
        <v>106</v>
      </c>
      <c r="P2310" s="2" t="s">
        <v>27</v>
      </c>
      <c r="Q2310" s="2" t="s">
        <v>288</v>
      </c>
      <c r="R2310" s="2" t="s">
        <v>289</v>
      </c>
      <c r="S2310" s="2" t="s">
        <v>30</v>
      </c>
      <c r="T2310">
        <v>2830</v>
      </c>
      <c r="U2310">
        <f>VLOOKUP(Auto_Sales_data___Copy[[#This Row],[CUSTOMER_NAME]],$AF$2:$AH$90,2,FALSE)</f>
        <v>180</v>
      </c>
      <c r="V2310">
        <f>VLOOKUP(Auto_Sales_data___Copy[[#This Row],[CUSTOMER_NAME]],$AF$2:$AH$90,3,FALSE)</f>
        <v>654858.06000000017</v>
      </c>
      <c r="W2310" s="2">
        <f>6-MATCH(Auto_Sales_data___Copy[[#This Row],[DAYS_SINCE_LAST_ORDER]],Table2[R-Cutoff],1)</f>
        <v>1</v>
      </c>
      <c r="X2310" s="2">
        <f>MATCH(Auto_Sales_data___Copy[[#This Row],[Total_Orders_Per_Customer]],Table2[F-Cutoff],1)</f>
        <v>4</v>
      </c>
      <c r="Y2310" s="2">
        <f>MATCH(Auto_Sales_data___Copy[[#This Row],[Total_Sales_Per_Customer]],Table2[M-Cutoff],1)</f>
        <v>4</v>
      </c>
      <c r="Z2310" s="2" t="str">
        <f>Auto_Sales_data___Copy[[#This Row],[R-Score(1-5)]]&amp;Auto_Sales_data___Copy[[#This Row],[F-Score(1-5)]]&amp;Auto_Sales_data___Copy[[#This Row],[M-Score(1-5)]]</f>
        <v>144</v>
      </c>
      <c r="AA2310" s="2" t="str" cm="1">
        <f t="array" ref="AA23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0" s="2" t="str">
        <f>VLOOKUP(Auto_Sales_data___Copy[[#This Row],[Segment Name]],Table3[],2,FALSE)</f>
        <v>Brand Awareness &amp; Value Proposition</v>
      </c>
    </row>
    <row r="2311" spans="1:28" x14ac:dyDescent="0.25">
      <c r="A2311">
        <v>10135</v>
      </c>
      <c r="B2311">
        <v>30</v>
      </c>
      <c r="C2311">
        <v>89.8</v>
      </c>
      <c r="D2311">
        <v>17</v>
      </c>
      <c r="E2311">
        <v>2694</v>
      </c>
      <c r="F2311" s="1">
        <v>43283</v>
      </c>
      <c r="G2311" s="2" t="s">
        <v>19</v>
      </c>
      <c r="H2311" s="2" t="s">
        <v>20</v>
      </c>
      <c r="I2311">
        <v>102</v>
      </c>
      <c r="J2311" s="2" t="s">
        <v>701</v>
      </c>
      <c r="K2311" s="2" t="s">
        <v>284</v>
      </c>
      <c r="L2311" s="2" t="s">
        <v>285</v>
      </c>
      <c r="M2311" s="2" t="s">
        <v>286</v>
      </c>
      <c r="N2311" s="2" t="s">
        <v>287</v>
      </c>
      <c r="O2311" s="2" t="s">
        <v>106</v>
      </c>
      <c r="P2311" s="2" t="s">
        <v>27</v>
      </c>
      <c r="Q2311" s="2" t="s">
        <v>288</v>
      </c>
      <c r="R2311" s="2" t="s">
        <v>289</v>
      </c>
      <c r="S2311" s="2" t="s">
        <v>30</v>
      </c>
      <c r="T2311">
        <v>2958</v>
      </c>
      <c r="U2311">
        <f>VLOOKUP(Auto_Sales_data___Copy[[#This Row],[CUSTOMER_NAME]],$AF$2:$AH$90,2,FALSE)</f>
        <v>180</v>
      </c>
      <c r="V2311">
        <f>VLOOKUP(Auto_Sales_data___Copy[[#This Row],[CUSTOMER_NAME]],$AF$2:$AH$90,3,FALSE)</f>
        <v>654858.06000000017</v>
      </c>
      <c r="W2311" s="2">
        <f>6-MATCH(Auto_Sales_data___Copy[[#This Row],[DAYS_SINCE_LAST_ORDER]],Table2[R-Cutoff],1)</f>
        <v>1</v>
      </c>
      <c r="X2311" s="2">
        <f>MATCH(Auto_Sales_data___Copy[[#This Row],[Total_Orders_Per_Customer]],Table2[F-Cutoff],1)</f>
        <v>4</v>
      </c>
      <c r="Y2311" s="2">
        <f>MATCH(Auto_Sales_data___Copy[[#This Row],[Total_Sales_Per_Customer]],Table2[M-Cutoff],1)</f>
        <v>4</v>
      </c>
      <c r="Z2311" s="2" t="str">
        <f>Auto_Sales_data___Copy[[#This Row],[R-Score(1-5)]]&amp;Auto_Sales_data___Copy[[#This Row],[F-Score(1-5)]]&amp;Auto_Sales_data___Copy[[#This Row],[M-Score(1-5)]]</f>
        <v>144</v>
      </c>
      <c r="AA2311" s="2" t="str" cm="1">
        <f t="array" ref="AA23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1" s="2" t="str">
        <f>VLOOKUP(Auto_Sales_data___Copy[[#This Row],[Segment Name]],Table3[],2,FALSE)</f>
        <v>Brand Awareness &amp; Value Proposition</v>
      </c>
    </row>
    <row r="2312" spans="1:28" x14ac:dyDescent="0.25">
      <c r="A2312">
        <v>10135</v>
      </c>
      <c r="B2312">
        <v>44</v>
      </c>
      <c r="C2312">
        <v>96</v>
      </c>
      <c r="D2312">
        <v>15</v>
      </c>
      <c r="E2312">
        <v>4224</v>
      </c>
      <c r="F2312" s="1">
        <v>43283</v>
      </c>
      <c r="G2312" s="2" t="s">
        <v>19</v>
      </c>
      <c r="H2312" s="2" t="s">
        <v>20</v>
      </c>
      <c r="I2312">
        <v>81</v>
      </c>
      <c r="J2312" s="2" t="s">
        <v>705</v>
      </c>
      <c r="K2312" s="2" t="s">
        <v>284</v>
      </c>
      <c r="L2312" s="2" t="s">
        <v>285</v>
      </c>
      <c r="M2312" s="2" t="s">
        <v>286</v>
      </c>
      <c r="N2312" s="2" t="s">
        <v>287</v>
      </c>
      <c r="O2312" s="2" t="s">
        <v>106</v>
      </c>
      <c r="P2312" s="2" t="s">
        <v>27</v>
      </c>
      <c r="Q2312" s="2" t="s">
        <v>288</v>
      </c>
      <c r="R2312" s="2" t="s">
        <v>289</v>
      </c>
      <c r="S2312" s="2" t="s">
        <v>46</v>
      </c>
      <c r="T2312">
        <v>3062</v>
      </c>
      <c r="U2312">
        <f>VLOOKUP(Auto_Sales_data___Copy[[#This Row],[CUSTOMER_NAME]],$AF$2:$AH$90,2,FALSE)</f>
        <v>180</v>
      </c>
      <c r="V2312">
        <f>VLOOKUP(Auto_Sales_data___Copy[[#This Row],[CUSTOMER_NAME]],$AF$2:$AH$90,3,FALSE)</f>
        <v>654858.06000000017</v>
      </c>
      <c r="W2312" s="2">
        <f>6-MATCH(Auto_Sales_data___Copy[[#This Row],[DAYS_SINCE_LAST_ORDER]],Table2[R-Cutoff],1)</f>
        <v>1</v>
      </c>
      <c r="X2312" s="2">
        <f>MATCH(Auto_Sales_data___Copy[[#This Row],[Total_Orders_Per_Customer]],Table2[F-Cutoff],1)</f>
        <v>4</v>
      </c>
      <c r="Y2312" s="2">
        <f>MATCH(Auto_Sales_data___Copy[[#This Row],[Total_Sales_Per_Customer]],Table2[M-Cutoff],1)</f>
        <v>4</v>
      </c>
      <c r="Z2312" s="2" t="str">
        <f>Auto_Sales_data___Copy[[#This Row],[R-Score(1-5)]]&amp;Auto_Sales_data___Copy[[#This Row],[F-Score(1-5)]]&amp;Auto_Sales_data___Copy[[#This Row],[M-Score(1-5)]]</f>
        <v>144</v>
      </c>
      <c r="AA2312" s="2" t="str" cm="1">
        <f t="array" ref="AA23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2" s="2" t="str">
        <f>VLOOKUP(Auto_Sales_data___Copy[[#This Row],[Segment Name]],Table3[],2,FALSE)</f>
        <v>Brand Awareness &amp; Value Proposition</v>
      </c>
    </row>
    <row r="2313" spans="1:28" x14ac:dyDescent="0.25">
      <c r="A2313">
        <v>10139</v>
      </c>
      <c r="B2313">
        <v>29</v>
      </c>
      <c r="C2313">
        <v>112.97</v>
      </c>
      <c r="D2313">
        <v>4</v>
      </c>
      <c r="E2313">
        <v>3276.13</v>
      </c>
      <c r="F2313" s="1">
        <v>43297</v>
      </c>
      <c r="G2313" s="2" t="s">
        <v>19</v>
      </c>
      <c r="H2313" s="2" t="s">
        <v>589</v>
      </c>
      <c r="I2313">
        <v>97</v>
      </c>
      <c r="J2313" s="2" t="s">
        <v>691</v>
      </c>
      <c r="K2313" s="2" t="s">
        <v>152</v>
      </c>
      <c r="L2313" s="2" t="s">
        <v>153</v>
      </c>
      <c r="M2313" s="2" t="s">
        <v>154</v>
      </c>
      <c r="N2313" s="2" t="s">
        <v>155</v>
      </c>
      <c r="O2313" s="2" t="s">
        <v>156</v>
      </c>
      <c r="P2313" s="2" t="s">
        <v>87</v>
      </c>
      <c r="Q2313" s="2" t="s">
        <v>157</v>
      </c>
      <c r="R2313" s="2" t="s">
        <v>158</v>
      </c>
      <c r="S2313" s="2" t="s">
        <v>46</v>
      </c>
      <c r="T2313">
        <v>2694</v>
      </c>
      <c r="U2313">
        <f>VLOOKUP(Auto_Sales_data___Copy[[#This Row],[CUSTOMER_NAME]],$AF$2:$AH$90,2,FALSE)</f>
        <v>46</v>
      </c>
      <c r="V2313">
        <f>VLOOKUP(Auto_Sales_data___Copy[[#This Row],[CUSTOMER_NAME]],$AF$2:$AH$90,3,FALSE)</f>
        <v>151570.98000000001</v>
      </c>
      <c r="W2313" s="2">
        <f>6-MATCH(Auto_Sales_data___Copy[[#This Row],[DAYS_SINCE_LAST_ORDER]],Table2[R-Cutoff],1)</f>
        <v>1</v>
      </c>
      <c r="X2313" s="2">
        <f>MATCH(Auto_Sales_data___Copy[[#This Row],[Total_Orders_Per_Customer]],Table2[F-Cutoff],1)</f>
        <v>4</v>
      </c>
      <c r="Y2313" s="2">
        <f>MATCH(Auto_Sales_data___Copy[[#This Row],[Total_Sales_Per_Customer]],Table2[M-Cutoff],1)</f>
        <v>4</v>
      </c>
      <c r="Z2313" s="2" t="str">
        <f>Auto_Sales_data___Copy[[#This Row],[R-Score(1-5)]]&amp;Auto_Sales_data___Copy[[#This Row],[F-Score(1-5)]]&amp;Auto_Sales_data___Copy[[#This Row],[M-Score(1-5)]]</f>
        <v>144</v>
      </c>
      <c r="AA2313" s="2" t="str" cm="1">
        <f t="array" ref="AA23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3" s="2" t="str">
        <f>VLOOKUP(Auto_Sales_data___Copy[[#This Row],[Segment Name]],Table3[],2,FALSE)</f>
        <v>Brand Awareness &amp; Value Proposition</v>
      </c>
    </row>
    <row r="2314" spans="1:28" x14ac:dyDescent="0.25">
      <c r="A2314">
        <v>10140</v>
      </c>
      <c r="B2314">
        <v>26</v>
      </c>
      <c r="C2314">
        <v>108.83</v>
      </c>
      <c r="D2314">
        <v>3</v>
      </c>
      <c r="E2314">
        <v>2829.58</v>
      </c>
      <c r="F2314" s="1">
        <v>43305</v>
      </c>
      <c r="G2314" s="2" t="s">
        <v>19</v>
      </c>
      <c r="H2314" s="2" t="s">
        <v>537</v>
      </c>
      <c r="I2314">
        <v>96</v>
      </c>
      <c r="J2314" s="2" t="s">
        <v>694</v>
      </c>
      <c r="K2314" s="2" t="s">
        <v>54</v>
      </c>
      <c r="L2314" s="2" t="s">
        <v>55</v>
      </c>
      <c r="M2314" s="2" t="s">
        <v>56</v>
      </c>
      <c r="N2314" s="2" t="s">
        <v>57</v>
      </c>
      <c r="O2314" s="2" t="s">
        <v>58</v>
      </c>
      <c r="P2314" s="2" t="s">
        <v>27</v>
      </c>
      <c r="Q2314" s="2" t="s">
        <v>59</v>
      </c>
      <c r="R2314" s="2" t="s">
        <v>60</v>
      </c>
      <c r="S2314" s="2" t="s">
        <v>30</v>
      </c>
      <c r="T2314">
        <v>2758</v>
      </c>
      <c r="U2314">
        <f>VLOOKUP(Auto_Sales_data___Copy[[#This Row],[CUSTOMER_NAME]],$AF$2:$AH$90,2,FALSE)</f>
        <v>34</v>
      </c>
      <c r="V2314">
        <f>VLOOKUP(Auto_Sales_data___Copy[[#This Row],[CUSTOMER_NAME]],$AF$2:$AH$90,3,FALSE)</f>
        <v>120783.07</v>
      </c>
      <c r="W2314" s="2">
        <f>6-MATCH(Auto_Sales_data___Copy[[#This Row],[DAYS_SINCE_LAST_ORDER]],Table2[R-Cutoff],1)</f>
        <v>1</v>
      </c>
      <c r="X2314" s="2">
        <f>MATCH(Auto_Sales_data___Copy[[#This Row],[Total_Orders_Per_Customer]],Table2[F-Cutoff],1)</f>
        <v>4</v>
      </c>
      <c r="Y2314" s="2">
        <f>MATCH(Auto_Sales_data___Copy[[#This Row],[Total_Sales_Per_Customer]],Table2[M-Cutoff],1)</f>
        <v>4</v>
      </c>
      <c r="Z2314" s="2" t="str">
        <f>Auto_Sales_data___Copy[[#This Row],[R-Score(1-5)]]&amp;Auto_Sales_data___Copy[[#This Row],[F-Score(1-5)]]&amp;Auto_Sales_data___Copy[[#This Row],[M-Score(1-5)]]</f>
        <v>144</v>
      </c>
      <c r="AA2314" s="2" t="str" cm="1">
        <f t="array" ref="AA23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4" s="2" t="str">
        <f>VLOOKUP(Auto_Sales_data___Copy[[#This Row],[Segment Name]],Table3[],2,FALSE)</f>
        <v>Brand Awareness &amp; Value Proposition</v>
      </c>
    </row>
    <row r="2315" spans="1:28" x14ac:dyDescent="0.25">
      <c r="A2315">
        <v>10140</v>
      </c>
      <c r="B2315">
        <v>28</v>
      </c>
      <c r="C2315">
        <v>60.76</v>
      </c>
      <c r="D2315">
        <v>7</v>
      </c>
      <c r="E2315">
        <v>1701.28</v>
      </c>
      <c r="F2315" s="1">
        <v>43305</v>
      </c>
      <c r="G2315" s="2" t="s">
        <v>19</v>
      </c>
      <c r="H2315" s="2" t="s">
        <v>537</v>
      </c>
      <c r="I2315">
        <v>64</v>
      </c>
      <c r="J2315" s="2" t="s">
        <v>699</v>
      </c>
      <c r="K2315" s="2" t="s">
        <v>54</v>
      </c>
      <c r="L2315" s="2" t="s">
        <v>55</v>
      </c>
      <c r="M2315" s="2" t="s">
        <v>56</v>
      </c>
      <c r="N2315" s="2" t="s">
        <v>57</v>
      </c>
      <c r="O2315" s="2" t="s">
        <v>58</v>
      </c>
      <c r="P2315" s="2" t="s">
        <v>27</v>
      </c>
      <c r="Q2315" s="2" t="s">
        <v>59</v>
      </c>
      <c r="R2315" s="2" t="s">
        <v>60</v>
      </c>
      <c r="S2315" s="2" t="s">
        <v>30</v>
      </c>
      <c r="T2315">
        <v>2887</v>
      </c>
      <c r="U2315">
        <f>VLOOKUP(Auto_Sales_data___Copy[[#This Row],[CUSTOMER_NAME]],$AF$2:$AH$90,2,FALSE)</f>
        <v>34</v>
      </c>
      <c r="V2315">
        <f>VLOOKUP(Auto_Sales_data___Copy[[#This Row],[CUSTOMER_NAME]],$AF$2:$AH$90,3,FALSE)</f>
        <v>120783.07</v>
      </c>
      <c r="W2315" s="2">
        <f>6-MATCH(Auto_Sales_data___Copy[[#This Row],[DAYS_SINCE_LAST_ORDER]],Table2[R-Cutoff],1)</f>
        <v>1</v>
      </c>
      <c r="X2315" s="2">
        <f>MATCH(Auto_Sales_data___Copy[[#This Row],[Total_Orders_Per_Customer]],Table2[F-Cutoff],1)</f>
        <v>4</v>
      </c>
      <c r="Y2315" s="2">
        <f>MATCH(Auto_Sales_data___Copy[[#This Row],[Total_Sales_Per_Customer]],Table2[M-Cutoff],1)</f>
        <v>4</v>
      </c>
      <c r="Z2315" s="2" t="str">
        <f>Auto_Sales_data___Copy[[#This Row],[R-Score(1-5)]]&amp;Auto_Sales_data___Copy[[#This Row],[F-Score(1-5)]]&amp;Auto_Sales_data___Copy[[#This Row],[M-Score(1-5)]]</f>
        <v>144</v>
      </c>
      <c r="AA2315" s="2" t="str" cm="1">
        <f t="array" ref="AA23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5" s="2" t="str">
        <f>VLOOKUP(Auto_Sales_data___Copy[[#This Row],[Segment Name]],Table3[],2,FALSE)</f>
        <v>Brand Awareness &amp; Value Proposition</v>
      </c>
    </row>
    <row r="2316" spans="1:28" x14ac:dyDescent="0.25">
      <c r="A2316">
        <v>10140</v>
      </c>
      <c r="B2316">
        <v>36</v>
      </c>
      <c r="C2316">
        <v>114.3</v>
      </c>
      <c r="D2316">
        <v>6</v>
      </c>
      <c r="E2316">
        <v>4114.8</v>
      </c>
      <c r="F2316" s="1">
        <v>43305</v>
      </c>
      <c r="G2316" s="2" t="s">
        <v>19</v>
      </c>
      <c r="H2316" s="2" t="s">
        <v>183</v>
      </c>
      <c r="I2316">
        <v>101</v>
      </c>
      <c r="J2316" s="2" t="s">
        <v>712</v>
      </c>
      <c r="K2316" s="2" t="s">
        <v>54</v>
      </c>
      <c r="L2316" s="2" t="s">
        <v>55</v>
      </c>
      <c r="M2316" s="2" t="s">
        <v>56</v>
      </c>
      <c r="N2316" s="2" t="s">
        <v>57</v>
      </c>
      <c r="O2316" s="2" t="s">
        <v>58</v>
      </c>
      <c r="P2316" s="2" t="s">
        <v>27</v>
      </c>
      <c r="Q2316" s="2" t="s">
        <v>59</v>
      </c>
      <c r="R2316" s="2" t="s">
        <v>60</v>
      </c>
      <c r="S2316" s="2" t="s">
        <v>46</v>
      </c>
      <c r="T2316">
        <v>3220</v>
      </c>
      <c r="U2316">
        <f>VLOOKUP(Auto_Sales_data___Copy[[#This Row],[CUSTOMER_NAME]],$AF$2:$AH$90,2,FALSE)</f>
        <v>34</v>
      </c>
      <c r="V2316">
        <f>VLOOKUP(Auto_Sales_data___Copy[[#This Row],[CUSTOMER_NAME]],$AF$2:$AH$90,3,FALSE)</f>
        <v>120783.07</v>
      </c>
      <c r="W2316" s="2">
        <f>6-MATCH(Auto_Sales_data___Copy[[#This Row],[DAYS_SINCE_LAST_ORDER]],Table2[R-Cutoff],1)</f>
        <v>1</v>
      </c>
      <c r="X2316" s="2">
        <f>MATCH(Auto_Sales_data___Copy[[#This Row],[Total_Orders_Per_Customer]],Table2[F-Cutoff],1)</f>
        <v>4</v>
      </c>
      <c r="Y2316" s="2">
        <f>MATCH(Auto_Sales_data___Copy[[#This Row],[Total_Sales_Per_Customer]],Table2[M-Cutoff],1)</f>
        <v>4</v>
      </c>
      <c r="Z2316" s="2" t="str">
        <f>Auto_Sales_data___Copy[[#This Row],[R-Score(1-5)]]&amp;Auto_Sales_data___Copy[[#This Row],[F-Score(1-5)]]&amp;Auto_Sales_data___Copy[[#This Row],[M-Score(1-5)]]</f>
        <v>144</v>
      </c>
      <c r="AA2316" s="2" t="str" cm="1">
        <f t="array" ref="AA23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6" s="2" t="str">
        <f>VLOOKUP(Auto_Sales_data___Copy[[#This Row],[Segment Name]],Table3[],2,FALSE)</f>
        <v>Brand Awareness &amp; Value Proposition</v>
      </c>
    </row>
    <row r="2317" spans="1:28" x14ac:dyDescent="0.25">
      <c r="A2317">
        <v>10141</v>
      </c>
      <c r="B2317">
        <v>40</v>
      </c>
      <c r="C2317">
        <v>94.62</v>
      </c>
      <c r="D2317">
        <v>1</v>
      </c>
      <c r="E2317">
        <v>3784.8</v>
      </c>
      <c r="F2317" s="1">
        <v>43313</v>
      </c>
      <c r="G2317" s="2" t="s">
        <v>19</v>
      </c>
      <c r="H2317" s="2" t="s">
        <v>183</v>
      </c>
      <c r="I2317">
        <v>118</v>
      </c>
      <c r="J2317" s="2" t="s">
        <v>690</v>
      </c>
      <c r="K2317" s="2" t="s">
        <v>498</v>
      </c>
      <c r="L2317" s="2" t="s">
        <v>499</v>
      </c>
      <c r="M2317" s="2" t="s">
        <v>500</v>
      </c>
      <c r="N2317" s="2" t="s">
        <v>501</v>
      </c>
      <c r="O2317" s="2" t="s">
        <v>502</v>
      </c>
      <c r="P2317" s="2" t="s">
        <v>127</v>
      </c>
      <c r="Q2317" s="2" t="s">
        <v>503</v>
      </c>
      <c r="R2317" s="2" t="s">
        <v>504</v>
      </c>
      <c r="S2317" s="2" t="s">
        <v>46</v>
      </c>
      <c r="T2317">
        <v>2653</v>
      </c>
      <c r="U2317">
        <f>VLOOKUP(Auto_Sales_data___Copy[[#This Row],[CUSTOMER_NAME]],$AF$2:$AH$90,2,FALSE)</f>
        <v>30</v>
      </c>
      <c r="V2317">
        <f>VLOOKUP(Auto_Sales_data___Copy[[#This Row],[CUSTOMER_NAME]],$AF$2:$AH$90,3,FALSE)</f>
        <v>113961.14999999997</v>
      </c>
      <c r="W2317" s="2">
        <f>6-MATCH(Auto_Sales_data___Copy[[#This Row],[DAYS_SINCE_LAST_ORDER]],Table2[R-Cutoff],1)</f>
        <v>1</v>
      </c>
      <c r="X2317" s="2">
        <f>MATCH(Auto_Sales_data___Copy[[#This Row],[Total_Orders_Per_Customer]],Table2[F-Cutoff],1)</f>
        <v>4</v>
      </c>
      <c r="Y2317" s="2">
        <f>MATCH(Auto_Sales_data___Copy[[#This Row],[Total_Sales_Per_Customer]],Table2[M-Cutoff],1)</f>
        <v>4</v>
      </c>
      <c r="Z2317" s="2" t="str">
        <f>Auto_Sales_data___Copy[[#This Row],[R-Score(1-5)]]&amp;Auto_Sales_data___Copy[[#This Row],[F-Score(1-5)]]&amp;Auto_Sales_data___Copy[[#This Row],[M-Score(1-5)]]</f>
        <v>144</v>
      </c>
      <c r="AA2317" s="2" t="str" cm="1">
        <f t="array" ref="AA23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7" s="2" t="str">
        <f>VLOOKUP(Auto_Sales_data___Copy[[#This Row],[Segment Name]],Table3[],2,FALSE)</f>
        <v>Brand Awareness &amp; Value Proposition</v>
      </c>
    </row>
    <row r="2318" spans="1:28" x14ac:dyDescent="0.25">
      <c r="A2318">
        <v>10141</v>
      </c>
      <c r="B2318">
        <v>24</v>
      </c>
      <c r="C2318">
        <v>45.99</v>
      </c>
      <c r="D2318">
        <v>7</v>
      </c>
      <c r="E2318">
        <v>1103.76</v>
      </c>
      <c r="F2318" s="1">
        <v>43313</v>
      </c>
      <c r="G2318" s="2" t="s">
        <v>19</v>
      </c>
      <c r="H2318" s="2" t="s">
        <v>537</v>
      </c>
      <c r="I2318">
        <v>54</v>
      </c>
      <c r="J2318" s="2" t="s">
        <v>697</v>
      </c>
      <c r="K2318" s="2" t="s">
        <v>498</v>
      </c>
      <c r="L2318" s="2" t="s">
        <v>499</v>
      </c>
      <c r="M2318" s="2" t="s">
        <v>500</v>
      </c>
      <c r="N2318" s="2" t="s">
        <v>501</v>
      </c>
      <c r="O2318" s="2" t="s">
        <v>502</v>
      </c>
      <c r="P2318" s="2" t="s">
        <v>127</v>
      </c>
      <c r="Q2318" s="2" t="s">
        <v>503</v>
      </c>
      <c r="R2318" s="2" t="s">
        <v>504</v>
      </c>
      <c r="S2318" s="2" t="s">
        <v>30</v>
      </c>
      <c r="T2318">
        <v>2825</v>
      </c>
      <c r="U2318">
        <f>VLOOKUP(Auto_Sales_data___Copy[[#This Row],[CUSTOMER_NAME]],$AF$2:$AH$90,2,FALSE)</f>
        <v>30</v>
      </c>
      <c r="V2318">
        <f>VLOOKUP(Auto_Sales_data___Copy[[#This Row],[CUSTOMER_NAME]],$AF$2:$AH$90,3,FALSE)</f>
        <v>113961.14999999997</v>
      </c>
      <c r="W2318" s="2">
        <f>6-MATCH(Auto_Sales_data___Copy[[#This Row],[DAYS_SINCE_LAST_ORDER]],Table2[R-Cutoff],1)</f>
        <v>1</v>
      </c>
      <c r="X2318" s="2">
        <f>MATCH(Auto_Sales_data___Copy[[#This Row],[Total_Orders_Per_Customer]],Table2[F-Cutoff],1)</f>
        <v>4</v>
      </c>
      <c r="Y2318" s="2">
        <f>MATCH(Auto_Sales_data___Copy[[#This Row],[Total_Sales_Per_Customer]],Table2[M-Cutoff],1)</f>
        <v>4</v>
      </c>
      <c r="Z2318" s="2" t="str">
        <f>Auto_Sales_data___Copy[[#This Row],[R-Score(1-5)]]&amp;Auto_Sales_data___Copy[[#This Row],[F-Score(1-5)]]&amp;Auto_Sales_data___Copy[[#This Row],[M-Score(1-5)]]</f>
        <v>144</v>
      </c>
      <c r="AA2318" s="2" t="str" cm="1">
        <f t="array" ref="AA23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8" s="2" t="str">
        <f>VLOOKUP(Auto_Sales_data___Copy[[#This Row],[Segment Name]],Table3[],2,FALSE)</f>
        <v>Brand Awareness &amp; Value Proposition</v>
      </c>
    </row>
    <row r="2319" spans="1:28" x14ac:dyDescent="0.25">
      <c r="A2319">
        <v>10141</v>
      </c>
      <c r="B2319">
        <v>44</v>
      </c>
      <c r="C2319">
        <v>125.01</v>
      </c>
      <c r="D2319">
        <v>3</v>
      </c>
      <c r="E2319">
        <v>5500.44</v>
      </c>
      <c r="F2319" s="1">
        <v>43313</v>
      </c>
      <c r="G2319" s="2" t="s">
        <v>19</v>
      </c>
      <c r="H2319" s="2" t="s">
        <v>537</v>
      </c>
      <c r="I2319">
        <v>115</v>
      </c>
      <c r="J2319" s="2" t="s">
        <v>703</v>
      </c>
      <c r="K2319" s="2" t="s">
        <v>498</v>
      </c>
      <c r="L2319" s="2" t="s">
        <v>499</v>
      </c>
      <c r="M2319" s="2" t="s">
        <v>500</v>
      </c>
      <c r="N2319" s="2" t="s">
        <v>501</v>
      </c>
      <c r="O2319" s="2" t="s">
        <v>502</v>
      </c>
      <c r="P2319" s="2" t="s">
        <v>127</v>
      </c>
      <c r="Q2319" s="2" t="s">
        <v>503</v>
      </c>
      <c r="R2319" s="2" t="s">
        <v>504</v>
      </c>
      <c r="S2319" s="2" t="s">
        <v>46</v>
      </c>
      <c r="T2319">
        <v>2979</v>
      </c>
      <c r="U2319">
        <f>VLOOKUP(Auto_Sales_data___Copy[[#This Row],[CUSTOMER_NAME]],$AF$2:$AH$90,2,FALSE)</f>
        <v>30</v>
      </c>
      <c r="V2319">
        <f>VLOOKUP(Auto_Sales_data___Copy[[#This Row],[CUSTOMER_NAME]],$AF$2:$AH$90,3,FALSE)</f>
        <v>113961.14999999997</v>
      </c>
      <c r="W2319" s="2">
        <f>6-MATCH(Auto_Sales_data___Copy[[#This Row],[DAYS_SINCE_LAST_ORDER]],Table2[R-Cutoff],1)</f>
        <v>1</v>
      </c>
      <c r="X2319" s="2">
        <f>MATCH(Auto_Sales_data___Copy[[#This Row],[Total_Orders_Per_Customer]],Table2[F-Cutoff],1)</f>
        <v>4</v>
      </c>
      <c r="Y2319" s="2">
        <f>MATCH(Auto_Sales_data___Copy[[#This Row],[Total_Sales_Per_Customer]],Table2[M-Cutoff],1)</f>
        <v>4</v>
      </c>
      <c r="Z2319" s="2" t="str">
        <f>Auto_Sales_data___Copy[[#This Row],[R-Score(1-5)]]&amp;Auto_Sales_data___Copy[[#This Row],[F-Score(1-5)]]&amp;Auto_Sales_data___Copy[[#This Row],[M-Score(1-5)]]</f>
        <v>144</v>
      </c>
      <c r="AA2319" s="2" t="str" cm="1">
        <f t="array" ref="AA23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9" s="2" t="str">
        <f>VLOOKUP(Auto_Sales_data___Copy[[#This Row],[Segment Name]],Table3[],2,FALSE)</f>
        <v>Brand Awareness &amp; Value Proposition</v>
      </c>
    </row>
    <row r="2320" spans="1:28" x14ac:dyDescent="0.25">
      <c r="A2320">
        <v>10142</v>
      </c>
      <c r="B2320">
        <v>42</v>
      </c>
      <c r="C2320">
        <v>74.569999999999993</v>
      </c>
      <c r="D2320">
        <v>16</v>
      </c>
      <c r="E2320">
        <v>3131.94</v>
      </c>
      <c r="F2320" s="1">
        <v>43320</v>
      </c>
      <c r="G2320" s="2" t="s">
        <v>19</v>
      </c>
      <c r="H2320" s="2" t="s">
        <v>650</v>
      </c>
      <c r="I2320">
        <v>62</v>
      </c>
      <c r="J2320" s="2" t="s">
        <v>698</v>
      </c>
      <c r="K2320" s="2" t="s">
        <v>284</v>
      </c>
      <c r="L2320" s="2" t="s">
        <v>285</v>
      </c>
      <c r="M2320" s="2" t="s">
        <v>286</v>
      </c>
      <c r="N2320" s="2" t="s">
        <v>287</v>
      </c>
      <c r="O2320" s="2" t="s">
        <v>106</v>
      </c>
      <c r="P2320" s="2" t="s">
        <v>27</v>
      </c>
      <c r="Q2320" s="2" t="s">
        <v>288</v>
      </c>
      <c r="R2320" s="2" t="s">
        <v>289</v>
      </c>
      <c r="S2320" s="2" t="s">
        <v>46</v>
      </c>
      <c r="T2320">
        <v>2846</v>
      </c>
      <c r="U2320">
        <f>VLOOKUP(Auto_Sales_data___Copy[[#This Row],[CUSTOMER_NAME]],$AF$2:$AH$90,2,FALSE)</f>
        <v>180</v>
      </c>
      <c r="V2320">
        <f>VLOOKUP(Auto_Sales_data___Copy[[#This Row],[CUSTOMER_NAME]],$AF$2:$AH$90,3,FALSE)</f>
        <v>654858.06000000017</v>
      </c>
      <c r="W2320" s="2">
        <f>6-MATCH(Auto_Sales_data___Copy[[#This Row],[DAYS_SINCE_LAST_ORDER]],Table2[R-Cutoff],1)</f>
        <v>1</v>
      </c>
      <c r="X2320" s="2">
        <f>MATCH(Auto_Sales_data___Copy[[#This Row],[Total_Orders_Per_Customer]],Table2[F-Cutoff],1)</f>
        <v>4</v>
      </c>
      <c r="Y2320" s="2">
        <f>MATCH(Auto_Sales_data___Copy[[#This Row],[Total_Sales_Per_Customer]],Table2[M-Cutoff],1)</f>
        <v>4</v>
      </c>
      <c r="Z2320" s="2" t="str">
        <f>Auto_Sales_data___Copy[[#This Row],[R-Score(1-5)]]&amp;Auto_Sales_data___Copy[[#This Row],[F-Score(1-5)]]&amp;Auto_Sales_data___Copy[[#This Row],[M-Score(1-5)]]</f>
        <v>144</v>
      </c>
      <c r="AA2320" s="2" t="str" cm="1">
        <f t="array" ref="AA23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0" s="2" t="str">
        <f>VLOOKUP(Auto_Sales_data___Copy[[#This Row],[Segment Name]],Table3[],2,FALSE)</f>
        <v>Brand Awareness &amp; Value Proposition</v>
      </c>
    </row>
    <row r="2321" spans="1:28" x14ac:dyDescent="0.25">
      <c r="A2321">
        <v>10142</v>
      </c>
      <c r="B2321">
        <v>42</v>
      </c>
      <c r="C2321">
        <v>49.79</v>
      </c>
      <c r="D2321">
        <v>14</v>
      </c>
      <c r="E2321">
        <v>2091.1799999999998</v>
      </c>
      <c r="F2321" s="1">
        <v>43320</v>
      </c>
      <c r="G2321" s="2" t="s">
        <v>19</v>
      </c>
      <c r="H2321" s="2" t="s">
        <v>650</v>
      </c>
      <c r="I2321">
        <v>58</v>
      </c>
      <c r="J2321" s="2" t="s">
        <v>704</v>
      </c>
      <c r="K2321" s="2" t="s">
        <v>284</v>
      </c>
      <c r="L2321" s="2" t="s">
        <v>285</v>
      </c>
      <c r="M2321" s="2" t="s">
        <v>286</v>
      </c>
      <c r="N2321" s="2" t="s">
        <v>287</v>
      </c>
      <c r="O2321" s="2" t="s">
        <v>106</v>
      </c>
      <c r="P2321" s="2" t="s">
        <v>27</v>
      </c>
      <c r="Q2321" s="2" t="s">
        <v>288</v>
      </c>
      <c r="R2321" s="2" t="s">
        <v>289</v>
      </c>
      <c r="S2321" s="2" t="s">
        <v>30</v>
      </c>
      <c r="T2321">
        <v>3000</v>
      </c>
      <c r="U2321">
        <f>VLOOKUP(Auto_Sales_data___Copy[[#This Row],[CUSTOMER_NAME]],$AF$2:$AH$90,2,FALSE)</f>
        <v>180</v>
      </c>
      <c r="V2321">
        <f>VLOOKUP(Auto_Sales_data___Copy[[#This Row],[CUSTOMER_NAME]],$AF$2:$AH$90,3,FALSE)</f>
        <v>654858.06000000017</v>
      </c>
      <c r="W2321" s="2">
        <f>6-MATCH(Auto_Sales_data___Copy[[#This Row],[DAYS_SINCE_LAST_ORDER]],Table2[R-Cutoff],1)</f>
        <v>1</v>
      </c>
      <c r="X2321" s="2">
        <f>MATCH(Auto_Sales_data___Copy[[#This Row],[Total_Orders_Per_Customer]],Table2[F-Cutoff],1)</f>
        <v>4</v>
      </c>
      <c r="Y2321" s="2">
        <f>MATCH(Auto_Sales_data___Copy[[#This Row],[Total_Sales_Per_Customer]],Table2[M-Cutoff],1)</f>
        <v>4</v>
      </c>
      <c r="Z2321" s="2" t="str">
        <f>Auto_Sales_data___Copy[[#This Row],[R-Score(1-5)]]&amp;Auto_Sales_data___Copy[[#This Row],[F-Score(1-5)]]&amp;Auto_Sales_data___Copy[[#This Row],[M-Score(1-5)]]</f>
        <v>144</v>
      </c>
      <c r="AA2321" s="2" t="str" cm="1">
        <f t="array" ref="AA23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1" s="2" t="str">
        <f>VLOOKUP(Auto_Sales_data___Copy[[#This Row],[Segment Name]],Table3[],2,FALSE)</f>
        <v>Brand Awareness &amp; Value Proposition</v>
      </c>
    </row>
    <row r="2322" spans="1:28" x14ac:dyDescent="0.25">
      <c r="A2322">
        <v>10142</v>
      </c>
      <c r="B2322">
        <v>41</v>
      </c>
      <c r="C2322">
        <v>64</v>
      </c>
      <c r="D2322">
        <v>2</v>
      </c>
      <c r="E2322">
        <v>2624</v>
      </c>
      <c r="F2322" s="1">
        <v>43320</v>
      </c>
      <c r="G2322" s="2" t="s">
        <v>19</v>
      </c>
      <c r="H2322" s="2" t="s">
        <v>642</v>
      </c>
      <c r="I2322">
        <v>66</v>
      </c>
      <c r="J2322" s="2" t="s">
        <v>706</v>
      </c>
      <c r="K2322" s="2" t="s">
        <v>284</v>
      </c>
      <c r="L2322" s="2" t="s">
        <v>285</v>
      </c>
      <c r="M2322" s="2" t="s">
        <v>286</v>
      </c>
      <c r="N2322" s="2" t="s">
        <v>287</v>
      </c>
      <c r="O2322" s="2" t="s">
        <v>106</v>
      </c>
      <c r="P2322" s="2" t="s">
        <v>27</v>
      </c>
      <c r="Q2322" s="2" t="s">
        <v>288</v>
      </c>
      <c r="R2322" s="2" t="s">
        <v>289</v>
      </c>
      <c r="S2322" s="2" t="s">
        <v>30</v>
      </c>
      <c r="T2322">
        <v>3050</v>
      </c>
      <c r="U2322">
        <f>VLOOKUP(Auto_Sales_data___Copy[[#This Row],[CUSTOMER_NAME]],$AF$2:$AH$90,2,FALSE)</f>
        <v>180</v>
      </c>
      <c r="V2322">
        <f>VLOOKUP(Auto_Sales_data___Copy[[#This Row],[CUSTOMER_NAME]],$AF$2:$AH$90,3,FALSE)</f>
        <v>654858.06000000017</v>
      </c>
      <c r="W2322" s="2">
        <f>6-MATCH(Auto_Sales_data___Copy[[#This Row],[DAYS_SINCE_LAST_ORDER]],Table2[R-Cutoff],1)</f>
        <v>1</v>
      </c>
      <c r="X2322" s="2">
        <f>MATCH(Auto_Sales_data___Copy[[#This Row],[Total_Orders_Per_Customer]],Table2[F-Cutoff],1)</f>
        <v>4</v>
      </c>
      <c r="Y2322" s="2">
        <f>MATCH(Auto_Sales_data___Copy[[#This Row],[Total_Sales_Per_Customer]],Table2[M-Cutoff],1)</f>
        <v>4</v>
      </c>
      <c r="Z2322" s="2" t="str">
        <f>Auto_Sales_data___Copy[[#This Row],[R-Score(1-5)]]&amp;Auto_Sales_data___Copy[[#This Row],[F-Score(1-5)]]&amp;Auto_Sales_data___Copy[[#This Row],[M-Score(1-5)]]</f>
        <v>144</v>
      </c>
      <c r="AA2322" s="2" t="str" cm="1">
        <f t="array" ref="AA23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2" s="2" t="str">
        <f>VLOOKUP(Auto_Sales_data___Copy[[#This Row],[Segment Name]],Table3[],2,FALSE)</f>
        <v>Brand Awareness &amp; Value Proposition</v>
      </c>
    </row>
    <row r="2323" spans="1:28" x14ac:dyDescent="0.25">
      <c r="A2323">
        <v>10142</v>
      </c>
      <c r="B2323">
        <v>43</v>
      </c>
      <c r="C2323">
        <v>84.01</v>
      </c>
      <c r="D2323">
        <v>9</v>
      </c>
      <c r="E2323">
        <v>3612.43</v>
      </c>
      <c r="F2323" s="1">
        <v>43320</v>
      </c>
      <c r="G2323" s="2" t="s">
        <v>19</v>
      </c>
      <c r="H2323" s="2" t="s">
        <v>642</v>
      </c>
      <c r="I2323">
        <v>86</v>
      </c>
      <c r="J2323" s="2" t="s">
        <v>708</v>
      </c>
      <c r="K2323" s="2" t="s">
        <v>284</v>
      </c>
      <c r="L2323" s="2" t="s">
        <v>285</v>
      </c>
      <c r="M2323" s="2" t="s">
        <v>286</v>
      </c>
      <c r="N2323" s="2" t="s">
        <v>287</v>
      </c>
      <c r="O2323" s="2" t="s">
        <v>106</v>
      </c>
      <c r="P2323" s="2" t="s">
        <v>27</v>
      </c>
      <c r="Q2323" s="2" t="s">
        <v>288</v>
      </c>
      <c r="R2323" s="2" t="s">
        <v>289</v>
      </c>
      <c r="S2323" s="2" t="s">
        <v>46</v>
      </c>
      <c r="T2323">
        <v>3102</v>
      </c>
      <c r="U2323">
        <f>VLOOKUP(Auto_Sales_data___Copy[[#This Row],[CUSTOMER_NAME]],$AF$2:$AH$90,2,FALSE)</f>
        <v>180</v>
      </c>
      <c r="V2323">
        <f>VLOOKUP(Auto_Sales_data___Copy[[#This Row],[CUSTOMER_NAME]],$AF$2:$AH$90,3,FALSE)</f>
        <v>654858.06000000017</v>
      </c>
      <c r="W2323" s="2">
        <f>6-MATCH(Auto_Sales_data___Copy[[#This Row],[DAYS_SINCE_LAST_ORDER]],Table2[R-Cutoff],1)</f>
        <v>1</v>
      </c>
      <c r="X2323" s="2">
        <f>MATCH(Auto_Sales_data___Copy[[#This Row],[Total_Orders_Per_Customer]],Table2[F-Cutoff],1)</f>
        <v>4</v>
      </c>
      <c r="Y2323" s="2">
        <f>MATCH(Auto_Sales_data___Copy[[#This Row],[Total_Sales_Per_Customer]],Table2[M-Cutoff],1)</f>
        <v>4</v>
      </c>
      <c r="Z2323" s="2" t="str">
        <f>Auto_Sales_data___Copy[[#This Row],[R-Score(1-5)]]&amp;Auto_Sales_data___Copy[[#This Row],[F-Score(1-5)]]&amp;Auto_Sales_data___Copy[[#This Row],[M-Score(1-5)]]</f>
        <v>144</v>
      </c>
      <c r="AA2323" s="2" t="str" cm="1">
        <f t="array" ref="AA23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3" s="2" t="str">
        <f>VLOOKUP(Auto_Sales_data___Copy[[#This Row],[Segment Name]],Table3[],2,FALSE)</f>
        <v>Brand Awareness &amp; Value Proposition</v>
      </c>
    </row>
    <row r="2324" spans="1:28" x14ac:dyDescent="0.25">
      <c r="A2324">
        <v>10142</v>
      </c>
      <c r="B2324">
        <v>21</v>
      </c>
      <c r="C2324">
        <v>111.19</v>
      </c>
      <c r="D2324">
        <v>3</v>
      </c>
      <c r="E2324">
        <v>2334.9899999999998</v>
      </c>
      <c r="F2324" s="1">
        <v>43320</v>
      </c>
      <c r="G2324" s="2" t="s">
        <v>19</v>
      </c>
      <c r="H2324" s="2" t="s">
        <v>642</v>
      </c>
      <c r="I2324">
        <v>100</v>
      </c>
      <c r="J2324" s="2" t="s">
        <v>715</v>
      </c>
      <c r="K2324" s="2" t="s">
        <v>284</v>
      </c>
      <c r="L2324" s="2" t="s">
        <v>285</v>
      </c>
      <c r="M2324" s="2" t="s">
        <v>286</v>
      </c>
      <c r="N2324" s="2" t="s">
        <v>287</v>
      </c>
      <c r="O2324" s="2" t="s">
        <v>106</v>
      </c>
      <c r="P2324" s="2" t="s">
        <v>27</v>
      </c>
      <c r="Q2324" s="2" t="s">
        <v>288</v>
      </c>
      <c r="R2324" s="2" t="s">
        <v>289</v>
      </c>
      <c r="S2324" s="2" t="s">
        <v>30</v>
      </c>
      <c r="T2324">
        <v>3282</v>
      </c>
      <c r="U2324">
        <f>VLOOKUP(Auto_Sales_data___Copy[[#This Row],[CUSTOMER_NAME]],$AF$2:$AH$90,2,FALSE)</f>
        <v>180</v>
      </c>
      <c r="V2324">
        <f>VLOOKUP(Auto_Sales_data___Copy[[#This Row],[CUSTOMER_NAME]],$AF$2:$AH$90,3,FALSE)</f>
        <v>654858.06000000017</v>
      </c>
      <c r="W2324" s="2">
        <f>6-MATCH(Auto_Sales_data___Copy[[#This Row],[DAYS_SINCE_LAST_ORDER]],Table2[R-Cutoff],1)</f>
        <v>1</v>
      </c>
      <c r="X2324" s="2">
        <f>MATCH(Auto_Sales_data___Copy[[#This Row],[Total_Orders_Per_Customer]],Table2[F-Cutoff],1)</f>
        <v>4</v>
      </c>
      <c r="Y2324" s="2">
        <f>MATCH(Auto_Sales_data___Copy[[#This Row],[Total_Sales_Per_Customer]],Table2[M-Cutoff],1)</f>
        <v>4</v>
      </c>
      <c r="Z2324" s="2" t="str">
        <f>Auto_Sales_data___Copy[[#This Row],[R-Score(1-5)]]&amp;Auto_Sales_data___Copy[[#This Row],[F-Score(1-5)]]&amp;Auto_Sales_data___Copy[[#This Row],[M-Score(1-5)]]</f>
        <v>144</v>
      </c>
      <c r="AA2324" s="2" t="str" cm="1">
        <f t="array" ref="AA23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4" s="2" t="str">
        <f>VLOOKUP(Auto_Sales_data___Copy[[#This Row],[Segment Name]],Table3[],2,FALSE)</f>
        <v>Brand Awareness &amp; Value Proposition</v>
      </c>
    </row>
    <row r="2325" spans="1:28" x14ac:dyDescent="0.25">
      <c r="A2325">
        <v>10142</v>
      </c>
      <c r="B2325">
        <v>38</v>
      </c>
      <c r="C2325">
        <v>85.41</v>
      </c>
      <c r="D2325">
        <v>4</v>
      </c>
      <c r="E2325">
        <v>3245.58</v>
      </c>
      <c r="F2325" s="1">
        <v>43320</v>
      </c>
      <c r="G2325" s="2" t="s">
        <v>19</v>
      </c>
      <c r="H2325" s="2" t="s">
        <v>642</v>
      </c>
      <c r="I2325">
        <v>99</v>
      </c>
      <c r="J2325" s="2" t="s">
        <v>716</v>
      </c>
      <c r="K2325" s="2" t="s">
        <v>284</v>
      </c>
      <c r="L2325" s="2" t="s">
        <v>285</v>
      </c>
      <c r="M2325" s="2" t="s">
        <v>286</v>
      </c>
      <c r="N2325" s="2" t="s">
        <v>287</v>
      </c>
      <c r="O2325" s="2" t="s">
        <v>106</v>
      </c>
      <c r="P2325" s="2" t="s">
        <v>27</v>
      </c>
      <c r="Q2325" s="2" t="s">
        <v>288</v>
      </c>
      <c r="R2325" s="2" t="s">
        <v>289</v>
      </c>
      <c r="S2325" s="2" t="s">
        <v>46</v>
      </c>
      <c r="T2325">
        <v>3308</v>
      </c>
      <c r="U2325">
        <f>VLOOKUP(Auto_Sales_data___Copy[[#This Row],[CUSTOMER_NAME]],$AF$2:$AH$90,2,FALSE)</f>
        <v>180</v>
      </c>
      <c r="V2325">
        <f>VLOOKUP(Auto_Sales_data___Copy[[#This Row],[CUSTOMER_NAME]],$AF$2:$AH$90,3,FALSE)</f>
        <v>654858.06000000017</v>
      </c>
      <c r="W2325" s="2">
        <f>6-MATCH(Auto_Sales_data___Copy[[#This Row],[DAYS_SINCE_LAST_ORDER]],Table2[R-Cutoff],1)</f>
        <v>1</v>
      </c>
      <c r="X2325" s="2">
        <f>MATCH(Auto_Sales_data___Copy[[#This Row],[Total_Orders_Per_Customer]],Table2[F-Cutoff],1)</f>
        <v>4</v>
      </c>
      <c r="Y2325" s="2">
        <f>MATCH(Auto_Sales_data___Copy[[#This Row],[Total_Sales_Per_Customer]],Table2[M-Cutoff],1)</f>
        <v>4</v>
      </c>
      <c r="Z2325" s="2" t="str">
        <f>Auto_Sales_data___Copy[[#This Row],[R-Score(1-5)]]&amp;Auto_Sales_data___Copy[[#This Row],[F-Score(1-5)]]&amp;Auto_Sales_data___Copy[[#This Row],[M-Score(1-5)]]</f>
        <v>144</v>
      </c>
      <c r="AA2325" s="2" t="str" cm="1">
        <f t="array" ref="AA23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5" s="2" t="str">
        <f>VLOOKUP(Auto_Sales_data___Copy[[#This Row],[Segment Name]],Table3[],2,FALSE)</f>
        <v>Brand Awareness &amp; Value Proposition</v>
      </c>
    </row>
    <row r="2326" spans="1:28" x14ac:dyDescent="0.25">
      <c r="A2326">
        <v>10142</v>
      </c>
      <c r="B2326">
        <v>39</v>
      </c>
      <c r="C2326">
        <v>44.23</v>
      </c>
      <c r="D2326">
        <v>5</v>
      </c>
      <c r="E2326">
        <v>1724.97</v>
      </c>
      <c r="F2326" s="1">
        <v>43320</v>
      </c>
      <c r="G2326" s="2" t="s">
        <v>19</v>
      </c>
      <c r="H2326" s="2" t="s">
        <v>642</v>
      </c>
      <c r="I2326">
        <v>54</v>
      </c>
      <c r="J2326" s="2" t="s">
        <v>719</v>
      </c>
      <c r="K2326" s="2" t="s">
        <v>284</v>
      </c>
      <c r="L2326" s="2" t="s">
        <v>285</v>
      </c>
      <c r="M2326" s="2" t="s">
        <v>286</v>
      </c>
      <c r="N2326" s="2" t="s">
        <v>287</v>
      </c>
      <c r="O2326" s="2" t="s">
        <v>106</v>
      </c>
      <c r="P2326" s="2" t="s">
        <v>27</v>
      </c>
      <c r="Q2326" s="2" t="s">
        <v>288</v>
      </c>
      <c r="R2326" s="2" t="s">
        <v>289</v>
      </c>
      <c r="S2326" s="2" t="s">
        <v>30</v>
      </c>
      <c r="T2326">
        <v>3387</v>
      </c>
      <c r="U2326">
        <f>VLOOKUP(Auto_Sales_data___Copy[[#This Row],[CUSTOMER_NAME]],$AF$2:$AH$90,2,FALSE)</f>
        <v>180</v>
      </c>
      <c r="V2326">
        <f>VLOOKUP(Auto_Sales_data___Copy[[#This Row],[CUSTOMER_NAME]],$AF$2:$AH$90,3,FALSE)</f>
        <v>654858.06000000017</v>
      </c>
      <c r="W2326" s="2">
        <f>6-MATCH(Auto_Sales_data___Copy[[#This Row],[DAYS_SINCE_LAST_ORDER]],Table2[R-Cutoff],1)</f>
        <v>1</v>
      </c>
      <c r="X2326" s="2">
        <f>MATCH(Auto_Sales_data___Copy[[#This Row],[Total_Orders_Per_Customer]],Table2[F-Cutoff],1)</f>
        <v>4</v>
      </c>
      <c r="Y2326" s="2">
        <f>MATCH(Auto_Sales_data___Copy[[#This Row],[Total_Sales_Per_Customer]],Table2[M-Cutoff],1)</f>
        <v>4</v>
      </c>
      <c r="Z2326" s="2" t="str">
        <f>Auto_Sales_data___Copy[[#This Row],[R-Score(1-5)]]&amp;Auto_Sales_data___Copy[[#This Row],[F-Score(1-5)]]&amp;Auto_Sales_data___Copy[[#This Row],[M-Score(1-5)]]</f>
        <v>144</v>
      </c>
      <c r="AA2326" s="2" t="str" cm="1">
        <f t="array" ref="AA23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6" s="2" t="str">
        <f>VLOOKUP(Auto_Sales_data___Copy[[#This Row],[Segment Name]],Table3[],2,FALSE)</f>
        <v>Brand Awareness &amp; Value Proposition</v>
      </c>
    </row>
    <row r="2327" spans="1:28" x14ac:dyDescent="0.25">
      <c r="A2327">
        <v>10143</v>
      </c>
      <c r="B2327">
        <v>28</v>
      </c>
      <c r="C2327">
        <v>66.19</v>
      </c>
      <c r="D2327">
        <v>6</v>
      </c>
      <c r="E2327">
        <v>1853.32</v>
      </c>
      <c r="F2327" s="1">
        <v>43322</v>
      </c>
      <c r="G2327" s="2" t="s">
        <v>19</v>
      </c>
      <c r="H2327" s="2" t="s">
        <v>607</v>
      </c>
      <c r="I2327">
        <v>68</v>
      </c>
      <c r="J2327" s="2" t="s">
        <v>688</v>
      </c>
      <c r="K2327" s="2" t="s">
        <v>353</v>
      </c>
      <c r="L2327" s="2" t="s">
        <v>354</v>
      </c>
      <c r="M2327" s="2" t="s">
        <v>355</v>
      </c>
      <c r="N2327" s="2" t="s">
        <v>162</v>
      </c>
      <c r="O2327" s="2" t="s">
        <v>163</v>
      </c>
      <c r="P2327" s="2" t="s">
        <v>27</v>
      </c>
      <c r="Q2327" s="2" t="s">
        <v>356</v>
      </c>
      <c r="R2327" s="2" t="s">
        <v>357</v>
      </c>
      <c r="S2327" s="2" t="s">
        <v>30</v>
      </c>
      <c r="T2327">
        <v>2596</v>
      </c>
      <c r="U2327">
        <f>VLOOKUP(Auto_Sales_data___Copy[[#This Row],[CUSTOMER_NAME]],$AF$2:$AH$90,2,FALSE)</f>
        <v>35</v>
      </c>
      <c r="V2327">
        <f>VLOOKUP(Auto_Sales_data___Copy[[#This Row],[CUSTOMER_NAME]],$AF$2:$AH$90,3,FALSE)</f>
        <v>108951.12999999998</v>
      </c>
      <c r="W2327" s="2">
        <f>6-MATCH(Auto_Sales_data___Copy[[#This Row],[DAYS_SINCE_LAST_ORDER]],Table2[R-Cutoff],1)</f>
        <v>1</v>
      </c>
      <c r="X2327" s="2">
        <f>MATCH(Auto_Sales_data___Copy[[#This Row],[Total_Orders_Per_Customer]],Table2[F-Cutoff],1)</f>
        <v>4</v>
      </c>
      <c r="Y2327" s="2">
        <f>MATCH(Auto_Sales_data___Copy[[#This Row],[Total_Sales_Per_Customer]],Table2[M-Cutoff],1)</f>
        <v>4</v>
      </c>
      <c r="Z2327" s="2" t="str">
        <f>Auto_Sales_data___Copy[[#This Row],[R-Score(1-5)]]&amp;Auto_Sales_data___Copy[[#This Row],[F-Score(1-5)]]&amp;Auto_Sales_data___Copy[[#This Row],[M-Score(1-5)]]</f>
        <v>144</v>
      </c>
      <c r="AA2327" s="2" t="str" cm="1">
        <f t="array" ref="AA23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7" s="2" t="str">
        <f>VLOOKUP(Auto_Sales_data___Copy[[#This Row],[Segment Name]],Table3[],2,FALSE)</f>
        <v>Brand Awareness &amp; Value Proposition</v>
      </c>
    </row>
    <row r="2328" spans="1:28" x14ac:dyDescent="0.25">
      <c r="A2328">
        <v>10143</v>
      </c>
      <c r="B2328">
        <v>34</v>
      </c>
      <c r="C2328">
        <v>36.659999999999997</v>
      </c>
      <c r="D2328">
        <v>1</v>
      </c>
      <c r="E2328">
        <v>1246.44</v>
      </c>
      <c r="F2328" s="1">
        <v>43322</v>
      </c>
      <c r="G2328" s="2" t="s">
        <v>19</v>
      </c>
      <c r="H2328" s="2" t="s">
        <v>589</v>
      </c>
      <c r="I2328">
        <v>43</v>
      </c>
      <c r="J2328" s="2" t="s">
        <v>702</v>
      </c>
      <c r="K2328" s="2" t="s">
        <v>353</v>
      </c>
      <c r="L2328" s="2" t="s">
        <v>354</v>
      </c>
      <c r="M2328" s="2" t="s">
        <v>355</v>
      </c>
      <c r="N2328" s="2" t="s">
        <v>162</v>
      </c>
      <c r="O2328" s="2" t="s">
        <v>163</v>
      </c>
      <c r="P2328" s="2" t="s">
        <v>27</v>
      </c>
      <c r="Q2328" s="2" t="s">
        <v>356</v>
      </c>
      <c r="R2328" s="2" t="s">
        <v>357</v>
      </c>
      <c r="S2328" s="2" t="s">
        <v>30</v>
      </c>
      <c r="T2328">
        <v>2944</v>
      </c>
      <c r="U2328">
        <f>VLOOKUP(Auto_Sales_data___Copy[[#This Row],[CUSTOMER_NAME]],$AF$2:$AH$90,2,FALSE)</f>
        <v>35</v>
      </c>
      <c r="V2328">
        <f>VLOOKUP(Auto_Sales_data___Copy[[#This Row],[CUSTOMER_NAME]],$AF$2:$AH$90,3,FALSE)</f>
        <v>108951.12999999998</v>
      </c>
      <c r="W2328" s="2">
        <f>6-MATCH(Auto_Sales_data___Copy[[#This Row],[DAYS_SINCE_LAST_ORDER]],Table2[R-Cutoff],1)</f>
        <v>1</v>
      </c>
      <c r="X2328" s="2">
        <f>MATCH(Auto_Sales_data___Copy[[#This Row],[Total_Orders_Per_Customer]],Table2[F-Cutoff],1)</f>
        <v>4</v>
      </c>
      <c r="Y2328" s="2">
        <f>MATCH(Auto_Sales_data___Copy[[#This Row],[Total_Sales_Per_Customer]],Table2[M-Cutoff],1)</f>
        <v>4</v>
      </c>
      <c r="Z2328" s="2" t="str">
        <f>Auto_Sales_data___Copy[[#This Row],[R-Score(1-5)]]&amp;Auto_Sales_data___Copy[[#This Row],[F-Score(1-5)]]&amp;Auto_Sales_data___Copy[[#This Row],[M-Score(1-5)]]</f>
        <v>144</v>
      </c>
      <c r="AA2328" s="2" t="str" cm="1">
        <f t="array" ref="AA23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8" s="2" t="str">
        <f>VLOOKUP(Auto_Sales_data___Copy[[#This Row],[Segment Name]],Table3[],2,FALSE)</f>
        <v>Brand Awareness &amp; Value Proposition</v>
      </c>
    </row>
    <row r="2329" spans="1:28" x14ac:dyDescent="0.25">
      <c r="A2329">
        <v>10143</v>
      </c>
      <c r="B2329">
        <v>36</v>
      </c>
      <c r="C2329">
        <v>109.61</v>
      </c>
      <c r="D2329">
        <v>2</v>
      </c>
      <c r="E2329">
        <v>3945.96</v>
      </c>
      <c r="F2329" s="1">
        <v>43322</v>
      </c>
      <c r="G2329" s="2" t="s">
        <v>19</v>
      </c>
      <c r="H2329" s="2" t="s">
        <v>607</v>
      </c>
      <c r="I2329">
        <v>91</v>
      </c>
      <c r="J2329" s="2" t="s">
        <v>707</v>
      </c>
      <c r="K2329" s="2" t="s">
        <v>353</v>
      </c>
      <c r="L2329" s="2" t="s">
        <v>354</v>
      </c>
      <c r="M2329" s="2" t="s">
        <v>355</v>
      </c>
      <c r="N2329" s="2" t="s">
        <v>162</v>
      </c>
      <c r="O2329" s="2" t="s">
        <v>163</v>
      </c>
      <c r="P2329" s="2" t="s">
        <v>27</v>
      </c>
      <c r="Q2329" s="2" t="s">
        <v>356</v>
      </c>
      <c r="R2329" s="2" t="s">
        <v>357</v>
      </c>
      <c r="S2329" s="2" t="s">
        <v>46</v>
      </c>
      <c r="T2329">
        <v>3074</v>
      </c>
      <c r="U2329">
        <f>VLOOKUP(Auto_Sales_data___Copy[[#This Row],[CUSTOMER_NAME]],$AF$2:$AH$90,2,FALSE)</f>
        <v>35</v>
      </c>
      <c r="V2329">
        <f>VLOOKUP(Auto_Sales_data___Copy[[#This Row],[CUSTOMER_NAME]],$AF$2:$AH$90,3,FALSE)</f>
        <v>108951.12999999998</v>
      </c>
      <c r="W2329" s="2">
        <f>6-MATCH(Auto_Sales_data___Copy[[#This Row],[DAYS_SINCE_LAST_ORDER]],Table2[R-Cutoff],1)</f>
        <v>1</v>
      </c>
      <c r="X2329" s="2">
        <f>MATCH(Auto_Sales_data___Copy[[#This Row],[Total_Orders_Per_Customer]],Table2[F-Cutoff],1)</f>
        <v>4</v>
      </c>
      <c r="Y2329" s="2">
        <f>MATCH(Auto_Sales_data___Copy[[#This Row],[Total_Sales_Per_Customer]],Table2[M-Cutoff],1)</f>
        <v>4</v>
      </c>
      <c r="Z2329" s="2" t="str">
        <f>Auto_Sales_data___Copy[[#This Row],[R-Score(1-5)]]&amp;Auto_Sales_data___Copy[[#This Row],[F-Score(1-5)]]&amp;Auto_Sales_data___Copy[[#This Row],[M-Score(1-5)]]</f>
        <v>144</v>
      </c>
      <c r="AA2329" s="2" t="str" cm="1">
        <f t="array" ref="AA23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9" s="2" t="str">
        <f>VLOOKUP(Auto_Sales_data___Copy[[#This Row],[Segment Name]],Table3[],2,FALSE)</f>
        <v>Brand Awareness &amp; Value Proposition</v>
      </c>
    </row>
    <row r="2330" spans="1:28" x14ac:dyDescent="0.25">
      <c r="A2330">
        <v>10143</v>
      </c>
      <c r="B2330">
        <v>26</v>
      </c>
      <c r="C2330">
        <v>100.48</v>
      </c>
      <c r="D2330">
        <v>11</v>
      </c>
      <c r="E2330">
        <v>2612.48</v>
      </c>
      <c r="F2330" s="1">
        <v>43322</v>
      </c>
      <c r="G2330" s="2" t="s">
        <v>19</v>
      </c>
      <c r="H2330" s="2" t="s">
        <v>642</v>
      </c>
      <c r="I2330">
        <v>90</v>
      </c>
      <c r="J2330" s="2" t="s">
        <v>709</v>
      </c>
      <c r="K2330" s="2" t="s">
        <v>353</v>
      </c>
      <c r="L2330" s="2" t="s">
        <v>354</v>
      </c>
      <c r="M2330" s="2" t="s">
        <v>355</v>
      </c>
      <c r="N2330" s="2" t="s">
        <v>162</v>
      </c>
      <c r="O2330" s="2" t="s">
        <v>163</v>
      </c>
      <c r="P2330" s="2" t="s">
        <v>27</v>
      </c>
      <c r="Q2330" s="2" t="s">
        <v>356</v>
      </c>
      <c r="R2330" s="2" t="s">
        <v>357</v>
      </c>
      <c r="S2330" s="2" t="s">
        <v>30</v>
      </c>
      <c r="T2330">
        <v>3124</v>
      </c>
      <c r="U2330">
        <f>VLOOKUP(Auto_Sales_data___Copy[[#This Row],[CUSTOMER_NAME]],$AF$2:$AH$90,2,FALSE)</f>
        <v>35</v>
      </c>
      <c r="V2330">
        <f>VLOOKUP(Auto_Sales_data___Copy[[#This Row],[CUSTOMER_NAME]],$AF$2:$AH$90,3,FALSE)</f>
        <v>108951.12999999998</v>
      </c>
      <c r="W2330" s="2">
        <f>6-MATCH(Auto_Sales_data___Copy[[#This Row],[DAYS_SINCE_LAST_ORDER]],Table2[R-Cutoff],1)</f>
        <v>1</v>
      </c>
      <c r="X2330" s="2">
        <f>MATCH(Auto_Sales_data___Copy[[#This Row],[Total_Orders_Per_Customer]],Table2[F-Cutoff],1)</f>
        <v>4</v>
      </c>
      <c r="Y2330" s="2">
        <f>MATCH(Auto_Sales_data___Copy[[#This Row],[Total_Sales_Per_Customer]],Table2[M-Cutoff],1)</f>
        <v>4</v>
      </c>
      <c r="Z2330" s="2" t="str">
        <f>Auto_Sales_data___Copy[[#This Row],[R-Score(1-5)]]&amp;Auto_Sales_data___Copy[[#This Row],[F-Score(1-5)]]&amp;Auto_Sales_data___Copy[[#This Row],[M-Score(1-5)]]</f>
        <v>144</v>
      </c>
      <c r="AA2330" s="2" t="str" cm="1">
        <f t="array" ref="AA23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0" s="2" t="str">
        <f>VLOOKUP(Auto_Sales_data___Copy[[#This Row],[Segment Name]],Table3[],2,FALSE)</f>
        <v>Brand Awareness &amp; Value Proposition</v>
      </c>
    </row>
    <row r="2331" spans="1:28" x14ac:dyDescent="0.25">
      <c r="A2331">
        <v>10143</v>
      </c>
      <c r="B2331">
        <v>26</v>
      </c>
      <c r="C2331">
        <v>82.77</v>
      </c>
      <c r="D2331">
        <v>4</v>
      </c>
      <c r="E2331">
        <v>2152.02</v>
      </c>
      <c r="F2331" s="1">
        <v>43322</v>
      </c>
      <c r="G2331" s="2" t="s">
        <v>19</v>
      </c>
      <c r="H2331" s="2" t="s">
        <v>607</v>
      </c>
      <c r="I2331">
        <v>99</v>
      </c>
      <c r="J2331" s="2" t="s">
        <v>710</v>
      </c>
      <c r="K2331" s="2" t="s">
        <v>353</v>
      </c>
      <c r="L2331" s="2" t="s">
        <v>354</v>
      </c>
      <c r="M2331" s="2" t="s">
        <v>355</v>
      </c>
      <c r="N2331" s="2" t="s">
        <v>162</v>
      </c>
      <c r="O2331" s="2" t="s">
        <v>163</v>
      </c>
      <c r="P2331" s="2" t="s">
        <v>27</v>
      </c>
      <c r="Q2331" s="2" t="s">
        <v>356</v>
      </c>
      <c r="R2331" s="2" t="s">
        <v>357</v>
      </c>
      <c r="S2331" s="2" t="s">
        <v>30</v>
      </c>
      <c r="T2331">
        <v>3150</v>
      </c>
      <c r="U2331">
        <f>VLOOKUP(Auto_Sales_data___Copy[[#This Row],[CUSTOMER_NAME]],$AF$2:$AH$90,2,FALSE)</f>
        <v>35</v>
      </c>
      <c r="V2331">
        <f>VLOOKUP(Auto_Sales_data___Copy[[#This Row],[CUSTOMER_NAME]],$AF$2:$AH$90,3,FALSE)</f>
        <v>108951.12999999998</v>
      </c>
      <c r="W2331" s="2">
        <f>6-MATCH(Auto_Sales_data___Copy[[#This Row],[DAYS_SINCE_LAST_ORDER]],Table2[R-Cutoff],1)</f>
        <v>1</v>
      </c>
      <c r="X2331" s="2">
        <f>MATCH(Auto_Sales_data___Copy[[#This Row],[Total_Orders_Per_Customer]],Table2[F-Cutoff],1)</f>
        <v>4</v>
      </c>
      <c r="Y2331" s="2">
        <f>MATCH(Auto_Sales_data___Copy[[#This Row],[Total_Sales_Per_Customer]],Table2[M-Cutoff],1)</f>
        <v>4</v>
      </c>
      <c r="Z2331" s="2" t="str">
        <f>Auto_Sales_data___Copy[[#This Row],[R-Score(1-5)]]&amp;Auto_Sales_data___Copy[[#This Row],[F-Score(1-5)]]&amp;Auto_Sales_data___Copy[[#This Row],[M-Score(1-5)]]</f>
        <v>144</v>
      </c>
      <c r="AA2331" s="2" t="str" cm="1">
        <f t="array" ref="AA23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1" s="2" t="str">
        <f>VLOOKUP(Auto_Sales_data___Copy[[#This Row],[Segment Name]],Table3[],2,FALSE)</f>
        <v>Brand Awareness &amp; Value Proposition</v>
      </c>
    </row>
    <row r="2332" spans="1:28" x14ac:dyDescent="0.25">
      <c r="A2332">
        <v>10143</v>
      </c>
      <c r="B2332">
        <v>31</v>
      </c>
      <c r="C2332">
        <v>85.29</v>
      </c>
      <c r="D2332">
        <v>16</v>
      </c>
      <c r="E2332">
        <v>2643.99</v>
      </c>
      <c r="F2332" s="1">
        <v>43322</v>
      </c>
      <c r="G2332" s="2" t="s">
        <v>19</v>
      </c>
      <c r="H2332" s="2" t="s">
        <v>642</v>
      </c>
      <c r="I2332">
        <v>72</v>
      </c>
      <c r="J2332" s="2" t="s">
        <v>711</v>
      </c>
      <c r="K2332" s="2" t="s">
        <v>353</v>
      </c>
      <c r="L2332" s="2" t="s">
        <v>354</v>
      </c>
      <c r="M2332" s="2" t="s">
        <v>355</v>
      </c>
      <c r="N2332" s="2" t="s">
        <v>162</v>
      </c>
      <c r="O2332" s="2" t="s">
        <v>163</v>
      </c>
      <c r="P2332" s="2" t="s">
        <v>27</v>
      </c>
      <c r="Q2332" s="2" t="s">
        <v>356</v>
      </c>
      <c r="R2332" s="2" t="s">
        <v>357</v>
      </c>
      <c r="S2332" s="2" t="s">
        <v>30</v>
      </c>
      <c r="T2332">
        <v>3177</v>
      </c>
      <c r="U2332">
        <f>VLOOKUP(Auto_Sales_data___Copy[[#This Row],[CUSTOMER_NAME]],$AF$2:$AH$90,2,FALSE)</f>
        <v>35</v>
      </c>
      <c r="V2332">
        <f>VLOOKUP(Auto_Sales_data___Copy[[#This Row],[CUSTOMER_NAME]],$AF$2:$AH$90,3,FALSE)</f>
        <v>108951.12999999998</v>
      </c>
      <c r="W2332" s="2">
        <f>6-MATCH(Auto_Sales_data___Copy[[#This Row],[DAYS_SINCE_LAST_ORDER]],Table2[R-Cutoff],1)</f>
        <v>1</v>
      </c>
      <c r="X2332" s="2">
        <f>MATCH(Auto_Sales_data___Copy[[#This Row],[Total_Orders_Per_Customer]],Table2[F-Cutoff],1)</f>
        <v>4</v>
      </c>
      <c r="Y2332" s="2">
        <f>MATCH(Auto_Sales_data___Copy[[#This Row],[Total_Sales_Per_Customer]],Table2[M-Cutoff],1)</f>
        <v>4</v>
      </c>
      <c r="Z2332" s="2" t="str">
        <f>Auto_Sales_data___Copy[[#This Row],[R-Score(1-5)]]&amp;Auto_Sales_data___Copy[[#This Row],[F-Score(1-5)]]&amp;Auto_Sales_data___Copy[[#This Row],[M-Score(1-5)]]</f>
        <v>144</v>
      </c>
      <c r="AA2332" s="2" t="str" cm="1">
        <f t="array" ref="AA23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2" s="2" t="str">
        <f>VLOOKUP(Auto_Sales_data___Copy[[#This Row],[Segment Name]],Table3[],2,FALSE)</f>
        <v>Brand Awareness &amp; Value Proposition</v>
      </c>
    </row>
    <row r="2333" spans="1:28" x14ac:dyDescent="0.25">
      <c r="A2333">
        <v>10143</v>
      </c>
      <c r="B2333">
        <v>28</v>
      </c>
      <c r="C2333">
        <v>96</v>
      </c>
      <c r="D2333">
        <v>3</v>
      </c>
      <c r="E2333">
        <v>2688</v>
      </c>
      <c r="F2333" s="1">
        <v>43322</v>
      </c>
      <c r="G2333" s="2" t="s">
        <v>19</v>
      </c>
      <c r="H2333" s="2" t="s">
        <v>607</v>
      </c>
      <c r="I2333">
        <v>80</v>
      </c>
      <c r="J2333" s="2" t="s">
        <v>714</v>
      </c>
      <c r="K2333" s="2" t="s">
        <v>353</v>
      </c>
      <c r="L2333" s="2" t="s">
        <v>354</v>
      </c>
      <c r="M2333" s="2" t="s">
        <v>355</v>
      </c>
      <c r="N2333" s="2" t="s">
        <v>162</v>
      </c>
      <c r="O2333" s="2" t="s">
        <v>163</v>
      </c>
      <c r="P2333" s="2" t="s">
        <v>27</v>
      </c>
      <c r="Q2333" s="2" t="s">
        <v>356</v>
      </c>
      <c r="R2333" s="2" t="s">
        <v>357</v>
      </c>
      <c r="S2333" s="2" t="s">
        <v>30</v>
      </c>
      <c r="T2333">
        <v>3254</v>
      </c>
      <c r="U2333">
        <f>VLOOKUP(Auto_Sales_data___Copy[[#This Row],[CUSTOMER_NAME]],$AF$2:$AH$90,2,FALSE)</f>
        <v>35</v>
      </c>
      <c r="V2333">
        <f>VLOOKUP(Auto_Sales_data___Copy[[#This Row],[CUSTOMER_NAME]],$AF$2:$AH$90,3,FALSE)</f>
        <v>108951.12999999998</v>
      </c>
      <c r="W2333" s="2">
        <f>6-MATCH(Auto_Sales_data___Copy[[#This Row],[DAYS_SINCE_LAST_ORDER]],Table2[R-Cutoff],1)</f>
        <v>1</v>
      </c>
      <c r="X2333" s="2">
        <f>MATCH(Auto_Sales_data___Copy[[#This Row],[Total_Orders_Per_Customer]],Table2[F-Cutoff],1)</f>
        <v>4</v>
      </c>
      <c r="Y2333" s="2">
        <f>MATCH(Auto_Sales_data___Copy[[#This Row],[Total_Sales_Per_Customer]],Table2[M-Cutoff],1)</f>
        <v>4</v>
      </c>
      <c r="Z2333" s="2" t="str">
        <f>Auto_Sales_data___Copy[[#This Row],[R-Score(1-5)]]&amp;Auto_Sales_data___Copy[[#This Row],[F-Score(1-5)]]&amp;Auto_Sales_data___Copy[[#This Row],[M-Score(1-5)]]</f>
        <v>144</v>
      </c>
      <c r="AA2333" s="2" t="str" cm="1">
        <f t="array" ref="AA23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3" s="2" t="str">
        <f>VLOOKUP(Auto_Sales_data___Copy[[#This Row],[Segment Name]],Table3[],2,FALSE)</f>
        <v>Brand Awareness &amp; Value Proposition</v>
      </c>
    </row>
    <row r="2334" spans="1:28" x14ac:dyDescent="0.25">
      <c r="A2334">
        <v>10143</v>
      </c>
      <c r="B2334">
        <v>34</v>
      </c>
      <c r="C2334">
        <v>85.87</v>
      </c>
      <c r="D2334">
        <v>5</v>
      </c>
      <c r="E2334">
        <v>2919.58</v>
      </c>
      <c r="F2334" s="1">
        <v>43322</v>
      </c>
      <c r="G2334" s="2" t="s">
        <v>19</v>
      </c>
      <c r="H2334" s="2" t="s">
        <v>607</v>
      </c>
      <c r="I2334">
        <v>74</v>
      </c>
      <c r="J2334" s="2" t="s">
        <v>717</v>
      </c>
      <c r="K2334" s="2" t="s">
        <v>353</v>
      </c>
      <c r="L2334" s="2" t="s">
        <v>354</v>
      </c>
      <c r="M2334" s="2" t="s">
        <v>355</v>
      </c>
      <c r="N2334" s="2" t="s">
        <v>162</v>
      </c>
      <c r="O2334" s="2" t="s">
        <v>163</v>
      </c>
      <c r="P2334" s="2" t="s">
        <v>27</v>
      </c>
      <c r="Q2334" s="2" t="s">
        <v>356</v>
      </c>
      <c r="R2334" s="2" t="s">
        <v>357</v>
      </c>
      <c r="S2334" s="2" t="s">
        <v>30</v>
      </c>
      <c r="T2334">
        <v>3332</v>
      </c>
      <c r="U2334">
        <f>VLOOKUP(Auto_Sales_data___Copy[[#This Row],[CUSTOMER_NAME]],$AF$2:$AH$90,2,FALSE)</f>
        <v>35</v>
      </c>
      <c r="V2334">
        <f>VLOOKUP(Auto_Sales_data___Copy[[#This Row],[CUSTOMER_NAME]],$AF$2:$AH$90,3,FALSE)</f>
        <v>108951.12999999998</v>
      </c>
      <c r="W2334" s="2">
        <f>6-MATCH(Auto_Sales_data___Copy[[#This Row],[DAYS_SINCE_LAST_ORDER]],Table2[R-Cutoff],1)</f>
        <v>1</v>
      </c>
      <c r="X2334" s="2">
        <f>MATCH(Auto_Sales_data___Copy[[#This Row],[Total_Orders_Per_Customer]],Table2[F-Cutoff],1)</f>
        <v>4</v>
      </c>
      <c r="Y2334" s="2">
        <f>MATCH(Auto_Sales_data___Copy[[#This Row],[Total_Sales_Per_Customer]],Table2[M-Cutoff],1)</f>
        <v>4</v>
      </c>
      <c r="Z2334" s="2" t="str">
        <f>Auto_Sales_data___Copy[[#This Row],[R-Score(1-5)]]&amp;Auto_Sales_data___Copy[[#This Row],[F-Score(1-5)]]&amp;Auto_Sales_data___Copy[[#This Row],[M-Score(1-5)]]</f>
        <v>144</v>
      </c>
      <c r="AA2334" s="2" t="str" cm="1">
        <f t="array" ref="AA23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4" s="2" t="str">
        <f>VLOOKUP(Auto_Sales_data___Copy[[#This Row],[Segment Name]],Table3[],2,FALSE)</f>
        <v>Brand Awareness &amp; Value Proposition</v>
      </c>
    </row>
    <row r="2335" spans="1:28" x14ac:dyDescent="0.25">
      <c r="A2335">
        <v>10143</v>
      </c>
      <c r="B2335">
        <v>37</v>
      </c>
      <c r="C2335">
        <v>50.65</v>
      </c>
      <c r="D2335">
        <v>10</v>
      </c>
      <c r="E2335">
        <v>1874.05</v>
      </c>
      <c r="F2335" s="1">
        <v>43322</v>
      </c>
      <c r="G2335" s="2" t="s">
        <v>19</v>
      </c>
      <c r="H2335" s="2" t="s">
        <v>607</v>
      </c>
      <c r="I2335">
        <v>49</v>
      </c>
      <c r="J2335" s="2" t="s">
        <v>718</v>
      </c>
      <c r="K2335" s="2" t="s">
        <v>353</v>
      </c>
      <c r="L2335" s="2" t="s">
        <v>354</v>
      </c>
      <c r="M2335" s="2" t="s">
        <v>355</v>
      </c>
      <c r="N2335" s="2" t="s">
        <v>162</v>
      </c>
      <c r="O2335" s="2" t="s">
        <v>163</v>
      </c>
      <c r="P2335" s="2" t="s">
        <v>27</v>
      </c>
      <c r="Q2335" s="2" t="s">
        <v>356</v>
      </c>
      <c r="R2335" s="2" t="s">
        <v>357</v>
      </c>
      <c r="S2335" s="2" t="s">
        <v>30</v>
      </c>
      <c r="T2335">
        <v>3359</v>
      </c>
      <c r="U2335">
        <f>VLOOKUP(Auto_Sales_data___Copy[[#This Row],[CUSTOMER_NAME]],$AF$2:$AH$90,2,FALSE)</f>
        <v>35</v>
      </c>
      <c r="V2335">
        <f>VLOOKUP(Auto_Sales_data___Copy[[#This Row],[CUSTOMER_NAME]],$AF$2:$AH$90,3,FALSE)</f>
        <v>108951.12999999998</v>
      </c>
      <c r="W2335" s="2">
        <f>6-MATCH(Auto_Sales_data___Copy[[#This Row],[DAYS_SINCE_LAST_ORDER]],Table2[R-Cutoff],1)</f>
        <v>1</v>
      </c>
      <c r="X2335" s="2">
        <f>MATCH(Auto_Sales_data___Copy[[#This Row],[Total_Orders_Per_Customer]],Table2[F-Cutoff],1)</f>
        <v>4</v>
      </c>
      <c r="Y2335" s="2">
        <f>MATCH(Auto_Sales_data___Copy[[#This Row],[Total_Sales_Per_Customer]],Table2[M-Cutoff],1)</f>
        <v>4</v>
      </c>
      <c r="Z2335" s="2" t="str">
        <f>Auto_Sales_data___Copy[[#This Row],[R-Score(1-5)]]&amp;Auto_Sales_data___Copy[[#This Row],[F-Score(1-5)]]&amp;Auto_Sales_data___Copy[[#This Row],[M-Score(1-5)]]</f>
        <v>144</v>
      </c>
      <c r="AA2335" s="2" t="str" cm="1">
        <f t="array" ref="AA23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5" s="2" t="str">
        <f>VLOOKUP(Auto_Sales_data___Copy[[#This Row],[Segment Name]],Table3[],2,FALSE)</f>
        <v>Brand Awareness &amp; Value Proposition</v>
      </c>
    </row>
    <row r="2336" spans="1:28" x14ac:dyDescent="0.25">
      <c r="A2336">
        <v>10145</v>
      </c>
      <c r="B2336">
        <v>33</v>
      </c>
      <c r="C2336">
        <v>84.77</v>
      </c>
      <c r="D2336">
        <v>15</v>
      </c>
      <c r="E2336">
        <v>2797.41</v>
      </c>
      <c r="F2336" s="1">
        <v>43337</v>
      </c>
      <c r="G2336" s="2" t="s">
        <v>19</v>
      </c>
      <c r="H2336" s="2" t="s">
        <v>607</v>
      </c>
      <c r="I2336">
        <v>72</v>
      </c>
      <c r="J2336" s="2" t="s">
        <v>692</v>
      </c>
      <c r="K2336" s="2" t="s">
        <v>47</v>
      </c>
      <c r="L2336" s="2" t="s">
        <v>48</v>
      </c>
      <c r="M2336" s="2" t="s">
        <v>49</v>
      </c>
      <c r="N2336" s="2" t="s">
        <v>50</v>
      </c>
      <c r="O2336" s="2" t="s">
        <v>51</v>
      </c>
      <c r="P2336" s="2" t="s">
        <v>27</v>
      </c>
      <c r="Q2336" s="2" t="s">
        <v>52</v>
      </c>
      <c r="R2336" s="2" t="s">
        <v>53</v>
      </c>
      <c r="S2336" s="2" t="s">
        <v>30</v>
      </c>
      <c r="T2336">
        <v>2679</v>
      </c>
      <c r="U2336">
        <f>VLOOKUP(Auto_Sales_data___Copy[[#This Row],[CUSTOMER_NAME]],$AF$2:$AH$90,2,FALSE)</f>
        <v>30</v>
      </c>
      <c r="V2336">
        <f>VLOOKUP(Auto_Sales_data___Copy[[#This Row],[CUSTOMER_NAME]],$AF$2:$AH$90,3,FALSE)</f>
        <v>104561.95999999999</v>
      </c>
      <c r="W2336" s="2">
        <f>6-MATCH(Auto_Sales_data___Copy[[#This Row],[DAYS_SINCE_LAST_ORDER]],Table2[R-Cutoff],1)</f>
        <v>1</v>
      </c>
      <c r="X2336" s="2">
        <f>MATCH(Auto_Sales_data___Copy[[#This Row],[Total_Orders_Per_Customer]],Table2[F-Cutoff],1)</f>
        <v>4</v>
      </c>
      <c r="Y2336" s="2">
        <f>MATCH(Auto_Sales_data___Copy[[#This Row],[Total_Sales_Per_Customer]],Table2[M-Cutoff],1)</f>
        <v>4</v>
      </c>
      <c r="Z2336" s="2" t="str">
        <f>Auto_Sales_data___Copy[[#This Row],[R-Score(1-5)]]&amp;Auto_Sales_data___Copy[[#This Row],[F-Score(1-5)]]&amp;Auto_Sales_data___Copy[[#This Row],[M-Score(1-5)]]</f>
        <v>144</v>
      </c>
      <c r="AA2336" s="2" t="str" cm="1">
        <f t="array" ref="AA23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6" s="2" t="str">
        <f>VLOOKUP(Auto_Sales_data___Copy[[#This Row],[Segment Name]],Table3[],2,FALSE)</f>
        <v>Brand Awareness &amp; Value Proposition</v>
      </c>
    </row>
    <row r="2337" spans="1:28" x14ac:dyDescent="0.25">
      <c r="A2337">
        <v>10145</v>
      </c>
      <c r="B2337">
        <v>33</v>
      </c>
      <c r="C2337">
        <v>93.9</v>
      </c>
      <c r="D2337">
        <v>12</v>
      </c>
      <c r="E2337">
        <v>3098.7</v>
      </c>
      <c r="F2337" s="1">
        <v>43337</v>
      </c>
      <c r="G2337" s="2" t="s">
        <v>19</v>
      </c>
      <c r="H2337" s="2" t="s">
        <v>20</v>
      </c>
      <c r="I2337">
        <v>99</v>
      </c>
      <c r="J2337" s="2" t="s">
        <v>695</v>
      </c>
      <c r="K2337" s="2" t="s">
        <v>47</v>
      </c>
      <c r="L2337" s="2" t="s">
        <v>48</v>
      </c>
      <c r="M2337" s="2" t="s">
        <v>49</v>
      </c>
      <c r="N2337" s="2" t="s">
        <v>50</v>
      </c>
      <c r="O2337" s="2" t="s">
        <v>51</v>
      </c>
      <c r="P2337" s="2" t="s">
        <v>27</v>
      </c>
      <c r="Q2337" s="2" t="s">
        <v>52</v>
      </c>
      <c r="R2337" s="2" t="s">
        <v>53</v>
      </c>
      <c r="S2337" s="2" t="s">
        <v>46</v>
      </c>
      <c r="T2337">
        <v>2753</v>
      </c>
      <c r="U2337">
        <f>VLOOKUP(Auto_Sales_data___Copy[[#This Row],[CUSTOMER_NAME]],$AF$2:$AH$90,2,FALSE)</f>
        <v>30</v>
      </c>
      <c r="V2337">
        <f>VLOOKUP(Auto_Sales_data___Copy[[#This Row],[CUSTOMER_NAME]],$AF$2:$AH$90,3,FALSE)</f>
        <v>104561.95999999999</v>
      </c>
      <c r="W2337" s="2">
        <f>6-MATCH(Auto_Sales_data___Copy[[#This Row],[DAYS_SINCE_LAST_ORDER]],Table2[R-Cutoff],1)</f>
        <v>1</v>
      </c>
      <c r="X2337" s="2">
        <f>MATCH(Auto_Sales_data___Copy[[#This Row],[Total_Orders_Per_Customer]],Table2[F-Cutoff],1)</f>
        <v>4</v>
      </c>
      <c r="Y2337" s="2">
        <f>MATCH(Auto_Sales_data___Copy[[#This Row],[Total_Sales_Per_Customer]],Table2[M-Cutoff],1)</f>
        <v>4</v>
      </c>
      <c r="Z2337" s="2" t="str">
        <f>Auto_Sales_data___Copy[[#This Row],[R-Score(1-5)]]&amp;Auto_Sales_data___Copy[[#This Row],[F-Score(1-5)]]&amp;Auto_Sales_data___Copy[[#This Row],[M-Score(1-5)]]</f>
        <v>144</v>
      </c>
      <c r="AA2337" s="2" t="str" cm="1">
        <f t="array" ref="AA23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7" s="2" t="str">
        <f>VLOOKUP(Auto_Sales_data___Copy[[#This Row],[Segment Name]],Table3[],2,FALSE)</f>
        <v>Brand Awareness &amp; Value Proposition</v>
      </c>
    </row>
    <row r="2338" spans="1:28" x14ac:dyDescent="0.25">
      <c r="A2338">
        <v>10145</v>
      </c>
      <c r="B2338">
        <v>31</v>
      </c>
      <c r="C2338">
        <v>35.799999999999997</v>
      </c>
      <c r="D2338">
        <v>1</v>
      </c>
      <c r="E2338">
        <v>1109.8</v>
      </c>
      <c r="F2338" s="1">
        <v>43337</v>
      </c>
      <c r="G2338" s="2" t="s">
        <v>19</v>
      </c>
      <c r="H2338" s="2" t="s">
        <v>20</v>
      </c>
      <c r="I2338">
        <v>40</v>
      </c>
      <c r="J2338" s="2" t="s">
        <v>696</v>
      </c>
      <c r="K2338" s="2" t="s">
        <v>47</v>
      </c>
      <c r="L2338" s="2" t="s">
        <v>48</v>
      </c>
      <c r="M2338" s="2" t="s">
        <v>49</v>
      </c>
      <c r="N2338" s="2" t="s">
        <v>50</v>
      </c>
      <c r="O2338" s="2" t="s">
        <v>51</v>
      </c>
      <c r="P2338" s="2" t="s">
        <v>27</v>
      </c>
      <c r="Q2338" s="2" t="s">
        <v>52</v>
      </c>
      <c r="R2338" s="2" t="s">
        <v>53</v>
      </c>
      <c r="S2338" s="2" t="s">
        <v>30</v>
      </c>
      <c r="T2338">
        <v>2777</v>
      </c>
      <c r="U2338">
        <f>VLOOKUP(Auto_Sales_data___Copy[[#This Row],[CUSTOMER_NAME]],$AF$2:$AH$90,2,FALSE)</f>
        <v>30</v>
      </c>
      <c r="V2338">
        <f>VLOOKUP(Auto_Sales_data___Copy[[#This Row],[CUSTOMER_NAME]],$AF$2:$AH$90,3,FALSE)</f>
        <v>104561.95999999999</v>
      </c>
      <c r="W2338" s="2">
        <f>6-MATCH(Auto_Sales_data___Copy[[#This Row],[DAYS_SINCE_LAST_ORDER]],Table2[R-Cutoff],1)</f>
        <v>1</v>
      </c>
      <c r="X2338" s="2">
        <f>MATCH(Auto_Sales_data___Copy[[#This Row],[Total_Orders_Per_Customer]],Table2[F-Cutoff],1)</f>
        <v>4</v>
      </c>
      <c r="Y2338" s="2">
        <f>MATCH(Auto_Sales_data___Copy[[#This Row],[Total_Sales_Per_Customer]],Table2[M-Cutoff],1)</f>
        <v>4</v>
      </c>
      <c r="Z2338" s="2" t="str">
        <f>Auto_Sales_data___Copy[[#This Row],[R-Score(1-5)]]&amp;Auto_Sales_data___Copy[[#This Row],[F-Score(1-5)]]&amp;Auto_Sales_data___Copy[[#This Row],[M-Score(1-5)]]</f>
        <v>144</v>
      </c>
      <c r="AA2338" s="2" t="str" cm="1">
        <f t="array" ref="AA23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8" s="2" t="str">
        <f>VLOOKUP(Auto_Sales_data___Copy[[#This Row],[Segment Name]],Table3[],2,FALSE)</f>
        <v>Brand Awareness &amp; Value Proposition</v>
      </c>
    </row>
    <row r="2339" spans="1:28" x14ac:dyDescent="0.25">
      <c r="A2339">
        <v>10145</v>
      </c>
      <c r="B2339">
        <v>27</v>
      </c>
      <c r="C2339">
        <v>120.42</v>
      </c>
      <c r="D2339">
        <v>4</v>
      </c>
      <c r="E2339">
        <v>3251.34</v>
      </c>
      <c r="F2339" s="1">
        <v>43337</v>
      </c>
      <c r="G2339" s="2" t="s">
        <v>19</v>
      </c>
      <c r="H2339" s="2" t="s">
        <v>20</v>
      </c>
      <c r="I2339">
        <v>102</v>
      </c>
      <c r="J2339" s="2" t="s">
        <v>701</v>
      </c>
      <c r="K2339" s="2" t="s">
        <v>47</v>
      </c>
      <c r="L2339" s="2" t="s">
        <v>48</v>
      </c>
      <c r="M2339" s="2" t="s">
        <v>49</v>
      </c>
      <c r="N2339" s="2" t="s">
        <v>50</v>
      </c>
      <c r="O2339" s="2" t="s">
        <v>51</v>
      </c>
      <c r="P2339" s="2" t="s">
        <v>27</v>
      </c>
      <c r="Q2339" s="2" t="s">
        <v>52</v>
      </c>
      <c r="R2339" s="2" t="s">
        <v>53</v>
      </c>
      <c r="S2339" s="2" t="s">
        <v>46</v>
      </c>
      <c r="T2339">
        <v>2905</v>
      </c>
      <c r="U2339">
        <f>VLOOKUP(Auto_Sales_data___Copy[[#This Row],[CUSTOMER_NAME]],$AF$2:$AH$90,2,FALSE)</f>
        <v>30</v>
      </c>
      <c r="V2339">
        <f>VLOOKUP(Auto_Sales_data___Copy[[#This Row],[CUSTOMER_NAME]],$AF$2:$AH$90,3,FALSE)</f>
        <v>104561.95999999999</v>
      </c>
      <c r="W2339" s="2">
        <f>6-MATCH(Auto_Sales_data___Copy[[#This Row],[DAYS_SINCE_LAST_ORDER]],Table2[R-Cutoff],1)</f>
        <v>1</v>
      </c>
      <c r="X2339" s="2">
        <f>MATCH(Auto_Sales_data___Copy[[#This Row],[Total_Orders_Per_Customer]],Table2[F-Cutoff],1)</f>
        <v>4</v>
      </c>
      <c r="Y2339" s="2">
        <f>MATCH(Auto_Sales_data___Copy[[#This Row],[Total_Sales_Per_Customer]],Table2[M-Cutoff],1)</f>
        <v>4</v>
      </c>
      <c r="Z2339" s="2" t="str">
        <f>Auto_Sales_data___Copy[[#This Row],[R-Score(1-5)]]&amp;Auto_Sales_data___Copy[[#This Row],[F-Score(1-5)]]&amp;Auto_Sales_data___Copy[[#This Row],[M-Score(1-5)]]</f>
        <v>144</v>
      </c>
      <c r="AA2339" s="2" t="str" cm="1">
        <f t="array" ref="AA23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9" s="2" t="str">
        <f>VLOOKUP(Auto_Sales_data___Copy[[#This Row],[Segment Name]],Table3[],2,FALSE)</f>
        <v>Brand Awareness &amp; Value Proposition</v>
      </c>
    </row>
    <row r="2340" spans="1:28" x14ac:dyDescent="0.25">
      <c r="A2340">
        <v>10145</v>
      </c>
      <c r="B2340">
        <v>38</v>
      </c>
      <c r="C2340">
        <v>81.36</v>
      </c>
      <c r="D2340">
        <v>2</v>
      </c>
      <c r="E2340">
        <v>3091.68</v>
      </c>
      <c r="F2340" s="1">
        <v>43337</v>
      </c>
      <c r="G2340" s="2" t="s">
        <v>19</v>
      </c>
      <c r="H2340" s="2" t="s">
        <v>20</v>
      </c>
      <c r="I2340">
        <v>81</v>
      </c>
      <c r="J2340" s="2" t="s">
        <v>705</v>
      </c>
      <c r="K2340" s="2" t="s">
        <v>47</v>
      </c>
      <c r="L2340" s="2" t="s">
        <v>48</v>
      </c>
      <c r="M2340" s="2" t="s">
        <v>49</v>
      </c>
      <c r="N2340" s="2" t="s">
        <v>50</v>
      </c>
      <c r="O2340" s="2" t="s">
        <v>51</v>
      </c>
      <c r="P2340" s="2" t="s">
        <v>27</v>
      </c>
      <c r="Q2340" s="2" t="s">
        <v>52</v>
      </c>
      <c r="R2340" s="2" t="s">
        <v>53</v>
      </c>
      <c r="S2340" s="2" t="s">
        <v>46</v>
      </c>
      <c r="T2340">
        <v>3009</v>
      </c>
      <c r="U2340">
        <f>VLOOKUP(Auto_Sales_data___Copy[[#This Row],[CUSTOMER_NAME]],$AF$2:$AH$90,2,FALSE)</f>
        <v>30</v>
      </c>
      <c r="V2340">
        <f>VLOOKUP(Auto_Sales_data___Copy[[#This Row],[CUSTOMER_NAME]],$AF$2:$AH$90,3,FALSE)</f>
        <v>104561.95999999999</v>
      </c>
      <c r="W2340" s="2">
        <f>6-MATCH(Auto_Sales_data___Copy[[#This Row],[DAYS_SINCE_LAST_ORDER]],Table2[R-Cutoff],1)</f>
        <v>1</v>
      </c>
      <c r="X2340" s="2">
        <f>MATCH(Auto_Sales_data___Copy[[#This Row],[Total_Orders_Per_Customer]],Table2[F-Cutoff],1)</f>
        <v>4</v>
      </c>
      <c r="Y2340" s="2">
        <f>MATCH(Auto_Sales_data___Copy[[#This Row],[Total_Sales_Per_Customer]],Table2[M-Cutoff],1)</f>
        <v>4</v>
      </c>
      <c r="Z2340" s="2" t="str">
        <f>Auto_Sales_data___Copy[[#This Row],[R-Score(1-5)]]&amp;Auto_Sales_data___Copy[[#This Row],[F-Score(1-5)]]&amp;Auto_Sales_data___Copy[[#This Row],[M-Score(1-5)]]</f>
        <v>144</v>
      </c>
      <c r="AA2340" s="2" t="str" cm="1">
        <f t="array" ref="AA23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0" s="2" t="str">
        <f>VLOOKUP(Auto_Sales_data___Copy[[#This Row],[Segment Name]],Table3[],2,FALSE)</f>
        <v>Brand Awareness &amp; Value Proposition</v>
      </c>
    </row>
    <row r="2341" spans="1:28" x14ac:dyDescent="0.25">
      <c r="A2341">
        <v>10145</v>
      </c>
      <c r="B2341">
        <v>20</v>
      </c>
      <c r="C2341">
        <v>137.63</v>
      </c>
      <c r="D2341">
        <v>13</v>
      </c>
      <c r="E2341">
        <v>2752.6</v>
      </c>
      <c r="F2341" s="1">
        <v>43337</v>
      </c>
      <c r="G2341" s="2" t="s">
        <v>19</v>
      </c>
      <c r="H2341" s="2" t="s">
        <v>607</v>
      </c>
      <c r="I2341">
        <v>118</v>
      </c>
      <c r="J2341" s="2" t="s">
        <v>713</v>
      </c>
      <c r="K2341" s="2" t="s">
        <v>47</v>
      </c>
      <c r="L2341" s="2" t="s">
        <v>48</v>
      </c>
      <c r="M2341" s="2" t="s">
        <v>49</v>
      </c>
      <c r="N2341" s="2" t="s">
        <v>50</v>
      </c>
      <c r="O2341" s="2" t="s">
        <v>51</v>
      </c>
      <c r="P2341" s="2" t="s">
        <v>27</v>
      </c>
      <c r="Q2341" s="2" t="s">
        <v>52</v>
      </c>
      <c r="R2341" s="2" t="s">
        <v>53</v>
      </c>
      <c r="S2341" s="2" t="s">
        <v>30</v>
      </c>
      <c r="T2341">
        <v>3215</v>
      </c>
      <c r="U2341">
        <f>VLOOKUP(Auto_Sales_data___Copy[[#This Row],[CUSTOMER_NAME]],$AF$2:$AH$90,2,FALSE)</f>
        <v>30</v>
      </c>
      <c r="V2341">
        <f>VLOOKUP(Auto_Sales_data___Copy[[#This Row],[CUSTOMER_NAME]],$AF$2:$AH$90,3,FALSE)</f>
        <v>104561.95999999999</v>
      </c>
      <c r="W2341" s="2">
        <f>6-MATCH(Auto_Sales_data___Copy[[#This Row],[DAYS_SINCE_LAST_ORDER]],Table2[R-Cutoff],1)</f>
        <v>1</v>
      </c>
      <c r="X2341" s="2">
        <f>MATCH(Auto_Sales_data___Copy[[#This Row],[Total_Orders_Per_Customer]],Table2[F-Cutoff],1)</f>
        <v>4</v>
      </c>
      <c r="Y2341" s="2">
        <f>MATCH(Auto_Sales_data___Copy[[#This Row],[Total_Sales_Per_Customer]],Table2[M-Cutoff],1)</f>
        <v>4</v>
      </c>
      <c r="Z2341" s="2" t="str">
        <f>Auto_Sales_data___Copy[[#This Row],[R-Score(1-5)]]&amp;Auto_Sales_data___Copy[[#This Row],[F-Score(1-5)]]&amp;Auto_Sales_data___Copy[[#This Row],[M-Score(1-5)]]</f>
        <v>144</v>
      </c>
      <c r="AA2341" s="2" t="str" cm="1">
        <f t="array" ref="AA23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1" s="2" t="str">
        <f>VLOOKUP(Auto_Sales_data___Copy[[#This Row],[Segment Name]],Table3[],2,FALSE)</f>
        <v>Brand Awareness &amp; Value Proposition</v>
      </c>
    </row>
    <row r="2342" spans="1:28" x14ac:dyDescent="0.25">
      <c r="A2342">
        <v>10150</v>
      </c>
      <c r="B2342">
        <v>49</v>
      </c>
      <c r="C2342">
        <v>58.18</v>
      </c>
      <c r="D2342">
        <v>4</v>
      </c>
      <c r="E2342">
        <v>2850.82</v>
      </c>
      <c r="F2342" s="1">
        <v>43362</v>
      </c>
      <c r="G2342" s="2" t="s">
        <v>19</v>
      </c>
      <c r="H2342" s="2" t="s">
        <v>537</v>
      </c>
      <c r="I2342">
        <v>64</v>
      </c>
      <c r="J2342" s="2" t="s">
        <v>699</v>
      </c>
      <c r="K2342" s="2" t="s">
        <v>199</v>
      </c>
      <c r="L2342" s="2" t="s">
        <v>200</v>
      </c>
      <c r="M2342" s="2" t="s">
        <v>201</v>
      </c>
      <c r="N2342" s="2" t="s">
        <v>202</v>
      </c>
      <c r="O2342" s="2" t="s">
        <v>203</v>
      </c>
      <c r="P2342" s="2" t="s">
        <v>202</v>
      </c>
      <c r="Q2342" s="2" t="s">
        <v>204</v>
      </c>
      <c r="R2342" s="2" t="s">
        <v>205</v>
      </c>
      <c r="S2342" s="2" t="s">
        <v>30</v>
      </c>
      <c r="T2342">
        <v>2831</v>
      </c>
      <c r="U2342">
        <f>VLOOKUP(Auto_Sales_data___Copy[[#This Row],[CUSTOMER_NAME]],$AF$2:$AH$90,2,FALSE)</f>
        <v>43</v>
      </c>
      <c r="V2342">
        <f>VLOOKUP(Auto_Sales_data___Copy[[#This Row],[CUSTOMER_NAME]],$AF$2:$AH$90,3,FALSE)</f>
        <v>172989.68000000008</v>
      </c>
      <c r="W2342" s="2">
        <f>6-MATCH(Auto_Sales_data___Copy[[#This Row],[DAYS_SINCE_LAST_ORDER]],Table2[R-Cutoff],1)</f>
        <v>1</v>
      </c>
      <c r="X2342" s="2">
        <f>MATCH(Auto_Sales_data___Copy[[#This Row],[Total_Orders_Per_Customer]],Table2[F-Cutoff],1)</f>
        <v>4</v>
      </c>
      <c r="Y2342" s="2">
        <f>MATCH(Auto_Sales_data___Copy[[#This Row],[Total_Sales_Per_Customer]],Table2[M-Cutoff],1)</f>
        <v>4</v>
      </c>
      <c r="Z2342" s="2" t="str">
        <f>Auto_Sales_data___Copy[[#This Row],[R-Score(1-5)]]&amp;Auto_Sales_data___Copy[[#This Row],[F-Score(1-5)]]&amp;Auto_Sales_data___Copy[[#This Row],[M-Score(1-5)]]</f>
        <v>144</v>
      </c>
      <c r="AA2342" s="2" t="str" cm="1">
        <f t="array" ref="AA23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2" s="2" t="str">
        <f>VLOOKUP(Auto_Sales_data___Copy[[#This Row],[Segment Name]],Table3[],2,FALSE)</f>
        <v>Brand Awareness &amp; Value Proposition</v>
      </c>
    </row>
    <row r="2343" spans="1:28" x14ac:dyDescent="0.25">
      <c r="A2343">
        <v>10150</v>
      </c>
      <c r="B2343">
        <v>20</v>
      </c>
      <c r="C2343">
        <v>105.2</v>
      </c>
      <c r="D2343">
        <v>3</v>
      </c>
      <c r="E2343">
        <v>2104</v>
      </c>
      <c r="F2343" s="1">
        <v>43362</v>
      </c>
      <c r="G2343" s="2" t="s">
        <v>19</v>
      </c>
      <c r="H2343" s="2" t="s">
        <v>183</v>
      </c>
      <c r="I2343">
        <v>101</v>
      </c>
      <c r="J2343" s="2" t="s">
        <v>712</v>
      </c>
      <c r="K2343" s="2" t="s">
        <v>199</v>
      </c>
      <c r="L2343" s="2" t="s">
        <v>200</v>
      </c>
      <c r="M2343" s="2" t="s">
        <v>201</v>
      </c>
      <c r="N2343" s="2" t="s">
        <v>202</v>
      </c>
      <c r="O2343" s="2" t="s">
        <v>203</v>
      </c>
      <c r="P2343" s="2" t="s">
        <v>202</v>
      </c>
      <c r="Q2343" s="2" t="s">
        <v>204</v>
      </c>
      <c r="R2343" s="2" t="s">
        <v>205</v>
      </c>
      <c r="S2343" s="2" t="s">
        <v>30</v>
      </c>
      <c r="T2343">
        <v>3164</v>
      </c>
      <c r="U2343">
        <f>VLOOKUP(Auto_Sales_data___Copy[[#This Row],[CUSTOMER_NAME]],$AF$2:$AH$90,2,FALSE)</f>
        <v>43</v>
      </c>
      <c r="V2343">
        <f>VLOOKUP(Auto_Sales_data___Copy[[#This Row],[CUSTOMER_NAME]],$AF$2:$AH$90,3,FALSE)</f>
        <v>172989.68000000008</v>
      </c>
      <c r="W2343" s="2">
        <f>6-MATCH(Auto_Sales_data___Copy[[#This Row],[DAYS_SINCE_LAST_ORDER]],Table2[R-Cutoff],1)</f>
        <v>1</v>
      </c>
      <c r="X2343" s="2">
        <f>MATCH(Auto_Sales_data___Copy[[#This Row],[Total_Orders_Per_Customer]],Table2[F-Cutoff],1)</f>
        <v>4</v>
      </c>
      <c r="Y2343" s="2">
        <f>MATCH(Auto_Sales_data___Copy[[#This Row],[Total_Sales_Per_Customer]],Table2[M-Cutoff],1)</f>
        <v>4</v>
      </c>
      <c r="Z2343" s="2" t="str">
        <f>Auto_Sales_data___Copy[[#This Row],[R-Score(1-5)]]&amp;Auto_Sales_data___Copy[[#This Row],[F-Score(1-5)]]&amp;Auto_Sales_data___Copy[[#This Row],[M-Score(1-5)]]</f>
        <v>144</v>
      </c>
      <c r="AA2343" s="2" t="str" cm="1">
        <f t="array" ref="AA23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3" s="2" t="str">
        <f>VLOOKUP(Auto_Sales_data___Copy[[#This Row],[Segment Name]],Table3[],2,FALSE)</f>
        <v>Brand Awareness &amp; Value Proposition</v>
      </c>
    </row>
    <row r="2344" spans="1:28" x14ac:dyDescent="0.25">
      <c r="A2344">
        <v>10151</v>
      </c>
      <c r="B2344">
        <v>27</v>
      </c>
      <c r="C2344">
        <v>113.65</v>
      </c>
      <c r="D2344">
        <v>10</v>
      </c>
      <c r="E2344">
        <v>3068.55</v>
      </c>
      <c r="F2344" s="1">
        <v>43364</v>
      </c>
      <c r="G2344" s="2" t="s">
        <v>19</v>
      </c>
      <c r="H2344" s="2" t="s">
        <v>537</v>
      </c>
      <c r="I2344">
        <v>96</v>
      </c>
      <c r="J2344" s="2" t="s">
        <v>694</v>
      </c>
      <c r="K2344" s="2" t="s">
        <v>411</v>
      </c>
      <c r="L2344" s="2" t="s">
        <v>412</v>
      </c>
      <c r="M2344" s="2" t="s">
        <v>413</v>
      </c>
      <c r="N2344" s="2" t="s">
        <v>414</v>
      </c>
      <c r="O2344" s="2" t="s">
        <v>415</v>
      </c>
      <c r="P2344" s="2" t="s">
        <v>127</v>
      </c>
      <c r="Q2344" s="2" t="s">
        <v>416</v>
      </c>
      <c r="R2344" s="2" t="s">
        <v>417</v>
      </c>
      <c r="S2344" s="2" t="s">
        <v>46</v>
      </c>
      <c r="T2344">
        <v>2700</v>
      </c>
      <c r="U2344">
        <f>VLOOKUP(Auto_Sales_data___Copy[[#This Row],[CUSTOMER_NAME]],$AF$2:$AH$90,2,FALSE)</f>
        <v>32</v>
      </c>
      <c r="V2344">
        <f>VLOOKUP(Auto_Sales_data___Copy[[#This Row],[CUSTOMER_NAME]],$AF$2:$AH$90,3,FALSE)</f>
        <v>104370.37999999999</v>
      </c>
      <c r="W2344" s="2">
        <f>6-MATCH(Auto_Sales_data___Copy[[#This Row],[DAYS_SINCE_LAST_ORDER]],Table2[R-Cutoff],1)</f>
        <v>1</v>
      </c>
      <c r="X2344" s="2">
        <f>MATCH(Auto_Sales_data___Copy[[#This Row],[Total_Orders_Per_Customer]],Table2[F-Cutoff],1)</f>
        <v>4</v>
      </c>
      <c r="Y2344" s="2">
        <f>MATCH(Auto_Sales_data___Copy[[#This Row],[Total_Sales_Per_Customer]],Table2[M-Cutoff],1)</f>
        <v>4</v>
      </c>
      <c r="Z2344" s="2" t="str">
        <f>Auto_Sales_data___Copy[[#This Row],[R-Score(1-5)]]&amp;Auto_Sales_data___Copy[[#This Row],[F-Score(1-5)]]&amp;Auto_Sales_data___Copy[[#This Row],[M-Score(1-5)]]</f>
        <v>144</v>
      </c>
      <c r="AA2344" s="2" t="str" cm="1">
        <f t="array" ref="AA23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4" s="2" t="str">
        <f>VLOOKUP(Auto_Sales_data___Copy[[#This Row],[Segment Name]],Table3[],2,FALSE)</f>
        <v>Brand Awareness &amp; Value Proposition</v>
      </c>
    </row>
    <row r="2345" spans="1:28" x14ac:dyDescent="0.25">
      <c r="A2345">
        <v>10151</v>
      </c>
      <c r="B2345">
        <v>41</v>
      </c>
      <c r="C2345">
        <v>63.85</v>
      </c>
      <c r="D2345">
        <v>5</v>
      </c>
      <c r="E2345">
        <v>2617.85</v>
      </c>
      <c r="F2345" s="1">
        <v>43364</v>
      </c>
      <c r="G2345" s="2" t="s">
        <v>19</v>
      </c>
      <c r="H2345" s="2" t="s">
        <v>537</v>
      </c>
      <c r="I2345">
        <v>54</v>
      </c>
      <c r="J2345" s="2" t="s">
        <v>697</v>
      </c>
      <c r="K2345" s="2" t="s">
        <v>411</v>
      </c>
      <c r="L2345" s="2" t="s">
        <v>412</v>
      </c>
      <c r="M2345" s="2" t="s">
        <v>413</v>
      </c>
      <c r="N2345" s="2" t="s">
        <v>414</v>
      </c>
      <c r="O2345" s="2" t="s">
        <v>415</v>
      </c>
      <c r="P2345" s="2" t="s">
        <v>127</v>
      </c>
      <c r="Q2345" s="2" t="s">
        <v>416</v>
      </c>
      <c r="R2345" s="2" t="s">
        <v>417</v>
      </c>
      <c r="S2345" s="2" t="s">
        <v>30</v>
      </c>
      <c r="T2345">
        <v>2775</v>
      </c>
      <c r="U2345">
        <f>VLOOKUP(Auto_Sales_data___Copy[[#This Row],[CUSTOMER_NAME]],$AF$2:$AH$90,2,FALSE)</f>
        <v>32</v>
      </c>
      <c r="V2345">
        <f>VLOOKUP(Auto_Sales_data___Copy[[#This Row],[CUSTOMER_NAME]],$AF$2:$AH$90,3,FALSE)</f>
        <v>104370.37999999999</v>
      </c>
      <c r="W2345" s="2">
        <f>6-MATCH(Auto_Sales_data___Copy[[#This Row],[DAYS_SINCE_LAST_ORDER]],Table2[R-Cutoff],1)</f>
        <v>1</v>
      </c>
      <c r="X2345" s="2">
        <f>MATCH(Auto_Sales_data___Copy[[#This Row],[Total_Orders_Per_Customer]],Table2[F-Cutoff],1)</f>
        <v>4</v>
      </c>
      <c r="Y2345" s="2">
        <f>MATCH(Auto_Sales_data___Copy[[#This Row],[Total_Sales_Per_Customer]],Table2[M-Cutoff],1)</f>
        <v>4</v>
      </c>
      <c r="Z2345" s="2" t="str">
        <f>Auto_Sales_data___Copy[[#This Row],[R-Score(1-5)]]&amp;Auto_Sales_data___Copy[[#This Row],[F-Score(1-5)]]&amp;Auto_Sales_data___Copy[[#This Row],[M-Score(1-5)]]</f>
        <v>144</v>
      </c>
      <c r="AA2345" s="2" t="str" cm="1">
        <f t="array" ref="AA23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5" s="2" t="str">
        <f>VLOOKUP(Auto_Sales_data___Copy[[#This Row],[Segment Name]],Table3[],2,FALSE)</f>
        <v>Brand Awareness &amp; Value Proposition</v>
      </c>
    </row>
    <row r="2346" spans="1:28" x14ac:dyDescent="0.25">
      <c r="A2346">
        <v>10151</v>
      </c>
      <c r="B2346">
        <v>26</v>
      </c>
      <c r="C2346">
        <v>123.85</v>
      </c>
      <c r="D2346">
        <v>1</v>
      </c>
      <c r="E2346">
        <v>3220.1</v>
      </c>
      <c r="F2346" s="1">
        <v>43364</v>
      </c>
      <c r="G2346" s="2" t="s">
        <v>19</v>
      </c>
      <c r="H2346" s="2" t="s">
        <v>537</v>
      </c>
      <c r="I2346">
        <v>115</v>
      </c>
      <c r="J2346" s="2" t="s">
        <v>703</v>
      </c>
      <c r="K2346" s="2" t="s">
        <v>411</v>
      </c>
      <c r="L2346" s="2" t="s">
        <v>412</v>
      </c>
      <c r="M2346" s="2" t="s">
        <v>413</v>
      </c>
      <c r="N2346" s="2" t="s">
        <v>414</v>
      </c>
      <c r="O2346" s="2" t="s">
        <v>415</v>
      </c>
      <c r="P2346" s="2" t="s">
        <v>127</v>
      </c>
      <c r="Q2346" s="2" t="s">
        <v>416</v>
      </c>
      <c r="R2346" s="2" t="s">
        <v>417</v>
      </c>
      <c r="S2346" s="2" t="s">
        <v>46</v>
      </c>
      <c r="T2346">
        <v>2929</v>
      </c>
      <c r="U2346">
        <f>VLOOKUP(Auto_Sales_data___Copy[[#This Row],[CUSTOMER_NAME]],$AF$2:$AH$90,2,FALSE)</f>
        <v>32</v>
      </c>
      <c r="V2346">
        <f>VLOOKUP(Auto_Sales_data___Copy[[#This Row],[CUSTOMER_NAME]],$AF$2:$AH$90,3,FALSE)</f>
        <v>104370.37999999999</v>
      </c>
      <c r="W2346" s="2">
        <f>6-MATCH(Auto_Sales_data___Copy[[#This Row],[DAYS_SINCE_LAST_ORDER]],Table2[R-Cutoff],1)</f>
        <v>1</v>
      </c>
      <c r="X2346" s="2">
        <f>MATCH(Auto_Sales_data___Copy[[#This Row],[Total_Orders_Per_Customer]],Table2[F-Cutoff],1)</f>
        <v>4</v>
      </c>
      <c r="Y2346" s="2">
        <f>MATCH(Auto_Sales_data___Copy[[#This Row],[Total_Sales_Per_Customer]],Table2[M-Cutoff],1)</f>
        <v>4</v>
      </c>
      <c r="Z2346" s="2" t="str">
        <f>Auto_Sales_data___Copy[[#This Row],[R-Score(1-5)]]&amp;Auto_Sales_data___Copy[[#This Row],[F-Score(1-5)]]&amp;Auto_Sales_data___Copy[[#This Row],[M-Score(1-5)]]</f>
        <v>144</v>
      </c>
      <c r="AA2346" s="2" t="str" cm="1">
        <f t="array" ref="AA23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6" s="2" t="str">
        <f>VLOOKUP(Auto_Sales_data___Copy[[#This Row],[Segment Name]],Table3[],2,FALSE)</f>
        <v>Brand Awareness &amp; Value Proposition</v>
      </c>
    </row>
    <row r="2347" spans="1:28" x14ac:dyDescent="0.25">
      <c r="A2347">
        <v>10155</v>
      </c>
      <c r="B2347">
        <v>32</v>
      </c>
      <c r="C2347">
        <v>91.43</v>
      </c>
      <c r="D2347">
        <v>9</v>
      </c>
      <c r="E2347">
        <v>2925.76</v>
      </c>
      <c r="F2347" s="1">
        <v>43379</v>
      </c>
      <c r="G2347" s="2" t="s">
        <v>19</v>
      </c>
      <c r="H2347" s="2" t="s">
        <v>642</v>
      </c>
      <c r="I2347">
        <v>90</v>
      </c>
      <c r="J2347" s="2" t="s">
        <v>709</v>
      </c>
      <c r="K2347" s="2" t="s">
        <v>122</v>
      </c>
      <c r="L2347" s="2" t="s">
        <v>123</v>
      </c>
      <c r="M2347" s="2" t="s">
        <v>124</v>
      </c>
      <c r="N2347" s="2" t="s">
        <v>125</v>
      </c>
      <c r="O2347" s="2" t="s">
        <v>126</v>
      </c>
      <c r="P2347" s="2" t="s">
        <v>127</v>
      </c>
      <c r="Q2347" s="2" t="s">
        <v>128</v>
      </c>
      <c r="R2347" s="2" t="s">
        <v>129</v>
      </c>
      <c r="S2347" s="2" t="s">
        <v>30</v>
      </c>
      <c r="T2347">
        <v>3068</v>
      </c>
      <c r="U2347">
        <f>VLOOKUP(Auto_Sales_data___Copy[[#This Row],[CUSTOMER_NAME]],$AF$2:$AH$90,2,FALSE)</f>
        <v>30</v>
      </c>
      <c r="V2347">
        <f>VLOOKUP(Auto_Sales_data___Copy[[#This Row],[CUSTOMER_NAME]],$AF$2:$AH$90,3,FALSE)</f>
        <v>111250.37999999999</v>
      </c>
      <c r="W2347" s="2">
        <f>6-MATCH(Auto_Sales_data___Copy[[#This Row],[DAYS_SINCE_LAST_ORDER]],Table2[R-Cutoff],1)</f>
        <v>1</v>
      </c>
      <c r="X2347" s="2">
        <f>MATCH(Auto_Sales_data___Copy[[#This Row],[Total_Orders_Per_Customer]],Table2[F-Cutoff],1)</f>
        <v>4</v>
      </c>
      <c r="Y2347" s="2">
        <f>MATCH(Auto_Sales_data___Copy[[#This Row],[Total_Sales_Per_Customer]],Table2[M-Cutoff],1)</f>
        <v>4</v>
      </c>
      <c r="Z2347" s="2" t="str">
        <f>Auto_Sales_data___Copy[[#This Row],[R-Score(1-5)]]&amp;Auto_Sales_data___Copy[[#This Row],[F-Score(1-5)]]&amp;Auto_Sales_data___Copy[[#This Row],[M-Score(1-5)]]</f>
        <v>144</v>
      </c>
      <c r="AA2347" s="2" t="str" cm="1">
        <f t="array" ref="AA23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7" s="2" t="str">
        <f>VLOOKUP(Auto_Sales_data___Copy[[#This Row],[Segment Name]],Table3[],2,FALSE)</f>
        <v>Brand Awareness &amp; Value Proposition</v>
      </c>
    </row>
    <row r="2348" spans="1:28" x14ac:dyDescent="0.25">
      <c r="A2348">
        <v>10155</v>
      </c>
      <c r="B2348">
        <v>20</v>
      </c>
      <c r="C2348">
        <v>117.67</v>
      </c>
      <c r="D2348">
        <v>2</v>
      </c>
      <c r="E2348">
        <v>2353.4</v>
      </c>
      <c r="F2348" s="1">
        <v>43379</v>
      </c>
      <c r="G2348" s="2" t="s">
        <v>19</v>
      </c>
      <c r="H2348" s="2" t="s">
        <v>607</v>
      </c>
      <c r="I2348">
        <v>99</v>
      </c>
      <c r="J2348" s="2" t="s">
        <v>710</v>
      </c>
      <c r="K2348" s="2" t="s">
        <v>122</v>
      </c>
      <c r="L2348" s="2" t="s">
        <v>123</v>
      </c>
      <c r="M2348" s="2" t="s">
        <v>124</v>
      </c>
      <c r="N2348" s="2" t="s">
        <v>125</v>
      </c>
      <c r="O2348" s="2" t="s">
        <v>126</v>
      </c>
      <c r="P2348" s="2" t="s">
        <v>127</v>
      </c>
      <c r="Q2348" s="2" t="s">
        <v>128</v>
      </c>
      <c r="R2348" s="2" t="s">
        <v>129</v>
      </c>
      <c r="S2348" s="2" t="s">
        <v>30</v>
      </c>
      <c r="T2348">
        <v>3094</v>
      </c>
      <c r="U2348">
        <f>VLOOKUP(Auto_Sales_data___Copy[[#This Row],[CUSTOMER_NAME]],$AF$2:$AH$90,2,FALSE)</f>
        <v>30</v>
      </c>
      <c r="V2348">
        <f>VLOOKUP(Auto_Sales_data___Copy[[#This Row],[CUSTOMER_NAME]],$AF$2:$AH$90,3,FALSE)</f>
        <v>111250.37999999999</v>
      </c>
      <c r="W2348" s="2">
        <f>6-MATCH(Auto_Sales_data___Copy[[#This Row],[DAYS_SINCE_LAST_ORDER]],Table2[R-Cutoff],1)</f>
        <v>1</v>
      </c>
      <c r="X2348" s="2">
        <f>MATCH(Auto_Sales_data___Copy[[#This Row],[Total_Orders_Per_Customer]],Table2[F-Cutoff],1)</f>
        <v>4</v>
      </c>
      <c r="Y2348" s="2">
        <f>MATCH(Auto_Sales_data___Copy[[#This Row],[Total_Sales_Per_Customer]],Table2[M-Cutoff],1)</f>
        <v>4</v>
      </c>
      <c r="Z2348" s="2" t="str">
        <f>Auto_Sales_data___Copy[[#This Row],[R-Score(1-5)]]&amp;Auto_Sales_data___Copy[[#This Row],[F-Score(1-5)]]&amp;Auto_Sales_data___Copy[[#This Row],[M-Score(1-5)]]</f>
        <v>144</v>
      </c>
      <c r="AA2348" s="2" t="str" cm="1">
        <f t="array" ref="AA23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8" s="2" t="str">
        <f>VLOOKUP(Auto_Sales_data___Copy[[#This Row],[Segment Name]],Table3[],2,FALSE)</f>
        <v>Brand Awareness &amp; Value Proposition</v>
      </c>
    </row>
    <row r="2349" spans="1:28" x14ac:dyDescent="0.25">
      <c r="A2349">
        <v>10155</v>
      </c>
      <c r="B2349">
        <v>43</v>
      </c>
      <c r="C2349">
        <v>86.4</v>
      </c>
      <c r="D2349">
        <v>1</v>
      </c>
      <c r="E2349">
        <v>3715.2</v>
      </c>
      <c r="F2349" s="1">
        <v>43379</v>
      </c>
      <c r="G2349" s="2" t="s">
        <v>19</v>
      </c>
      <c r="H2349" s="2" t="s">
        <v>607</v>
      </c>
      <c r="I2349">
        <v>80</v>
      </c>
      <c r="J2349" s="2" t="s">
        <v>714</v>
      </c>
      <c r="K2349" s="2" t="s">
        <v>122</v>
      </c>
      <c r="L2349" s="2" t="s">
        <v>123</v>
      </c>
      <c r="M2349" s="2" t="s">
        <v>124</v>
      </c>
      <c r="N2349" s="2" t="s">
        <v>125</v>
      </c>
      <c r="O2349" s="2" t="s">
        <v>126</v>
      </c>
      <c r="P2349" s="2" t="s">
        <v>127</v>
      </c>
      <c r="Q2349" s="2" t="s">
        <v>128</v>
      </c>
      <c r="R2349" s="2" t="s">
        <v>129</v>
      </c>
      <c r="S2349" s="2" t="s">
        <v>46</v>
      </c>
      <c r="T2349">
        <v>3198</v>
      </c>
      <c r="U2349">
        <f>VLOOKUP(Auto_Sales_data___Copy[[#This Row],[CUSTOMER_NAME]],$AF$2:$AH$90,2,FALSE)</f>
        <v>30</v>
      </c>
      <c r="V2349">
        <f>VLOOKUP(Auto_Sales_data___Copy[[#This Row],[CUSTOMER_NAME]],$AF$2:$AH$90,3,FALSE)</f>
        <v>111250.37999999999</v>
      </c>
      <c r="W2349" s="2">
        <f>6-MATCH(Auto_Sales_data___Copy[[#This Row],[DAYS_SINCE_LAST_ORDER]],Table2[R-Cutoff],1)</f>
        <v>1</v>
      </c>
      <c r="X2349" s="2">
        <f>MATCH(Auto_Sales_data___Copy[[#This Row],[Total_Orders_Per_Customer]],Table2[F-Cutoff],1)</f>
        <v>4</v>
      </c>
      <c r="Y2349" s="2">
        <f>MATCH(Auto_Sales_data___Copy[[#This Row],[Total_Sales_Per_Customer]],Table2[M-Cutoff],1)</f>
        <v>4</v>
      </c>
      <c r="Z2349" s="2" t="str">
        <f>Auto_Sales_data___Copy[[#This Row],[R-Score(1-5)]]&amp;Auto_Sales_data___Copy[[#This Row],[F-Score(1-5)]]&amp;Auto_Sales_data___Copy[[#This Row],[M-Score(1-5)]]</f>
        <v>144</v>
      </c>
      <c r="AA2349" s="2" t="str" cm="1">
        <f t="array" ref="AA23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9" s="2" t="str">
        <f>VLOOKUP(Auto_Sales_data___Copy[[#This Row],[Segment Name]],Table3[],2,FALSE)</f>
        <v>Brand Awareness &amp; Value Proposition</v>
      </c>
    </row>
    <row r="2350" spans="1:28" x14ac:dyDescent="0.25">
      <c r="A2350">
        <v>10155</v>
      </c>
      <c r="B2350">
        <v>44</v>
      </c>
      <c r="C2350">
        <v>85.87</v>
      </c>
      <c r="D2350">
        <v>3</v>
      </c>
      <c r="E2350">
        <v>3778.28</v>
      </c>
      <c r="F2350" s="1">
        <v>43379</v>
      </c>
      <c r="G2350" s="2" t="s">
        <v>19</v>
      </c>
      <c r="H2350" s="2" t="s">
        <v>607</v>
      </c>
      <c r="I2350">
        <v>74</v>
      </c>
      <c r="J2350" s="2" t="s">
        <v>717</v>
      </c>
      <c r="K2350" s="2" t="s">
        <v>122</v>
      </c>
      <c r="L2350" s="2" t="s">
        <v>123</v>
      </c>
      <c r="M2350" s="2" t="s">
        <v>124</v>
      </c>
      <c r="N2350" s="2" t="s">
        <v>125</v>
      </c>
      <c r="O2350" s="2" t="s">
        <v>126</v>
      </c>
      <c r="P2350" s="2" t="s">
        <v>127</v>
      </c>
      <c r="Q2350" s="2" t="s">
        <v>128</v>
      </c>
      <c r="R2350" s="2" t="s">
        <v>129</v>
      </c>
      <c r="S2350" s="2" t="s">
        <v>46</v>
      </c>
      <c r="T2350">
        <v>3276</v>
      </c>
      <c r="U2350">
        <f>VLOOKUP(Auto_Sales_data___Copy[[#This Row],[CUSTOMER_NAME]],$AF$2:$AH$90,2,FALSE)</f>
        <v>30</v>
      </c>
      <c r="V2350">
        <f>VLOOKUP(Auto_Sales_data___Copy[[#This Row],[CUSTOMER_NAME]],$AF$2:$AH$90,3,FALSE)</f>
        <v>111250.37999999999</v>
      </c>
      <c r="W2350" s="2">
        <f>6-MATCH(Auto_Sales_data___Copy[[#This Row],[DAYS_SINCE_LAST_ORDER]],Table2[R-Cutoff],1)</f>
        <v>1</v>
      </c>
      <c r="X2350" s="2">
        <f>MATCH(Auto_Sales_data___Copy[[#This Row],[Total_Orders_Per_Customer]],Table2[F-Cutoff],1)</f>
        <v>4</v>
      </c>
      <c r="Y2350" s="2">
        <f>MATCH(Auto_Sales_data___Copy[[#This Row],[Total_Sales_Per_Customer]],Table2[M-Cutoff],1)</f>
        <v>4</v>
      </c>
      <c r="Z2350" s="2" t="str">
        <f>Auto_Sales_data___Copy[[#This Row],[R-Score(1-5)]]&amp;Auto_Sales_data___Copy[[#This Row],[F-Score(1-5)]]&amp;Auto_Sales_data___Copy[[#This Row],[M-Score(1-5)]]</f>
        <v>144</v>
      </c>
      <c r="AA2350" s="2" t="str" cm="1">
        <f t="array" ref="AA23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0" s="2" t="str">
        <f>VLOOKUP(Auto_Sales_data___Copy[[#This Row],[Segment Name]],Table3[],2,FALSE)</f>
        <v>Brand Awareness &amp; Value Proposition</v>
      </c>
    </row>
    <row r="2351" spans="1:28" x14ac:dyDescent="0.25">
      <c r="A2351">
        <v>10155</v>
      </c>
      <c r="B2351">
        <v>34</v>
      </c>
      <c r="C2351">
        <v>49.16</v>
      </c>
      <c r="D2351">
        <v>8</v>
      </c>
      <c r="E2351">
        <v>1671.44</v>
      </c>
      <c r="F2351" s="1">
        <v>43379</v>
      </c>
      <c r="G2351" s="2" t="s">
        <v>19</v>
      </c>
      <c r="H2351" s="2" t="s">
        <v>607</v>
      </c>
      <c r="I2351">
        <v>49</v>
      </c>
      <c r="J2351" s="2" t="s">
        <v>718</v>
      </c>
      <c r="K2351" s="2" t="s">
        <v>122</v>
      </c>
      <c r="L2351" s="2" t="s">
        <v>123</v>
      </c>
      <c r="M2351" s="2" t="s">
        <v>124</v>
      </c>
      <c r="N2351" s="2" t="s">
        <v>125</v>
      </c>
      <c r="O2351" s="2" t="s">
        <v>126</v>
      </c>
      <c r="P2351" s="2" t="s">
        <v>127</v>
      </c>
      <c r="Q2351" s="2" t="s">
        <v>128</v>
      </c>
      <c r="R2351" s="2" t="s">
        <v>129</v>
      </c>
      <c r="S2351" s="2" t="s">
        <v>30</v>
      </c>
      <c r="T2351">
        <v>3303</v>
      </c>
      <c r="U2351">
        <f>VLOOKUP(Auto_Sales_data___Copy[[#This Row],[CUSTOMER_NAME]],$AF$2:$AH$90,2,FALSE)</f>
        <v>30</v>
      </c>
      <c r="V2351">
        <f>VLOOKUP(Auto_Sales_data___Copy[[#This Row],[CUSTOMER_NAME]],$AF$2:$AH$90,3,FALSE)</f>
        <v>111250.37999999999</v>
      </c>
      <c r="W2351" s="2">
        <f>6-MATCH(Auto_Sales_data___Copy[[#This Row],[DAYS_SINCE_LAST_ORDER]],Table2[R-Cutoff],1)</f>
        <v>1</v>
      </c>
      <c r="X2351" s="2">
        <f>MATCH(Auto_Sales_data___Copy[[#This Row],[Total_Orders_Per_Customer]],Table2[F-Cutoff],1)</f>
        <v>4</v>
      </c>
      <c r="Y2351" s="2">
        <f>MATCH(Auto_Sales_data___Copy[[#This Row],[Total_Sales_Per_Customer]],Table2[M-Cutoff],1)</f>
        <v>4</v>
      </c>
      <c r="Z2351" s="2" t="str">
        <f>Auto_Sales_data___Copy[[#This Row],[R-Score(1-5)]]&amp;Auto_Sales_data___Copy[[#This Row],[F-Score(1-5)]]&amp;Auto_Sales_data___Copy[[#This Row],[M-Score(1-5)]]</f>
        <v>144</v>
      </c>
      <c r="AA2351" s="2" t="str" cm="1">
        <f t="array" ref="AA23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1" s="2" t="str">
        <f>VLOOKUP(Auto_Sales_data___Copy[[#This Row],[Segment Name]],Table3[],2,FALSE)</f>
        <v>Brand Awareness &amp; Value Proposition</v>
      </c>
    </row>
    <row r="2352" spans="1:28" x14ac:dyDescent="0.25">
      <c r="A2352">
        <v>10165</v>
      </c>
      <c r="B2352">
        <v>24</v>
      </c>
      <c r="C2352">
        <v>99.36</v>
      </c>
      <c r="D2352">
        <v>8</v>
      </c>
      <c r="E2352">
        <v>2384.64</v>
      </c>
      <c r="F2352" s="1">
        <v>43395</v>
      </c>
      <c r="G2352" s="2" t="s">
        <v>19</v>
      </c>
      <c r="H2352" s="2" t="s">
        <v>183</v>
      </c>
      <c r="I2352">
        <v>118</v>
      </c>
      <c r="J2352" s="2" t="s">
        <v>690</v>
      </c>
      <c r="K2352" s="2" t="s">
        <v>199</v>
      </c>
      <c r="L2352" s="2" t="s">
        <v>200</v>
      </c>
      <c r="M2352" s="2" t="s">
        <v>201</v>
      </c>
      <c r="N2352" s="2" t="s">
        <v>202</v>
      </c>
      <c r="O2352" s="2" t="s">
        <v>203</v>
      </c>
      <c r="P2352" s="2" t="s">
        <v>202</v>
      </c>
      <c r="Q2352" s="2" t="s">
        <v>204</v>
      </c>
      <c r="R2352" s="2" t="s">
        <v>205</v>
      </c>
      <c r="S2352" s="2" t="s">
        <v>30</v>
      </c>
      <c r="T2352">
        <v>2573</v>
      </c>
      <c r="U2352">
        <f>VLOOKUP(Auto_Sales_data___Copy[[#This Row],[CUSTOMER_NAME]],$AF$2:$AH$90,2,FALSE)</f>
        <v>43</v>
      </c>
      <c r="V2352">
        <f>VLOOKUP(Auto_Sales_data___Copy[[#This Row],[CUSTOMER_NAME]],$AF$2:$AH$90,3,FALSE)</f>
        <v>172989.68000000008</v>
      </c>
      <c r="W2352" s="2">
        <f>6-MATCH(Auto_Sales_data___Copy[[#This Row],[DAYS_SINCE_LAST_ORDER]],Table2[R-Cutoff],1)</f>
        <v>1</v>
      </c>
      <c r="X2352" s="2">
        <f>MATCH(Auto_Sales_data___Copy[[#This Row],[Total_Orders_Per_Customer]],Table2[F-Cutoff],1)</f>
        <v>4</v>
      </c>
      <c r="Y2352" s="2">
        <f>MATCH(Auto_Sales_data___Copy[[#This Row],[Total_Sales_Per_Customer]],Table2[M-Cutoff],1)</f>
        <v>4</v>
      </c>
      <c r="Z2352" s="2" t="str">
        <f>Auto_Sales_data___Copy[[#This Row],[R-Score(1-5)]]&amp;Auto_Sales_data___Copy[[#This Row],[F-Score(1-5)]]&amp;Auto_Sales_data___Copy[[#This Row],[M-Score(1-5)]]</f>
        <v>144</v>
      </c>
      <c r="AA2352" s="2" t="str" cm="1">
        <f t="array" ref="AA23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2" s="2" t="str">
        <f>VLOOKUP(Auto_Sales_data___Copy[[#This Row],[Segment Name]],Table3[],2,FALSE)</f>
        <v>Brand Awareness &amp; Value Proposition</v>
      </c>
    </row>
    <row r="2353" spans="1:28" x14ac:dyDescent="0.25">
      <c r="A2353">
        <v>10165</v>
      </c>
      <c r="B2353">
        <v>48</v>
      </c>
      <c r="C2353">
        <v>45.99</v>
      </c>
      <c r="D2353">
        <v>14</v>
      </c>
      <c r="E2353">
        <v>2207.52</v>
      </c>
      <c r="F2353" s="1">
        <v>43395</v>
      </c>
      <c r="G2353" s="2" t="s">
        <v>19</v>
      </c>
      <c r="H2353" s="2" t="s">
        <v>537</v>
      </c>
      <c r="I2353">
        <v>54</v>
      </c>
      <c r="J2353" s="2" t="s">
        <v>697</v>
      </c>
      <c r="K2353" s="2" t="s">
        <v>199</v>
      </c>
      <c r="L2353" s="2" t="s">
        <v>200</v>
      </c>
      <c r="M2353" s="2" t="s">
        <v>201</v>
      </c>
      <c r="N2353" s="2" t="s">
        <v>202</v>
      </c>
      <c r="O2353" s="2" t="s">
        <v>203</v>
      </c>
      <c r="P2353" s="2" t="s">
        <v>202</v>
      </c>
      <c r="Q2353" s="2" t="s">
        <v>204</v>
      </c>
      <c r="R2353" s="2" t="s">
        <v>205</v>
      </c>
      <c r="S2353" s="2" t="s">
        <v>30</v>
      </c>
      <c r="T2353">
        <v>2745</v>
      </c>
      <c r="U2353">
        <f>VLOOKUP(Auto_Sales_data___Copy[[#This Row],[CUSTOMER_NAME]],$AF$2:$AH$90,2,FALSE)</f>
        <v>43</v>
      </c>
      <c r="V2353">
        <f>VLOOKUP(Auto_Sales_data___Copy[[#This Row],[CUSTOMER_NAME]],$AF$2:$AH$90,3,FALSE)</f>
        <v>172989.68000000008</v>
      </c>
      <c r="W2353" s="2">
        <f>6-MATCH(Auto_Sales_data___Copy[[#This Row],[DAYS_SINCE_LAST_ORDER]],Table2[R-Cutoff],1)</f>
        <v>1</v>
      </c>
      <c r="X2353" s="2">
        <f>MATCH(Auto_Sales_data___Copy[[#This Row],[Total_Orders_Per_Customer]],Table2[F-Cutoff],1)</f>
        <v>4</v>
      </c>
      <c r="Y2353" s="2">
        <f>MATCH(Auto_Sales_data___Copy[[#This Row],[Total_Sales_Per_Customer]],Table2[M-Cutoff],1)</f>
        <v>4</v>
      </c>
      <c r="Z2353" s="2" t="str">
        <f>Auto_Sales_data___Copy[[#This Row],[R-Score(1-5)]]&amp;Auto_Sales_data___Copy[[#This Row],[F-Score(1-5)]]&amp;Auto_Sales_data___Copy[[#This Row],[M-Score(1-5)]]</f>
        <v>144</v>
      </c>
      <c r="AA2353" s="2" t="str" cm="1">
        <f t="array" ref="AA23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3" s="2" t="str">
        <f>VLOOKUP(Auto_Sales_data___Copy[[#This Row],[Segment Name]],Table3[],2,FALSE)</f>
        <v>Brand Awareness &amp; Value Proposition</v>
      </c>
    </row>
    <row r="2354" spans="1:28" x14ac:dyDescent="0.25">
      <c r="A2354">
        <v>10165</v>
      </c>
      <c r="B2354">
        <v>44</v>
      </c>
      <c r="C2354">
        <v>53.44</v>
      </c>
      <c r="D2354">
        <v>7</v>
      </c>
      <c r="E2354">
        <v>2351.36</v>
      </c>
      <c r="F2354" s="1">
        <v>43395</v>
      </c>
      <c r="G2354" s="2" t="s">
        <v>19</v>
      </c>
      <c r="H2354" s="2" t="s">
        <v>650</v>
      </c>
      <c r="I2354">
        <v>62</v>
      </c>
      <c r="J2354" s="2" t="s">
        <v>698</v>
      </c>
      <c r="K2354" s="2" t="s">
        <v>199</v>
      </c>
      <c r="L2354" s="2" t="s">
        <v>200</v>
      </c>
      <c r="M2354" s="2" t="s">
        <v>201</v>
      </c>
      <c r="N2354" s="2" t="s">
        <v>202</v>
      </c>
      <c r="O2354" s="2" t="s">
        <v>203</v>
      </c>
      <c r="P2354" s="2" t="s">
        <v>202</v>
      </c>
      <c r="Q2354" s="2" t="s">
        <v>204</v>
      </c>
      <c r="R2354" s="2" t="s">
        <v>205</v>
      </c>
      <c r="S2354" s="2" t="s">
        <v>30</v>
      </c>
      <c r="T2354">
        <v>2773</v>
      </c>
      <c r="U2354">
        <f>VLOOKUP(Auto_Sales_data___Copy[[#This Row],[CUSTOMER_NAME]],$AF$2:$AH$90,2,FALSE)</f>
        <v>43</v>
      </c>
      <c r="V2354">
        <f>VLOOKUP(Auto_Sales_data___Copy[[#This Row],[CUSTOMER_NAME]],$AF$2:$AH$90,3,FALSE)</f>
        <v>172989.68000000008</v>
      </c>
      <c r="W2354" s="2">
        <f>6-MATCH(Auto_Sales_data___Copy[[#This Row],[DAYS_SINCE_LAST_ORDER]],Table2[R-Cutoff],1)</f>
        <v>1</v>
      </c>
      <c r="X2354" s="2">
        <f>MATCH(Auto_Sales_data___Copy[[#This Row],[Total_Orders_Per_Customer]],Table2[F-Cutoff],1)</f>
        <v>4</v>
      </c>
      <c r="Y2354" s="2">
        <f>MATCH(Auto_Sales_data___Copy[[#This Row],[Total_Sales_Per_Customer]],Table2[M-Cutoff],1)</f>
        <v>4</v>
      </c>
      <c r="Z2354" s="2" t="str">
        <f>Auto_Sales_data___Copy[[#This Row],[R-Score(1-5)]]&amp;Auto_Sales_data___Copy[[#This Row],[F-Score(1-5)]]&amp;Auto_Sales_data___Copy[[#This Row],[M-Score(1-5)]]</f>
        <v>144</v>
      </c>
      <c r="AA2354" s="2" t="str" cm="1">
        <f t="array" ref="AA23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4" s="2" t="str">
        <f>VLOOKUP(Auto_Sales_data___Copy[[#This Row],[Segment Name]],Table3[],2,FALSE)</f>
        <v>Brand Awareness &amp; Value Proposition</v>
      </c>
    </row>
    <row r="2355" spans="1:28" x14ac:dyDescent="0.25">
      <c r="A2355">
        <v>10165</v>
      </c>
      <c r="B2355">
        <v>48</v>
      </c>
      <c r="C2355">
        <v>94.92</v>
      </c>
      <c r="D2355">
        <v>10</v>
      </c>
      <c r="E2355">
        <v>4556.16</v>
      </c>
      <c r="F2355" s="1">
        <v>43395</v>
      </c>
      <c r="G2355" s="2" t="s">
        <v>19</v>
      </c>
      <c r="H2355" s="2" t="s">
        <v>537</v>
      </c>
      <c r="I2355">
        <v>115</v>
      </c>
      <c r="J2355" s="2" t="s">
        <v>703</v>
      </c>
      <c r="K2355" s="2" t="s">
        <v>199</v>
      </c>
      <c r="L2355" s="2" t="s">
        <v>200</v>
      </c>
      <c r="M2355" s="2" t="s">
        <v>201</v>
      </c>
      <c r="N2355" s="2" t="s">
        <v>202</v>
      </c>
      <c r="O2355" s="2" t="s">
        <v>203</v>
      </c>
      <c r="P2355" s="2" t="s">
        <v>202</v>
      </c>
      <c r="Q2355" s="2" t="s">
        <v>204</v>
      </c>
      <c r="R2355" s="2" t="s">
        <v>205</v>
      </c>
      <c r="S2355" s="2" t="s">
        <v>46</v>
      </c>
      <c r="T2355">
        <v>2899</v>
      </c>
      <c r="U2355">
        <f>VLOOKUP(Auto_Sales_data___Copy[[#This Row],[CUSTOMER_NAME]],$AF$2:$AH$90,2,FALSE)</f>
        <v>43</v>
      </c>
      <c r="V2355">
        <f>VLOOKUP(Auto_Sales_data___Copy[[#This Row],[CUSTOMER_NAME]],$AF$2:$AH$90,3,FALSE)</f>
        <v>172989.68000000008</v>
      </c>
      <c r="W2355" s="2">
        <f>6-MATCH(Auto_Sales_data___Copy[[#This Row],[DAYS_SINCE_LAST_ORDER]],Table2[R-Cutoff],1)</f>
        <v>1</v>
      </c>
      <c r="X2355" s="2">
        <f>MATCH(Auto_Sales_data___Copy[[#This Row],[Total_Orders_Per_Customer]],Table2[F-Cutoff],1)</f>
        <v>4</v>
      </c>
      <c r="Y2355" s="2">
        <f>MATCH(Auto_Sales_data___Copy[[#This Row],[Total_Sales_Per_Customer]],Table2[M-Cutoff],1)</f>
        <v>4</v>
      </c>
      <c r="Z2355" s="2" t="str">
        <f>Auto_Sales_data___Copy[[#This Row],[R-Score(1-5)]]&amp;Auto_Sales_data___Copy[[#This Row],[F-Score(1-5)]]&amp;Auto_Sales_data___Copy[[#This Row],[M-Score(1-5)]]</f>
        <v>144</v>
      </c>
      <c r="AA2355" s="2" t="str" cm="1">
        <f t="array" ref="AA23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5" s="2" t="str">
        <f>VLOOKUP(Auto_Sales_data___Copy[[#This Row],[Segment Name]],Table3[],2,FALSE)</f>
        <v>Brand Awareness &amp; Value Proposition</v>
      </c>
    </row>
    <row r="2356" spans="1:28" x14ac:dyDescent="0.25">
      <c r="A2356">
        <v>10165</v>
      </c>
      <c r="B2356">
        <v>38</v>
      </c>
      <c r="C2356">
        <v>66.78</v>
      </c>
      <c r="D2356">
        <v>5</v>
      </c>
      <c r="E2356">
        <v>2537.64</v>
      </c>
      <c r="F2356" s="1">
        <v>43395</v>
      </c>
      <c r="G2356" s="2" t="s">
        <v>19</v>
      </c>
      <c r="H2356" s="2" t="s">
        <v>650</v>
      </c>
      <c r="I2356">
        <v>58</v>
      </c>
      <c r="J2356" s="2" t="s">
        <v>704</v>
      </c>
      <c r="K2356" s="2" t="s">
        <v>199</v>
      </c>
      <c r="L2356" s="2" t="s">
        <v>200</v>
      </c>
      <c r="M2356" s="2" t="s">
        <v>201</v>
      </c>
      <c r="N2356" s="2" t="s">
        <v>202</v>
      </c>
      <c r="O2356" s="2" t="s">
        <v>203</v>
      </c>
      <c r="P2356" s="2" t="s">
        <v>202</v>
      </c>
      <c r="Q2356" s="2" t="s">
        <v>204</v>
      </c>
      <c r="R2356" s="2" t="s">
        <v>205</v>
      </c>
      <c r="S2356" s="2" t="s">
        <v>30</v>
      </c>
      <c r="T2356">
        <v>2927</v>
      </c>
      <c r="U2356">
        <f>VLOOKUP(Auto_Sales_data___Copy[[#This Row],[CUSTOMER_NAME]],$AF$2:$AH$90,2,FALSE)</f>
        <v>43</v>
      </c>
      <c r="V2356">
        <f>VLOOKUP(Auto_Sales_data___Copy[[#This Row],[CUSTOMER_NAME]],$AF$2:$AH$90,3,FALSE)</f>
        <v>172989.68000000008</v>
      </c>
      <c r="W2356" s="2">
        <f>6-MATCH(Auto_Sales_data___Copy[[#This Row],[DAYS_SINCE_LAST_ORDER]],Table2[R-Cutoff],1)</f>
        <v>1</v>
      </c>
      <c r="X2356" s="2">
        <f>MATCH(Auto_Sales_data___Copy[[#This Row],[Total_Orders_Per_Customer]],Table2[F-Cutoff],1)</f>
        <v>4</v>
      </c>
      <c r="Y2356" s="2">
        <f>MATCH(Auto_Sales_data___Copy[[#This Row],[Total_Sales_Per_Customer]],Table2[M-Cutoff],1)</f>
        <v>4</v>
      </c>
      <c r="Z2356" s="2" t="str">
        <f>Auto_Sales_data___Copy[[#This Row],[R-Score(1-5)]]&amp;Auto_Sales_data___Copy[[#This Row],[F-Score(1-5)]]&amp;Auto_Sales_data___Copy[[#This Row],[M-Score(1-5)]]</f>
        <v>144</v>
      </c>
      <c r="AA2356" s="2" t="str" cm="1">
        <f t="array" ref="AA23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6" s="2" t="str">
        <f>VLOOKUP(Auto_Sales_data___Copy[[#This Row],[Segment Name]],Table3[],2,FALSE)</f>
        <v>Brand Awareness &amp; Value Proposition</v>
      </c>
    </row>
    <row r="2357" spans="1:28" x14ac:dyDescent="0.25">
      <c r="A2357">
        <v>10167</v>
      </c>
      <c r="B2357">
        <v>43</v>
      </c>
      <c r="C2357">
        <v>75.34</v>
      </c>
      <c r="D2357">
        <v>12</v>
      </c>
      <c r="E2357">
        <v>3239.62</v>
      </c>
      <c r="F2357" s="1">
        <v>43396</v>
      </c>
      <c r="G2357" s="2" t="s">
        <v>358</v>
      </c>
      <c r="H2357" s="2" t="s">
        <v>642</v>
      </c>
      <c r="I2357">
        <v>66</v>
      </c>
      <c r="J2357" s="2" t="s">
        <v>706</v>
      </c>
      <c r="K2357" s="2" t="s">
        <v>272</v>
      </c>
      <c r="L2357" s="2" t="s">
        <v>273</v>
      </c>
      <c r="M2357" s="2" t="s">
        <v>274</v>
      </c>
      <c r="N2357" s="2" t="s">
        <v>275</v>
      </c>
      <c r="O2357" s="2" t="s">
        <v>276</v>
      </c>
      <c r="P2357" s="2" t="s">
        <v>190</v>
      </c>
      <c r="Q2357" s="2" t="s">
        <v>277</v>
      </c>
      <c r="R2357" s="2" t="s">
        <v>209</v>
      </c>
      <c r="S2357" s="2" t="s">
        <v>46</v>
      </c>
      <c r="T2357">
        <v>2976</v>
      </c>
      <c r="U2357">
        <f>VLOOKUP(Auto_Sales_data___Copy[[#This Row],[CUSTOMER_NAME]],$AF$2:$AH$90,2,FALSE)</f>
        <v>38</v>
      </c>
      <c r="V2357">
        <f>VLOOKUP(Auto_Sales_data___Copy[[#This Row],[CUSTOMER_NAME]],$AF$2:$AH$90,3,FALSE)</f>
        <v>134259.32999999996</v>
      </c>
      <c r="W2357" s="2">
        <f>6-MATCH(Auto_Sales_data___Copy[[#This Row],[DAYS_SINCE_LAST_ORDER]],Table2[R-Cutoff],1)</f>
        <v>1</v>
      </c>
      <c r="X2357" s="2">
        <f>MATCH(Auto_Sales_data___Copy[[#This Row],[Total_Orders_Per_Customer]],Table2[F-Cutoff],1)</f>
        <v>4</v>
      </c>
      <c r="Y2357" s="2">
        <f>MATCH(Auto_Sales_data___Copy[[#This Row],[Total_Sales_Per_Customer]],Table2[M-Cutoff],1)</f>
        <v>4</v>
      </c>
      <c r="Z2357" s="2" t="str">
        <f>Auto_Sales_data___Copy[[#This Row],[R-Score(1-5)]]&amp;Auto_Sales_data___Copy[[#This Row],[F-Score(1-5)]]&amp;Auto_Sales_data___Copy[[#This Row],[M-Score(1-5)]]</f>
        <v>144</v>
      </c>
      <c r="AA2357" s="2" t="str" cm="1">
        <f t="array" ref="AA23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7" s="2" t="str">
        <f>VLOOKUP(Auto_Sales_data___Copy[[#This Row],[Segment Name]],Table3[],2,FALSE)</f>
        <v>Brand Awareness &amp; Value Proposition</v>
      </c>
    </row>
    <row r="2358" spans="1:28" x14ac:dyDescent="0.25">
      <c r="A2358">
        <v>10167</v>
      </c>
      <c r="B2358">
        <v>29</v>
      </c>
      <c r="C2358">
        <v>101.38</v>
      </c>
      <c r="D2358">
        <v>5</v>
      </c>
      <c r="E2358">
        <v>2940.02</v>
      </c>
      <c r="F2358" s="1">
        <v>43396</v>
      </c>
      <c r="G2358" s="2" t="s">
        <v>358</v>
      </c>
      <c r="H2358" s="2" t="s">
        <v>642</v>
      </c>
      <c r="I2358">
        <v>90</v>
      </c>
      <c r="J2358" s="2" t="s">
        <v>709</v>
      </c>
      <c r="K2358" s="2" t="s">
        <v>272</v>
      </c>
      <c r="L2358" s="2" t="s">
        <v>273</v>
      </c>
      <c r="M2358" s="2" t="s">
        <v>274</v>
      </c>
      <c r="N2358" s="2" t="s">
        <v>275</v>
      </c>
      <c r="O2358" s="2" t="s">
        <v>276</v>
      </c>
      <c r="P2358" s="2" t="s">
        <v>190</v>
      </c>
      <c r="Q2358" s="2" t="s">
        <v>277</v>
      </c>
      <c r="R2358" s="2" t="s">
        <v>209</v>
      </c>
      <c r="S2358" s="2" t="s">
        <v>30</v>
      </c>
      <c r="T2358">
        <v>3052</v>
      </c>
      <c r="U2358">
        <f>VLOOKUP(Auto_Sales_data___Copy[[#This Row],[CUSTOMER_NAME]],$AF$2:$AH$90,2,FALSE)</f>
        <v>38</v>
      </c>
      <c r="V2358">
        <f>VLOOKUP(Auto_Sales_data___Copy[[#This Row],[CUSTOMER_NAME]],$AF$2:$AH$90,3,FALSE)</f>
        <v>134259.32999999996</v>
      </c>
      <c r="W2358" s="2">
        <f>6-MATCH(Auto_Sales_data___Copy[[#This Row],[DAYS_SINCE_LAST_ORDER]],Table2[R-Cutoff],1)</f>
        <v>1</v>
      </c>
      <c r="X2358" s="2">
        <f>MATCH(Auto_Sales_data___Copy[[#This Row],[Total_Orders_Per_Customer]],Table2[F-Cutoff],1)</f>
        <v>4</v>
      </c>
      <c r="Y2358" s="2">
        <f>MATCH(Auto_Sales_data___Copy[[#This Row],[Total_Sales_Per_Customer]],Table2[M-Cutoff],1)</f>
        <v>4</v>
      </c>
      <c r="Z2358" s="2" t="str">
        <f>Auto_Sales_data___Copy[[#This Row],[R-Score(1-5)]]&amp;Auto_Sales_data___Copy[[#This Row],[F-Score(1-5)]]&amp;Auto_Sales_data___Copy[[#This Row],[M-Score(1-5)]]</f>
        <v>144</v>
      </c>
      <c r="AA2358" s="2" t="str" cm="1">
        <f t="array" ref="AA23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8" s="2" t="str">
        <f>VLOOKUP(Auto_Sales_data___Copy[[#This Row],[Segment Name]],Table3[],2,FALSE)</f>
        <v>Brand Awareness &amp; Value Proposition</v>
      </c>
    </row>
    <row r="2359" spans="1:28" x14ac:dyDescent="0.25">
      <c r="A2359">
        <v>10167</v>
      </c>
      <c r="B2359">
        <v>46</v>
      </c>
      <c r="C2359">
        <v>70.11</v>
      </c>
      <c r="D2359">
        <v>10</v>
      </c>
      <c r="E2359">
        <v>3225.06</v>
      </c>
      <c r="F2359" s="1">
        <v>43396</v>
      </c>
      <c r="G2359" s="2" t="s">
        <v>358</v>
      </c>
      <c r="H2359" s="2" t="s">
        <v>642</v>
      </c>
      <c r="I2359">
        <v>72</v>
      </c>
      <c r="J2359" s="2" t="s">
        <v>711</v>
      </c>
      <c r="K2359" s="2" t="s">
        <v>272</v>
      </c>
      <c r="L2359" s="2" t="s">
        <v>273</v>
      </c>
      <c r="M2359" s="2" t="s">
        <v>274</v>
      </c>
      <c r="N2359" s="2" t="s">
        <v>275</v>
      </c>
      <c r="O2359" s="2" t="s">
        <v>276</v>
      </c>
      <c r="P2359" s="2" t="s">
        <v>190</v>
      </c>
      <c r="Q2359" s="2" t="s">
        <v>277</v>
      </c>
      <c r="R2359" s="2" t="s">
        <v>209</v>
      </c>
      <c r="S2359" s="2" t="s">
        <v>46</v>
      </c>
      <c r="T2359">
        <v>3105</v>
      </c>
      <c r="U2359">
        <f>VLOOKUP(Auto_Sales_data___Copy[[#This Row],[CUSTOMER_NAME]],$AF$2:$AH$90,2,FALSE)</f>
        <v>38</v>
      </c>
      <c r="V2359">
        <f>VLOOKUP(Auto_Sales_data___Copy[[#This Row],[CUSTOMER_NAME]],$AF$2:$AH$90,3,FALSE)</f>
        <v>134259.32999999996</v>
      </c>
      <c r="W2359" s="2">
        <f>6-MATCH(Auto_Sales_data___Copy[[#This Row],[DAYS_SINCE_LAST_ORDER]],Table2[R-Cutoff],1)</f>
        <v>1</v>
      </c>
      <c r="X2359" s="2">
        <f>MATCH(Auto_Sales_data___Copy[[#This Row],[Total_Orders_Per_Customer]],Table2[F-Cutoff],1)</f>
        <v>4</v>
      </c>
      <c r="Y2359" s="2">
        <f>MATCH(Auto_Sales_data___Copy[[#This Row],[Total_Sales_Per_Customer]],Table2[M-Cutoff],1)</f>
        <v>4</v>
      </c>
      <c r="Z2359" s="2" t="str">
        <f>Auto_Sales_data___Copy[[#This Row],[R-Score(1-5)]]&amp;Auto_Sales_data___Copy[[#This Row],[F-Score(1-5)]]&amp;Auto_Sales_data___Copy[[#This Row],[M-Score(1-5)]]</f>
        <v>144</v>
      </c>
      <c r="AA2359" s="2" t="str" cm="1">
        <f t="array" ref="AA23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9" s="2" t="str">
        <f>VLOOKUP(Auto_Sales_data___Copy[[#This Row],[Segment Name]],Table3[],2,FALSE)</f>
        <v>Brand Awareness &amp; Value Proposition</v>
      </c>
    </row>
    <row r="2360" spans="1:28" x14ac:dyDescent="0.25">
      <c r="A2360">
        <v>10167</v>
      </c>
      <c r="B2360">
        <v>24</v>
      </c>
      <c r="C2360">
        <v>117.2</v>
      </c>
      <c r="D2360">
        <v>13</v>
      </c>
      <c r="E2360">
        <v>2812.8</v>
      </c>
      <c r="F2360" s="1">
        <v>43396</v>
      </c>
      <c r="G2360" s="2" t="s">
        <v>358</v>
      </c>
      <c r="H2360" s="2" t="s">
        <v>642</v>
      </c>
      <c r="I2360">
        <v>100</v>
      </c>
      <c r="J2360" s="2" t="s">
        <v>715</v>
      </c>
      <c r="K2360" s="2" t="s">
        <v>272</v>
      </c>
      <c r="L2360" s="2" t="s">
        <v>273</v>
      </c>
      <c r="M2360" s="2" t="s">
        <v>274</v>
      </c>
      <c r="N2360" s="2" t="s">
        <v>275</v>
      </c>
      <c r="O2360" s="2" t="s">
        <v>276</v>
      </c>
      <c r="P2360" s="2" t="s">
        <v>190</v>
      </c>
      <c r="Q2360" s="2" t="s">
        <v>277</v>
      </c>
      <c r="R2360" s="2" t="s">
        <v>209</v>
      </c>
      <c r="S2360" s="2" t="s">
        <v>30</v>
      </c>
      <c r="T2360">
        <v>3208</v>
      </c>
      <c r="U2360">
        <f>VLOOKUP(Auto_Sales_data___Copy[[#This Row],[CUSTOMER_NAME]],$AF$2:$AH$90,2,FALSE)</f>
        <v>38</v>
      </c>
      <c r="V2360">
        <f>VLOOKUP(Auto_Sales_data___Copy[[#This Row],[CUSTOMER_NAME]],$AF$2:$AH$90,3,FALSE)</f>
        <v>134259.32999999996</v>
      </c>
      <c r="W2360" s="2">
        <f>6-MATCH(Auto_Sales_data___Copy[[#This Row],[DAYS_SINCE_LAST_ORDER]],Table2[R-Cutoff],1)</f>
        <v>1</v>
      </c>
      <c r="X2360" s="2">
        <f>MATCH(Auto_Sales_data___Copy[[#This Row],[Total_Orders_Per_Customer]],Table2[F-Cutoff],1)</f>
        <v>4</v>
      </c>
      <c r="Y2360" s="2">
        <f>MATCH(Auto_Sales_data___Copy[[#This Row],[Total_Sales_Per_Customer]],Table2[M-Cutoff],1)</f>
        <v>4</v>
      </c>
      <c r="Z2360" s="2" t="str">
        <f>Auto_Sales_data___Copy[[#This Row],[R-Score(1-5)]]&amp;Auto_Sales_data___Copy[[#This Row],[F-Score(1-5)]]&amp;Auto_Sales_data___Copy[[#This Row],[M-Score(1-5)]]</f>
        <v>144</v>
      </c>
      <c r="AA2360" s="2" t="str" cm="1">
        <f t="array" ref="AA23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0" s="2" t="str">
        <f>VLOOKUP(Auto_Sales_data___Copy[[#This Row],[Segment Name]],Table3[],2,FALSE)</f>
        <v>Brand Awareness &amp; Value Proposition</v>
      </c>
    </row>
    <row r="2361" spans="1:28" x14ac:dyDescent="0.25">
      <c r="A2361">
        <v>10167</v>
      </c>
      <c r="B2361">
        <v>28</v>
      </c>
      <c r="C2361">
        <v>107.25</v>
      </c>
      <c r="D2361">
        <v>14</v>
      </c>
      <c r="E2361">
        <v>3003</v>
      </c>
      <c r="F2361" s="1">
        <v>43396</v>
      </c>
      <c r="G2361" s="2" t="s">
        <v>358</v>
      </c>
      <c r="H2361" s="2" t="s">
        <v>642</v>
      </c>
      <c r="I2361">
        <v>99</v>
      </c>
      <c r="J2361" s="2" t="s">
        <v>716</v>
      </c>
      <c r="K2361" s="2" t="s">
        <v>272</v>
      </c>
      <c r="L2361" s="2" t="s">
        <v>273</v>
      </c>
      <c r="M2361" s="2" t="s">
        <v>274</v>
      </c>
      <c r="N2361" s="2" t="s">
        <v>275</v>
      </c>
      <c r="O2361" s="2" t="s">
        <v>276</v>
      </c>
      <c r="P2361" s="2" t="s">
        <v>190</v>
      </c>
      <c r="Q2361" s="2" t="s">
        <v>277</v>
      </c>
      <c r="R2361" s="2" t="s">
        <v>209</v>
      </c>
      <c r="S2361" s="2" t="s">
        <v>46</v>
      </c>
      <c r="T2361">
        <v>3234</v>
      </c>
      <c r="U2361">
        <f>VLOOKUP(Auto_Sales_data___Copy[[#This Row],[CUSTOMER_NAME]],$AF$2:$AH$90,2,FALSE)</f>
        <v>38</v>
      </c>
      <c r="V2361">
        <f>VLOOKUP(Auto_Sales_data___Copy[[#This Row],[CUSTOMER_NAME]],$AF$2:$AH$90,3,FALSE)</f>
        <v>134259.32999999996</v>
      </c>
      <c r="W2361" s="2">
        <f>6-MATCH(Auto_Sales_data___Copy[[#This Row],[DAYS_SINCE_LAST_ORDER]],Table2[R-Cutoff],1)</f>
        <v>1</v>
      </c>
      <c r="X2361" s="2">
        <f>MATCH(Auto_Sales_data___Copy[[#This Row],[Total_Orders_Per_Customer]],Table2[F-Cutoff],1)</f>
        <v>4</v>
      </c>
      <c r="Y2361" s="2">
        <f>MATCH(Auto_Sales_data___Copy[[#This Row],[Total_Sales_Per_Customer]],Table2[M-Cutoff],1)</f>
        <v>4</v>
      </c>
      <c r="Z2361" s="2" t="str">
        <f>Auto_Sales_data___Copy[[#This Row],[R-Score(1-5)]]&amp;Auto_Sales_data___Copy[[#This Row],[F-Score(1-5)]]&amp;Auto_Sales_data___Copy[[#This Row],[M-Score(1-5)]]</f>
        <v>144</v>
      </c>
      <c r="AA2361" s="2" t="str" cm="1">
        <f t="array" ref="AA23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1" s="2" t="str">
        <f>VLOOKUP(Auto_Sales_data___Copy[[#This Row],[Segment Name]],Table3[],2,FALSE)</f>
        <v>Brand Awareness &amp; Value Proposition</v>
      </c>
    </row>
    <row r="2362" spans="1:28" x14ac:dyDescent="0.25">
      <c r="A2362">
        <v>10167</v>
      </c>
      <c r="B2362">
        <v>40</v>
      </c>
      <c r="C2362">
        <v>41.71</v>
      </c>
      <c r="D2362">
        <v>4</v>
      </c>
      <c r="E2362">
        <v>1668.4</v>
      </c>
      <c r="F2362" s="1">
        <v>43396</v>
      </c>
      <c r="G2362" s="2" t="s">
        <v>358</v>
      </c>
      <c r="H2362" s="2" t="s">
        <v>607</v>
      </c>
      <c r="I2362">
        <v>49</v>
      </c>
      <c r="J2362" s="2" t="s">
        <v>718</v>
      </c>
      <c r="K2362" s="2" t="s">
        <v>272</v>
      </c>
      <c r="L2362" s="2" t="s">
        <v>273</v>
      </c>
      <c r="M2362" s="2" t="s">
        <v>274</v>
      </c>
      <c r="N2362" s="2" t="s">
        <v>275</v>
      </c>
      <c r="O2362" s="2" t="s">
        <v>276</v>
      </c>
      <c r="P2362" s="2" t="s">
        <v>190</v>
      </c>
      <c r="Q2362" s="2" t="s">
        <v>277</v>
      </c>
      <c r="R2362" s="2" t="s">
        <v>209</v>
      </c>
      <c r="S2362" s="2" t="s">
        <v>30</v>
      </c>
      <c r="T2362">
        <v>3287</v>
      </c>
      <c r="U2362">
        <f>VLOOKUP(Auto_Sales_data___Copy[[#This Row],[CUSTOMER_NAME]],$AF$2:$AH$90,2,FALSE)</f>
        <v>38</v>
      </c>
      <c r="V2362">
        <f>VLOOKUP(Auto_Sales_data___Copy[[#This Row],[CUSTOMER_NAME]],$AF$2:$AH$90,3,FALSE)</f>
        <v>134259.32999999996</v>
      </c>
      <c r="W2362" s="2">
        <f>6-MATCH(Auto_Sales_data___Copy[[#This Row],[DAYS_SINCE_LAST_ORDER]],Table2[R-Cutoff],1)</f>
        <v>1</v>
      </c>
      <c r="X2362" s="2">
        <f>MATCH(Auto_Sales_data___Copy[[#This Row],[Total_Orders_Per_Customer]],Table2[F-Cutoff],1)</f>
        <v>4</v>
      </c>
      <c r="Y2362" s="2">
        <f>MATCH(Auto_Sales_data___Copy[[#This Row],[Total_Sales_Per_Customer]],Table2[M-Cutoff],1)</f>
        <v>4</v>
      </c>
      <c r="Z2362" s="2" t="str">
        <f>Auto_Sales_data___Copy[[#This Row],[R-Score(1-5)]]&amp;Auto_Sales_data___Copy[[#This Row],[F-Score(1-5)]]&amp;Auto_Sales_data___Copy[[#This Row],[M-Score(1-5)]]</f>
        <v>144</v>
      </c>
      <c r="AA2362" s="2" t="str" cm="1">
        <f t="array" ref="AA23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2" s="2" t="str">
        <f>VLOOKUP(Auto_Sales_data___Copy[[#This Row],[Segment Name]],Table3[],2,FALSE)</f>
        <v>Brand Awareness &amp; Value Proposition</v>
      </c>
    </row>
    <row r="2363" spans="1:28" x14ac:dyDescent="0.25">
      <c r="A2363">
        <v>10167</v>
      </c>
      <c r="B2363">
        <v>38</v>
      </c>
      <c r="C2363">
        <v>48.59</v>
      </c>
      <c r="D2363">
        <v>15</v>
      </c>
      <c r="E2363">
        <v>1846.42</v>
      </c>
      <c r="F2363" s="1">
        <v>43396</v>
      </c>
      <c r="G2363" s="2" t="s">
        <v>358</v>
      </c>
      <c r="H2363" s="2" t="s">
        <v>642</v>
      </c>
      <c r="I2363">
        <v>54</v>
      </c>
      <c r="J2363" s="2" t="s">
        <v>719</v>
      </c>
      <c r="K2363" s="2" t="s">
        <v>272</v>
      </c>
      <c r="L2363" s="2" t="s">
        <v>273</v>
      </c>
      <c r="M2363" s="2" t="s">
        <v>274</v>
      </c>
      <c r="N2363" s="2" t="s">
        <v>275</v>
      </c>
      <c r="O2363" s="2" t="s">
        <v>276</v>
      </c>
      <c r="P2363" s="2" t="s">
        <v>190</v>
      </c>
      <c r="Q2363" s="2" t="s">
        <v>277</v>
      </c>
      <c r="R2363" s="2" t="s">
        <v>209</v>
      </c>
      <c r="S2363" s="2" t="s">
        <v>30</v>
      </c>
      <c r="T2363">
        <v>3313</v>
      </c>
      <c r="U2363">
        <f>VLOOKUP(Auto_Sales_data___Copy[[#This Row],[CUSTOMER_NAME]],$AF$2:$AH$90,2,FALSE)</f>
        <v>38</v>
      </c>
      <c r="V2363">
        <f>VLOOKUP(Auto_Sales_data___Copy[[#This Row],[CUSTOMER_NAME]],$AF$2:$AH$90,3,FALSE)</f>
        <v>134259.32999999996</v>
      </c>
      <c r="W2363" s="2">
        <f>6-MATCH(Auto_Sales_data___Copy[[#This Row],[DAYS_SINCE_LAST_ORDER]],Table2[R-Cutoff],1)</f>
        <v>1</v>
      </c>
      <c r="X2363" s="2">
        <f>MATCH(Auto_Sales_data___Copy[[#This Row],[Total_Orders_Per_Customer]],Table2[F-Cutoff],1)</f>
        <v>4</v>
      </c>
      <c r="Y2363" s="2">
        <f>MATCH(Auto_Sales_data___Copy[[#This Row],[Total_Sales_Per_Customer]],Table2[M-Cutoff],1)</f>
        <v>4</v>
      </c>
      <c r="Z2363" s="2" t="str">
        <f>Auto_Sales_data___Copy[[#This Row],[R-Score(1-5)]]&amp;Auto_Sales_data___Copy[[#This Row],[F-Score(1-5)]]&amp;Auto_Sales_data___Copy[[#This Row],[M-Score(1-5)]]</f>
        <v>144</v>
      </c>
      <c r="AA2363" s="2" t="str" cm="1">
        <f t="array" ref="AA23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3" s="2" t="str">
        <f>VLOOKUP(Auto_Sales_data___Copy[[#This Row],[Segment Name]],Table3[],2,FALSE)</f>
        <v>Brand Awareness &amp; Value Proposition</v>
      </c>
    </row>
    <row r="2364" spans="1:28" x14ac:dyDescent="0.25">
      <c r="A2364">
        <v>10168</v>
      </c>
      <c r="B2364">
        <v>48</v>
      </c>
      <c r="C2364">
        <v>78.25</v>
      </c>
      <c r="D2364">
        <v>10</v>
      </c>
      <c r="E2364">
        <v>3756</v>
      </c>
      <c r="F2364" s="1">
        <v>43401</v>
      </c>
      <c r="G2364" s="2" t="s">
        <v>19</v>
      </c>
      <c r="H2364" s="2" t="s">
        <v>607</v>
      </c>
      <c r="I2364">
        <v>72</v>
      </c>
      <c r="J2364" s="2" t="s">
        <v>692</v>
      </c>
      <c r="K2364" s="2" t="s">
        <v>54</v>
      </c>
      <c r="L2364" s="2" t="s">
        <v>55</v>
      </c>
      <c r="M2364" s="2" t="s">
        <v>56</v>
      </c>
      <c r="N2364" s="2" t="s">
        <v>57</v>
      </c>
      <c r="O2364" s="2" t="s">
        <v>58</v>
      </c>
      <c r="P2364" s="2" t="s">
        <v>27</v>
      </c>
      <c r="Q2364" s="2" t="s">
        <v>59</v>
      </c>
      <c r="R2364" s="2" t="s">
        <v>60</v>
      </c>
      <c r="S2364" s="2" t="s">
        <v>46</v>
      </c>
      <c r="T2364">
        <v>2616</v>
      </c>
      <c r="U2364">
        <f>VLOOKUP(Auto_Sales_data___Copy[[#This Row],[CUSTOMER_NAME]],$AF$2:$AH$90,2,FALSE)</f>
        <v>34</v>
      </c>
      <c r="V2364">
        <f>VLOOKUP(Auto_Sales_data___Copy[[#This Row],[CUSTOMER_NAME]],$AF$2:$AH$90,3,FALSE)</f>
        <v>120783.07</v>
      </c>
      <c r="W2364" s="2">
        <f>6-MATCH(Auto_Sales_data___Copy[[#This Row],[DAYS_SINCE_LAST_ORDER]],Table2[R-Cutoff],1)</f>
        <v>1</v>
      </c>
      <c r="X2364" s="2">
        <f>MATCH(Auto_Sales_data___Copy[[#This Row],[Total_Orders_Per_Customer]],Table2[F-Cutoff],1)</f>
        <v>4</v>
      </c>
      <c r="Y2364" s="2">
        <f>MATCH(Auto_Sales_data___Copy[[#This Row],[Total_Sales_Per_Customer]],Table2[M-Cutoff],1)</f>
        <v>4</v>
      </c>
      <c r="Z2364" s="2" t="str">
        <f>Auto_Sales_data___Copy[[#This Row],[R-Score(1-5)]]&amp;Auto_Sales_data___Copy[[#This Row],[F-Score(1-5)]]&amp;Auto_Sales_data___Copy[[#This Row],[M-Score(1-5)]]</f>
        <v>144</v>
      </c>
      <c r="AA2364" s="2" t="str" cm="1">
        <f t="array" ref="AA23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4" s="2" t="str">
        <f>VLOOKUP(Auto_Sales_data___Copy[[#This Row],[Segment Name]],Table3[],2,FALSE)</f>
        <v>Brand Awareness &amp; Value Proposition</v>
      </c>
    </row>
    <row r="2365" spans="1:28" x14ac:dyDescent="0.25">
      <c r="A2365">
        <v>10168</v>
      </c>
      <c r="B2365">
        <v>28</v>
      </c>
      <c r="C2365">
        <v>115.87</v>
      </c>
      <c r="D2365">
        <v>7</v>
      </c>
      <c r="E2365">
        <v>3244.36</v>
      </c>
      <c r="F2365" s="1">
        <v>43401</v>
      </c>
      <c r="G2365" s="2" t="s">
        <v>19</v>
      </c>
      <c r="H2365" s="2" t="s">
        <v>20</v>
      </c>
      <c r="I2365">
        <v>99</v>
      </c>
      <c r="J2365" s="2" t="s">
        <v>695</v>
      </c>
      <c r="K2365" s="2" t="s">
        <v>54</v>
      </c>
      <c r="L2365" s="2" t="s">
        <v>55</v>
      </c>
      <c r="M2365" s="2" t="s">
        <v>56</v>
      </c>
      <c r="N2365" s="2" t="s">
        <v>57</v>
      </c>
      <c r="O2365" s="2" t="s">
        <v>58</v>
      </c>
      <c r="P2365" s="2" t="s">
        <v>27</v>
      </c>
      <c r="Q2365" s="2" t="s">
        <v>59</v>
      </c>
      <c r="R2365" s="2" t="s">
        <v>60</v>
      </c>
      <c r="S2365" s="2" t="s">
        <v>46</v>
      </c>
      <c r="T2365">
        <v>2690</v>
      </c>
      <c r="U2365">
        <f>VLOOKUP(Auto_Sales_data___Copy[[#This Row],[CUSTOMER_NAME]],$AF$2:$AH$90,2,FALSE)</f>
        <v>34</v>
      </c>
      <c r="V2365">
        <f>VLOOKUP(Auto_Sales_data___Copy[[#This Row],[CUSTOMER_NAME]],$AF$2:$AH$90,3,FALSE)</f>
        <v>120783.07</v>
      </c>
      <c r="W2365" s="2">
        <f>6-MATCH(Auto_Sales_data___Copy[[#This Row],[DAYS_SINCE_LAST_ORDER]],Table2[R-Cutoff],1)</f>
        <v>1</v>
      </c>
      <c r="X2365" s="2">
        <f>MATCH(Auto_Sales_data___Copy[[#This Row],[Total_Orders_Per_Customer]],Table2[F-Cutoff],1)</f>
        <v>4</v>
      </c>
      <c r="Y2365" s="2">
        <f>MATCH(Auto_Sales_data___Copy[[#This Row],[Total_Sales_Per_Customer]],Table2[M-Cutoff],1)</f>
        <v>4</v>
      </c>
      <c r="Z2365" s="2" t="str">
        <f>Auto_Sales_data___Copy[[#This Row],[R-Score(1-5)]]&amp;Auto_Sales_data___Copy[[#This Row],[F-Score(1-5)]]&amp;Auto_Sales_data___Copy[[#This Row],[M-Score(1-5)]]</f>
        <v>144</v>
      </c>
      <c r="AA2365" s="2" t="str" cm="1">
        <f t="array" ref="AA23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5" s="2" t="str">
        <f>VLOOKUP(Auto_Sales_data___Copy[[#This Row],[Segment Name]],Table3[],2,FALSE)</f>
        <v>Brand Awareness &amp; Value Proposition</v>
      </c>
    </row>
    <row r="2366" spans="1:28" x14ac:dyDescent="0.25">
      <c r="A2366">
        <v>10168</v>
      </c>
      <c r="B2366">
        <v>31</v>
      </c>
      <c r="C2366">
        <v>73.61</v>
      </c>
      <c r="D2366">
        <v>12</v>
      </c>
      <c r="E2366">
        <v>2281.91</v>
      </c>
      <c r="F2366" s="1">
        <v>43401</v>
      </c>
      <c r="G2366" s="2" t="s">
        <v>19</v>
      </c>
      <c r="H2366" s="2" t="s">
        <v>589</v>
      </c>
      <c r="I2366">
        <v>68</v>
      </c>
      <c r="J2366" s="2" t="s">
        <v>700</v>
      </c>
      <c r="K2366" s="2" t="s">
        <v>54</v>
      </c>
      <c r="L2366" s="2" t="s">
        <v>55</v>
      </c>
      <c r="M2366" s="2" t="s">
        <v>56</v>
      </c>
      <c r="N2366" s="2" t="s">
        <v>57</v>
      </c>
      <c r="O2366" s="2" t="s">
        <v>58</v>
      </c>
      <c r="P2366" s="2" t="s">
        <v>27</v>
      </c>
      <c r="Q2366" s="2" t="s">
        <v>59</v>
      </c>
      <c r="R2366" s="2" t="s">
        <v>60</v>
      </c>
      <c r="S2366" s="2" t="s">
        <v>30</v>
      </c>
      <c r="T2366">
        <v>2818</v>
      </c>
      <c r="U2366">
        <f>VLOOKUP(Auto_Sales_data___Copy[[#This Row],[CUSTOMER_NAME]],$AF$2:$AH$90,2,FALSE)</f>
        <v>34</v>
      </c>
      <c r="V2366">
        <f>VLOOKUP(Auto_Sales_data___Copy[[#This Row],[CUSTOMER_NAME]],$AF$2:$AH$90,3,FALSE)</f>
        <v>120783.07</v>
      </c>
      <c r="W2366" s="2">
        <f>6-MATCH(Auto_Sales_data___Copy[[#This Row],[DAYS_SINCE_LAST_ORDER]],Table2[R-Cutoff],1)</f>
        <v>1</v>
      </c>
      <c r="X2366" s="2">
        <f>MATCH(Auto_Sales_data___Copy[[#This Row],[Total_Orders_Per_Customer]],Table2[F-Cutoff],1)</f>
        <v>4</v>
      </c>
      <c r="Y2366" s="2">
        <f>MATCH(Auto_Sales_data___Copy[[#This Row],[Total_Sales_Per_Customer]],Table2[M-Cutoff],1)</f>
        <v>4</v>
      </c>
      <c r="Z2366" s="2" t="str">
        <f>Auto_Sales_data___Copy[[#This Row],[R-Score(1-5)]]&amp;Auto_Sales_data___Copy[[#This Row],[F-Score(1-5)]]&amp;Auto_Sales_data___Copy[[#This Row],[M-Score(1-5)]]</f>
        <v>144</v>
      </c>
      <c r="AA2366" s="2" t="str" cm="1">
        <f t="array" ref="AA23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6" s="2" t="str">
        <f>VLOOKUP(Auto_Sales_data___Copy[[#This Row],[Segment Name]],Table3[],2,FALSE)</f>
        <v>Brand Awareness &amp; Value Proposition</v>
      </c>
    </row>
    <row r="2367" spans="1:28" x14ac:dyDescent="0.25">
      <c r="A2367">
        <v>10168</v>
      </c>
      <c r="B2367">
        <v>48</v>
      </c>
      <c r="C2367">
        <v>51.93</v>
      </c>
      <c r="D2367">
        <v>13</v>
      </c>
      <c r="E2367">
        <v>2492.64</v>
      </c>
      <c r="F2367" s="1">
        <v>43401</v>
      </c>
      <c r="G2367" s="2" t="s">
        <v>19</v>
      </c>
      <c r="H2367" s="2" t="s">
        <v>589</v>
      </c>
      <c r="I2367">
        <v>43</v>
      </c>
      <c r="J2367" s="2" t="s">
        <v>702</v>
      </c>
      <c r="K2367" s="2" t="s">
        <v>54</v>
      </c>
      <c r="L2367" s="2" t="s">
        <v>55</v>
      </c>
      <c r="M2367" s="2" t="s">
        <v>56</v>
      </c>
      <c r="N2367" s="2" t="s">
        <v>57</v>
      </c>
      <c r="O2367" s="2" t="s">
        <v>58</v>
      </c>
      <c r="P2367" s="2" t="s">
        <v>27</v>
      </c>
      <c r="Q2367" s="2" t="s">
        <v>59</v>
      </c>
      <c r="R2367" s="2" t="s">
        <v>60</v>
      </c>
      <c r="S2367" s="2" t="s">
        <v>30</v>
      </c>
      <c r="T2367">
        <v>2867</v>
      </c>
      <c r="U2367">
        <f>VLOOKUP(Auto_Sales_data___Copy[[#This Row],[CUSTOMER_NAME]],$AF$2:$AH$90,2,FALSE)</f>
        <v>34</v>
      </c>
      <c r="V2367">
        <f>VLOOKUP(Auto_Sales_data___Copy[[#This Row],[CUSTOMER_NAME]],$AF$2:$AH$90,3,FALSE)</f>
        <v>120783.07</v>
      </c>
      <c r="W2367" s="2">
        <f>6-MATCH(Auto_Sales_data___Copy[[#This Row],[DAYS_SINCE_LAST_ORDER]],Table2[R-Cutoff],1)</f>
        <v>1</v>
      </c>
      <c r="X2367" s="2">
        <f>MATCH(Auto_Sales_data___Copy[[#This Row],[Total_Orders_Per_Customer]],Table2[F-Cutoff],1)</f>
        <v>4</v>
      </c>
      <c r="Y2367" s="2">
        <f>MATCH(Auto_Sales_data___Copy[[#This Row],[Total_Sales_Per_Customer]],Table2[M-Cutoff],1)</f>
        <v>4</v>
      </c>
      <c r="Z2367" s="2" t="str">
        <f>Auto_Sales_data___Copy[[#This Row],[R-Score(1-5)]]&amp;Auto_Sales_data___Copy[[#This Row],[F-Score(1-5)]]&amp;Auto_Sales_data___Copy[[#This Row],[M-Score(1-5)]]</f>
        <v>144</v>
      </c>
      <c r="AA2367" s="2" t="str" cm="1">
        <f t="array" ref="AA23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7" s="2" t="str">
        <f>VLOOKUP(Auto_Sales_data___Copy[[#This Row],[Segment Name]],Table3[],2,FALSE)</f>
        <v>Brand Awareness &amp; Value Proposition</v>
      </c>
    </row>
    <row r="2368" spans="1:28" x14ac:dyDescent="0.25">
      <c r="A2368">
        <v>10168</v>
      </c>
      <c r="B2368">
        <v>28</v>
      </c>
      <c r="C2368">
        <v>98.65</v>
      </c>
      <c r="D2368">
        <v>14</v>
      </c>
      <c r="E2368">
        <v>2762.2</v>
      </c>
      <c r="F2368" s="1">
        <v>43401</v>
      </c>
      <c r="G2368" s="2" t="s">
        <v>19</v>
      </c>
      <c r="H2368" s="2" t="s">
        <v>607</v>
      </c>
      <c r="I2368">
        <v>91</v>
      </c>
      <c r="J2368" s="2" t="s">
        <v>707</v>
      </c>
      <c r="K2368" s="2" t="s">
        <v>54</v>
      </c>
      <c r="L2368" s="2" t="s">
        <v>55</v>
      </c>
      <c r="M2368" s="2" t="s">
        <v>56</v>
      </c>
      <c r="N2368" s="2" t="s">
        <v>57</v>
      </c>
      <c r="O2368" s="2" t="s">
        <v>58</v>
      </c>
      <c r="P2368" s="2" t="s">
        <v>27</v>
      </c>
      <c r="Q2368" s="2" t="s">
        <v>59</v>
      </c>
      <c r="R2368" s="2" t="s">
        <v>60</v>
      </c>
      <c r="S2368" s="2" t="s">
        <v>30</v>
      </c>
      <c r="T2368">
        <v>2997</v>
      </c>
      <c r="U2368">
        <f>VLOOKUP(Auto_Sales_data___Copy[[#This Row],[CUSTOMER_NAME]],$AF$2:$AH$90,2,FALSE)</f>
        <v>34</v>
      </c>
      <c r="V2368">
        <f>VLOOKUP(Auto_Sales_data___Copy[[#This Row],[CUSTOMER_NAME]],$AF$2:$AH$90,3,FALSE)</f>
        <v>120783.07</v>
      </c>
      <c r="W2368" s="2">
        <f>6-MATCH(Auto_Sales_data___Copy[[#This Row],[DAYS_SINCE_LAST_ORDER]],Table2[R-Cutoff],1)</f>
        <v>1</v>
      </c>
      <c r="X2368" s="2">
        <f>MATCH(Auto_Sales_data___Copy[[#This Row],[Total_Orders_Per_Customer]],Table2[F-Cutoff],1)</f>
        <v>4</v>
      </c>
      <c r="Y2368" s="2">
        <f>MATCH(Auto_Sales_data___Copy[[#This Row],[Total_Sales_Per_Customer]],Table2[M-Cutoff],1)</f>
        <v>4</v>
      </c>
      <c r="Z2368" s="2" t="str">
        <f>Auto_Sales_data___Copy[[#This Row],[R-Score(1-5)]]&amp;Auto_Sales_data___Copy[[#This Row],[F-Score(1-5)]]&amp;Auto_Sales_data___Copy[[#This Row],[M-Score(1-5)]]</f>
        <v>144</v>
      </c>
      <c r="AA2368" s="2" t="str" cm="1">
        <f t="array" ref="AA23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8" s="2" t="str">
        <f>VLOOKUP(Auto_Sales_data___Copy[[#This Row],[Segment Name]],Table3[],2,FALSE)</f>
        <v>Brand Awareness &amp; Value Proposition</v>
      </c>
    </row>
    <row r="2369" spans="1:28" x14ac:dyDescent="0.25">
      <c r="A2369">
        <v>10168</v>
      </c>
      <c r="B2369">
        <v>31</v>
      </c>
      <c r="C2369">
        <v>110.69</v>
      </c>
      <c r="D2369">
        <v>16</v>
      </c>
      <c r="E2369">
        <v>3431.39</v>
      </c>
      <c r="F2369" s="1">
        <v>43401</v>
      </c>
      <c r="G2369" s="2" t="s">
        <v>19</v>
      </c>
      <c r="H2369" s="2" t="s">
        <v>607</v>
      </c>
      <c r="I2369">
        <v>99</v>
      </c>
      <c r="J2369" s="2" t="s">
        <v>710</v>
      </c>
      <c r="K2369" s="2" t="s">
        <v>54</v>
      </c>
      <c r="L2369" s="2" t="s">
        <v>55</v>
      </c>
      <c r="M2369" s="2" t="s">
        <v>56</v>
      </c>
      <c r="N2369" s="2" t="s">
        <v>57</v>
      </c>
      <c r="O2369" s="2" t="s">
        <v>58</v>
      </c>
      <c r="P2369" s="2" t="s">
        <v>27</v>
      </c>
      <c r="Q2369" s="2" t="s">
        <v>59</v>
      </c>
      <c r="R2369" s="2" t="s">
        <v>60</v>
      </c>
      <c r="S2369" s="2" t="s">
        <v>46</v>
      </c>
      <c r="T2369">
        <v>3073</v>
      </c>
      <c r="U2369">
        <f>VLOOKUP(Auto_Sales_data___Copy[[#This Row],[CUSTOMER_NAME]],$AF$2:$AH$90,2,FALSE)</f>
        <v>34</v>
      </c>
      <c r="V2369">
        <f>VLOOKUP(Auto_Sales_data___Copy[[#This Row],[CUSTOMER_NAME]],$AF$2:$AH$90,3,FALSE)</f>
        <v>120783.07</v>
      </c>
      <c r="W2369" s="2">
        <f>6-MATCH(Auto_Sales_data___Copy[[#This Row],[DAYS_SINCE_LAST_ORDER]],Table2[R-Cutoff],1)</f>
        <v>1</v>
      </c>
      <c r="X2369" s="2">
        <f>MATCH(Auto_Sales_data___Copy[[#This Row],[Total_Orders_Per_Customer]],Table2[F-Cutoff],1)</f>
        <v>4</v>
      </c>
      <c r="Y2369" s="2">
        <f>MATCH(Auto_Sales_data___Copy[[#This Row],[Total_Sales_Per_Customer]],Table2[M-Cutoff],1)</f>
        <v>4</v>
      </c>
      <c r="Z2369" s="2" t="str">
        <f>Auto_Sales_data___Copy[[#This Row],[R-Score(1-5)]]&amp;Auto_Sales_data___Copy[[#This Row],[F-Score(1-5)]]&amp;Auto_Sales_data___Copy[[#This Row],[M-Score(1-5)]]</f>
        <v>144</v>
      </c>
      <c r="AA2369" s="2" t="str" cm="1">
        <f t="array" ref="AA23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9" s="2" t="str">
        <f>VLOOKUP(Auto_Sales_data___Copy[[#This Row],[Segment Name]],Table3[],2,FALSE)</f>
        <v>Brand Awareness &amp; Value Proposition</v>
      </c>
    </row>
    <row r="2370" spans="1:28" x14ac:dyDescent="0.25">
      <c r="A2370">
        <v>10168</v>
      </c>
      <c r="B2370">
        <v>36</v>
      </c>
      <c r="C2370">
        <v>125.77</v>
      </c>
      <c r="D2370">
        <v>8</v>
      </c>
      <c r="E2370">
        <v>4527.72</v>
      </c>
      <c r="F2370" s="1">
        <v>43401</v>
      </c>
      <c r="G2370" s="2" t="s">
        <v>19</v>
      </c>
      <c r="H2370" s="2" t="s">
        <v>607</v>
      </c>
      <c r="I2370">
        <v>118</v>
      </c>
      <c r="J2370" s="2" t="s">
        <v>713</v>
      </c>
      <c r="K2370" s="2" t="s">
        <v>54</v>
      </c>
      <c r="L2370" s="2" t="s">
        <v>55</v>
      </c>
      <c r="M2370" s="2" t="s">
        <v>56</v>
      </c>
      <c r="N2370" s="2" t="s">
        <v>57</v>
      </c>
      <c r="O2370" s="2" t="s">
        <v>58</v>
      </c>
      <c r="P2370" s="2" t="s">
        <v>27</v>
      </c>
      <c r="Q2370" s="2" t="s">
        <v>59</v>
      </c>
      <c r="R2370" s="2" t="s">
        <v>60</v>
      </c>
      <c r="S2370" s="2" t="s">
        <v>46</v>
      </c>
      <c r="T2370">
        <v>3152</v>
      </c>
      <c r="U2370">
        <f>VLOOKUP(Auto_Sales_data___Copy[[#This Row],[CUSTOMER_NAME]],$AF$2:$AH$90,2,FALSE)</f>
        <v>34</v>
      </c>
      <c r="V2370">
        <f>VLOOKUP(Auto_Sales_data___Copy[[#This Row],[CUSTOMER_NAME]],$AF$2:$AH$90,3,FALSE)</f>
        <v>120783.07</v>
      </c>
      <c r="W2370" s="2">
        <f>6-MATCH(Auto_Sales_data___Copy[[#This Row],[DAYS_SINCE_LAST_ORDER]],Table2[R-Cutoff],1)</f>
        <v>1</v>
      </c>
      <c r="X2370" s="2">
        <f>MATCH(Auto_Sales_data___Copy[[#This Row],[Total_Orders_Per_Customer]],Table2[F-Cutoff],1)</f>
        <v>4</v>
      </c>
      <c r="Y2370" s="2">
        <f>MATCH(Auto_Sales_data___Copy[[#This Row],[Total_Sales_Per_Customer]],Table2[M-Cutoff],1)</f>
        <v>4</v>
      </c>
      <c r="Z2370" s="2" t="str">
        <f>Auto_Sales_data___Copy[[#This Row],[R-Score(1-5)]]&amp;Auto_Sales_data___Copy[[#This Row],[F-Score(1-5)]]&amp;Auto_Sales_data___Copy[[#This Row],[M-Score(1-5)]]</f>
        <v>144</v>
      </c>
      <c r="AA2370" s="2" t="str" cm="1">
        <f t="array" ref="AA23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0" s="2" t="str">
        <f>VLOOKUP(Auto_Sales_data___Copy[[#This Row],[Segment Name]],Table3[],2,FALSE)</f>
        <v>Brand Awareness &amp; Value Proposition</v>
      </c>
    </row>
    <row r="2371" spans="1:28" x14ac:dyDescent="0.25">
      <c r="A2371">
        <v>10168</v>
      </c>
      <c r="B2371">
        <v>48</v>
      </c>
      <c r="C2371">
        <v>96</v>
      </c>
      <c r="D2371">
        <v>15</v>
      </c>
      <c r="E2371">
        <v>4608</v>
      </c>
      <c r="F2371" s="1">
        <v>43401</v>
      </c>
      <c r="G2371" s="2" t="s">
        <v>19</v>
      </c>
      <c r="H2371" s="2" t="s">
        <v>607</v>
      </c>
      <c r="I2371">
        <v>80</v>
      </c>
      <c r="J2371" s="2" t="s">
        <v>714</v>
      </c>
      <c r="K2371" s="2" t="s">
        <v>54</v>
      </c>
      <c r="L2371" s="2" t="s">
        <v>55</v>
      </c>
      <c r="M2371" s="2" t="s">
        <v>56</v>
      </c>
      <c r="N2371" s="2" t="s">
        <v>57</v>
      </c>
      <c r="O2371" s="2" t="s">
        <v>58</v>
      </c>
      <c r="P2371" s="2" t="s">
        <v>27</v>
      </c>
      <c r="Q2371" s="2" t="s">
        <v>59</v>
      </c>
      <c r="R2371" s="2" t="s">
        <v>60</v>
      </c>
      <c r="S2371" s="2" t="s">
        <v>46</v>
      </c>
      <c r="T2371">
        <v>3177</v>
      </c>
      <c r="U2371">
        <f>VLOOKUP(Auto_Sales_data___Copy[[#This Row],[CUSTOMER_NAME]],$AF$2:$AH$90,2,FALSE)</f>
        <v>34</v>
      </c>
      <c r="V2371">
        <f>VLOOKUP(Auto_Sales_data___Copy[[#This Row],[CUSTOMER_NAME]],$AF$2:$AH$90,3,FALSE)</f>
        <v>120783.07</v>
      </c>
      <c r="W2371" s="2">
        <f>6-MATCH(Auto_Sales_data___Copy[[#This Row],[DAYS_SINCE_LAST_ORDER]],Table2[R-Cutoff],1)</f>
        <v>1</v>
      </c>
      <c r="X2371" s="2">
        <f>MATCH(Auto_Sales_data___Copy[[#This Row],[Total_Orders_Per_Customer]],Table2[F-Cutoff],1)</f>
        <v>4</v>
      </c>
      <c r="Y2371" s="2">
        <f>MATCH(Auto_Sales_data___Copy[[#This Row],[Total_Sales_Per_Customer]],Table2[M-Cutoff],1)</f>
        <v>4</v>
      </c>
      <c r="Z2371" s="2" t="str">
        <f>Auto_Sales_data___Copy[[#This Row],[R-Score(1-5)]]&amp;Auto_Sales_data___Copy[[#This Row],[F-Score(1-5)]]&amp;Auto_Sales_data___Copy[[#This Row],[M-Score(1-5)]]</f>
        <v>144</v>
      </c>
      <c r="AA2371" s="2" t="str" cm="1">
        <f t="array" ref="AA23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1" s="2" t="str">
        <f>VLOOKUP(Auto_Sales_data___Copy[[#This Row],[Segment Name]],Table3[],2,FALSE)</f>
        <v>Brand Awareness &amp; Value Proposition</v>
      </c>
    </row>
    <row r="2372" spans="1:28" x14ac:dyDescent="0.25">
      <c r="A2372">
        <v>10168</v>
      </c>
      <c r="B2372">
        <v>39</v>
      </c>
      <c r="C2372">
        <v>82.91</v>
      </c>
      <c r="D2372">
        <v>17</v>
      </c>
      <c r="E2372">
        <v>3233.49</v>
      </c>
      <c r="F2372" s="1">
        <v>43401</v>
      </c>
      <c r="G2372" s="2" t="s">
        <v>19</v>
      </c>
      <c r="H2372" s="2" t="s">
        <v>607</v>
      </c>
      <c r="I2372">
        <v>74</v>
      </c>
      <c r="J2372" s="2" t="s">
        <v>717</v>
      </c>
      <c r="K2372" s="2" t="s">
        <v>54</v>
      </c>
      <c r="L2372" s="2" t="s">
        <v>55</v>
      </c>
      <c r="M2372" s="2" t="s">
        <v>56</v>
      </c>
      <c r="N2372" s="2" t="s">
        <v>57</v>
      </c>
      <c r="O2372" s="2" t="s">
        <v>58</v>
      </c>
      <c r="P2372" s="2" t="s">
        <v>27</v>
      </c>
      <c r="Q2372" s="2" t="s">
        <v>59</v>
      </c>
      <c r="R2372" s="2" t="s">
        <v>60</v>
      </c>
      <c r="S2372" s="2" t="s">
        <v>46</v>
      </c>
      <c r="T2372">
        <v>3255</v>
      </c>
      <c r="U2372">
        <f>VLOOKUP(Auto_Sales_data___Copy[[#This Row],[CUSTOMER_NAME]],$AF$2:$AH$90,2,FALSE)</f>
        <v>34</v>
      </c>
      <c r="V2372">
        <f>VLOOKUP(Auto_Sales_data___Copy[[#This Row],[CUSTOMER_NAME]],$AF$2:$AH$90,3,FALSE)</f>
        <v>120783.07</v>
      </c>
      <c r="W2372" s="2">
        <f>6-MATCH(Auto_Sales_data___Copy[[#This Row],[DAYS_SINCE_LAST_ORDER]],Table2[R-Cutoff],1)</f>
        <v>1</v>
      </c>
      <c r="X2372" s="2">
        <f>MATCH(Auto_Sales_data___Copy[[#This Row],[Total_Orders_Per_Customer]],Table2[F-Cutoff],1)</f>
        <v>4</v>
      </c>
      <c r="Y2372" s="2">
        <f>MATCH(Auto_Sales_data___Copy[[#This Row],[Total_Sales_Per_Customer]],Table2[M-Cutoff],1)</f>
        <v>4</v>
      </c>
      <c r="Z2372" s="2" t="str">
        <f>Auto_Sales_data___Copy[[#This Row],[R-Score(1-5)]]&amp;Auto_Sales_data___Copy[[#This Row],[F-Score(1-5)]]&amp;Auto_Sales_data___Copy[[#This Row],[M-Score(1-5)]]</f>
        <v>144</v>
      </c>
      <c r="AA2372" s="2" t="str" cm="1">
        <f t="array" ref="AA23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2" s="2" t="str">
        <f>VLOOKUP(Auto_Sales_data___Copy[[#This Row],[Segment Name]],Table3[],2,FALSE)</f>
        <v>Brand Awareness &amp; Value Proposition</v>
      </c>
    </row>
    <row r="2373" spans="1:28" x14ac:dyDescent="0.25">
      <c r="A2373">
        <v>10169</v>
      </c>
      <c r="B2373">
        <v>24</v>
      </c>
      <c r="C2373">
        <v>94.58</v>
      </c>
      <c r="D2373">
        <v>6</v>
      </c>
      <c r="E2373">
        <v>2269.92</v>
      </c>
      <c r="F2373" s="1">
        <v>43408</v>
      </c>
      <c r="G2373" s="2" t="s">
        <v>19</v>
      </c>
      <c r="H2373" s="2" t="s">
        <v>183</v>
      </c>
      <c r="I2373">
        <v>80</v>
      </c>
      <c r="J2373" s="2" t="s">
        <v>693</v>
      </c>
      <c r="K2373" s="2" t="s">
        <v>300</v>
      </c>
      <c r="L2373" s="2" t="s">
        <v>301</v>
      </c>
      <c r="M2373" s="2" t="s">
        <v>302</v>
      </c>
      <c r="N2373" s="2" t="s">
        <v>303</v>
      </c>
      <c r="O2373" s="2" t="s">
        <v>304</v>
      </c>
      <c r="P2373" s="2" t="s">
        <v>87</v>
      </c>
      <c r="Q2373" s="2" t="s">
        <v>305</v>
      </c>
      <c r="R2373" s="2" t="s">
        <v>306</v>
      </c>
      <c r="S2373" s="2" t="s">
        <v>30</v>
      </c>
      <c r="T2373">
        <v>2633</v>
      </c>
      <c r="U2373">
        <f>VLOOKUP(Auto_Sales_data___Copy[[#This Row],[CUSTOMER_NAME]],$AF$2:$AH$90,2,FALSE)</f>
        <v>46</v>
      </c>
      <c r="V2373">
        <f>VLOOKUP(Auto_Sales_data___Copy[[#This Row],[CUSTOMER_NAME]],$AF$2:$AH$90,3,FALSE)</f>
        <v>153996.12999999998</v>
      </c>
      <c r="W2373" s="2">
        <f>6-MATCH(Auto_Sales_data___Copy[[#This Row],[DAYS_SINCE_LAST_ORDER]],Table2[R-Cutoff],1)</f>
        <v>1</v>
      </c>
      <c r="X2373" s="2">
        <f>MATCH(Auto_Sales_data___Copy[[#This Row],[Total_Orders_Per_Customer]],Table2[F-Cutoff],1)</f>
        <v>4</v>
      </c>
      <c r="Y2373" s="2">
        <f>MATCH(Auto_Sales_data___Copy[[#This Row],[Total_Sales_Per_Customer]],Table2[M-Cutoff],1)</f>
        <v>4</v>
      </c>
      <c r="Z2373" s="2" t="str">
        <f>Auto_Sales_data___Copy[[#This Row],[R-Score(1-5)]]&amp;Auto_Sales_data___Copy[[#This Row],[F-Score(1-5)]]&amp;Auto_Sales_data___Copy[[#This Row],[M-Score(1-5)]]</f>
        <v>144</v>
      </c>
      <c r="AA2373" s="2" t="str" cm="1">
        <f t="array" ref="AA23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3" s="2" t="str">
        <f>VLOOKUP(Auto_Sales_data___Copy[[#This Row],[Segment Name]],Table3[],2,FALSE)</f>
        <v>Brand Awareness &amp; Value Proposition</v>
      </c>
    </row>
    <row r="2374" spans="1:28" x14ac:dyDescent="0.25">
      <c r="A2374">
        <v>10169</v>
      </c>
      <c r="B2374">
        <v>26</v>
      </c>
      <c r="C2374">
        <v>39.83</v>
      </c>
      <c r="D2374">
        <v>9</v>
      </c>
      <c r="E2374">
        <v>1035.58</v>
      </c>
      <c r="F2374" s="1">
        <v>43408</v>
      </c>
      <c r="G2374" s="2" t="s">
        <v>19</v>
      </c>
      <c r="H2374" s="2" t="s">
        <v>20</v>
      </c>
      <c r="I2374">
        <v>40</v>
      </c>
      <c r="J2374" s="2" t="s">
        <v>696</v>
      </c>
      <c r="K2374" s="2" t="s">
        <v>300</v>
      </c>
      <c r="L2374" s="2" t="s">
        <v>301</v>
      </c>
      <c r="M2374" s="2" t="s">
        <v>302</v>
      </c>
      <c r="N2374" s="2" t="s">
        <v>303</v>
      </c>
      <c r="O2374" s="2" t="s">
        <v>304</v>
      </c>
      <c r="P2374" s="2" t="s">
        <v>87</v>
      </c>
      <c r="Q2374" s="2" t="s">
        <v>305</v>
      </c>
      <c r="R2374" s="2" t="s">
        <v>306</v>
      </c>
      <c r="S2374" s="2" t="s">
        <v>30</v>
      </c>
      <c r="T2374">
        <v>2707</v>
      </c>
      <c r="U2374">
        <f>VLOOKUP(Auto_Sales_data___Copy[[#This Row],[CUSTOMER_NAME]],$AF$2:$AH$90,2,FALSE)</f>
        <v>46</v>
      </c>
      <c r="V2374">
        <f>VLOOKUP(Auto_Sales_data___Copy[[#This Row],[CUSTOMER_NAME]],$AF$2:$AH$90,3,FALSE)</f>
        <v>153996.12999999998</v>
      </c>
      <c r="W2374" s="2">
        <f>6-MATCH(Auto_Sales_data___Copy[[#This Row],[DAYS_SINCE_LAST_ORDER]],Table2[R-Cutoff],1)</f>
        <v>1</v>
      </c>
      <c r="X2374" s="2">
        <f>MATCH(Auto_Sales_data___Copy[[#This Row],[Total_Orders_Per_Customer]],Table2[F-Cutoff],1)</f>
        <v>4</v>
      </c>
      <c r="Y2374" s="2">
        <f>MATCH(Auto_Sales_data___Copy[[#This Row],[Total_Sales_Per_Customer]],Table2[M-Cutoff],1)</f>
        <v>4</v>
      </c>
      <c r="Z2374" s="2" t="str">
        <f>Auto_Sales_data___Copy[[#This Row],[R-Score(1-5)]]&amp;Auto_Sales_data___Copy[[#This Row],[F-Score(1-5)]]&amp;Auto_Sales_data___Copy[[#This Row],[M-Score(1-5)]]</f>
        <v>144</v>
      </c>
      <c r="AA2374" s="2" t="str" cm="1">
        <f t="array" ref="AA23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4" s="2" t="str">
        <f>VLOOKUP(Auto_Sales_data___Copy[[#This Row],[Segment Name]],Table3[],2,FALSE)</f>
        <v>Brand Awareness &amp; Value Proposition</v>
      </c>
    </row>
    <row r="2375" spans="1:28" x14ac:dyDescent="0.25">
      <c r="A2375">
        <v>10169</v>
      </c>
      <c r="B2375">
        <v>34</v>
      </c>
      <c r="C2375">
        <v>115.32</v>
      </c>
      <c r="D2375">
        <v>12</v>
      </c>
      <c r="E2375">
        <v>3920.88</v>
      </c>
      <c r="F2375" s="1">
        <v>43408</v>
      </c>
      <c r="G2375" s="2" t="s">
        <v>19</v>
      </c>
      <c r="H2375" s="2" t="s">
        <v>20</v>
      </c>
      <c r="I2375">
        <v>102</v>
      </c>
      <c r="J2375" s="2" t="s">
        <v>701</v>
      </c>
      <c r="K2375" s="2" t="s">
        <v>300</v>
      </c>
      <c r="L2375" s="2" t="s">
        <v>301</v>
      </c>
      <c r="M2375" s="2" t="s">
        <v>302</v>
      </c>
      <c r="N2375" s="2" t="s">
        <v>303</v>
      </c>
      <c r="O2375" s="2" t="s">
        <v>304</v>
      </c>
      <c r="P2375" s="2" t="s">
        <v>87</v>
      </c>
      <c r="Q2375" s="2" t="s">
        <v>305</v>
      </c>
      <c r="R2375" s="2" t="s">
        <v>306</v>
      </c>
      <c r="S2375" s="2" t="s">
        <v>46</v>
      </c>
      <c r="T2375">
        <v>2835</v>
      </c>
      <c r="U2375">
        <f>VLOOKUP(Auto_Sales_data___Copy[[#This Row],[CUSTOMER_NAME]],$AF$2:$AH$90,2,FALSE)</f>
        <v>46</v>
      </c>
      <c r="V2375">
        <f>VLOOKUP(Auto_Sales_data___Copy[[#This Row],[CUSTOMER_NAME]],$AF$2:$AH$90,3,FALSE)</f>
        <v>153996.12999999998</v>
      </c>
      <c r="W2375" s="2">
        <f>6-MATCH(Auto_Sales_data___Copy[[#This Row],[DAYS_SINCE_LAST_ORDER]],Table2[R-Cutoff],1)</f>
        <v>1</v>
      </c>
      <c r="X2375" s="2">
        <f>MATCH(Auto_Sales_data___Copy[[#This Row],[Total_Orders_Per_Customer]],Table2[F-Cutoff],1)</f>
        <v>4</v>
      </c>
      <c r="Y2375" s="2">
        <f>MATCH(Auto_Sales_data___Copy[[#This Row],[Total_Sales_Per_Customer]],Table2[M-Cutoff],1)</f>
        <v>4</v>
      </c>
      <c r="Z2375" s="2" t="str">
        <f>Auto_Sales_data___Copy[[#This Row],[R-Score(1-5)]]&amp;Auto_Sales_data___Copy[[#This Row],[F-Score(1-5)]]&amp;Auto_Sales_data___Copy[[#This Row],[M-Score(1-5)]]</f>
        <v>144</v>
      </c>
      <c r="AA2375" s="2" t="str" cm="1">
        <f t="array" ref="AA23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5" s="2" t="str">
        <f>VLOOKUP(Auto_Sales_data___Copy[[#This Row],[Segment Name]],Table3[],2,FALSE)</f>
        <v>Brand Awareness &amp; Value Proposition</v>
      </c>
    </row>
    <row r="2376" spans="1:28" x14ac:dyDescent="0.25">
      <c r="A2376">
        <v>10169</v>
      </c>
      <c r="B2376">
        <v>48</v>
      </c>
      <c r="C2376">
        <v>80.55</v>
      </c>
      <c r="D2376">
        <v>10</v>
      </c>
      <c r="E2376">
        <v>3866.4</v>
      </c>
      <c r="F2376" s="1">
        <v>43408</v>
      </c>
      <c r="G2376" s="2" t="s">
        <v>19</v>
      </c>
      <c r="H2376" s="2" t="s">
        <v>20</v>
      </c>
      <c r="I2376">
        <v>81</v>
      </c>
      <c r="J2376" s="2" t="s">
        <v>705</v>
      </c>
      <c r="K2376" s="2" t="s">
        <v>300</v>
      </c>
      <c r="L2376" s="2" t="s">
        <v>301</v>
      </c>
      <c r="M2376" s="2" t="s">
        <v>302</v>
      </c>
      <c r="N2376" s="2" t="s">
        <v>303</v>
      </c>
      <c r="O2376" s="2" t="s">
        <v>304</v>
      </c>
      <c r="P2376" s="2" t="s">
        <v>87</v>
      </c>
      <c r="Q2376" s="2" t="s">
        <v>305</v>
      </c>
      <c r="R2376" s="2" t="s">
        <v>306</v>
      </c>
      <c r="S2376" s="2" t="s">
        <v>46</v>
      </c>
      <c r="T2376">
        <v>2939</v>
      </c>
      <c r="U2376">
        <f>VLOOKUP(Auto_Sales_data___Copy[[#This Row],[CUSTOMER_NAME]],$AF$2:$AH$90,2,FALSE)</f>
        <v>46</v>
      </c>
      <c r="V2376">
        <f>VLOOKUP(Auto_Sales_data___Copy[[#This Row],[CUSTOMER_NAME]],$AF$2:$AH$90,3,FALSE)</f>
        <v>153996.12999999998</v>
      </c>
      <c r="W2376" s="2">
        <f>6-MATCH(Auto_Sales_data___Copy[[#This Row],[DAYS_SINCE_LAST_ORDER]],Table2[R-Cutoff],1)</f>
        <v>1</v>
      </c>
      <c r="X2376" s="2">
        <f>MATCH(Auto_Sales_data___Copy[[#This Row],[Total_Orders_Per_Customer]],Table2[F-Cutoff],1)</f>
        <v>4</v>
      </c>
      <c r="Y2376" s="2">
        <f>MATCH(Auto_Sales_data___Copy[[#This Row],[Total_Sales_Per_Customer]],Table2[M-Cutoff],1)</f>
        <v>4</v>
      </c>
      <c r="Z2376" s="2" t="str">
        <f>Auto_Sales_data___Copy[[#This Row],[R-Score(1-5)]]&amp;Auto_Sales_data___Copy[[#This Row],[F-Score(1-5)]]&amp;Auto_Sales_data___Copy[[#This Row],[M-Score(1-5)]]</f>
        <v>144</v>
      </c>
      <c r="AA2376" s="2" t="str" cm="1">
        <f t="array" ref="AA23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6" s="2" t="str">
        <f>VLOOKUP(Auto_Sales_data___Copy[[#This Row],[Segment Name]],Table3[],2,FALSE)</f>
        <v>Brand Awareness &amp; Value Proposition</v>
      </c>
    </row>
    <row r="2377" spans="1:28" x14ac:dyDescent="0.25">
      <c r="A2377">
        <v>10173</v>
      </c>
      <c r="B2377">
        <v>22</v>
      </c>
      <c r="C2377">
        <v>116.87</v>
      </c>
      <c r="D2377">
        <v>3</v>
      </c>
      <c r="E2377">
        <v>2571.14</v>
      </c>
      <c r="F2377" s="1">
        <v>43409</v>
      </c>
      <c r="G2377" s="2" t="s">
        <v>19</v>
      </c>
      <c r="H2377" s="2" t="s">
        <v>589</v>
      </c>
      <c r="I2377">
        <v>97</v>
      </c>
      <c r="J2377" s="2" t="s">
        <v>691</v>
      </c>
      <c r="K2377" s="2" t="s">
        <v>591</v>
      </c>
      <c r="L2377" s="2" t="s">
        <v>592</v>
      </c>
      <c r="M2377" s="2" t="s">
        <v>593</v>
      </c>
      <c r="N2377" s="2" t="s">
        <v>594</v>
      </c>
      <c r="O2377" s="2" t="s">
        <v>595</v>
      </c>
      <c r="P2377" s="2" t="s">
        <v>269</v>
      </c>
      <c r="Q2377" s="2" t="s">
        <v>596</v>
      </c>
      <c r="R2377" s="2" t="s">
        <v>597</v>
      </c>
      <c r="S2377" s="2" t="s">
        <v>30</v>
      </c>
      <c r="T2377">
        <v>2585</v>
      </c>
      <c r="U2377">
        <f>VLOOKUP(Auto_Sales_data___Copy[[#This Row],[CUSTOMER_NAME]],$AF$2:$AH$90,2,FALSE)</f>
        <v>48</v>
      </c>
      <c r="V2377">
        <f>VLOOKUP(Auto_Sales_data___Copy[[#This Row],[CUSTOMER_NAME]],$AF$2:$AH$90,3,FALSE)</f>
        <v>137955.72</v>
      </c>
      <c r="W2377" s="2">
        <f>6-MATCH(Auto_Sales_data___Copy[[#This Row],[DAYS_SINCE_LAST_ORDER]],Table2[R-Cutoff],1)</f>
        <v>1</v>
      </c>
      <c r="X2377" s="2">
        <f>MATCH(Auto_Sales_data___Copy[[#This Row],[Total_Orders_Per_Customer]],Table2[F-Cutoff],1)</f>
        <v>4</v>
      </c>
      <c r="Y2377" s="2">
        <f>MATCH(Auto_Sales_data___Copy[[#This Row],[Total_Sales_Per_Customer]],Table2[M-Cutoff],1)</f>
        <v>4</v>
      </c>
      <c r="Z2377" s="2" t="str">
        <f>Auto_Sales_data___Copy[[#This Row],[R-Score(1-5)]]&amp;Auto_Sales_data___Copy[[#This Row],[F-Score(1-5)]]&amp;Auto_Sales_data___Copy[[#This Row],[M-Score(1-5)]]</f>
        <v>144</v>
      </c>
      <c r="AA2377" s="2" t="str" cm="1">
        <f t="array" ref="AA23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7" s="2" t="str">
        <f>VLOOKUP(Auto_Sales_data___Copy[[#This Row],[Segment Name]],Table3[],2,FALSE)</f>
        <v>Brand Awareness &amp; Value Proposition</v>
      </c>
    </row>
    <row r="2378" spans="1:28" x14ac:dyDescent="0.25">
      <c r="A2378">
        <v>10176</v>
      </c>
      <c r="B2378">
        <v>22</v>
      </c>
      <c r="C2378">
        <v>64</v>
      </c>
      <c r="D2378">
        <v>6</v>
      </c>
      <c r="E2378">
        <v>1408</v>
      </c>
      <c r="F2378" s="1">
        <v>43410</v>
      </c>
      <c r="G2378" s="2" t="s">
        <v>19</v>
      </c>
      <c r="H2378" s="2" t="s">
        <v>650</v>
      </c>
      <c r="I2378">
        <v>62</v>
      </c>
      <c r="J2378" s="2" t="s">
        <v>698</v>
      </c>
      <c r="K2378" s="2" t="s">
        <v>480</v>
      </c>
      <c r="L2378" s="2" t="s">
        <v>481</v>
      </c>
      <c r="M2378" s="2" t="s">
        <v>482</v>
      </c>
      <c r="N2378" s="2" t="s">
        <v>483</v>
      </c>
      <c r="O2378" s="2" t="s">
        <v>484</v>
      </c>
      <c r="P2378" s="2" t="s">
        <v>269</v>
      </c>
      <c r="Q2378" s="2" t="s">
        <v>485</v>
      </c>
      <c r="R2378" s="2" t="s">
        <v>486</v>
      </c>
      <c r="S2378" s="2" t="s">
        <v>30</v>
      </c>
      <c r="T2378">
        <v>2759</v>
      </c>
      <c r="U2378">
        <f>VLOOKUP(Auto_Sales_data___Copy[[#This Row],[CUSTOMER_NAME]],$AF$2:$AH$90,2,FALSE)</f>
        <v>39</v>
      </c>
      <c r="V2378">
        <f>VLOOKUP(Auto_Sales_data___Copy[[#This Row],[CUSTOMER_NAME]],$AF$2:$AH$90,3,FALSE)</f>
        <v>142601.33000000002</v>
      </c>
      <c r="W2378" s="2">
        <f>6-MATCH(Auto_Sales_data___Copy[[#This Row],[DAYS_SINCE_LAST_ORDER]],Table2[R-Cutoff],1)</f>
        <v>1</v>
      </c>
      <c r="X2378" s="2">
        <f>MATCH(Auto_Sales_data___Copy[[#This Row],[Total_Orders_Per_Customer]],Table2[F-Cutoff],1)</f>
        <v>4</v>
      </c>
      <c r="Y2378" s="2">
        <f>MATCH(Auto_Sales_data___Copy[[#This Row],[Total_Sales_Per_Customer]],Table2[M-Cutoff],1)</f>
        <v>4</v>
      </c>
      <c r="Z2378" s="2" t="str">
        <f>Auto_Sales_data___Copy[[#This Row],[R-Score(1-5)]]&amp;Auto_Sales_data___Copy[[#This Row],[F-Score(1-5)]]&amp;Auto_Sales_data___Copy[[#This Row],[M-Score(1-5)]]</f>
        <v>144</v>
      </c>
      <c r="AA2378" s="2" t="str" cm="1">
        <f t="array" ref="AA23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8" s="2" t="str">
        <f>VLOOKUP(Auto_Sales_data___Copy[[#This Row],[Segment Name]],Table3[],2,FALSE)</f>
        <v>Brand Awareness &amp; Value Proposition</v>
      </c>
    </row>
    <row r="2379" spans="1:28" x14ac:dyDescent="0.25">
      <c r="A2379">
        <v>10176</v>
      </c>
      <c r="B2379">
        <v>23</v>
      </c>
      <c r="C2379">
        <v>135.43</v>
      </c>
      <c r="D2379">
        <v>9</v>
      </c>
      <c r="E2379">
        <v>3114.89</v>
      </c>
      <c r="F2379" s="1">
        <v>43410</v>
      </c>
      <c r="G2379" s="2" t="s">
        <v>19</v>
      </c>
      <c r="H2379" s="2" t="s">
        <v>537</v>
      </c>
      <c r="I2379">
        <v>115</v>
      </c>
      <c r="J2379" s="2" t="s">
        <v>703</v>
      </c>
      <c r="K2379" s="2" t="s">
        <v>480</v>
      </c>
      <c r="L2379" s="2" t="s">
        <v>481</v>
      </c>
      <c r="M2379" s="2" t="s">
        <v>482</v>
      </c>
      <c r="N2379" s="2" t="s">
        <v>483</v>
      </c>
      <c r="O2379" s="2" t="s">
        <v>484</v>
      </c>
      <c r="P2379" s="2" t="s">
        <v>269</v>
      </c>
      <c r="Q2379" s="2" t="s">
        <v>485</v>
      </c>
      <c r="R2379" s="2" t="s">
        <v>486</v>
      </c>
      <c r="S2379" s="2" t="s">
        <v>46</v>
      </c>
      <c r="T2379">
        <v>2885</v>
      </c>
      <c r="U2379">
        <f>VLOOKUP(Auto_Sales_data___Copy[[#This Row],[CUSTOMER_NAME]],$AF$2:$AH$90,2,FALSE)</f>
        <v>39</v>
      </c>
      <c r="V2379">
        <f>VLOOKUP(Auto_Sales_data___Copy[[#This Row],[CUSTOMER_NAME]],$AF$2:$AH$90,3,FALSE)</f>
        <v>142601.33000000002</v>
      </c>
      <c r="W2379" s="2">
        <f>6-MATCH(Auto_Sales_data___Copy[[#This Row],[DAYS_SINCE_LAST_ORDER]],Table2[R-Cutoff],1)</f>
        <v>1</v>
      </c>
      <c r="X2379" s="2">
        <f>MATCH(Auto_Sales_data___Copy[[#This Row],[Total_Orders_Per_Customer]],Table2[F-Cutoff],1)</f>
        <v>4</v>
      </c>
      <c r="Y2379" s="2">
        <f>MATCH(Auto_Sales_data___Copy[[#This Row],[Total_Sales_Per_Customer]],Table2[M-Cutoff],1)</f>
        <v>4</v>
      </c>
      <c r="Z2379" s="2" t="str">
        <f>Auto_Sales_data___Copy[[#This Row],[R-Score(1-5)]]&amp;Auto_Sales_data___Copy[[#This Row],[F-Score(1-5)]]&amp;Auto_Sales_data___Copy[[#This Row],[M-Score(1-5)]]</f>
        <v>144</v>
      </c>
      <c r="AA2379" s="2" t="str" cm="1">
        <f t="array" ref="AA23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9" s="2" t="str">
        <f>VLOOKUP(Auto_Sales_data___Copy[[#This Row],[Segment Name]],Table3[],2,FALSE)</f>
        <v>Brand Awareness &amp; Value Proposition</v>
      </c>
    </row>
    <row r="2380" spans="1:28" x14ac:dyDescent="0.25">
      <c r="A2380">
        <v>10176</v>
      </c>
      <c r="B2380">
        <v>38</v>
      </c>
      <c r="C2380">
        <v>64.44</v>
      </c>
      <c r="D2380">
        <v>4</v>
      </c>
      <c r="E2380">
        <v>2448.7199999999998</v>
      </c>
      <c r="F2380" s="1">
        <v>43410</v>
      </c>
      <c r="G2380" s="2" t="s">
        <v>19</v>
      </c>
      <c r="H2380" s="2" t="s">
        <v>650</v>
      </c>
      <c r="I2380">
        <v>58</v>
      </c>
      <c r="J2380" s="2" t="s">
        <v>704</v>
      </c>
      <c r="K2380" s="2" t="s">
        <v>480</v>
      </c>
      <c r="L2380" s="2" t="s">
        <v>481</v>
      </c>
      <c r="M2380" s="2" t="s">
        <v>482</v>
      </c>
      <c r="N2380" s="2" t="s">
        <v>483</v>
      </c>
      <c r="O2380" s="2" t="s">
        <v>484</v>
      </c>
      <c r="P2380" s="2" t="s">
        <v>269</v>
      </c>
      <c r="Q2380" s="2" t="s">
        <v>485</v>
      </c>
      <c r="R2380" s="2" t="s">
        <v>486</v>
      </c>
      <c r="S2380" s="2" t="s">
        <v>30</v>
      </c>
      <c r="T2380">
        <v>2913</v>
      </c>
      <c r="U2380">
        <f>VLOOKUP(Auto_Sales_data___Copy[[#This Row],[CUSTOMER_NAME]],$AF$2:$AH$90,2,FALSE)</f>
        <v>39</v>
      </c>
      <c r="V2380">
        <f>VLOOKUP(Auto_Sales_data___Copy[[#This Row],[CUSTOMER_NAME]],$AF$2:$AH$90,3,FALSE)</f>
        <v>142601.33000000002</v>
      </c>
      <c r="W2380" s="2">
        <f>6-MATCH(Auto_Sales_data___Copy[[#This Row],[DAYS_SINCE_LAST_ORDER]],Table2[R-Cutoff],1)</f>
        <v>1</v>
      </c>
      <c r="X2380" s="2">
        <f>MATCH(Auto_Sales_data___Copy[[#This Row],[Total_Orders_Per_Customer]],Table2[F-Cutoff],1)</f>
        <v>4</v>
      </c>
      <c r="Y2380" s="2">
        <f>MATCH(Auto_Sales_data___Copy[[#This Row],[Total_Sales_Per_Customer]],Table2[M-Cutoff],1)</f>
        <v>4</v>
      </c>
      <c r="Z2380" s="2" t="str">
        <f>Auto_Sales_data___Copy[[#This Row],[R-Score(1-5)]]&amp;Auto_Sales_data___Copy[[#This Row],[F-Score(1-5)]]&amp;Auto_Sales_data___Copy[[#This Row],[M-Score(1-5)]]</f>
        <v>144</v>
      </c>
      <c r="AA2380" s="2" t="str" cm="1">
        <f t="array" ref="AA23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0" s="2" t="str">
        <f>VLOOKUP(Auto_Sales_data___Copy[[#This Row],[Segment Name]],Table3[],2,FALSE)</f>
        <v>Brand Awareness &amp; Value Proposition</v>
      </c>
    </row>
    <row r="2381" spans="1:28" x14ac:dyDescent="0.25">
      <c r="A2381">
        <v>10185</v>
      </c>
      <c r="B2381">
        <v>20</v>
      </c>
      <c r="C2381">
        <v>48.62</v>
      </c>
      <c r="D2381">
        <v>15</v>
      </c>
      <c r="E2381">
        <v>972.4</v>
      </c>
      <c r="F2381" s="1">
        <v>43418</v>
      </c>
      <c r="G2381" s="2" t="s">
        <v>19</v>
      </c>
      <c r="H2381" s="2" t="s">
        <v>650</v>
      </c>
      <c r="I2381">
        <v>58</v>
      </c>
      <c r="J2381" s="2" t="s">
        <v>704</v>
      </c>
      <c r="K2381" s="2" t="s">
        <v>353</v>
      </c>
      <c r="L2381" s="2" t="s">
        <v>354</v>
      </c>
      <c r="M2381" s="2" t="s">
        <v>355</v>
      </c>
      <c r="N2381" s="2" t="s">
        <v>162</v>
      </c>
      <c r="O2381" s="2" t="s">
        <v>163</v>
      </c>
      <c r="P2381" s="2" t="s">
        <v>27</v>
      </c>
      <c r="Q2381" s="2" t="s">
        <v>356</v>
      </c>
      <c r="R2381" s="2" t="s">
        <v>357</v>
      </c>
      <c r="S2381" s="2" t="s">
        <v>30</v>
      </c>
      <c r="T2381">
        <v>2906</v>
      </c>
      <c r="U2381">
        <f>VLOOKUP(Auto_Sales_data___Copy[[#This Row],[CUSTOMER_NAME]],$AF$2:$AH$90,2,FALSE)</f>
        <v>35</v>
      </c>
      <c r="V2381">
        <f>VLOOKUP(Auto_Sales_data___Copy[[#This Row],[CUSTOMER_NAME]],$AF$2:$AH$90,3,FALSE)</f>
        <v>108951.12999999998</v>
      </c>
      <c r="W2381" s="2">
        <f>6-MATCH(Auto_Sales_data___Copy[[#This Row],[DAYS_SINCE_LAST_ORDER]],Table2[R-Cutoff],1)</f>
        <v>1</v>
      </c>
      <c r="X2381" s="2">
        <f>MATCH(Auto_Sales_data___Copy[[#This Row],[Total_Orders_Per_Customer]],Table2[F-Cutoff],1)</f>
        <v>4</v>
      </c>
      <c r="Y2381" s="2">
        <f>MATCH(Auto_Sales_data___Copy[[#This Row],[Total_Sales_Per_Customer]],Table2[M-Cutoff],1)</f>
        <v>4</v>
      </c>
      <c r="Z2381" s="2" t="str">
        <f>Auto_Sales_data___Copy[[#This Row],[R-Score(1-5)]]&amp;Auto_Sales_data___Copy[[#This Row],[F-Score(1-5)]]&amp;Auto_Sales_data___Copy[[#This Row],[M-Score(1-5)]]</f>
        <v>144</v>
      </c>
      <c r="AA2381" s="2" t="str" cm="1">
        <f t="array" ref="AA23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1" s="2" t="str">
        <f>VLOOKUP(Auto_Sales_data___Copy[[#This Row],[Segment Name]],Table3[],2,FALSE)</f>
        <v>Brand Awareness &amp; Value Proposition</v>
      </c>
    </row>
    <row r="2382" spans="1:28" x14ac:dyDescent="0.25">
      <c r="A2382">
        <v>10185</v>
      </c>
      <c r="B2382">
        <v>21</v>
      </c>
      <c r="C2382">
        <v>54</v>
      </c>
      <c r="D2382">
        <v>3</v>
      </c>
      <c r="E2382">
        <v>1134</v>
      </c>
      <c r="F2382" s="1">
        <v>43418</v>
      </c>
      <c r="G2382" s="2" t="s">
        <v>19</v>
      </c>
      <c r="H2382" s="2" t="s">
        <v>642</v>
      </c>
      <c r="I2382">
        <v>66</v>
      </c>
      <c r="J2382" s="2" t="s">
        <v>706</v>
      </c>
      <c r="K2382" s="2" t="s">
        <v>353</v>
      </c>
      <c r="L2382" s="2" t="s">
        <v>354</v>
      </c>
      <c r="M2382" s="2" t="s">
        <v>355</v>
      </c>
      <c r="N2382" s="2" t="s">
        <v>162</v>
      </c>
      <c r="O2382" s="2" t="s">
        <v>163</v>
      </c>
      <c r="P2382" s="2" t="s">
        <v>27</v>
      </c>
      <c r="Q2382" s="2" t="s">
        <v>356</v>
      </c>
      <c r="R2382" s="2" t="s">
        <v>357</v>
      </c>
      <c r="S2382" s="2" t="s">
        <v>30</v>
      </c>
      <c r="T2382">
        <v>2956</v>
      </c>
      <c r="U2382">
        <f>VLOOKUP(Auto_Sales_data___Copy[[#This Row],[CUSTOMER_NAME]],$AF$2:$AH$90,2,FALSE)</f>
        <v>35</v>
      </c>
      <c r="V2382">
        <f>VLOOKUP(Auto_Sales_data___Copy[[#This Row],[CUSTOMER_NAME]],$AF$2:$AH$90,3,FALSE)</f>
        <v>108951.12999999998</v>
      </c>
      <c r="W2382" s="2">
        <f>6-MATCH(Auto_Sales_data___Copy[[#This Row],[DAYS_SINCE_LAST_ORDER]],Table2[R-Cutoff],1)</f>
        <v>1</v>
      </c>
      <c r="X2382" s="2">
        <f>MATCH(Auto_Sales_data___Copy[[#This Row],[Total_Orders_Per_Customer]],Table2[F-Cutoff],1)</f>
        <v>4</v>
      </c>
      <c r="Y2382" s="2">
        <f>MATCH(Auto_Sales_data___Copy[[#This Row],[Total_Sales_Per_Customer]],Table2[M-Cutoff],1)</f>
        <v>4</v>
      </c>
      <c r="Z2382" s="2" t="str">
        <f>Auto_Sales_data___Copy[[#This Row],[R-Score(1-5)]]&amp;Auto_Sales_data___Copy[[#This Row],[F-Score(1-5)]]&amp;Auto_Sales_data___Copy[[#This Row],[M-Score(1-5)]]</f>
        <v>144</v>
      </c>
      <c r="AA2382" s="2" t="str" cm="1">
        <f t="array" ref="AA23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2" s="2" t="str">
        <f>VLOOKUP(Auto_Sales_data___Copy[[#This Row],[Segment Name]],Table3[],2,FALSE)</f>
        <v>Brand Awareness &amp; Value Proposition</v>
      </c>
    </row>
    <row r="2383" spans="1:28" x14ac:dyDescent="0.25">
      <c r="A2383">
        <v>10185</v>
      </c>
      <c r="B2383">
        <v>30</v>
      </c>
      <c r="C2383">
        <v>94.4</v>
      </c>
      <c r="D2383">
        <v>10</v>
      </c>
      <c r="E2383">
        <v>2832</v>
      </c>
      <c r="F2383" s="1">
        <v>43418</v>
      </c>
      <c r="G2383" s="2" t="s">
        <v>19</v>
      </c>
      <c r="H2383" s="2" t="s">
        <v>642</v>
      </c>
      <c r="I2383">
        <v>86</v>
      </c>
      <c r="J2383" s="2" t="s">
        <v>708</v>
      </c>
      <c r="K2383" s="2" t="s">
        <v>353</v>
      </c>
      <c r="L2383" s="2" t="s">
        <v>354</v>
      </c>
      <c r="M2383" s="2" t="s">
        <v>355</v>
      </c>
      <c r="N2383" s="2" t="s">
        <v>162</v>
      </c>
      <c r="O2383" s="2" t="s">
        <v>163</v>
      </c>
      <c r="P2383" s="2" t="s">
        <v>27</v>
      </c>
      <c r="Q2383" s="2" t="s">
        <v>356</v>
      </c>
      <c r="R2383" s="2" t="s">
        <v>357</v>
      </c>
      <c r="S2383" s="2" t="s">
        <v>30</v>
      </c>
      <c r="T2383">
        <v>3008</v>
      </c>
      <c r="U2383">
        <f>VLOOKUP(Auto_Sales_data___Copy[[#This Row],[CUSTOMER_NAME]],$AF$2:$AH$90,2,FALSE)</f>
        <v>35</v>
      </c>
      <c r="V2383">
        <f>VLOOKUP(Auto_Sales_data___Copy[[#This Row],[CUSTOMER_NAME]],$AF$2:$AH$90,3,FALSE)</f>
        <v>108951.12999999998</v>
      </c>
      <c r="W2383" s="2">
        <f>6-MATCH(Auto_Sales_data___Copy[[#This Row],[DAYS_SINCE_LAST_ORDER]],Table2[R-Cutoff],1)</f>
        <v>1</v>
      </c>
      <c r="X2383" s="2">
        <f>MATCH(Auto_Sales_data___Copy[[#This Row],[Total_Orders_Per_Customer]],Table2[F-Cutoff],1)</f>
        <v>4</v>
      </c>
      <c r="Y2383" s="2">
        <f>MATCH(Auto_Sales_data___Copy[[#This Row],[Total_Sales_Per_Customer]],Table2[M-Cutoff],1)</f>
        <v>4</v>
      </c>
      <c r="Z2383" s="2" t="str">
        <f>Auto_Sales_data___Copy[[#This Row],[R-Score(1-5)]]&amp;Auto_Sales_data___Copy[[#This Row],[F-Score(1-5)]]&amp;Auto_Sales_data___Copy[[#This Row],[M-Score(1-5)]]</f>
        <v>144</v>
      </c>
      <c r="AA2383" s="2" t="str" cm="1">
        <f t="array" ref="AA23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3" s="2" t="str">
        <f>VLOOKUP(Auto_Sales_data___Copy[[#This Row],[Segment Name]],Table3[],2,FALSE)</f>
        <v>Brand Awareness &amp; Value Proposition</v>
      </c>
    </row>
    <row r="2384" spans="1:28" x14ac:dyDescent="0.25">
      <c r="A2384">
        <v>10185</v>
      </c>
      <c r="B2384">
        <v>39</v>
      </c>
      <c r="C2384">
        <v>57.82</v>
      </c>
      <c r="D2384">
        <v>1</v>
      </c>
      <c r="E2384">
        <v>2254.98</v>
      </c>
      <c r="F2384" s="1">
        <v>43418</v>
      </c>
      <c r="G2384" s="2" t="s">
        <v>19</v>
      </c>
      <c r="H2384" s="2" t="s">
        <v>642</v>
      </c>
      <c r="I2384">
        <v>72</v>
      </c>
      <c r="J2384" s="2" t="s">
        <v>711</v>
      </c>
      <c r="K2384" s="2" t="s">
        <v>353</v>
      </c>
      <c r="L2384" s="2" t="s">
        <v>354</v>
      </c>
      <c r="M2384" s="2" t="s">
        <v>355</v>
      </c>
      <c r="N2384" s="2" t="s">
        <v>162</v>
      </c>
      <c r="O2384" s="2" t="s">
        <v>163</v>
      </c>
      <c r="P2384" s="2" t="s">
        <v>27</v>
      </c>
      <c r="Q2384" s="2" t="s">
        <v>356</v>
      </c>
      <c r="R2384" s="2" t="s">
        <v>357</v>
      </c>
      <c r="S2384" s="2" t="s">
        <v>30</v>
      </c>
      <c r="T2384">
        <v>3085</v>
      </c>
      <c r="U2384">
        <f>VLOOKUP(Auto_Sales_data___Copy[[#This Row],[CUSTOMER_NAME]],$AF$2:$AH$90,2,FALSE)</f>
        <v>35</v>
      </c>
      <c r="V2384">
        <f>VLOOKUP(Auto_Sales_data___Copy[[#This Row],[CUSTOMER_NAME]],$AF$2:$AH$90,3,FALSE)</f>
        <v>108951.12999999998</v>
      </c>
      <c r="W2384" s="2">
        <f>6-MATCH(Auto_Sales_data___Copy[[#This Row],[DAYS_SINCE_LAST_ORDER]],Table2[R-Cutoff],1)</f>
        <v>1</v>
      </c>
      <c r="X2384" s="2">
        <f>MATCH(Auto_Sales_data___Copy[[#This Row],[Total_Orders_Per_Customer]],Table2[F-Cutoff],1)</f>
        <v>4</v>
      </c>
      <c r="Y2384" s="2">
        <f>MATCH(Auto_Sales_data___Copy[[#This Row],[Total_Sales_Per_Customer]],Table2[M-Cutoff],1)</f>
        <v>4</v>
      </c>
      <c r="Z2384" s="2" t="str">
        <f>Auto_Sales_data___Copy[[#This Row],[R-Score(1-5)]]&amp;Auto_Sales_data___Copy[[#This Row],[F-Score(1-5)]]&amp;Auto_Sales_data___Copy[[#This Row],[M-Score(1-5)]]</f>
        <v>144</v>
      </c>
      <c r="AA2384" s="2" t="str" cm="1">
        <f t="array" ref="AA23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4" s="2" t="str">
        <f>VLOOKUP(Auto_Sales_data___Copy[[#This Row],[Segment Name]],Table3[],2,FALSE)</f>
        <v>Brand Awareness &amp; Value Proposition</v>
      </c>
    </row>
    <row r="2385" spans="1:28" x14ac:dyDescent="0.25">
      <c r="A2385">
        <v>10185</v>
      </c>
      <c r="B2385">
        <v>37</v>
      </c>
      <c r="C2385">
        <v>105.18</v>
      </c>
      <c r="D2385">
        <v>4</v>
      </c>
      <c r="E2385">
        <v>3891.66</v>
      </c>
      <c r="F2385" s="1">
        <v>43418</v>
      </c>
      <c r="G2385" s="2" t="s">
        <v>19</v>
      </c>
      <c r="H2385" s="2" t="s">
        <v>642</v>
      </c>
      <c r="I2385">
        <v>100</v>
      </c>
      <c r="J2385" s="2" t="s">
        <v>715</v>
      </c>
      <c r="K2385" s="2" t="s">
        <v>353</v>
      </c>
      <c r="L2385" s="2" t="s">
        <v>354</v>
      </c>
      <c r="M2385" s="2" t="s">
        <v>355</v>
      </c>
      <c r="N2385" s="2" t="s">
        <v>162</v>
      </c>
      <c r="O2385" s="2" t="s">
        <v>163</v>
      </c>
      <c r="P2385" s="2" t="s">
        <v>27</v>
      </c>
      <c r="Q2385" s="2" t="s">
        <v>356</v>
      </c>
      <c r="R2385" s="2" t="s">
        <v>357</v>
      </c>
      <c r="S2385" s="2" t="s">
        <v>46</v>
      </c>
      <c r="T2385">
        <v>3188</v>
      </c>
      <c r="U2385">
        <f>VLOOKUP(Auto_Sales_data___Copy[[#This Row],[CUSTOMER_NAME]],$AF$2:$AH$90,2,FALSE)</f>
        <v>35</v>
      </c>
      <c r="V2385">
        <f>VLOOKUP(Auto_Sales_data___Copy[[#This Row],[CUSTOMER_NAME]],$AF$2:$AH$90,3,FALSE)</f>
        <v>108951.12999999998</v>
      </c>
      <c r="W2385" s="2">
        <f>6-MATCH(Auto_Sales_data___Copy[[#This Row],[DAYS_SINCE_LAST_ORDER]],Table2[R-Cutoff],1)</f>
        <v>1</v>
      </c>
      <c r="X2385" s="2">
        <f>MATCH(Auto_Sales_data___Copy[[#This Row],[Total_Orders_Per_Customer]],Table2[F-Cutoff],1)</f>
        <v>4</v>
      </c>
      <c r="Y2385" s="2">
        <f>MATCH(Auto_Sales_data___Copy[[#This Row],[Total_Sales_Per_Customer]],Table2[M-Cutoff],1)</f>
        <v>4</v>
      </c>
      <c r="Z2385" s="2" t="str">
        <f>Auto_Sales_data___Copy[[#This Row],[R-Score(1-5)]]&amp;Auto_Sales_data___Copy[[#This Row],[F-Score(1-5)]]&amp;Auto_Sales_data___Copy[[#This Row],[M-Score(1-5)]]</f>
        <v>144</v>
      </c>
      <c r="AA2385" s="2" t="str" cm="1">
        <f t="array" ref="AA23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5" s="2" t="str">
        <f>VLOOKUP(Auto_Sales_data___Copy[[#This Row],[Segment Name]],Table3[],2,FALSE)</f>
        <v>Brand Awareness &amp; Value Proposition</v>
      </c>
    </row>
    <row r="2386" spans="1:28" x14ac:dyDescent="0.25">
      <c r="A2386">
        <v>10185</v>
      </c>
      <c r="B2386">
        <v>22</v>
      </c>
      <c r="C2386">
        <v>79.45</v>
      </c>
      <c r="D2386">
        <v>5</v>
      </c>
      <c r="E2386">
        <v>1747.9</v>
      </c>
      <c r="F2386" s="1">
        <v>43418</v>
      </c>
      <c r="G2386" s="2" t="s">
        <v>19</v>
      </c>
      <c r="H2386" s="2" t="s">
        <v>642</v>
      </c>
      <c r="I2386">
        <v>99</v>
      </c>
      <c r="J2386" s="2" t="s">
        <v>716</v>
      </c>
      <c r="K2386" s="2" t="s">
        <v>353</v>
      </c>
      <c r="L2386" s="2" t="s">
        <v>354</v>
      </c>
      <c r="M2386" s="2" t="s">
        <v>355</v>
      </c>
      <c r="N2386" s="2" t="s">
        <v>162</v>
      </c>
      <c r="O2386" s="2" t="s">
        <v>163</v>
      </c>
      <c r="P2386" s="2" t="s">
        <v>27</v>
      </c>
      <c r="Q2386" s="2" t="s">
        <v>356</v>
      </c>
      <c r="R2386" s="2" t="s">
        <v>357</v>
      </c>
      <c r="S2386" s="2" t="s">
        <v>30</v>
      </c>
      <c r="T2386">
        <v>3214</v>
      </c>
      <c r="U2386">
        <f>VLOOKUP(Auto_Sales_data___Copy[[#This Row],[CUSTOMER_NAME]],$AF$2:$AH$90,2,FALSE)</f>
        <v>35</v>
      </c>
      <c r="V2386">
        <f>VLOOKUP(Auto_Sales_data___Copy[[#This Row],[CUSTOMER_NAME]],$AF$2:$AH$90,3,FALSE)</f>
        <v>108951.12999999998</v>
      </c>
      <c r="W2386" s="2">
        <f>6-MATCH(Auto_Sales_data___Copy[[#This Row],[DAYS_SINCE_LAST_ORDER]],Table2[R-Cutoff],1)</f>
        <v>1</v>
      </c>
      <c r="X2386" s="2">
        <f>MATCH(Auto_Sales_data___Copy[[#This Row],[Total_Orders_Per_Customer]],Table2[F-Cutoff],1)</f>
        <v>4</v>
      </c>
      <c r="Y2386" s="2">
        <f>MATCH(Auto_Sales_data___Copy[[#This Row],[Total_Sales_Per_Customer]],Table2[M-Cutoff],1)</f>
        <v>4</v>
      </c>
      <c r="Z2386" s="2" t="str">
        <f>Auto_Sales_data___Copy[[#This Row],[R-Score(1-5)]]&amp;Auto_Sales_data___Copy[[#This Row],[F-Score(1-5)]]&amp;Auto_Sales_data___Copy[[#This Row],[M-Score(1-5)]]</f>
        <v>144</v>
      </c>
      <c r="AA2386" s="2" t="str" cm="1">
        <f t="array" ref="AA23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6" s="2" t="str">
        <f>VLOOKUP(Auto_Sales_data___Copy[[#This Row],[Segment Name]],Table3[],2,FALSE)</f>
        <v>Brand Awareness &amp; Value Proposition</v>
      </c>
    </row>
    <row r="2387" spans="1:28" x14ac:dyDescent="0.25">
      <c r="A2387">
        <v>10185</v>
      </c>
      <c r="B2387">
        <v>28</v>
      </c>
      <c r="C2387">
        <v>64.430000000000007</v>
      </c>
      <c r="D2387">
        <v>6</v>
      </c>
      <c r="E2387">
        <v>1804.04</v>
      </c>
      <c r="F2387" s="1">
        <v>43418</v>
      </c>
      <c r="G2387" s="2" t="s">
        <v>19</v>
      </c>
      <c r="H2387" s="2" t="s">
        <v>642</v>
      </c>
      <c r="I2387">
        <v>54</v>
      </c>
      <c r="J2387" s="2" t="s">
        <v>719</v>
      </c>
      <c r="K2387" s="2" t="s">
        <v>353</v>
      </c>
      <c r="L2387" s="2" t="s">
        <v>354</v>
      </c>
      <c r="M2387" s="2" t="s">
        <v>355</v>
      </c>
      <c r="N2387" s="2" t="s">
        <v>162</v>
      </c>
      <c r="O2387" s="2" t="s">
        <v>163</v>
      </c>
      <c r="P2387" s="2" t="s">
        <v>27</v>
      </c>
      <c r="Q2387" s="2" t="s">
        <v>356</v>
      </c>
      <c r="R2387" s="2" t="s">
        <v>357</v>
      </c>
      <c r="S2387" s="2" t="s">
        <v>30</v>
      </c>
      <c r="T2387">
        <v>3293</v>
      </c>
      <c r="U2387">
        <f>VLOOKUP(Auto_Sales_data___Copy[[#This Row],[CUSTOMER_NAME]],$AF$2:$AH$90,2,FALSE)</f>
        <v>35</v>
      </c>
      <c r="V2387">
        <f>VLOOKUP(Auto_Sales_data___Copy[[#This Row],[CUSTOMER_NAME]],$AF$2:$AH$90,3,FALSE)</f>
        <v>108951.12999999998</v>
      </c>
      <c r="W2387" s="2">
        <f>6-MATCH(Auto_Sales_data___Copy[[#This Row],[DAYS_SINCE_LAST_ORDER]],Table2[R-Cutoff],1)</f>
        <v>1</v>
      </c>
      <c r="X2387" s="2">
        <f>MATCH(Auto_Sales_data___Copy[[#This Row],[Total_Orders_Per_Customer]],Table2[F-Cutoff],1)</f>
        <v>4</v>
      </c>
      <c r="Y2387" s="2">
        <f>MATCH(Auto_Sales_data___Copy[[#This Row],[Total_Sales_Per_Customer]],Table2[M-Cutoff],1)</f>
        <v>4</v>
      </c>
      <c r="Z2387" s="2" t="str">
        <f>Auto_Sales_data___Copy[[#This Row],[R-Score(1-5)]]&amp;Auto_Sales_data___Copy[[#This Row],[F-Score(1-5)]]&amp;Auto_Sales_data___Copy[[#This Row],[M-Score(1-5)]]</f>
        <v>144</v>
      </c>
      <c r="AA2387" s="2" t="str" cm="1">
        <f t="array" ref="AA23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7" s="2" t="str">
        <f>VLOOKUP(Auto_Sales_data___Copy[[#This Row],[Segment Name]],Table3[],2,FALSE)</f>
        <v>Brand Awareness &amp; Value Proposition</v>
      </c>
    </row>
    <row r="2388" spans="1:28" x14ac:dyDescent="0.25">
      <c r="A2388">
        <v>10188</v>
      </c>
      <c r="B2388">
        <v>44</v>
      </c>
      <c r="C2388">
        <v>98.89</v>
      </c>
      <c r="D2388">
        <v>7</v>
      </c>
      <c r="E2388">
        <v>4351.16</v>
      </c>
      <c r="F2388" s="1">
        <v>43422</v>
      </c>
      <c r="G2388" s="2" t="s">
        <v>19</v>
      </c>
      <c r="H2388" s="2" t="s">
        <v>20</v>
      </c>
      <c r="I2388">
        <v>99</v>
      </c>
      <c r="J2388" s="2" t="s">
        <v>695</v>
      </c>
      <c r="K2388" s="2" t="s">
        <v>68</v>
      </c>
      <c r="L2388" s="2" t="s">
        <v>69</v>
      </c>
      <c r="M2388" s="2" t="s">
        <v>70</v>
      </c>
      <c r="N2388" s="2" t="s">
        <v>71</v>
      </c>
      <c r="O2388" s="2" t="s">
        <v>72</v>
      </c>
      <c r="P2388" s="2" t="s">
        <v>73</v>
      </c>
      <c r="Q2388" s="2" t="s">
        <v>74</v>
      </c>
      <c r="R2388" s="2" t="s">
        <v>75</v>
      </c>
      <c r="S2388" s="2" t="s">
        <v>46</v>
      </c>
      <c r="T2388">
        <v>2670</v>
      </c>
      <c r="U2388">
        <f>VLOOKUP(Auto_Sales_data___Copy[[#This Row],[CUSTOMER_NAME]],$AF$2:$AH$90,2,FALSE)</f>
        <v>29</v>
      </c>
      <c r="V2388">
        <f>VLOOKUP(Auto_Sales_data___Copy[[#This Row],[CUSTOMER_NAME]],$AF$2:$AH$90,3,FALSE)</f>
        <v>111640.28</v>
      </c>
      <c r="W2388" s="2">
        <f>6-MATCH(Auto_Sales_data___Copy[[#This Row],[DAYS_SINCE_LAST_ORDER]],Table2[R-Cutoff],1)</f>
        <v>1</v>
      </c>
      <c r="X2388" s="2">
        <f>MATCH(Auto_Sales_data___Copy[[#This Row],[Total_Orders_Per_Customer]],Table2[F-Cutoff],1)</f>
        <v>4</v>
      </c>
      <c r="Y2388" s="2">
        <f>MATCH(Auto_Sales_data___Copy[[#This Row],[Total_Sales_Per_Customer]],Table2[M-Cutoff],1)</f>
        <v>4</v>
      </c>
      <c r="Z2388" s="2" t="str">
        <f>Auto_Sales_data___Copy[[#This Row],[R-Score(1-5)]]&amp;Auto_Sales_data___Copy[[#This Row],[F-Score(1-5)]]&amp;Auto_Sales_data___Copy[[#This Row],[M-Score(1-5)]]</f>
        <v>144</v>
      </c>
      <c r="AA2388" s="2" t="str" cm="1">
        <f t="array" ref="AA23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8" s="2" t="str">
        <f>VLOOKUP(Auto_Sales_data___Copy[[#This Row],[Segment Name]],Table3[],2,FALSE)</f>
        <v>Brand Awareness &amp; Value Proposition</v>
      </c>
    </row>
    <row r="2389" spans="1:28" x14ac:dyDescent="0.25">
      <c r="A2389">
        <v>10188</v>
      </c>
      <c r="B2389">
        <v>29</v>
      </c>
      <c r="C2389">
        <v>136.44999999999999</v>
      </c>
      <c r="D2389">
        <v>8</v>
      </c>
      <c r="E2389">
        <v>3957.05</v>
      </c>
      <c r="F2389" s="1">
        <v>43422</v>
      </c>
      <c r="G2389" s="2" t="s">
        <v>19</v>
      </c>
      <c r="H2389" s="2" t="s">
        <v>607</v>
      </c>
      <c r="I2389">
        <v>118</v>
      </c>
      <c r="J2389" s="2" t="s">
        <v>713</v>
      </c>
      <c r="K2389" s="2" t="s">
        <v>68</v>
      </c>
      <c r="L2389" s="2" t="s">
        <v>69</v>
      </c>
      <c r="M2389" s="2" t="s">
        <v>70</v>
      </c>
      <c r="N2389" s="2" t="s">
        <v>71</v>
      </c>
      <c r="O2389" s="2" t="s">
        <v>72</v>
      </c>
      <c r="P2389" s="2" t="s">
        <v>73</v>
      </c>
      <c r="Q2389" s="2" t="s">
        <v>74</v>
      </c>
      <c r="R2389" s="2" t="s">
        <v>75</v>
      </c>
      <c r="S2389" s="2" t="s">
        <v>46</v>
      </c>
      <c r="T2389">
        <v>3132</v>
      </c>
      <c r="U2389">
        <f>VLOOKUP(Auto_Sales_data___Copy[[#This Row],[CUSTOMER_NAME]],$AF$2:$AH$90,2,FALSE)</f>
        <v>29</v>
      </c>
      <c r="V2389">
        <f>VLOOKUP(Auto_Sales_data___Copy[[#This Row],[CUSTOMER_NAME]],$AF$2:$AH$90,3,FALSE)</f>
        <v>111640.28</v>
      </c>
      <c r="W2389" s="2">
        <f>6-MATCH(Auto_Sales_data___Copy[[#This Row],[DAYS_SINCE_LAST_ORDER]],Table2[R-Cutoff],1)</f>
        <v>1</v>
      </c>
      <c r="X2389" s="2">
        <f>MATCH(Auto_Sales_data___Copy[[#This Row],[Total_Orders_Per_Customer]],Table2[F-Cutoff],1)</f>
        <v>4</v>
      </c>
      <c r="Y2389" s="2">
        <f>MATCH(Auto_Sales_data___Copy[[#This Row],[Total_Sales_Per_Customer]],Table2[M-Cutoff],1)</f>
        <v>4</v>
      </c>
      <c r="Z2389" s="2" t="str">
        <f>Auto_Sales_data___Copy[[#This Row],[R-Score(1-5)]]&amp;Auto_Sales_data___Copy[[#This Row],[F-Score(1-5)]]&amp;Auto_Sales_data___Copy[[#This Row],[M-Score(1-5)]]</f>
        <v>144</v>
      </c>
      <c r="AA2389" s="2" t="str" cm="1">
        <f t="array" ref="AA23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9" s="2" t="str">
        <f>VLOOKUP(Auto_Sales_data___Copy[[#This Row],[Segment Name]],Table3[],2,FALSE)</f>
        <v>Brand Awareness &amp; Value Proposition</v>
      </c>
    </row>
    <row r="2390" spans="1:28" x14ac:dyDescent="0.25">
      <c r="A2390">
        <v>10194</v>
      </c>
      <c r="B2390">
        <v>37</v>
      </c>
      <c r="C2390">
        <v>97.27</v>
      </c>
      <c r="D2390">
        <v>3</v>
      </c>
      <c r="E2390">
        <v>3598.99</v>
      </c>
      <c r="F2390" s="1">
        <v>43429</v>
      </c>
      <c r="G2390" s="2" t="s">
        <v>19</v>
      </c>
      <c r="H2390" s="2" t="s">
        <v>537</v>
      </c>
      <c r="I2390">
        <v>96</v>
      </c>
      <c r="J2390" s="2" t="s">
        <v>694</v>
      </c>
      <c r="K2390" s="2" t="s">
        <v>224</v>
      </c>
      <c r="L2390" s="2" t="s">
        <v>225</v>
      </c>
      <c r="M2390" s="2" t="s">
        <v>226</v>
      </c>
      <c r="N2390" s="2" t="s">
        <v>227</v>
      </c>
      <c r="O2390" s="2" t="s">
        <v>228</v>
      </c>
      <c r="P2390" s="2" t="s">
        <v>36</v>
      </c>
      <c r="Q2390" s="2" t="s">
        <v>229</v>
      </c>
      <c r="R2390" s="2" t="s">
        <v>230</v>
      </c>
      <c r="S2390" s="2" t="s">
        <v>46</v>
      </c>
      <c r="T2390">
        <v>2639</v>
      </c>
      <c r="U2390">
        <f>VLOOKUP(Auto_Sales_data___Copy[[#This Row],[CUSTOMER_NAME]],$AF$2:$AH$90,2,FALSE)</f>
        <v>41</v>
      </c>
      <c r="V2390">
        <f>VLOOKUP(Auto_Sales_data___Copy[[#This Row],[CUSTOMER_NAME]],$AF$2:$AH$90,3,FALSE)</f>
        <v>142874.24999999997</v>
      </c>
      <c r="W2390" s="2">
        <f>6-MATCH(Auto_Sales_data___Copy[[#This Row],[DAYS_SINCE_LAST_ORDER]],Table2[R-Cutoff],1)</f>
        <v>1</v>
      </c>
      <c r="X2390" s="2">
        <f>MATCH(Auto_Sales_data___Copy[[#This Row],[Total_Orders_Per_Customer]],Table2[F-Cutoff],1)</f>
        <v>4</v>
      </c>
      <c r="Y2390" s="2">
        <f>MATCH(Auto_Sales_data___Copy[[#This Row],[Total_Sales_Per_Customer]],Table2[M-Cutoff],1)</f>
        <v>4</v>
      </c>
      <c r="Z2390" s="2" t="str">
        <f>Auto_Sales_data___Copy[[#This Row],[R-Score(1-5)]]&amp;Auto_Sales_data___Copy[[#This Row],[F-Score(1-5)]]&amp;Auto_Sales_data___Copy[[#This Row],[M-Score(1-5)]]</f>
        <v>144</v>
      </c>
      <c r="AA2390" s="2" t="str" cm="1">
        <f t="array" ref="AA23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0" s="2" t="str">
        <f>VLOOKUP(Auto_Sales_data___Copy[[#This Row],[Segment Name]],Table3[],2,FALSE)</f>
        <v>Brand Awareness &amp; Value Proposition</v>
      </c>
    </row>
    <row r="2391" spans="1:28" x14ac:dyDescent="0.25">
      <c r="A2391">
        <v>10194</v>
      </c>
      <c r="B2391">
        <v>39</v>
      </c>
      <c r="C2391">
        <v>54.94</v>
      </c>
      <c r="D2391">
        <v>7</v>
      </c>
      <c r="E2391">
        <v>2142.66</v>
      </c>
      <c r="F2391" s="1">
        <v>43429</v>
      </c>
      <c r="G2391" s="2" t="s">
        <v>19</v>
      </c>
      <c r="H2391" s="2" t="s">
        <v>537</v>
      </c>
      <c r="I2391">
        <v>64</v>
      </c>
      <c r="J2391" s="2" t="s">
        <v>699</v>
      </c>
      <c r="K2391" s="2" t="s">
        <v>224</v>
      </c>
      <c r="L2391" s="2" t="s">
        <v>225</v>
      </c>
      <c r="M2391" s="2" t="s">
        <v>226</v>
      </c>
      <c r="N2391" s="2" t="s">
        <v>227</v>
      </c>
      <c r="O2391" s="2" t="s">
        <v>228</v>
      </c>
      <c r="P2391" s="2" t="s">
        <v>36</v>
      </c>
      <c r="Q2391" s="2" t="s">
        <v>229</v>
      </c>
      <c r="R2391" s="2" t="s">
        <v>230</v>
      </c>
      <c r="S2391" s="2" t="s">
        <v>30</v>
      </c>
      <c r="T2391">
        <v>2768</v>
      </c>
      <c r="U2391">
        <f>VLOOKUP(Auto_Sales_data___Copy[[#This Row],[CUSTOMER_NAME]],$AF$2:$AH$90,2,FALSE)</f>
        <v>41</v>
      </c>
      <c r="V2391">
        <f>VLOOKUP(Auto_Sales_data___Copy[[#This Row],[CUSTOMER_NAME]],$AF$2:$AH$90,3,FALSE)</f>
        <v>142874.24999999997</v>
      </c>
      <c r="W2391" s="2">
        <f>6-MATCH(Auto_Sales_data___Copy[[#This Row],[DAYS_SINCE_LAST_ORDER]],Table2[R-Cutoff],1)</f>
        <v>1</v>
      </c>
      <c r="X2391" s="2">
        <f>MATCH(Auto_Sales_data___Copy[[#This Row],[Total_Orders_Per_Customer]],Table2[F-Cutoff],1)</f>
        <v>4</v>
      </c>
      <c r="Y2391" s="2">
        <f>MATCH(Auto_Sales_data___Copy[[#This Row],[Total_Sales_Per_Customer]],Table2[M-Cutoff],1)</f>
        <v>4</v>
      </c>
      <c r="Z2391" s="2" t="str">
        <f>Auto_Sales_data___Copy[[#This Row],[R-Score(1-5)]]&amp;Auto_Sales_data___Copy[[#This Row],[F-Score(1-5)]]&amp;Auto_Sales_data___Copy[[#This Row],[M-Score(1-5)]]</f>
        <v>144</v>
      </c>
      <c r="AA2391" s="2" t="str" cm="1">
        <f t="array" ref="AA23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1" s="2" t="str">
        <f>VLOOKUP(Auto_Sales_data___Copy[[#This Row],[Segment Name]],Table3[],2,FALSE)</f>
        <v>Brand Awareness &amp; Value Proposition</v>
      </c>
    </row>
    <row r="2392" spans="1:28" x14ac:dyDescent="0.25">
      <c r="A2392">
        <v>10194</v>
      </c>
      <c r="B2392">
        <v>26</v>
      </c>
      <c r="C2392">
        <v>89.01</v>
      </c>
      <c r="D2392">
        <v>6</v>
      </c>
      <c r="E2392">
        <v>2314.2600000000002</v>
      </c>
      <c r="F2392" s="1">
        <v>43429</v>
      </c>
      <c r="G2392" s="2" t="s">
        <v>19</v>
      </c>
      <c r="H2392" s="2" t="s">
        <v>183</v>
      </c>
      <c r="I2392">
        <v>101</v>
      </c>
      <c r="J2392" s="2" t="s">
        <v>712</v>
      </c>
      <c r="K2392" s="2" t="s">
        <v>224</v>
      </c>
      <c r="L2392" s="2" t="s">
        <v>225</v>
      </c>
      <c r="M2392" s="2" t="s">
        <v>226</v>
      </c>
      <c r="N2392" s="2" t="s">
        <v>227</v>
      </c>
      <c r="O2392" s="2" t="s">
        <v>228</v>
      </c>
      <c r="P2392" s="2" t="s">
        <v>36</v>
      </c>
      <c r="Q2392" s="2" t="s">
        <v>229</v>
      </c>
      <c r="R2392" s="2" t="s">
        <v>230</v>
      </c>
      <c r="S2392" s="2" t="s">
        <v>30</v>
      </c>
      <c r="T2392">
        <v>3101</v>
      </c>
      <c r="U2392">
        <f>VLOOKUP(Auto_Sales_data___Copy[[#This Row],[CUSTOMER_NAME]],$AF$2:$AH$90,2,FALSE)</f>
        <v>41</v>
      </c>
      <c r="V2392">
        <f>VLOOKUP(Auto_Sales_data___Copy[[#This Row],[CUSTOMER_NAME]],$AF$2:$AH$90,3,FALSE)</f>
        <v>142874.24999999997</v>
      </c>
      <c r="W2392" s="2">
        <f>6-MATCH(Auto_Sales_data___Copy[[#This Row],[DAYS_SINCE_LAST_ORDER]],Table2[R-Cutoff],1)</f>
        <v>1</v>
      </c>
      <c r="X2392" s="2">
        <f>MATCH(Auto_Sales_data___Copy[[#This Row],[Total_Orders_Per_Customer]],Table2[F-Cutoff],1)</f>
        <v>4</v>
      </c>
      <c r="Y2392" s="2">
        <f>MATCH(Auto_Sales_data___Copy[[#This Row],[Total_Sales_Per_Customer]],Table2[M-Cutoff],1)</f>
        <v>4</v>
      </c>
      <c r="Z2392" s="2" t="str">
        <f>Auto_Sales_data___Copy[[#This Row],[R-Score(1-5)]]&amp;Auto_Sales_data___Copy[[#This Row],[F-Score(1-5)]]&amp;Auto_Sales_data___Copy[[#This Row],[M-Score(1-5)]]</f>
        <v>144</v>
      </c>
      <c r="AA2392" s="2" t="str" cm="1">
        <f t="array" ref="AA23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2" s="2" t="str">
        <f>VLOOKUP(Auto_Sales_data___Copy[[#This Row],[Segment Name]],Table3[],2,FALSE)</f>
        <v>Brand Awareness &amp; Value Proposition</v>
      </c>
    </row>
    <row r="2393" spans="1:28" x14ac:dyDescent="0.25">
      <c r="A2393">
        <v>10208</v>
      </c>
      <c r="B2393">
        <v>30</v>
      </c>
      <c r="C2393">
        <v>65.61</v>
      </c>
      <c r="D2393">
        <v>15</v>
      </c>
      <c r="E2393">
        <v>1968.3</v>
      </c>
      <c r="F2393" s="1">
        <v>43467</v>
      </c>
      <c r="G2393" s="2" t="s">
        <v>19</v>
      </c>
      <c r="H2393" s="2" t="s">
        <v>650</v>
      </c>
      <c r="I2393">
        <v>58</v>
      </c>
      <c r="J2393" s="2" t="s">
        <v>704</v>
      </c>
      <c r="K2393" s="2" t="s">
        <v>224</v>
      </c>
      <c r="L2393" s="2" t="s">
        <v>225</v>
      </c>
      <c r="M2393" s="2" t="s">
        <v>226</v>
      </c>
      <c r="N2393" s="2" t="s">
        <v>227</v>
      </c>
      <c r="O2393" s="2" t="s">
        <v>228</v>
      </c>
      <c r="P2393" s="2" t="s">
        <v>36</v>
      </c>
      <c r="Q2393" s="2" t="s">
        <v>229</v>
      </c>
      <c r="R2393" s="2" t="s">
        <v>230</v>
      </c>
      <c r="S2393" s="2" t="s">
        <v>30</v>
      </c>
      <c r="T2393">
        <v>2859</v>
      </c>
      <c r="U2393">
        <f>VLOOKUP(Auto_Sales_data___Copy[[#This Row],[CUSTOMER_NAME]],$AF$2:$AH$90,2,FALSE)</f>
        <v>41</v>
      </c>
      <c r="V2393">
        <f>VLOOKUP(Auto_Sales_data___Copy[[#This Row],[CUSTOMER_NAME]],$AF$2:$AH$90,3,FALSE)</f>
        <v>142874.24999999997</v>
      </c>
      <c r="W2393" s="2">
        <f>6-MATCH(Auto_Sales_data___Copy[[#This Row],[DAYS_SINCE_LAST_ORDER]],Table2[R-Cutoff],1)</f>
        <v>1</v>
      </c>
      <c r="X2393" s="2">
        <f>MATCH(Auto_Sales_data___Copy[[#This Row],[Total_Orders_Per_Customer]],Table2[F-Cutoff],1)</f>
        <v>4</v>
      </c>
      <c r="Y2393" s="2">
        <f>MATCH(Auto_Sales_data___Copy[[#This Row],[Total_Sales_Per_Customer]],Table2[M-Cutoff],1)</f>
        <v>4</v>
      </c>
      <c r="Z2393" s="2" t="str">
        <f>Auto_Sales_data___Copy[[#This Row],[R-Score(1-5)]]&amp;Auto_Sales_data___Copy[[#This Row],[F-Score(1-5)]]&amp;Auto_Sales_data___Copy[[#This Row],[M-Score(1-5)]]</f>
        <v>144</v>
      </c>
      <c r="AA2393" s="2" t="str" cm="1">
        <f t="array" ref="AA23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3" s="2" t="str">
        <f>VLOOKUP(Auto_Sales_data___Copy[[#This Row],[Segment Name]],Table3[],2,FALSE)</f>
        <v>Brand Awareness &amp; Value Proposition</v>
      </c>
    </row>
    <row r="2394" spans="1:28" x14ac:dyDescent="0.25">
      <c r="A2394">
        <v>10208</v>
      </c>
      <c r="B2394">
        <v>38</v>
      </c>
      <c r="C2394">
        <v>74.67</v>
      </c>
      <c r="D2394">
        <v>3</v>
      </c>
      <c r="E2394">
        <v>2837.46</v>
      </c>
      <c r="F2394" s="1">
        <v>43467</v>
      </c>
      <c r="G2394" s="2" t="s">
        <v>19</v>
      </c>
      <c r="H2394" s="2" t="s">
        <v>642</v>
      </c>
      <c r="I2394">
        <v>66</v>
      </c>
      <c r="J2394" s="2" t="s">
        <v>706</v>
      </c>
      <c r="K2394" s="2" t="s">
        <v>224</v>
      </c>
      <c r="L2394" s="2" t="s">
        <v>225</v>
      </c>
      <c r="M2394" s="2" t="s">
        <v>226</v>
      </c>
      <c r="N2394" s="2" t="s">
        <v>227</v>
      </c>
      <c r="O2394" s="2" t="s">
        <v>228</v>
      </c>
      <c r="P2394" s="2" t="s">
        <v>36</v>
      </c>
      <c r="Q2394" s="2" t="s">
        <v>229</v>
      </c>
      <c r="R2394" s="2" t="s">
        <v>230</v>
      </c>
      <c r="S2394" s="2" t="s">
        <v>30</v>
      </c>
      <c r="T2394">
        <v>2909</v>
      </c>
      <c r="U2394">
        <f>VLOOKUP(Auto_Sales_data___Copy[[#This Row],[CUSTOMER_NAME]],$AF$2:$AH$90,2,FALSE)</f>
        <v>41</v>
      </c>
      <c r="V2394">
        <f>VLOOKUP(Auto_Sales_data___Copy[[#This Row],[CUSTOMER_NAME]],$AF$2:$AH$90,3,FALSE)</f>
        <v>142874.24999999997</v>
      </c>
      <c r="W2394" s="2">
        <f>6-MATCH(Auto_Sales_data___Copy[[#This Row],[DAYS_SINCE_LAST_ORDER]],Table2[R-Cutoff],1)</f>
        <v>1</v>
      </c>
      <c r="X2394" s="2">
        <f>MATCH(Auto_Sales_data___Copy[[#This Row],[Total_Orders_Per_Customer]],Table2[F-Cutoff],1)</f>
        <v>4</v>
      </c>
      <c r="Y2394" s="2">
        <f>MATCH(Auto_Sales_data___Copy[[#This Row],[Total_Sales_Per_Customer]],Table2[M-Cutoff],1)</f>
        <v>4</v>
      </c>
      <c r="Z2394" s="2" t="str">
        <f>Auto_Sales_data___Copy[[#This Row],[R-Score(1-5)]]&amp;Auto_Sales_data___Copy[[#This Row],[F-Score(1-5)]]&amp;Auto_Sales_data___Copy[[#This Row],[M-Score(1-5)]]</f>
        <v>144</v>
      </c>
      <c r="AA2394" s="2" t="str" cm="1">
        <f t="array" ref="AA23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4" s="2" t="str">
        <f>VLOOKUP(Auto_Sales_data___Copy[[#This Row],[Segment Name]],Table3[],2,FALSE)</f>
        <v>Brand Awareness &amp; Value Proposition</v>
      </c>
    </row>
    <row r="2395" spans="1:28" x14ac:dyDescent="0.25">
      <c r="A2395">
        <v>10208</v>
      </c>
      <c r="B2395">
        <v>40</v>
      </c>
      <c r="C2395">
        <v>80.55</v>
      </c>
      <c r="D2395">
        <v>10</v>
      </c>
      <c r="E2395">
        <v>3222</v>
      </c>
      <c r="F2395" s="1">
        <v>43467</v>
      </c>
      <c r="G2395" s="2" t="s">
        <v>19</v>
      </c>
      <c r="H2395" s="2" t="s">
        <v>642</v>
      </c>
      <c r="I2395">
        <v>86</v>
      </c>
      <c r="J2395" s="2" t="s">
        <v>708</v>
      </c>
      <c r="K2395" s="2" t="s">
        <v>224</v>
      </c>
      <c r="L2395" s="2" t="s">
        <v>225</v>
      </c>
      <c r="M2395" s="2" t="s">
        <v>226</v>
      </c>
      <c r="N2395" s="2" t="s">
        <v>227</v>
      </c>
      <c r="O2395" s="2" t="s">
        <v>228</v>
      </c>
      <c r="P2395" s="2" t="s">
        <v>36</v>
      </c>
      <c r="Q2395" s="2" t="s">
        <v>229</v>
      </c>
      <c r="R2395" s="2" t="s">
        <v>230</v>
      </c>
      <c r="S2395" s="2" t="s">
        <v>46</v>
      </c>
      <c r="T2395">
        <v>2961</v>
      </c>
      <c r="U2395">
        <f>VLOOKUP(Auto_Sales_data___Copy[[#This Row],[CUSTOMER_NAME]],$AF$2:$AH$90,2,FALSE)</f>
        <v>41</v>
      </c>
      <c r="V2395">
        <f>VLOOKUP(Auto_Sales_data___Copy[[#This Row],[CUSTOMER_NAME]],$AF$2:$AH$90,3,FALSE)</f>
        <v>142874.24999999997</v>
      </c>
      <c r="W2395" s="2">
        <f>6-MATCH(Auto_Sales_data___Copy[[#This Row],[DAYS_SINCE_LAST_ORDER]],Table2[R-Cutoff],1)</f>
        <v>1</v>
      </c>
      <c r="X2395" s="2">
        <f>MATCH(Auto_Sales_data___Copy[[#This Row],[Total_Orders_Per_Customer]],Table2[F-Cutoff],1)</f>
        <v>4</v>
      </c>
      <c r="Y2395" s="2">
        <f>MATCH(Auto_Sales_data___Copy[[#This Row],[Total_Sales_Per_Customer]],Table2[M-Cutoff],1)</f>
        <v>4</v>
      </c>
      <c r="Z2395" s="2" t="str">
        <f>Auto_Sales_data___Copy[[#This Row],[R-Score(1-5)]]&amp;Auto_Sales_data___Copy[[#This Row],[F-Score(1-5)]]&amp;Auto_Sales_data___Copy[[#This Row],[M-Score(1-5)]]</f>
        <v>144</v>
      </c>
      <c r="AA2395" s="2" t="str" cm="1">
        <f t="array" ref="AA23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5" s="2" t="str">
        <f>VLOOKUP(Auto_Sales_data___Copy[[#This Row],[Segment Name]],Table3[],2,FALSE)</f>
        <v>Brand Awareness &amp; Value Proposition</v>
      </c>
    </row>
    <row r="2396" spans="1:28" x14ac:dyDescent="0.25">
      <c r="A2396">
        <v>10208</v>
      </c>
      <c r="B2396">
        <v>46</v>
      </c>
      <c r="C2396">
        <v>74.45</v>
      </c>
      <c r="D2396">
        <v>1</v>
      </c>
      <c r="E2396">
        <v>3424.7</v>
      </c>
      <c r="F2396" s="1">
        <v>43467</v>
      </c>
      <c r="G2396" s="2" t="s">
        <v>19</v>
      </c>
      <c r="H2396" s="2" t="s">
        <v>642</v>
      </c>
      <c r="I2396">
        <v>72</v>
      </c>
      <c r="J2396" s="2" t="s">
        <v>711</v>
      </c>
      <c r="K2396" s="2" t="s">
        <v>224</v>
      </c>
      <c r="L2396" s="2" t="s">
        <v>225</v>
      </c>
      <c r="M2396" s="2" t="s">
        <v>226</v>
      </c>
      <c r="N2396" s="2" t="s">
        <v>227</v>
      </c>
      <c r="O2396" s="2" t="s">
        <v>228</v>
      </c>
      <c r="P2396" s="2" t="s">
        <v>36</v>
      </c>
      <c r="Q2396" s="2" t="s">
        <v>229</v>
      </c>
      <c r="R2396" s="2" t="s">
        <v>230</v>
      </c>
      <c r="S2396" s="2" t="s">
        <v>46</v>
      </c>
      <c r="T2396">
        <v>3038</v>
      </c>
      <c r="U2396">
        <f>VLOOKUP(Auto_Sales_data___Copy[[#This Row],[CUSTOMER_NAME]],$AF$2:$AH$90,2,FALSE)</f>
        <v>41</v>
      </c>
      <c r="V2396">
        <f>VLOOKUP(Auto_Sales_data___Copy[[#This Row],[CUSTOMER_NAME]],$AF$2:$AH$90,3,FALSE)</f>
        <v>142874.24999999997</v>
      </c>
      <c r="W2396" s="2">
        <f>6-MATCH(Auto_Sales_data___Copy[[#This Row],[DAYS_SINCE_LAST_ORDER]],Table2[R-Cutoff],1)</f>
        <v>1</v>
      </c>
      <c r="X2396" s="2">
        <f>MATCH(Auto_Sales_data___Copy[[#This Row],[Total_Orders_Per_Customer]],Table2[F-Cutoff],1)</f>
        <v>4</v>
      </c>
      <c r="Y2396" s="2">
        <f>MATCH(Auto_Sales_data___Copy[[#This Row],[Total_Sales_Per_Customer]],Table2[M-Cutoff],1)</f>
        <v>4</v>
      </c>
      <c r="Z2396" s="2" t="str">
        <f>Auto_Sales_data___Copy[[#This Row],[R-Score(1-5)]]&amp;Auto_Sales_data___Copy[[#This Row],[F-Score(1-5)]]&amp;Auto_Sales_data___Copy[[#This Row],[M-Score(1-5)]]</f>
        <v>144</v>
      </c>
      <c r="AA2396" s="2" t="str" cm="1">
        <f t="array" ref="AA23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6" s="2" t="str">
        <f>VLOOKUP(Auto_Sales_data___Copy[[#This Row],[Segment Name]],Table3[],2,FALSE)</f>
        <v>Brand Awareness &amp; Value Proposition</v>
      </c>
    </row>
    <row r="2397" spans="1:28" x14ac:dyDescent="0.25">
      <c r="A2397">
        <v>10208</v>
      </c>
      <c r="B2397">
        <v>37</v>
      </c>
      <c r="C2397">
        <v>120.2</v>
      </c>
      <c r="D2397">
        <v>4</v>
      </c>
      <c r="E2397">
        <v>4447.3999999999996</v>
      </c>
      <c r="F2397" s="1">
        <v>43467</v>
      </c>
      <c r="G2397" s="2" t="s">
        <v>19</v>
      </c>
      <c r="H2397" s="2" t="s">
        <v>642</v>
      </c>
      <c r="I2397">
        <v>100</v>
      </c>
      <c r="J2397" s="2" t="s">
        <v>715</v>
      </c>
      <c r="K2397" s="2" t="s">
        <v>224</v>
      </c>
      <c r="L2397" s="2" t="s">
        <v>225</v>
      </c>
      <c r="M2397" s="2" t="s">
        <v>226</v>
      </c>
      <c r="N2397" s="2" t="s">
        <v>227</v>
      </c>
      <c r="O2397" s="2" t="s">
        <v>228</v>
      </c>
      <c r="P2397" s="2" t="s">
        <v>36</v>
      </c>
      <c r="Q2397" s="2" t="s">
        <v>229</v>
      </c>
      <c r="R2397" s="2" t="s">
        <v>230</v>
      </c>
      <c r="S2397" s="2" t="s">
        <v>46</v>
      </c>
      <c r="T2397">
        <v>3141</v>
      </c>
      <c r="U2397">
        <f>VLOOKUP(Auto_Sales_data___Copy[[#This Row],[CUSTOMER_NAME]],$AF$2:$AH$90,2,FALSE)</f>
        <v>41</v>
      </c>
      <c r="V2397">
        <f>VLOOKUP(Auto_Sales_data___Copy[[#This Row],[CUSTOMER_NAME]],$AF$2:$AH$90,3,FALSE)</f>
        <v>142874.24999999997</v>
      </c>
      <c r="W2397" s="2">
        <f>6-MATCH(Auto_Sales_data___Copy[[#This Row],[DAYS_SINCE_LAST_ORDER]],Table2[R-Cutoff],1)</f>
        <v>1</v>
      </c>
      <c r="X2397" s="2">
        <f>MATCH(Auto_Sales_data___Copy[[#This Row],[Total_Orders_Per_Customer]],Table2[F-Cutoff],1)</f>
        <v>4</v>
      </c>
      <c r="Y2397" s="2">
        <f>MATCH(Auto_Sales_data___Copy[[#This Row],[Total_Sales_Per_Customer]],Table2[M-Cutoff],1)</f>
        <v>4</v>
      </c>
      <c r="Z2397" s="2" t="str">
        <f>Auto_Sales_data___Copy[[#This Row],[R-Score(1-5)]]&amp;Auto_Sales_data___Copy[[#This Row],[F-Score(1-5)]]&amp;Auto_Sales_data___Copy[[#This Row],[M-Score(1-5)]]</f>
        <v>144</v>
      </c>
      <c r="AA2397" s="2" t="str" cm="1">
        <f t="array" ref="AA23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7" s="2" t="str">
        <f>VLOOKUP(Auto_Sales_data___Copy[[#This Row],[Segment Name]],Table3[],2,FALSE)</f>
        <v>Brand Awareness &amp; Value Proposition</v>
      </c>
    </row>
    <row r="2398" spans="1:28" x14ac:dyDescent="0.25">
      <c r="A2398">
        <v>10208</v>
      </c>
      <c r="B2398">
        <v>33</v>
      </c>
      <c r="C2398">
        <v>85.41</v>
      </c>
      <c r="D2398">
        <v>5</v>
      </c>
      <c r="E2398">
        <v>2818.53</v>
      </c>
      <c r="F2398" s="1">
        <v>43467</v>
      </c>
      <c r="G2398" s="2" t="s">
        <v>19</v>
      </c>
      <c r="H2398" s="2" t="s">
        <v>642</v>
      </c>
      <c r="I2398">
        <v>99</v>
      </c>
      <c r="J2398" s="2" t="s">
        <v>716</v>
      </c>
      <c r="K2398" s="2" t="s">
        <v>224</v>
      </c>
      <c r="L2398" s="2" t="s">
        <v>225</v>
      </c>
      <c r="M2398" s="2" t="s">
        <v>226</v>
      </c>
      <c r="N2398" s="2" t="s">
        <v>227</v>
      </c>
      <c r="O2398" s="2" t="s">
        <v>228</v>
      </c>
      <c r="P2398" s="2" t="s">
        <v>36</v>
      </c>
      <c r="Q2398" s="2" t="s">
        <v>229</v>
      </c>
      <c r="R2398" s="2" t="s">
        <v>230</v>
      </c>
      <c r="S2398" s="2" t="s">
        <v>30</v>
      </c>
      <c r="T2398">
        <v>3167</v>
      </c>
      <c r="U2398">
        <f>VLOOKUP(Auto_Sales_data___Copy[[#This Row],[CUSTOMER_NAME]],$AF$2:$AH$90,2,FALSE)</f>
        <v>41</v>
      </c>
      <c r="V2398">
        <f>VLOOKUP(Auto_Sales_data___Copy[[#This Row],[CUSTOMER_NAME]],$AF$2:$AH$90,3,FALSE)</f>
        <v>142874.24999999997</v>
      </c>
      <c r="W2398" s="2">
        <f>6-MATCH(Auto_Sales_data___Copy[[#This Row],[DAYS_SINCE_LAST_ORDER]],Table2[R-Cutoff],1)</f>
        <v>1</v>
      </c>
      <c r="X2398" s="2">
        <f>MATCH(Auto_Sales_data___Copy[[#This Row],[Total_Orders_Per_Customer]],Table2[F-Cutoff],1)</f>
        <v>4</v>
      </c>
      <c r="Y2398" s="2">
        <f>MATCH(Auto_Sales_data___Copy[[#This Row],[Total_Sales_Per_Customer]],Table2[M-Cutoff],1)</f>
        <v>4</v>
      </c>
      <c r="Z2398" s="2" t="str">
        <f>Auto_Sales_data___Copy[[#This Row],[R-Score(1-5)]]&amp;Auto_Sales_data___Copy[[#This Row],[F-Score(1-5)]]&amp;Auto_Sales_data___Copy[[#This Row],[M-Score(1-5)]]</f>
        <v>144</v>
      </c>
      <c r="AA2398" s="2" t="str" cm="1">
        <f t="array" ref="AA23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8" s="2" t="str">
        <f>VLOOKUP(Auto_Sales_data___Copy[[#This Row],[Segment Name]],Table3[],2,FALSE)</f>
        <v>Brand Awareness &amp; Value Proposition</v>
      </c>
    </row>
    <row r="2399" spans="1:28" x14ac:dyDescent="0.25">
      <c r="A2399">
        <v>10208</v>
      </c>
      <c r="B2399">
        <v>42</v>
      </c>
      <c r="C2399">
        <v>63.88</v>
      </c>
      <c r="D2399">
        <v>6</v>
      </c>
      <c r="E2399">
        <v>2682.96</v>
      </c>
      <c r="F2399" s="1">
        <v>43467</v>
      </c>
      <c r="G2399" s="2" t="s">
        <v>19</v>
      </c>
      <c r="H2399" s="2" t="s">
        <v>642</v>
      </c>
      <c r="I2399">
        <v>54</v>
      </c>
      <c r="J2399" s="2" t="s">
        <v>719</v>
      </c>
      <c r="K2399" s="2" t="s">
        <v>224</v>
      </c>
      <c r="L2399" s="2" t="s">
        <v>225</v>
      </c>
      <c r="M2399" s="2" t="s">
        <v>226</v>
      </c>
      <c r="N2399" s="2" t="s">
        <v>227</v>
      </c>
      <c r="O2399" s="2" t="s">
        <v>228</v>
      </c>
      <c r="P2399" s="2" t="s">
        <v>36</v>
      </c>
      <c r="Q2399" s="2" t="s">
        <v>229</v>
      </c>
      <c r="R2399" s="2" t="s">
        <v>230</v>
      </c>
      <c r="S2399" s="2" t="s">
        <v>30</v>
      </c>
      <c r="T2399">
        <v>3246</v>
      </c>
      <c r="U2399">
        <f>VLOOKUP(Auto_Sales_data___Copy[[#This Row],[CUSTOMER_NAME]],$AF$2:$AH$90,2,FALSE)</f>
        <v>41</v>
      </c>
      <c r="V2399">
        <f>VLOOKUP(Auto_Sales_data___Copy[[#This Row],[CUSTOMER_NAME]],$AF$2:$AH$90,3,FALSE)</f>
        <v>142874.24999999997</v>
      </c>
      <c r="W2399" s="2">
        <f>6-MATCH(Auto_Sales_data___Copy[[#This Row],[DAYS_SINCE_LAST_ORDER]],Table2[R-Cutoff],1)</f>
        <v>1</v>
      </c>
      <c r="X2399" s="2">
        <f>MATCH(Auto_Sales_data___Copy[[#This Row],[Total_Orders_Per_Customer]],Table2[F-Cutoff],1)</f>
        <v>4</v>
      </c>
      <c r="Y2399" s="2">
        <f>MATCH(Auto_Sales_data___Copy[[#This Row],[Total_Sales_Per_Customer]],Table2[M-Cutoff],1)</f>
        <v>4</v>
      </c>
      <c r="Z2399" s="2" t="str">
        <f>Auto_Sales_data___Copy[[#This Row],[R-Score(1-5)]]&amp;Auto_Sales_data___Copy[[#This Row],[F-Score(1-5)]]&amp;Auto_Sales_data___Copy[[#This Row],[M-Score(1-5)]]</f>
        <v>144</v>
      </c>
      <c r="AA2399" s="2" t="str" cm="1">
        <f t="array" ref="AA23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9" s="2" t="str">
        <f>VLOOKUP(Auto_Sales_data___Copy[[#This Row],[Segment Name]],Table3[],2,FALSE)</f>
        <v>Brand Awareness &amp; Value Proposition</v>
      </c>
    </row>
    <row r="2400" spans="1:28" x14ac:dyDescent="0.25">
      <c r="A2400">
        <v>10217</v>
      </c>
      <c r="B2400">
        <v>21</v>
      </c>
      <c r="C2400">
        <v>106.9</v>
      </c>
      <c r="D2400">
        <v>3</v>
      </c>
      <c r="E2400">
        <v>2244.9</v>
      </c>
      <c r="F2400" s="1">
        <v>43500</v>
      </c>
      <c r="G2400" s="2" t="s">
        <v>19</v>
      </c>
      <c r="H2400" s="2" t="s">
        <v>537</v>
      </c>
      <c r="I2400">
        <v>96</v>
      </c>
      <c r="J2400" s="2" t="s">
        <v>694</v>
      </c>
      <c r="K2400" s="2" t="s">
        <v>443</v>
      </c>
      <c r="L2400" s="2" t="s">
        <v>444</v>
      </c>
      <c r="M2400" s="2" t="s">
        <v>445</v>
      </c>
      <c r="N2400" s="2" t="s">
        <v>202</v>
      </c>
      <c r="O2400" s="2" t="s">
        <v>446</v>
      </c>
      <c r="P2400" s="2" t="s">
        <v>202</v>
      </c>
      <c r="Q2400" s="2" t="s">
        <v>447</v>
      </c>
      <c r="R2400" s="2" t="s">
        <v>448</v>
      </c>
      <c r="S2400" s="2" t="s">
        <v>30</v>
      </c>
      <c r="T2400">
        <v>2570</v>
      </c>
      <c r="U2400">
        <f>VLOOKUP(Auto_Sales_data___Copy[[#This Row],[CUSTOMER_NAME]],$AF$2:$AH$90,2,FALSE)</f>
        <v>36</v>
      </c>
      <c r="V2400">
        <f>VLOOKUP(Auto_Sales_data___Copy[[#This Row],[CUSTOMER_NAME]],$AF$2:$AH$90,3,FALSE)</f>
        <v>115498.72999999998</v>
      </c>
      <c r="W2400" s="2">
        <f>6-MATCH(Auto_Sales_data___Copy[[#This Row],[DAYS_SINCE_LAST_ORDER]],Table2[R-Cutoff],1)</f>
        <v>1</v>
      </c>
      <c r="X2400" s="2">
        <f>MATCH(Auto_Sales_data___Copy[[#This Row],[Total_Orders_Per_Customer]],Table2[F-Cutoff],1)</f>
        <v>4</v>
      </c>
      <c r="Y2400" s="2">
        <f>MATCH(Auto_Sales_data___Copy[[#This Row],[Total_Sales_Per_Customer]],Table2[M-Cutoff],1)</f>
        <v>4</v>
      </c>
      <c r="Z2400" s="2" t="str">
        <f>Auto_Sales_data___Copy[[#This Row],[R-Score(1-5)]]&amp;Auto_Sales_data___Copy[[#This Row],[F-Score(1-5)]]&amp;Auto_Sales_data___Copy[[#This Row],[M-Score(1-5)]]</f>
        <v>144</v>
      </c>
      <c r="AA2400" s="2" t="str" cm="1">
        <f t="array" ref="AA24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0" s="2" t="str">
        <f>VLOOKUP(Auto_Sales_data___Copy[[#This Row],[Segment Name]],Table3[],2,FALSE)</f>
        <v>Brand Awareness &amp; Value Proposition</v>
      </c>
    </row>
    <row r="2401" spans="1:28" x14ac:dyDescent="0.25">
      <c r="A2401">
        <v>10217</v>
      </c>
      <c r="B2401">
        <v>39</v>
      </c>
      <c r="C2401">
        <v>62.05</v>
      </c>
      <c r="D2401">
        <v>7</v>
      </c>
      <c r="E2401">
        <v>2419.9499999999998</v>
      </c>
      <c r="F2401" s="1">
        <v>43500</v>
      </c>
      <c r="G2401" s="2" t="s">
        <v>19</v>
      </c>
      <c r="H2401" s="2" t="s">
        <v>537</v>
      </c>
      <c r="I2401">
        <v>64</v>
      </c>
      <c r="J2401" s="2" t="s">
        <v>699</v>
      </c>
      <c r="K2401" s="2" t="s">
        <v>443</v>
      </c>
      <c r="L2401" s="2" t="s">
        <v>444</v>
      </c>
      <c r="M2401" s="2" t="s">
        <v>445</v>
      </c>
      <c r="N2401" s="2" t="s">
        <v>202</v>
      </c>
      <c r="O2401" s="2" t="s">
        <v>446</v>
      </c>
      <c r="P2401" s="2" t="s">
        <v>202</v>
      </c>
      <c r="Q2401" s="2" t="s">
        <v>447</v>
      </c>
      <c r="R2401" s="2" t="s">
        <v>448</v>
      </c>
      <c r="S2401" s="2" t="s">
        <v>30</v>
      </c>
      <c r="T2401">
        <v>2699</v>
      </c>
      <c r="U2401">
        <f>VLOOKUP(Auto_Sales_data___Copy[[#This Row],[CUSTOMER_NAME]],$AF$2:$AH$90,2,FALSE)</f>
        <v>36</v>
      </c>
      <c r="V2401">
        <f>VLOOKUP(Auto_Sales_data___Copy[[#This Row],[CUSTOMER_NAME]],$AF$2:$AH$90,3,FALSE)</f>
        <v>115498.72999999998</v>
      </c>
      <c r="W2401" s="2">
        <f>6-MATCH(Auto_Sales_data___Copy[[#This Row],[DAYS_SINCE_LAST_ORDER]],Table2[R-Cutoff],1)</f>
        <v>1</v>
      </c>
      <c r="X2401" s="2">
        <f>MATCH(Auto_Sales_data___Copy[[#This Row],[Total_Orders_Per_Customer]],Table2[F-Cutoff],1)</f>
        <v>4</v>
      </c>
      <c r="Y2401" s="2">
        <f>MATCH(Auto_Sales_data___Copy[[#This Row],[Total_Sales_Per_Customer]],Table2[M-Cutoff],1)</f>
        <v>4</v>
      </c>
      <c r="Z2401" s="2" t="str">
        <f>Auto_Sales_data___Copy[[#This Row],[R-Score(1-5)]]&amp;Auto_Sales_data___Copy[[#This Row],[F-Score(1-5)]]&amp;Auto_Sales_data___Copy[[#This Row],[M-Score(1-5)]]</f>
        <v>144</v>
      </c>
      <c r="AA2401" s="2" t="str" cm="1">
        <f t="array" ref="AA24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1" s="2" t="str">
        <f>VLOOKUP(Auto_Sales_data___Copy[[#This Row],[Segment Name]],Table3[],2,FALSE)</f>
        <v>Brand Awareness &amp; Value Proposition</v>
      </c>
    </row>
    <row r="2402" spans="1:28" x14ac:dyDescent="0.25">
      <c r="A2402">
        <v>10217</v>
      </c>
      <c r="B2402">
        <v>31</v>
      </c>
      <c r="C2402">
        <v>88</v>
      </c>
      <c r="D2402">
        <v>6</v>
      </c>
      <c r="E2402">
        <v>2728</v>
      </c>
      <c r="F2402" s="1">
        <v>43500</v>
      </c>
      <c r="G2402" s="2" t="s">
        <v>19</v>
      </c>
      <c r="H2402" s="2" t="s">
        <v>183</v>
      </c>
      <c r="I2402">
        <v>101</v>
      </c>
      <c r="J2402" s="2" t="s">
        <v>712</v>
      </c>
      <c r="K2402" s="2" t="s">
        <v>443</v>
      </c>
      <c r="L2402" s="2" t="s">
        <v>444</v>
      </c>
      <c r="M2402" s="2" t="s">
        <v>445</v>
      </c>
      <c r="N2402" s="2" t="s">
        <v>202</v>
      </c>
      <c r="O2402" s="2" t="s">
        <v>446</v>
      </c>
      <c r="P2402" s="2" t="s">
        <v>202</v>
      </c>
      <c r="Q2402" s="2" t="s">
        <v>447</v>
      </c>
      <c r="R2402" s="2" t="s">
        <v>448</v>
      </c>
      <c r="S2402" s="2" t="s">
        <v>30</v>
      </c>
      <c r="T2402">
        <v>3032</v>
      </c>
      <c r="U2402">
        <f>VLOOKUP(Auto_Sales_data___Copy[[#This Row],[CUSTOMER_NAME]],$AF$2:$AH$90,2,FALSE)</f>
        <v>36</v>
      </c>
      <c r="V2402">
        <f>VLOOKUP(Auto_Sales_data___Copy[[#This Row],[CUSTOMER_NAME]],$AF$2:$AH$90,3,FALSE)</f>
        <v>115498.72999999998</v>
      </c>
      <c r="W2402" s="2">
        <f>6-MATCH(Auto_Sales_data___Copy[[#This Row],[DAYS_SINCE_LAST_ORDER]],Table2[R-Cutoff],1)</f>
        <v>1</v>
      </c>
      <c r="X2402" s="2">
        <f>MATCH(Auto_Sales_data___Copy[[#This Row],[Total_Orders_Per_Customer]],Table2[F-Cutoff],1)</f>
        <v>4</v>
      </c>
      <c r="Y2402" s="2">
        <f>MATCH(Auto_Sales_data___Copy[[#This Row],[Total_Sales_Per_Customer]],Table2[M-Cutoff],1)</f>
        <v>4</v>
      </c>
      <c r="Z2402" s="2" t="str">
        <f>Auto_Sales_data___Copy[[#This Row],[R-Score(1-5)]]&amp;Auto_Sales_data___Copy[[#This Row],[F-Score(1-5)]]&amp;Auto_Sales_data___Copy[[#This Row],[M-Score(1-5)]]</f>
        <v>144</v>
      </c>
      <c r="AA2402" s="2" t="str" cm="1">
        <f t="array" ref="AA24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2" s="2" t="str">
        <f>VLOOKUP(Auto_Sales_data___Copy[[#This Row],[Segment Name]],Table3[],2,FALSE)</f>
        <v>Brand Awareness &amp; Value Proposition</v>
      </c>
    </row>
    <row r="2403" spans="1:28" x14ac:dyDescent="0.25">
      <c r="A2403">
        <v>10223</v>
      </c>
      <c r="B2403">
        <v>21</v>
      </c>
      <c r="C2403">
        <v>117.87</v>
      </c>
      <c r="D2403">
        <v>7</v>
      </c>
      <c r="E2403">
        <v>2475.27</v>
      </c>
      <c r="F2403" s="1">
        <v>43516</v>
      </c>
      <c r="G2403" s="2" t="s">
        <v>19</v>
      </c>
      <c r="H2403" s="2" t="s">
        <v>20</v>
      </c>
      <c r="I2403">
        <v>99</v>
      </c>
      <c r="J2403" s="2" t="s">
        <v>695</v>
      </c>
      <c r="K2403" s="2" t="s">
        <v>82</v>
      </c>
      <c r="L2403" s="2" t="s">
        <v>83</v>
      </c>
      <c r="M2403" s="2" t="s">
        <v>84</v>
      </c>
      <c r="N2403" s="2" t="s">
        <v>85</v>
      </c>
      <c r="O2403" s="2" t="s">
        <v>86</v>
      </c>
      <c r="P2403" s="2" t="s">
        <v>87</v>
      </c>
      <c r="Q2403" s="2" t="s">
        <v>88</v>
      </c>
      <c r="R2403" s="2" t="s">
        <v>89</v>
      </c>
      <c r="S2403" s="2" t="s">
        <v>30</v>
      </c>
      <c r="T2403">
        <v>2578</v>
      </c>
      <c r="U2403">
        <f>VLOOKUP(Auto_Sales_data___Copy[[#This Row],[CUSTOMER_NAME]],$AF$2:$AH$90,2,FALSE)</f>
        <v>55</v>
      </c>
      <c r="V2403">
        <f>VLOOKUP(Auto_Sales_data___Copy[[#This Row],[CUSTOMER_NAME]],$AF$2:$AH$90,3,FALSE)</f>
        <v>200995.41000000006</v>
      </c>
      <c r="W2403" s="2">
        <f>6-MATCH(Auto_Sales_data___Copy[[#This Row],[DAYS_SINCE_LAST_ORDER]],Table2[R-Cutoff],1)</f>
        <v>1</v>
      </c>
      <c r="X2403" s="2">
        <f>MATCH(Auto_Sales_data___Copy[[#This Row],[Total_Orders_Per_Customer]],Table2[F-Cutoff],1)</f>
        <v>4</v>
      </c>
      <c r="Y2403" s="2">
        <f>MATCH(Auto_Sales_data___Copy[[#This Row],[Total_Sales_Per_Customer]],Table2[M-Cutoff],1)</f>
        <v>4</v>
      </c>
      <c r="Z2403" s="2" t="str">
        <f>Auto_Sales_data___Copy[[#This Row],[R-Score(1-5)]]&amp;Auto_Sales_data___Copy[[#This Row],[F-Score(1-5)]]&amp;Auto_Sales_data___Copy[[#This Row],[M-Score(1-5)]]</f>
        <v>144</v>
      </c>
      <c r="AA2403" s="2" t="str" cm="1">
        <f t="array" ref="AA24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3" s="2" t="str">
        <f>VLOOKUP(Auto_Sales_data___Copy[[#This Row],[Segment Name]],Table3[],2,FALSE)</f>
        <v>Brand Awareness &amp; Value Proposition</v>
      </c>
    </row>
    <row r="2404" spans="1:28" x14ac:dyDescent="0.25">
      <c r="A2404">
        <v>10223</v>
      </c>
      <c r="B2404">
        <v>20</v>
      </c>
      <c r="C2404">
        <v>66.040000000000006</v>
      </c>
      <c r="D2404">
        <v>12</v>
      </c>
      <c r="E2404">
        <v>1320.8</v>
      </c>
      <c r="F2404" s="1">
        <v>43516</v>
      </c>
      <c r="G2404" s="2" t="s">
        <v>19</v>
      </c>
      <c r="H2404" s="2" t="s">
        <v>589</v>
      </c>
      <c r="I2404">
        <v>68</v>
      </c>
      <c r="J2404" s="2" t="s">
        <v>700</v>
      </c>
      <c r="K2404" s="2" t="s">
        <v>82</v>
      </c>
      <c r="L2404" s="2" t="s">
        <v>83</v>
      </c>
      <c r="M2404" s="2" t="s">
        <v>84</v>
      </c>
      <c r="N2404" s="2" t="s">
        <v>85</v>
      </c>
      <c r="O2404" s="2" t="s">
        <v>86</v>
      </c>
      <c r="P2404" s="2" t="s">
        <v>87</v>
      </c>
      <c r="Q2404" s="2" t="s">
        <v>88</v>
      </c>
      <c r="R2404" s="2" t="s">
        <v>89</v>
      </c>
      <c r="S2404" s="2" t="s">
        <v>30</v>
      </c>
      <c r="T2404">
        <v>2705</v>
      </c>
      <c r="U2404">
        <f>VLOOKUP(Auto_Sales_data___Copy[[#This Row],[CUSTOMER_NAME]],$AF$2:$AH$90,2,FALSE)</f>
        <v>55</v>
      </c>
      <c r="V2404">
        <f>VLOOKUP(Auto_Sales_data___Copy[[#This Row],[CUSTOMER_NAME]],$AF$2:$AH$90,3,FALSE)</f>
        <v>200995.41000000006</v>
      </c>
      <c r="W2404" s="2">
        <f>6-MATCH(Auto_Sales_data___Copy[[#This Row],[DAYS_SINCE_LAST_ORDER]],Table2[R-Cutoff],1)</f>
        <v>1</v>
      </c>
      <c r="X2404" s="2">
        <f>MATCH(Auto_Sales_data___Copy[[#This Row],[Total_Orders_Per_Customer]],Table2[F-Cutoff],1)</f>
        <v>4</v>
      </c>
      <c r="Y2404" s="2">
        <f>MATCH(Auto_Sales_data___Copy[[#This Row],[Total_Sales_Per_Customer]],Table2[M-Cutoff],1)</f>
        <v>4</v>
      </c>
      <c r="Z2404" s="2" t="str">
        <f>Auto_Sales_data___Copy[[#This Row],[R-Score(1-5)]]&amp;Auto_Sales_data___Copy[[#This Row],[F-Score(1-5)]]&amp;Auto_Sales_data___Copy[[#This Row],[M-Score(1-5)]]</f>
        <v>144</v>
      </c>
      <c r="AA2404" s="2" t="str" cm="1">
        <f t="array" ref="AA24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4" s="2" t="str">
        <f>VLOOKUP(Auto_Sales_data___Copy[[#This Row],[Segment Name]],Table3[],2,FALSE)</f>
        <v>Brand Awareness &amp; Value Proposition</v>
      </c>
    </row>
    <row r="2405" spans="1:28" x14ac:dyDescent="0.25">
      <c r="A2405">
        <v>10223</v>
      </c>
      <c r="B2405">
        <v>41</v>
      </c>
      <c r="C2405">
        <v>46.26</v>
      </c>
      <c r="D2405">
        <v>13</v>
      </c>
      <c r="E2405">
        <v>1896.66</v>
      </c>
      <c r="F2405" s="1">
        <v>43516</v>
      </c>
      <c r="G2405" s="2" t="s">
        <v>19</v>
      </c>
      <c r="H2405" s="2" t="s">
        <v>589</v>
      </c>
      <c r="I2405">
        <v>43</v>
      </c>
      <c r="J2405" s="2" t="s">
        <v>702</v>
      </c>
      <c r="K2405" s="2" t="s">
        <v>82</v>
      </c>
      <c r="L2405" s="2" t="s">
        <v>83</v>
      </c>
      <c r="M2405" s="2" t="s">
        <v>84</v>
      </c>
      <c r="N2405" s="2" t="s">
        <v>85</v>
      </c>
      <c r="O2405" s="2" t="s">
        <v>86</v>
      </c>
      <c r="P2405" s="2" t="s">
        <v>87</v>
      </c>
      <c r="Q2405" s="2" t="s">
        <v>88</v>
      </c>
      <c r="R2405" s="2" t="s">
        <v>89</v>
      </c>
      <c r="S2405" s="2" t="s">
        <v>30</v>
      </c>
      <c r="T2405">
        <v>2755</v>
      </c>
      <c r="U2405">
        <f>VLOOKUP(Auto_Sales_data___Copy[[#This Row],[CUSTOMER_NAME]],$AF$2:$AH$90,2,FALSE)</f>
        <v>55</v>
      </c>
      <c r="V2405">
        <f>VLOOKUP(Auto_Sales_data___Copy[[#This Row],[CUSTOMER_NAME]],$AF$2:$AH$90,3,FALSE)</f>
        <v>200995.41000000006</v>
      </c>
      <c r="W2405" s="2">
        <f>6-MATCH(Auto_Sales_data___Copy[[#This Row],[DAYS_SINCE_LAST_ORDER]],Table2[R-Cutoff],1)</f>
        <v>1</v>
      </c>
      <c r="X2405" s="2">
        <f>MATCH(Auto_Sales_data___Copy[[#This Row],[Total_Orders_Per_Customer]],Table2[F-Cutoff],1)</f>
        <v>4</v>
      </c>
      <c r="Y2405" s="2">
        <f>MATCH(Auto_Sales_data___Copy[[#This Row],[Total_Sales_Per_Customer]],Table2[M-Cutoff],1)</f>
        <v>4</v>
      </c>
      <c r="Z2405" s="2" t="str">
        <f>Auto_Sales_data___Copy[[#This Row],[R-Score(1-5)]]&amp;Auto_Sales_data___Copy[[#This Row],[F-Score(1-5)]]&amp;Auto_Sales_data___Copy[[#This Row],[M-Score(1-5)]]</f>
        <v>144</v>
      </c>
      <c r="AA2405" s="2" t="str" cm="1">
        <f t="array" ref="AA24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5" s="2" t="str">
        <f>VLOOKUP(Auto_Sales_data___Copy[[#This Row],[Segment Name]],Table3[],2,FALSE)</f>
        <v>Brand Awareness &amp; Value Proposition</v>
      </c>
    </row>
    <row r="2406" spans="1:28" x14ac:dyDescent="0.25">
      <c r="A2406">
        <v>10223</v>
      </c>
      <c r="B2406">
        <v>25</v>
      </c>
      <c r="C2406">
        <v>101.39</v>
      </c>
      <c r="D2406">
        <v>14</v>
      </c>
      <c r="E2406">
        <v>2534.75</v>
      </c>
      <c r="F2406" s="1">
        <v>43516</v>
      </c>
      <c r="G2406" s="2" t="s">
        <v>19</v>
      </c>
      <c r="H2406" s="2" t="s">
        <v>607</v>
      </c>
      <c r="I2406">
        <v>91</v>
      </c>
      <c r="J2406" s="2" t="s">
        <v>707</v>
      </c>
      <c r="K2406" s="2" t="s">
        <v>82</v>
      </c>
      <c r="L2406" s="2" t="s">
        <v>83</v>
      </c>
      <c r="M2406" s="2" t="s">
        <v>84</v>
      </c>
      <c r="N2406" s="2" t="s">
        <v>85</v>
      </c>
      <c r="O2406" s="2" t="s">
        <v>86</v>
      </c>
      <c r="P2406" s="2" t="s">
        <v>87</v>
      </c>
      <c r="Q2406" s="2" t="s">
        <v>88</v>
      </c>
      <c r="R2406" s="2" t="s">
        <v>89</v>
      </c>
      <c r="S2406" s="2" t="s">
        <v>30</v>
      </c>
      <c r="T2406">
        <v>2885</v>
      </c>
      <c r="U2406">
        <f>VLOOKUP(Auto_Sales_data___Copy[[#This Row],[CUSTOMER_NAME]],$AF$2:$AH$90,2,FALSE)</f>
        <v>55</v>
      </c>
      <c r="V2406">
        <f>VLOOKUP(Auto_Sales_data___Copy[[#This Row],[CUSTOMER_NAME]],$AF$2:$AH$90,3,FALSE)</f>
        <v>200995.41000000006</v>
      </c>
      <c r="W2406" s="2">
        <f>6-MATCH(Auto_Sales_data___Copy[[#This Row],[DAYS_SINCE_LAST_ORDER]],Table2[R-Cutoff],1)</f>
        <v>1</v>
      </c>
      <c r="X2406" s="2">
        <f>MATCH(Auto_Sales_data___Copy[[#This Row],[Total_Orders_Per_Customer]],Table2[F-Cutoff],1)</f>
        <v>4</v>
      </c>
      <c r="Y2406" s="2">
        <f>MATCH(Auto_Sales_data___Copy[[#This Row],[Total_Sales_Per_Customer]],Table2[M-Cutoff],1)</f>
        <v>4</v>
      </c>
      <c r="Z2406" s="2" t="str">
        <f>Auto_Sales_data___Copy[[#This Row],[R-Score(1-5)]]&amp;Auto_Sales_data___Copy[[#This Row],[F-Score(1-5)]]&amp;Auto_Sales_data___Copy[[#This Row],[M-Score(1-5)]]</f>
        <v>144</v>
      </c>
      <c r="AA2406" s="2" t="str" cm="1">
        <f t="array" ref="AA24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6" s="2" t="str">
        <f>VLOOKUP(Auto_Sales_data___Copy[[#This Row],[Segment Name]],Table3[],2,FALSE)</f>
        <v>Brand Awareness &amp; Value Proposition</v>
      </c>
    </row>
    <row r="2407" spans="1:28" x14ac:dyDescent="0.25">
      <c r="A2407">
        <v>10223</v>
      </c>
      <c r="B2407">
        <v>29</v>
      </c>
      <c r="C2407">
        <v>110.34</v>
      </c>
      <c r="D2407">
        <v>8</v>
      </c>
      <c r="E2407">
        <v>3199.86</v>
      </c>
      <c r="F2407" s="1">
        <v>43516</v>
      </c>
      <c r="G2407" s="2" t="s">
        <v>19</v>
      </c>
      <c r="H2407" s="2" t="s">
        <v>607</v>
      </c>
      <c r="I2407">
        <v>118</v>
      </c>
      <c r="J2407" s="2" t="s">
        <v>713</v>
      </c>
      <c r="K2407" s="2" t="s">
        <v>82</v>
      </c>
      <c r="L2407" s="2" t="s">
        <v>83</v>
      </c>
      <c r="M2407" s="2" t="s">
        <v>84</v>
      </c>
      <c r="N2407" s="2" t="s">
        <v>85</v>
      </c>
      <c r="O2407" s="2" t="s">
        <v>86</v>
      </c>
      <c r="P2407" s="2" t="s">
        <v>87</v>
      </c>
      <c r="Q2407" s="2" t="s">
        <v>88</v>
      </c>
      <c r="R2407" s="2" t="s">
        <v>89</v>
      </c>
      <c r="S2407" s="2" t="s">
        <v>46</v>
      </c>
      <c r="T2407">
        <v>3040</v>
      </c>
      <c r="U2407">
        <f>VLOOKUP(Auto_Sales_data___Copy[[#This Row],[CUSTOMER_NAME]],$AF$2:$AH$90,2,FALSE)</f>
        <v>55</v>
      </c>
      <c r="V2407">
        <f>VLOOKUP(Auto_Sales_data___Copy[[#This Row],[CUSTOMER_NAME]],$AF$2:$AH$90,3,FALSE)</f>
        <v>200995.41000000006</v>
      </c>
      <c r="W2407" s="2">
        <f>6-MATCH(Auto_Sales_data___Copy[[#This Row],[DAYS_SINCE_LAST_ORDER]],Table2[R-Cutoff],1)</f>
        <v>1</v>
      </c>
      <c r="X2407" s="2">
        <f>MATCH(Auto_Sales_data___Copy[[#This Row],[Total_Orders_Per_Customer]],Table2[F-Cutoff],1)</f>
        <v>4</v>
      </c>
      <c r="Y2407" s="2">
        <f>MATCH(Auto_Sales_data___Copy[[#This Row],[Total_Sales_Per_Customer]],Table2[M-Cutoff],1)</f>
        <v>4</v>
      </c>
      <c r="Z2407" s="2" t="str">
        <f>Auto_Sales_data___Copy[[#This Row],[R-Score(1-5)]]&amp;Auto_Sales_data___Copy[[#This Row],[F-Score(1-5)]]&amp;Auto_Sales_data___Copy[[#This Row],[M-Score(1-5)]]</f>
        <v>144</v>
      </c>
      <c r="AA2407" s="2" t="str" cm="1">
        <f t="array" ref="AA24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7" s="2" t="str">
        <f>VLOOKUP(Auto_Sales_data___Copy[[#This Row],[Segment Name]],Table3[],2,FALSE)</f>
        <v>Brand Awareness &amp; Value Proposition</v>
      </c>
    </row>
    <row r="2408" spans="1:28" x14ac:dyDescent="0.25">
      <c r="A2408">
        <v>10223</v>
      </c>
      <c r="B2408">
        <v>26</v>
      </c>
      <c r="C2408">
        <v>67.2</v>
      </c>
      <c r="D2408">
        <v>15</v>
      </c>
      <c r="E2408">
        <v>1747.2</v>
      </c>
      <c r="F2408" s="1">
        <v>43516</v>
      </c>
      <c r="G2408" s="2" t="s">
        <v>19</v>
      </c>
      <c r="H2408" s="2" t="s">
        <v>607</v>
      </c>
      <c r="I2408">
        <v>80</v>
      </c>
      <c r="J2408" s="2" t="s">
        <v>714</v>
      </c>
      <c r="K2408" s="2" t="s">
        <v>82</v>
      </c>
      <c r="L2408" s="2" t="s">
        <v>83</v>
      </c>
      <c r="M2408" s="2" t="s">
        <v>84</v>
      </c>
      <c r="N2408" s="2" t="s">
        <v>85</v>
      </c>
      <c r="O2408" s="2" t="s">
        <v>86</v>
      </c>
      <c r="P2408" s="2" t="s">
        <v>87</v>
      </c>
      <c r="Q2408" s="2" t="s">
        <v>88</v>
      </c>
      <c r="R2408" s="2" t="s">
        <v>89</v>
      </c>
      <c r="S2408" s="2" t="s">
        <v>30</v>
      </c>
      <c r="T2408">
        <v>3065</v>
      </c>
      <c r="U2408">
        <f>VLOOKUP(Auto_Sales_data___Copy[[#This Row],[CUSTOMER_NAME]],$AF$2:$AH$90,2,FALSE)</f>
        <v>55</v>
      </c>
      <c r="V2408">
        <f>VLOOKUP(Auto_Sales_data___Copy[[#This Row],[CUSTOMER_NAME]],$AF$2:$AH$90,3,FALSE)</f>
        <v>200995.41000000006</v>
      </c>
      <c r="W2408" s="2">
        <f>6-MATCH(Auto_Sales_data___Copy[[#This Row],[DAYS_SINCE_LAST_ORDER]],Table2[R-Cutoff],1)</f>
        <v>1</v>
      </c>
      <c r="X2408" s="2">
        <f>MATCH(Auto_Sales_data___Copy[[#This Row],[Total_Orders_Per_Customer]],Table2[F-Cutoff],1)</f>
        <v>4</v>
      </c>
      <c r="Y2408" s="2">
        <f>MATCH(Auto_Sales_data___Copy[[#This Row],[Total_Sales_Per_Customer]],Table2[M-Cutoff],1)</f>
        <v>4</v>
      </c>
      <c r="Z2408" s="2" t="str">
        <f>Auto_Sales_data___Copy[[#This Row],[R-Score(1-5)]]&amp;Auto_Sales_data___Copy[[#This Row],[F-Score(1-5)]]&amp;Auto_Sales_data___Copy[[#This Row],[M-Score(1-5)]]</f>
        <v>144</v>
      </c>
      <c r="AA2408" s="2" t="str" cm="1">
        <f t="array" ref="AA24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8" s="2" t="str">
        <f>VLOOKUP(Auto_Sales_data___Copy[[#This Row],[Segment Name]],Table3[],2,FALSE)</f>
        <v>Brand Awareness &amp; Value Proposition</v>
      </c>
    </row>
    <row r="2409" spans="1:28" x14ac:dyDescent="0.25">
      <c r="A2409">
        <v>10229</v>
      </c>
      <c r="B2409">
        <v>23</v>
      </c>
      <c r="C2409">
        <v>54.11</v>
      </c>
      <c r="D2409">
        <v>3</v>
      </c>
      <c r="E2409">
        <v>1244.53</v>
      </c>
      <c r="F2409" s="1">
        <v>43535</v>
      </c>
      <c r="G2409" s="2" t="s">
        <v>19</v>
      </c>
      <c r="H2409" s="2" t="s">
        <v>537</v>
      </c>
      <c r="I2409">
        <v>54</v>
      </c>
      <c r="J2409" s="2" t="s">
        <v>697</v>
      </c>
      <c r="K2409" s="2" t="s">
        <v>284</v>
      </c>
      <c r="L2409" s="2" t="s">
        <v>285</v>
      </c>
      <c r="M2409" s="2" t="s">
        <v>286</v>
      </c>
      <c r="N2409" s="2" t="s">
        <v>287</v>
      </c>
      <c r="O2409" s="2" t="s">
        <v>106</v>
      </c>
      <c r="P2409" s="2" t="s">
        <v>27</v>
      </c>
      <c r="Q2409" s="2" t="s">
        <v>288</v>
      </c>
      <c r="R2409" s="2" t="s">
        <v>289</v>
      </c>
      <c r="S2409" s="2" t="s">
        <v>30</v>
      </c>
      <c r="T2409">
        <v>2611</v>
      </c>
      <c r="U2409">
        <f>VLOOKUP(Auto_Sales_data___Copy[[#This Row],[CUSTOMER_NAME]],$AF$2:$AH$90,2,FALSE)</f>
        <v>180</v>
      </c>
      <c r="V2409">
        <f>VLOOKUP(Auto_Sales_data___Copy[[#This Row],[CUSTOMER_NAME]],$AF$2:$AH$90,3,FALSE)</f>
        <v>654858.06000000017</v>
      </c>
      <c r="W2409" s="2">
        <f>6-MATCH(Auto_Sales_data___Copy[[#This Row],[DAYS_SINCE_LAST_ORDER]],Table2[R-Cutoff],1)</f>
        <v>1</v>
      </c>
      <c r="X2409" s="2">
        <f>MATCH(Auto_Sales_data___Copy[[#This Row],[Total_Orders_Per_Customer]],Table2[F-Cutoff],1)</f>
        <v>4</v>
      </c>
      <c r="Y2409" s="2">
        <f>MATCH(Auto_Sales_data___Copy[[#This Row],[Total_Sales_Per_Customer]],Table2[M-Cutoff],1)</f>
        <v>4</v>
      </c>
      <c r="Z2409" s="2" t="str">
        <f>Auto_Sales_data___Copy[[#This Row],[R-Score(1-5)]]&amp;Auto_Sales_data___Copy[[#This Row],[F-Score(1-5)]]&amp;Auto_Sales_data___Copy[[#This Row],[M-Score(1-5)]]</f>
        <v>144</v>
      </c>
      <c r="AA2409" s="2" t="str" cm="1">
        <f t="array" ref="AA24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9" s="2" t="str">
        <f>VLOOKUP(Auto_Sales_data___Copy[[#This Row],[Segment Name]],Table3[],2,FALSE)</f>
        <v>Brand Awareness &amp; Value Proposition</v>
      </c>
    </row>
    <row r="2410" spans="1:28" x14ac:dyDescent="0.25">
      <c r="A2410">
        <v>10229</v>
      </c>
      <c r="B2410">
        <v>30</v>
      </c>
      <c r="C2410">
        <v>73.040000000000006</v>
      </c>
      <c r="D2410">
        <v>12</v>
      </c>
      <c r="E2410">
        <v>2191.1999999999998</v>
      </c>
      <c r="F2410" s="1">
        <v>43535</v>
      </c>
      <c r="G2410" s="2" t="s">
        <v>19</v>
      </c>
      <c r="H2410" s="2" t="s">
        <v>537</v>
      </c>
      <c r="I2410">
        <v>64</v>
      </c>
      <c r="J2410" s="2" t="s">
        <v>699</v>
      </c>
      <c r="K2410" s="2" t="s">
        <v>284</v>
      </c>
      <c r="L2410" s="2" t="s">
        <v>285</v>
      </c>
      <c r="M2410" s="2" t="s">
        <v>286</v>
      </c>
      <c r="N2410" s="2" t="s">
        <v>287</v>
      </c>
      <c r="O2410" s="2" t="s">
        <v>106</v>
      </c>
      <c r="P2410" s="2" t="s">
        <v>27</v>
      </c>
      <c r="Q2410" s="2" t="s">
        <v>288</v>
      </c>
      <c r="R2410" s="2" t="s">
        <v>289</v>
      </c>
      <c r="S2410" s="2" t="s">
        <v>30</v>
      </c>
      <c r="T2410">
        <v>2665</v>
      </c>
      <c r="U2410">
        <f>VLOOKUP(Auto_Sales_data___Copy[[#This Row],[CUSTOMER_NAME]],$AF$2:$AH$90,2,FALSE)</f>
        <v>180</v>
      </c>
      <c r="V2410">
        <f>VLOOKUP(Auto_Sales_data___Copy[[#This Row],[CUSTOMER_NAME]],$AF$2:$AH$90,3,FALSE)</f>
        <v>654858.06000000017</v>
      </c>
      <c r="W2410" s="2">
        <f>6-MATCH(Auto_Sales_data___Copy[[#This Row],[DAYS_SINCE_LAST_ORDER]],Table2[R-Cutoff],1)</f>
        <v>1</v>
      </c>
      <c r="X2410" s="2">
        <f>MATCH(Auto_Sales_data___Copy[[#This Row],[Total_Orders_Per_Customer]],Table2[F-Cutoff],1)</f>
        <v>4</v>
      </c>
      <c r="Y2410" s="2">
        <f>MATCH(Auto_Sales_data___Copy[[#This Row],[Total_Sales_Per_Customer]],Table2[M-Cutoff],1)</f>
        <v>4</v>
      </c>
      <c r="Z2410" s="2" t="str">
        <f>Auto_Sales_data___Copy[[#This Row],[R-Score(1-5)]]&amp;Auto_Sales_data___Copy[[#This Row],[F-Score(1-5)]]&amp;Auto_Sales_data___Copy[[#This Row],[M-Score(1-5)]]</f>
        <v>144</v>
      </c>
      <c r="AA2410" s="2" t="str" cm="1">
        <f t="array" ref="AA24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0" s="2" t="str">
        <f>VLOOKUP(Auto_Sales_data___Copy[[#This Row],[Segment Name]],Table3[],2,FALSE)</f>
        <v>Brand Awareness &amp; Value Proposition</v>
      </c>
    </row>
    <row r="2411" spans="1:28" x14ac:dyDescent="0.25">
      <c r="A2411">
        <v>10229</v>
      </c>
      <c r="B2411">
        <v>50</v>
      </c>
      <c r="C2411">
        <v>112.28</v>
      </c>
      <c r="D2411">
        <v>11</v>
      </c>
      <c r="E2411">
        <v>5614</v>
      </c>
      <c r="F2411" s="1">
        <v>43535</v>
      </c>
      <c r="G2411" s="2" t="s">
        <v>19</v>
      </c>
      <c r="H2411" s="2" t="s">
        <v>183</v>
      </c>
      <c r="I2411">
        <v>101</v>
      </c>
      <c r="J2411" s="2" t="s">
        <v>712</v>
      </c>
      <c r="K2411" s="2" t="s">
        <v>284</v>
      </c>
      <c r="L2411" s="2" t="s">
        <v>285</v>
      </c>
      <c r="M2411" s="2" t="s">
        <v>286</v>
      </c>
      <c r="N2411" s="2" t="s">
        <v>287</v>
      </c>
      <c r="O2411" s="2" t="s">
        <v>106</v>
      </c>
      <c r="P2411" s="2" t="s">
        <v>27</v>
      </c>
      <c r="Q2411" s="2" t="s">
        <v>288</v>
      </c>
      <c r="R2411" s="2" t="s">
        <v>289</v>
      </c>
      <c r="S2411" s="2" t="s">
        <v>46</v>
      </c>
      <c r="T2411">
        <v>2998</v>
      </c>
      <c r="U2411">
        <f>VLOOKUP(Auto_Sales_data___Copy[[#This Row],[CUSTOMER_NAME]],$AF$2:$AH$90,2,FALSE)</f>
        <v>180</v>
      </c>
      <c r="V2411">
        <f>VLOOKUP(Auto_Sales_data___Copy[[#This Row],[CUSTOMER_NAME]],$AF$2:$AH$90,3,FALSE)</f>
        <v>654858.06000000017</v>
      </c>
      <c r="W2411" s="2">
        <f>6-MATCH(Auto_Sales_data___Copy[[#This Row],[DAYS_SINCE_LAST_ORDER]],Table2[R-Cutoff],1)</f>
        <v>1</v>
      </c>
      <c r="X2411" s="2">
        <f>MATCH(Auto_Sales_data___Copy[[#This Row],[Total_Orders_Per_Customer]],Table2[F-Cutoff],1)</f>
        <v>4</v>
      </c>
      <c r="Y2411" s="2">
        <f>MATCH(Auto_Sales_data___Copy[[#This Row],[Total_Sales_Per_Customer]],Table2[M-Cutoff],1)</f>
        <v>4</v>
      </c>
      <c r="Z2411" s="2" t="str">
        <f>Auto_Sales_data___Copy[[#This Row],[R-Score(1-5)]]&amp;Auto_Sales_data___Copy[[#This Row],[F-Score(1-5)]]&amp;Auto_Sales_data___Copy[[#This Row],[M-Score(1-5)]]</f>
        <v>144</v>
      </c>
      <c r="AA2411" s="2" t="str" cm="1">
        <f t="array" ref="AA24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1" s="2" t="str">
        <f>VLOOKUP(Auto_Sales_data___Copy[[#This Row],[Segment Name]],Table3[],2,FALSE)</f>
        <v>Brand Awareness &amp; Value Proposition</v>
      </c>
    </row>
    <row r="2412" spans="1:28" x14ac:dyDescent="0.25">
      <c r="A2412">
        <v>10247</v>
      </c>
      <c r="B2412">
        <v>40</v>
      </c>
      <c r="C2412">
        <v>49.71</v>
      </c>
      <c r="D2412">
        <v>6</v>
      </c>
      <c r="E2412">
        <v>1988.4</v>
      </c>
      <c r="F2412" s="1">
        <v>43590</v>
      </c>
      <c r="G2412" s="2" t="s">
        <v>19</v>
      </c>
      <c r="H2412" s="2" t="s">
        <v>650</v>
      </c>
      <c r="I2412">
        <v>62</v>
      </c>
      <c r="J2412" s="2" t="s">
        <v>698</v>
      </c>
      <c r="K2412" s="2" t="s">
        <v>498</v>
      </c>
      <c r="L2412" s="2" t="s">
        <v>499</v>
      </c>
      <c r="M2412" s="2" t="s">
        <v>500</v>
      </c>
      <c r="N2412" s="2" t="s">
        <v>501</v>
      </c>
      <c r="O2412" s="2" t="s">
        <v>502</v>
      </c>
      <c r="P2412" s="2" t="s">
        <v>127</v>
      </c>
      <c r="Q2412" s="2" t="s">
        <v>503</v>
      </c>
      <c r="R2412" s="2" t="s">
        <v>504</v>
      </c>
      <c r="S2412" s="2" t="s">
        <v>30</v>
      </c>
      <c r="T2412">
        <v>2585</v>
      </c>
      <c r="U2412">
        <f>VLOOKUP(Auto_Sales_data___Copy[[#This Row],[CUSTOMER_NAME]],$AF$2:$AH$90,2,FALSE)</f>
        <v>30</v>
      </c>
      <c r="V2412">
        <f>VLOOKUP(Auto_Sales_data___Copy[[#This Row],[CUSTOMER_NAME]],$AF$2:$AH$90,3,FALSE)</f>
        <v>113961.14999999997</v>
      </c>
      <c r="W2412" s="2">
        <f>6-MATCH(Auto_Sales_data___Copy[[#This Row],[DAYS_SINCE_LAST_ORDER]],Table2[R-Cutoff],1)</f>
        <v>1</v>
      </c>
      <c r="X2412" s="2">
        <f>MATCH(Auto_Sales_data___Copy[[#This Row],[Total_Orders_Per_Customer]],Table2[F-Cutoff],1)</f>
        <v>4</v>
      </c>
      <c r="Y2412" s="2">
        <f>MATCH(Auto_Sales_data___Copy[[#This Row],[Total_Sales_Per_Customer]],Table2[M-Cutoff],1)</f>
        <v>4</v>
      </c>
      <c r="Z2412" s="2" t="str">
        <f>Auto_Sales_data___Copy[[#This Row],[R-Score(1-5)]]&amp;Auto_Sales_data___Copy[[#This Row],[F-Score(1-5)]]&amp;Auto_Sales_data___Copy[[#This Row],[M-Score(1-5)]]</f>
        <v>144</v>
      </c>
      <c r="AA2412" s="2" t="str" cm="1">
        <f t="array" ref="AA24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2" s="2" t="str">
        <f>VLOOKUP(Auto_Sales_data___Copy[[#This Row],[Segment Name]],Table3[],2,FALSE)</f>
        <v>Brand Awareness &amp; Value Proposition</v>
      </c>
    </row>
    <row r="2413" spans="1:28" x14ac:dyDescent="0.25">
      <c r="A2413">
        <v>10247</v>
      </c>
      <c r="B2413">
        <v>49</v>
      </c>
      <c r="C2413">
        <v>63.85</v>
      </c>
      <c r="D2413">
        <v>4</v>
      </c>
      <c r="E2413">
        <v>3128.65</v>
      </c>
      <c r="F2413" s="1">
        <v>43590</v>
      </c>
      <c r="G2413" s="2" t="s">
        <v>19</v>
      </c>
      <c r="H2413" s="2" t="s">
        <v>650</v>
      </c>
      <c r="I2413">
        <v>58</v>
      </c>
      <c r="J2413" s="2" t="s">
        <v>704</v>
      </c>
      <c r="K2413" s="2" t="s">
        <v>498</v>
      </c>
      <c r="L2413" s="2" t="s">
        <v>499</v>
      </c>
      <c r="M2413" s="2" t="s">
        <v>500</v>
      </c>
      <c r="N2413" s="2" t="s">
        <v>501</v>
      </c>
      <c r="O2413" s="2" t="s">
        <v>502</v>
      </c>
      <c r="P2413" s="2" t="s">
        <v>127</v>
      </c>
      <c r="Q2413" s="2" t="s">
        <v>503</v>
      </c>
      <c r="R2413" s="2" t="s">
        <v>504</v>
      </c>
      <c r="S2413" s="2" t="s">
        <v>46</v>
      </c>
      <c r="T2413">
        <v>2739</v>
      </c>
      <c r="U2413">
        <f>VLOOKUP(Auto_Sales_data___Copy[[#This Row],[CUSTOMER_NAME]],$AF$2:$AH$90,2,FALSE)</f>
        <v>30</v>
      </c>
      <c r="V2413">
        <f>VLOOKUP(Auto_Sales_data___Copy[[#This Row],[CUSTOMER_NAME]],$AF$2:$AH$90,3,FALSE)</f>
        <v>113961.14999999997</v>
      </c>
      <c r="W2413" s="2">
        <f>6-MATCH(Auto_Sales_data___Copy[[#This Row],[DAYS_SINCE_LAST_ORDER]],Table2[R-Cutoff],1)</f>
        <v>1</v>
      </c>
      <c r="X2413" s="2">
        <f>MATCH(Auto_Sales_data___Copy[[#This Row],[Total_Orders_Per_Customer]],Table2[F-Cutoff],1)</f>
        <v>4</v>
      </c>
      <c r="Y2413" s="2">
        <f>MATCH(Auto_Sales_data___Copy[[#This Row],[Total_Sales_Per_Customer]],Table2[M-Cutoff],1)</f>
        <v>4</v>
      </c>
      <c r="Z2413" s="2" t="str">
        <f>Auto_Sales_data___Copy[[#This Row],[R-Score(1-5)]]&amp;Auto_Sales_data___Copy[[#This Row],[F-Score(1-5)]]&amp;Auto_Sales_data___Copy[[#This Row],[M-Score(1-5)]]</f>
        <v>144</v>
      </c>
      <c r="AA2413" s="2" t="str" cm="1">
        <f t="array" ref="AA24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3" s="2" t="str">
        <f>VLOOKUP(Auto_Sales_data___Copy[[#This Row],[Segment Name]],Table3[],2,FALSE)</f>
        <v>Brand Awareness &amp; Value Proposition</v>
      </c>
    </row>
    <row r="2414" spans="1:28" x14ac:dyDescent="0.25">
      <c r="A2414">
        <v>10248</v>
      </c>
      <c r="B2414">
        <v>36</v>
      </c>
      <c r="C2414">
        <v>71.34</v>
      </c>
      <c r="D2414">
        <v>6</v>
      </c>
      <c r="E2414">
        <v>2568.2399999999998</v>
      </c>
      <c r="F2414" s="1">
        <v>43592</v>
      </c>
      <c r="G2414" s="2" t="s">
        <v>358</v>
      </c>
      <c r="H2414" s="2" t="s">
        <v>642</v>
      </c>
      <c r="I2414">
        <v>66</v>
      </c>
      <c r="J2414" s="2" t="s">
        <v>706</v>
      </c>
      <c r="K2414" s="2" t="s">
        <v>22</v>
      </c>
      <c r="L2414" s="2" t="s">
        <v>23</v>
      </c>
      <c r="M2414" s="2" t="s">
        <v>24</v>
      </c>
      <c r="N2414" s="2" t="s">
        <v>25</v>
      </c>
      <c r="O2414" s="2" t="s">
        <v>26</v>
      </c>
      <c r="P2414" s="2" t="s">
        <v>27</v>
      </c>
      <c r="Q2414" s="2" t="s">
        <v>28</v>
      </c>
      <c r="R2414" s="2" t="s">
        <v>29</v>
      </c>
      <c r="S2414" s="2" t="s">
        <v>30</v>
      </c>
      <c r="T2414">
        <v>2787</v>
      </c>
      <c r="U2414">
        <f>VLOOKUP(Auto_Sales_data___Copy[[#This Row],[CUSTOMER_NAME]],$AF$2:$AH$90,2,FALSE)</f>
        <v>49</v>
      </c>
      <c r="V2414">
        <f>VLOOKUP(Auto_Sales_data___Copy[[#This Row],[CUSTOMER_NAME]],$AF$2:$AH$90,3,FALSE)</f>
        <v>164069.43999999997</v>
      </c>
      <c r="W2414" s="2">
        <f>6-MATCH(Auto_Sales_data___Copy[[#This Row],[DAYS_SINCE_LAST_ORDER]],Table2[R-Cutoff],1)</f>
        <v>1</v>
      </c>
      <c r="X2414" s="2">
        <f>MATCH(Auto_Sales_data___Copy[[#This Row],[Total_Orders_Per_Customer]],Table2[F-Cutoff],1)</f>
        <v>4</v>
      </c>
      <c r="Y2414" s="2">
        <f>MATCH(Auto_Sales_data___Copy[[#This Row],[Total_Sales_Per_Customer]],Table2[M-Cutoff],1)</f>
        <v>4</v>
      </c>
      <c r="Z2414" s="2" t="str">
        <f>Auto_Sales_data___Copy[[#This Row],[R-Score(1-5)]]&amp;Auto_Sales_data___Copy[[#This Row],[F-Score(1-5)]]&amp;Auto_Sales_data___Copy[[#This Row],[M-Score(1-5)]]</f>
        <v>144</v>
      </c>
      <c r="AA2414" s="2" t="str" cm="1">
        <f t="array" ref="AA24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4" s="2" t="str">
        <f>VLOOKUP(Auto_Sales_data___Copy[[#This Row],[Segment Name]],Table3[],2,FALSE)</f>
        <v>Brand Awareness &amp; Value Proposition</v>
      </c>
    </row>
    <row r="2415" spans="1:28" x14ac:dyDescent="0.25">
      <c r="A2415">
        <v>10248</v>
      </c>
      <c r="B2415">
        <v>40</v>
      </c>
      <c r="C2415">
        <v>103.93</v>
      </c>
      <c r="D2415">
        <v>13</v>
      </c>
      <c r="E2415">
        <v>4157.2</v>
      </c>
      <c r="F2415" s="1">
        <v>43592</v>
      </c>
      <c r="G2415" s="2" t="s">
        <v>358</v>
      </c>
      <c r="H2415" s="2" t="s">
        <v>642</v>
      </c>
      <c r="I2415">
        <v>86</v>
      </c>
      <c r="J2415" s="2" t="s">
        <v>708</v>
      </c>
      <c r="K2415" s="2" t="s">
        <v>22</v>
      </c>
      <c r="L2415" s="2" t="s">
        <v>23</v>
      </c>
      <c r="M2415" s="2" t="s">
        <v>24</v>
      </c>
      <c r="N2415" s="2" t="s">
        <v>25</v>
      </c>
      <c r="O2415" s="2" t="s">
        <v>26</v>
      </c>
      <c r="P2415" s="2" t="s">
        <v>27</v>
      </c>
      <c r="Q2415" s="2" t="s">
        <v>28</v>
      </c>
      <c r="R2415" s="2" t="s">
        <v>29</v>
      </c>
      <c r="S2415" s="2" t="s">
        <v>46</v>
      </c>
      <c r="T2415">
        <v>2839</v>
      </c>
      <c r="U2415">
        <f>VLOOKUP(Auto_Sales_data___Copy[[#This Row],[CUSTOMER_NAME]],$AF$2:$AH$90,2,FALSE)</f>
        <v>49</v>
      </c>
      <c r="V2415">
        <f>VLOOKUP(Auto_Sales_data___Copy[[#This Row],[CUSTOMER_NAME]],$AF$2:$AH$90,3,FALSE)</f>
        <v>164069.43999999997</v>
      </c>
      <c r="W2415" s="2">
        <f>6-MATCH(Auto_Sales_data___Copy[[#This Row],[DAYS_SINCE_LAST_ORDER]],Table2[R-Cutoff],1)</f>
        <v>1</v>
      </c>
      <c r="X2415" s="2">
        <f>MATCH(Auto_Sales_data___Copy[[#This Row],[Total_Orders_Per_Customer]],Table2[F-Cutoff],1)</f>
        <v>4</v>
      </c>
      <c r="Y2415" s="2">
        <f>MATCH(Auto_Sales_data___Copy[[#This Row],[Total_Sales_Per_Customer]],Table2[M-Cutoff],1)</f>
        <v>4</v>
      </c>
      <c r="Z2415" s="2" t="str">
        <f>Auto_Sales_data___Copy[[#This Row],[R-Score(1-5)]]&amp;Auto_Sales_data___Copy[[#This Row],[F-Score(1-5)]]&amp;Auto_Sales_data___Copy[[#This Row],[M-Score(1-5)]]</f>
        <v>144</v>
      </c>
      <c r="AA2415" s="2" t="str" cm="1">
        <f t="array" ref="AA24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5" s="2" t="str">
        <f>VLOOKUP(Auto_Sales_data___Copy[[#This Row],[Segment Name]],Table3[],2,FALSE)</f>
        <v>Brand Awareness &amp; Value Proposition</v>
      </c>
    </row>
    <row r="2416" spans="1:28" x14ac:dyDescent="0.25">
      <c r="A2416">
        <v>10248</v>
      </c>
      <c r="B2416">
        <v>32</v>
      </c>
      <c r="C2416">
        <v>75.89</v>
      </c>
      <c r="D2416">
        <v>4</v>
      </c>
      <c r="E2416">
        <v>2428.48</v>
      </c>
      <c r="F2416" s="1">
        <v>43592</v>
      </c>
      <c r="G2416" s="2" t="s">
        <v>358</v>
      </c>
      <c r="H2416" s="2" t="s">
        <v>642</v>
      </c>
      <c r="I2416">
        <v>72</v>
      </c>
      <c r="J2416" s="2" t="s">
        <v>711</v>
      </c>
      <c r="K2416" s="2" t="s">
        <v>22</v>
      </c>
      <c r="L2416" s="2" t="s">
        <v>23</v>
      </c>
      <c r="M2416" s="2" t="s">
        <v>24</v>
      </c>
      <c r="N2416" s="2" t="s">
        <v>25</v>
      </c>
      <c r="O2416" s="2" t="s">
        <v>26</v>
      </c>
      <c r="P2416" s="2" t="s">
        <v>27</v>
      </c>
      <c r="Q2416" s="2" t="s">
        <v>28</v>
      </c>
      <c r="R2416" s="2" t="s">
        <v>29</v>
      </c>
      <c r="S2416" s="2" t="s">
        <v>30</v>
      </c>
      <c r="T2416">
        <v>2916</v>
      </c>
      <c r="U2416">
        <f>VLOOKUP(Auto_Sales_data___Copy[[#This Row],[CUSTOMER_NAME]],$AF$2:$AH$90,2,FALSE)</f>
        <v>49</v>
      </c>
      <c r="V2416">
        <f>VLOOKUP(Auto_Sales_data___Copy[[#This Row],[CUSTOMER_NAME]],$AF$2:$AH$90,3,FALSE)</f>
        <v>164069.43999999997</v>
      </c>
      <c r="W2416" s="2">
        <f>6-MATCH(Auto_Sales_data___Copy[[#This Row],[DAYS_SINCE_LAST_ORDER]],Table2[R-Cutoff],1)</f>
        <v>1</v>
      </c>
      <c r="X2416" s="2">
        <f>MATCH(Auto_Sales_data___Copy[[#This Row],[Total_Orders_Per_Customer]],Table2[F-Cutoff],1)</f>
        <v>4</v>
      </c>
      <c r="Y2416" s="2">
        <f>MATCH(Auto_Sales_data___Copy[[#This Row],[Total_Sales_Per_Customer]],Table2[M-Cutoff],1)</f>
        <v>4</v>
      </c>
      <c r="Z2416" s="2" t="str">
        <f>Auto_Sales_data___Copy[[#This Row],[R-Score(1-5)]]&amp;Auto_Sales_data___Copy[[#This Row],[F-Score(1-5)]]&amp;Auto_Sales_data___Copy[[#This Row],[M-Score(1-5)]]</f>
        <v>144</v>
      </c>
      <c r="AA2416" s="2" t="str" cm="1">
        <f t="array" ref="AA24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6" s="2" t="str">
        <f>VLOOKUP(Auto_Sales_data___Copy[[#This Row],[Segment Name]],Table3[],2,FALSE)</f>
        <v>Brand Awareness &amp; Value Proposition</v>
      </c>
    </row>
    <row r="2417" spans="1:28" x14ac:dyDescent="0.25">
      <c r="A2417">
        <v>10248</v>
      </c>
      <c r="B2417">
        <v>30</v>
      </c>
      <c r="C2417">
        <v>108.18</v>
      </c>
      <c r="D2417">
        <v>7</v>
      </c>
      <c r="E2417">
        <v>3245.4</v>
      </c>
      <c r="F2417" s="1">
        <v>43592</v>
      </c>
      <c r="G2417" s="2" t="s">
        <v>358</v>
      </c>
      <c r="H2417" s="2" t="s">
        <v>642</v>
      </c>
      <c r="I2417">
        <v>100</v>
      </c>
      <c r="J2417" s="2" t="s">
        <v>715</v>
      </c>
      <c r="K2417" s="2" t="s">
        <v>22</v>
      </c>
      <c r="L2417" s="2" t="s">
        <v>23</v>
      </c>
      <c r="M2417" s="2" t="s">
        <v>24</v>
      </c>
      <c r="N2417" s="2" t="s">
        <v>25</v>
      </c>
      <c r="O2417" s="2" t="s">
        <v>26</v>
      </c>
      <c r="P2417" s="2" t="s">
        <v>27</v>
      </c>
      <c r="Q2417" s="2" t="s">
        <v>28</v>
      </c>
      <c r="R2417" s="2" t="s">
        <v>29</v>
      </c>
      <c r="S2417" s="2" t="s">
        <v>46</v>
      </c>
      <c r="T2417">
        <v>3019</v>
      </c>
      <c r="U2417">
        <f>VLOOKUP(Auto_Sales_data___Copy[[#This Row],[CUSTOMER_NAME]],$AF$2:$AH$90,2,FALSE)</f>
        <v>49</v>
      </c>
      <c r="V2417">
        <f>VLOOKUP(Auto_Sales_data___Copy[[#This Row],[CUSTOMER_NAME]],$AF$2:$AH$90,3,FALSE)</f>
        <v>164069.43999999997</v>
      </c>
      <c r="W2417" s="2">
        <f>6-MATCH(Auto_Sales_data___Copy[[#This Row],[DAYS_SINCE_LAST_ORDER]],Table2[R-Cutoff],1)</f>
        <v>1</v>
      </c>
      <c r="X2417" s="2">
        <f>MATCH(Auto_Sales_data___Copy[[#This Row],[Total_Orders_Per_Customer]],Table2[F-Cutoff],1)</f>
        <v>4</v>
      </c>
      <c r="Y2417" s="2">
        <f>MATCH(Auto_Sales_data___Copy[[#This Row],[Total_Sales_Per_Customer]],Table2[M-Cutoff],1)</f>
        <v>4</v>
      </c>
      <c r="Z2417" s="2" t="str">
        <f>Auto_Sales_data___Copy[[#This Row],[R-Score(1-5)]]&amp;Auto_Sales_data___Copy[[#This Row],[F-Score(1-5)]]&amp;Auto_Sales_data___Copy[[#This Row],[M-Score(1-5)]]</f>
        <v>144</v>
      </c>
      <c r="AA2417" s="2" t="str" cm="1">
        <f t="array" ref="AA24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7" s="2" t="str">
        <f>VLOOKUP(Auto_Sales_data___Copy[[#This Row],[Segment Name]],Table3[],2,FALSE)</f>
        <v>Brand Awareness &amp; Value Proposition</v>
      </c>
    </row>
    <row r="2418" spans="1:28" x14ac:dyDescent="0.25">
      <c r="A2418">
        <v>10248</v>
      </c>
      <c r="B2418">
        <v>35</v>
      </c>
      <c r="C2418">
        <v>90.37</v>
      </c>
      <c r="D2418">
        <v>8</v>
      </c>
      <c r="E2418">
        <v>3162.95</v>
      </c>
      <c r="F2418" s="1">
        <v>43592</v>
      </c>
      <c r="G2418" s="2" t="s">
        <v>358</v>
      </c>
      <c r="H2418" s="2" t="s">
        <v>642</v>
      </c>
      <c r="I2418">
        <v>99</v>
      </c>
      <c r="J2418" s="2" t="s">
        <v>716</v>
      </c>
      <c r="K2418" s="2" t="s">
        <v>22</v>
      </c>
      <c r="L2418" s="2" t="s">
        <v>23</v>
      </c>
      <c r="M2418" s="2" t="s">
        <v>24</v>
      </c>
      <c r="N2418" s="2" t="s">
        <v>25</v>
      </c>
      <c r="O2418" s="2" t="s">
        <v>26</v>
      </c>
      <c r="P2418" s="2" t="s">
        <v>27</v>
      </c>
      <c r="Q2418" s="2" t="s">
        <v>28</v>
      </c>
      <c r="R2418" s="2" t="s">
        <v>29</v>
      </c>
      <c r="S2418" s="2" t="s">
        <v>46</v>
      </c>
      <c r="T2418">
        <v>3045</v>
      </c>
      <c r="U2418">
        <f>VLOOKUP(Auto_Sales_data___Copy[[#This Row],[CUSTOMER_NAME]],$AF$2:$AH$90,2,FALSE)</f>
        <v>49</v>
      </c>
      <c r="V2418">
        <f>VLOOKUP(Auto_Sales_data___Copy[[#This Row],[CUSTOMER_NAME]],$AF$2:$AH$90,3,FALSE)</f>
        <v>164069.43999999997</v>
      </c>
      <c r="W2418" s="2">
        <f>6-MATCH(Auto_Sales_data___Copy[[#This Row],[DAYS_SINCE_LAST_ORDER]],Table2[R-Cutoff],1)</f>
        <v>1</v>
      </c>
      <c r="X2418" s="2">
        <f>MATCH(Auto_Sales_data___Copy[[#This Row],[Total_Orders_Per_Customer]],Table2[F-Cutoff],1)</f>
        <v>4</v>
      </c>
      <c r="Y2418" s="2">
        <f>MATCH(Auto_Sales_data___Copy[[#This Row],[Total_Sales_Per_Customer]],Table2[M-Cutoff],1)</f>
        <v>4</v>
      </c>
      <c r="Z2418" s="2" t="str">
        <f>Auto_Sales_data___Copy[[#This Row],[R-Score(1-5)]]&amp;Auto_Sales_data___Copy[[#This Row],[F-Score(1-5)]]&amp;Auto_Sales_data___Copy[[#This Row],[M-Score(1-5)]]</f>
        <v>144</v>
      </c>
      <c r="AA2418" s="2" t="str" cm="1">
        <f t="array" ref="AA24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8" s="2" t="str">
        <f>VLOOKUP(Auto_Sales_data___Copy[[#This Row],[Segment Name]],Table3[],2,FALSE)</f>
        <v>Brand Awareness &amp; Value Proposition</v>
      </c>
    </row>
    <row r="2419" spans="1:28" x14ac:dyDescent="0.25">
      <c r="A2419">
        <v>10248</v>
      </c>
      <c r="B2419">
        <v>23</v>
      </c>
      <c r="C2419">
        <v>65.52</v>
      </c>
      <c r="D2419">
        <v>9</v>
      </c>
      <c r="E2419">
        <v>1506.96</v>
      </c>
      <c r="F2419" s="1">
        <v>43592</v>
      </c>
      <c r="G2419" s="2" t="s">
        <v>358</v>
      </c>
      <c r="H2419" s="2" t="s">
        <v>642</v>
      </c>
      <c r="I2419">
        <v>54</v>
      </c>
      <c r="J2419" s="2" t="s">
        <v>719</v>
      </c>
      <c r="K2419" s="2" t="s">
        <v>22</v>
      </c>
      <c r="L2419" s="2" t="s">
        <v>23</v>
      </c>
      <c r="M2419" s="2" t="s">
        <v>24</v>
      </c>
      <c r="N2419" s="2" t="s">
        <v>25</v>
      </c>
      <c r="O2419" s="2" t="s">
        <v>26</v>
      </c>
      <c r="P2419" s="2" t="s">
        <v>27</v>
      </c>
      <c r="Q2419" s="2" t="s">
        <v>28</v>
      </c>
      <c r="R2419" s="2" t="s">
        <v>29</v>
      </c>
      <c r="S2419" s="2" t="s">
        <v>30</v>
      </c>
      <c r="T2419">
        <v>3124</v>
      </c>
      <c r="U2419">
        <f>VLOOKUP(Auto_Sales_data___Copy[[#This Row],[CUSTOMER_NAME]],$AF$2:$AH$90,2,FALSE)</f>
        <v>49</v>
      </c>
      <c r="V2419">
        <f>VLOOKUP(Auto_Sales_data___Copy[[#This Row],[CUSTOMER_NAME]],$AF$2:$AH$90,3,FALSE)</f>
        <v>164069.43999999997</v>
      </c>
      <c r="W2419" s="2">
        <f>6-MATCH(Auto_Sales_data___Copy[[#This Row],[DAYS_SINCE_LAST_ORDER]],Table2[R-Cutoff],1)</f>
        <v>1</v>
      </c>
      <c r="X2419" s="2">
        <f>MATCH(Auto_Sales_data___Copy[[#This Row],[Total_Orders_Per_Customer]],Table2[F-Cutoff],1)</f>
        <v>4</v>
      </c>
      <c r="Y2419" s="2">
        <f>MATCH(Auto_Sales_data___Copy[[#This Row],[Total_Sales_Per_Customer]],Table2[M-Cutoff],1)</f>
        <v>4</v>
      </c>
      <c r="Z2419" s="2" t="str">
        <f>Auto_Sales_data___Copy[[#This Row],[R-Score(1-5)]]&amp;Auto_Sales_data___Copy[[#This Row],[F-Score(1-5)]]&amp;Auto_Sales_data___Copy[[#This Row],[M-Score(1-5)]]</f>
        <v>144</v>
      </c>
      <c r="AA2419" s="2" t="str" cm="1">
        <f t="array" ref="AA24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9" s="2" t="str">
        <f>VLOOKUP(Auto_Sales_data___Copy[[#This Row],[Segment Name]],Table3[],2,FALSE)</f>
        <v>Brand Awareness &amp; Value Proposition</v>
      </c>
    </row>
    <row r="2420" spans="1:28" x14ac:dyDescent="0.25">
      <c r="A2420">
        <v>10250</v>
      </c>
      <c r="B2420">
        <v>50</v>
      </c>
      <c r="C2420">
        <v>61.22</v>
      </c>
      <c r="D2420">
        <v>7</v>
      </c>
      <c r="E2420">
        <v>3061</v>
      </c>
      <c r="F2420" s="1">
        <v>43596</v>
      </c>
      <c r="G2420" s="2" t="s">
        <v>19</v>
      </c>
      <c r="H2420" s="2" t="s">
        <v>589</v>
      </c>
      <c r="I2420">
        <v>68</v>
      </c>
      <c r="J2420" s="2" t="s">
        <v>700</v>
      </c>
      <c r="K2420" s="2" t="s">
        <v>418</v>
      </c>
      <c r="L2420" s="2" t="s">
        <v>419</v>
      </c>
      <c r="M2420" s="2" t="s">
        <v>420</v>
      </c>
      <c r="N2420" s="2" t="s">
        <v>421</v>
      </c>
      <c r="O2420" s="2" t="s">
        <v>58</v>
      </c>
      <c r="P2420" s="2" t="s">
        <v>27</v>
      </c>
      <c r="Q2420" s="2" t="s">
        <v>93</v>
      </c>
      <c r="R2420" s="2" t="s">
        <v>422</v>
      </c>
      <c r="S2420" s="2" t="s">
        <v>46</v>
      </c>
      <c r="T2420">
        <v>2627</v>
      </c>
      <c r="U2420">
        <f>VLOOKUP(Auto_Sales_data___Copy[[#This Row],[CUSTOMER_NAME]],$AF$2:$AH$90,2,FALSE)</f>
        <v>40</v>
      </c>
      <c r="V2420">
        <f>VLOOKUP(Auto_Sales_data___Copy[[#This Row],[CUSTOMER_NAME]],$AF$2:$AH$90,3,FALSE)</f>
        <v>160010.27000000005</v>
      </c>
      <c r="W2420" s="2">
        <f>6-MATCH(Auto_Sales_data___Copy[[#This Row],[DAYS_SINCE_LAST_ORDER]],Table2[R-Cutoff],1)</f>
        <v>1</v>
      </c>
      <c r="X2420" s="2">
        <f>MATCH(Auto_Sales_data___Copy[[#This Row],[Total_Orders_Per_Customer]],Table2[F-Cutoff],1)</f>
        <v>4</v>
      </c>
      <c r="Y2420" s="2">
        <f>MATCH(Auto_Sales_data___Copy[[#This Row],[Total_Sales_Per_Customer]],Table2[M-Cutoff],1)</f>
        <v>4</v>
      </c>
      <c r="Z2420" s="2" t="str">
        <f>Auto_Sales_data___Copy[[#This Row],[R-Score(1-5)]]&amp;Auto_Sales_data___Copy[[#This Row],[F-Score(1-5)]]&amp;Auto_Sales_data___Copy[[#This Row],[M-Score(1-5)]]</f>
        <v>144</v>
      </c>
      <c r="AA2420" s="2" t="str" cm="1">
        <f t="array" ref="AA24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0" s="2" t="str">
        <f>VLOOKUP(Auto_Sales_data___Copy[[#This Row],[Segment Name]],Table3[],2,FALSE)</f>
        <v>Brand Awareness &amp; Value Proposition</v>
      </c>
    </row>
    <row r="2421" spans="1:28" x14ac:dyDescent="0.25">
      <c r="A2421">
        <v>10250</v>
      </c>
      <c r="B2421">
        <v>36</v>
      </c>
      <c r="C2421">
        <v>51.93</v>
      </c>
      <c r="D2421">
        <v>8</v>
      </c>
      <c r="E2421">
        <v>1869.48</v>
      </c>
      <c r="F2421" s="1">
        <v>43596</v>
      </c>
      <c r="G2421" s="2" t="s">
        <v>19</v>
      </c>
      <c r="H2421" s="2" t="s">
        <v>589</v>
      </c>
      <c r="I2421">
        <v>43</v>
      </c>
      <c r="J2421" s="2" t="s">
        <v>702</v>
      </c>
      <c r="K2421" s="2" t="s">
        <v>418</v>
      </c>
      <c r="L2421" s="2" t="s">
        <v>419</v>
      </c>
      <c r="M2421" s="2" t="s">
        <v>420</v>
      </c>
      <c r="N2421" s="2" t="s">
        <v>421</v>
      </c>
      <c r="O2421" s="2" t="s">
        <v>58</v>
      </c>
      <c r="P2421" s="2" t="s">
        <v>27</v>
      </c>
      <c r="Q2421" s="2" t="s">
        <v>93</v>
      </c>
      <c r="R2421" s="2" t="s">
        <v>422</v>
      </c>
      <c r="S2421" s="2" t="s">
        <v>30</v>
      </c>
      <c r="T2421">
        <v>2677</v>
      </c>
      <c r="U2421">
        <f>VLOOKUP(Auto_Sales_data___Copy[[#This Row],[CUSTOMER_NAME]],$AF$2:$AH$90,2,FALSE)</f>
        <v>40</v>
      </c>
      <c r="V2421">
        <f>VLOOKUP(Auto_Sales_data___Copy[[#This Row],[CUSTOMER_NAME]],$AF$2:$AH$90,3,FALSE)</f>
        <v>160010.27000000005</v>
      </c>
      <c r="W2421" s="2">
        <f>6-MATCH(Auto_Sales_data___Copy[[#This Row],[DAYS_SINCE_LAST_ORDER]],Table2[R-Cutoff],1)</f>
        <v>1</v>
      </c>
      <c r="X2421" s="2">
        <f>MATCH(Auto_Sales_data___Copy[[#This Row],[Total_Orders_Per_Customer]],Table2[F-Cutoff],1)</f>
        <v>4</v>
      </c>
      <c r="Y2421" s="2">
        <f>MATCH(Auto_Sales_data___Copy[[#This Row],[Total_Sales_Per_Customer]],Table2[M-Cutoff],1)</f>
        <v>4</v>
      </c>
      <c r="Z2421" s="2" t="str">
        <f>Auto_Sales_data___Copy[[#This Row],[R-Score(1-5)]]&amp;Auto_Sales_data___Copy[[#This Row],[F-Score(1-5)]]&amp;Auto_Sales_data___Copy[[#This Row],[M-Score(1-5)]]</f>
        <v>144</v>
      </c>
      <c r="AA2421" s="2" t="str" cm="1">
        <f t="array" ref="AA24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1" s="2" t="str">
        <f>VLOOKUP(Auto_Sales_data___Copy[[#This Row],[Segment Name]],Table3[],2,FALSE)</f>
        <v>Brand Awareness &amp; Value Proposition</v>
      </c>
    </row>
    <row r="2422" spans="1:28" x14ac:dyDescent="0.25">
      <c r="A2422">
        <v>10250</v>
      </c>
      <c r="B2422">
        <v>31</v>
      </c>
      <c r="C2422">
        <v>91.34</v>
      </c>
      <c r="D2422">
        <v>9</v>
      </c>
      <c r="E2422">
        <v>2831.54</v>
      </c>
      <c r="F2422" s="1">
        <v>43596</v>
      </c>
      <c r="G2422" s="2" t="s">
        <v>19</v>
      </c>
      <c r="H2422" s="2" t="s">
        <v>607</v>
      </c>
      <c r="I2422">
        <v>91</v>
      </c>
      <c r="J2422" s="2" t="s">
        <v>707</v>
      </c>
      <c r="K2422" s="2" t="s">
        <v>418</v>
      </c>
      <c r="L2422" s="2" t="s">
        <v>419</v>
      </c>
      <c r="M2422" s="2" t="s">
        <v>420</v>
      </c>
      <c r="N2422" s="2" t="s">
        <v>421</v>
      </c>
      <c r="O2422" s="2" t="s">
        <v>58</v>
      </c>
      <c r="P2422" s="2" t="s">
        <v>27</v>
      </c>
      <c r="Q2422" s="2" t="s">
        <v>93</v>
      </c>
      <c r="R2422" s="2" t="s">
        <v>422</v>
      </c>
      <c r="S2422" s="2" t="s">
        <v>30</v>
      </c>
      <c r="T2422">
        <v>2807</v>
      </c>
      <c r="U2422">
        <f>VLOOKUP(Auto_Sales_data___Copy[[#This Row],[CUSTOMER_NAME]],$AF$2:$AH$90,2,FALSE)</f>
        <v>40</v>
      </c>
      <c r="V2422">
        <f>VLOOKUP(Auto_Sales_data___Copy[[#This Row],[CUSTOMER_NAME]],$AF$2:$AH$90,3,FALSE)</f>
        <v>160010.27000000005</v>
      </c>
      <c r="W2422" s="2">
        <f>6-MATCH(Auto_Sales_data___Copy[[#This Row],[DAYS_SINCE_LAST_ORDER]],Table2[R-Cutoff],1)</f>
        <v>1</v>
      </c>
      <c r="X2422" s="2">
        <f>MATCH(Auto_Sales_data___Copy[[#This Row],[Total_Orders_Per_Customer]],Table2[F-Cutoff],1)</f>
        <v>4</v>
      </c>
      <c r="Y2422" s="2">
        <f>MATCH(Auto_Sales_data___Copy[[#This Row],[Total_Sales_Per_Customer]],Table2[M-Cutoff],1)</f>
        <v>4</v>
      </c>
      <c r="Z2422" s="2" t="str">
        <f>Auto_Sales_data___Copy[[#This Row],[R-Score(1-5)]]&amp;Auto_Sales_data___Copy[[#This Row],[F-Score(1-5)]]&amp;Auto_Sales_data___Copy[[#This Row],[M-Score(1-5)]]</f>
        <v>144</v>
      </c>
      <c r="AA2422" s="2" t="str" cm="1">
        <f t="array" ref="AA24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2" s="2" t="str">
        <f>VLOOKUP(Auto_Sales_data___Copy[[#This Row],[Segment Name]],Table3[],2,FALSE)</f>
        <v>Brand Awareness &amp; Value Proposition</v>
      </c>
    </row>
    <row r="2423" spans="1:28" x14ac:dyDescent="0.25">
      <c r="A2423">
        <v>10250</v>
      </c>
      <c r="B2423">
        <v>35</v>
      </c>
      <c r="C2423">
        <v>111.69</v>
      </c>
      <c r="D2423">
        <v>11</v>
      </c>
      <c r="E2423">
        <v>3909.15</v>
      </c>
      <c r="F2423" s="1">
        <v>43596</v>
      </c>
      <c r="G2423" s="2" t="s">
        <v>19</v>
      </c>
      <c r="H2423" s="2" t="s">
        <v>607</v>
      </c>
      <c r="I2423">
        <v>99</v>
      </c>
      <c r="J2423" s="2" t="s">
        <v>710</v>
      </c>
      <c r="K2423" s="2" t="s">
        <v>418</v>
      </c>
      <c r="L2423" s="2" t="s">
        <v>419</v>
      </c>
      <c r="M2423" s="2" t="s">
        <v>420</v>
      </c>
      <c r="N2423" s="2" t="s">
        <v>421</v>
      </c>
      <c r="O2423" s="2" t="s">
        <v>58</v>
      </c>
      <c r="P2423" s="2" t="s">
        <v>27</v>
      </c>
      <c r="Q2423" s="2" t="s">
        <v>93</v>
      </c>
      <c r="R2423" s="2" t="s">
        <v>422</v>
      </c>
      <c r="S2423" s="2" t="s">
        <v>46</v>
      </c>
      <c r="T2423">
        <v>2884</v>
      </c>
      <c r="U2423">
        <f>VLOOKUP(Auto_Sales_data___Copy[[#This Row],[CUSTOMER_NAME]],$AF$2:$AH$90,2,FALSE)</f>
        <v>40</v>
      </c>
      <c r="V2423">
        <f>VLOOKUP(Auto_Sales_data___Copy[[#This Row],[CUSTOMER_NAME]],$AF$2:$AH$90,3,FALSE)</f>
        <v>160010.27000000005</v>
      </c>
      <c r="W2423" s="2">
        <f>6-MATCH(Auto_Sales_data___Copy[[#This Row],[DAYS_SINCE_LAST_ORDER]],Table2[R-Cutoff],1)</f>
        <v>1</v>
      </c>
      <c r="X2423" s="2">
        <f>MATCH(Auto_Sales_data___Copy[[#This Row],[Total_Orders_Per_Customer]],Table2[F-Cutoff],1)</f>
        <v>4</v>
      </c>
      <c r="Y2423" s="2">
        <f>MATCH(Auto_Sales_data___Copy[[#This Row],[Total_Sales_Per_Customer]],Table2[M-Cutoff],1)</f>
        <v>4</v>
      </c>
      <c r="Z2423" s="2" t="str">
        <f>Auto_Sales_data___Copy[[#This Row],[R-Score(1-5)]]&amp;Auto_Sales_data___Copy[[#This Row],[F-Score(1-5)]]&amp;Auto_Sales_data___Copy[[#This Row],[M-Score(1-5)]]</f>
        <v>144</v>
      </c>
      <c r="AA2423" s="2" t="str" cm="1">
        <f t="array" ref="AA24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3" s="2" t="str">
        <f>VLOOKUP(Auto_Sales_data___Copy[[#This Row],[Segment Name]],Table3[],2,FALSE)</f>
        <v>Brand Awareness &amp; Value Proposition</v>
      </c>
    </row>
    <row r="2424" spans="1:28" x14ac:dyDescent="0.25">
      <c r="A2424">
        <v>10250</v>
      </c>
      <c r="B2424">
        <v>44</v>
      </c>
      <c r="C2424">
        <v>137.63</v>
      </c>
      <c r="D2424">
        <v>3</v>
      </c>
      <c r="E2424">
        <v>6055.72</v>
      </c>
      <c r="F2424" s="1">
        <v>43596</v>
      </c>
      <c r="G2424" s="2" t="s">
        <v>19</v>
      </c>
      <c r="H2424" s="2" t="s">
        <v>607</v>
      </c>
      <c r="I2424">
        <v>118</v>
      </c>
      <c r="J2424" s="2" t="s">
        <v>713</v>
      </c>
      <c r="K2424" s="2" t="s">
        <v>418</v>
      </c>
      <c r="L2424" s="2" t="s">
        <v>419</v>
      </c>
      <c r="M2424" s="2" t="s">
        <v>420</v>
      </c>
      <c r="N2424" s="2" t="s">
        <v>421</v>
      </c>
      <c r="O2424" s="2" t="s">
        <v>58</v>
      </c>
      <c r="P2424" s="2" t="s">
        <v>27</v>
      </c>
      <c r="Q2424" s="2" t="s">
        <v>93</v>
      </c>
      <c r="R2424" s="2" t="s">
        <v>422</v>
      </c>
      <c r="S2424" s="2" t="s">
        <v>46</v>
      </c>
      <c r="T2424">
        <v>2962</v>
      </c>
      <c r="U2424">
        <f>VLOOKUP(Auto_Sales_data___Copy[[#This Row],[CUSTOMER_NAME]],$AF$2:$AH$90,2,FALSE)</f>
        <v>40</v>
      </c>
      <c r="V2424">
        <f>VLOOKUP(Auto_Sales_data___Copy[[#This Row],[CUSTOMER_NAME]],$AF$2:$AH$90,3,FALSE)</f>
        <v>160010.27000000005</v>
      </c>
      <c r="W2424" s="2">
        <f>6-MATCH(Auto_Sales_data___Copy[[#This Row],[DAYS_SINCE_LAST_ORDER]],Table2[R-Cutoff],1)</f>
        <v>1</v>
      </c>
      <c r="X2424" s="2">
        <f>MATCH(Auto_Sales_data___Copy[[#This Row],[Total_Orders_Per_Customer]],Table2[F-Cutoff],1)</f>
        <v>4</v>
      </c>
      <c r="Y2424" s="2">
        <f>MATCH(Auto_Sales_data___Copy[[#This Row],[Total_Sales_Per_Customer]],Table2[M-Cutoff],1)</f>
        <v>4</v>
      </c>
      <c r="Z2424" s="2" t="str">
        <f>Auto_Sales_data___Copy[[#This Row],[R-Score(1-5)]]&amp;Auto_Sales_data___Copy[[#This Row],[F-Score(1-5)]]&amp;Auto_Sales_data___Copy[[#This Row],[M-Score(1-5)]]</f>
        <v>144</v>
      </c>
      <c r="AA2424" s="2" t="str" cm="1">
        <f t="array" ref="AA24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4" s="2" t="str">
        <f>VLOOKUP(Auto_Sales_data___Copy[[#This Row],[Segment Name]],Table3[],2,FALSE)</f>
        <v>Brand Awareness &amp; Value Proposition</v>
      </c>
    </row>
    <row r="2425" spans="1:28" x14ac:dyDescent="0.25">
      <c r="A2425">
        <v>10250</v>
      </c>
      <c r="B2425">
        <v>44</v>
      </c>
      <c r="C2425">
        <v>67.2</v>
      </c>
      <c r="D2425">
        <v>10</v>
      </c>
      <c r="E2425">
        <v>2956.8</v>
      </c>
      <c r="F2425" s="1">
        <v>43596</v>
      </c>
      <c r="G2425" s="2" t="s">
        <v>19</v>
      </c>
      <c r="H2425" s="2" t="s">
        <v>607</v>
      </c>
      <c r="I2425">
        <v>80</v>
      </c>
      <c r="J2425" s="2" t="s">
        <v>714</v>
      </c>
      <c r="K2425" s="2" t="s">
        <v>418</v>
      </c>
      <c r="L2425" s="2" t="s">
        <v>419</v>
      </c>
      <c r="M2425" s="2" t="s">
        <v>420</v>
      </c>
      <c r="N2425" s="2" t="s">
        <v>421</v>
      </c>
      <c r="O2425" s="2" t="s">
        <v>58</v>
      </c>
      <c r="P2425" s="2" t="s">
        <v>27</v>
      </c>
      <c r="Q2425" s="2" t="s">
        <v>93</v>
      </c>
      <c r="R2425" s="2" t="s">
        <v>422</v>
      </c>
      <c r="S2425" s="2" t="s">
        <v>30</v>
      </c>
      <c r="T2425">
        <v>2987</v>
      </c>
      <c r="U2425">
        <f>VLOOKUP(Auto_Sales_data___Copy[[#This Row],[CUSTOMER_NAME]],$AF$2:$AH$90,2,FALSE)</f>
        <v>40</v>
      </c>
      <c r="V2425">
        <f>VLOOKUP(Auto_Sales_data___Copy[[#This Row],[CUSTOMER_NAME]],$AF$2:$AH$90,3,FALSE)</f>
        <v>160010.27000000005</v>
      </c>
      <c r="W2425" s="2">
        <f>6-MATCH(Auto_Sales_data___Copy[[#This Row],[DAYS_SINCE_LAST_ORDER]],Table2[R-Cutoff],1)</f>
        <v>1</v>
      </c>
      <c r="X2425" s="2">
        <f>MATCH(Auto_Sales_data___Copy[[#This Row],[Total_Orders_Per_Customer]],Table2[F-Cutoff],1)</f>
        <v>4</v>
      </c>
      <c r="Y2425" s="2">
        <f>MATCH(Auto_Sales_data___Copy[[#This Row],[Total_Sales_Per_Customer]],Table2[M-Cutoff],1)</f>
        <v>4</v>
      </c>
      <c r="Z2425" s="2" t="str">
        <f>Auto_Sales_data___Copy[[#This Row],[R-Score(1-5)]]&amp;Auto_Sales_data___Copy[[#This Row],[F-Score(1-5)]]&amp;Auto_Sales_data___Copy[[#This Row],[M-Score(1-5)]]</f>
        <v>144</v>
      </c>
      <c r="AA2425" s="2" t="str" cm="1">
        <f t="array" ref="AA24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5" s="2" t="str">
        <f>VLOOKUP(Auto_Sales_data___Copy[[#This Row],[Segment Name]],Table3[],2,FALSE)</f>
        <v>Brand Awareness &amp; Value Proposition</v>
      </c>
    </row>
    <row r="2426" spans="1:28" x14ac:dyDescent="0.25">
      <c r="A2426">
        <v>10250</v>
      </c>
      <c r="B2426">
        <v>38</v>
      </c>
      <c r="C2426">
        <v>62.19</v>
      </c>
      <c r="D2426">
        <v>12</v>
      </c>
      <c r="E2426">
        <v>2363.2199999999998</v>
      </c>
      <c r="F2426" s="1">
        <v>43596</v>
      </c>
      <c r="G2426" s="2" t="s">
        <v>19</v>
      </c>
      <c r="H2426" s="2" t="s">
        <v>607</v>
      </c>
      <c r="I2426">
        <v>74</v>
      </c>
      <c r="J2426" s="2" t="s">
        <v>717</v>
      </c>
      <c r="K2426" s="2" t="s">
        <v>418</v>
      </c>
      <c r="L2426" s="2" t="s">
        <v>419</v>
      </c>
      <c r="M2426" s="2" t="s">
        <v>420</v>
      </c>
      <c r="N2426" s="2" t="s">
        <v>421</v>
      </c>
      <c r="O2426" s="2" t="s">
        <v>58</v>
      </c>
      <c r="P2426" s="2" t="s">
        <v>27</v>
      </c>
      <c r="Q2426" s="2" t="s">
        <v>93</v>
      </c>
      <c r="R2426" s="2" t="s">
        <v>422</v>
      </c>
      <c r="S2426" s="2" t="s">
        <v>30</v>
      </c>
      <c r="T2426">
        <v>3066</v>
      </c>
      <c r="U2426">
        <f>VLOOKUP(Auto_Sales_data___Copy[[#This Row],[CUSTOMER_NAME]],$AF$2:$AH$90,2,FALSE)</f>
        <v>40</v>
      </c>
      <c r="V2426">
        <f>VLOOKUP(Auto_Sales_data___Copy[[#This Row],[CUSTOMER_NAME]],$AF$2:$AH$90,3,FALSE)</f>
        <v>160010.27000000005</v>
      </c>
      <c r="W2426" s="2">
        <f>6-MATCH(Auto_Sales_data___Copy[[#This Row],[DAYS_SINCE_LAST_ORDER]],Table2[R-Cutoff],1)</f>
        <v>1</v>
      </c>
      <c r="X2426" s="2">
        <f>MATCH(Auto_Sales_data___Copy[[#This Row],[Total_Orders_Per_Customer]],Table2[F-Cutoff],1)</f>
        <v>4</v>
      </c>
      <c r="Y2426" s="2">
        <f>MATCH(Auto_Sales_data___Copy[[#This Row],[Total_Sales_Per_Customer]],Table2[M-Cutoff],1)</f>
        <v>4</v>
      </c>
      <c r="Z2426" s="2" t="str">
        <f>Auto_Sales_data___Copy[[#This Row],[R-Score(1-5)]]&amp;Auto_Sales_data___Copy[[#This Row],[F-Score(1-5)]]&amp;Auto_Sales_data___Copy[[#This Row],[M-Score(1-5)]]</f>
        <v>144</v>
      </c>
      <c r="AA2426" s="2" t="str" cm="1">
        <f t="array" ref="AA24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6" s="2" t="str">
        <f>VLOOKUP(Auto_Sales_data___Copy[[#This Row],[Segment Name]],Table3[],2,FALSE)</f>
        <v>Brand Awareness &amp; Value Proposition</v>
      </c>
    </row>
    <row r="2427" spans="1:28" x14ac:dyDescent="0.25">
      <c r="A2427">
        <v>10258</v>
      </c>
      <c r="B2427">
        <v>20</v>
      </c>
      <c r="C2427">
        <v>61.41</v>
      </c>
      <c r="D2427">
        <v>2</v>
      </c>
      <c r="E2427">
        <v>1228.2</v>
      </c>
      <c r="F2427" s="1">
        <v>43631</v>
      </c>
      <c r="G2427" s="2" t="s">
        <v>19</v>
      </c>
      <c r="H2427" s="2" t="s">
        <v>537</v>
      </c>
      <c r="I2427">
        <v>64</v>
      </c>
      <c r="J2427" s="2" t="s">
        <v>699</v>
      </c>
      <c r="K2427" s="2" t="s">
        <v>256</v>
      </c>
      <c r="L2427" s="2" t="s">
        <v>257</v>
      </c>
      <c r="M2427" s="2" t="s">
        <v>258</v>
      </c>
      <c r="N2427" s="2" t="s">
        <v>259</v>
      </c>
      <c r="O2427" s="2" t="s">
        <v>260</v>
      </c>
      <c r="P2427" s="2" t="s">
        <v>261</v>
      </c>
      <c r="Q2427" s="2" t="s">
        <v>262</v>
      </c>
      <c r="R2427" s="2" t="s">
        <v>263</v>
      </c>
      <c r="S2427" s="2" t="s">
        <v>30</v>
      </c>
      <c r="T2427">
        <v>2571</v>
      </c>
      <c r="U2427">
        <f>VLOOKUP(Auto_Sales_data___Copy[[#This Row],[CUSTOMER_NAME]],$AF$2:$AH$90,2,FALSE)</f>
        <v>32</v>
      </c>
      <c r="V2427">
        <f>VLOOKUP(Auto_Sales_data___Copy[[#This Row],[CUSTOMER_NAME]],$AF$2:$AH$90,3,FALSE)</f>
        <v>120562.74000000002</v>
      </c>
      <c r="W2427" s="2">
        <f>6-MATCH(Auto_Sales_data___Copy[[#This Row],[DAYS_SINCE_LAST_ORDER]],Table2[R-Cutoff],1)</f>
        <v>1</v>
      </c>
      <c r="X2427" s="2">
        <f>MATCH(Auto_Sales_data___Copy[[#This Row],[Total_Orders_Per_Customer]],Table2[F-Cutoff],1)</f>
        <v>4</v>
      </c>
      <c r="Y2427" s="2">
        <f>MATCH(Auto_Sales_data___Copy[[#This Row],[Total_Sales_Per_Customer]],Table2[M-Cutoff],1)</f>
        <v>4</v>
      </c>
      <c r="Z2427" s="2" t="str">
        <f>Auto_Sales_data___Copy[[#This Row],[R-Score(1-5)]]&amp;Auto_Sales_data___Copy[[#This Row],[F-Score(1-5)]]&amp;Auto_Sales_data___Copy[[#This Row],[M-Score(1-5)]]</f>
        <v>144</v>
      </c>
      <c r="AA2427" s="2" t="str" cm="1">
        <f t="array" ref="AA24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7" s="2" t="str">
        <f>VLOOKUP(Auto_Sales_data___Copy[[#This Row],[Segment Name]],Table3[],2,FALSE)</f>
        <v>Brand Awareness &amp; Value Proposition</v>
      </c>
    </row>
    <row r="2428" spans="1:28" x14ac:dyDescent="0.25">
      <c r="A2428">
        <v>10259</v>
      </c>
      <c r="B2428">
        <v>29</v>
      </c>
      <c r="C2428">
        <v>105.33</v>
      </c>
      <c r="D2428">
        <v>2</v>
      </c>
      <c r="E2428">
        <v>3054.57</v>
      </c>
      <c r="F2428" s="1">
        <v>43631</v>
      </c>
      <c r="G2428" s="2" t="s">
        <v>19</v>
      </c>
      <c r="H2428" s="2" t="s">
        <v>537</v>
      </c>
      <c r="I2428">
        <v>115</v>
      </c>
      <c r="J2428" s="2" t="s">
        <v>703</v>
      </c>
      <c r="K2428" s="2" t="s">
        <v>443</v>
      </c>
      <c r="L2428" s="2" t="s">
        <v>444</v>
      </c>
      <c r="M2428" s="2" t="s">
        <v>445</v>
      </c>
      <c r="N2428" s="2" t="s">
        <v>202</v>
      </c>
      <c r="O2428" s="2" t="s">
        <v>446</v>
      </c>
      <c r="P2428" s="2" t="s">
        <v>202</v>
      </c>
      <c r="Q2428" s="2" t="s">
        <v>447</v>
      </c>
      <c r="R2428" s="2" t="s">
        <v>448</v>
      </c>
      <c r="S2428" s="2" t="s">
        <v>46</v>
      </c>
      <c r="T2428">
        <v>2671</v>
      </c>
      <c r="U2428">
        <f>VLOOKUP(Auto_Sales_data___Copy[[#This Row],[CUSTOMER_NAME]],$AF$2:$AH$90,2,FALSE)</f>
        <v>36</v>
      </c>
      <c r="V2428">
        <f>VLOOKUP(Auto_Sales_data___Copy[[#This Row],[CUSTOMER_NAME]],$AF$2:$AH$90,3,FALSE)</f>
        <v>115498.72999999998</v>
      </c>
      <c r="W2428" s="2">
        <f>6-MATCH(Auto_Sales_data___Copy[[#This Row],[DAYS_SINCE_LAST_ORDER]],Table2[R-Cutoff],1)</f>
        <v>1</v>
      </c>
      <c r="X2428" s="2">
        <f>MATCH(Auto_Sales_data___Copy[[#This Row],[Total_Orders_Per_Customer]],Table2[F-Cutoff],1)</f>
        <v>4</v>
      </c>
      <c r="Y2428" s="2">
        <f>MATCH(Auto_Sales_data___Copy[[#This Row],[Total_Sales_Per_Customer]],Table2[M-Cutoff],1)</f>
        <v>4</v>
      </c>
      <c r="Z2428" s="2" t="str">
        <f>Auto_Sales_data___Copy[[#This Row],[R-Score(1-5)]]&amp;Auto_Sales_data___Copy[[#This Row],[F-Score(1-5)]]&amp;Auto_Sales_data___Copy[[#This Row],[M-Score(1-5)]]</f>
        <v>144</v>
      </c>
      <c r="AA2428" s="2" t="str" cm="1">
        <f t="array" ref="AA24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8" s="2" t="str">
        <f>VLOOKUP(Auto_Sales_data___Copy[[#This Row],[Segment Name]],Table3[],2,FALSE)</f>
        <v>Brand Awareness &amp; Value Proposition</v>
      </c>
    </row>
    <row r="2429" spans="1:28" x14ac:dyDescent="0.25">
      <c r="A2429">
        <v>10258</v>
      </c>
      <c r="B2429">
        <v>45</v>
      </c>
      <c r="C2429">
        <v>80.92</v>
      </c>
      <c r="D2429">
        <v>1</v>
      </c>
      <c r="E2429">
        <v>3641.4</v>
      </c>
      <c r="F2429" s="1">
        <v>43631</v>
      </c>
      <c r="G2429" s="2" t="s">
        <v>19</v>
      </c>
      <c r="H2429" s="2" t="s">
        <v>183</v>
      </c>
      <c r="I2429">
        <v>101</v>
      </c>
      <c r="J2429" s="2" t="s">
        <v>712</v>
      </c>
      <c r="K2429" s="2" t="s">
        <v>256</v>
      </c>
      <c r="L2429" s="2" t="s">
        <v>257</v>
      </c>
      <c r="M2429" s="2" t="s">
        <v>258</v>
      </c>
      <c r="N2429" s="2" t="s">
        <v>259</v>
      </c>
      <c r="O2429" s="2" t="s">
        <v>260</v>
      </c>
      <c r="P2429" s="2" t="s">
        <v>261</v>
      </c>
      <c r="Q2429" s="2" t="s">
        <v>262</v>
      </c>
      <c r="R2429" s="2" t="s">
        <v>263</v>
      </c>
      <c r="S2429" s="2" t="s">
        <v>46</v>
      </c>
      <c r="T2429">
        <v>2904</v>
      </c>
      <c r="U2429">
        <f>VLOOKUP(Auto_Sales_data___Copy[[#This Row],[CUSTOMER_NAME]],$AF$2:$AH$90,2,FALSE)</f>
        <v>32</v>
      </c>
      <c r="V2429">
        <f>VLOOKUP(Auto_Sales_data___Copy[[#This Row],[CUSTOMER_NAME]],$AF$2:$AH$90,3,FALSE)</f>
        <v>120562.74000000002</v>
      </c>
      <c r="W2429" s="2">
        <f>6-MATCH(Auto_Sales_data___Copy[[#This Row],[DAYS_SINCE_LAST_ORDER]],Table2[R-Cutoff],1)</f>
        <v>1</v>
      </c>
      <c r="X2429" s="2">
        <f>MATCH(Auto_Sales_data___Copy[[#This Row],[Total_Orders_Per_Customer]],Table2[F-Cutoff],1)</f>
        <v>4</v>
      </c>
      <c r="Y2429" s="2">
        <f>MATCH(Auto_Sales_data___Copy[[#This Row],[Total_Sales_Per_Customer]],Table2[M-Cutoff],1)</f>
        <v>4</v>
      </c>
      <c r="Z2429" s="2" t="str">
        <f>Auto_Sales_data___Copy[[#This Row],[R-Score(1-5)]]&amp;Auto_Sales_data___Copy[[#This Row],[F-Score(1-5)]]&amp;Auto_Sales_data___Copy[[#This Row],[M-Score(1-5)]]</f>
        <v>144</v>
      </c>
      <c r="AA2429" s="2" t="str" cm="1">
        <f t="array" ref="AA24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9" s="2" t="str">
        <f>VLOOKUP(Auto_Sales_data___Copy[[#This Row],[Segment Name]],Table3[],2,FALSE)</f>
        <v>Brand Awareness &amp; Value Proposition</v>
      </c>
    </row>
    <row r="2430" spans="1:28" x14ac:dyDescent="0.25">
      <c r="A2430">
        <v>10270</v>
      </c>
      <c r="B2430">
        <v>46</v>
      </c>
      <c r="C2430">
        <v>88</v>
      </c>
      <c r="D2430">
        <v>4</v>
      </c>
      <c r="E2430">
        <v>4048</v>
      </c>
      <c r="F2430" s="1">
        <v>43665</v>
      </c>
      <c r="G2430" s="2" t="s">
        <v>19</v>
      </c>
      <c r="H2430" s="2" t="s">
        <v>183</v>
      </c>
      <c r="I2430">
        <v>101</v>
      </c>
      <c r="J2430" s="2" t="s">
        <v>712</v>
      </c>
      <c r="K2430" s="2" t="s">
        <v>152</v>
      </c>
      <c r="L2430" s="2" t="s">
        <v>153</v>
      </c>
      <c r="M2430" s="2" t="s">
        <v>154</v>
      </c>
      <c r="N2430" s="2" t="s">
        <v>155</v>
      </c>
      <c r="O2430" s="2" t="s">
        <v>156</v>
      </c>
      <c r="P2430" s="2" t="s">
        <v>87</v>
      </c>
      <c r="Q2430" s="2" t="s">
        <v>157</v>
      </c>
      <c r="R2430" s="2" t="s">
        <v>158</v>
      </c>
      <c r="S2430" s="2" t="s">
        <v>46</v>
      </c>
      <c r="T2430">
        <v>2871</v>
      </c>
      <c r="U2430">
        <f>VLOOKUP(Auto_Sales_data___Copy[[#This Row],[CUSTOMER_NAME]],$AF$2:$AH$90,2,FALSE)</f>
        <v>46</v>
      </c>
      <c r="V2430">
        <f>VLOOKUP(Auto_Sales_data___Copy[[#This Row],[CUSTOMER_NAME]],$AF$2:$AH$90,3,FALSE)</f>
        <v>151570.98000000001</v>
      </c>
      <c r="W2430" s="2">
        <f>6-MATCH(Auto_Sales_data___Copy[[#This Row],[DAYS_SINCE_LAST_ORDER]],Table2[R-Cutoff],1)</f>
        <v>1</v>
      </c>
      <c r="X2430" s="2">
        <f>MATCH(Auto_Sales_data___Copy[[#This Row],[Total_Orders_Per_Customer]],Table2[F-Cutoff],1)</f>
        <v>4</v>
      </c>
      <c r="Y2430" s="2">
        <f>MATCH(Auto_Sales_data___Copy[[#This Row],[Total_Sales_Per_Customer]],Table2[M-Cutoff],1)</f>
        <v>4</v>
      </c>
      <c r="Z2430" s="2" t="str">
        <f>Auto_Sales_data___Copy[[#This Row],[R-Score(1-5)]]&amp;Auto_Sales_data___Copy[[#This Row],[F-Score(1-5)]]&amp;Auto_Sales_data___Copy[[#This Row],[M-Score(1-5)]]</f>
        <v>144</v>
      </c>
      <c r="AA2430" s="2" t="str" cm="1">
        <f t="array" ref="AA24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0" s="2" t="str">
        <f>VLOOKUP(Auto_Sales_data___Copy[[#This Row],[Segment Name]],Table3[],2,FALSE)</f>
        <v>Brand Awareness &amp; Value Proposition</v>
      </c>
    </row>
    <row r="2431" spans="1:28" x14ac:dyDescent="0.25">
      <c r="A2431">
        <v>10271</v>
      </c>
      <c r="B2431">
        <v>34</v>
      </c>
      <c r="C2431">
        <v>98.39</v>
      </c>
      <c r="D2431">
        <v>3</v>
      </c>
      <c r="E2431">
        <v>3345.26</v>
      </c>
      <c r="F2431" s="1">
        <v>43666</v>
      </c>
      <c r="G2431" s="2" t="s">
        <v>19</v>
      </c>
      <c r="H2431" s="2" t="s">
        <v>537</v>
      </c>
      <c r="I2431">
        <v>115</v>
      </c>
      <c r="J2431" s="2" t="s">
        <v>703</v>
      </c>
      <c r="K2431" s="2" t="s">
        <v>284</v>
      </c>
      <c r="L2431" s="2" t="s">
        <v>285</v>
      </c>
      <c r="M2431" s="2" t="s">
        <v>286</v>
      </c>
      <c r="N2431" s="2" t="s">
        <v>287</v>
      </c>
      <c r="O2431" s="2" t="s">
        <v>106</v>
      </c>
      <c r="P2431" s="2" t="s">
        <v>27</v>
      </c>
      <c r="Q2431" s="2" t="s">
        <v>288</v>
      </c>
      <c r="R2431" s="2" t="s">
        <v>289</v>
      </c>
      <c r="S2431" s="2" t="s">
        <v>46</v>
      </c>
      <c r="T2431">
        <v>2637</v>
      </c>
      <c r="U2431">
        <f>VLOOKUP(Auto_Sales_data___Copy[[#This Row],[CUSTOMER_NAME]],$AF$2:$AH$90,2,FALSE)</f>
        <v>180</v>
      </c>
      <c r="V2431">
        <f>VLOOKUP(Auto_Sales_data___Copy[[#This Row],[CUSTOMER_NAME]],$AF$2:$AH$90,3,FALSE)</f>
        <v>654858.06000000017</v>
      </c>
      <c r="W2431" s="2">
        <f>6-MATCH(Auto_Sales_data___Copy[[#This Row],[DAYS_SINCE_LAST_ORDER]],Table2[R-Cutoff],1)</f>
        <v>1</v>
      </c>
      <c r="X2431" s="2">
        <f>MATCH(Auto_Sales_data___Copy[[#This Row],[Total_Orders_Per_Customer]],Table2[F-Cutoff],1)</f>
        <v>4</v>
      </c>
      <c r="Y2431" s="2">
        <f>MATCH(Auto_Sales_data___Copy[[#This Row],[Total_Sales_Per_Customer]],Table2[M-Cutoff],1)</f>
        <v>4</v>
      </c>
      <c r="Z2431" s="2" t="str">
        <f>Auto_Sales_data___Copy[[#This Row],[R-Score(1-5)]]&amp;Auto_Sales_data___Copy[[#This Row],[F-Score(1-5)]]&amp;Auto_Sales_data___Copy[[#This Row],[M-Score(1-5)]]</f>
        <v>144</v>
      </c>
      <c r="AA2431" s="2" t="str" cm="1">
        <f t="array" ref="AA24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1" s="2" t="str">
        <f>VLOOKUP(Auto_Sales_data___Copy[[#This Row],[Segment Name]],Table3[],2,FALSE)</f>
        <v>Brand Awareness &amp; Value Proposition</v>
      </c>
    </row>
    <row r="2432" spans="1:28" x14ac:dyDescent="0.25">
      <c r="A2432">
        <v>10272</v>
      </c>
      <c r="B2432">
        <v>43</v>
      </c>
      <c r="C2432">
        <v>56.82</v>
      </c>
      <c r="D2432">
        <v>4</v>
      </c>
      <c r="E2432">
        <v>2443.2600000000002</v>
      </c>
      <c r="F2432" s="1">
        <v>43666</v>
      </c>
      <c r="G2432" s="2" t="s">
        <v>19</v>
      </c>
      <c r="H2432" s="2" t="s">
        <v>650</v>
      </c>
      <c r="I2432">
        <v>58</v>
      </c>
      <c r="J2432" s="2" t="s">
        <v>704</v>
      </c>
      <c r="K2432" s="2" t="s">
        <v>137</v>
      </c>
      <c r="L2432" s="2" t="s">
        <v>138</v>
      </c>
      <c r="M2432" s="2" t="s">
        <v>139</v>
      </c>
      <c r="N2432" s="2" t="s">
        <v>140</v>
      </c>
      <c r="O2432" s="2" t="s">
        <v>141</v>
      </c>
      <c r="P2432" s="2" t="s">
        <v>27</v>
      </c>
      <c r="Q2432" s="2" t="s">
        <v>28</v>
      </c>
      <c r="R2432" s="2" t="s">
        <v>142</v>
      </c>
      <c r="S2432" s="2" t="s">
        <v>30</v>
      </c>
      <c r="T2432">
        <v>2664</v>
      </c>
      <c r="U2432">
        <f>VLOOKUP(Auto_Sales_data___Copy[[#This Row],[CUSTOMER_NAME]],$AF$2:$AH$90,2,FALSE)</f>
        <v>31</v>
      </c>
      <c r="V2432">
        <f>VLOOKUP(Auto_Sales_data___Copy[[#This Row],[CUSTOMER_NAME]],$AF$2:$AH$90,3,FALSE)</f>
        <v>122138.14</v>
      </c>
      <c r="W2432" s="2">
        <f>6-MATCH(Auto_Sales_data___Copy[[#This Row],[DAYS_SINCE_LAST_ORDER]],Table2[R-Cutoff],1)</f>
        <v>1</v>
      </c>
      <c r="X2432" s="2">
        <f>MATCH(Auto_Sales_data___Copy[[#This Row],[Total_Orders_Per_Customer]],Table2[F-Cutoff],1)</f>
        <v>4</v>
      </c>
      <c r="Y2432" s="2">
        <f>MATCH(Auto_Sales_data___Copy[[#This Row],[Total_Sales_Per_Customer]],Table2[M-Cutoff],1)</f>
        <v>4</v>
      </c>
      <c r="Z2432" s="2" t="str">
        <f>Auto_Sales_data___Copy[[#This Row],[R-Score(1-5)]]&amp;Auto_Sales_data___Copy[[#This Row],[F-Score(1-5)]]&amp;Auto_Sales_data___Copy[[#This Row],[M-Score(1-5)]]</f>
        <v>144</v>
      </c>
      <c r="AA2432" s="2" t="str" cm="1">
        <f t="array" ref="AA24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2" s="2" t="str">
        <f>VLOOKUP(Auto_Sales_data___Copy[[#This Row],[Segment Name]],Table3[],2,FALSE)</f>
        <v>Brand Awareness &amp; Value Proposition</v>
      </c>
    </row>
    <row r="2433" spans="1:28" x14ac:dyDescent="0.25">
      <c r="A2433">
        <v>10275</v>
      </c>
      <c r="B2433">
        <v>38</v>
      </c>
      <c r="C2433">
        <v>45.39</v>
      </c>
      <c r="D2433">
        <v>13</v>
      </c>
      <c r="E2433">
        <v>1724.82</v>
      </c>
      <c r="F2433" s="1">
        <v>43669</v>
      </c>
      <c r="G2433" s="2" t="s">
        <v>19</v>
      </c>
      <c r="H2433" s="2" t="s">
        <v>589</v>
      </c>
      <c r="I2433">
        <v>43</v>
      </c>
      <c r="J2433" s="2" t="s">
        <v>702</v>
      </c>
      <c r="K2433" s="2" t="s">
        <v>108</v>
      </c>
      <c r="L2433" s="2" t="s">
        <v>109</v>
      </c>
      <c r="M2433" s="2" t="s">
        <v>110</v>
      </c>
      <c r="N2433" s="2" t="s">
        <v>111</v>
      </c>
      <c r="O2433" s="2" t="s">
        <v>112</v>
      </c>
      <c r="P2433" s="2" t="s">
        <v>36</v>
      </c>
      <c r="Q2433" s="2" t="s">
        <v>113</v>
      </c>
      <c r="R2433" s="2" t="s">
        <v>114</v>
      </c>
      <c r="S2433" s="2" t="s">
        <v>30</v>
      </c>
      <c r="T2433">
        <v>2606</v>
      </c>
      <c r="U2433">
        <f>VLOOKUP(Auto_Sales_data___Copy[[#This Row],[CUSTOMER_NAME]],$AF$2:$AH$90,2,FALSE)</f>
        <v>53</v>
      </c>
      <c r="V2433">
        <f>VLOOKUP(Auto_Sales_data___Copy[[#This Row],[CUSTOMER_NAME]],$AF$2:$AH$90,3,FALSE)</f>
        <v>180124.90000000008</v>
      </c>
      <c r="W2433" s="2">
        <f>6-MATCH(Auto_Sales_data___Copy[[#This Row],[DAYS_SINCE_LAST_ORDER]],Table2[R-Cutoff],1)</f>
        <v>1</v>
      </c>
      <c r="X2433" s="2">
        <f>MATCH(Auto_Sales_data___Copy[[#This Row],[Total_Orders_Per_Customer]],Table2[F-Cutoff],1)</f>
        <v>4</v>
      </c>
      <c r="Y2433" s="2">
        <f>MATCH(Auto_Sales_data___Copy[[#This Row],[Total_Sales_Per_Customer]],Table2[M-Cutoff],1)</f>
        <v>4</v>
      </c>
      <c r="Z2433" s="2" t="str">
        <f>Auto_Sales_data___Copy[[#This Row],[R-Score(1-5)]]&amp;Auto_Sales_data___Copy[[#This Row],[F-Score(1-5)]]&amp;Auto_Sales_data___Copy[[#This Row],[M-Score(1-5)]]</f>
        <v>144</v>
      </c>
      <c r="AA2433" s="2" t="str" cm="1">
        <f t="array" ref="AA24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3" s="2" t="str">
        <f>VLOOKUP(Auto_Sales_data___Copy[[#This Row],[Segment Name]],Table3[],2,FALSE)</f>
        <v>Brand Awareness &amp; Value Proposition</v>
      </c>
    </row>
    <row r="2434" spans="1:28" x14ac:dyDescent="0.25">
      <c r="A2434">
        <v>10275</v>
      </c>
      <c r="B2434">
        <v>32</v>
      </c>
      <c r="C2434">
        <v>89.51</v>
      </c>
      <c r="D2434">
        <v>14</v>
      </c>
      <c r="E2434">
        <v>2864.32</v>
      </c>
      <c r="F2434" s="1">
        <v>43669</v>
      </c>
      <c r="G2434" s="2" t="s">
        <v>19</v>
      </c>
      <c r="H2434" s="2" t="s">
        <v>607</v>
      </c>
      <c r="I2434">
        <v>91</v>
      </c>
      <c r="J2434" s="2" t="s">
        <v>707</v>
      </c>
      <c r="K2434" s="2" t="s">
        <v>108</v>
      </c>
      <c r="L2434" s="2" t="s">
        <v>109</v>
      </c>
      <c r="M2434" s="2" t="s">
        <v>110</v>
      </c>
      <c r="N2434" s="2" t="s">
        <v>111</v>
      </c>
      <c r="O2434" s="2" t="s">
        <v>112</v>
      </c>
      <c r="P2434" s="2" t="s">
        <v>36</v>
      </c>
      <c r="Q2434" s="2" t="s">
        <v>113</v>
      </c>
      <c r="R2434" s="2" t="s">
        <v>114</v>
      </c>
      <c r="S2434" s="2" t="s">
        <v>30</v>
      </c>
      <c r="T2434">
        <v>2736</v>
      </c>
      <c r="U2434">
        <f>VLOOKUP(Auto_Sales_data___Copy[[#This Row],[CUSTOMER_NAME]],$AF$2:$AH$90,2,FALSE)</f>
        <v>53</v>
      </c>
      <c r="V2434">
        <f>VLOOKUP(Auto_Sales_data___Copy[[#This Row],[CUSTOMER_NAME]],$AF$2:$AH$90,3,FALSE)</f>
        <v>180124.90000000008</v>
      </c>
      <c r="W2434" s="2">
        <f>6-MATCH(Auto_Sales_data___Copy[[#This Row],[DAYS_SINCE_LAST_ORDER]],Table2[R-Cutoff],1)</f>
        <v>1</v>
      </c>
      <c r="X2434" s="2">
        <f>MATCH(Auto_Sales_data___Copy[[#This Row],[Total_Orders_Per_Customer]],Table2[F-Cutoff],1)</f>
        <v>4</v>
      </c>
      <c r="Y2434" s="2">
        <f>MATCH(Auto_Sales_data___Copy[[#This Row],[Total_Sales_Per_Customer]],Table2[M-Cutoff],1)</f>
        <v>4</v>
      </c>
      <c r="Z2434" s="2" t="str">
        <f>Auto_Sales_data___Copy[[#This Row],[R-Score(1-5)]]&amp;Auto_Sales_data___Copy[[#This Row],[F-Score(1-5)]]&amp;Auto_Sales_data___Copy[[#This Row],[M-Score(1-5)]]</f>
        <v>144</v>
      </c>
      <c r="AA2434" s="2" t="str" cm="1">
        <f t="array" ref="AA24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4" s="2" t="str">
        <f>VLOOKUP(Auto_Sales_data___Copy[[#This Row],[Segment Name]],Table3[],2,FALSE)</f>
        <v>Brand Awareness &amp; Value Proposition</v>
      </c>
    </row>
    <row r="2435" spans="1:28" x14ac:dyDescent="0.25">
      <c r="A2435">
        <v>10275</v>
      </c>
      <c r="B2435">
        <v>39</v>
      </c>
      <c r="C2435">
        <v>114.68</v>
      </c>
      <c r="D2435">
        <v>16</v>
      </c>
      <c r="E2435">
        <v>4472.5200000000004</v>
      </c>
      <c r="F2435" s="1">
        <v>43669</v>
      </c>
      <c r="G2435" s="2" t="s">
        <v>19</v>
      </c>
      <c r="H2435" s="2" t="s">
        <v>607</v>
      </c>
      <c r="I2435">
        <v>99</v>
      </c>
      <c r="J2435" s="2" t="s">
        <v>710</v>
      </c>
      <c r="K2435" s="2" t="s">
        <v>108</v>
      </c>
      <c r="L2435" s="2" t="s">
        <v>109</v>
      </c>
      <c r="M2435" s="2" t="s">
        <v>110</v>
      </c>
      <c r="N2435" s="2" t="s">
        <v>111</v>
      </c>
      <c r="O2435" s="2" t="s">
        <v>112</v>
      </c>
      <c r="P2435" s="2" t="s">
        <v>36</v>
      </c>
      <c r="Q2435" s="2" t="s">
        <v>113</v>
      </c>
      <c r="R2435" s="2" t="s">
        <v>114</v>
      </c>
      <c r="S2435" s="2" t="s">
        <v>46</v>
      </c>
      <c r="T2435">
        <v>2813</v>
      </c>
      <c r="U2435">
        <f>VLOOKUP(Auto_Sales_data___Copy[[#This Row],[CUSTOMER_NAME]],$AF$2:$AH$90,2,FALSE)</f>
        <v>53</v>
      </c>
      <c r="V2435">
        <f>VLOOKUP(Auto_Sales_data___Copy[[#This Row],[CUSTOMER_NAME]],$AF$2:$AH$90,3,FALSE)</f>
        <v>180124.90000000008</v>
      </c>
      <c r="W2435" s="2">
        <f>6-MATCH(Auto_Sales_data___Copy[[#This Row],[DAYS_SINCE_LAST_ORDER]],Table2[R-Cutoff],1)</f>
        <v>1</v>
      </c>
      <c r="X2435" s="2">
        <f>MATCH(Auto_Sales_data___Copy[[#This Row],[Total_Orders_Per_Customer]],Table2[F-Cutoff],1)</f>
        <v>4</v>
      </c>
      <c r="Y2435" s="2">
        <f>MATCH(Auto_Sales_data___Copy[[#This Row],[Total_Sales_Per_Customer]],Table2[M-Cutoff],1)</f>
        <v>4</v>
      </c>
      <c r="Z2435" s="2" t="str">
        <f>Auto_Sales_data___Copy[[#This Row],[R-Score(1-5)]]&amp;Auto_Sales_data___Copy[[#This Row],[F-Score(1-5)]]&amp;Auto_Sales_data___Copy[[#This Row],[M-Score(1-5)]]</f>
        <v>144</v>
      </c>
      <c r="AA2435" s="2" t="str" cm="1">
        <f t="array" ref="AA24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5" s="2" t="str">
        <f>VLOOKUP(Auto_Sales_data___Copy[[#This Row],[Segment Name]],Table3[],2,FALSE)</f>
        <v>Brand Awareness &amp; Value Proposition</v>
      </c>
    </row>
    <row r="2436" spans="1:28" x14ac:dyDescent="0.25">
      <c r="A2436">
        <v>10275</v>
      </c>
      <c r="B2436">
        <v>48</v>
      </c>
      <c r="C2436">
        <v>132.88999999999999</v>
      </c>
      <c r="D2436">
        <v>8</v>
      </c>
      <c r="E2436">
        <v>6378.72</v>
      </c>
      <c r="F2436" s="1">
        <v>43669</v>
      </c>
      <c r="G2436" s="2" t="s">
        <v>19</v>
      </c>
      <c r="H2436" s="2" t="s">
        <v>607</v>
      </c>
      <c r="I2436">
        <v>118</v>
      </c>
      <c r="J2436" s="2" t="s">
        <v>713</v>
      </c>
      <c r="K2436" s="2" t="s">
        <v>108</v>
      </c>
      <c r="L2436" s="2" t="s">
        <v>109</v>
      </c>
      <c r="M2436" s="2" t="s">
        <v>110</v>
      </c>
      <c r="N2436" s="2" t="s">
        <v>111</v>
      </c>
      <c r="O2436" s="2" t="s">
        <v>112</v>
      </c>
      <c r="P2436" s="2" t="s">
        <v>36</v>
      </c>
      <c r="Q2436" s="2" t="s">
        <v>113</v>
      </c>
      <c r="R2436" s="2" t="s">
        <v>114</v>
      </c>
      <c r="S2436" s="2" t="s">
        <v>46</v>
      </c>
      <c r="T2436">
        <v>2891</v>
      </c>
      <c r="U2436">
        <f>VLOOKUP(Auto_Sales_data___Copy[[#This Row],[CUSTOMER_NAME]],$AF$2:$AH$90,2,FALSE)</f>
        <v>53</v>
      </c>
      <c r="V2436">
        <f>VLOOKUP(Auto_Sales_data___Copy[[#This Row],[CUSTOMER_NAME]],$AF$2:$AH$90,3,FALSE)</f>
        <v>180124.90000000008</v>
      </c>
      <c r="W2436" s="2">
        <f>6-MATCH(Auto_Sales_data___Copy[[#This Row],[DAYS_SINCE_LAST_ORDER]],Table2[R-Cutoff],1)</f>
        <v>1</v>
      </c>
      <c r="X2436" s="2">
        <f>MATCH(Auto_Sales_data___Copy[[#This Row],[Total_Orders_Per_Customer]],Table2[F-Cutoff],1)</f>
        <v>4</v>
      </c>
      <c r="Y2436" s="2">
        <f>MATCH(Auto_Sales_data___Copy[[#This Row],[Total_Sales_Per_Customer]],Table2[M-Cutoff],1)</f>
        <v>4</v>
      </c>
      <c r="Z2436" s="2" t="str">
        <f>Auto_Sales_data___Copy[[#This Row],[R-Score(1-5)]]&amp;Auto_Sales_data___Copy[[#This Row],[F-Score(1-5)]]&amp;Auto_Sales_data___Copy[[#This Row],[M-Score(1-5)]]</f>
        <v>144</v>
      </c>
      <c r="AA2436" s="2" t="str" cm="1">
        <f t="array" ref="AA24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6" s="2" t="str">
        <f>VLOOKUP(Auto_Sales_data___Copy[[#This Row],[Segment Name]],Table3[],2,FALSE)</f>
        <v>Brand Awareness &amp; Value Proposition</v>
      </c>
    </row>
    <row r="2437" spans="1:28" x14ac:dyDescent="0.25">
      <c r="A2437">
        <v>10275</v>
      </c>
      <c r="B2437">
        <v>43</v>
      </c>
      <c r="C2437">
        <v>73.599999999999994</v>
      </c>
      <c r="D2437">
        <v>15</v>
      </c>
      <c r="E2437">
        <v>3164.8</v>
      </c>
      <c r="F2437" s="1">
        <v>43669</v>
      </c>
      <c r="G2437" s="2" t="s">
        <v>19</v>
      </c>
      <c r="H2437" s="2" t="s">
        <v>607</v>
      </c>
      <c r="I2437">
        <v>80</v>
      </c>
      <c r="J2437" s="2" t="s">
        <v>714</v>
      </c>
      <c r="K2437" s="2" t="s">
        <v>108</v>
      </c>
      <c r="L2437" s="2" t="s">
        <v>109</v>
      </c>
      <c r="M2437" s="2" t="s">
        <v>110</v>
      </c>
      <c r="N2437" s="2" t="s">
        <v>111</v>
      </c>
      <c r="O2437" s="2" t="s">
        <v>112</v>
      </c>
      <c r="P2437" s="2" t="s">
        <v>36</v>
      </c>
      <c r="Q2437" s="2" t="s">
        <v>113</v>
      </c>
      <c r="R2437" s="2" t="s">
        <v>114</v>
      </c>
      <c r="S2437" s="2" t="s">
        <v>46</v>
      </c>
      <c r="T2437">
        <v>2916</v>
      </c>
      <c r="U2437">
        <f>VLOOKUP(Auto_Sales_data___Copy[[#This Row],[CUSTOMER_NAME]],$AF$2:$AH$90,2,FALSE)</f>
        <v>53</v>
      </c>
      <c r="V2437">
        <f>VLOOKUP(Auto_Sales_data___Copy[[#This Row],[CUSTOMER_NAME]],$AF$2:$AH$90,3,FALSE)</f>
        <v>180124.90000000008</v>
      </c>
      <c r="W2437" s="2">
        <f>6-MATCH(Auto_Sales_data___Copy[[#This Row],[DAYS_SINCE_LAST_ORDER]],Table2[R-Cutoff],1)</f>
        <v>1</v>
      </c>
      <c r="X2437" s="2">
        <f>MATCH(Auto_Sales_data___Copy[[#This Row],[Total_Orders_Per_Customer]],Table2[F-Cutoff],1)</f>
        <v>4</v>
      </c>
      <c r="Y2437" s="2">
        <f>MATCH(Auto_Sales_data___Copy[[#This Row],[Total_Sales_Per_Customer]],Table2[M-Cutoff],1)</f>
        <v>4</v>
      </c>
      <c r="Z2437" s="2" t="str">
        <f>Auto_Sales_data___Copy[[#This Row],[R-Score(1-5)]]&amp;Auto_Sales_data___Copy[[#This Row],[F-Score(1-5)]]&amp;Auto_Sales_data___Copy[[#This Row],[M-Score(1-5)]]</f>
        <v>144</v>
      </c>
      <c r="AA2437" s="2" t="str" cm="1">
        <f t="array" ref="AA24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7" s="2" t="str">
        <f>VLOOKUP(Auto_Sales_data___Copy[[#This Row],[Segment Name]],Table3[],2,FALSE)</f>
        <v>Brand Awareness &amp; Value Proposition</v>
      </c>
    </row>
    <row r="2438" spans="1:28" x14ac:dyDescent="0.25">
      <c r="A2438">
        <v>10275</v>
      </c>
      <c r="B2438">
        <v>31</v>
      </c>
      <c r="C2438">
        <v>72.55</v>
      </c>
      <c r="D2438">
        <v>17</v>
      </c>
      <c r="E2438">
        <v>2249.0500000000002</v>
      </c>
      <c r="F2438" s="1">
        <v>43669</v>
      </c>
      <c r="G2438" s="2" t="s">
        <v>19</v>
      </c>
      <c r="H2438" s="2" t="s">
        <v>607</v>
      </c>
      <c r="I2438">
        <v>74</v>
      </c>
      <c r="J2438" s="2" t="s">
        <v>717</v>
      </c>
      <c r="K2438" s="2" t="s">
        <v>108</v>
      </c>
      <c r="L2438" s="2" t="s">
        <v>109</v>
      </c>
      <c r="M2438" s="2" t="s">
        <v>110</v>
      </c>
      <c r="N2438" s="2" t="s">
        <v>111</v>
      </c>
      <c r="O2438" s="2" t="s">
        <v>112</v>
      </c>
      <c r="P2438" s="2" t="s">
        <v>36</v>
      </c>
      <c r="Q2438" s="2" t="s">
        <v>113</v>
      </c>
      <c r="R2438" s="2" t="s">
        <v>114</v>
      </c>
      <c r="S2438" s="2" t="s">
        <v>30</v>
      </c>
      <c r="T2438">
        <v>2995</v>
      </c>
      <c r="U2438">
        <f>VLOOKUP(Auto_Sales_data___Copy[[#This Row],[CUSTOMER_NAME]],$AF$2:$AH$90,2,FALSE)</f>
        <v>53</v>
      </c>
      <c r="V2438">
        <f>VLOOKUP(Auto_Sales_data___Copy[[#This Row],[CUSTOMER_NAME]],$AF$2:$AH$90,3,FALSE)</f>
        <v>180124.90000000008</v>
      </c>
      <c r="W2438" s="2">
        <f>6-MATCH(Auto_Sales_data___Copy[[#This Row],[DAYS_SINCE_LAST_ORDER]],Table2[R-Cutoff],1)</f>
        <v>1</v>
      </c>
      <c r="X2438" s="2">
        <f>MATCH(Auto_Sales_data___Copy[[#This Row],[Total_Orders_Per_Customer]],Table2[F-Cutoff],1)</f>
        <v>4</v>
      </c>
      <c r="Y2438" s="2">
        <f>MATCH(Auto_Sales_data___Copy[[#This Row],[Total_Sales_Per_Customer]],Table2[M-Cutoff],1)</f>
        <v>4</v>
      </c>
      <c r="Z2438" s="2" t="str">
        <f>Auto_Sales_data___Copy[[#This Row],[R-Score(1-5)]]&amp;Auto_Sales_data___Copy[[#This Row],[F-Score(1-5)]]&amp;Auto_Sales_data___Copy[[#This Row],[M-Score(1-5)]]</f>
        <v>144</v>
      </c>
      <c r="AA2438" s="2" t="str" cm="1">
        <f t="array" ref="AA24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8" s="2" t="str">
        <f>VLOOKUP(Auto_Sales_data___Copy[[#This Row],[Segment Name]],Table3[],2,FALSE)</f>
        <v>Brand Awareness &amp; Value Proposition</v>
      </c>
    </row>
    <row r="2439" spans="1:28" x14ac:dyDescent="0.25">
      <c r="A2439">
        <v>10281</v>
      </c>
      <c r="B2439">
        <v>27</v>
      </c>
      <c r="C2439">
        <v>85.98</v>
      </c>
      <c r="D2439">
        <v>11</v>
      </c>
      <c r="E2439">
        <v>2321.46</v>
      </c>
      <c r="F2439" s="1">
        <v>43696</v>
      </c>
      <c r="G2439" s="2" t="s">
        <v>19</v>
      </c>
      <c r="H2439" s="2" t="s">
        <v>183</v>
      </c>
      <c r="I2439">
        <v>101</v>
      </c>
      <c r="J2439" s="2" t="s">
        <v>712</v>
      </c>
      <c r="K2439" s="2" t="s">
        <v>137</v>
      </c>
      <c r="L2439" s="2" t="s">
        <v>138</v>
      </c>
      <c r="M2439" s="2" t="s">
        <v>139</v>
      </c>
      <c r="N2439" s="2" t="s">
        <v>140</v>
      </c>
      <c r="O2439" s="2" t="s">
        <v>141</v>
      </c>
      <c r="P2439" s="2" t="s">
        <v>27</v>
      </c>
      <c r="Q2439" s="2" t="s">
        <v>28</v>
      </c>
      <c r="R2439" s="2" t="s">
        <v>142</v>
      </c>
      <c r="S2439" s="2" t="s">
        <v>30</v>
      </c>
      <c r="T2439">
        <v>2841</v>
      </c>
      <c r="U2439">
        <f>VLOOKUP(Auto_Sales_data___Copy[[#This Row],[CUSTOMER_NAME]],$AF$2:$AH$90,2,FALSE)</f>
        <v>31</v>
      </c>
      <c r="V2439">
        <f>VLOOKUP(Auto_Sales_data___Copy[[#This Row],[CUSTOMER_NAME]],$AF$2:$AH$90,3,FALSE)</f>
        <v>122138.14</v>
      </c>
      <c r="W2439" s="2">
        <f>6-MATCH(Auto_Sales_data___Copy[[#This Row],[DAYS_SINCE_LAST_ORDER]],Table2[R-Cutoff],1)</f>
        <v>1</v>
      </c>
      <c r="X2439" s="2">
        <f>MATCH(Auto_Sales_data___Copy[[#This Row],[Total_Orders_Per_Customer]],Table2[F-Cutoff],1)</f>
        <v>4</v>
      </c>
      <c r="Y2439" s="2">
        <f>MATCH(Auto_Sales_data___Copy[[#This Row],[Total_Sales_Per_Customer]],Table2[M-Cutoff],1)</f>
        <v>4</v>
      </c>
      <c r="Z2439" s="2" t="str">
        <f>Auto_Sales_data___Copy[[#This Row],[R-Score(1-5)]]&amp;Auto_Sales_data___Copy[[#This Row],[F-Score(1-5)]]&amp;Auto_Sales_data___Copy[[#This Row],[M-Score(1-5)]]</f>
        <v>144</v>
      </c>
      <c r="AA2439" s="2" t="str" cm="1">
        <f t="array" ref="AA24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9" s="2" t="str">
        <f>VLOOKUP(Auto_Sales_data___Copy[[#This Row],[Segment Name]],Table3[],2,FALSE)</f>
        <v>Brand Awareness &amp; Value Proposition</v>
      </c>
    </row>
    <row r="2440" spans="1:28" x14ac:dyDescent="0.25">
      <c r="A2440">
        <v>10282</v>
      </c>
      <c r="B2440">
        <v>38</v>
      </c>
      <c r="C2440">
        <v>113.44</v>
      </c>
      <c r="D2440">
        <v>12</v>
      </c>
      <c r="E2440">
        <v>4310.72</v>
      </c>
      <c r="F2440" s="1">
        <v>43697</v>
      </c>
      <c r="G2440" s="2" t="s">
        <v>19</v>
      </c>
      <c r="H2440" s="2" t="s">
        <v>537</v>
      </c>
      <c r="I2440">
        <v>115</v>
      </c>
      <c r="J2440" s="2" t="s">
        <v>703</v>
      </c>
      <c r="K2440" s="2" t="s">
        <v>284</v>
      </c>
      <c r="L2440" s="2" t="s">
        <v>285</v>
      </c>
      <c r="M2440" s="2" t="s">
        <v>286</v>
      </c>
      <c r="N2440" s="2" t="s">
        <v>287</v>
      </c>
      <c r="O2440" s="2" t="s">
        <v>106</v>
      </c>
      <c r="P2440" s="2" t="s">
        <v>27</v>
      </c>
      <c r="Q2440" s="2" t="s">
        <v>288</v>
      </c>
      <c r="R2440" s="2" t="s">
        <v>289</v>
      </c>
      <c r="S2440" s="2" t="s">
        <v>46</v>
      </c>
      <c r="T2440">
        <v>2607</v>
      </c>
      <c r="U2440">
        <f>VLOOKUP(Auto_Sales_data___Copy[[#This Row],[CUSTOMER_NAME]],$AF$2:$AH$90,2,FALSE)</f>
        <v>180</v>
      </c>
      <c r="V2440">
        <f>VLOOKUP(Auto_Sales_data___Copy[[#This Row],[CUSTOMER_NAME]],$AF$2:$AH$90,3,FALSE)</f>
        <v>654858.06000000017</v>
      </c>
      <c r="W2440" s="2">
        <f>6-MATCH(Auto_Sales_data___Copy[[#This Row],[DAYS_SINCE_LAST_ORDER]],Table2[R-Cutoff],1)</f>
        <v>1</v>
      </c>
      <c r="X2440" s="2">
        <f>MATCH(Auto_Sales_data___Copy[[#This Row],[Total_Orders_Per_Customer]],Table2[F-Cutoff],1)</f>
        <v>4</v>
      </c>
      <c r="Y2440" s="2">
        <f>MATCH(Auto_Sales_data___Copy[[#This Row],[Total_Sales_Per_Customer]],Table2[M-Cutoff],1)</f>
        <v>4</v>
      </c>
      <c r="Z2440" s="2" t="str">
        <f>Auto_Sales_data___Copy[[#This Row],[R-Score(1-5)]]&amp;Auto_Sales_data___Copy[[#This Row],[F-Score(1-5)]]&amp;Auto_Sales_data___Copy[[#This Row],[M-Score(1-5)]]</f>
        <v>144</v>
      </c>
      <c r="AA2440" s="2" t="str" cm="1">
        <f t="array" ref="AA24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0" s="2" t="str">
        <f>VLOOKUP(Auto_Sales_data___Copy[[#This Row],[Segment Name]],Table3[],2,FALSE)</f>
        <v>Brand Awareness &amp; Value Proposition</v>
      </c>
    </row>
    <row r="2441" spans="1:28" x14ac:dyDescent="0.25">
      <c r="A2441">
        <v>10282</v>
      </c>
      <c r="B2441">
        <v>37</v>
      </c>
      <c r="C2441">
        <v>66.78</v>
      </c>
      <c r="D2441">
        <v>7</v>
      </c>
      <c r="E2441">
        <v>2470.86</v>
      </c>
      <c r="F2441" s="1">
        <v>43697</v>
      </c>
      <c r="G2441" s="2" t="s">
        <v>19</v>
      </c>
      <c r="H2441" s="2" t="s">
        <v>650</v>
      </c>
      <c r="I2441">
        <v>58</v>
      </c>
      <c r="J2441" s="2" t="s">
        <v>704</v>
      </c>
      <c r="K2441" s="2" t="s">
        <v>284</v>
      </c>
      <c r="L2441" s="2" t="s">
        <v>285</v>
      </c>
      <c r="M2441" s="2" t="s">
        <v>286</v>
      </c>
      <c r="N2441" s="2" t="s">
        <v>287</v>
      </c>
      <c r="O2441" s="2" t="s">
        <v>106</v>
      </c>
      <c r="P2441" s="2" t="s">
        <v>27</v>
      </c>
      <c r="Q2441" s="2" t="s">
        <v>288</v>
      </c>
      <c r="R2441" s="2" t="s">
        <v>289</v>
      </c>
      <c r="S2441" s="2" t="s">
        <v>30</v>
      </c>
      <c r="T2441">
        <v>2634</v>
      </c>
      <c r="U2441">
        <f>VLOOKUP(Auto_Sales_data___Copy[[#This Row],[CUSTOMER_NAME]],$AF$2:$AH$90,2,FALSE)</f>
        <v>180</v>
      </c>
      <c r="V2441">
        <f>VLOOKUP(Auto_Sales_data___Copy[[#This Row],[CUSTOMER_NAME]],$AF$2:$AH$90,3,FALSE)</f>
        <v>654858.06000000017</v>
      </c>
      <c r="W2441" s="2">
        <f>6-MATCH(Auto_Sales_data___Copy[[#This Row],[DAYS_SINCE_LAST_ORDER]],Table2[R-Cutoff],1)</f>
        <v>1</v>
      </c>
      <c r="X2441" s="2">
        <f>MATCH(Auto_Sales_data___Copy[[#This Row],[Total_Orders_Per_Customer]],Table2[F-Cutoff],1)</f>
        <v>4</v>
      </c>
      <c r="Y2441" s="2">
        <f>MATCH(Auto_Sales_data___Copy[[#This Row],[Total_Sales_Per_Customer]],Table2[M-Cutoff],1)</f>
        <v>4</v>
      </c>
      <c r="Z2441" s="2" t="str">
        <f>Auto_Sales_data___Copy[[#This Row],[R-Score(1-5)]]&amp;Auto_Sales_data___Copy[[#This Row],[F-Score(1-5)]]&amp;Auto_Sales_data___Copy[[#This Row],[M-Score(1-5)]]</f>
        <v>144</v>
      </c>
      <c r="AA2441" s="2" t="str" cm="1">
        <f t="array" ref="AA24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1" s="2" t="str">
        <f>VLOOKUP(Auto_Sales_data___Copy[[#This Row],[Segment Name]],Table3[],2,FALSE)</f>
        <v>Brand Awareness &amp; Value Proposition</v>
      </c>
    </row>
    <row r="2442" spans="1:28" x14ac:dyDescent="0.25">
      <c r="A2442">
        <v>10282</v>
      </c>
      <c r="B2442">
        <v>43</v>
      </c>
      <c r="C2442">
        <v>86.61</v>
      </c>
      <c r="D2442">
        <v>2</v>
      </c>
      <c r="E2442">
        <v>3724.23</v>
      </c>
      <c r="F2442" s="1">
        <v>43697</v>
      </c>
      <c r="G2442" s="2" t="s">
        <v>19</v>
      </c>
      <c r="H2442" s="2" t="s">
        <v>642</v>
      </c>
      <c r="I2442">
        <v>86</v>
      </c>
      <c r="J2442" s="2" t="s">
        <v>708</v>
      </c>
      <c r="K2442" s="2" t="s">
        <v>284</v>
      </c>
      <c r="L2442" s="2" t="s">
        <v>285</v>
      </c>
      <c r="M2442" s="2" t="s">
        <v>286</v>
      </c>
      <c r="N2442" s="2" t="s">
        <v>287</v>
      </c>
      <c r="O2442" s="2" t="s">
        <v>106</v>
      </c>
      <c r="P2442" s="2" t="s">
        <v>27</v>
      </c>
      <c r="Q2442" s="2" t="s">
        <v>288</v>
      </c>
      <c r="R2442" s="2" t="s">
        <v>289</v>
      </c>
      <c r="S2442" s="2" t="s">
        <v>46</v>
      </c>
      <c r="T2442">
        <v>2736</v>
      </c>
      <c r="U2442">
        <f>VLOOKUP(Auto_Sales_data___Copy[[#This Row],[CUSTOMER_NAME]],$AF$2:$AH$90,2,FALSE)</f>
        <v>180</v>
      </c>
      <c r="V2442">
        <f>VLOOKUP(Auto_Sales_data___Copy[[#This Row],[CUSTOMER_NAME]],$AF$2:$AH$90,3,FALSE)</f>
        <v>654858.06000000017</v>
      </c>
      <c r="W2442" s="2">
        <f>6-MATCH(Auto_Sales_data___Copy[[#This Row],[DAYS_SINCE_LAST_ORDER]],Table2[R-Cutoff],1)</f>
        <v>1</v>
      </c>
      <c r="X2442" s="2">
        <f>MATCH(Auto_Sales_data___Copy[[#This Row],[Total_Orders_Per_Customer]],Table2[F-Cutoff],1)</f>
        <v>4</v>
      </c>
      <c r="Y2442" s="2">
        <f>MATCH(Auto_Sales_data___Copy[[#This Row],[Total_Sales_Per_Customer]],Table2[M-Cutoff],1)</f>
        <v>4</v>
      </c>
      <c r="Z2442" s="2" t="str">
        <f>Auto_Sales_data___Copy[[#This Row],[R-Score(1-5)]]&amp;Auto_Sales_data___Copy[[#This Row],[F-Score(1-5)]]&amp;Auto_Sales_data___Copy[[#This Row],[M-Score(1-5)]]</f>
        <v>144</v>
      </c>
      <c r="AA2442" s="2" t="str" cm="1">
        <f t="array" ref="AA24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2" s="2" t="str">
        <f>VLOOKUP(Auto_Sales_data___Copy[[#This Row],[Segment Name]],Table3[],2,FALSE)</f>
        <v>Brand Awareness &amp; Value Proposition</v>
      </c>
    </row>
    <row r="2443" spans="1:28" x14ac:dyDescent="0.25">
      <c r="A2443">
        <v>10285</v>
      </c>
      <c r="B2443">
        <v>39</v>
      </c>
      <c r="C2443">
        <v>78.92</v>
      </c>
      <c r="D2443">
        <v>2</v>
      </c>
      <c r="E2443">
        <v>3077.88</v>
      </c>
      <c r="F2443" s="1">
        <v>43704</v>
      </c>
      <c r="G2443" s="2" t="s">
        <v>19</v>
      </c>
      <c r="H2443" s="2" t="s">
        <v>20</v>
      </c>
      <c r="I2443">
        <v>81</v>
      </c>
      <c r="J2443" s="2" t="s">
        <v>705</v>
      </c>
      <c r="K2443" s="2" t="s">
        <v>115</v>
      </c>
      <c r="L2443" s="2" t="s">
        <v>116</v>
      </c>
      <c r="M2443" s="2" t="s">
        <v>117</v>
      </c>
      <c r="N2443" s="2" t="s">
        <v>118</v>
      </c>
      <c r="O2443" s="2" t="s">
        <v>119</v>
      </c>
      <c r="P2443" s="2" t="s">
        <v>27</v>
      </c>
      <c r="Q2443" s="2" t="s">
        <v>120</v>
      </c>
      <c r="R2443" s="2" t="s">
        <v>121</v>
      </c>
      <c r="S2443" s="2" t="s">
        <v>46</v>
      </c>
      <c r="T2443">
        <v>2652</v>
      </c>
      <c r="U2443">
        <f>VLOOKUP(Auto_Sales_data___Copy[[#This Row],[CUSTOMER_NAME]],$AF$2:$AH$90,2,FALSE)</f>
        <v>27</v>
      </c>
      <c r="V2443">
        <f>VLOOKUP(Auto_Sales_data___Copy[[#This Row],[CUSTOMER_NAME]],$AF$2:$AH$90,3,FALSE)</f>
        <v>103080.37999999998</v>
      </c>
      <c r="W2443" s="2">
        <f>6-MATCH(Auto_Sales_data___Copy[[#This Row],[DAYS_SINCE_LAST_ORDER]],Table2[R-Cutoff],1)</f>
        <v>1</v>
      </c>
      <c r="X2443" s="2">
        <f>MATCH(Auto_Sales_data___Copy[[#This Row],[Total_Orders_Per_Customer]],Table2[F-Cutoff],1)</f>
        <v>4</v>
      </c>
      <c r="Y2443" s="2">
        <f>MATCH(Auto_Sales_data___Copy[[#This Row],[Total_Sales_Per_Customer]],Table2[M-Cutoff],1)</f>
        <v>4</v>
      </c>
      <c r="Z2443" s="2" t="str">
        <f>Auto_Sales_data___Copy[[#This Row],[R-Score(1-5)]]&amp;Auto_Sales_data___Copy[[#This Row],[F-Score(1-5)]]&amp;Auto_Sales_data___Copy[[#This Row],[M-Score(1-5)]]</f>
        <v>144</v>
      </c>
      <c r="AA2443" s="2" t="str" cm="1">
        <f t="array" ref="AA24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3" s="2" t="str">
        <f>VLOOKUP(Auto_Sales_data___Copy[[#This Row],[Segment Name]],Table3[],2,FALSE)</f>
        <v>Brand Awareness &amp; Value Proposition</v>
      </c>
    </row>
    <row r="2444" spans="1:28" x14ac:dyDescent="0.25">
      <c r="A2444">
        <v>10285</v>
      </c>
      <c r="B2444">
        <v>45</v>
      </c>
      <c r="C2444">
        <v>119.84</v>
      </c>
      <c r="D2444">
        <v>13</v>
      </c>
      <c r="E2444">
        <v>5392.8</v>
      </c>
      <c r="F2444" s="1">
        <v>43704</v>
      </c>
      <c r="G2444" s="2" t="s">
        <v>19</v>
      </c>
      <c r="H2444" s="2" t="s">
        <v>607</v>
      </c>
      <c r="I2444">
        <v>118</v>
      </c>
      <c r="J2444" s="2" t="s">
        <v>713</v>
      </c>
      <c r="K2444" s="2" t="s">
        <v>115</v>
      </c>
      <c r="L2444" s="2" t="s">
        <v>116</v>
      </c>
      <c r="M2444" s="2" t="s">
        <v>117</v>
      </c>
      <c r="N2444" s="2" t="s">
        <v>118</v>
      </c>
      <c r="O2444" s="2" t="s">
        <v>119</v>
      </c>
      <c r="P2444" s="2" t="s">
        <v>27</v>
      </c>
      <c r="Q2444" s="2" t="s">
        <v>120</v>
      </c>
      <c r="R2444" s="2" t="s">
        <v>121</v>
      </c>
      <c r="S2444" s="2" t="s">
        <v>46</v>
      </c>
      <c r="T2444">
        <v>2857</v>
      </c>
      <c r="U2444">
        <f>VLOOKUP(Auto_Sales_data___Copy[[#This Row],[CUSTOMER_NAME]],$AF$2:$AH$90,2,FALSE)</f>
        <v>27</v>
      </c>
      <c r="V2444">
        <f>VLOOKUP(Auto_Sales_data___Copy[[#This Row],[CUSTOMER_NAME]],$AF$2:$AH$90,3,FALSE)</f>
        <v>103080.37999999998</v>
      </c>
      <c r="W2444" s="2">
        <f>6-MATCH(Auto_Sales_data___Copy[[#This Row],[DAYS_SINCE_LAST_ORDER]],Table2[R-Cutoff],1)</f>
        <v>1</v>
      </c>
      <c r="X2444" s="2">
        <f>MATCH(Auto_Sales_data___Copy[[#This Row],[Total_Orders_Per_Customer]],Table2[F-Cutoff],1)</f>
        <v>4</v>
      </c>
      <c r="Y2444" s="2">
        <f>MATCH(Auto_Sales_data___Copy[[#This Row],[Total_Sales_Per_Customer]],Table2[M-Cutoff],1)</f>
        <v>4</v>
      </c>
      <c r="Z2444" s="2" t="str">
        <f>Auto_Sales_data___Copy[[#This Row],[R-Score(1-5)]]&amp;Auto_Sales_data___Copy[[#This Row],[F-Score(1-5)]]&amp;Auto_Sales_data___Copy[[#This Row],[M-Score(1-5)]]</f>
        <v>144</v>
      </c>
      <c r="AA2444" s="2" t="str" cm="1">
        <f t="array" ref="AA24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4" s="2" t="str">
        <f>VLOOKUP(Auto_Sales_data___Copy[[#This Row],[Segment Name]],Table3[],2,FALSE)</f>
        <v>Brand Awareness &amp; Value Proposition</v>
      </c>
    </row>
    <row r="2445" spans="1:28" x14ac:dyDescent="0.25">
      <c r="A2445">
        <v>10292</v>
      </c>
      <c r="B2445">
        <v>41</v>
      </c>
      <c r="C2445">
        <v>121.54</v>
      </c>
      <c r="D2445">
        <v>6</v>
      </c>
      <c r="E2445">
        <v>4983.1400000000003</v>
      </c>
      <c r="F2445" s="1">
        <v>43716</v>
      </c>
      <c r="G2445" s="2" t="s">
        <v>19</v>
      </c>
      <c r="H2445" s="2" t="s">
        <v>537</v>
      </c>
      <c r="I2445">
        <v>115</v>
      </c>
      <c r="J2445" s="2" t="s">
        <v>703</v>
      </c>
      <c r="K2445" s="2" t="s">
        <v>22</v>
      </c>
      <c r="L2445" s="2" t="s">
        <v>23</v>
      </c>
      <c r="M2445" s="2" t="s">
        <v>24</v>
      </c>
      <c r="N2445" s="2" t="s">
        <v>25</v>
      </c>
      <c r="O2445" s="2" t="s">
        <v>26</v>
      </c>
      <c r="P2445" s="2" t="s">
        <v>27</v>
      </c>
      <c r="Q2445" s="2" t="s">
        <v>28</v>
      </c>
      <c r="R2445" s="2" t="s">
        <v>29</v>
      </c>
      <c r="S2445" s="2" t="s">
        <v>46</v>
      </c>
      <c r="T2445">
        <v>2589</v>
      </c>
      <c r="U2445">
        <f>VLOOKUP(Auto_Sales_data___Copy[[#This Row],[CUSTOMER_NAME]],$AF$2:$AH$90,2,FALSE)</f>
        <v>49</v>
      </c>
      <c r="V2445">
        <f>VLOOKUP(Auto_Sales_data___Copy[[#This Row],[CUSTOMER_NAME]],$AF$2:$AH$90,3,FALSE)</f>
        <v>164069.43999999997</v>
      </c>
      <c r="W2445" s="2">
        <f>6-MATCH(Auto_Sales_data___Copy[[#This Row],[DAYS_SINCE_LAST_ORDER]],Table2[R-Cutoff],1)</f>
        <v>1</v>
      </c>
      <c r="X2445" s="2">
        <f>MATCH(Auto_Sales_data___Copy[[#This Row],[Total_Orders_Per_Customer]],Table2[F-Cutoff],1)</f>
        <v>4</v>
      </c>
      <c r="Y2445" s="2">
        <f>MATCH(Auto_Sales_data___Copy[[#This Row],[Total_Sales_Per_Customer]],Table2[M-Cutoff],1)</f>
        <v>4</v>
      </c>
      <c r="Z2445" s="2" t="str">
        <f>Auto_Sales_data___Copy[[#This Row],[R-Score(1-5)]]&amp;Auto_Sales_data___Copy[[#This Row],[F-Score(1-5)]]&amp;Auto_Sales_data___Copy[[#This Row],[M-Score(1-5)]]</f>
        <v>144</v>
      </c>
      <c r="AA2445" s="2" t="str" cm="1">
        <f t="array" ref="AA24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5" s="2" t="str">
        <f>VLOOKUP(Auto_Sales_data___Copy[[#This Row],[Segment Name]],Table3[],2,FALSE)</f>
        <v>Brand Awareness &amp; Value Proposition</v>
      </c>
    </row>
    <row r="2446" spans="1:28" x14ac:dyDescent="0.25">
      <c r="A2446">
        <v>10292</v>
      </c>
      <c r="B2446">
        <v>35</v>
      </c>
      <c r="C2446">
        <v>55.07</v>
      </c>
      <c r="D2446">
        <v>1</v>
      </c>
      <c r="E2446">
        <v>1927.45</v>
      </c>
      <c r="F2446" s="1">
        <v>43716</v>
      </c>
      <c r="G2446" s="2" t="s">
        <v>19</v>
      </c>
      <c r="H2446" s="2" t="s">
        <v>650</v>
      </c>
      <c r="I2446">
        <v>58</v>
      </c>
      <c r="J2446" s="2" t="s">
        <v>704</v>
      </c>
      <c r="K2446" s="2" t="s">
        <v>22</v>
      </c>
      <c r="L2446" s="2" t="s">
        <v>23</v>
      </c>
      <c r="M2446" s="2" t="s">
        <v>24</v>
      </c>
      <c r="N2446" s="2" t="s">
        <v>25</v>
      </c>
      <c r="O2446" s="2" t="s">
        <v>26</v>
      </c>
      <c r="P2446" s="2" t="s">
        <v>27</v>
      </c>
      <c r="Q2446" s="2" t="s">
        <v>28</v>
      </c>
      <c r="R2446" s="2" t="s">
        <v>29</v>
      </c>
      <c r="S2446" s="2" t="s">
        <v>30</v>
      </c>
      <c r="T2446">
        <v>2616</v>
      </c>
      <c r="U2446">
        <f>VLOOKUP(Auto_Sales_data___Copy[[#This Row],[CUSTOMER_NAME]],$AF$2:$AH$90,2,FALSE)</f>
        <v>49</v>
      </c>
      <c r="V2446">
        <f>VLOOKUP(Auto_Sales_data___Copy[[#This Row],[CUSTOMER_NAME]],$AF$2:$AH$90,3,FALSE)</f>
        <v>164069.43999999997</v>
      </c>
      <c r="W2446" s="2">
        <f>6-MATCH(Auto_Sales_data___Copy[[#This Row],[DAYS_SINCE_LAST_ORDER]],Table2[R-Cutoff],1)</f>
        <v>1</v>
      </c>
      <c r="X2446" s="2">
        <f>MATCH(Auto_Sales_data___Copy[[#This Row],[Total_Orders_Per_Customer]],Table2[F-Cutoff],1)</f>
        <v>4</v>
      </c>
      <c r="Y2446" s="2">
        <f>MATCH(Auto_Sales_data___Copy[[#This Row],[Total_Sales_Per_Customer]],Table2[M-Cutoff],1)</f>
        <v>4</v>
      </c>
      <c r="Z2446" s="2" t="str">
        <f>Auto_Sales_data___Copy[[#This Row],[R-Score(1-5)]]&amp;Auto_Sales_data___Copy[[#This Row],[F-Score(1-5)]]&amp;Auto_Sales_data___Copy[[#This Row],[M-Score(1-5)]]</f>
        <v>144</v>
      </c>
      <c r="AA2446" s="2" t="str" cm="1">
        <f t="array" ref="AA24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6" s="2" t="str">
        <f>VLOOKUP(Auto_Sales_data___Copy[[#This Row],[Segment Name]],Table3[],2,FALSE)</f>
        <v>Brand Awareness &amp; Value Proposition</v>
      </c>
    </row>
    <row r="2447" spans="1:28" x14ac:dyDescent="0.25">
      <c r="A2447">
        <v>10291</v>
      </c>
      <c r="B2447">
        <v>28</v>
      </c>
      <c r="C2447">
        <v>116.32</v>
      </c>
      <c r="D2447">
        <v>6</v>
      </c>
      <c r="E2447">
        <v>3256.96</v>
      </c>
      <c r="F2447" s="1">
        <v>43716</v>
      </c>
      <c r="G2447" s="2" t="s">
        <v>19</v>
      </c>
      <c r="H2447" s="2" t="s">
        <v>183</v>
      </c>
      <c r="I2447">
        <v>101</v>
      </c>
      <c r="J2447" s="2" t="s">
        <v>712</v>
      </c>
      <c r="K2447" s="2" t="s">
        <v>272</v>
      </c>
      <c r="L2447" s="2" t="s">
        <v>273</v>
      </c>
      <c r="M2447" s="2" t="s">
        <v>274</v>
      </c>
      <c r="N2447" s="2" t="s">
        <v>275</v>
      </c>
      <c r="O2447" s="2" t="s">
        <v>276</v>
      </c>
      <c r="P2447" s="2" t="s">
        <v>190</v>
      </c>
      <c r="Q2447" s="2" t="s">
        <v>277</v>
      </c>
      <c r="R2447" s="2" t="s">
        <v>209</v>
      </c>
      <c r="S2447" s="2" t="s">
        <v>46</v>
      </c>
      <c r="T2447">
        <v>2822</v>
      </c>
      <c r="U2447">
        <f>VLOOKUP(Auto_Sales_data___Copy[[#This Row],[CUSTOMER_NAME]],$AF$2:$AH$90,2,FALSE)</f>
        <v>38</v>
      </c>
      <c r="V2447">
        <f>VLOOKUP(Auto_Sales_data___Copy[[#This Row],[CUSTOMER_NAME]],$AF$2:$AH$90,3,FALSE)</f>
        <v>134259.32999999996</v>
      </c>
      <c r="W2447" s="2">
        <f>6-MATCH(Auto_Sales_data___Copy[[#This Row],[DAYS_SINCE_LAST_ORDER]],Table2[R-Cutoff],1)</f>
        <v>1</v>
      </c>
      <c r="X2447" s="2">
        <f>MATCH(Auto_Sales_data___Copy[[#This Row],[Total_Orders_Per_Customer]],Table2[F-Cutoff],1)</f>
        <v>4</v>
      </c>
      <c r="Y2447" s="2">
        <f>MATCH(Auto_Sales_data___Copy[[#This Row],[Total_Sales_Per_Customer]],Table2[M-Cutoff],1)</f>
        <v>4</v>
      </c>
      <c r="Z2447" s="2" t="str">
        <f>Auto_Sales_data___Copy[[#This Row],[R-Score(1-5)]]&amp;Auto_Sales_data___Copy[[#This Row],[F-Score(1-5)]]&amp;Auto_Sales_data___Copy[[#This Row],[M-Score(1-5)]]</f>
        <v>144</v>
      </c>
      <c r="AA2447" s="2" t="str" cm="1">
        <f t="array" ref="AA24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7" s="2" t="str">
        <f>VLOOKUP(Auto_Sales_data___Copy[[#This Row],[Segment Name]],Table3[],2,FALSE)</f>
        <v>Brand Awareness &amp; Value Proposition</v>
      </c>
    </row>
    <row r="2448" spans="1:28" x14ac:dyDescent="0.25">
      <c r="A2448">
        <v>10299</v>
      </c>
      <c r="B2448">
        <v>44</v>
      </c>
      <c r="C2448">
        <v>80.55</v>
      </c>
      <c r="D2448">
        <v>5</v>
      </c>
      <c r="E2448">
        <v>3544.2</v>
      </c>
      <c r="F2448" s="1">
        <v>43738</v>
      </c>
      <c r="G2448" s="2" t="s">
        <v>19</v>
      </c>
      <c r="H2448" s="2" t="s">
        <v>20</v>
      </c>
      <c r="I2448">
        <v>81</v>
      </c>
      <c r="J2448" s="2" t="s">
        <v>705</v>
      </c>
      <c r="K2448" s="2" t="s">
        <v>122</v>
      </c>
      <c r="L2448" s="2" t="s">
        <v>123</v>
      </c>
      <c r="M2448" s="2" t="s">
        <v>124</v>
      </c>
      <c r="N2448" s="2" t="s">
        <v>125</v>
      </c>
      <c r="O2448" s="2" t="s">
        <v>126</v>
      </c>
      <c r="P2448" s="2" t="s">
        <v>127</v>
      </c>
      <c r="Q2448" s="2" t="s">
        <v>128</v>
      </c>
      <c r="R2448" s="2" t="s">
        <v>129</v>
      </c>
      <c r="S2448" s="2" t="s">
        <v>46</v>
      </c>
      <c r="T2448">
        <v>2619</v>
      </c>
      <c r="U2448">
        <f>VLOOKUP(Auto_Sales_data___Copy[[#This Row],[CUSTOMER_NAME]],$AF$2:$AH$90,2,FALSE)</f>
        <v>30</v>
      </c>
      <c r="V2448">
        <f>VLOOKUP(Auto_Sales_data___Copy[[#This Row],[CUSTOMER_NAME]],$AF$2:$AH$90,3,FALSE)</f>
        <v>111250.37999999999</v>
      </c>
      <c r="W2448" s="2">
        <f>6-MATCH(Auto_Sales_data___Copy[[#This Row],[DAYS_SINCE_LAST_ORDER]],Table2[R-Cutoff],1)</f>
        <v>1</v>
      </c>
      <c r="X2448" s="2">
        <f>MATCH(Auto_Sales_data___Copy[[#This Row],[Total_Orders_Per_Customer]],Table2[F-Cutoff],1)</f>
        <v>4</v>
      </c>
      <c r="Y2448" s="2">
        <f>MATCH(Auto_Sales_data___Copy[[#This Row],[Total_Sales_Per_Customer]],Table2[M-Cutoff],1)</f>
        <v>4</v>
      </c>
      <c r="Z2448" s="2" t="str">
        <f>Auto_Sales_data___Copy[[#This Row],[R-Score(1-5)]]&amp;Auto_Sales_data___Copy[[#This Row],[F-Score(1-5)]]&amp;Auto_Sales_data___Copy[[#This Row],[M-Score(1-5)]]</f>
        <v>144</v>
      </c>
      <c r="AA2448" s="2" t="str" cm="1">
        <f t="array" ref="AA24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8" s="2" t="str">
        <f>VLOOKUP(Auto_Sales_data___Copy[[#This Row],[Segment Name]],Table3[],2,FALSE)</f>
        <v>Brand Awareness &amp; Value Proposition</v>
      </c>
    </row>
    <row r="2449" spans="1:28" x14ac:dyDescent="0.25">
      <c r="A2449">
        <v>10306</v>
      </c>
      <c r="B2449">
        <v>34</v>
      </c>
      <c r="C2449">
        <v>60.34</v>
      </c>
      <c r="D2449">
        <v>15</v>
      </c>
      <c r="E2449">
        <v>2051.56</v>
      </c>
      <c r="F2449" s="1">
        <v>43752</v>
      </c>
      <c r="G2449" s="2" t="s">
        <v>19</v>
      </c>
      <c r="H2449" s="2" t="s">
        <v>650</v>
      </c>
      <c r="I2449">
        <v>58</v>
      </c>
      <c r="J2449" s="2" t="s">
        <v>704</v>
      </c>
      <c r="K2449" s="2" t="s">
        <v>523</v>
      </c>
      <c r="L2449" s="2" t="s">
        <v>524</v>
      </c>
      <c r="M2449" s="2" t="s">
        <v>525</v>
      </c>
      <c r="N2449" s="2" t="s">
        <v>526</v>
      </c>
      <c r="O2449" s="2" t="s">
        <v>527</v>
      </c>
      <c r="P2449" s="2" t="s">
        <v>171</v>
      </c>
      <c r="Q2449" s="2" t="s">
        <v>528</v>
      </c>
      <c r="R2449" s="2" t="s">
        <v>529</v>
      </c>
      <c r="S2449" s="2" t="s">
        <v>30</v>
      </c>
      <c r="T2449">
        <v>2581</v>
      </c>
      <c r="U2449">
        <f>VLOOKUP(Auto_Sales_data___Copy[[#This Row],[CUSTOMER_NAME]],$AF$2:$AH$90,2,FALSE)</f>
        <v>51</v>
      </c>
      <c r="V2449">
        <f>VLOOKUP(Auto_Sales_data___Copy[[#This Row],[CUSTOMER_NAME]],$AF$2:$AH$90,3,FALSE)</f>
        <v>157807.80999999994</v>
      </c>
      <c r="W2449" s="2">
        <f>6-MATCH(Auto_Sales_data___Copy[[#This Row],[DAYS_SINCE_LAST_ORDER]],Table2[R-Cutoff],1)</f>
        <v>1</v>
      </c>
      <c r="X2449" s="2">
        <f>MATCH(Auto_Sales_data___Copy[[#This Row],[Total_Orders_Per_Customer]],Table2[F-Cutoff],1)</f>
        <v>4</v>
      </c>
      <c r="Y2449" s="2">
        <f>MATCH(Auto_Sales_data___Copy[[#This Row],[Total_Sales_Per_Customer]],Table2[M-Cutoff],1)</f>
        <v>4</v>
      </c>
      <c r="Z2449" s="2" t="str">
        <f>Auto_Sales_data___Copy[[#This Row],[R-Score(1-5)]]&amp;Auto_Sales_data___Copy[[#This Row],[F-Score(1-5)]]&amp;Auto_Sales_data___Copy[[#This Row],[M-Score(1-5)]]</f>
        <v>144</v>
      </c>
      <c r="AA2449" s="2" t="str" cm="1">
        <f t="array" ref="AA24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9" s="2" t="str">
        <f>VLOOKUP(Auto_Sales_data___Copy[[#This Row],[Segment Name]],Table3[],2,FALSE)</f>
        <v>Brand Awareness &amp; Value Proposition</v>
      </c>
    </row>
    <row r="2450" spans="1:28" x14ac:dyDescent="0.25">
      <c r="A2450">
        <v>10306</v>
      </c>
      <c r="B2450">
        <v>50</v>
      </c>
      <c r="C2450">
        <v>54</v>
      </c>
      <c r="D2450">
        <v>3</v>
      </c>
      <c r="E2450">
        <v>2700</v>
      </c>
      <c r="F2450" s="1">
        <v>43752</v>
      </c>
      <c r="G2450" s="2" t="s">
        <v>19</v>
      </c>
      <c r="H2450" s="2" t="s">
        <v>642</v>
      </c>
      <c r="I2450">
        <v>66</v>
      </c>
      <c r="J2450" s="2" t="s">
        <v>706</v>
      </c>
      <c r="K2450" s="2" t="s">
        <v>523</v>
      </c>
      <c r="L2450" s="2" t="s">
        <v>524</v>
      </c>
      <c r="M2450" s="2" t="s">
        <v>525</v>
      </c>
      <c r="N2450" s="2" t="s">
        <v>526</v>
      </c>
      <c r="O2450" s="2" t="s">
        <v>527</v>
      </c>
      <c r="P2450" s="2" t="s">
        <v>171</v>
      </c>
      <c r="Q2450" s="2" t="s">
        <v>528</v>
      </c>
      <c r="R2450" s="2" t="s">
        <v>529</v>
      </c>
      <c r="S2450" s="2" t="s">
        <v>30</v>
      </c>
      <c r="T2450">
        <v>2632</v>
      </c>
      <c r="U2450">
        <f>VLOOKUP(Auto_Sales_data___Copy[[#This Row],[CUSTOMER_NAME]],$AF$2:$AH$90,2,FALSE)</f>
        <v>51</v>
      </c>
      <c r="V2450">
        <f>VLOOKUP(Auto_Sales_data___Copy[[#This Row],[CUSTOMER_NAME]],$AF$2:$AH$90,3,FALSE)</f>
        <v>157807.80999999994</v>
      </c>
      <c r="W2450" s="2">
        <f>6-MATCH(Auto_Sales_data___Copy[[#This Row],[DAYS_SINCE_LAST_ORDER]],Table2[R-Cutoff],1)</f>
        <v>1</v>
      </c>
      <c r="X2450" s="2">
        <f>MATCH(Auto_Sales_data___Copy[[#This Row],[Total_Orders_Per_Customer]],Table2[F-Cutoff],1)</f>
        <v>4</v>
      </c>
      <c r="Y2450" s="2">
        <f>MATCH(Auto_Sales_data___Copy[[#This Row],[Total_Sales_Per_Customer]],Table2[M-Cutoff],1)</f>
        <v>4</v>
      </c>
      <c r="Z2450" s="2" t="str">
        <f>Auto_Sales_data___Copy[[#This Row],[R-Score(1-5)]]&amp;Auto_Sales_data___Copy[[#This Row],[F-Score(1-5)]]&amp;Auto_Sales_data___Copy[[#This Row],[M-Score(1-5)]]</f>
        <v>144</v>
      </c>
      <c r="AA2450" s="2" t="str" cm="1">
        <f t="array" ref="AA24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0" s="2" t="str">
        <f>VLOOKUP(Auto_Sales_data___Copy[[#This Row],[Segment Name]],Table3[],2,FALSE)</f>
        <v>Brand Awareness &amp; Value Proposition</v>
      </c>
    </row>
    <row r="2451" spans="1:28" x14ac:dyDescent="0.25">
      <c r="A2451">
        <v>10306</v>
      </c>
      <c r="B2451">
        <v>38</v>
      </c>
      <c r="C2451">
        <v>91.81</v>
      </c>
      <c r="D2451">
        <v>10</v>
      </c>
      <c r="E2451">
        <v>3488.78</v>
      </c>
      <c r="F2451" s="1">
        <v>43752</v>
      </c>
      <c r="G2451" s="2" t="s">
        <v>19</v>
      </c>
      <c r="H2451" s="2" t="s">
        <v>642</v>
      </c>
      <c r="I2451">
        <v>86</v>
      </c>
      <c r="J2451" s="2" t="s">
        <v>708</v>
      </c>
      <c r="K2451" s="2" t="s">
        <v>523</v>
      </c>
      <c r="L2451" s="2" t="s">
        <v>524</v>
      </c>
      <c r="M2451" s="2" t="s">
        <v>525</v>
      </c>
      <c r="N2451" s="2" t="s">
        <v>526</v>
      </c>
      <c r="O2451" s="2" t="s">
        <v>527</v>
      </c>
      <c r="P2451" s="2" t="s">
        <v>171</v>
      </c>
      <c r="Q2451" s="2" t="s">
        <v>528</v>
      </c>
      <c r="R2451" s="2" t="s">
        <v>529</v>
      </c>
      <c r="S2451" s="2" t="s">
        <v>46</v>
      </c>
      <c r="T2451">
        <v>2683</v>
      </c>
      <c r="U2451">
        <f>VLOOKUP(Auto_Sales_data___Copy[[#This Row],[CUSTOMER_NAME]],$AF$2:$AH$90,2,FALSE)</f>
        <v>51</v>
      </c>
      <c r="V2451">
        <f>VLOOKUP(Auto_Sales_data___Copy[[#This Row],[CUSTOMER_NAME]],$AF$2:$AH$90,3,FALSE)</f>
        <v>157807.80999999994</v>
      </c>
      <c r="W2451" s="2">
        <f>6-MATCH(Auto_Sales_data___Copy[[#This Row],[DAYS_SINCE_LAST_ORDER]],Table2[R-Cutoff],1)</f>
        <v>1</v>
      </c>
      <c r="X2451" s="2">
        <f>MATCH(Auto_Sales_data___Copy[[#This Row],[Total_Orders_Per_Customer]],Table2[F-Cutoff],1)</f>
        <v>4</v>
      </c>
      <c r="Y2451" s="2">
        <f>MATCH(Auto_Sales_data___Copy[[#This Row],[Total_Sales_Per_Customer]],Table2[M-Cutoff],1)</f>
        <v>4</v>
      </c>
      <c r="Z2451" s="2" t="str">
        <f>Auto_Sales_data___Copy[[#This Row],[R-Score(1-5)]]&amp;Auto_Sales_data___Copy[[#This Row],[F-Score(1-5)]]&amp;Auto_Sales_data___Copy[[#This Row],[M-Score(1-5)]]</f>
        <v>144</v>
      </c>
      <c r="AA2451" s="2" t="str" cm="1">
        <f t="array" ref="AA24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1" s="2" t="str">
        <f>VLOOKUP(Auto_Sales_data___Copy[[#This Row],[Segment Name]],Table3[],2,FALSE)</f>
        <v>Brand Awareness &amp; Value Proposition</v>
      </c>
    </row>
    <row r="2452" spans="1:28" x14ac:dyDescent="0.25">
      <c r="A2452">
        <v>10306</v>
      </c>
      <c r="B2452">
        <v>43</v>
      </c>
      <c r="C2452">
        <v>75.17</v>
      </c>
      <c r="D2452">
        <v>1</v>
      </c>
      <c r="E2452">
        <v>3232.31</v>
      </c>
      <c r="F2452" s="1">
        <v>43752</v>
      </c>
      <c r="G2452" s="2" t="s">
        <v>19</v>
      </c>
      <c r="H2452" s="2" t="s">
        <v>642</v>
      </c>
      <c r="I2452">
        <v>72</v>
      </c>
      <c r="J2452" s="2" t="s">
        <v>711</v>
      </c>
      <c r="K2452" s="2" t="s">
        <v>523</v>
      </c>
      <c r="L2452" s="2" t="s">
        <v>524</v>
      </c>
      <c r="M2452" s="2" t="s">
        <v>525</v>
      </c>
      <c r="N2452" s="2" t="s">
        <v>526</v>
      </c>
      <c r="O2452" s="2" t="s">
        <v>527</v>
      </c>
      <c r="P2452" s="2" t="s">
        <v>171</v>
      </c>
      <c r="Q2452" s="2" t="s">
        <v>528</v>
      </c>
      <c r="R2452" s="2" t="s">
        <v>529</v>
      </c>
      <c r="S2452" s="2" t="s">
        <v>46</v>
      </c>
      <c r="T2452">
        <v>2761</v>
      </c>
      <c r="U2452">
        <f>VLOOKUP(Auto_Sales_data___Copy[[#This Row],[CUSTOMER_NAME]],$AF$2:$AH$90,2,FALSE)</f>
        <v>51</v>
      </c>
      <c r="V2452">
        <f>VLOOKUP(Auto_Sales_data___Copy[[#This Row],[CUSTOMER_NAME]],$AF$2:$AH$90,3,FALSE)</f>
        <v>157807.80999999994</v>
      </c>
      <c r="W2452" s="2">
        <f>6-MATCH(Auto_Sales_data___Copy[[#This Row],[DAYS_SINCE_LAST_ORDER]],Table2[R-Cutoff],1)</f>
        <v>1</v>
      </c>
      <c r="X2452" s="2">
        <f>MATCH(Auto_Sales_data___Copy[[#This Row],[Total_Orders_Per_Customer]],Table2[F-Cutoff],1)</f>
        <v>4</v>
      </c>
      <c r="Y2452" s="2">
        <f>MATCH(Auto_Sales_data___Copy[[#This Row],[Total_Sales_Per_Customer]],Table2[M-Cutoff],1)</f>
        <v>4</v>
      </c>
      <c r="Z2452" s="2" t="str">
        <f>Auto_Sales_data___Copy[[#This Row],[R-Score(1-5)]]&amp;Auto_Sales_data___Copy[[#This Row],[F-Score(1-5)]]&amp;Auto_Sales_data___Copy[[#This Row],[M-Score(1-5)]]</f>
        <v>144</v>
      </c>
      <c r="AA2452" s="2" t="str" cm="1">
        <f t="array" ref="AA24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2" s="2" t="str">
        <f>VLOOKUP(Auto_Sales_data___Copy[[#This Row],[Segment Name]],Table3[],2,FALSE)</f>
        <v>Brand Awareness &amp; Value Proposition</v>
      </c>
    </row>
    <row r="2453" spans="1:28" x14ac:dyDescent="0.25">
      <c r="A2453">
        <v>10306</v>
      </c>
      <c r="B2453">
        <v>32</v>
      </c>
      <c r="C2453">
        <v>90.15</v>
      </c>
      <c r="D2453">
        <v>4</v>
      </c>
      <c r="E2453">
        <v>2884.8</v>
      </c>
      <c r="F2453" s="1">
        <v>43752</v>
      </c>
      <c r="G2453" s="2" t="s">
        <v>19</v>
      </c>
      <c r="H2453" s="2" t="s">
        <v>642</v>
      </c>
      <c r="I2453">
        <v>100</v>
      </c>
      <c r="J2453" s="2" t="s">
        <v>715</v>
      </c>
      <c r="K2453" s="2" t="s">
        <v>523</v>
      </c>
      <c r="L2453" s="2" t="s">
        <v>524</v>
      </c>
      <c r="M2453" s="2" t="s">
        <v>525</v>
      </c>
      <c r="N2453" s="2" t="s">
        <v>526</v>
      </c>
      <c r="O2453" s="2" t="s">
        <v>527</v>
      </c>
      <c r="P2453" s="2" t="s">
        <v>171</v>
      </c>
      <c r="Q2453" s="2" t="s">
        <v>528</v>
      </c>
      <c r="R2453" s="2" t="s">
        <v>529</v>
      </c>
      <c r="S2453" s="2" t="s">
        <v>30</v>
      </c>
      <c r="T2453">
        <v>2864</v>
      </c>
      <c r="U2453">
        <f>VLOOKUP(Auto_Sales_data___Copy[[#This Row],[CUSTOMER_NAME]],$AF$2:$AH$90,2,FALSE)</f>
        <v>51</v>
      </c>
      <c r="V2453">
        <f>VLOOKUP(Auto_Sales_data___Copy[[#This Row],[CUSTOMER_NAME]],$AF$2:$AH$90,3,FALSE)</f>
        <v>157807.80999999994</v>
      </c>
      <c r="W2453" s="2">
        <f>6-MATCH(Auto_Sales_data___Copy[[#This Row],[DAYS_SINCE_LAST_ORDER]],Table2[R-Cutoff],1)</f>
        <v>1</v>
      </c>
      <c r="X2453" s="2">
        <f>MATCH(Auto_Sales_data___Copy[[#This Row],[Total_Orders_Per_Customer]],Table2[F-Cutoff],1)</f>
        <v>4</v>
      </c>
      <c r="Y2453" s="2">
        <f>MATCH(Auto_Sales_data___Copy[[#This Row],[Total_Sales_Per_Customer]],Table2[M-Cutoff],1)</f>
        <v>4</v>
      </c>
      <c r="Z2453" s="2" t="str">
        <f>Auto_Sales_data___Copy[[#This Row],[R-Score(1-5)]]&amp;Auto_Sales_data___Copy[[#This Row],[F-Score(1-5)]]&amp;Auto_Sales_data___Copy[[#This Row],[M-Score(1-5)]]</f>
        <v>144</v>
      </c>
      <c r="AA2453" s="2" t="str" cm="1">
        <f t="array" ref="AA24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3" s="2" t="str">
        <f>VLOOKUP(Auto_Sales_data___Copy[[#This Row],[Segment Name]],Table3[],2,FALSE)</f>
        <v>Brand Awareness &amp; Value Proposition</v>
      </c>
    </row>
    <row r="2454" spans="1:28" x14ac:dyDescent="0.25">
      <c r="A2454">
        <v>10306</v>
      </c>
      <c r="B2454">
        <v>30</v>
      </c>
      <c r="C2454">
        <v>117.19</v>
      </c>
      <c r="D2454">
        <v>5</v>
      </c>
      <c r="E2454">
        <v>3515.7</v>
      </c>
      <c r="F2454" s="1">
        <v>43752</v>
      </c>
      <c r="G2454" s="2" t="s">
        <v>19</v>
      </c>
      <c r="H2454" s="2" t="s">
        <v>642</v>
      </c>
      <c r="I2454">
        <v>99</v>
      </c>
      <c r="J2454" s="2" t="s">
        <v>716</v>
      </c>
      <c r="K2454" s="2" t="s">
        <v>523</v>
      </c>
      <c r="L2454" s="2" t="s">
        <v>524</v>
      </c>
      <c r="M2454" s="2" t="s">
        <v>525</v>
      </c>
      <c r="N2454" s="2" t="s">
        <v>526</v>
      </c>
      <c r="O2454" s="2" t="s">
        <v>527</v>
      </c>
      <c r="P2454" s="2" t="s">
        <v>171</v>
      </c>
      <c r="Q2454" s="2" t="s">
        <v>528</v>
      </c>
      <c r="R2454" s="2" t="s">
        <v>529</v>
      </c>
      <c r="S2454" s="2" t="s">
        <v>46</v>
      </c>
      <c r="T2454">
        <v>2890</v>
      </c>
      <c r="U2454">
        <f>VLOOKUP(Auto_Sales_data___Copy[[#This Row],[CUSTOMER_NAME]],$AF$2:$AH$90,2,FALSE)</f>
        <v>51</v>
      </c>
      <c r="V2454">
        <f>VLOOKUP(Auto_Sales_data___Copy[[#This Row],[CUSTOMER_NAME]],$AF$2:$AH$90,3,FALSE)</f>
        <v>157807.80999999994</v>
      </c>
      <c r="W2454" s="2">
        <f>6-MATCH(Auto_Sales_data___Copy[[#This Row],[DAYS_SINCE_LAST_ORDER]],Table2[R-Cutoff],1)</f>
        <v>1</v>
      </c>
      <c r="X2454" s="2">
        <f>MATCH(Auto_Sales_data___Copy[[#This Row],[Total_Orders_Per_Customer]],Table2[F-Cutoff],1)</f>
        <v>4</v>
      </c>
      <c r="Y2454" s="2">
        <f>MATCH(Auto_Sales_data___Copy[[#This Row],[Total_Sales_Per_Customer]],Table2[M-Cutoff],1)</f>
        <v>4</v>
      </c>
      <c r="Z2454" s="2" t="str">
        <f>Auto_Sales_data___Copy[[#This Row],[R-Score(1-5)]]&amp;Auto_Sales_data___Copy[[#This Row],[F-Score(1-5)]]&amp;Auto_Sales_data___Copy[[#This Row],[M-Score(1-5)]]</f>
        <v>144</v>
      </c>
      <c r="AA2454" s="2" t="str" cm="1">
        <f t="array" ref="AA24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4" s="2" t="str">
        <f>VLOOKUP(Auto_Sales_data___Copy[[#This Row],[Segment Name]],Table3[],2,FALSE)</f>
        <v>Brand Awareness &amp; Value Proposition</v>
      </c>
    </row>
    <row r="2455" spans="1:28" x14ac:dyDescent="0.25">
      <c r="A2455">
        <v>10306</v>
      </c>
      <c r="B2455">
        <v>35</v>
      </c>
      <c r="C2455">
        <v>59.51</v>
      </c>
      <c r="D2455">
        <v>6</v>
      </c>
      <c r="E2455">
        <v>2082.85</v>
      </c>
      <c r="F2455" s="1">
        <v>43752</v>
      </c>
      <c r="G2455" s="2" t="s">
        <v>19</v>
      </c>
      <c r="H2455" s="2" t="s">
        <v>642</v>
      </c>
      <c r="I2455">
        <v>54</v>
      </c>
      <c r="J2455" s="2" t="s">
        <v>719</v>
      </c>
      <c r="K2455" s="2" t="s">
        <v>523</v>
      </c>
      <c r="L2455" s="2" t="s">
        <v>524</v>
      </c>
      <c r="M2455" s="2" t="s">
        <v>525</v>
      </c>
      <c r="N2455" s="2" t="s">
        <v>526</v>
      </c>
      <c r="O2455" s="2" t="s">
        <v>527</v>
      </c>
      <c r="P2455" s="2" t="s">
        <v>171</v>
      </c>
      <c r="Q2455" s="2" t="s">
        <v>528</v>
      </c>
      <c r="R2455" s="2" t="s">
        <v>529</v>
      </c>
      <c r="S2455" s="2" t="s">
        <v>30</v>
      </c>
      <c r="T2455">
        <v>2969</v>
      </c>
      <c r="U2455">
        <f>VLOOKUP(Auto_Sales_data___Copy[[#This Row],[CUSTOMER_NAME]],$AF$2:$AH$90,2,FALSE)</f>
        <v>51</v>
      </c>
      <c r="V2455">
        <f>VLOOKUP(Auto_Sales_data___Copy[[#This Row],[CUSTOMER_NAME]],$AF$2:$AH$90,3,FALSE)</f>
        <v>157807.80999999994</v>
      </c>
      <c r="W2455" s="2">
        <f>6-MATCH(Auto_Sales_data___Copy[[#This Row],[DAYS_SINCE_LAST_ORDER]],Table2[R-Cutoff],1)</f>
        <v>1</v>
      </c>
      <c r="X2455" s="2">
        <f>MATCH(Auto_Sales_data___Copy[[#This Row],[Total_Orders_Per_Customer]],Table2[F-Cutoff],1)</f>
        <v>4</v>
      </c>
      <c r="Y2455" s="2">
        <f>MATCH(Auto_Sales_data___Copy[[#This Row],[Total_Sales_Per_Customer]],Table2[M-Cutoff],1)</f>
        <v>4</v>
      </c>
      <c r="Z2455" s="2" t="str">
        <f>Auto_Sales_data___Copy[[#This Row],[R-Score(1-5)]]&amp;Auto_Sales_data___Copy[[#This Row],[F-Score(1-5)]]&amp;Auto_Sales_data___Copy[[#This Row],[M-Score(1-5)]]</f>
        <v>144</v>
      </c>
      <c r="AA2455" s="2" t="str" cm="1">
        <f t="array" ref="AA24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5" s="2" t="str">
        <f>VLOOKUP(Auto_Sales_data___Copy[[#This Row],[Segment Name]],Table3[],2,FALSE)</f>
        <v>Brand Awareness &amp; Value Proposition</v>
      </c>
    </row>
    <row r="2456" spans="1:28" x14ac:dyDescent="0.25">
      <c r="A2456">
        <v>10309</v>
      </c>
      <c r="B2456">
        <v>28</v>
      </c>
      <c r="C2456">
        <v>88.68</v>
      </c>
      <c r="D2456">
        <v>1</v>
      </c>
      <c r="E2456">
        <v>2483.04</v>
      </c>
      <c r="F2456" s="1">
        <v>43753</v>
      </c>
      <c r="G2456" s="2" t="s">
        <v>19</v>
      </c>
      <c r="H2456" s="2" t="s">
        <v>20</v>
      </c>
      <c r="I2456">
        <v>81</v>
      </c>
      <c r="J2456" s="2" t="s">
        <v>705</v>
      </c>
      <c r="K2456" s="2" t="s">
        <v>130</v>
      </c>
      <c r="L2456" s="2" t="s">
        <v>131</v>
      </c>
      <c r="M2456" s="2" t="s">
        <v>132</v>
      </c>
      <c r="N2456" s="2" t="s">
        <v>133</v>
      </c>
      <c r="O2456" s="2" t="s">
        <v>134</v>
      </c>
      <c r="P2456" s="2" t="s">
        <v>73</v>
      </c>
      <c r="Q2456" s="2" t="s">
        <v>135</v>
      </c>
      <c r="R2456" s="2" t="s">
        <v>136</v>
      </c>
      <c r="S2456" s="2" t="s">
        <v>30</v>
      </c>
      <c r="T2456">
        <v>2605</v>
      </c>
      <c r="U2456">
        <f>VLOOKUP(Auto_Sales_data___Copy[[#This Row],[CUSTOMER_NAME]],$AF$2:$AH$90,2,FALSE)</f>
        <v>32</v>
      </c>
      <c r="V2456">
        <f>VLOOKUP(Auto_Sales_data___Copy[[#This Row],[CUSTOMER_NAME]],$AF$2:$AH$90,3,FALSE)</f>
        <v>116599.18999999999</v>
      </c>
      <c r="W2456" s="2">
        <f>6-MATCH(Auto_Sales_data___Copy[[#This Row],[DAYS_SINCE_LAST_ORDER]],Table2[R-Cutoff],1)</f>
        <v>1</v>
      </c>
      <c r="X2456" s="2">
        <f>MATCH(Auto_Sales_data___Copy[[#This Row],[Total_Orders_Per_Customer]],Table2[F-Cutoff],1)</f>
        <v>4</v>
      </c>
      <c r="Y2456" s="2">
        <f>MATCH(Auto_Sales_data___Copy[[#This Row],[Total_Sales_Per_Customer]],Table2[M-Cutoff],1)</f>
        <v>4</v>
      </c>
      <c r="Z2456" s="2" t="str">
        <f>Auto_Sales_data___Copy[[#This Row],[R-Score(1-5)]]&amp;Auto_Sales_data___Copy[[#This Row],[F-Score(1-5)]]&amp;Auto_Sales_data___Copy[[#This Row],[M-Score(1-5)]]</f>
        <v>144</v>
      </c>
      <c r="AA2456" s="2" t="str" cm="1">
        <f t="array" ref="AA24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6" s="2" t="str">
        <f>VLOOKUP(Auto_Sales_data___Copy[[#This Row],[Segment Name]],Table3[],2,FALSE)</f>
        <v>Brand Awareness &amp; Value Proposition</v>
      </c>
    </row>
    <row r="2457" spans="1:28" x14ac:dyDescent="0.25">
      <c r="A2457">
        <v>10314</v>
      </c>
      <c r="B2457">
        <v>38</v>
      </c>
      <c r="C2457">
        <v>61.51</v>
      </c>
      <c r="D2457">
        <v>7</v>
      </c>
      <c r="E2457">
        <v>2337.38</v>
      </c>
      <c r="F2457" s="1">
        <v>43760</v>
      </c>
      <c r="G2457" s="2" t="s">
        <v>19</v>
      </c>
      <c r="H2457" s="2" t="s">
        <v>650</v>
      </c>
      <c r="I2457">
        <v>58</v>
      </c>
      <c r="J2457" s="2" t="s">
        <v>704</v>
      </c>
      <c r="K2457" s="2" t="s">
        <v>530</v>
      </c>
      <c r="L2457" s="2" t="s">
        <v>531</v>
      </c>
      <c r="M2457" s="2" t="s">
        <v>532</v>
      </c>
      <c r="N2457" s="2" t="s">
        <v>533</v>
      </c>
      <c r="O2457" s="2" t="s">
        <v>534</v>
      </c>
      <c r="P2457" s="2" t="s">
        <v>344</v>
      </c>
      <c r="Q2457" s="2" t="s">
        <v>535</v>
      </c>
      <c r="R2457" s="2" t="s">
        <v>536</v>
      </c>
      <c r="S2457" s="2" t="s">
        <v>30</v>
      </c>
      <c r="T2457">
        <v>2574</v>
      </c>
      <c r="U2457">
        <f>VLOOKUP(Auto_Sales_data___Copy[[#This Row],[CUSTOMER_NAME]],$AF$2:$AH$90,2,FALSE)</f>
        <v>27</v>
      </c>
      <c r="V2457">
        <f>VLOOKUP(Auto_Sales_data___Copy[[#This Row],[CUSTOMER_NAME]],$AF$2:$AH$90,3,FALSE)</f>
        <v>100595.54999999999</v>
      </c>
      <c r="W2457" s="2">
        <f>6-MATCH(Auto_Sales_data___Copy[[#This Row],[DAYS_SINCE_LAST_ORDER]],Table2[R-Cutoff],1)</f>
        <v>1</v>
      </c>
      <c r="X2457" s="2">
        <f>MATCH(Auto_Sales_data___Copy[[#This Row],[Total_Orders_Per_Customer]],Table2[F-Cutoff],1)</f>
        <v>4</v>
      </c>
      <c r="Y2457" s="2">
        <f>MATCH(Auto_Sales_data___Copy[[#This Row],[Total_Sales_Per_Customer]],Table2[M-Cutoff],1)</f>
        <v>4</v>
      </c>
      <c r="Z2457" s="2" t="str">
        <f>Auto_Sales_data___Copy[[#This Row],[R-Score(1-5)]]&amp;Auto_Sales_data___Copy[[#This Row],[F-Score(1-5)]]&amp;Auto_Sales_data___Copy[[#This Row],[M-Score(1-5)]]</f>
        <v>144</v>
      </c>
      <c r="AA2457" s="2" t="str" cm="1">
        <f t="array" ref="AA24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7" s="2" t="str">
        <f>VLOOKUP(Auto_Sales_data___Copy[[#This Row],[Segment Name]],Table3[],2,FALSE)</f>
        <v>Brand Awareness &amp; Value Proposition</v>
      </c>
    </row>
    <row r="2458" spans="1:28" x14ac:dyDescent="0.25">
      <c r="A2458">
        <v>10314</v>
      </c>
      <c r="B2458">
        <v>23</v>
      </c>
      <c r="C2458">
        <v>76.22</v>
      </c>
      <c r="D2458">
        <v>2</v>
      </c>
      <c r="E2458">
        <v>1753.06</v>
      </c>
      <c r="F2458" s="1">
        <v>43760</v>
      </c>
      <c r="G2458" s="2" t="s">
        <v>19</v>
      </c>
      <c r="H2458" s="2" t="s">
        <v>642</v>
      </c>
      <c r="I2458">
        <v>86</v>
      </c>
      <c r="J2458" s="2" t="s">
        <v>708</v>
      </c>
      <c r="K2458" s="2" t="s">
        <v>530</v>
      </c>
      <c r="L2458" s="2" t="s">
        <v>531</v>
      </c>
      <c r="M2458" s="2" t="s">
        <v>532</v>
      </c>
      <c r="N2458" s="2" t="s">
        <v>533</v>
      </c>
      <c r="O2458" s="2" t="s">
        <v>534</v>
      </c>
      <c r="P2458" s="2" t="s">
        <v>344</v>
      </c>
      <c r="Q2458" s="2" t="s">
        <v>535</v>
      </c>
      <c r="R2458" s="2" t="s">
        <v>536</v>
      </c>
      <c r="S2458" s="2" t="s">
        <v>30</v>
      </c>
      <c r="T2458">
        <v>2676</v>
      </c>
      <c r="U2458">
        <f>VLOOKUP(Auto_Sales_data___Copy[[#This Row],[CUSTOMER_NAME]],$AF$2:$AH$90,2,FALSE)</f>
        <v>27</v>
      </c>
      <c r="V2458">
        <f>VLOOKUP(Auto_Sales_data___Copy[[#This Row],[CUSTOMER_NAME]],$AF$2:$AH$90,3,FALSE)</f>
        <v>100595.54999999999</v>
      </c>
      <c r="W2458" s="2">
        <f>6-MATCH(Auto_Sales_data___Copy[[#This Row],[DAYS_SINCE_LAST_ORDER]],Table2[R-Cutoff],1)</f>
        <v>1</v>
      </c>
      <c r="X2458" s="2">
        <f>MATCH(Auto_Sales_data___Copy[[#This Row],[Total_Orders_Per_Customer]],Table2[F-Cutoff],1)</f>
        <v>4</v>
      </c>
      <c r="Y2458" s="2">
        <f>MATCH(Auto_Sales_data___Copy[[#This Row],[Total_Sales_Per_Customer]],Table2[M-Cutoff],1)</f>
        <v>4</v>
      </c>
      <c r="Z2458" s="2" t="str">
        <f>Auto_Sales_data___Copy[[#This Row],[R-Score(1-5)]]&amp;Auto_Sales_data___Copy[[#This Row],[F-Score(1-5)]]&amp;Auto_Sales_data___Copy[[#This Row],[M-Score(1-5)]]</f>
        <v>144</v>
      </c>
      <c r="AA2458" s="2" t="str" cm="1">
        <f t="array" ref="AA24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8" s="2" t="str">
        <f>VLOOKUP(Auto_Sales_data___Copy[[#This Row],[Segment Name]],Table3[],2,FALSE)</f>
        <v>Brand Awareness &amp; Value Proposition</v>
      </c>
    </row>
    <row r="2459" spans="1:28" x14ac:dyDescent="0.25">
      <c r="A2459">
        <v>10315</v>
      </c>
      <c r="B2459">
        <v>41</v>
      </c>
      <c r="C2459">
        <v>62</v>
      </c>
      <c r="D2459">
        <v>2</v>
      </c>
      <c r="E2459">
        <v>2542</v>
      </c>
      <c r="F2459" s="1">
        <v>43767</v>
      </c>
      <c r="G2459" s="2" t="s">
        <v>19</v>
      </c>
      <c r="H2459" s="2" t="s">
        <v>642</v>
      </c>
      <c r="I2459">
        <v>66</v>
      </c>
      <c r="J2459" s="2" t="s">
        <v>706</v>
      </c>
      <c r="K2459" s="2" t="s">
        <v>108</v>
      </c>
      <c r="L2459" s="2" t="s">
        <v>109</v>
      </c>
      <c r="M2459" s="2" t="s">
        <v>110</v>
      </c>
      <c r="N2459" s="2" t="s">
        <v>111</v>
      </c>
      <c r="O2459" s="2" t="s">
        <v>112</v>
      </c>
      <c r="P2459" s="2" t="s">
        <v>36</v>
      </c>
      <c r="Q2459" s="2" t="s">
        <v>113</v>
      </c>
      <c r="R2459" s="2" t="s">
        <v>114</v>
      </c>
      <c r="S2459" s="2" t="s">
        <v>30</v>
      </c>
      <c r="T2459">
        <v>2618</v>
      </c>
      <c r="U2459">
        <f>VLOOKUP(Auto_Sales_data___Copy[[#This Row],[CUSTOMER_NAME]],$AF$2:$AH$90,2,FALSE)</f>
        <v>53</v>
      </c>
      <c r="V2459">
        <f>VLOOKUP(Auto_Sales_data___Copy[[#This Row],[CUSTOMER_NAME]],$AF$2:$AH$90,3,FALSE)</f>
        <v>180124.90000000008</v>
      </c>
      <c r="W2459" s="2">
        <f>6-MATCH(Auto_Sales_data___Copy[[#This Row],[DAYS_SINCE_LAST_ORDER]],Table2[R-Cutoff],1)</f>
        <v>1</v>
      </c>
      <c r="X2459" s="2">
        <f>MATCH(Auto_Sales_data___Copy[[#This Row],[Total_Orders_Per_Customer]],Table2[F-Cutoff],1)</f>
        <v>4</v>
      </c>
      <c r="Y2459" s="2">
        <f>MATCH(Auto_Sales_data___Copy[[#This Row],[Total_Sales_Per_Customer]],Table2[M-Cutoff],1)</f>
        <v>4</v>
      </c>
      <c r="Z2459" s="2" t="str">
        <f>Auto_Sales_data___Copy[[#This Row],[R-Score(1-5)]]&amp;Auto_Sales_data___Copy[[#This Row],[F-Score(1-5)]]&amp;Auto_Sales_data___Copy[[#This Row],[M-Score(1-5)]]</f>
        <v>144</v>
      </c>
      <c r="AA2459" s="2" t="str" cm="1">
        <f t="array" ref="AA24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9" s="2" t="str">
        <f>VLOOKUP(Auto_Sales_data___Copy[[#This Row],[Segment Name]],Table3[],2,FALSE)</f>
        <v>Brand Awareness &amp; Value Proposition</v>
      </c>
    </row>
    <row r="2460" spans="1:28" x14ac:dyDescent="0.25">
      <c r="A2460">
        <v>10315</v>
      </c>
      <c r="B2460">
        <v>31</v>
      </c>
      <c r="C2460">
        <v>86.15</v>
      </c>
      <c r="D2460">
        <v>3</v>
      </c>
      <c r="E2460">
        <v>2670.65</v>
      </c>
      <c r="F2460" s="1">
        <v>43767</v>
      </c>
      <c r="G2460" s="2" t="s">
        <v>19</v>
      </c>
      <c r="H2460" s="2" t="s">
        <v>642</v>
      </c>
      <c r="I2460">
        <v>100</v>
      </c>
      <c r="J2460" s="2" t="s">
        <v>715</v>
      </c>
      <c r="K2460" s="2" t="s">
        <v>108</v>
      </c>
      <c r="L2460" s="2" t="s">
        <v>109</v>
      </c>
      <c r="M2460" s="2" t="s">
        <v>110</v>
      </c>
      <c r="N2460" s="2" t="s">
        <v>111</v>
      </c>
      <c r="O2460" s="2" t="s">
        <v>112</v>
      </c>
      <c r="P2460" s="2" t="s">
        <v>36</v>
      </c>
      <c r="Q2460" s="2" t="s">
        <v>113</v>
      </c>
      <c r="R2460" s="2" t="s">
        <v>114</v>
      </c>
      <c r="S2460" s="2" t="s">
        <v>30</v>
      </c>
      <c r="T2460">
        <v>2850</v>
      </c>
      <c r="U2460">
        <f>VLOOKUP(Auto_Sales_data___Copy[[#This Row],[CUSTOMER_NAME]],$AF$2:$AH$90,2,FALSE)</f>
        <v>53</v>
      </c>
      <c r="V2460">
        <f>VLOOKUP(Auto_Sales_data___Copy[[#This Row],[CUSTOMER_NAME]],$AF$2:$AH$90,3,FALSE)</f>
        <v>180124.90000000008</v>
      </c>
      <c r="W2460" s="2">
        <f>6-MATCH(Auto_Sales_data___Copy[[#This Row],[DAYS_SINCE_LAST_ORDER]],Table2[R-Cutoff],1)</f>
        <v>1</v>
      </c>
      <c r="X2460" s="2">
        <f>MATCH(Auto_Sales_data___Copy[[#This Row],[Total_Orders_Per_Customer]],Table2[F-Cutoff],1)</f>
        <v>4</v>
      </c>
      <c r="Y2460" s="2">
        <f>MATCH(Auto_Sales_data___Copy[[#This Row],[Total_Sales_Per_Customer]],Table2[M-Cutoff],1)</f>
        <v>4</v>
      </c>
      <c r="Z2460" s="2" t="str">
        <f>Auto_Sales_data___Copy[[#This Row],[R-Score(1-5)]]&amp;Auto_Sales_data___Copy[[#This Row],[F-Score(1-5)]]&amp;Auto_Sales_data___Copy[[#This Row],[M-Score(1-5)]]</f>
        <v>144</v>
      </c>
      <c r="AA2460" s="2" t="str" cm="1">
        <f t="array" ref="AA24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0" s="2" t="str">
        <f>VLOOKUP(Auto_Sales_data___Copy[[#This Row],[Segment Name]],Table3[],2,FALSE)</f>
        <v>Brand Awareness &amp; Value Proposition</v>
      </c>
    </row>
    <row r="2461" spans="1:28" x14ac:dyDescent="0.25">
      <c r="A2461">
        <v>10315</v>
      </c>
      <c r="B2461">
        <v>37</v>
      </c>
      <c r="C2461">
        <v>91.37</v>
      </c>
      <c r="D2461">
        <v>4</v>
      </c>
      <c r="E2461">
        <v>3380.69</v>
      </c>
      <c r="F2461" s="1">
        <v>43767</v>
      </c>
      <c r="G2461" s="2" t="s">
        <v>19</v>
      </c>
      <c r="H2461" s="2" t="s">
        <v>642</v>
      </c>
      <c r="I2461">
        <v>99</v>
      </c>
      <c r="J2461" s="2" t="s">
        <v>716</v>
      </c>
      <c r="K2461" s="2" t="s">
        <v>108</v>
      </c>
      <c r="L2461" s="2" t="s">
        <v>109</v>
      </c>
      <c r="M2461" s="2" t="s">
        <v>110</v>
      </c>
      <c r="N2461" s="2" t="s">
        <v>111</v>
      </c>
      <c r="O2461" s="2" t="s">
        <v>112</v>
      </c>
      <c r="P2461" s="2" t="s">
        <v>36</v>
      </c>
      <c r="Q2461" s="2" t="s">
        <v>113</v>
      </c>
      <c r="R2461" s="2" t="s">
        <v>114</v>
      </c>
      <c r="S2461" s="2" t="s">
        <v>46</v>
      </c>
      <c r="T2461">
        <v>2876</v>
      </c>
      <c r="U2461">
        <f>VLOOKUP(Auto_Sales_data___Copy[[#This Row],[CUSTOMER_NAME]],$AF$2:$AH$90,2,FALSE)</f>
        <v>53</v>
      </c>
      <c r="V2461">
        <f>VLOOKUP(Auto_Sales_data___Copy[[#This Row],[CUSTOMER_NAME]],$AF$2:$AH$90,3,FALSE)</f>
        <v>180124.90000000008</v>
      </c>
      <c r="W2461" s="2">
        <f>6-MATCH(Auto_Sales_data___Copy[[#This Row],[DAYS_SINCE_LAST_ORDER]],Table2[R-Cutoff],1)</f>
        <v>1</v>
      </c>
      <c r="X2461" s="2">
        <f>MATCH(Auto_Sales_data___Copy[[#This Row],[Total_Orders_Per_Customer]],Table2[F-Cutoff],1)</f>
        <v>4</v>
      </c>
      <c r="Y2461" s="2">
        <f>MATCH(Auto_Sales_data___Copy[[#This Row],[Total_Sales_Per_Customer]],Table2[M-Cutoff],1)</f>
        <v>4</v>
      </c>
      <c r="Z2461" s="2" t="str">
        <f>Auto_Sales_data___Copy[[#This Row],[R-Score(1-5)]]&amp;Auto_Sales_data___Copy[[#This Row],[F-Score(1-5)]]&amp;Auto_Sales_data___Copy[[#This Row],[M-Score(1-5)]]</f>
        <v>144</v>
      </c>
      <c r="AA2461" s="2" t="str" cm="1">
        <f t="array" ref="AA24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1" s="2" t="str">
        <f>VLOOKUP(Auto_Sales_data___Copy[[#This Row],[Segment Name]],Table3[],2,FALSE)</f>
        <v>Brand Awareness &amp; Value Proposition</v>
      </c>
    </row>
    <row r="2462" spans="1:28" x14ac:dyDescent="0.25">
      <c r="A2462">
        <v>10315</v>
      </c>
      <c r="B2462">
        <v>40</v>
      </c>
      <c r="C2462">
        <v>55.69</v>
      </c>
      <c r="D2462">
        <v>5</v>
      </c>
      <c r="E2462">
        <v>2227.6</v>
      </c>
      <c r="F2462" s="1">
        <v>43767</v>
      </c>
      <c r="G2462" s="2" t="s">
        <v>19</v>
      </c>
      <c r="H2462" s="2" t="s">
        <v>642</v>
      </c>
      <c r="I2462">
        <v>54</v>
      </c>
      <c r="J2462" s="2" t="s">
        <v>719</v>
      </c>
      <c r="K2462" s="2" t="s">
        <v>108</v>
      </c>
      <c r="L2462" s="2" t="s">
        <v>109</v>
      </c>
      <c r="M2462" s="2" t="s">
        <v>110</v>
      </c>
      <c r="N2462" s="2" t="s">
        <v>111</v>
      </c>
      <c r="O2462" s="2" t="s">
        <v>112</v>
      </c>
      <c r="P2462" s="2" t="s">
        <v>36</v>
      </c>
      <c r="Q2462" s="2" t="s">
        <v>113</v>
      </c>
      <c r="R2462" s="2" t="s">
        <v>114</v>
      </c>
      <c r="S2462" s="2" t="s">
        <v>30</v>
      </c>
      <c r="T2462">
        <v>2955</v>
      </c>
      <c r="U2462">
        <f>VLOOKUP(Auto_Sales_data___Copy[[#This Row],[CUSTOMER_NAME]],$AF$2:$AH$90,2,FALSE)</f>
        <v>53</v>
      </c>
      <c r="V2462">
        <f>VLOOKUP(Auto_Sales_data___Copy[[#This Row],[CUSTOMER_NAME]],$AF$2:$AH$90,3,FALSE)</f>
        <v>180124.90000000008</v>
      </c>
      <c r="W2462" s="2">
        <f>6-MATCH(Auto_Sales_data___Copy[[#This Row],[DAYS_SINCE_LAST_ORDER]],Table2[R-Cutoff],1)</f>
        <v>1</v>
      </c>
      <c r="X2462" s="2">
        <f>MATCH(Auto_Sales_data___Copy[[#This Row],[Total_Orders_Per_Customer]],Table2[F-Cutoff],1)</f>
        <v>4</v>
      </c>
      <c r="Y2462" s="2">
        <f>MATCH(Auto_Sales_data___Copy[[#This Row],[Total_Sales_Per_Customer]],Table2[M-Cutoff],1)</f>
        <v>4</v>
      </c>
      <c r="Z2462" s="2" t="str">
        <f>Auto_Sales_data___Copy[[#This Row],[R-Score(1-5)]]&amp;Auto_Sales_data___Copy[[#This Row],[F-Score(1-5)]]&amp;Auto_Sales_data___Copy[[#This Row],[M-Score(1-5)]]</f>
        <v>144</v>
      </c>
      <c r="AA2462" s="2" t="str" cm="1">
        <f t="array" ref="AA24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2" s="2" t="str">
        <f>VLOOKUP(Auto_Sales_data___Copy[[#This Row],[Segment Name]],Table3[],2,FALSE)</f>
        <v>Brand Awareness &amp; Value Proposition</v>
      </c>
    </row>
    <row r="2463" spans="1:28" x14ac:dyDescent="0.25">
      <c r="A2463">
        <v>10348</v>
      </c>
      <c r="B2463">
        <v>32</v>
      </c>
      <c r="C2463">
        <v>82.83</v>
      </c>
      <c r="D2463">
        <v>7</v>
      </c>
      <c r="E2463">
        <v>2650.56</v>
      </c>
      <c r="F2463" s="1">
        <v>43770</v>
      </c>
      <c r="G2463" s="2" t="s">
        <v>19</v>
      </c>
      <c r="H2463" s="2" t="s">
        <v>183</v>
      </c>
      <c r="I2463">
        <v>101</v>
      </c>
      <c r="J2463" s="2" t="s">
        <v>712</v>
      </c>
      <c r="K2463" s="2" t="s">
        <v>193</v>
      </c>
      <c r="L2463" s="2" t="s">
        <v>194</v>
      </c>
      <c r="M2463" s="2" t="s">
        <v>195</v>
      </c>
      <c r="N2463" s="2" t="s">
        <v>178</v>
      </c>
      <c r="O2463" s="2" t="s">
        <v>196</v>
      </c>
      <c r="P2463" s="2" t="s">
        <v>180</v>
      </c>
      <c r="Q2463" s="2" t="s">
        <v>197</v>
      </c>
      <c r="R2463" s="2" t="s">
        <v>198</v>
      </c>
      <c r="S2463" s="2" t="s">
        <v>30</v>
      </c>
      <c r="T2463">
        <v>2773</v>
      </c>
      <c r="U2463">
        <f>VLOOKUP(Auto_Sales_data___Copy[[#This Row],[CUSTOMER_NAME]],$AF$2:$AH$90,2,FALSE)</f>
        <v>32</v>
      </c>
      <c r="V2463">
        <f>VLOOKUP(Auto_Sales_data___Copy[[#This Row],[CUSTOMER_NAME]],$AF$2:$AH$90,3,FALSE)</f>
        <v>120615.28</v>
      </c>
      <c r="W2463" s="2">
        <f>6-MATCH(Auto_Sales_data___Copy[[#This Row],[DAYS_SINCE_LAST_ORDER]],Table2[R-Cutoff],1)</f>
        <v>1</v>
      </c>
      <c r="X2463" s="2">
        <f>MATCH(Auto_Sales_data___Copy[[#This Row],[Total_Orders_Per_Customer]],Table2[F-Cutoff],1)</f>
        <v>4</v>
      </c>
      <c r="Y2463" s="2">
        <f>MATCH(Auto_Sales_data___Copy[[#This Row],[Total_Sales_Per_Customer]],Table2[M-Cutoff],1)</f>
        <v>4</v>
      </c>
      <c r="Z2463" s="2" t="str">
        <f>Auto_Sales_data___Copy[[#This Row],[R-Score(1-5)]]&amp;Auto_Sales_data___Copy[[#This Row],[F-Score(1-5)]]&amp;Auto_Sales_data___Copy[[#This Row],[M-Score(1-5)]]</f>
        <v>144</v>
      </c>
      <c r="AA2463" s="2" t="str" cm="1">
        <f t="array" ref="AA24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3" s="2" t="str">
        <f>VLOOKUP(Auto_Sales_data___Copy[[#This Row],[Segment Name]],Table3[],2,FALSE)</f>
        <v>Brand Awareness &amp; Value Proposition</v>
      </c>
    </row>
    <row r="2464" spans="1:28" x14ac:dyDescent="0.25">
      <c r="A2464">
        <v>10318</v>
      </c>
      <c r="B2464">
        <v>50</v>
      </c>
      <c r="C2464">
        <v>142.38</v>
      </c>
      <c r="D2464">
        <v>8</v>
      </c>
      <c r="E2464">
        <v>7119</v>
      </c>
      <c r="F2464" s="1">
        <v>43771</v>
      </c>
      <c r="G2464" s="2" t="s">
        <v>19</v>
      </c>
      <c r="H2464" s="2" t="s">
        <v>607</v>
      </c>
      <c r="I2464">
        <v>118</v>
      </c>
      <c r="J2464" s="2" t="s">
        <v>713</v>
      </c>
      <c r="K2464" s="2" t="s">
        <v>137</v>
      </c>
      <c r="L2464" s="2" t="s">
        <v>138</v>
      </c>
      <c r="M2464" s="2" t="s">
        <v>139</v>
      </c>
      <c r="N2464" s="2" t="s">
        <v>140</v>
      </c>
      <c r="O2464" s="2" t="s">
        <v>141</v>
      </c>
      <c r="P2464" s="2" t="s">
        <v>27</v>
      </c>
      <c r="Q2464" s="2" t="s">
        <v>28</v>
      </c>
      <c r="R2464" s="2" t="s">
        <v>142</v>
      </c>
      <c r="S2464" s="2" t="s">
        <v>151</v>
      </c>
      <c r="T2464">
        <v>2793</v>
      </c>
      <c r="U2464">
        <f>VLOOKUP(Auto_Sales_data___Copy[[#This Row],[CUSTOMER_NAME]],$AF$2:$AH$90,2,FALSE)</f>
        <v>31</v>
      </c>
      <c r="V2464">
        <f>VLOOKUP(Auto_Sales_data___Copy[[#This Row],[CUSTOMER_NAME]],$AF$2:$AH$90,3,FALSE)</f>
        <v>122138.14</v>
      </c>
      <c r="W2464" s="2">
        <f>6-MATCH(Auto_Sales_data___Copy[[#This Row],[DAYS_SINCE_LAST_ORDER]],Table2[R-Cutoff],1)</f>
        <v>1</v>
      </c>
      <c r="X2464" s="2">
        <f>MATCH(Auto_Sales_data___Copy[[#This Row],[Total_Orders_Per_Customer]],Table2[F-Cutoff],1)</f>
        <v>4</v>
      </c>
      <c r="Y2464" s="2">
        <f>MATCH(Auto_Sales_data___Copy[[#This Row],[Total_Sales_Per_Customer]],Table2[M-Cutoff],1)</f>
        <v>4</v>
      </c>
      <c r="Z2464" s="2" t="str">
        <f>Auto_Sales_data___Copy[[#This Row],[R-Score(1-5)]]&amp;Auto_Sales_data___Copy[[#This Row],[F-Score(1-5)]]&amp;Auto_Sales_data___Copy[[#This Row],[M-Score(1-5)]]</f>
        <v>144</v>
      </c>
      <c r="AA2464" s="2" t="str" cm="1">
        <f t="array" ref="AA24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4" s="2" t="str">
        <f>VLOOKUP(Auto_Sales_data___Copy[[#This Row],[Segment Name]],Table3[],2,FALSE)</f>
        <v>Brand Awareness &amp; Value Proposition</v>
      </c>
    </row>
    <row r="2465" spans="1:28" x14ac:dyDescent="0.25">
      <c r="A2465">
        <v>10327</v>
      </c>
      <c r="B2465">
        <v>20</v>
      </c>
      <c r="C2465">
        <v>173.46</v>
      </c>
      <c r="D2465">
        <v>7</v>
      </c>
      <c r="E2465">
        <v>3469.2</v>
      </c>
      <c r="F2465" s="1">
        <v>43779</v>
      </c>
      <c r="G2465" s="2" t="s">
        <v>431</v>
      </c>
      <c r="H2465" s="2" t="s">
        <v>642</v>
      </c>
      <c r="I2465">
        <v>86</v>
      </c>
      <c r="J2465" s="2" t="s">
        <v>708</v>
      </c>
      <c r="K2465" s="2" t="s">
        <v>339</v>
      </c>
      <c r="L2465" s="2" t="s">
        <v>340</v>
      </c>
      <c r="M2465" s="2" t="s">
        <v>341</v>
      </c>
      <c r="N2465" s="2" t="s">
        <v>342</v>
      </c>
      <c r="O2465" s="2" t="s">
        <v>343</v>
      </c>
      <c r="P2465" s="2" t="s">
        <v>344</v>
      </c>
      <c r="Q2465" s="2" t="s">
        <v>345</v>
      </c>
      <c r="R2465" s="2" t="s">
        <v>346</v>
      </c>
      <c r="S2465" s="2" t="s">
        <v>46</v>
      </c>
      <c r="T2465">
        <v>2658</v>
      </c>
      <c r="U2465">
        <f>VLOOKUP(Auto_Sales_data___Copy[[#This Row],[CUSTOMER_NAME]],$AF$2:$AH$90,2,FALSE)</f>
        <v>36</v>
      </c>
      <c r="V2465">
        <f>VLOOKUP(Auto_Sales_data___Copy[[#This Row],[CUSTOMER_NAME]],$AF$2:$AH$90,3,FALSE)</f>
        <v>145041.60000000001</v>
      </c>
      <c r="W2465" s="2">
        <f>6-MATCH(Auto_Sales_data___Copy[[#This Row],[DAYS_SINCE_LAST_ORDER]],Table2[R-Cutoff],1)</f>
        <v>1</v>
      </c>
      <c r="X2465" s="2">
        <f>MATCH(Auto_Sales_data___Copy[[#This Row],[Total_Orders_Per_Customer]],Table2[F-Cutoff],1)</f>
        <v>4</v>
      </c>
      <c r="Y2465" s="2">
        <f>MATCH(Auto_Sales_data___Copy[[#This Row],[Total_Sales_Per_Customer]],Table2[M-Cutoff],1)</f>
        <v>4</v>
      </c>
      <c r="Z2465" s="2" t="str">
        <f>Auto_Sales_data___Copy[[#This Row],[R-Score(1-5)]]&amp;Auto_Sales_data___Copy[[#This Row],[F-Score(1-5)]]&amp;Auto_Sales_data___Copy[[#This Row],[M-Score(1-5)]]</f>
        <v>144</v>
      </c>
      <c r="AA2465" s="2" t="str" cm="1">
        <f t="array" ref="AA24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5" s="2" t="str">
        <f>VLOOKUP(Auto_Sales_data___Copy[[#This Row],[Segment Name]],Table3[],2,FALSE)</f>
        <v>Brand Awareness &amp; Value Proposition</v>
      </c>
    </row>
    <row r="2466" spans="1:28" x14ac:dyDescent="0.25">
      <c r="A2466">
        <v>10327</v>
      </c>
      <c r="B2466">
        <v>21</v>
      </c>
      <c r="C2466">
        <v>96.31</v>
      </c>
      <c r="D2466">
        <v>1</v>
      </c>
      <c r="E2466">
        <v>2022.51</v>
      </c>
      <c r="F2466" s="1">
        <v>43779</v>
      </c>
      <c r="G2466" s="2" t="s">
        <v>431</v>
      </c>
      <c r="H2466" s="2" t="s">
        <v>642</v>
      </c>
      <c r="I2466">
        <v>72</v>
      </c>
      <c r="J2466" s="2" t="s">
        <v>711</v>
      </c>
      <c r="K2466" s="2" t="s">
        <v>339</v>
      </c>
      <c r="L2466" s="2" t="s">
        <v>340</v>
      </c>
      <c r="M2466" s="2" t="s">
        <v>341</v>
      </c>
      <c r="N2466" s="2" t="s">
        <v>342</v>
      </c>
      <c r="O2466" s="2" t="s">
        <v>343</v>
      </c>
      <c r="P2466" s="2" t="s">
        <v>344</v>
      </c>
      <c r="Q2466" s="2" t="s">
        <v>345</v>
      </c>
      <c r="R2466" s="2" t="s">
        <v>346</v>
      </c>
      <c r="S2466" s="2" t="s">
        <v>30</v>
      </c>
      <c r="T2466">
        <v>2736</v>
      </c>
      <c r="U2466">
        <f>VLOOKUP(Auto_Sales_data___Copy[[#This Row],[CUSTOMER_NAME]],$AF$2:$AH$90,2,FALSE)</f>
        <v>36</v>
      </c>
      <c r="V2466">
        <f>VLOOKUP(Auto_Sales_data___Copy[[#This Row],[CUSTOMER_NAME]],$AF$2:$AH$90,3,FALSE)</f>
        <v>145041.60000000001</v>
      </c>
      <c r="W2466" s="2">
        <f>6-MATCH(Auto_Sales_data___Copy[[#This Row],[DAYS_SINCE_LAST_ORDER]],Table2[R-Cutoff],1)</f>
        <v>1</v>
      </c>
      <c r="X2466" s="2">
        <f>MATCH(Auto_Sales_data___Copy[[#This Row],[Total_Orders_Per_Customer]],Table2[F-Cutoff],1)</f>
        <v>4</v>
      </c>
      <c r="Y2466" s="2">
        <f>MATCH(Auto_Sales_data___Copy[[#This Row],[Total_Sales_Per_Customer]],Table2[M-Cutoff],1)</f>
        <v>4</v>
      </c>
      <c r="Z2466" s="2" t="str">
        <f>Auto_Sales_data___Copy[[#This Row],[R-Score(1-5)]]&amp;Auto_Sales_data___Copy[[#This Row],[F-Score(1-5)]]&amp;Auto_Sales_data___Copy[[#This Row],[M-Score(1-5)]]</f>
        <v>144</v>
      </c>
      <c r="AA2466" s="2" t="str" cm="1">
        <f t="array" ref="AA24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6" s="2" t="str">
        <f>VLOOKUP(Auto_Sales_data___Copy[[#This Row],[Segment Name]],Table3[],2,FALSE)</f>
        <v>Brand Awareness &amp; Value Proposition</v>
      </c>
    </row>
    <row r="2467" spans="1:28" x14ac:dyDescent="0.25">
      <c r="A2467">
        <v>10327</v>
      </c>
      <c r="B2467">
        <v>43</v>
      </c>
      <c r="C2467">
        <v>80</v>
      </c>
      <c r="D2467">
        <v>2</v>
      </c>
      <c r="E2467">
        <v>3440</v>
      </c>
      <c r="F2467" s="1">
        <v>43779</v>
      </c>
      <c r="G2467" s="2" t="s">
        <v>431</v>
      </c>
      <c r="H2467" s="2" t="s">
        <v>642</v>
      </c>
      <c r="I2467">
        <v>100</v>
      </c>
      <c r="J2467" s="2" t="s">
        <v>715</v>
      </c>
      <c r="K2467" s="2" t="s">
        <v>339</v>
      </c>
      <c r="L2467" s="2" t="s">
        <v>340</v>
      </c>
      <c r="M2467" s="2" t="s">
        <v>341</v>
      </c>
      <c r="N2467" s="2" t="s">
        <v>342</v>
      </c>
      <c r="O2467" s="2" t="s">
        <v>343</v>
      </c>
      <c r="P2467" s="2" t="s">
        <v>344</v>
      </c>
      <c r="Q2467" s="2" t="s">
        <v>345</v>
      </c>
      <c r="R2467" s="2" t="s">
        <v>346</v>
      </c>
      <c r="S2467" s="2" t="s">
        <v>46</v>
      </c>
      <c r="T2467">
        <v>2839</v>
      </c>
      <c r="U2467">
        <f>VLOOKUP(Auto_Sales_data___Copy[[#This Row],[CUSTOMER_NAME]],$AF$2:$AH$90,2,FALSE)</f>
        <v>36</v>
      </c>
      <c r="V2467">
        <f>VLOOKUP(Auto_Sales_data___Copy[[#This Row],[CUSTOMER_NAME]],$AF$2:$AH$90,3,FALSE)</f>
        <v>145041.60000000001</v>
      </c>
      <c r="W2467" s="2">
        <f>6-MATCH(Auto_Sales_data___Copy[[#This Row],[DAYS_SINCE_LAST_ORDER]],Table2[R-Cutoff],1)</f>
        <v>1</v>
      </c>
      <c r="X2467" s="2">
        <f>MATCH(Auto_Sales_data___Copy[[#This Row],[Total_Orders_Per_Customer]],Table2[F-Cutoff],1)</f>
        <v>4</v>
      </c>
      <c r="Y2467" s="2">
        <f>MATCH(Auto_Sales_data___Copy[[#This Row],[Total_Sales_Per_Customer]],Table2[M-Cutoff],1)</f>
        <v>4</v>
      </c>
      <c r="Z2467" s="2" t="str">
        <f>Auto_Sales_data___Copy[[#This Row],[R-Score(1-5)]]&amp;Auto_Sales_data___Copy[[#This Row],[F-Score(1-5)]]&amp;Auto_Sales_data___Copy[[#This Row],[M-Score(1-5)]]</f>
        <v>144</v>
      </c>
      <c r="AA2467" s="2" t="str" cm="1">
        <f t="array" ref="AA24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7" s="2" t="str">
        <f>VLOOKUP(Auto_Sales_data___Copy[[#This Row],[Segment Name]],Table3[],2,FALSE)</f>
        <v>Brand Awareness &amp; Value Proposition</v>
      </c>
    </row>
    <row r="2468" spans="1:28" x14ac:dyDescent="0.25">
      <c r="A2468">
        <v>10327</v>
      </c>
      <c r="B2468">
        <v>37</v>
      </c>
      <c r="C2468">
        <v>86.61</v>
      </c>
      <c r="D2468">
        <v>3</v>
      </c>
      <c r="E2468">
        <v>3204.57</v>
      </c>
      <c r="F2468" s="1">
        <v>43779</v>
      </c>
      <c r="G2468" s="2" t="s">
        <v>431</v>
      </c>
      <c r="H2468" s="2" t="s">
        <v>642</v>
      </c>
      <c r="I2468">
        <v>99</v>
      </c>
      <c r="J2468" s="2" t="s">
        <v>716</v>
      </c>
      <c r="K2468" s="2" t="s">
        <v>339</v>
      </c>
      <c r="L2468" s="2" t="s">
        <v>340</v>
      </c>
      <c r="M2468" s="2" t="s">
        <v>341</v>
      </c>
      <c r="N2468" s="2" t="s">
        <v>342</v>
      </c>
      <c r="O2468" s="2" t="s">
        <v>343</v>
      </c>
      <c r="P2468" s="2" t="s">
        <v>344</v>
      </c>
      <c r="Q2468" s="2" t="s">
        <v>345</v>
      </c>
      <c r="R2468" s="2" t="s">
        <v>346</v>
      </c>
      <c r="S2468" s="2" t="s">
        <v>46</v>
      </c>
      <c r="T2468">
        <v>2865</v>
      </c>
      <c r="U2468">
        <f>VLOOKUP(Auto_Sales_data___Copy[[#This Row],[CUSTOMER_NAME]],$AF$2:$AH$90,2,FALSE)</f>
        <v>36</v>
      </c>
      <c r="V2468">
        <f>VLOOKUP(Auto_Sales_data___Copy[[#This Row],[CUSTOMER_NAME]],$AF$2:$AH$90,3,FALSE)</f>
        <v>145041.60000000001</v>
      </c>
      <c r="W2468" s="2">
        <f>6-MATCH(Auto_Sales_data___Copy[[#This Row],[DAYS_SINCE_LAST_ORDER]],Table2[R-Cutoff],1)</f>
        <v>1</v>
      </c>
      <c r="X2468" s="2">
        <f>MATCH(Auto_Sales_data___Copy[[#This Row],[Total_Orders_Per_Customer]],Table2[F-Cutoff],1)</f>
        <v>4</v>
      </c>
      <c r="Y2468" s="2">
        <f>MATCH(Auto_Sales_data___Copy[[#This Row],[Total_Sales_Per_Customer]],Table2[M-Cutoff],1)</f>
        <v>4</v>
      </c>
      <c r="Z2468" s="2" t="str">
        <f>Auto_Sales_data___Copy[[#This Row],[R-Score(1-5)]]&amp;Auto_Sales_data___Copy[[#This Row],[F-Score(1-5)]]&amp;Auto_Sales_data___Copy[[#This Row],[M-Score(1-5)]]</f>
        <v>144</v>
      </c>
      <c r="AA2468" s="2" t="str" cm="1">
        <f t="array" ref="AA24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8" s="2" t="str">
        <f>VLOOKUP(Auto_Sales_data___Copy[[#This Row],[Segment Name]],Table3[],2,FALSE)</f>
        <v>Brand Awareness &amp; Value Proposition</v>
      </c>
    </row>
    <row r="2469" spans="1:28" x14ac:dyDescent="0.25">
      <c r="A2469">
        <v>10327</v>
      </c>
      <c r="B2469">
        <v>37</v>
      </c>
      <c r="C2469">
        <v>86.74</v>
      </c>
      <c r="D2469">
        <v>4</v>
      </c>
      <c r="E2469">
        <v>3209.38</v>
      </c>
      <c r="F2469" s="1">
        <v>43779</v>
      </c>
      <c r="G2469" s="2" t="s">
        <v>431</v>
      </c>
      <c r="H2469" s="2" t="s">
        <v>642</v>
      </c>
      <c r="I2469">
        <v>54</v>
      </c>
      <c r="J2469" s="2" t="s">
        <v>719</v>
      </c>
      <c r="K2469" s="2" t="s">
        <v>339</v>
      </c>
      <c r="L2469" s="2" t="s">
        <v>340</v>
      </c>
      <c r="M2469" s="2" t="s">
        <v>341</v>
      </c>
      <c r="N2469" s="2" t="s">
        <v>342</v>
      </c>
      <c r="O2469" s="2" t="s">
        <v>343</v>
      </c>
      <c r="P2469" s="2" t="s">
        <v>344</v>
      </c>
      <c r="Q2469" s="2" t="s">
        <v>345</v>
      </c>
      <c r="R2469" s="2" t="s">
        <v>346</v>
      </c>
      <c r="S2469" s="2" t="s">
        <v>46</v>
      </c>
      <c r="T2469">
        <v>2944</v>
      </c>
      <c r="U2469">
        <f>VLOOKUP(Auto_Sales_data___Copy[[#This Row],[CUSTOMER_NAME]],$AF$2:$AH$90,2,FALSE)</f>
        <v>36</v>
      </c>
      <c r="V2469">
        <f>VLOOKUP(Auto_Sales_data___Copy[[#This Row],[CUSTOMER_NAME]],$AF$2:$AH$90,3,FALSE)</f>
        <v>145041.60000000001</v>
      </c>
      <c r="W2469" s="2">
        <f>6-MATCH(Auto_Sales_data___Copy[[#This Row],[DAYS_SINCE_LAST_ORDER]],Table2[R-Cutoff],1)</f>
        <v>1</v>
      </c>
      <c r="X2469" s="2">
        <f>MATCH(Auto_Sales_data___Copy[[#This Row],[Total_Orders_Per_Customer]],Table2[F-Cutoff],1)</f>
        <v>4</v>
      </c>
      <c r="Y2469" s="2">
        <f>MATCH(Auto_Sales_data___Copy[[#This Row],[Total_Sales_Per_Customer]],Table2[M-Cutoff],1)</f>
        <v>4</v>
      </c>
      <c r="Z2469" s="2" t="str">
        <f>Auto_Sales_data___Copy[[#This Row],[R-Score(1-5)]]&amp;Auto_Sales_data___Copy[[#This Row],[F-Score(1-5)]]&amp;Auto_Sales_data___Copy[[#This Row],[M-Score(1-5)]]</f>
        <v>144</v>
      </c>
      <c r="AA2469" s="2" t="str" cm="1">
        <f t="array" ref="AA24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9" s="2" t="str">
        <f>VLOOKUP(Auto_Sales_data___Copy[[#This Row],[Segment Name]],Table3[],2,FALSE)</f>
        <v>Brand Awareness &amp; Value Proposition</v>
      </c>
    </row>
    <row r="2470" spans="1:28" x14ac:dyDescent="0.25">
      <c r="A2470">
        <v>10328</v>
      </c>
      <c r="B2470">
        <v>27</v>
      </c>
      <c r="C2470">
        <v>102.3</v>
      </c>
      <c r="D2470">
        <v>8</v>
      </c>
      <c r="E2470">
        <v>2762.1</v>
      </c>
      <c r="F2470" s="1">
        <v>43781</v>
      </c>
      <c r="G2470" s="2" t="s">
        <v>19</v>
      </c>
      <c r="H2470" s="2" t="s">
        <v>607</v>
      </c>
      <c r="I2470">
        <v>91</v>
      </c>
      <c r="J2470" s="2" t="s">
        <v>707</v>
      </c>
      <c r="K2470" s="2" t="s">
        <v>591</v>
      </c>
      <c r="L2470" s="2" t="s">
        <v>592</v>
      </c>
      <c r="M2470" s="2" t="s">
        <v>593</v>
      </c>
      <c r="N2470" s="2" t="s">
        <v>594</v>
      </c>
      <c r="O2470" s="2" t="s">
        <v>595</v>
      </c>
      <c r="P2470" s="2" t="s">
        <v>269</v>
      </c>
      <c r="Q2470" s="2" t="s">
        <v>596</v>
      </c>
      <c r="R2470" s="2" t="s">
        <v>597</v>
      </c>
      <c r="S2470" s="2" t="s">
        <v>30</v>
      </c>
      <c r="T2470">
        <v>2629</v>
      </c>
      <c r="U2470">
        <f>VLOOKUP(Auto_Sales_data___Copy[[#This Row],[CUSTOMER_NAME]],$AF$2:$AH$90,2,FALSE)</f>
        <v>48</v>
      </c>
      <c r="V2470">
        <f>VLOOKUP(Auto_Sales_data___Copy[[#This Row],[CUSTOMER_NAME]],$AF$2:$AH$90,3,FALSE)</f>
        <v>137955.72</v>
      </c>
      <c r="W2470" s="2">
        <f>6-MATCH(Auto_Sales_data___Copy[[#This Row],[DAYS_SINCE_LAST_ORDER]],Table2[R-Cutoff],1)</f>
        <v>1</v>
      </c>
      <c r="X2470" s="2">
        <f>MATCH(Auto_Sales_data___Copy[[#This Row],[Total_Orders_Per_Customer]],Table2[F-Cutoff],1)</f>
        <v>4</v>
      </c>
      <c r="Y2470" s="2">
        <f>MATCH(Auto_Sales_data___Copy[[#This Row],[Total_Sales_Per_Customer]],Table2[M-Cutoff],1)</f>
        <v>4</v>
      </c>
      <c r="Z2470" s="2" t="str">
        <f>Auto_Sales_data___Copy[[#This Row],[R-Score(1-5)]]&amp;Auto_Sales_data___Copy[[#This Row],[F-Score(1-5)]]&amp;Auto_Sales_data___Copy[[#This Row],[M-Score(1-5)]]</f>
        <v>144</v>
      </c>
      <c r="AA2470" s="2" t="str" cm="1">
        <f t="array" ref="AA24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0" s="2" t="str">
        <f>VLOOKUP(Auto_Sales_data___Copy[[#This Row],[Segment Name]],Table3[],2,FALSE)</f>
        <v>Brand Awareness &amp; Value Proposition</v>
      </c>
    </row>
    <row r="2471" spans="1:28" x14ac:dyDescent="0.25">
      <c r="A2471">
        <v>10328</v>
      </c>
      <c r="B2471">
        <v>41</v>
      </c>
      <c r="C2471">
        <v>101.38</v>
      </c>
      <c r="D2471">
        <v>9</v>
      </c>
      <c r="E2471">
        <v>4156.58</v>
      </c>
      <c r="F2471" s="1">
        <v>43781</v>
      </c>
      <c r="G2471" s="2" t="s">
        <v>19</v>
      </c>
      <c r="H2471" s="2" t="s">
        <v>642</v>
      </c>
      <c r="I2471">
        <v>90</v>
      </c>
      <c r="J2471" s="2" t="s">
        <v>709</v>
      </c>
      <c r="K2471" s="2" t="s">
        <v>591</v>
      </c>
      <c r="L2471" s="2" t="s">
        <v>592</v>
      </c>
      <c r="M2471" s="2" t="s">
        <v>593</v>
      </c>
      <c r="N2471" s="2" t="s">
        <v>594</v>
      </c>
      <c r="O2471" s="2" t="s">
        <v>595</v>
      </c>
      <c r="P2471" s="2" t="s">
        <v>269</v>
      </c>
      <c r="Q2471" s="2" t="s">
        <v>596</v>
      </c>
      <c r="R2471" s="2" t="s">
        <v>597</v>
      </c>
      <c r="S2471" s="2" t="s">
        <v>46</v>
      </c>
      <c r="T2471">
        <v>2679</v>
      </c>
      <c r="U2471">
        <f>VLOOKUP(Auto_Sales_data___Copy[[#This Row],[CUSTOMER_NAME]],$AF$2:$AH$90,2,FALSE)</f>
        <v>48</v>
      </c>
      <c r="V2471">
        <f>VLOOKUP(Auto_Sales_data___Copy[[#This Row],[CUSTOMER_NAME]],$AF$2:$AH$90,3,FALSE)</f>
        <v>137955.72</v>
      </c>
      <c r="W2471" s="2">
        <f>6-MATCH(Auto_Sales_data___Copy[[#This Row],[DAYS_SINCE_LAST_ORDER]],Table2[R-Cutoff],1)</f>
        <v>1</v>
      </c>
      <c r="X2471" s="2">
        <f>MATCH(Auto_Sales_data___Copy[[#This Row],[Total_Orders_Per_Customer]],Table2[F-Cutoff],1)</f>
        <v>4</v>
      </c>
      <c r="Y2471" s="2">
        <f>MATCH(Auto_Sales_data___Copy[[#This Row],[Total_Sales_Per_Customer]],Table2[M-Cutoff],1)</f>
        <v>4</v>
      </c>
      <c r="Z2471" s="2" t="str">
        <f>Auto_Sales_data___Copy[[#This Row],[R-Score(1-5)]]&amp;Auto_Sales_data___Copy[[#This Row],[F-Score(1-5)]]&amp;Auto_Sales_data___Copy[[#This Row],[M-Score(1-5)]]</f>
        <v>144</v>
      </c>
      <c r="AA2471" s="2" t="str" cm="1">
        <f t="array" ref="AA24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1" s="2" t="str">
        <f>VLOOKUP(Auto_Sales_data___Copy[[#This Row],[Segment Name]],Table3[],2,FALSE)</f>
        <v>Brand Awareness &amp; Value Proposition</v>
      </c>
    </row>
    <row r="2472" spans="1:28" x14ac:dyDescent="0.25">
      <c r="A2472">
        <v>10328</v>
      </c>
      <c r="B2472">
        <v>37</v>
      </c>
      <c r="C2472">
        <v>108.69</v>
      </c>
      <c r="D2472">
        <v>10</v>
      </c>
      <c r="E2472">
        <v>4021.53</v>
      </c>
      <c r="F2472" s="1">
        <v>43781</v>
      </c>
      <c r="G2472" s="2" t="s">
        <v>19</v>
      </c>
      <c r="H2472" s="2" t="s">
        <v>607</v>
      </c>
      <c r="I2472">
        <v>99</v>
      </c>
      <c r="J2472" s="2" t="s">
        <v>710</v>
      </c>
      <c r="K2472" s="2" t="s">
        <v>591</v>
      </c>
      <c r="L2472" s="2" t="s">
        <v>592</v>
      </c>
      <c r="M2472" s="2" t="s">
        <v>593</v>
      </c>
      <c r="N2472" s="2" t="s">
        <v>594</v>
      </c>
      <c r="O2472" s="2" t="s">
        <v>595</v>
      </c>
      <c r="P2472" s="2" t="s">
        <v>269</v>
      </c>
      <c r="Q2472" s="2" t="s">
        <v>596</v>
      </c>
      <c r="R2472" s="2" t="s">
        <v>597</v>
      </c>
      <c r="S2472" s="2" t="s">
        <v>46</v>
      </c>
      <c r="T2472">
        <v>2706</v>
      </c>
      <c r="U2472">
        <f>VLOOKUP(Auto_Sales_data___Copy[[#This Row],[CUSTOMER_NAME]],$AF$2:$AH$90,2,FALSE)</f>
        <v>48</v>
      </c>
      <c r="V2472">
        <f>VLOOKUP(Auto_Sales_data___Copy[[#This Row],[CUSTOMER_NAME]],$AF$2:$AH$90,3,FALSE)</f>
        <v>137955.72</v>
      </c>
      <c r="W2472" s="2">
        <f>6-MATCH(Auto_Sales_data___Copy[[#This Row],[DAYS_SINCE_LAST_ORDER]],Table2[R-Cutoff],1)</f>
        <v>1</v>
      </c>
      <c r="X2472" s="2">
        <f>MATCH(Auto_Sales_data___Copy[[#This Row],[Total_Orders_Per_Customer]],Table2[F-Cutoff],1)</f>
        <v>4</v>
      </c>
      <c r="Y2472" s="2">
        <f>MATCH(Auto_Sales_data___Copy[[#This Row],[Total_Sales_Per_Customer]],Table2[M-Cutoff],1)</f>
        <v>4</v>
      </c>
      <c r="Z2472" s="2" t="str">
        <f>Auto_Sales_data___Copy[[#This Row],[R-Score(1-5)]]&amp;Auto_Sales_data___Copy[[#This Row],[F-Score(1-5)]]&amp;Auto_Sales_data___Copy[[#This Row],[M-Score(1-5)]]</f>
        <v>144</v>
      </c>
      <c r="AA2472" s="2" t="str" cm="1">
        <f t="array" ref="AA24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2" s="2" t="str">
        <f>VLOOKUP(Auto_Sales_data___Copy[[#This Row],[Segment Name]],Table3[],2,FALSE)</f>
        <v>Brand Awareness &amp; Value Proposition</v>
      </c>
    </row>
    <row r="2473" spans="1:28" x14ac:dyDescent="0.25">
      <c r="A2473">
        <v>10328</v>
      </c>
      <c r="B2473">
        <v>33</v>
      </c>
      <c r="C2473">
        <v>123.4</v>
      </c>
      <c r="D2473">
        <v>11</v>
      </c>
      <c r="E2473">
        <v>4072.2</v>
      </c>
      <c r="F2473" s="1">
        <v>43781</v>
      </c>
      <c r="G2473" s="2" t="s">
        <v>19</v>
      </c>
      <c r="H2473" s="2" t="s">
        <v>607</v>
      </c>
      <c r="I2473">
        <v>118</v>
      </c>
      <c r="J2473" s="2" t="s">
        <v>713</v>
      </c>
      <c r="K2473" s="2" t="s">
        <v>591</v>
      </c>
      <c r="L2473" s="2" t="s">
        <v>592</v>
      </c>
      <c r="M2473" s="2" t="s">
        <v>593</v>
      </c>
      <c r="N2473" s="2" t="s">
        <v>594</v>
      </c>
      <c r="O2473" s="2" t="s">
        <v>595</v>
      </c>
      <c r="P2473" s="2" t="s">
        <v>269</v>
      </c>
      <c r="Q2473" s="2" t="s">
        <v>596</v>
      </c>
      <c r="R2473" s="2" t="s">
        <v>597</v>
      </c>
      <c r="S2473" s="2" t="s">
        <v>46</v>
      </c>
      <c r="T2473">
        <v>2784</v>
      </c>
      <c r="U2473">
        <f>VLOOKUP(Auto_Sales_data___Copy[[#This Row],[CUSTOMER_NAME]],$AF$2:$AH$90,2,FALSE)</f>
        <v>48</v>
      </c>
      <c r="V2473">
        <f>VLOOKUP(Auto_Sales_data___Copy[[#This Row],[CUSTOMER_NAME]],$AF$2:$AH$90,3,FALSE)</f>
        <v>137955.72</v>
      </c>
      <c r="W2473" s="2">
        <f>6-MATCH(Auto_Sales_data___Copy[[#This Row],[DAYS_SINCE_LAST_ORDER]],Table2[R-Cutoff],1)</f>
        <v>1</v>
      </c>
      <c r="X2473" s="2">
        <f>MATCH(Auto_Sales_data___Copy[[#This Row],[Total_Orders_Per_Customer]],Table2[F-Cutoff],1)</f>
        <v>4</v>
      </c>
      <c r="Y2473" s="2">
        <f>MATCH(Auto_Sales_data___Copy[[#This Row],[Total_Sales_Per_Customer]],Table2[M-Cutoff],1)</f>
        <v>4</v>
      </c>
      <c r="Z2473" s="2" t="str">
        <f>Auto_Sales_data___Copy[[#This Row],[R-Score(1-5)]]&amp;Auto_Sales_data___Copy[[#This Row],[F-Score(1-5)]]&amp;Auto_Sales_data___Copy[[#This Row],[M-Score(1-5)]]</f>
        <v>144</v>
      </c>
      <c r="AA2473" s="2" t="str" cm="1">
        <f t="array" ref="AA24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3" s="2" t="str">
        <f>VLOOKUP(Auto_Sales_data___Copy[[#This Row],[Segment Name]],Table3[],2,FALSE)</f>
        <v>Brand Awareness &amp; Value Proposition</v>
      </c>
    </row>
    <row r="2474" spans="1:28" x14ac:dyDescent="0.25">
      <c r="A2474">
        <v>10328</v>
      </c>
      <c r="B2474">
        <v>33</v>
      </c>
      <c r="C2474">
        <v>64</v>
      </c>
      <c r="D2474">
        <v>13</v>
      </c>
      <c r="E2474">
        <v>2112</v>
      </c>
      <c r="F2474" s="1">
        <v>43781</v>
      </c>
      <c r="G2474" s="2" t="s">
        <v>19</v>
      </c>
      <c r="H2474" s="2" t="s">
        <v>607</v>
      </c>
      <c r="I2474">
        <v>80</v>
      </c>
      <c r="J2474" s="2" t="s">
        <v>714</v>
      </c>
      <c r="K2474" s="2" t="s">
        <v>591</v>
      </c>
      <c r="L2474" s="2" t="s">
        <v>592</v>
      </c>
      <c r="M2474" s="2" t="s">
        <v>593</v>
      </c>
      <c r="N2474" s="2" t="s">
        <v>594</v>
      </c>
      <c r="O2474" s="2" t="s">
        <v>595</v>
      </c>
      <c r="P2474" s="2" t="s">
        <v>269</v>
      </c>
      <c r="Q2474" s="2" t="s">
        <v>596</v>
      </c>
      <c r="R2474" s="2" t="s">
        <v>597</v>
      </c>
      <c r="S2474" s="2" t="s">
        <v>30</v>
      </c>
      <c r="T2474">
        <v>2809</v>
      </c>
      <c r="U2474">
        <f>VLOOKUP(Auto_Sales_data___Copy[[#This Row],[CUSTOMER_NAME]],$AF$2:$AH$90,2,FALSE)</f>
        <v>48</v>
      </c>
      <c r="V2474">
        <f>VLOOKUP(Auto_Sales_data___Copy[[#This Row],[CUSTOMER_NAME]],$AF$2:$AH$90,3,FALSE)</f>
        <v>137955.72</v>
      </c>
      <c r="W2474" s="2">
        <f>6-MATCH(Auto_Sales_data___Copy[[#This Row],[DAYS_SINCE_LAST_ORDER]],Table2[R-Cutoff],1)</f>
        <v>1</v>
      </c>
      <c r="X2474" s="2">
        <f>MATCH(Auto_Sales_data___Copy[[#This Row],[Total_Orders_Per_Customer]],Table2[F-Cutoff],1)</f>
        <v>4</v>
      </c>
      <c r="Y2474" s="2">
        <f>MATCH(Auto_Sales_data___Copy[[#This Row],[Total_Sales_Per_Customer]],Table2[M-Cutoff],1)</f>
        <v>4</v>
      </c>
      <c r="Z2474" s="2" t="str">
        <f>Auto_Sales_data___Copy[[#This Row],[R-Score(1-5)]]&amp;Auto_Sales_data___Copy[[#This Row],[F-Score(1-5)]]&amp;Auto_Sales_data___Copy[[#This Row],[M-Score(1-5)]]</f>
        <v>144</v>
      </c>
      <c r="AA2474" s="2" t="str" cm="1">
        <f t="array" ref="AA24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4" s="2" t="str">
        <f>VLOOKUP(Auto_Sales_data___Copy[[#This Row],[Segment Name]],Table3[],2,FALSE)</f>
        <v>Brand Awareness &amp; Value Proposition</v>
      </c>
    </row>
    <row r="2475" spans="1:28" x14ac:dyDescent="0.25">
      <c r="A2475">
        <v>10328</v>
      </c>
      <c r="B2475">
        <v>39</v>
      </c>
      <c r="C2475">
        <v>85.87</v>
      </c>
      <c r="D2475">
        <v>12</v>
      </c>
      <c r="E2475">
        <v>3348.93</v>
      </c>
      <c r="F2475" s="1">
        <v>43781</v>
      </c>
      <c r="G2475" s="2" t="s">
        <v>19</v>
      </c>
      <c r="H2475" s="2" t="s">
        <v>607</v>
      </c>
      <c r="I2475">
        <v>74</v>
      </c>
      <c r="J2475" s="2" t="s">
        <v>717</v>
      </c>
      <c r="K2475" s="2" t="s">
        <v>591</v>
      </c>
      <c r="L2475" s="2" t="s">
        <v>592</v>
      </c>
      <c r="M2475" s="2" t="s">
        <v>593</v>
      </c>
      <c r="N2475" s="2" t="s">
        <v>594</v>
      </c>
      <c r="O2475" s="2" t="s">
        <v>595</v>
      </c>
      <c r="P2475" s="2" t="s">
        <v>269</v>
      </c>
      <c r="Q2475" s="2" t="s">
        <v>596</v>
      </c>
      <c r="R2475" s="2" t="s">
        <v>597</v>
      </c>
      <c r="S2475" s="2" t="s">
        <v>46</v>
      </c>
      <c r="T2475">
        <v>2888</v>
      </c>
      <c r="U2475">
        <f>VLOOKUP(Auto_Sales_data___Copy[[#This Row],[CUSTOMER_NAME]],$AF$2:$AH$90,2,FALSE)</f>
        <v>48</v>
      </c>
      <c r="V2475">
        <f>VLOOKUP(Auto_Sales_data___Copy[[#This Row],[CUSTOMER_NAME]],$AF$2:$AH$90,3,FALSE)</f>
        <v>137955.72</v>
      </c>
      <c r="W2475" s="2">
        <f>6-MATCH(Auto_Sales_data___Copy[[#This Row],[DAYS_SINCE_LAST_ORDER]],Table2[R-Cutoff],1)</f>
        <v>1</v>
      </c>
      <c r="X2475" s="2">
        <f>MATCH(Auto_Sales_data___Copy[[#This Row],[Total_Orders_Per_Customer]],Table2[F-Cutoff],1)</f>
        <v>4</v>
      </c>
      <c r="Y2475" s="2">
        <f>MATCH(Auto_Sales_data___Copy[[#This Row],[Total_Sales_Per_Customer]],Table2[M-Cutoff],1)</f>
        <v>4</v>
      </c>
      <c r="Z2475" s="2" t="str">
        <f>Auto_Sales_data___Copy[[#This Row],[R-Score(1-5)]]&amp;Auto_Sales_data___Copy[[#This Row],[F-Score(1-5)]]&amp;Auto_Sales_data___Copy[[#This Row],[M-Score(1-5)]]</f>
        <v>144</v>
      </c>
      <c r="AA2475" s="2" t="str" cm="1">
        <f t="array" ref="AA24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5" s="2" t="str">
        <f>VLOOKUP(Auto_Sales_data___Copy[[#This Row],[Segment Name]],Table3[],2,FALSE)</f>
        <v>Brand Awareness &amp; Value Proposition</v>
      </c>
    </row>
    <row r="2476" spans="1:28" x14ac:dyDescent="0.25">
      <c r="A2476">
        <v>10329</v>
      </c>
      <c r="B2476">
        <v>44</v>
      </c>
      <c r="C2476">
        <v>86.13</v>
      </c>
      <c r="D2476">
        <v>8</v>
      </c>
      <c r="E2476">
        <v>3789.72</v>
      </c>
      <c r="F2476" s="1">
        <v>43784</v>
      </c>
      <c r="G2476" s="2" t="s">
        <v>19</v>
      </c>
      <c r="H2476" s="2" t="s">
        <v>607</v>
      </c>
      <c r="I2476">
        <v>49</v>
      </c>
      <c r="J2476" s="2" t="s">
        <v>718</v>
      </c>
      <c r="K2476" s="2" t="s">
        <v>22</v>
      </c>
      <c r="L2476" s="2" t="s">
        <v>23</v>
      </c>
      <c r="M2476" s="2" t="s">
        <v>24</v>
      </c>
      <c r="N2476" s="2" t="s">
        <v>25</v>
      </c>
      <c r="O2476" s="2" t="s">
        <v>26</v>
      </c>
      <c r="P2476" s="2" t="s">
        <v>27</v>
      </c>
      <c r="Q2476" s="2" t="s">
        <v>28</v>
      </c>
      <c r="R2476" s="2" t="s">
        <v>29</v>
      </c>
      <c r="S2476" s="2" t="s">
        <v>46</v>
      </c>
      <c r="T2476">
        <v>2911</v>
      </c>
      <c r="U2476">
        <f>VLOOKUP(Auto_Sales_data___Copy[[#This Row],[CUSTOMER_NAME]],$AF$2:$AH$90,2,FALSE)</f>
        <v>49</v>
      </c>
      <c r="V2476">
        <f>VLOOKUP(Auto_Sales_data___Copy[[#This Row],[CUSTOMER_NAME]],$AF$2:$AH$90,3,FALSE)</f>
        <v>164069.43999999997</v>
      </c>
      <c r="W2476" s="2">
        <f>6-MATCH(Auto_Sales_data___Copy[[#This Row],[DAYS_SINCE_LAST_ORDER]],Table2[R-Cutoff],1)</f>
        <v>1</v>
      </c>
      <c r="X2476" s="2">
        <f>MATCH(Auto_Sales_data___Copy[[#This Row],[Total_Orders_Per_Customer]],Table2[F-Cutoff],1)</f>
        <v>4</v>
      </c>
      <c r="Y2476" s="2">
        <f>MATCH(Auto_Sales_data___Copy[[#This Row],[Total_Sales_Per_Customer]],Table2[M-Cutoff],1)</f>
        <v>4</v>
      </c>
      <c r="Z2476" s="2" t="str">
        <f>Auto_Sales_data___Copy[[#This Row],[R-Score(1-5)]]&amp;Auto_Sales_data___Copy[[#This Row],[F-Score(1-5)]]&amp;Auto_Sales_data___Copy[[#This Row],[M-Score(1-5)]]</f>
        <v>144</v>
      </c>
      <c r="AA2476" s="2" t="str" cm="1">
        <f t="array" ref="AA24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6" s="2" t="str">
        <f>VLOOKUP(Auto_Sales_data___Copy[[#This Row],[Segment Name]],Table3[],2,FALSE)</f>
        <v>Brand Awareness &amp; Value Proposition</v>
      </c>
    </row>
    <row r="2477" spans="1:28" x14ac:dyDescent="0.25">
      <c r="A2477">
        <v>10339</v>
      </c>
      <c r="B2477">
        <v>22</v>
      </c>
      <c r="C2477">
        <v>128.02000000000001</v>
      </c>
      <c r="D2477">
        <v>5</v>
      </c>
      <c r="E2477">
        <v>2816.44</v>
      </c>
      <c r="F2477" s="1">
        <v>43792</v>
      </c>
      <c r="G2477" s="2" t="s">
        <v>19</v>
      </c>
      <c r="H2477" s="2" t="s">
        <v>642</v>
      </c>
      <c r="I2477">
        <v>66</v>
      </c>
      <c r="J2477" s="2" t="s">
        <v>706</v>
      </c>
      <c r="K2477" s="2" t="s">
        <v>256</v>
      </c>
      <c r="L2477" s="2" t="s">
        <v>257</v>
      </c>
      <c r="M2477" s="2" t="s">
        <v>258</v>
      </c>
      <c r="N2477" s="2" t="s">
        <v>259</v>
      </c>
      <c r="O2477" s="2" t="s">
        <v>260</v>
      </c>
      <c r="P2477" s="2" t="s">
        <v>261</v>
      </c>
      <c r="Q2477" s="2" t="s">
        <v>262</v>
      </c>
      <c r="R2477" s="2" t="s">
        <v>263</v>
      </c>
      <c r="S2477" s="2" t="s">
        <v>30</v>
      </c>
      <c r="T2477">
        <v>2595</v>
      </c>
      <c r="U2477">
        <f>VLOOKUP(Auto_Sales_data___Copy[[#This Row],[CUSTOMER_NAME]],$AF$2:$AH$90,2,FALSE)</f>
        <v>32</v>
      </c>
      <c r="V2477">
        <f>VLOOKUP(Auto_Sales_data___Copy[[#This Row],[CUSTOMER_NAME]],$AF$2:$AH$90,3,FALSE)</f>
        <v>120562.74000000002</v>
      </c>
      <c r="W2477" s="2">
        <f>6-MATCH(Auto_Sales_data___Copy[[#This Row],[DAYS_SINCE_LAST_ORDER]],Table2[R-Cutoff],1)</f>
        <v>1</v>
      </c>
      <c r="X2477" s="2">
        <f>MATCH(Auto_Sales_data___Copy[[#This Row],[Total_Orders_Per_Customer]],Table2[F-Cutoff],1)</f>
        <v>4</v>
      </c>
      <c r="Y2477" s="2">
        <f>MATCH(Auto_Sales_data___Copy[[#This Row],[Total_Sales_Per_Customer]],Table2[M-Cutoff],1)</f>
        <v>4</v>
      </c>
      <c r="Z2477" s="2" t="str">
        <f>Auto_Sales_data___Copy[[#This Row],[R-Score(1-5)]]&amp;Auto_Sales_data___Copy[[#This Row],[F-Score(1-5)]]&amp;Auto_Sales_data___Copy[[#This Row],[M-Score(1-5)]]</f>
        <v>144</v>
      </c>
      <c r="AA2477" s="2" t="str" cm="1">
        <f t="array" ref="AA24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7" s="2" t="str">
        <f>VLOOKUP(Auto_Sales_data___Copy[[#This Row],[Segment Name]],Table3[],2,FALSE)</f>
        <v>Brand Awareness &amp; Value Proposition</v>
      </c>
    </row>
    <row r="2478" spans="1:28" x14ac:dyDescent="0.25">
      <c r="A2478">
        <v>10339</v>
      </c>
      <c r="B2478">
        <v>55</v>
      </c>
      <c r="C2478">
        <v>71.25</v>
      </c>
      <c r="D2478">
        <v>15</v>
      </c>
      <c r="E2478">
        <v>3918.75</v>
      </c>
      <c r="F2478" s="1">
        <v>43792</v>
      </c>
      <c r="G2478" s="2" t="s">
        <v>19</v>
      </c>
      <c r="H2478" s="2" t="s">
        <v>642</v>
      </c>
      <c r="I2478">
        <v>90</v>
      </c>
      <c r="J2478" s="2" t="s">
        <v>709</v>
      </c>
      <c r="K2478" s="2" t="s">
        <v>256</v>
      </c>
      <c r="L2478" s="2" t="s">
        <v>257</v>
      </c>
      <c r="M2478" s="2" t="s">
        <v>258</v>
      </c>
      <c r="N2478" s="2" t="s">
        <v>259</v>
      </c>
      <c r="O2478" s="2" t="s">
        <v>260</v>
      </c>
      <c r="P2478" s="2" t="s">
        <v>261</v>
      </c>
      <c r="Q2478" s="2" t="s">
        <v>262</v>
      </c>
      <c r="R2478" s="2" t="s">
        <v>263</v>
      </c>
      <c r="S2478" s="2" t="s">
        <v>46</v>
      </c>
      <c r="T2478">
        <v>2669</v>
      </c>
      <c r="U2478">
        <f>VLOOKUP(Auto_Sales_data___Copy[[#This Row],[CUSTOMER_NAME]],$AF$2:$AH$90,2,FALSE)</f>
        <v>32</v>
      </c>
      <c r="V2478">
        <f>VLOOKUP(Auto_Sales_data___Copy[[#This Row],[CUSTOMER_NAME]],$AF$2:$AH$90,3,FALSE)</f>
        <v>120562.74000000002</v>
      </c>
      <c r="W2478" s="2">
        <f>6-MATCH(Auto_Sales_data___Copy[[#This Row],[DAYS_SINCE_LAST_ORDER]],Table2[R-Cutoff],1)</f>
        <v>1</v>
      </c>
      <c r="X2478" s="2">
        <f>MATCH(Auto_Sales_data___Copy[[#This Row],[Total_Orders_Per_Customer]],Table2[F-Cutoff],1)</f>
        <v>4</v>
      </c>
      <c r="Y2478" s="2">
        <f>MATCH(Auto_Sales_data___Copy[[#This Row],[Total_Sales_Per_Customer]],Table2[M-Cutoff],1)</f>
        <v>4</v>
      </c>
      <c r="Z2478" s="2" t="str">
        <f>Auto_Sales_data___Copy[[#This Row],[R-Score(1-5)]]&amp;Auto_Sales_data___Copy[[#This Row],[F-Score(1-5)]]&amp;Auto_Sales_data___Copy[[#This Row],[M-Score(1-5)]]</f>
        <v>144</v>
      </c>
      <c r="AA2478" s="2" t="str" cm="1">
        <f t="array" ref="AA24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8" s="2" t="str">
        <f>VLOOKUP(Auto_Sales_data___Copy[[#This Row],[Segment Name]],Table3[],2,FALSE)</f>
        <v>Brand Awareness &amp; Value Proposition</v>
      </c>
    </row>
    <row r="2479" spans="1:28" x14ac:dyDescent="0.25">
      <c r="A2479">
        <v>10339</v>
      </c>
      <c r="B2479">
        <v>50</v>
      </c>
      <c r="C2479">
        <v>74.349999999999994</v>
      </c>
      <c r="D2479">
        <v>9</v>
      </c>
      <c r="E2479">
        <v>3717.5</v>
      </c>
      <c r="F2479" s="1">
        <v>43792</v>
      </c>
      <c r="G2479" s="2" t="s">
        <v>19</v>
      </c>
      <c r="H2479" s="2" t="s">
        <v>642</v>
      </c>
      <c r="I2479">
        <v>72</v>
      </c>
      <c r="J2479" s="2" t="s">
        <v>711</v>
      </c>
      <c r="K2479" s="2" t="s">
        <v>256</v>
      </c>
      <c r="L2479" s="2" t="s">
        <v>257</v>
      </c>
      <c r="M2479" s="2" t="s">
        <v>258</v>
      </c>
      <c r="N2479" s="2" t="s">
        <v>259</v>
      </c>
      <c r="O2479" s="2" t="s">
        <v>260</v>
      </c>
      <c r="P2479" s="2" t="s">
        <v>261</v>
      </c>
      <c r="Q2479" s="2" t="s">
        <v>262</v>
      </c>
      <c r="R2479" s="2" t="s">
        <v>263</v>
      </c>
      <c r="S2479" s="2" t="s">
        <v>46</v>
      </c>
      <c r="T2479">
        <v>2724</v>
      </c>
      <c r="U2479">
        <f>VLOOKUP(Auto_Sales_data___Copy[[#This Row],[CUSTOMER_NAME]],$AF$2:$AH$90,2,FALSE)</f>
        <v>32</v>
      </c>
      <c r="V2479">
        <f>VLOOKUP(Auto_Sales_data___Copy[[#This Row],[CUSTOMER_NAME]],$AF$2:$AH$90,3,FALSE)</f>
        <v>120562.74000000002</v>
      </c>
      <c r="W2479" s="2">
        <f>6-MATCH(Auto_Sales_data___Copy[[#This Row],[DAYS_SINCE_LAST_ORDER]],Table2[R-Cutoff],1)</f>
        <v>1</v>
      </c>
      <c r="X2479" s="2">
        <f>MATCH(Auto_Sales_data___Copy[[#This Row],[Total_Orders_Per_Customer]],Table2[F-Cutoff],1)</f>
        <v>4</v>
      </c>
      <c r="Y2479" s="2">
        <f>MATCH(Auto_Sales_data___Copy[[#This Row],[Total_Sales_Per_Customer]],Table2[M-Cutoff],1)</f>
        <v>4</v>
      </c>
      <c r="Z2479" s="2" t="str">
        <f>Auto_Sales_data___Copy[[#This Row],[R-Score(1-5)]]&amp;Auto_Sales_data___Copy[[#This Row],[F-Score(1-5)]]&amp;Auto_Sales_data___Copy[[#This Row],[M-Score(1-5)]]</f>
        <v>144</v>
      </c>
      <c r="AA2479" s="2" t="str" cm="1">
        <f t="array" ref="AA24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9" s="2" t="str">
        <f>VLOOKUP(Auto_Sales_data___Copy[[#This Row],[Segment Name]],Table3[],2,FALSE)</f>
        <v>Brand Awareness &amp; Value Proposition</v>
      </c>
    </row>
    <row r="2480" spans="1:28" x14ac:dyDescent="0.25">
      <c r="A2480">
        <v>10339</v>
      </c>
      <c r="B2480">
        <v>50</v>
      </c>
      <c r="C2480">
        <v>57.86</v>
      </c>
      <c r="D2480">
        <v>8</v>
      </c>
      <c r="E2480">
        <v>2893</v>
      </c>
      <c r="F2480" s="1">
        <v>43792</v>
      </c>
      <c r="G2480" s="2" t="s">
        <v>19</v>
      </c>
      <c r="H2480" s="2" t="s">
        <v>607</v>
      </c>
      <c r="I2480">
        <v>74</v>
      </c>
      <c r="J2480" s="2" t="s">
        <v>717</v>
      </c>
      <c r="K2480" s="2" t="s">
        <v>256</v>
      </c>
      <c r="L2480" s="2" t="s">
        <v>257</v>
      </c>
      <c r="M2480" s="2" t="s">
        <v>258</v>
      </c>
      <c r="N2480" s="2" t="s">
        <v>259</v>
      </c>
      <c r="O2480" s="2" t="s">
        <v>260</v>
      </c>
      <c r="P2480" s="2" t="s">
        <v>261</v>
      </c>
      <c r="Q2480" s="2" t="s">
        <v>262</v>
      </c>
      <c r="R2480" s="2" t="s">
        <v>263</v>
      </c>
      <c r="S2480" s="2" t="s">
        <v>30</v>
      </c>
      <c r="T2480">
        <v>2878</v>
      </c>
      <c r="U2480">
        <f>VLOOKUP(Auto_Sales_data___Copy[[#This Row],[CUSTOMER_NAME]],$AF$2:$AH$90,2,FALSE)</f>
        <v>32</v>
      </c>
      <c r="V2480">
        <f>VLOOKUP(Auto_Sales_data___Copy[[#This Row],[CUSTOMER_NAME]],$AF$2:$AH$90,3,FALSE)</f>
        <v>120562.74000000002</v>
      </c>
      <c r="W2480" s="2">
        <f>6-MATCH(Auto_Sales_data___Copy[[#This Row],[DAYS_SINCE_LAST_ORDER]],Table2[R-Cutoff],1)</f>
        <v>1</v>
      </c>
      <c r="X2480" s="2">
        <f>MATCH(Auto_Sales_data___Copy[[#This Row],[Total_Orders_Per_Customer]],Table2[F-Cutoff],1)</f>
        <v>4</v>
      </c>
      <c r="Y2480" s="2">
        <f>MATCH(Auto_Sales_data___Copy[[#This Row],[Total_Sales_Per_Customer]],Table2[M-Cutoff],1)</f>
        <v>4</v>
      </c>
      <c r="Z2480" s="2" t="str">
        <f>Auto_Sales_data___Copy[[#This Row],[R-Score(1-5)]]&amp;Auto_Sales_data___Copy[[#This Row],[F-Score(1-5)]]&amp;Auto_Sales_data___Copy[[#This Row],[M-Score(1-5)]]</f>
        <v>144</v>
      </c>
      <c r="AA2480" s="2" t="str" cm="1">
        <f t="array" ref="AA24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0" s="2" t="str">
        <f>VLOOKUP(Auto_Sales_data___Copy[[#This Row],[Segment Name]],Table3[],2,FALSE)</f>
        <v>Brand Awareness &amp; Value Proposition</v>
      </c>
    </row>
    <row r="2481" spans="1:28" x14ac:dyDescent="0.25">
      <c r="A2481">
        <v>10339</v>
      </c>
      <c r="B2481">
        <v>27</v>
      </c>
      <c r="C2481">
        <v>76.31</v>
      </c>
      <c r="D2481">
        <v>6</v>
      </c>
      <c r="E2481">
        <v>2060.37</v>
      </c>
      <c r="F2481" s="1">
        <v>43792</v>
      </c>
      <c r="G2481" s="2" t="s">
        <v>19</v>
      </c>
      <c r="H2481" s="2" t="s">
        <v>607</v>
      </c>
      <c r="I2481">
        <v>49</v>
      </c>
      <c r="J2481" s="2" t="s">
        <v>718</v>
      </c>
      <c r="K2481" s="2" t="s">
        <v>256</v>
      </c>
      <c r="L2481" s="2" t="s">
        <v>257</v>
      </c>
      <c r="M2481" s="2" t="s">
        <v>258</v>
      </c>
      <c r="N2481" s="2" t="s">
        <v>259</v>
      </c>
      <c r="O2481" s="2" t="s">
        <v>260</v>
      </c>
      <c r="P2481" s="2" t="s">
        <v>261</v>
      </c>
      <c r="Q2481" s="2" t="s">
        <v>262</v>
      </c>
      <c r="R2481" s="2" t="s">
        <v>263</v>
      </c>
      <c r="S2481" s="2" t="s">
        <v>30</v>
      </c>
      <c r="T2481">
        <v>2904</v>
      </c>
      <c r="U2481">
        <f>VLOOKUP(Auto_Sales_data___Copy[[#This Row],[CUSTOMER_NAME]],$AF$2:$AH$90,2,FALSE)</f>
        <v>32</v>
      </c>
      <c r="V2481">
        <f>VLOOKUP(Auto_Sales_data___Copy[[#This Row],[CUSTOMER_NAME]],$AF$2:$AH$90,3,FALSE)</f>
        <v>120562.74000000002</v>
      </c>
      <c r="W2481" s="2">
        <f>6-MATCH(Auto_Sales_data___Copy[[#This Row],[DAYS_SINCE_LAST_ORDER]],Table2[R-Cutoff],1)</f>
        <v>1</v>
      </c>
      <c r="X2481" s="2">
        <f>MATCH(Auto_Sales_data___Copy[[#This Row],[Total_Orders_Per_Customer]],Table2[F-Cutoff],1)</f>
        <v>4</v>
      </c>
      <c r="Y2481" s="2">
        <f>MATCH(Auto_Sales_data___Copy[[#This Row],[Total_Sales_Per_Customer]],Table2[M-Cutoff],1)</f>
        <v>4</v>
      </c>
      <c r="Z2481" s="2" t="str">
        <f>Auto_Sales_data___Copy[[#This Row],[R-Score(1-5)]]&amp;Auto_Sales_data___Copy[[#This Row],[F-Score(1-5)]]&amp;Auto_Sales_data___Copy[[#This Row],[M-Score(1-5)]]</f>
        <v>144</v>
      </c>
      <c r="AA2481" s="2" t="str" cm="1">
        <f t="array" ref="AA24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1" s="2" t="str">
        <f>VLOOKUP(Auto_Sales_data___Copy[[#This Row],[Segment Name]],Table3[],2,FALSE)</f>
        <v>Brand Awareness &amp; Value Proposition</v>
      </c>
    </row>
    <row r="2482" spans="1:28" x14ac:dyDescent="0.25">
      <c r="A2482">
        <v>10341</v>
      </c>
      <c r="B2482">
        <v>34</v>
      </c>
      <c r="C2482">
        <v>107.18</v>
      </c>
      <c r="D2482">
        <v>5</v>
      </c>
      <c r="E2482">
        <v>3644.12</v>
      </c>
      <c r="F2482" s="1">
        <v>43793</v>
      </c>
      <c r="G2482" s="2" t="s">
        <v>19</v>
      </c>
      <c r="H2482" s="2" t="s">
        <v>607</v>
      </c>
      <c r="I2482">
        <v>80</v>
      </c>
      <c r="J2482" s="2" t="s">
        <v>714</v>
      </c>
      <c r="K2482" s="2" t="s">
        <v>143</v>
      </c>
      <c r="L2482" s="2" t="s">
        <v>144</v>
      </c>
      <c r="M2482" s="2" t="s">
        <v>145</v>
      </c>
      <c r="N2482" s="2" t="s">
        <v>146</v>
      </c>
      <c r="O2482" s="2" t="s">
        <v>147</v>
      </c>
      <c r="P2482" s="2" t="s">
        <v>148</v>
      </c>
      <c r="Q2482" s="2" t="s">
        <v>149</v>
      </c>
      <c r="R2482" s="2" t="s">
        <v>150</v>
      </c>
      <c r="S2482" s="2" t="s">
        <v>46</v>
      </c>
      <c r="T2482">
        <v>2798</v>
      </c>
      <c r="U2482">
        <f>VLOOKUP(Auto_Sales_data___Copy[[#This Row],[CUSTOMER_NAME]],$AF$2:$AH$90,2,FALSE)</f>
        <v>40</v>
      </c>
      <c r="V2482">
        <f>VLOOKUP(Auto_Sales_data___Copy[[#This Row],[CUSTOMER_NAME]],$AF$2:$AH$90,3,FALSE)</f>
        <v>149798.63</v>
      </c>
      <c r="W2482" s="2">
        <f>6-MATCH(Auto_Sales_data___Copy[[#This Row],[DAYS_SINCE_LAST_ORDER]],Table2[R-Cutoff],1)</f>
        <v>1</v>
      </c>
      <c r="X2482" s="2">
        <f>MATCH(Auto_Sales_data___Copy[[#This Row],[Total_Orders_Per_Customer]],Table2[F-Cutoff],1)</f>
        <v>4</v>
      </c>
      <c r="Y2482" s="2">
        <f>MATCH(Auto_Sales_data___Copy[[#This Row],[Total_Sales_Per_Customer]],Table2[M-Cutoff],1)</f>
        <v>4</v>
      </c>
      <c r="Z2482" s="2" t="str">
        <f>Auto_Sales_data___Copy[[#This Row],[R-Score(1-5)]]&amp;Auto_Sales_data___Copy[[#This Row],[F-Score(1-5)]]&amp;Auto_Sales_data___Copy[[#This Row],[M-Score(1-5)]]</f>
        <v>144</v>
      </c>
      <c r="AA2482" s="2" t="str" cm="1">
        <f t="array" ref="AA24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2" s="2" t="str">
        <f>VLOOKUP(Auto_Sales_data___Copy[[#This Row],[Segment Name]],Table3[],2,FALSE)</f>
        <v>Brand Awareness &amp; Value Proposition</v>
      </c>
    </row>
    <row r="2483" spans="1:28" x14ac:dyDescent="0.25">
      <c r="A2483">
        <v>10361</v>
      </c>
      <c r="B2483">
        <v>20</v>
      </c>
      <c r="C2483">
        <v>60.54</v>
      </c>
      <c r="D2483">
        <v>4</v>
      </c>
      <c r="E2483">
        <v>1210.8</v>
      </c>
      <c r="F2483" s="1">
        <v>43816</v>
      </c>
      <c r="G2483" s="2" t="s">
        <v>19</v>
      </c>
      <c r="H2483" s="2" t="s">
        <v>607</v>
      </c>
      <c r="I2483">
        <v>91</v>
      </c>
      <c r="J2483" s="2" t="s">
        <v>707</v>
      </c>
      <c r="K2483" s="2" t="s">
        <v>152</v>
      </c>
      <c r="L2483" s="2" t="s">
        <v>153</v>
      </c>
      <c r="M2483" s="2" t="s">
        <v>154</v>
      </c>
      <c r="N2483" s="2" t="s">
        <v>155</v>
      </c>
      <c r="O2483" s="2" t="s">
        <v>156</v>
      </c>
      <c r="P2483" s="2" t="s">
        <v>87</v>
      </c>
      <c r="Q2483" s="2" t="s">
        <v>157</v>
      </c>
      <c r="R2483" s="2" t="s">
        <v>158</v>
      </c>
      <c r="S2483" s="2" t="s">
        <v>30</v>
      </c>
      <c r="T2483">
        <v>2597</v>
      </c>
      <c r="U2483">
        <f>VLOOKUP(Auto_Sales_data___Copy[[#This Row],[CUSTOMER_NAME]],$AF$2:$AH$90,2,FALSE)</f>
        <v>46</v>
      </c>
      <c r="V2483">
        <f>VLOOKUP(Auto_Sales_data___Copy[[#This Row],[CUSTOMER_NAME]],$AF$2:$AH$90,3,FALSE)</f>
        <v>151570.98000000001</v>
      </c>
      <c r="W2483" s="2">
        <f>6-MATCH(Auto_Sales_data___Copy[[#This Row],[DAYS_SINCE_LAST_ORDER]],Table2[R-Cutoff],1)</f>
        <v>1</v>
      </c>
      <c r="X2483" s="2">
        <f>MATCH(Auto_Sales_data___Copy[[#This Row],[Total_Orders_Per_Customer]],Table2[F-Cutoff],1)</f>
        <v>4</v>
      </c>
      <c r="Y2483" s="2">
        <f>MATCH(Auto_Sales_data___Copy[[#This Row],[Total_Sales_Per_Customer]],Table2[M-Cutoff],1)</f>
        <v>4</v>
      </c>
      <c r="Z2483" s="2" t="str">
        <f>Auto_Sales_data___Copy[[#This Row],[R-Score(1-5)]]&amp;Auto_Sales_data___Copy[[#This Row],[F-Score(1-5)]]&amp;Auto_Sales_data___Copy[[#This Row],[M-Score(1-5)]]</f>
        <v>144</v>
      </c>
      <c r="AA2483" s="2" t="str" cm="1">
        <f t="array" ref="AA24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3" s="2" t="str">
        <f>VLOOKUP(Auto_Sales_data___Copy[[#This Row],[Segment Name]],Table3[],2,FALSE)</f>
        <v>Brand Awareness &amp; Value Proposition</v>
      </c>
    </row>
    <row r="2484" spans="1:28" x14ac:dyDescent="0.25">
      <c r="A2484">
        <v>10361</v>
      </c>
      <c r="B2484">
        <v>24</v>
      </c>
      <c r="C2484">
        <v>45.39</v>
      </c>
      <c r="D2484">
        <v>14</v>
      </c>
      <c r="E2484">
        <v>1089.3599999999999</v>
      </c>
      <c r="F2484" s="1">
        <v>43816</v>
      </c>
      <c r="G2484" s="2" t="s">
        <v>19</v>
      </c>
      <c r="H2484" s="2" t="s">
        <v>642</v>
      </c>
      <c r="I2484">
        <v>90</v>
      </c>
      <c r="J2484" s="2" t="s">
        <v>709</v>
      </c>
      <c r="K2484" s="2" t="s">
        <v>152</v>
      </c>
      <c r="L2484" s="2" t="s">
        <v>153</v>
      </c>
      <c r="M2484" s="2" t="s">
        <v>154</v>
      </c>
      <c r="N2484" s="2" t="s">
        <v>155</v>
      </c>
      <c r="O2484" s="2" t="s">
        <v>156</v>
      </c>
      <c r="P2484" s="2" t="s">
        <v>87</v>
      </c>
      <c r="Q2484" s="2" t="s">
        <v>157</v>
      </c>
      <c r="R2484" s="2" t="s">
        <v>158</v>
      </c>
      <c r="S2484" s="2" t="s">
        <v>30</v>
      </c>
      <c r="T2484">
        <v>2647</v>
      </c>
      <c r="U2484">
        <f>VLOOKUP(Auto_Sales_data___Copy[[#This Row],[CUSTOMER_NAME]],$AF$2:$AH$90,2,FALSE)</f>
        <v>46</v>
      </c>
      <c r="V2484">
        <f>VLOOKUP(Auto_Sales_data___Copy[[#This Row],[CUSTOMER_NAME]],$AF$2:$AH$90,3,FALSE)</f>
        <v>151570.98000000001</v>
      </c>
      <c r="W2484" s="2">
        <f>6-MATCH(Auto_Sales_data___Copy[[#This Row],[DAYS_SINCE_LAST_ORDER]],Table2[R-Cutoff],1)</f>
        <v>1</v>
      </c>
      <c r="X2484" s="2">
        <f>MATCH(Auto_Sales_data___Copy[[#This Row],[Total_Orders_Per_Customer]],Table2[F-Cutoff],1)</f>
        <v>4</v>
      </c>
      <c r="Y2484" s="2">
        <f>MATCH(Auto_Sales_data___Copy[[#This Row],[Total_Sales_Per_Customer]],Table2[M-Cutoff],1)</f>
        <v>4</v>
      </c>
      <c r="Z2484" s="2" t="str">
        <f>Auto_Sales_data___Copy[[#This Row],[R-Score(1-5)]]&amp;Auto_Sales_data___Copy[[#This Row],[F-Score(1-5)]]&amp;Auto_Sales_data___Copy[[#This Row],[M-Score(1-5)]]</f>
        <v>144</v>
      </c>
      <c r="AA2484" s="2" t="str" cm="1">
        <f t="array" ref="AA24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4" s="2" t="str">
        <f>VLOOKUP(Auto_Sales_data___Copy[[#This Row],[Segment Name]],Table3[],2,FALSE)</f>
        <v>Brand Awareness &amp; Value Proposition</v>
      </c>
    </row>
    <row r="2485" spans="1:28" x14ac:dyDescent="0.25">
      <c r="A2485">
        <v>10361</v>
      </c>
      <c r="B2485">
        <v>26</v>
      </c>
      <c r="C2485">
        <v>105.95</v>
      </c>
      <c r="D2485">
        <v>9</v>
      </c>
      <c r="E2485">
        <v>2754.7</v>
      </c>
      <c r="F2485" s="1">
        <v>43816</v>
      </c>
      <c r="G2485" s="2" t="s">
        <v>19</v>
      </c>
      <c r="H2485" s="2" t="s">
        <v>607</v>
      </c>
      <c r="I2485">
        <v>99</v>
      </c>
      <c r="J2485" s="2" t="s">
        <v>710</v>
      </c>
      <c r="K2485" s="2" t="s">
        <v>152</v>
      </c>
      <c r="L2485" s="2" t="s">
        <v>153</v>
      </c>
      <c r="M2485" s="2" t="s">
        <v>154</v>
      </c>
      <c r="N2485" s="2" t="s">
        <v>155</v>
      </c>
      <c r="O2485" s="2" t="s">
        <v>156</v>
      </c>
      <c r="P2485" s="2" t="s">
        <v>87</v>
      </c>
      <c r="Q2485" s="2" t="s">
        <v>157</v>
      </c>
      <c r="R2485" s="2" t="s">
        <v>158</v>
      </c>
      <c r="S2485" s="2" t="s">
        <v>30</v>
      </c>
      <c r="T2485">
        <v>2674</v>
      </c>
      <c r="U2485">
        <f>VLOOKUP(Auto_Sales_data___Copy[[#This Row],[CUSTOMER_NAME]],$AF$2:$AH$90,2,FALSE)</f>
        <v>46</v>
      </c>
      <c r="V2485">
        <f>VLOOKUP(Auto_Sales_data___Copy[[#This Row],[CUSTOMER_NAME]],$AF$2:$AH$90,3,FALSE)</f>
        <v>151570.98000000001</v>
      </c>
      <c r="W2485" s="2">
        <f>6-MATCH(Auto_Sales_data___Copy[[#This Row],[DAYS_SINCE_LAST_ORDER]],Table2[R-Cutoff],1)</f>
        <v>1</v>
      </c>
      <c r="X2485" s="2">
        <f>MATCH(Auto_Sales_data___Copy[[#This Row],[Total_Orders_Per_Customer]],Table2[F-Cutoff],1)</f>
        <v>4</v>
      </c>
      <c r="Y2485" s="2">
        <f>MATCH(Auto_Sales_data___Copy[[#This Row],[Total_Sales_Per_Customer]],Table2[M-Cutoff],1)</f>
        <v>4</v>
      </c>
      <c r="Z2485" s="2" t="str">
        <f>Auto_Sales_data___Copy[[#This Row],[R-Score(1-5)]]&amp;Auto_Sales_data___Copy[[#This Row],[F-Score(1-5)]]&amp;Auto_Sales_data___Copy[[#This Row],[M-Score(1-5)]]</f>
        <v>144</v>
      </c>
      <c r="AA2485" s="2" t="str" cm="1">
        <f t="array" ref="AA24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5" s="2" t="str">
        <f>VLOOKUP(Auto_Sales_data___Copy[[#This Row],[Segment Name]],Table3[],2,FALSE)</f>
        <v>Brand Awareness &amp; Value Proposition</v>
      </c>
    </row>
    <row r="2486" spans="1:28" x14ac:dyDescent="0.25">
      <c r="A2486">
        <v>10361</v>
      </c>
      <c r="B2486">
        <v>44</v>
      </c>
      <c r="C2486">
        <v>72.42</v>
      </c>
      <c r="D2486">
        <v>5</v>
      </c>
      <c r="E2486">
        <v>3186.48</v>
      </c>
      <c r="F2486" s="1">
        <v>43816</v>
      </c>
      <c r="G2486" s="2" t="s">
        <v>19</v>
      </c>
      <c r="H2486" s="2" t="s">
        <v>607</v>
      </c>
      <c r="I2486">
        <v>118</v>
      </c>
      <c r="J2486" s="2" t="s">
        <v>713</v>
      </c>
      <c r="K2486" s="2" t="s">
        <v>152</v>
      </c>
      <c r="L2486" s="2" t="s">
        <v>153</v>
      </c>
      <c r="M2486" s="2" t="s">
        <v>154</v>
      </c>
      <c r="N2486" s="2" t="s">
        <v>155</v>
      </c>
      <c r="O2486" s="2" t="s">
        <v>156</v>
      </c>
      <c r="P2486" s="2" t="s">
        <v>87</v>
      </c>
      <c r="Q2486" s="2" t="s">
        <v>157</v>
      </c>
      <c r="R2486" s="2" t="s">
        <v>158</v>
      </c>
      <c r="S2486" s="2" t="s">
        <v>46</v>
      </c>
      <c r="T2486">
        <v>2752</v>
      </c>
      <c r="U2486">
        <f>VLOOKUP(Auto_Sales_data___Copy[[#This Row],[CUSTOMER_NAME]],$AF$2:$AH$90,2,FALSE)</f>
        <v>46</v>
      </c>
      <c r="V2486">
        <f>VLOOKUP(Auto_Sales_data___Copy[[#This Row],[CUSTOMER_NAME]],$AF$2:$AH$90,3,FALSE)</f>
        <v>151570.98000000001</v>
      </c>
      <c r="W2486" s="2">
        <f>6-MATCH(Auto_Sales_data___Copy[[#This Row],[DAYS_SINCE_LAST_ORDER]],Table2[R-Cutoff],1)</f>
        <v>1</v>
      </c>
      <c r="X2486" s="2">
        <f>MATCH(Auto_Sales_data___Copy[[#This Row],[Total_Orders_Per_Customer]],Table2[F-Cutoff],1)</f>
        <v>4</v>
      </c>
      <c r="Y2486" s="2">
        <f>MATCH(Auto_Sales_data___Copy[[#This Row],[Total_Sales_Per_Customer]],Table2[M-Cutoff],1)</f>
        <v>4</v>
      </c>
      <c r="Z2486" s="2" t="str">
        <f>Auto_Sales_data___Copy[[#This Row],[R-Score(1-5)]]&amp;Auto_Sales_data___Copy[[#This Row],[F-Score(1-5)]]&amp;Auto_Sales_data___Copy[[#This Row],[M-Score(1-5)]]</f>
        <v>144</v>
      </c>
      <c r="AA2486" s="2" t="str" cm="1">
        <f t="array" ref="AA24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6" s="2" t="str">
        <f>VLOOKUP(Auto_Sales_data___Copy[[#This Row],[Segment Name]],Table3[],2,FALSE)</f>
        <v>Brand Awareness &amp; Value Proposition</v>
      </c>
    </row>
    <row r="2487" spans="1:28" x14ac:dyDescent="0.25">
      <c r="A2487">
        <v>10361</v>
      </c>
      <c r="B2487">
        <v>44</v>
      </c>
      <c r="C2487">
        <v>113.68</v>
      </c>
      <c r="D2487">
        <v>10</v>
      </c>
      <c r="E2487">
        <v>5001.92</v>
      </c>
      <c r="F2487" s="1">
        <v>43816</v>
      </c>
      <c r="G2487" s="2" t="s">
        <v>19</v>
      </c>
      <c r="H2487" s="2" t="s">
        <v>607</v>
      </c>
      <c r="I2487">
        <v>80</v>
      </c>
      <c r="J2487" s="2" t="s">
        <v>714</v>
      </c>
      <c r="K2487" s="2" t="s">
        <v>152</v>
      </c>
      <c r="L2487" s="2" t="s">
        <v>153</v>
      </c>
      <c r="M2487" s="2" t="s">
        <v>154</v>
      </c>
      <c r="N2487" s="2" t="s">
        <v>155</v>
      </c>
      <c r="O2487" s="2" t="s">
        <v>156</v>
      </c>
      <c r="P2487" s="2" t="s">
        <v>87</v>
      </c>
      <c r="Q2487" s="2" t="s">
        <v>157</v>
      </c>
      <c r="R2487" s="2" t="s">
        <v>158</v>
      </c>
      <c r="S2487" s="2" t="s">
        <v>46</v>
      </c>
      <c r="T2487">
        <v>2777</v>
      </c>
      <c r="U2487">
        <f>VLOOKUP(Auto_Sales_data___Copy[[#This Row],[CUSTOMER_NAME]],$AF$2:$AH$90,2,FALSE)</f>
        <v>46</v>
      </c>
      <c r="V2487">
        <f>VLOOKUP(Auto_Sales_data___Copy[[#This Row],[CUSTOMER_NAME]],$AF$2:$AH$90,3,FALSE)</f>
        <v>151570.98000000001</v>
      </c>
      <c r="W2487" s="2">
        <f>6-MATCH(Auto_Sales_data___Copy[[#This Row],[DAYS_SINCE_LAST_ORDER]],Table2[R-Cutoff],1)</f>
        <v>1</v>
      </c>
      <c r="X2487" s="2">
        <f>MATCH(Auto_Sales_data___Copy[[#This Row],[Total_Orders_Per_Customer]],Table2[F-Cutoff],1)</f>
        <v>4</v>
      </c>
      <c r="Y2487" s="2">
        <f>MATCH(Auto_Sales_data___Copy[[#This Row],[Total_Sales_Per_Customer]],Table2[M-Cutoff],1)</f>
        <v>4</v>
      </c>
      <c r="Z2487" s="2" t="str">
        <f>Auto_Sales_data___Copy[[#This Row],[R-Score(1-5)]]&amp;Auto_Sales_data___Copy[[#This Row],[F-Score(1-5)]]&amp;Auto_Sales_data___Copy[[#This Row],[M-Score(1-5)]]</f>
        <v>144</v>
      </c>
      <c r="AA2487" s="2" t="str" cm="1">
        <f t="array" ref="AA24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7" s="2" t="str">
        <f>VLOOKUP(Auto_Sales_data___Copy[[#This Row],[Segment Name]],Table3[],2,FALSE)</f>
        <v>Brand Awareness &amp; Value Proposition</v>
      </c>
    </row>
    <row r="2488" spans="1:28" x14ac:dyDescent="0.25">
      <c r="A2488">
        <v>10361</v>
      </c>
      <c r="B2488">
        <v>35</v>
      </c>
      <c r="C2488">
        <v>122.21</v>
      </c>
      <c r="D2488">
        <v>11</v>
      </c>
      <c r="E2488">
        <v>4277.3500000000004</v>
      </c>
      <c r="F2488" s="1">
        <v>43816</v>
      </c>
      <c r="G2488" s="2" t="s">
        <v>19</v>
      </c>
      <c r="H2488" s="2" t="s">
        <v>607</v>
      </c>
      <c r="I2488">
        <v>74</v>
      </c>
      <c r="J2488" s="2" t="s">
        <v>717</v>
      </c>
      <c r="K2488" s="2" t="s">
        <v>152</v>
      </c>
      <c r="L2488" s="2" t="s">
        <v>153</v>
      </c>
      <c r="M2488" s="2" t="s">
        <v>154</v>
      </c>
      <c r="N2488" s="2" t="s">
        <v>155</v>
      </c>
      <c r="O2488" s="2" t="s">
        <v>156</v>
      </c>
      <c r="P2488" s="2" t="s">
        <v>87</v>
      </c>
      <c r="Q2488" s="2" t="s">
        <v>157</v>
      </c>
      <c r="R2488" s="2" t="s">
        <v>158</v>
      </c>
      <c r="S2488" s="2" t="s">
        <v>46</v>
      </c>
      <c r="T2488">
        <v>2856</v>
      </c>
      <c r="U2488">
        <f>VLOOKUP(Auto_Sales_data___Copy[[#This Row],[CUSTOMER_NAME]],$AF$2:$AH$90,2,FALSE)</f>
        <v>46</v>
      </c>
      <c r="V2488">
        <f>VLOOKUP(Auto_Sales_data___Copy[[#This Row],[CUSTOMER_NAME]],$AF$2:$AH$90,3,FALSE)</f>
        <v>151570.98000000001</v>
      </c>
      <c r="W2488" s="2">
        <f>6-MATCH(Auto_Sales_data___Copy[[#This Row],[DAYS_SINCE_LAST_ORDER]],Table2[R-Cutoff],1)</f>
        <v>1</v>
      </c>
      <c r="X2488" s="2">
        <f>MATCH(Auto_Sales_data___Copy[[#This Row],[Total_Orders_Per_Customer]],Table2[F-Cutoff],1)</f>
        <v>4</v>
      </c>
      <c r="Y2488" s="2">
        <f>MATCH(Auto_Sales_data___Copy[[#This Row],[Total_Sales_Per_Customer]],Table2[M-Cutoff],1)</f>
        <v>4</v>
      </c>
      <c r="Z2488" s="2" t="str">
        <f>Auto_Sales_data___Copy[[#This Row],[R-Score(1-5)]]&amp;Auto_Sales_data___Copy[[#This Row],[F-Score(1-5)]]&amp;Auto_Sales_data___Copy[[#This Row],[M-Score(1-5)]]</f>
        <v>144</v>
      </c>
      <c r="AA2488" s="2" t="str" cm="1">
        <f t="array" ref="AA24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8" s="2" t="str">
        <f>VLOOKUP(Auto_Sales_data___Copy[[#This Row],[Segment Name]],Table3[],2,FALSE)</f>
        <v>Brand Awareness &amp; Value Proposition</v>
      </c>
    </row>
    <row r="2489" spans="1:28" x14ac:dyDescent="0.25">
      <c r="A2489">
        <v>10361</v>
      </c>
      <c r="B2489">
        <v>23</v>
      </c>
      <c r="C2489">
        <v>95.2</v>
      </c>
      <c r="D2489">
        <v>12</v>
      </c>
      <c r="E2489">
        <v>2189.6</v>
      </c>
      <c r="F2489" s="1">
        <v>43816</v>
      </c>
      <c r="G2489" s="2" t="s">
        <v>19</v>
      </c>
      <c r="H2489" s="2" t="s">
        <v>607</v>
      </c>
      <c r="I2489">
        <v>49</v>
      </c>
      <c r="J2489" s="2" t="s">
        <v>718</v>
      </c>
      <c r="K2489" s="2" t="s">
        <v>152</v>
      </c>
      <c r="L2489" s="2" t="s">
        <v>153</v>
      </c>
      <c r="M2489" s="2" t="s">
        <v>154</v>
      </c>
      <c r="N2489" s="2" t="s">
        <v>155</v>
      </c>
      <c r="O2489" s="2" t="s">
        <v>156</v>
      </c>
      <c r="P2489" s="2" t="s">
        <v>87</v>
      </c>
      <c r="Q2489" s="2" t="s">
        <v>157</v>
      </c>
      <c r="R2489" s="2" t="s">
        <v>158</v>
      </c>
      <c r="S2489" s="2" t="s">
        <v>30</v>
      </c>
      <c r="T2489">
        <v>2882</v>
      </c>
      <c r="U2489">
        <f>VLOOKUP(Auto_Sales_data___Copy[[#This Row],[CUSTOMER_NAME]],$AF$2:$AH$90,2,FALSE)</f>
        <v>46</v>
      </c>
      <c r="V2489">
        <f>VLOOKUP(Auto_Sales_data___Copy[[#This Row],[CUSTOMER_NAME]],$AF$2:$AH$90,3,FALSE)</f>
        <v>151570.98000000001</v>
      </c>
      <c r="W2489" s="2">
        <f>6-MATCH(Auto_Sales_data___Copy[[#This Row],[DAYS_SINCE_LAST_ORDER]],Table2[R-Cutoff],1)</f>
        <v>1</v>
      </c>
      <c r="X2489" s="2">
        <f>MATCH(Auto_Sales_data___Copy[[#This Row],[Total_Orders_Per_Customer]],Table2[F-Cutoff],1)</f>
        <v>4</v>
      </c>
      <c r="Y2489" s="2">
        <f>MATCH(Auto_Sales_data___Copy[[#This Row],[Total_Sales_Per_Customer]],Table2[M-Cutoff],1)</f>
        <v>4</v>
      </c>
      <c r="Z2489" s="2" t="str">
        <f>Auto_Sales_data___Copy[[#This Row],[R-Score(1-5)]]&amp;Auto_Sales_data___Copy[[#This Row],[F-Score(1-5)]]&amp;Auto_Sales_data___Copy[[#This Row],[M-Score(1-5)]]</f>
        <v>144</v>
      </c>
      <c r="AA2489" s="2" t="str" cm="1">
        <f t="array" ref="AA24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9" s="2" t="str">
        <f>VLOOKUP(Auto_Sales_data___Copy[[#This Row],[Segment Name]],Table3[],2,FALSE)</f>
        <v>Brand Awareness &amp; Value Proposition</v>
      </c>
    </row>
    <row r="2490" spans="1:28" x14ac:dyDescent="0.25">
      <c r="A2490">
        <v>10371</v>
      </c>
      <c r="B2490">
        <v>34</v>
      </c>
      <c r="C2490">
        <v>126.51</v>
      </c>
      <c r="D2490">
        <v>3</v>
      </c>
      <c r="E2490">
        <v>4301.34</v>
      </c>
      <c r="F2490" s="1">
        <v>43853</v>
      </c>
      <c r="G2490" s="2" t="s">
        <v>19</v>
      </c>
      <c r="H2490" s="2" t="s">
        <v>183</v>
      </c>
      <c r="I2490">
        <v>101</v>
      </c>
      <c r="J2490" s="2" t="s">
        <v>712</v>
      </c>
      <c r="K2490" s="2" t="s">
        <v>284</v>
      </c>
      <c r="L2490" s="2" t="s">
        <v>285</v>
      </c>
      <c r="M2490" s="2" t="s">
        <v>286</v>
      </c>
      <c r="N2490" s="2" t="s">
        <v>287</v>
      </c>
      <c r="O2490" s="2" t="s">
        <v>106</v>
      </c>
      <c r="P2490" s="2" t="s">
        <v>27</v>
      </c>
      <c r="Q2490" s="2" t="s">
        <v>288</v>
      </c>
      <c r="R2490" s="2" t="s">
        <v>289</v>
      </c>
      <c r="S2490" s="2" t="s">
        <v>46</v>
      </c>
      <c r="T2490">
        <v>2692</v>
      </c>
      <c r="U2490">
        <f>VLOOKUP(Auto_Sales_data___Copy[[#This Row],[CUSTOMER_NAME]],$AF$2:$AH$90,2,FALSE)</f>
        <v>180</v>
      </c>
      <c r="V2490">
        <f>VLOOKUP(Auto_Sales_data___Copy[[#This Row],[CUSTOMER_NAME]],$AF$2:$AH$90,3,FALSE)</f>
        <v>654858.06000000017</v>
      </c>
      <c r="W2490" s="2">
        <f>6-MATCH(Auto_Sales_data___Copy[[#This Row],[DAYS_SINCE_LAST_ORDER]],Table2[R-Cutoff],1)</f>
        <v>1</v>
      </c>
      <c r="X2490" s="2">
        <f>MATCH(Auto_Sales_data___Copy[[#This Row],[Total_Orders_Per_Customer]],Table2[F-Cutoff],1)</f>
        <v>4</v>
      </c>
      <c r="Y2490" s="2">
        <f>MATCH(Auto_Sales_data___Copy[[#This Row],[Total_Sales_Per_Customer]],Table2[M-Cutoff],1)</f>
        <v>4</v>
      </c>
      <c r="Z2490" s="2" t="str">
        <f>Auto_Sales_data___Copy[[#This Row],[R-Score(1-5)]]&amp;Auto_Sales_data___Copy[[#This Row],[F-Score(1-5)]]&amp;Auto_Sales_data___Copy[[#This Row],[M-Score(1-5)]]</f>
        <v>144</v>
      </c>
      <c r="AA2490" s="2" t="str" cm="1">
        <f t="array" ref="AA24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0" s="2" t="str">
        <f>VLOOKUP(Auto_Sales_data___Copy[[#This Row],[Segment Name]],Table3[],2,FALSE)</f>
        <v>Brand Awareness &amp; Value Proposition</v>
      </c>
    </row>
    <row r="2491" spans="1:28" x14ac:dyDescent="0.25">
      <c r="A2491">
        <v>10372</v>
      </c>
      <c r="B2491">
        <v>44</v>
      </c>
      <c r="C2491">
        <v>102.2</v>
      </c>
      <c r="D2491">
        <v>2</v>
      </c>
      <c r="E2491">
        <v>4496.8</v>
      </c>
      <c r="F2491" s="1">
        <v>43856</v>
      </c>
      <c r="G2491" s="2" t="s">
        <v>19</v>
      </c>
      <c r="H2491" s="2" t="s">
        <v>642</v>
      </c>
      <c r="I2491">
        <v>86</v>
      </c>
      <c r="J2491" s="2" t="s">
        <v>708</v>
      </c>
      <c r="K2491" s="2" t="s">
        <v>256</v>
      </c>
      <c r="L2491" s="2" t="s">
        <v>257</v>
      </c>
      <c r="M2491" s="2" t="s">
        <v>258</v>
      </c>
      <c r="N2491" s="2" t="s">
        <v>259</v>
      </c>
      <c r="O2491" s="2" t="s">
        <v>260</v>
      </c>
      <c r="P2491" s="2" t="s">
        <v>261</v>
      </c>
      <c r="Q2491" s="2" t="s">
        <v>262</v>
      </c>
      <c r="R2491" s="2" t="s">
        <v>263</v>
      </c>
      <c r="S2491" s="2" t="s">
        <v>46</v>
      </c>
      <c r="T2491">
        <v>2584</v>
      </c>
      <c r="U2491">
        <f>VLOOKUP(Auto_Sales_data___Copy[[#This Row],[CUSTOMER_NAME]],$AF$2:$AH$90,2,FALSE)</f>
        <v>32</v>
      </c>
      <c r="V2491">
        <f>VLOOKUP(Auto_Sales_data___Copy[[#This Row],[CUSTOMER_NAME]],$AF$2:$AH$90,3,FALSE)</f>
        <v>120562.74000000002</v>
      </c>
      <c r="W2491" s="2">
        <f>6-MATCH(Auto_Sales_data___Copy[[#This Row],[DAYS_SINCE_LAST_ORDER]],Table2[R-Cutoff],1)</f>
        <v>1</v>
      </c>
      <c r="X2491" s="2">
        <f>MATCH(Auto_Sales_data___Copy[[#This Row],[Total_Orders_Per_Customer]],Table2[F-Cutoff],1)</f>
        <v>4</v>
      </c>
      <c r="Y2491" s="2">
        <f>MATCH(Auto_Sales_data___Copy[[#This Row],[Total_Sales_Per_Customer]],Table2[M-Cutoff],1)</f>
        <v>4</v>
      </c>
      <c r="Z2491" s="2" t="str">
        <f>Auto_Sales_data___Copy[[#This Row],[R-Score(1-5)]]&amp;Auto_Sales_data___Copy[[#This Row],[F-Score(1-5)]]&amp;Auto_Sales_data___Copy[[#This Row],[M-Score(1-5)]]</f>
        <v>144</v>
      </c>
      <c r="AA2491" s="2" t="str" cm="1">
        <f t="array" ref="AA24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1" s="2" t="str">
        <f>VLOOKUP(Auto_Sales_data___Copy[[#This Row],[Segment Name]],Table3[],2,FALSE)</f>
        <v>Brand Awareness &amp; Value Proposition</v>
      </c>
    </row>
    <row r="2492" spans="1:28" x14ac:dyDescent="0.25">
      <c r="A2492">
        <v>10373</v>
      </c>
      <c r="B2492">
        <v>32</v>
      </c>
      <c r="C2492">
        <v>84.41</v>
      </c>
      <c r="D2492">
        <v>15</v>
      </c>
      <c r="E2492">
        <v>2701.12</v>
      </c>
      <c r="F2492" s="1">
        <v>43861</v>
      </c>
      <c r="G2492" s="2" t="s">
        <v>19</v>
      </c>
      <c r="H2492" s="2" t="s">
        <v>642</v>
      </c>
      <c r="I2492">
        <v>90</v>
      </c>
      <c r="J2492" s="2" t="s">
        <v>709</v>
      </c>
      <c r="K2492" s="2" t="s">
        <v>411</v>
      </c>
      <c r="L2492" s="2" t="s">
        <v>412</v>
      </c>
      <c r="M2492" s="2" t="s">
        <v>413</v>
      </c>
      <c r="N2492" s="2" t="s">
        <v>414</v>
      </c>
      <c r="O2492" s="2" t="s">
        <v>415</v>
      </c>
      <c r="P2492" s="2" t="s">
        <v>127</v>
      </c>
      <c r="Q2492" s="2" t="s">
        <v>416</v>
      </c>
      <c r="R2492" s="2" t="s">
        <v>417</v>
      </c>
      <c r="S2492" s="2" t="s">
        <v>30</v>
      </c>
      <c r="T2492">
        <v>2603</v>
      </c>
      <c r="U2492">
        <f>VLOOKUP(Auto_Sales_data___Copy[[#This Row],[CUSTOMER_NAME]],$AF$2:$AH$90,2,FALSE)</f>
        <v>32</v>
      </c>
      <c r="V2492">
        <f>VLOOKUP(Auto_Sales_data___Copy[[#This Row],[CUSTOMER_NAME]],$AF$2:$AH$90,3,FALSE)</f>
        <v>104370.37999999999</v>
      </c>
      <c r="W2492" s="2">
        <f>6-MATCH(Auto_Sales_data___Copy[[#This Row],[DAYS_SINCE_LAST_ORDER]],Table2[R-Cutoff],1)</f>
        <v>1</v>
      </c>
      <c r="X2492" s="2">
        <f>MATCH(Auto_Sales_data___Copy[[#This Row],[Total_Orders_Per_Customer]],Table2[F-Cutoff],1)</f>
        <v>4</v>
      </c>
      <c r="Y2492" s="2">
        <f>MATCH(Auto_Sales_data___Copy[[#This Row],[Total_Sales_Per_Customer]],Table2[M-Cutoff],1)</f>
        <v>4</v>
      </c>
      <c r="Z2492" s="2" t="str">
        <f>Auto_Sales_data___Copy[[#This Row],[R-Score(1-5)]]&amp;Auto_Sales_data___Copy[[#This Row],[F-Score(1-5)]]&amp;Auto_Sales_data___Copy[[#This Row],[M-Score(1-5)]]</f>
        <v>144</v>
      </c>
      <c r="AA2492" s="2" t="str" cm="1">
        <f t="array" ref="AA24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2" s="2" t="str">
        <f>VLOOKUP(Auto_Sales_data___Copy[[#This Row],[Segment Name]],Table3[],2,FALSE)</f>
        <v>Brand Awareness &amp; Value Proposition</v>
      </c>
    </row>
    <row r="2493" spans="1:28" x14ac:dyDescent="0.25">
      <c r="A2493">
        <v>10373</v>
      </c>
      <c r="B2493">
        <v>41</v>
      </c>
      <c r="C2493">
        <v>70.33</v>
      </c>
      <c r="D2493">
        <v>16</v>
      </c>
      <c r="E2493">
        <v>2883.53</v>
      </c>
      <c r="F2493" s="1">
        <v>43861</v>
      </c>
      <c r="G2493" s="2" t="s">
        <v>19</v>
      </c>
      <c r="H2493" s="2" t="s">
        <v>642</v>
      </c>
      <c r="I2493">
        <v>72</v>
      </c>
      <c r="J2493" s="2" t="s">
        <v>711</v>
      </c>
      <c r="K2493" s="2" t="s">
        <v>411</v>
      </c>
      <c r="L2493" s="2" t="s">
        <v>412</v>
      </c>
      <c r="M2493" s="2" t="s">
        <v>413</v>
      </c>
      <c r="N2493" s="2" t="s">
        <v>414</v>
      </c>
      <c r="O2493" s="2" t="s">
        <v>415</v>
      </c>
      <c r="P2493" s="2" t="s">
        <v>127</v>
      </c>
      <c r="Q2493" s="2" t="s">
        <v>416</v>
      </c>
      <c r="R2493" s="2" t="s">
        <v>417</v>
      </c>
      <c r="S2493" s="2" t="s">
        <v>30</v>
      </c>
      <c r="T2493">
        <v>2657</v>
      </c>
      <c r="U2493">
        <f>VLOOKUP(Auto_Sales_data___Copy[[#This Row],[CUSTOMER_NAME]],$AF$2:$AH$90,2,FALSE)</f>
        <v>32</v>
      </c>
      <c r="V2493">
        <f>VLOOKUP(Auto_Sales_data___Copy[[#This Row],[CUSTOMER_NAME]],$AF$2:$AH$90,3,FALSE)</f>
        <v>104370.37999999999</v>
      </c>
      <c r="W2493" s="2">
        <f>6-MATCH(Auto_Sales_data___Copy[[#This Row],[DAYS_SINCE_LAST_ORDER]],Table2[R-Cutoff],1)</f>
        <v>1</v>
      </c>
      <c r="X2493" s="2">
        <f>MATCH(Auto_Sales_data___Copy[[#This Row],[Total_Orders_Per_Customer]],Table2[F-Cutoff],1)</f>
        <v>4</v>
      </c>
      <c r="Y2493" s="2">
        <f>MATCH(Auto_Sales_data___Copy[[#This Row],[Total_Sales_Per_Customer]],Table2[M-Cutoff],1)</f>
        <v>4</v>
      </c>
      <c r="Z2493" s="2" t="str">
        <f>Auto_Sales_data___Copy[[#This Row],[R-Score(1-5)]]&amp;Auto_Sales_data___Copy[[#This Row],[F-Score(1-5)]]&amp;Auto_Sales_data___Copy[[#This Row],[M-Score(1-5)]]</f>
        <v>144</v>
      </c>
      <c r="AA2493" s="2" t="str" cm="1">
        <f t="array" ref="AA24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3" s="2" t="str">
        <f>VLOOKUP(Auto_Sales_data___Copy[[#This Row],[Segment Name]],Table3[],2,FALSE)</f>
        <v>Brand Awareness &amp; Value Proposition</v>
      </c>
    </row>
    <row r="2494" spans="1:28" x14ac:dyDescent="0.25">
      <c r="A2494">
        <v>10373</v>
      </c>
      <c r="B2494">
        <v>34</v>
      </c>
      <c r="C2494">
        <v>96.34</v>
      </c>
      <c r="D2494">
        <v>2</v>
      </c>
      <c r="E2494">
        <v>3275.56</v>
      </c>
      <c r="F2494" s="1">
        <v>43861</v>
      </c>
      <c r="G2494" s="2" t="s">
        <v>19</v>
      </c>
      <c r="H2494" s="2" t="s">
        <v>642</v>
      </c>
      <c r="I2494">
        <v>100</v>
      </c>
      <c r="J2494" s="2" t="s">
        <v>715</v>
      </c>
      <c r="K2494" s="2" t="s">
        <v>411</v>
      </c>
      <c r="L2494" s="2" t="s">
        <v>412</v>
      </c>
      <c r="M2494" s="2" t="s">
        <v>413</v>
      </c>
      <c r="N2494" s="2" t="s">
        <v>414</v>
      </c>
      <c r="O2494" s="2" t="s">
        <v>415</v>
      </c>
      <c r="P2494" s="2" t="s">
        <v>127</v>
      </c>
      <c r="Q2494" s="2" t="s">
        <v>416</v>
      </c>
      <c r="R2494" s="2" t="s">
        <v>417</v>
      </c>
      <c r="S2494" s="2" t="s">
        <v>46</v>
      </c>
      <c r="T2494">
        <v>2760</v>
      </c>
      <c r="U2494">
        <f>VLOOKUP(Auto_Sales_data___Copy[[#This Row],[CUSTOMER_NAME]],$AF$2:$AH$90,2,FALSE)</f>
        <v>32</v>
      </c>
      <c r="V2494">
        <f>VLOOKUP(Auto_Sales_data___Copy[[#This Row],[CUSTOMER_NAME]],$AF$2:$AH$90,3,FALSE)</f>
        <v>104370.37999999999</v>
      </c>
      <c r="W2494" s="2">
        <f>6-MATCH(Auto_Sales_data___Copy[[#This Row],[DAYS_SINCE_LAST_ORDER]],Table2[R-Cutoff],1)</f>
        <v>1</v>
      </c>
      <c r="X2494" s="2">
        <f>MATCH(Auto_Sales_data___Copy[[#This Row],[Total_Orders_Per_Customer]],Table2[F-Cutoff],1)</f>
        <v>4</v>
      </c>
      <c r="Y2494" s="2">
        <f>MATCH(Auto_Sales_data___Copy[[#This Row],[Total_Sales_Per_Customer]],Table2[M-Cutoff],1)</f>
        <v>4</v>
      </c>
      <c r="Z2494" s="2" t="str">
        <f>Auto_Sales_data___Copy[[#This Row],[R-Score(1-5)]]&amp;Auto_Sales_data___Copy[[#This Row],[F-Score(1-5)]]&amp;Auto_Sales_data___Copy[[#This Row],[M-Score(1-5)]]</f>
        <v>144</v>
      </c>
      <c r="AA2494" s="2" t="str" cm="1">
        <f t="array" ref="AA24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4" s="2" t="str">
        <f>VLOOKUP(Auto_Sales_data___Copy[[#This Row],[Segment Name]],Table3[],2,FALSE)</f>
        <v>Brand Awareness &amp; Value Proposition</v>
      </c>
    </row>
    <row r="2495" spans="1:28" x14ac:dyDescent="0.25">
      <c r="A2495">
        <v>10373</v>
      </c>
      <c r="B2495">
        <v>37</v>
      </c>
      <c r="C2495">
        <v>108.8</v>
      </c>
      <c r="D2495">
        <v>8</v>
      </c>
      <c r="E2495">
        <v>4025.6</v>
      </c>
      <c r="F2495" s="1">
        <v>43861</v>
      </c>
      <c r="G2495" s="2" t="s">
        <v>19</v>
      </c>
      <c r="H2495" s="2" t="s">
        <v>642</v>
      </c>
      <c r="I2495">
        <v>99</v>
      </c>
      <c r="J2495" s="2" t="s">
        <v>716</v>
      </c>
      <c r="K2495" s="2" t="s">
        <v>411</v>
      </c>
      <c r="L2495" s="2" t="s">
        <v>412</v>
      </c>
      <c r="M2495" s="2" t="s">
        <v>413</v>
      </c>
      <c r="N2495" s="2" t="s">
        <v>414</v>
      </c>
      <c r="O2495" s="2" t="s">
        <v>415</v>
      </c>
      <c r="P2495" s="2" t="s">
        <v>127</v>
      </c>
      <c r="Q2495" s="2" t="s">
        <v>416</v>
      </c>
      <c r="R2495" s="2" t="s">
        <v>417</v>
      </c>
      <c r="S2495" s="2" t="s">
        <v>46</v>
      </c>
      <c r="T2495">
        <v>2786</v>
      </c>
      <c r="U2495">
        <f>VLOOKUP(Auto_Sales_data___Copy[[#This Row],[CUSTOMER_NAME]],$AF$2:$AH$90,2,FALSE)</f>
        <v>32</v>
      </c>
      <c r="V2495">
        <f>VLOOKUP(Auto_Sales_data___Copy[[#This Row],[CUSTOMER_NAME]],$AF$2:$AH$90,3,FALSE)</f>
        <v>104370.37999999999</v>
      </c>
      <c r="W2495" s="2">
        <f>6-MATCH(Auto_Sales_data___Copy[[#This Row],[DAYS_SINCE_LAST_ORDER]],Table2[R-Cutoff],1)</f>
        <v>1</v>
      </c>
      <c r="X2495" s="2">
        <f>MATCH(Auto_Sales_data___Copy[[#This Row],[Total_Orders_Per_Customer]],Table2[F-Cutoff],1)</f>
        <v>4</v>
      </c>
      <c r="Y2495" s="2">
        <f>MATCH(Auto_Sales_data___Copy[[#This Row],[Total_Sales_Per_Customer]],Table2[M-Cutoff],1)</f>
        <v>4</v>
      </c>
      <c r="Z2495" s="2" t="str">
        <f>Auto_Sales_data___Copy[[#This Row],[R-Score(1-5)]]&amp;Auto_Sales_data___Copy[[#This Row],[F-Score(1-5)]]&amp;Auto_Sales_data___Copy[[#This Row],[M-Score(1-5)]]</f>
        <v>144</v>
      </c>
      <c r="AA2495" s="2" t="str" cm="1">
        <f t="array" ref="AA24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5" s="2" t="str">
        <f>VLOOKUP(Auto_Sales_data___Copy[[#This Row],[Segment Name]],Table3[],2,FALSE)</f>
        <v>Brand Awareness &amp; Value Proposition</v>
      </c>
    </row>
    <row r="2496" spans="1:28" x14ac:dyDescent="0.25">
      <c r="A2496">
        <v>10373</v>
      </c>
      <c r="B2496">
        <v>45</v>
      </c>
      <c r="C2496">
        <v>55.62</v>
      </c>
      <c r="D2496">
        <v>17</v>
      </c>
      <c r="E2496">
        <v>2502.9</v>
      </c>
      <c r="F2496" s="1">
        <v>43861</v>
      </c>
      <c r="G2496" s="2" t="s">
        <v>19</v>
      </c>
      <c r="H2496" s="2" t="s">
        <v>607</v>
      </c>
      <c r="I2496">
        <v>74</v>
      </c>
      <c r="J2496" s="2" t="s">
        <v>717</v>
      </c>
      <c r="K2496" s="2" t="s">
        <v>411</v>
      </c>
      <c r="L2496" s="2" t="s">
        <v>412</v>
      </c>
      <c r="M2496" s="2" t="s">
        <v>413</v>
      </c>
      <c r="N2496" s="2" t="s">
        <v>414</v>
      </c>
      <c r="O2496" s="2" t="s">
        <v>415</v>
      </c>
      <c r="P2496" s="2" t="s">
        <v>127</v>
      </c>
      <c r="Q2496" s="2" t="s">
        <v>416</v>
      </c>
      <c r="R2496" s="2" t="s">
        <v>417</v>
      </c>
      <c r="S2496" s="2" t="s">
        <v>30</v>
      </c>
      <c r="T2496">
        <v>2812</v>
      </c>
      <c r="U2496">
        <f>VLOOKUP(Auto_Sales_data___Copy[[#This Row],[CUSTOMER_NAME]],$AF$2:$AH$90,2,FALSE)</f>
        <v>32</v>
      </c>
      <c r="V2496">
        <f>VLOOKUP(Auto_Sales_data___Copy[[#This Row],[CUSTOMER_NAME]],$AF$2:$AH$90,3,FALSE)</f>
        <v>104370.37999999999</v>
      </c>
      <c r="W2496" s="2">
        <f>6-MATCH(Auto_Sales_data___Copy[[#This Row],[DAYS_SINCE_LAST_ORDER]],Table2[R-Cutoff],1)</f>
        <v>1</v>
      </c>
      <c r="X2496" s="2">
        <f>MATCH(Auto_Sales_data___Copy[[#This Row],[Total_Orders_Per_Customer]],Table2[F-Cutoff],1)</f>
        <v>4</v>
      </c>
      <c r="Y2496" s="2">
        <f>MATCH(Auto_Sales_data___Copy[[#This Row],[Total_Sales_Per_Customer]],Table2[M-Cutoff],1)</f>
        <v>4</v>
      </c>
      <c r="Z2496" s="2" t="str">
        <f>Auto_Sales_data___Copy[[#This Row],[R-Score(1-5)]]&amp;Auto_Sales_data___Copy[[#This Row],[F-Score(1-5)]]&amp;Auto_Sales_data___Copy[[#This Row],[M-Score(1-5)]]</f>
        <v>144</v>
      </c>
      <c r="AA2496" s="2" t="str" cm="1">
        <f t="array" ref="AA24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6" s="2" t="str">
        <f>VLOOKUP(Auto_Sales_data___Copy[[#This Row],[Segment Name]],Table3[],2,FALSE)</f>
        <v>Brand Awareness &amp; Value Proposition</v>
      </c>
    </row>
    <row r="2497" spans="1:28" x14ac:dyDescent="0.25">
      <c r="A2497">
        <v>10373</v>
      </c>
      <c r="B2497">
        <v>25</v>
      </c>
      <c r="C2497">
        <v>64.97</v>
      </c>
      <c r="D2497">
        <v>9</v>
      </c>
      <c r="E2497">
        <v>1624.25</v>
      </c>
      <c r="F2497" s="1">
        <v>43861</v>
      </c>
      <c r="G2497" s="2" t="s">
        <v>19</v>
      </c>
      <c r="H2497" s="2" t="s">
        <v>607</v>
      </c>
      <c r="I2497">
        <v>49</v>
      </c>
      <c r="J2497" s="2" t="s">
        <v>718</v>
      </c>
      <c r="K2497" s="2" t="s">
        <v>411</v>
      </c>
      <c r="L2497" s="2" t="s">
        <v>412</v>
      </c>
      <c r="M2497" s="2" t="s">
        <v>413</v>
      </c>
      <c r="N2497" s="2" t="s">
        <v>414</v>
      </c>
      <c r="O2497" s="2" t="s">
        <v>415</v>
      </c>
      <c r="P2497" s="2" t="s">
        <v>127</v>
      </c>
      <c r="Q2497" s="2" t="s">
        <v>416</v>
      </c>
      <c r="R2497" s="2" t="s">
        <v>417</v>
      </c>
      <c r="S2497" s="2" t="s">
        <v>30</v>
      </c>
      <c r="T2497">
        <v>2838</v>
      </c>
      <c r="U2497">
        <f>VLOOKUP(Auto_Sales_data___Copy[[#This Row],[CUSTOMER_NAME]],$AF$2:$AH$90,2,FALSE)</f>
        <v>32</v>
      </c>
      <c r="V2497">
        <f>VLOOKUP(Auto_Sales_data___Copy[[#This Row],[CUSTOMER_NAME]],$AF$2:$AH$90,3,FALSE)</f>
        <v>104370.37999999999</v>
      </c>
      <c r="W2497" s="2">
        <f>6-MATCH(Auto_Sales_data___Copy[[#This Row],[DAYS_SINCE_LAST_ORDER]],Table2[R-Cutoff],1)</f>
        <v>1</v>
      </c>
      <c r="X2497" s="2">
        <f>MATCH(Auto_Sales_data___Copy[[#This Row],[Total_Orders_Per_Customer]],Table2[F-Cutoff],1)</f>
        <v>4</v>
      </c>
      <c r="Y2497" s="2">
        <f>MATCH(Auto_Sales_data___Copy[[#This Row],[Total_Sales_Per_Customer]],Table2[M-Cutoff],1)</f>
        <v>4</v>
      </c>
      <c r="Z2497" s="2" t="str">
        <f>Auto_Sales_data___Copy[[#This Row],[R-Score(1-5)]]&amp;Auto_Sales_data___Copy[[#This Row],[F-Score(1-5)]]&amp;Auto_Sales_data___Copy[[#This Row],[M-Score(1-5)]]</f>
        <v>144</v>
      </c>
      <c r="AA2497" s="2" t="str" cm="1">
        <f t="array" ref="AA24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7" s="2" t="str">
        <f>VLOOKUP(Auto_Sales_data___Copy[[#This Row],[Segment Name]],Table3[],2,FALSE)</f>
        <v>Brand Awareness &amp; Value Proposition</v>
      </c>
    </row>
    <row r="2498" spans="1:28" x14ac:dyDescent="0.25">
      <c r="A2498">
        <v>10373</v>
      </c>
      <c r="B2498">
        <v>29</v>
      </c>
      <c r="C2498">
        <v>137.19</v>
      </c>
      <c r="D2498">
        <v>1</v>
      </c>
      <c r="E2498">
        <v>3978.51</v>
      </c>
      <c r="F2498" s="1">
        <v>43861</v>
      </c>
      <c r="G2498" s="2" t="s">
        <v>19</v>
      </c>
      <c r="H2498" s="2" t="s">
        <v>642</v>
      </c>
      <c r="I2498">
        <v>54</v>
      </c>
      <c r="J2498" s="2" t="s">
        <v>719</v>
      </c>
      <c r="K2498" s="2" t="s">
        <v>411</v>
      </c>
      <c r="L2498" s="2" t="s">
        <v>412</v>
      </c>
      <c r="M2498" s="2" t="s">
        <v>413</v>
      </c>
      <c r="N2498" s="2" t="s">
        <v>414</v>
      </c>
      <c r="O2498" s="2" t="s">
        <v>415</v>
      </c>
      <c r="P2498" s="2" t="s">
        <v>127</v>
      </c>
      <c r="Q2498" s="2" t="s">
        <v>416</v>
      </c>
      <c r="R2498" s="2" t="s">
        <v>417</v>
      </c>
      <c r="S2498" s="2" t="s">
        <v>46</v>
      </c>
      <c r="T2498">
        <v>2865</v>
      </c>
      <c r="U2498">
        <f>VLOOKUP(Auto_Sales_data___Copy[[#This Row],[CUSTOMER_NAME]],$AF$2:$AH$90,2,FALSE)</f>
        <v>32</v>
      </c>
      <c r="V2498">
        <f>VLOOKUP(Auto_Sales_data___Copy[[#This Row],[CUSTOMER_NAME]],$AF$2:$AH$90,3,FALSE)</f>
        <v>104370.37999999999</v>
      </c>
      <c r="W2498" s="2">
        <f>6-MATCH(Auto_Sales_data___Copy[[#This Row],[DAYS_SINCE_LAST_ORDER]],Table2[R-Cutoff],1)</f>
        <v>1</v>
      </c>
      <c r="X2498" s="2">
        <f>MATCH(Auto_Sales_data___Copy[[#This Row],[Total_Orders_Per_Customer]],Table2[F-Cutoff],1)</f>
        <v>4</v>
      </c>
      <c r="Y2498" s="2">
        <f>MATCH(Auto_Sales_data___Copy[[#This Row],[Total_Sales_Per_Customer]],Table2[M-Cutoff],1)</f>
        <v>4</v>
      </c>
      <c r="Z2498" s="2" t="str">
        <f>Auto_Sales_data___Copy[[#This Row],[R-Score(1-5)]]&amp;Auto_Sales_data___Copy[[#This Row],[F-Score(1-5)]]&amp;Auto_Sales_data___Copy[[#This Row],[M-Score(1-5)]]</f>
        <v>144</v>
      </c>
      <c r="AA2498" s="2" t="str" cm="1">
        <f t="array" ref="AA24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8" s="2" t="str">
        <f>VLOOKUP(Auto_Sales_data___Copy[[#This Row],[Segment Name]],Table3[],2,FALSE)</f>
        <v>Brand Awareness &amp; Value Proposition</v>
      </c>
    </row>
    <row r="2499" spans="1:28" x14ac:dyDescent="0.25">
      <c r="A2499">
        <v>10375</v>
      </c>
      <c r="B2499">
        <v>33</v>
      </c>
      <c r="C2499">
        <v>116.87</v>
      </c>
      <c r="D2499">
        <v>1</v>
      </c>
      <c r="E2499">
        <v>3856.71</v>
      </c>
      <c r="F2499" s="1">
        <v>43864</v>
      </c>
      <c r="G2499" s="2" t="s">
        <v>19</v>
      </c>
      <c r="H2499" s="2" t="s">
        <v>607</v>
      </c>
      <c r="I2499">
        <v>99</v>
      </c>
      <c r="J2499" s="2" t="s">
        <v>710</v>
      </c>
      <c r="K2499" s="2" t="s">
        <v>108</v>
      </c>
      <c r="L2499" s="2" t="s">
        <v>109</v>
      </c>
      <c r="M2499" s="2" t="s">
        <v>110</v>
      </c>
      <c r="N2499" s="2" t="s">
        <v>111</v>
      </c>
      <c r="O2499" s="2" t="s">
        <v>112</v>
      </c>
      <c r="P2499" s="2" t="s">
        <v>36</v>
      </c>
      <c r="Q2499" s="2" t="s">
        <v>113</v>
      </c>
      <c r="R2499" s="2" t="s">
        <v>114</v>
      </c>
      <c r="S2499" s="2" t="s">
        <v>46</v>
      </c>
      <c r="T2499">
        <v>2627</v>
      </c>
      <c r="U2499">
        <f>VLOOKUP(Auto_Sales_data___Copy[[#This Row],[CUSTOMER_NAME]],$AF$2:$AH$90,2,FALSE)</f>
        <v>53</v>
      </c>
      <c r="V2499">
        <f>VLOOKUP(Auto_Sales_data___Copy[[#This Row],[CUSTOMER_NAME]],$AF$2:$AH$90,3,FALSE)</f>
        <v>180124.90000000008</v>
      </c>
      <c r="W2499" s="2">
        <f>6-MATCH(Auto_Sales_data___Copy[[#This Row],[DAYS_SINCE_LAST_ORDER]],Table2[R-Cutoff],1)</f>
        <v>1</v>
      </c>
      <c r="X2499" s="2">
        <f>MATCH(Auto_Sales_data___Copy[[#This Row],[Total_Orders_Per_Customer]],Table2[F-Cutoff],1)</f>
        <v>4</v>
      </c>
      <c r="Y2499" s="2">
        <f>MATCH(Auto_Sales_data___Copy[[#This Row],[Total_Sales_Per_Customer]],Table2[M-Cutoff],1)</f>
        <v>4</v>
      </c>
      <c r="Z2499" s="2" t="str">
        <f>Auto_Sales_data___Copy[[#This Row],[R-Score(1-5)]]&amp;Auto_Sales_data___Copy[[#This Row],[F-Score(1-5)]]&amp;Auto_Sales_data___Copy[[#This Row],[M-Score(1-5)]]</f>
        <v>144</v>
      </c>
      <c r="AA2499" s="2" t="str" cm="1">
        <f t="array" ref="AA24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9" s="2" t="str">
        <f>VLOOKUP(Auto_Sales_data___Copy[[#This Row],[Segment Name]],Table3[],2,FALSE)</f>
        <v>Brand Awareness &amp; Value Proposition</v>
      </c>
    </row>
    <row r="2500" spans="1:28" x14ac:dyDescent="0.25">
      <c r="A2500">
        <v>10375</v>
      </c>
      <c r="B2500">
        <v>25</v>
      </c>
      <c r="C2500">
        <v>66.73</v>
      </c>
      <c r="D2500">
        <v>10</v>
      </c>
      <c r="E2500">
        <v>1668.25</v>
      </c>
      <c r="F2500" s="1">
        <v>43864</v>
      </c>
      <c r="G2500" s="2" t="s">
        <v>19</v>
      </c>
      <c r="H2500" s="2" t="s">
        <v>607</v>
      </c>
      <c r="I2500">
        <v>118</v>
      </c>
      <c r="J2500" s="2" t="s">
        <v>713</v>
      </c>
      <c r="K2500" s="2" t="s">
        <v>108</v>
      </c>
      <c r="L2500" s="2" t="s">
        <v>109</v>
      </c>
      <c r="M2500" s="2" t="s">
        <v>110</v>
      </c>
      <c r="N2500" s="2" t="s">
        <v>111</v>
      </c>
      <c r="O2500" s="2" t="s">
        <v>112</v>
      </c>
      <c r="P2500" s="2" t="s">
        <v>36</v>
      </c>
      <c r="Q2500" s="2" t="s">
        <v>113</v>
      </c>
      <c r="R2500" s="2" t="s">
        <v>114</v>
      </c>
      <c r="S2500" s="2" t="s">
        <v>30</v>
      </c>
      <c r="T2500">
        <v>2705</v>
      </c>
      <c r="U2500">
        <f>VLOOKUP(Auto_Sales_data___Copy[[#This Row],[CUSTOMER_NAME]],$AF$2:$AH$90,2,FALSE)</f>
        <v>53</v>
      </c>
      <c r="V2500">
        <f>VLOOKUP(Auto_Sales_data___Copy[[#This Row],[CUSTOMER_NAME]],$AF$2:$AH$90,3,FALSE)</f>
        <v>180124.90000000008</v>
      </c>
      <c r="W2500" s="2">
        <f>6-MATCH(Auto_Sales_data___Copy[[#This Row],[DAYS_SINCE_LAST_ORDER]],Table2[R-Cutoff],1)</f>
        <v>1</v>
      </c>
      <c r="X2500" s="2">
        <f>MATCH(Auto_Sales_data___Copy[[#This Row],[Total_Orders_Per_Customer]],Table2[F-Cutoff],1)</f>
        <v>4</v>
      </c>
      <c r="Y2500" s="2">
        <f>MATCH(Auto_Sales_data___Copy[[#This Row],[Total_Sales_Per_Customer]],Table2[M-Cutoff],1)</f>
        <v>4</v>
      </c>
      <c r="Z2500" s="2" t="str">
        <f>Auto_Sales_data___Copy[[#This Row],[R-Score(1-5)]]&amp;Auto_Sales_data___Copy[[#This Row],[F-Score(1-5)]]&amp;Auto_Sales_data___Copy[[#This Row],[M-Score(1-5)]]</f>
        <v>144</v>
      </c>
      <c r="AA2500" s="2" t="str" cm="1">
        <f t="array" ref="AA25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0" s="2" t="str">
        <f>VLOOKUP(Auto_Sales_data___Copy[[#This Row],[Segment Name]],Table3[],2,FALSE)</f>
        <v>Brand Awareness &amp; Value Proposition</v>
      </c>
    </row>
    <row r="2501" spans="1:28" x14ac:dyDescent="0.25">
      <c r="A2501">
        <v>10375</v>
      </c>
      <c r="B2501">
        <v>44</v>
      </c>
      <c r="C2501">
        <v>118.38</v>
      </c>
      <c r="D2501">
        <v>11</v>
      </c>
      <c r="E2501">
        <v>5208.72</v>
      </c>
      <c r="F2501" s="1">
        <v>43864</v>
      </c>
      <c r="G2501" s="2" t="s">
        <v>19</v>
      </c>
      <c r="H2501" s="2" t="s">
        <v>607</v>
      </c>
      <c r="I2501">
        <v>80</v>
      </c>
      <c r="J2501" s="2" t="s">
        <v>714</v>
      </c>
      <c r="K2501" s="2" t="s">
        <v>108</v>
      </c>
      <c r="L2501" s="2" t="s">
        <v>109</v>
      </c>
      <c r="M2501" s="2" t="s">
        <v>110</v>
      </c>
      <c r="N2501" s="2" t="s">
        <v>111</v>
      </c>
      <c r="O2501" s="2" t="s">
        <v>112</v>
      </c>
      <c r="P2501" s="2" t="s">
        <v>36</v>
      </c>
      <c r="Q2501" s="2" t="s">
        <v>113</v>
      </c>
      <c r="R2501" s="2" t="s">
        <v>114</v>
      </c>
      <c r="S2501" s="2" t="s">
        <v>46</v>
      </c>
      <c r="T2501">
        <v>2730</v>
      </c>
      <c r="U2501">
        <f>VLOOKUP(Auto_Sales_data___Copy[[#This Row],[CUSTOMER_NAME]],$AF$2:$AH$90,2,FALSE)</f>
        <v>53</v>
      </c>
      <c r="V2501">
        <f>VLOOKUP(Auto_Sales_data___Copy[[#This Row],[CUSTOMER_NAME]],$AF$2:$AH$90,3,FALSE)</f>
        <v>180124.90000000008</v>
      </c>
      <c r="W2501" s="2">
        <f>6-MATCH(Auto_Sales_data___Copy[[#This Row],[DAYS_SINCE_LAST_ORDER]],Table2[R-Cutoff],1)</f>
        <v>1</v>
      </c>
      <c r="X2501" s="2">
        <f>MATCH(Auto_Sales_data___Copy[[#This Row],[Total_Orders_Per_Customer]],Table2[F-Cutoff],1)</f>
        <v>4</v>
      </c>
      <c r="Y2501" s="2">
        <f>MATCH(Auto_Sales_data___Copy[[#This Row],[Total_Sales_Per_Customer]],Table2[M-Cutoff],1)</f>
        <v>4</v>
      </c>
      <c r="Z2501" s="2" t="str">
        <f>Auto_Sales_data___Copy[[#This Row],[R-Score(1-5)]]&amp;Auto_Sales_data___Copy[[#This Row],[F-Score(1-5)]]&amp;Auto_Sales_data___Copy[[#This Row],[M-Score(1-5)]]</f>
        <v>144</v>
      </c>
      <c r="AA2501" s="2" t="str" cm="1">
        <f t="array" ref="AA25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1" s="2" t="str">
        <f>VLOOKUP(Auto_Sales_data___Copy[[#This Row],[Segment Name]],Table3[],2,FALSE)</f>
        <v>Brand Awareness &amp; Value Proposition</v>
      </c>
    </row>
    <row r="2502" spans="1:28" x14ac:dyDescent="0.25">
      <c r="A2502">
        <v>10382</v>
      </c>
      <c r="B2502">
        <v>34</v>
      </c>
      <c r="C2502">
        <v>54.84</v>
      </c>
      <c r="D2502">
        <v>9</v>
      </c>
      <c r="E2502">
        <v>1864.56</v>
      </c>
      <c r="F2502" s="1">
        <v>43878</v>
      </c>
      <c r="G2502" s="2" t="s">
        <v>19</v>
      </c>
      <c r="H2502" s="2" t="s">
        <v>183</v>
      </c>
      <c r="I2502">
        <v>101</v>
      </c>
      <c r="J2502" s="2" t="s">
        <v>712</v>
      </c>
      <c r="K2502" s="2" t="s">
        <v>284</v>
      </c>
      <c r="L2502" s="2" t="s">
        <v>285</v>
      </c>
      <c r="M2502" s="2" t="s">
        <v>286</v>
      </c>
      <c r="N2502" s="2" t="s">
        <v>287</v>
      </c>
      <c r="O2502" s="2" t="s">
        <v>106</v>
      </c>
      <c r="P2502" s="2" t="s">
        <v>27</v>
      </c>
      <c r="Q2502" s="2" t="s">
        <v>288</v>
      </c>
      <c r="R2502" s="2" t="s">
        <v>289</v>
      </c>
      <c r="S2502" s="2" t="s">
        <v>30</v>
      </c>
      <c r="T2502">
        <v>2668</v>
      </c>
      <c r="U2502">
        <f>VLOOKUP(Auto_Sales_data___Copy[[#This Row],[CUSTOMER_NAME]],$AF$2:$AH$90,2,FALSE)</f>
        <v>180</v>
      </c>
      <c r="V2502">
        <f>VLOOKUP(Auto_Sales_data___Copy[[#This Row],[CUSTOMER_NAME]],$AF$2:$AH$90,3,FALSE)</f>
        <v>654858.06000000017</v>
      </c>
      <c r="W2502" s="2">
        <f>6-MATCH(Auto_Sales_data___Copy[[#This Row],[DAYS_SINCE_LAST_ORDER]],Table2[R-Cutoff],1)</f>
        <v>1</v>
      </c>
      <c r="X2502" s="2">
        <f>MATCH(Auto_Sales_data___Copy[[#This Row],[Total_Orders_Per_Customer]],Table2[F-Cutoff],1)</f>
        <v>4</v>
      </c>
      <c r="Y2502" s="2">
        <f>MATCH(Auto_Sales_data___Copy[[#This Row],[Total_Sales_Per_Customer]],Table2[M-Cutoff],1)</f>
        <v>4</v>
      </c>
      <c r="Z2502" s="2" t="str">
        <f>Auto_Sales_data___Copy[[#This Row],[R-Score(1-5)]]&amp;Auto_Sales_data___Copy[[#This Row],[F-Score(1-5)]]&amp;Auto_Sales_data___Copy[[#This Row],[M-Score(1-5)]]</f>
        <v>144</v>
      </c>
      <c r="AA2502" s="2" t="str" cm="1">
        <f t="array" ref="AA25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2" s="2" t="str">
        <f>VLOOKUP(Auto_Sales_data___Copy[[#This Row],[Segment Name]],Table3[],2,FALSE)</f>
        <v>Brand Awareness &amp; Value Proposition</v>
      </c>
    </row>
    <row r="2503" spans="1:28" x14ac:dyDescent="0.25">
      <c r="A2503">
        <v>10398</v>
      </c>
      <c r="B2503">
        <v>22</v>
      </c>
      <c r="C2503">
        <v>86.76</v>
      </c>
      <c r="D2503">
        <v>8</v>
      </c>
      <c r="E2503">
        <v>1908.72</v>
      </c>
      <c r="F2503" s="1">
        <v>43920</v>
      </c>
      <c r="G2503" s="2" t="s">
        <v>19</v>
      </c>
      <c r="H2503" s="2" t="s">
        <v>607</v>
      </c>
      <c r="I2503">
        <v>99</v>
      </c>
      <c r="J2503" s="2" t="s">
        <v>710</v>
      </c>
      <c r="K2503" s="2" t="s">
        <v>31</v>
      </c>
      <c r="L2503" s="2" t="s">
        <v>32</v>
      </c>
      <c r="M2503" s="2" t="s">
        <v>33</v>
      </c>
      <c r="N2503" s="2" t="s">
        <v>34</v>
      </c>
      <c r="O2503" s="2" t="s">
        <v>35</v>
      </c>
      <c r="P2503" s="2" t="s">
        <v>36</v>
      </c>
      <c r="Q2503" s="2" t="s">
        <v>37</v>
      </c>
      <c r="R2503" s="2" t="s">
        <v>38</v>
      </c>
      <c r="S2503" s="2" t="s">
        <v>30</v>
      </c>
      <c r="T2503">
        <v>2573</v>
      </c>
      <c r="U2503">
        <f>VLOOKUP(Auto_Sales_data___Copy[[#This Row],[CUSTOMER_NAME]],$AF$2:$AH$90,2,FALSE)</f>
        <v>41</v>
      </c>
      <c r="V2503">
        <f>VLOOKUP(Auto_Sales_data___Copy[[#This Row],[CUSTOMER_NAME]],$AF$2:$AH$90,3,FALSE)</f>
        <v>135042.94</v>
      </c>
      <c r="W2503" s="2">
        <f>6-MATCH(Auto_Sales_data___Copy[[#This Row],[DAYS_SINCE_LAST_ORDER]],Table2[R-Cutoff],1)</f>
        <v>1</v>
      </c>
      <c r="X2503" s="2">
        <f>MATCH(Auto_Sales_data___Copy[[#This Row],[Total_Orders_Per_Customer]],Table2[F-Cutoff],1)</f>
        <v>4</v>
      </c>
      <c r="Y2503" s="2">
        <f>MATCH(Auto_Sales_data___Copy[[#This Row],[Total_Sales_Per_Customer]],Table2[M-Cutoff],1)</f>
        <v>4</v>
      </c>
      <c r="Z2503" s="2" t="str">
        <f>Auto_Sales_data___Copy[[#This Row],[R-Score(1-5)]]&amp;Auto_Sales_data___Copy[[#This Row],[F-Score(1-5)]]&amp;Auto_Sales_data___Copy[[#This Row],[M-Score(1-5)]]</f>
        <v>144</v>
      </c>
      <c r="AA2503" s="2" t="str" cm="1">
        <f t="array" ref="AA25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3" s="2" t="str">
        <f>VLOOKUP(Auto_Sales_data___Copy[[#This Row],[Segment Name]],Table3[],2,FALSE)</f>
        <v>Brand Awareness &amp; Value Proposition</v>
      </c>
    </row>
    <row r="2504" spans="1:28" x14ac:dyDescent="0.25">
      <c r="A2504">
        <v>10398</v>
      </c>
      <c r="B2504">
        <v>23</v>
      </c>
      <c r="C2504">
        <v>122.21</v>
      </c>
      <c r="D2504">
        <v>9</v>
      </c>
      <c r="E2504">
        <v>2810.83</v>
      </c>
      <c r="F2504" s="1">
        <v>43920</v>
      </c>
      <c r="G2504" s="2" t="s">
        <v>19</v>
      </c>
      <c r="H2504" s="2" t="s">
        <v>607</v>
      </c>
      <c r="I2504">
        <v>118</v>
      </c>
      <c r="J2504" s="2" t="s">
        <v>713</v>
      </c>
      <c r="K2504" s="2" t="s">
        <v>31</v>
      </c>
      <c r="L2504" s="2" t="s">
        <v>32</v>
      </c>
      <c r="M2504" s="2" t="s">
        <v>33</v>
      </c>
      <c r="N2504" s="2" t="s">
        <v>34</v>
      </c>
      <c r="O2504" s="2" t="s">
        <v>35</v>
      </c>
      <c r="P2504" s="2" t="s">
        <v>36</v>
      </c>
      <c r="Q2504" s="2" t="s">
        <v>37</v>
      </c>
      <c r="R2504" s="2" t="s">
        <v>38</v>
      </c>
      <c r="S2504" s="2" t="s">
        <v>30</v>
      </c>
      <c r="T2504">
        <v>2651</v>
      </c>
      <c r="U2504">
        <f>VLOOKUP(Auto_Sales_data___Copy[[#This Row],[CUSTOMER_NAME]],$AF$2:$AH$90,2,FALSE)</f>
        <v>41</v>
      </c>
      <c r="V2504">
        <f>VLOOKUP(Auto_Sales_data___Copy[[#This Row],[CUSTOMER_NAME]],$AF$2:$AH$90,3,FALSE)</f>
        <v>135042.94</v>
      </c>
      <c r="W2504" s="2">
        <f>6-MATCH(Auto_Sales_data___Copy[[#This Row],[DAYS_SINCE_LAST_ORDER]],Table2[R-Cutoff],1)</f>
        <v>1</v>
      </c>
      <c r="X2504" s="2">
        <f>MATCH(Auto_Sales_data___Copy[[#This Row],[Total_Orders_Per_Customer]],Table2[F-Cutoff],1)</f>
        <v>4</v>
      </c>
      <c r="Y2504" s="2">
        <f>MATCH(Auto_Sales_data___Copy[[#This Row],[Total_Sales_Per_Customer]],Table2[M-Cutoff],1)</f>
        <v>4</v>
      </c>
      <c r="Z2504" s="2" t="str">
        <f>Auto_Sales_data___Copy[[#This Row],[R-Score(1-5)]]&amp;Auto_Sales_data___Copy[[#This Row],[F-Score(1-5)]]&amp;Auto_Sales_data___Copy[[#This Row],[M-Score(1-5)]]</f>
        <v>144</v>
      </c>
      <c r="AA2504" s="2" t="str" cm="1">
        <f t="array" ref="AA25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4" s="2" t="str">
        <f>VLOOKUP(Auto_Sales_data___Copy[[#This Row],[Segment Name]],Table3[],2,FALSE)</f>
        <v>Brand Awareness &amp; Value Proposition</v>
      </c>
    </row>
    <row r="2505" spans="1:28" x14ac:dyDescent="0.25">
      <c r="A2505">
        <v>10398</v>
      </c>
      <c r="B2505">
        <v>29</v>
      </c>
      <c r="C2505">
        <v>65.599999999999994</v>
      </c>
      <c r="D2505">
        <v>10</v>
      </c>
      <c r="E2505">
        <v>1902.4</v>
      </c>
      <c r="F2505" s="1">
        <v>43920</v>
      </c>
      <c r="G2505" s="2" t="s">
        <v>19</v>
      </c>
      <c r="H2505" s="2" t="s">
        <v>607</v>
      </c>
      <c r="I2505">
        <v>80</v>
      </c>
      <c r="J2505" s="2" t="s">
        <v>714</v>
      </c>
      <c r="K2505" s="2" t="s">
        <v>31</v>
      </c>
      <c r="L2505" s="2" t="s">
        <v>32</v>
      </c>
      <c r="M2505" s="2" t="s">
        <v>33</v>
      </c>
      <c r="N2505" s="2" t="s">
        <v>34</v>
      </c>
      <c r="O2505" s="2" t="s">
        <v>35</v>
      </c>
      <c r="P2505" s="2" t="s">
        <v>36</v>
      </c>
      <c r="Q2505" s="2" t="s">
        <v>37</v>
      </c>
      <c r="R2505" s="2" t="s">
        <v>38</v>
      </c>
      <c r="S2505" s="2" t="s">
        <v>30</v>
      </c>
      <c r="T2505">
        <v>2676</v>
      </c>
      <c r="U2505">
        <f>VLOOKUP(Auto_Sales_data___Copy[[#This Row],[CUSTOMER_NAME]],$AF$2:$AH$90,2,FALSE)</f>
        <v>41</v>
      </c>
      <c r="V2505">
        <f>VLOOKUP(Auto_Sales_data___Copy[[#This Row],[CUSTOMER_NAME]],$AF$2:$AH$90,3,FALSE)</f>
        <v>135042.94</v>
      </c>
      <c r="W2505" s="2">
        <f>6-MATCH(Auto_Sales_data___Copy[[#This Row],[DAYS_SINCE_LAST_ORDER]],Table2[R-Cutoff],1)</f>
        <v>1</v>
      </c>
      <c r="X2505" s="2">
        <f>MATCH(Auto_Sales_data___Copy[[#This Row],[Total_Orders_Per_Customer]],Table2[F-Cutoff],1)</f>
        <v>4</v>
      </c>
      <c r="Y2505" s="2">
        <f>MATCH(Auto_Sales_data___Copy[[#This Row],[Total_Sales_Per_Customer]],Table2[M-Cutoff],1)</f>
        <v>4</v>
      </c>
      <c r="Z2505" s="2" t="str">
        <f>Auto_Sales_data___Copy[[#This Row],[R-Score(1-5)]]&amp;Auto_Sales_data___Copy[[#This Row],[F-Score(1-5)]]&amp;Auto_Sales_data___Copy[[#This Row],[M-Score(1-5)]]</f>
        <v>144</v>
      </c>
      <c r="AA2505" s="2" t="str" cm="1">
        <f t="array" ref="AA25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5" s="2" t="str">
        <f>VLOOKUP(Auto_Sales_data___Copy[[#This Row],[Segment Name]],Table3[],2,FALSE)</f>
        <v>Brand Awareness &amp; Value Proposition</v>
      </c>
    </row>
    <row r="2506" spans="1:28" x14ac:dyDescent="0.25">
      <c r="A2506">
        <v>10398</v>
      </c>
      <c r="B2506">
        <v>36</v>
      </c>
      <c r="C2506">
        <v>87.36</v>
      </c>
      <c r="D2506">
        <v>12</v>
      </c>
      <c r="E2506">
        <v>3144.96</v>
      </c>
      <c r="F2506" s="1">
        <v>43920</v>
      </c>
      <c r="G2506" s="2" t="s">
        <v>19</v>
      </c>
      <c r="H2506" s="2" t="s">
        <v>607</v>
      </c>
      <c r="I2506">
        <v>74</v>
      </c>
      <c r="J2506" s="2" t="s">
        <v>717</v>
      </c>
      <c r="K2506" s="2" t="s">
        <v>31</v>
      </c>
      <c r="L2506" s="2" t="s">
        <v>32</v>
      </c>
      <c r="M2506" s="2" t="s">
        <v>33</v>
      </c>
      <c r="N2506" s="2" t="s">
        <v>34</v>
      </c>
      <c r="O2506" s="2" t="s">
        <v>35</v>
      </c>
      <c r="P2506" s="2" t="s">
        <v>36</v>
      </c>
      <c r="Q2506" s="2" t="s">
        <v>37</v>
      </c>
      <c r="R2506" s="2" t="s">
        <v>38</v>
      </c>
      <c r="S2506" s="2" t="s">
        <v>46</v>
      </c>
      <c r="T2506">
        <v>2755</v>
      </c>
      <c r="U2506">
        <f>VLOOKUP(Auto_Sales_data___Copy[[#This Row],[CUSTOMER_NAME]],$AF$2:$AH$90,2,FALSE)</f>
        <v>41</v>
      </c>
      <c r="V2506">
        <f>VLOOKUP(Auto_Sales_data___Copy[[#This Row],[CUSTOMER_NAME]],$AF$2:$AH$90,3,FALSE)</f>
        <v>135042.94</v>
      </c>
      <c r="W2506" s="2">
        <f>6-MATCH(Auto_Sales_data___Copy[[#This Row],[DAYS_SINCE_LAST_ORDER]],Table2[R-Cutoff],1)</f>
        <v>1</v>
      </c>
      <c r="X2506" s="2">
        <f>MATCH(Auto_Sales_data___Copy[[#This Row],[Total_Orders_Per_Customer]],Table2[F-Cutoff],1)</f>
        <v>4</v>
      </c>
      <c r="Y2506" s="2">
        <f>MATCH(Auto_Sales_data___Copy[[#This Row],[Total_Sales_Per_Customer]],Table2[M-Cutoff],1)</f>
        <v>4</v>
      </c>
      <c r="Z2506" s="2" t="str">
        <f>Auto_Sales_data___Copy[[#This Row],[R-Score(1-5)]]&amp;Auto_Sales_data___Copy[[#This Row],[F-Score(1-5)]]&amp;Auto_Sales_data___Copy[[#This Row],[M-Score(1-5)]]</f>
        <v>144</v>
      </c>
      <c r="AA2506" s="2" t="str" cm="1">
        <f t="array" ref="AA25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6" s="2" t="str">
        <f>VLOOKUP(Auto_Sales_data___Copy[[#This Row],[Segment Name]],Table3[],2,FALSE)</f>
        <v>Brand Awareness &amp; Value Proposition</v>
      </c>
    </row>
    <row r="2507" spans="1:28" x14ac:dyDescent="0.25">
      <c r="A2507">
        <v>10398</v>
      </c>
      <c r="B2507">
        <v>34</v>
      </c>
      <c r="C2507">
        <v>40.22</v>
      </c>
      <c r="D2507">
        <v>1</v>
      </c>
      <c r="E2507">
        <v>1367.48</v>
      </c>
      <c r="F2507" s="1">
        <v>43920</v>
      </c>
      <c r="G2507" s="2" t="s">
        <v>19</v>
      </c>
      <c r="H2507" s="2" t="s">
        <v>607</v>
      </c>
      <c r="I2507">
        <v>49</v>
      </c>
      <c r="J2507" s="2" t="s">
        <v>718</v>
      </c>
      <c r="K2507" s="2" t="s">
        <v>31</v>
      </c>
      <c r="L2507" s="2" t="s">
        <v>32</v>
      </c>
      <c r="M2507" s="2" t="s">
        <v>33</v>
      </c>
      <c r="N2507" s="2" t="s">
        <v>34</v>
      </c>
      <c r="O2507" s="2" t="s">
        <v>35</v>
      </c>
      <c r="P2507" s="2" t="s">
        <v>36</v>
      </c>
      <c r="Q2507" s="2" t="s">
        <v>37</v>
      </c>
      <c r="R2507" s="2" t="s">
        <v>38</v>
      </c>
      <c r="S2507" s="2" t="s">
        <v>30</v>
      </c>
      <c r="T2507">
        <v>2781</v>
      </c>
      <c r="U2507">
        <f>VLOOKUP(Auto_Sales_data___Copy[[#This Row],[CUSTOMER_NAME]],$AF$2:$AH$90,2,FALSE)</f>
        <v>41</v>
      </c>
      <c r="V2507">
        <f>VLOOKUP(Auto_Sales_data___Copy[[#This Row],[CUSTOMER_NAME]],$AF$2:$AH$90,3,FALSE)</f>
        <v>135042.94</v>
      </c>
      <c r="W2507" s="2">
        <f>6-MATCH(Auto_Sales_data___Copy[[#This Row],[DAYS_SINCE_LAST_ORDER]],Table2[R-Cutoff],1)</f>
        <v>1</v>
      </c>
      <c r="X2507" s="2">
        <f>MATCH(Auto_Sales_data___Copy[[#This Row],[Total_Orders_Per_Customer]],Table2[F-Cutoff],1)</f>
        <v>4</v>
      </c>
      <c r="Y2507" s="2">
        <f>MATCH(Auto_Sales_data___Copy[[#This Row],[Total_Sales_Per_Customer]],Table2[M-Cutoff],1)</f>
        <v>4</v>
      </c>
      <c r="Z2507" s="2" t="str">
        <f>Auto_Sales_data___Copy[[#This Row],[R-Score(1-5)]]&amp;Auto_Sales_data___Copy[[#This Row],[F-Score(1-5)]]&amp;Auto_Sales_data___Copy[[#This Row],[M-Score(1-5)]]</f>
        <v>144</v>
      </c>
      <c r="AA2507" s="2" t="str" cm="1">
        <f t="array" ref="AA25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7" s="2" t="str">
        <f>VLOOKUP(Auto_Sales_data___Copy[[#This Row],[Segment Name]],Table3[],2,FALSE)</f>
        <v>Brand Awareness &amp; Value Proposition</v>
      </c>
    </row>
    <row r="2508" spans="1:28" x14ac:dyDescent="0.25">
      <c r="A2508">
        <v>10400</v>
      </c>
      <c r="B2508">
        <v>20</v>
      </c>
      <c r="C2508">
        <v>56.12</v>
      </c>
      <c r="D2508">
        <v>4</v>
      </c>
      <c r="E2508">
        <v>1122.4000000000001</v>
      </c>
      <c r="F2508" s="1">
        <v>43922</v>
      </c>
      <c r="G2508" s="2" t="s">
        <v>19</v>
      </c>
      <c r="H2508" s="2" t="s">
        <v>607</v>
      </c>
      <c r="I2508">
        <v>49</v>
      </c>
      <c r="J2508" s="2" t="s">
        <v>718</v>
      </c>
      <c r="K2508" s="2" t="s">
        <v>418</v>
      </c>
      <c r="L2508" s="2" t="s">
        <v>419</v>
      </c>
      <c r="M2508" s="2" t="s">
        <v>420</v>
      </c>
      <c r="N2508" s="2" t="s">
        <v>421</v>
      </c>
      <c r="O2508" s="2" t="s">
        <v>58</v>
      </c>
      <c r="P2508" s="2" t="s">
        <v>27</v>
      </c>
      <c r="Q2508" s="2" t="s">
        <v>93</v>
      </c>
      <c r="R2508" s="2" t="s">
        <v>422</v>
      </c>
      <c r="S2508" s="2" t="s">
        <v>30</v>
      </c>
      <c r="T2508">
        <v>2780</v>
      </c>
      <c r="U2508">
        <f>VLOOKUP(Auto_Sales_data___Copy[[#This Row],[CUSTOMER_NAME]],$AF$2:$AH$90,2,FALSE)</f>
        <v>40</v>
      </c>
      <c r="V2508">
        <f>VLOOKUP(Auto_Sales_data___Copy[[#This Row],[CUSTOMER_NAME]],$AF$2:$AH$90,3,FALSE)</f>
        <v>160010.27000000005</v>
      </c>
      <c r="W2508" s="2">
        <f>6-MATCH(Auto_Sales_data___Copy[[#This Row],[DAYS_SINCE_LAST_ORDER]],Table2[R-Cutoff],1)</f>
        <v>1</v>
      </c>
      <c r="X2508" s="2">
        <f>MATCH(Auto_Sales_data___Copy[[#This Row],[Total_Orders_Per_Customer]],Table2[F-Cutoff],1)</f>
        <v>4</v>
      </c>
      <c r="Y2508" s="2">
        <f>MATCH(Auto_Sales_data___Copy[[#This Row],[Total_Sales_Per_Customer]],Table2[M-Cutoff],1)</f>
        <v>4</v>
      </c>
      <c r="Z2508" s="2" t="str">
        <f>Auto_Sales_data___Copy[[#This Row],[R-Score(1-5)]]&amp;Auto_Sales_data___Copy[[#This Row],[F-Score(1-5)]]&amp;Auto_Sales_data___Copy[[#This Row],[M-Score(1-5)]]</f>
        <v>144</v>
      </c>
      <c r="AA2508" s="2" t="str" cm="1">
        <f t="array" ref="AA25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8" s="2" t="str">
        <f>VLOOKUP(Auto_Sales_data___Copy[[#This Row],[Segment Name]],Table3[],2,FALSE)</f>
        <v>Brand Awareness &amp; Value Proposition</v>
      </c>
    </row>
    <row r="2509" spans="1:28" x14ac:dyDescent="0.25">
      <c r="A2509">
        <v>10416</v>
      </c>
      <c r="B2509">
        <v>41</v>
      </c>
      <c r="C2509">
        <v>137.63</v>
      </c>
      <c r="D2509">
        <v>3</v>
      </c>
      <c r="E2509">
        <v>5642.83</v>
      </c>
      <c r="F2509" s="1">
        <v>43961</v>
      </c>
      <c r="G2509" s="2" t="s">
        <v>19</v>
      </c>
      <c r="H2509" s="2" t="s">
        <v>607</v>
      </c>
      <c r="I2509">
        <v>118</v>
      </c>
      <c r="J2509" s="2" t="s">
        <v>713</v>
      </c>
      <c r="K2509" s="2" t="s">
        <v>480</v>
      </c>
      <c r="L2509" s="2" t="s">
        <v>481</v>
      </c>
      <c r="M2509" s="2" t="s">
        <v>482</v>
      </c>
      <c r="N2509" s="2" t="s">
        <v>483</v>
      </c>
      <c r="O2509" s="2" t="s">
        <v>484</v>
      </c>
      <c r="P2509" s="2" t="s">
        <v>269</v>
      </c>
      <c r="Q2509" s="2" t="s">
        <v>485</v>
      </c>
      <c r="R2509" s="2" t="s">
        <v>486</v>
      </c>
      <c r="S2509" s="2" t="s">
        <v>46</v>
      </c>
      <c r="T2509">
        <v>2612</v>
      </c>
      <c r="U2509">
        <f>VLOOKUP(Auto_Sales_data___Copy[[#This Row],[CUSTOMER_NAME]],$AF$2:$AH$90,2,FALSE)</f>
        <v>39</v>
      </c>
      <c r="V2509">
        <f>VLOOKUP(Auto_Sales_data___Copy[[#This Row],[CUSTOMER_NAME]],$AF$2:$AH$90,3,FALSE)</f>
        <v>142601.33000000002</v>
      </c>
      <c r="W2509" s="2">
        <f>6-MATCH(Auto_Sales_data___Copy[[#This Row],[DAYS_SINCE_LAST_ORDER]],Table2[R-Cutoff],1)</f>
        <v>1</v>
      </c>
      <c r="X2509" s="2">
        <f>MATCH(Auto_Sales_data___Copy[[#This Row],[Total_Orders_Per_Customer]],Table2[F-Cutoff],1)</f>
        <v>4</v>
      </c>
      <c r="Y2509" s="2">
        <f>MATCH(Auto_Sales_data___Copy[[#This Row],[Total_Sales_Per_Customer]],Table2[M-Cutoff],1)</f>
        <v>4</v>
      </c>
      <c r="Z2509" s="2" t="str">
        <f>Auto_Sales_data___Copy[[#This Row],[R-Score(1-5)]]&amp;Auto_Sales_data___Copy[[#This Row],[F-Score(1-5)]]&amp;Auto_Sales_data___Copy[[#This Row],[M-Score(1-5)]]</f>
        <v>144</v>
      </c>
      <c r="AA2509" s="2" t="str" cm="1">
        <f t="array" ref="AA25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9" s="2" t="str">
        <f>VLOOKUP(Auto_Sales_data___Copy[[#This Row],[Segment Name]],Table3[],2,FALSE)</f>
        <v>Brand Awareness &amp; Value Proposition</v>
      </c>
    </row>
    <row r="2510" spans="1:28" x14ac:dyDescent="0.25">
      <c r="A2510">
        <v>10416</v>
      </c>
      <c r="B2510">
        <v>39</v>
      </c>
      <c r="C2510">
        <v>67.2</v>
      </c>
      <c r="D2510">
        <v>10</v>
      </c>
      <c r="E2510">
        <v>2620.8000000000002</v>
      </c>
      <c r="F2510" s="1">
        <v>43961</v>
      </c>
      <c r="G2510" s="2" t="s">
        <v>19</v>
      </c>
      <c r="H2510" s="2" t="s">
        <v>607</v>
      </c>
      <c r="I2510">
        <v>80</v>
      </c>
      <c r="J2510" s="2" t="s">
        <v>714</v>
      </c>
      <c r="K2510" s="2" t="s">
        <v>480</v>
      </c>
      <c r="L2510" s="2" t="s">
        <v>481</v>
      </c>
      <c r="M2510" s="2" t="s">
        <v>482</v>
      </c>
      <c r="N2510" s="2" t="s">
        <v>483</v>
      </c>
      <c r="O2510" s="2" t="s">
        <v>484</v>
      </c>
      <c r="P2510" s="2" t="s">
        <v>269</v>
      </c>
      <c r="Q2510" s="2" t="s">
        <v>485</v>
      </c>
      <c r="R2510" s="2" t="s">
        <v>486</v>
      </c>
      <c r="S2510" s="2" t="s">
        <v>30</v>
      </c>
      <c r="T2510">
        <v>2637</v>
      </c>
      <c r="U2510">
        <f>VLOOKUP(Auto_Sales_data___Copy[[#This Row],[CUSTOMER_NAME]],$AF$2:$AH$90,2,FALSE)</f>
        <v>39</v>
      </c>
      <c r="V2510">
        <f>VLOOKUP(Auto_Sales_data___Copy[[#This Row],[CUSTOMER_NAME]],$AF$2:$AH$90,3,FALSE)</f>
        <v>142601.33000000002</v>
      </c>
      <c r="W2510" s="2">
        <f>6-MATCH(Auto_Sales_data___Copy[[#This Row],[DAYS_SINCE_LAST_ORDER]],Table2[R-Cutoff],1)</f>
        <v>1</v>
      </c>
      <c r="X2510" s="2">
        <f>MATCH(Auto_Sales_data___Copy[[#This Row],[Total_Orders_Per_Customer]],Table2[F-Cutoff],1)</f>
        <v>4</v>
      </c>
      <c r="Y2510" s="2">
        <f>MATCH(Auto_Sales_data___Copy[[#This Row],[Total_Sales_Per_Customer]],Table2[M-Cutoff],1)</f>
        <v>4</v>
      </c>
      <c r="Z2510" s="2" t="str">
        <f>Auto_Sales_data___Copy[[#This Row],[R-Score(1-5)]]&amp;Auto_Sales_data___Copy[[#This Row],[F-Score(1-5)]]&amp;Auto_Sales_data___Copy[[#This Row],[M-Score(1-5)]]</f>
        <v>144</v>
      </c>
      <c r="AA2510" s="2" t="str" cm="1">
        <f t="array" ref="AA25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0" s="2" t="str">
        <f>VLOOKUP(Auto_Sales_data___Copy[[#This Row],[Segment Name]],Table3[],2,FALSE)</f>
        <v>Brand Awareness &amp; Value Proposition</v>
      </c>
    </row>
    <row r="2511" spans="1:28" x14ac:dyDescent="0.25">
      <c r="A2511">
        <v>10416</v>
      </c>
      <c r="B2511">
        <v>43</v>
      </c>
      <c r="C2511">
        <v>62.19</v>
      </c>
      <c r="D2511">
        <v>12</v>
      </c>
      <c r="E2511">
        <v>2674.17</v>
      </c>
      <c r="F2511" s="1">
        <v>43961</v>
      </c>
      <c r="G2511" s="2" t="s">
        <v>19</v>
      </c>
      <c r="H2511" s="2" t="s">
        <v>607</v>
      </c>
      <c r="I2511">
        <v>74</v>
      </c>
      <c r="J2511" s="2" t="s">
        <v>717</v>
      </c>
      <c r="K2511" s="2" t="s">
        <v>480</v>
      </c>
      <c r="L2511" s="2" t="s">
        <v>481</v>
      </c>
      <c r="M2511" s="2" t="s">
        <v>482</v>
      </c>
      <c r="N2511" s="2" t="s">
        <v>483</v>
      </c>
      <c r="O2511" s="2" t="s">
        <v>484</v>
      </c>
      <c r="P2511" s="2" t="s">
        <v>269</v>
      </c>
      <c r="Q2511" s="2" t="s">
        <v>485</v>
      </c>
      <c r="R2511" s="2" t="s">
        <v>486</v>
      </c>
      <c r="S2511" s="2" t="s">
        <v>30</v>
      </c>
      <c r="T2511">
        <v>2716</v>
      </c>
      <c r="U2511">
        <f>VLOOKUP(Auto_Sales_data___Copy[[#This Row],[CUSTOMER_NAME]],$AF$2:$AH$90,2,FALSE)</f>
        <v>39</v>
      </c>
      <c r="V2511">
        <f>VLOOKUP(Auto_Sales_data___Copy[[#This Row],[CUSTOMER_NAME]],$AF$2:$AH$90,3,FALSE)</f>
        <v>142601.33000000002</v>
      </c>
      <c r="W2511" s="2">
        <f>6-MATCH(Auto_Sales_data___Copy[[#This Row],[DAYS_SINCE_LAST_ORDER]],Table2[R-Cutoff],1)</f>
        <v>1</v>
      </c>
      <c r="X2511" s="2">
        <f>MATCH(Auto_Sales_data___Copy[[#This Row],[Total_Orders_Per_Customer]],Table2[F-Cutoff],1)</f>
        <v>4</v>
      </c>
      <c r="Y2511" s="2">
        <f>MATCH(Auto_Sales_data___Copy[[#This Row],[Total_Sales_Per_Customer]],Table2[M-Cutoff],1)</f>
        <v>4</v>
      </c>
      <c r="Z2511" s="2" t="str">
        <f>Auto_Sales_data___Copy[[#This Row],[R-Score(1-5)]]&amp;Auto_Sales_data___Copy[[#This Row],[F-Score(1-5)]]&amp;Auto_Sales_data___Copy[[#This Row],[M-Score(1-5)]]</f>
        <v>144</v>
      </c>
      <c r="AA2511" s="2" t="str" cm="1">
        <f t="array" ref="AA25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1" s="2" t="str">
        <f>VLOOKUP(Auto_Sales_data___Copy[[#This Row],[Segment Name]],Table3[],2,FALSE)</f>
        <v>Brand Awareness &amp; Value Proposition</v>
      </c>
    </row>
    <row r="2512" spans="1:28" x14ac:dyDescent="0.25">
      <c r="A2512">
        <v>10124</v>
      </c>
      <c r="B2512">
        <v>43</v>
      </c>
      <c r="C2512">
        <v>121</v>
      </c>
      <c r="D2512">
        <v>13</v>
      </c>
      <c r="E2512">
        <v>5203</v>
      </c>
      <c r="F2512" s="1">
        <v>43241</v>
      </c>
      <c r="G2512" s="2" t="s">
        <v>19</v>
      </c>
      <c r="H2512" s="2" t="s">
        <v>183</v>
      </c>
      <c r="I2512">
        <v>107</v>
      </c>
      <c r="J2512" s="2" t="s">
        <v>685</v>
      </c>
      <c r="K2512" s="2" t="s">
        <v>577</v>
      </c>
      <c r="L2512" s="2" t="s">
        <v>578</v>
      </c>
      <c r="M2512" s="2" t="s">
        <v>579</v>
      </c>
      <c r="N2512" s="2" t="s">
        <v>580</v>
      </c>
      <c r="O2512" s="2" t="s">
        <v>581</v>
      </c>
      <c r="P2512" s="2" t="s">
        <v>27</v>
      </c>
      <c r="Q2512" s="2" t="s">
        <v>107</v>
      </c>
      <c r="R2512" s="2" t="s">
        <v>422</v>
      </c>
      <c r="S2512" s="2" t="s">
        <v>46</v>
      </c>
      <c r="T2512">
        <v>2601</v>
      </c>
      <c r="U2512">
        <f>VLOOKUP(Auto_Sales_data___Copy[[#This Row],[CUSTOMER_NAME]],$AF$2:$AH$90,2,FALSE)</f>
        <v>29</v>
      </c>
      <c r="V2512">
        <f>VLOOKUP(Auto_Sales_data___Copy[[#This Row],[CUSTOMER_NAME]],$AF$2:$AH$90,3,FALSE)</f>
        <v>82751.079999999987</v>
      </c>
      <c r="W2512" s="2">
        <f>6-MATCH(Auto_Sales_data___Copy[[#This Row],[DAYS_SINCE_LAST_ORDER]],Table2[R-Cutoff],1)</f>
        <v>1</v>
      </c>
      <c r="X2512" s="2">
        <f>MATCH(Auto_Sales_data___Copy[[#This Row],[Total_Orders_Per_Customer]],Table2[F-Cutoff],1)</f>
        <v>4</v>
      </c>
      <c r="Y2512" s="2">
        <f>MATCH(Auto_Sales_data___Copy[[#This Row],[Total_Sales_Per_Customer]],Table2[M-Cutoff],1)</f>
        <v>3</v>
      </c>
      <c r="Z2512" s="2" t="str">
        <f>Auto_Sales_data___Copy[[#This Row],[R-Score(1-5)]]&amp;Auto_Sales_data___Copy[[#This Row],[F-Score(1-5)]]&amp;Auto_Sales_data___Copy[[#This Row],[M-Score(1-5)]]</f>
        <v>143</v>
      </c>
      <c r="AA2512" s="2" t="str" cm="1">
        <f t="array" ref="AA25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2" s="2" t="str">
        <f>VLOOKUP(Auto_Sales_data___Copy[[#This Row],[Segment Name]],Table3[],2,FALSE)</f>
        <v>Brand Awareness &amp; Value Proposition</v>
      </c>
    </row>
    <row r="2513" spans="1:28" x14ac:dyDescent="0.25">
      <c r="A2513">
        <v>10124</v>
      </c>
      <c r="B2513">
        <v>46</v>
      </c>
      <c r="C2513">
        <v>33.229999999999997</v>
      </c>
      <c r="D2513">
        <v>4</v>
      </c>
      <c r="E2513">
        <v>1528.58</v>
      </c>
      <c r="F2513" s="1">
        <v>43241</v>
      </c>
      <c r="G2513" s="2" t="s">
        <v>19</v>
      </c>
      <c r="H2513" s="2" t="s">
        <v>589</v>
      </c>
      <c r="I2513">
        <v>41</v>
      </c>
      <c r="J2513" s="2" t="s">
        <v>689</v>
      </c>
      <c r="K2513" s="2" t="s">
        <v>577</v>
      </c>
      <c r="L2513" s="2" t="s">
        <v>578</v>
      </c>
      <c r="M2513" s="2" t="s">
        <v>579</v>
      </c>
      <c r="N2513" s="2" t="s">
        <v>580</v>
      </c>
      <c r="O2513" s="2" t="s">
        <v>581</v>
      </c>
      <c r="P2513" s="2" t="s">
        <v>27</v>
      </c>
      <c r="Q2513" s="2" t="s">
        <v>107</v>
      </c>
      <c r="R2513" s="2" t="s">
        <v>422</v>
      </c>
      <c r="S2513" s="2" t="s">
        <v>30</v>
      </c>
      <c r="T2513">
        <v>2703</v>
      </c>
      <c r="U2513">
        <f>VLOOKUP(Auto_Sales_data___Copy[[#This Row],[CUSTOMER_NAME]],$AF$2:$AH$90,2,FALSE)</f>
        <v>29</v>
      </c>
      <c r="V2513">
        <f>VLOOKUP(Auto_Sales_data___Copy[[#This Row],[CUSTOMER_NAME]],$AF$2:$AH$90,3,FALSE)</f>
        <v>82751.079999999987</v>
      </c>
      <c r="W2513" s="2">
        <f>6-MATCH(Auto_Sales_data___Copy[[#This Row],[DAYS_SINCE_LAST_ORDER]],Table2[R-Cutoff],1)</f>
        <v>1</v>
      </c>
      <c r="X2513" s="2">
        <f>MATCH(Auto_Sales_data___Copy[[#This Row],[Total_Orders_Per_Customer]],Table2[F-Cutoff],1)</f>
        <v>4</v>
      </c>
      <c r="Y2513" s="2">
        <f>MATCH(Auto_Sales_data___Copy[[#This Row],[Total_Sales_Per_Customer]],Table2[M-Cutoff],1)</f>
        <v>3</v>
      </c>
      <c r="Z2513" s="2" t="str">
        <f>Auto_Sales_data___Copy[[#This Row],[R-Score(1-5)]]&amp;Auto_Sales_data___Copy[[#This Row],[F-Score(1-5)]]&amp;Auto_Sales_data___Copy[[#This Row],[M-Score(1-5)]]</f>
        <v>143</v>
      </c>
      <c r="AA2513" s="2" t="str" cm="1">
        <f t="array" ref="AA25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3" s="2" t="str">
        <f>VLOOKUP(Auto_Sales_data___Copy[[#This Row],[Segment Name]],Table3[],2,FALSE)</f>
        <v>Brand Awareness &amp; Value Proposition</v>
      </c>
    </row>
    <row r="2514" spans="1:28" x14ac:dyDescent="0.25">
      <c r="A2514">
        <v>10211</v>
      </c>
      <c r="B2514">
        <v>41</v>
      </c>
      <c r="C2514">
        <v>42.24</v>
      </c>
      <c r="D2514">
        <v>9</v>
      </c>
      <c r="E2514">
        <v>1731.84</v>
      </c>
      <c r="F2514" s="1">
        <v>43480</v>
      </c>
      <c r="G2514" s="2" t="s">
        <v>19</v>
      </c>
      <c r="H2514" s="2" t="s">
        <v>20</v>
      </c>
      <c r="I2514">
        <v>40</v>
      </c>
      <c r="J2514" s="2" t="s">
        <v>696</v>
      </c>
      <c r="K2514" s="2" t="s">
        <v>76</v>
      </c>
      <c r="L2514" s="2" t="s">
        <v>77</v>
      </c>
      <c r="M2514" s="2" t="s">
        <v>78</v>
      </c>
      <c r="N2514" s="2" t="s">
        <v>42</v>
      </c>
      <c r="O2514" s="2" t="s">
        <v>79</v>
      </c>
      <c r="P2514" s="2" t="s">
        <v>36</v>
      </c>
      <c r="Q2514" s="2" t="s">
        <v>80</v>
      </c>
      <c r="R2514" s="2" t="s">
        <v>81</v>
      </c>
      <c r="S2514" s="2" t="s">
        <v>30</v>
      </c>
      <c r="T2514">
        <v>2638</v>
      </c>
      <c r="U2514">
        <f>VLOOKUP(Auto_Sales_data___Copy[[#This Row],[CUSTOMER_NAME]],$AF$2:$AH$90,2,FALSE)</f>
        <v>27</v>
      </c>
      <c r="V2514">
        <f>VLOOKUP(Auto_Sales_data___Copy[[#This Row],[CUSTOMER_NAME]],$AF$2:$AH$90,3,FALSE)</f>
        <v>93170.66</v>
      </c>
      <c r="W2514" s="2">
        <f>6-MATCH(Auto_Sales_data___Copy[[#This Row],[DAYS_SINCE_LAST_ORDER]],Table2[R-Cutoff],1)</f>
        <v>1</v>
      </c>
      <c r="X2514" s="2">
        <f>MATCH(Auto_Sales_data___Copy[[#This Row],[Total_Orders_Per_Customer]],Table2[F-Cutoff],1)</f>
        <v>4</v>
      </c>
      <c r="Y2514" s="2">
        <f>MATCH(Auto_Sales_data___Copy[[#This Row],[Total_Sales_Per_Customer]],Table2[M-Cutoff],1)</f>
        <v>3</v>
      </c>
      <c r="Z2514" s="2" t="str">
        <f>Auto_Sales_data___Copy[[#This Row],[R-Score(1-5)]]&amp;Auto_Sales_data___Copy[[#This Row],[F-Score(1-5)]]&amp;Auto_Sales_data___Copy[[#This Row],[M-Score(1-5)]]</f>
        <v>143</v>
      </c>
      <c r="AA2514" s="2" t="str" cm="1">
        <f t="array" ref="AA25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4" s="2" t="str">
        <f>VLOOKUP(Auto_Sales_data___Copy[[#This Row],[Segment Name]],Table3[],2,FALSE)</f>
        <v>Brand Awareness &amp; Value Proposition</v>
      </c>
    </row>
    <row r="2515" spans="1:28" x14ac:dyDescent="0.25">
      <c r="A2515">
        <v>10211</v>
      </c>
      <c r="B2515">
        <v>37</v>
      </c>
      <c r="C2515">
        <v>109.19</v>
      </c>
      <c r="D2515">
        <v>12</v>
      </c>
      <c r="E2515">
        <v>4040.03</v>
      </c>
      <c r="F2515" s="1">
        <v>43480</v>
      </c>
      <c r="G2515" s="2" t="s">
        <v>19</v>
      </c>
      <c r="H2515" s="2" t="s">
        <v>20</v>
      </c>
      <c r="I2515">
        <v>102</v>
      </c>
      <c r="J2515" s="2" t="s">
        <v>701</v>
      </c>
      <c r="K2515" s="2" t="s">
        <v>76</v>
      </c>
      <c r="L2515" s="2" t="s">
        <v>77</v>
      </c>
      <c r="M2515" s="2" t="s">
        <v>78</v>
      </c>
      <c r="N2515" s="2" t="s">
        <v>42</v>
      </c>
      <c r="O2515" s="2" t="s">
        <v>79</v>
      </c>
      <c r="P2515" s="2" t="s">
        <v>36</v>
      </c>
      <c r="Q2515" s="2" t="s">
        <v>80</v>
      </c>
      <c r="R2515" s="2" t="s">
        <v>81</v>
      </c>
      <c r="S2515" s="2" t="s">
        <v>46</v>
      </c>
      <c r="T2515">
        <v>2766</v>
      </c>
      <c r="U2515">
        <f>VLOOKUP(Auto_Sales_data___Copy[[#This Row],[CUSTOMER_NAME]],$AF$2:$AH$90,2,FALSE)</f>
        <v>27</v>
      </c>
      <c r="V2515">
        <f>VLOOKUP(Auto_Sales_data___Copy[[#This Row],[CUSTOMER_NAME]],$AF$2:$AH$90,3,FALSE)</f>
        <v>93170.66</v>
      </c>
      <c r="W2515" s="2">
        <f>6-MATCH(Auto_Sales_data___Copy[[#This Row],[DAYS_SINCE_LAST_ORDER]],Table2[R-Cutoff],1)</f>
        <v>1</v>
      </c>
      <c r="X2515" s="2">
        <f>MATCH(Auto_Sales_data___Copy[[#This Row],[Total_Orders_Per_Customer]],Table2[F-Cutoff],1)</f>
        <v>4</v>
      </c>
      <c r="Y2515" s="2">
        <f>MATCH(Auto_Sales_data___Copy[[#This Row],[Total_Sales_Per_Customer]],Table2[M-Cutoff],1)</f>
        <v>3</v>
      </c>
      <c r="Z2515" s="2" t="str">
        <f>Auto_Sales_data___Copy[[#This Row],[R-Score(1-5)]]&amp;Auto_Sales_data___Copy[[#This Row],[F-Score(1-5)]]&amp;Auto_Sales_data___Copy[[#This Row],[M-Score(1-5)]]</f>
        <v>143</v>
      </c>
      <c r="AA2515" s="2" t="str" cm="1">
        <f t="array" ref="AA25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5" s="2" t="str">
        <f>VLOOKUP(Auto_Sales_data___Copy[[#This Row],[Segment Name]],Table3[],2,FALSE)</f>
        <v>Brand Awareness &amp; Value Proposition</v>
      </c>
    </row>
    <row r="2516" spans="1:28" x14ac:dyDescent="0.25">
      <c r="A2516">
        <v>10211</v>
      </c>
      <c r="B2516">
        <v>40</v>
      </c>
      <c r="C2516">
        <v>80.55</v>
      </c>
      <c r="D2516">
        <v>10</v>
      </c>
      <c r="E2516">
        <v>3222</v>
      </c>
      <c r="F2516" s="1">
        <v>43480</v>
      </c>
      <c r="G2516" s="2" t="s">
        <v>19</v>
      </c>
      <c r="H2516" s="2" t="s">
        <v>20</v>
      </c>
      <c r="I2516">
        <v>81</v>
      </c>
      <c r="J2516" s="2" t="s">
        <v>705</v>
      </c>
      <c r="K2516" s="2" t="s">
        <v>76</v>
      </c>
      <c r="L2516" s="2" t="s">
        <v>77</v>
      </c>
      <c r="M2516" s="2" t="s">
        <v>78</v>
      </c>
      <c r="N2516" s="2" t="s">
        <v>42</v>
      </c>
      <c r="O2516" s="2" t="s">
        <v>79</v>
      </c>
      <c r="P2516" s="2" t="s">
        <v>36</v>
      </c>
      <c r="Q2516" s="2" t="s">
        <v>80</v>
      </c>
      <c r="R2516" s="2" t="s">
        <v>81</v>
      </c>
      <c r="S2516" s="2" t="s">
        <v>46</v>
      </c>
      <c r="T2516">
        <v>2870</v>
      </c>
      <c r="U2516">
        <f>VLOOKUP(Auto_Sales_data___Copy[[#This Row],[CUSTOMER_NAME]],$AF$2:$AH$90,2,FALSE)</f>
        <v>27</v>
      </c>
      <c r="V2516">
        <f>VLOOKUP(Auto_Sales_data___Copy[[#This Row],[CUSTOMER_NAME]],$AF$2:$AH$90,3,FALSE)</f>
        <v>93170.66</v>
      </c>
      <c r="W2516" s="2">
        <f>6-MATCH(Auto_Sales_data___Copy[[#This Row],[DAYS_SINCE_LAST_ORDER]],Table2[R-Cutoff],1)</f>
        <v>1</v>
      </c>
      <c r="X2516" s="2">
        <f>MATCH(Auto_Sales_data___Copy[[#This Row],[Total_Orders_Per_Customer]],Table2[F-Cutoff],1)</f>
        <v>4</v>
      </c>
      <c r="Y2516" s="2">
        <f>MATCH(Auto_Sales_data___Copy[[#This Row],[Total_Sales_Per_Customer]],Table2[M-Cutoff],1)</f>
        <v>3</v>
      </c>
      <c r="Z2516" s="2" t="str">
        <f>Auto_Sales_data___Copy[[#This Row],[R-Score(1-5)]]&amp;Auto_Sales_data___Copy[[#This Row],[F-Score(1-5)]]&amp;Auto_Sales_data___Copy[[#This Row],[M-Score(1-5)]]</f>
        <v>143</v>
      </c>
      <c r="AA2516" s="2" t="str" cm="1">
        <f t="array" ref="AA25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6" s="2" t="str">
        <f>VLOOKUP(Auto_Sales_data___Copy[[#This Row],[Segment Name]],Table3[],2,FALSE)</f>
        <v>Brand Awareness &amp; Value Proposition</v>
      </c>
    </row>
    <row r="2517" spans="1:28" x14ac:dyDescent="0.25">
      <c r="A2517">
        <v>10252</v>
      </c>
      <c r="B2517">
        <v>25</v>
      </c>
      <c r="C2517">
        <v>113.28</v>
      </c>
      <c r="D2517">
        <v>9</v>
      </c>
      <c r="E2517">
        <v>2832</v>
      </c>
      <c r="F2517" s="1">
        <v>43611</v>
      </c>
      <c r="G2517" s="2" t="s">
        <v>19</v>
      </c>
      <c r="H2517" s="2" t="s">
        <v>20</v>
      </c>
      <c r="I2517">
        <v>102</v>
      </c>
      <c r="J2517" s="2" t="s">
        <v>701</v>
      </c>
      <c r="K2517" s="2" t="s">
        <v>76</v>
      </c>
      <c r="L2517" s="2" t="s">
        <v>77</v>
      </c>
      <c r="M2517" s="2" t="s">
        <v>78</v>
      </c>
      <c r="N2517" s="2" t="s">
        <v>42</v>
      </c>
      <c r="O2517" s="2" t="s">
        <v>79</v>
      </c>
      <c r="P2517" s="2" t="s">
        <v>36</v>
      </c>
      <c r="Q2517" s="2" t="s">
        <v>80</v>
      </c>
      <c r="R2517" s="2" t="s">
        <v>81</v>
      </c>
      <c r="S2517" s="2" t="s">
        <v>30</v>
      </c>
      <c r="T2517">
        <v>2638</v>
      </c>
      <c r="U2517">
        <f>VLOOKUP(Auto_Sales_data___Copy[[#This Row],[CUSTOMER_NAME]],$AF$2:$AH$90,2,FALSE)</f>
        <v>27</v>
      </c>
      <c r="V2517">
        <f>VLOOKUP(Auto_Sales_data___Copy[[#This Row],[CUSTOMER_NAME]],$AF$2:$AH$90,3,FALSE)</f>
        <v>93170.66</v>
      </c>
      <c r="W2517" s="2">
        <f>6-MATCH(Auto_Sales_data___Copy[[#This Row],[DAYS_SINCE_LAST_ORDER]],Table2[R-Cutoff],1)</f>
        <v>1</v>
      </c>
      <c r="X2517" s="2">
        <f>MATCH(Auto_Sales_data___Copy[[#This Row],[Total_Orders_Per_Customer]],Table2[F-Cutoff],1)</f>
        <v>4</v>
      </c>
      <c r="Y2517" s="2">
        <f>MATCH(Auto_Sales_data___Copy[[#This Row],[Total_Sales_Per_Customer]],Table2[M-Cutoff],1)</f>
        <v>3</v>
      </c>
      <c r="Z2517" s="2" t="str">
        <f>Auto_Sales_data___Copy[[#This Row],[R-Score(1-5)]]&amp;Auto_Sales_data___Copy[[#This Row],[F-Score(1-5)]]&amp;Auto_Sales_data___Copy[[#This Row],[M-Score(1-5)]]</f>
        <v>143</v>
      </c>
      <c r="AA2517" s="2" t="str" cm="1">
        <f t="array" ref="AA25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7" s="2" t="str">
        <f>VLOOKUP(Auto_Sales_data___Copy[[#This Row],[Segment Name]],Table3[],2,FALSE)</f>
        <v>Brand Awareness &amp; Value Proposition</v>
      </c>
    </row>
    <row r="2518" spans="1:28" x14ac:dyDescent="0.25">
      <c r="A2518">
        <v>10252</v>
      </c>
      <c r="B2518">
        <v>48</v>
      </c>
      <c r="C2518">
        <v>72.41</v>
      </c>
      <c r="D2518">
        <v>7</v>
      </c>
      <c r="E2518">
        <v>3475.68</v>
      </c>
      <c r="F2518" s="1">
        <v>43611</v>
      </c>
      <c r="G2518" s="2" t="s">
        <v>19</v>
      </c>
      <c r="H2518" s="2" t="s">
        <v>20</v>
      </c>
      <c r="I2518">
        <v>81</v>
      </c>
      <c r="J2518" s="2" t="s">
        <v>705</v>
      </c>
      <c r="K2518" s="2" t="s">
        <v>76</v>
      </c>
      <c r="L2518" s="2" t="s">
        <v>77</v>
      </c>
      <c r="M2518" s="2" t="s">
        <v>78</v>
      </c>
      <c r="N2518" s="2" t="s">
        <v>42</v>
      </c>
      <c r="O2518" s="2" t="s">
        <v>79</v>
      </c>
      <c r="P2518" s="2" t="s">
        <v>36</v>
      </c>
      <c r="Q2518" s="2" t="s">
        <v>80</v>
      </c>
      <c r="R2518" s="2" t="s">
        <v>81</v>
      </c>
      <c r="S2518" s="2" t="s">
        <v>46</v>
      </c>
      <c r="T2518">
        <v>2742</v>
      </c>
      <c r="U2518">
        <f>VLOOKUP(Auto_Sales_data___Copy[[#This Row],[CUSTOMER_NAME]],$AF$2:$AH$90,2,FALSE)</f>
        <v>27</v>
      </c>
      <c r="V2518">
        <f>VLOOKUP(Auto_Sales_data___Copy[[#This Row],[CUSTOMER_NAME]],$AF$2:$AH$90,3,FALSE)</f>
        <v>93170.66</v>
      </c>
      <c r="W2518" s="2">
        <f>6-MATCH(Auto_Sales_data___Copy[[#This Row],[DAYS_SINCE_LAST_ORDER]],Table2[R-Cutoff],1)</f>
        <v>1</v>
      </c>
      <c r="X2518" s="2">
        <f>MATCH(Auto_Sales_data___Copy[[#This Row],[Total_Orders_Per_Customer]],Table2[F-Cutoff],1)</f>
        <v>4</v>
      </c>
      <c r="Y2518" s="2">
        <f>MATCH(Auto_Sales_data___Copy[[#This Row],[Total_Sales_Per_Customer]],Table2[M-Cutoff],1)</f>
        <v>3</v>
      </c>
      <c r="Z2518" s="2" t="str">
        <f>Auto_Sales_data___Copy[[#This Row],[R-Score(1-5)]]&amp;Auto_Sales_data___Copy[[#This Row],[F-Score(1-5)]]&amp;Auto_Sales_data___Copy[[#This Row],[M-Score(1-5)]]</f>
        <v>143</v>
      </c>
      <c r="AA2518" s="2" t="str" cm="1">
        <f t="array" ref="AA25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8" s="2" t="str">
        <f>VLOOKUP(Auto_Sales_data___Copy[[#This Row],[Segment Name]],Table3[],2,FALSE)</f>
        <v>Brand Awareness &amp; Value Proposition</v>
      </c>
    </row>
    <row r="2519" spans="1:28" x14ac:dyDescent="0.25">
      <c r="A2519">
        <v>10263</v>
      </c>
      <c r="B2519">
        <v>47</v>
      </c>
      <c r="C2519">
        <v>116.28</v>
      </c>
      <c r="D2519">
        <v>9</v>
      </c>
      <c r="E2519">
        <v>5465.16</v>
      </c>
      <c r="F2519" s="1">
        <v>43644</v>
      </c>
      <c r="G2519" s="2" t="s">
        <v>19</v>
      </c>
      <c r="H2519" s="2" t="s">
        <v>607</v>
      </c>
      <c r="I2519">
        <v>118</v>
      </c>
      <c r="J2519" s="2" t="s">
        <v>713</v>
      </c>
      <c r="K2519" s="2" t="s">
        <v>102</v>
      </c>
      <c r="L2519" s="2" t="s">
        <v>103</v>
      </c>
      <c r="M2519" s="2" t="s">
        <v>104</v>
      </c>
      <c r="N2519" s="2" t="s">
        <v>105</v>
      </c>
      <c r="O2519" s="2" t="s">
        <v>106</v>
      </c>
      <c r="P2519" s="2" t="s">
        <v>27</v>
      </c>
      <c r="Q2519" s="2" t="s">
        <v>107</v>
      </c>
      <c r="R2519" s="2" t="s">
        <v>53</v>
      </c>
      <c r="S2519" s="2" t="s">
        <v>46</v>
      </c>
      <c r="T2519">
        <v>2915</v>
      </c>
      <c r="U2519">
        <f>VLOOKUP(Auto_Sales_data___Copy[[#This Row],[CUSTOMER_NAME]],$AF$2:$AH$90,2,FALSE)</f>
        <v>25</v>
      </c>
      <c r="V2519">
        <f>VLOOKUP(Auto_Sales_data___Copy[[#This Row],[CUSTOMER_NAME]],$AF$2:$AH$90,3,FALSE)</f>
        <v>101894.79000000001</v>
      </c>
      <c r="W2519" s="2">
        <f>6-MATCH(Auto_Sales_data___Copy[[#This Row],[DAYS_SINCE_LAST_ORDER]],Table2[R-Cutoff],1)</f>
        <v>1</v>
      </c>
      <c r="X2519" s="2">
        <f>MATCH(Auto_Sales_data___Copy[[#This Row],[Total_Orders_Per_Customer]],Table2[F-Cutoff],1)</f>
        <v>3</v>
      </c>
      <c r="Y2519" s="2">
        <f>MATCH(Auto_Sales_data___Copy[[#This Row],[Total_Sales_Per_Customer]],Table2[M-Cutoff],1)</f>
        <v>4</v>
      </c>
      <c r="Z2519" s="2" t="str">
        <f>Auto_Sales_data___Copy[[#This Row],[R-Score(1-5)]]&amp;Auto_Sales_data___Copy[[#This Row],[F-Score(1-5)]]&amp;Auto_Sales_data___Copy[[#This Row],[M-Score(1-5)]]</f>
        <v>134</v>
      </c>
      <c r="AA2519" s="2" t="str" cm="1">
        <f t="array" ref="AA25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9" s="2" t="str">
        <f>VLOOKUP(Auto_Sales_data___Copy[[#This Row],[Segment Name]],Table3[],2,FALSE)</f>
        <v>Brand Awareness &amp; Value Proposition</v>
      </c>
    </row>
    <row r="2520" spans="1:28" x14ac:dyDescent="0.25">
      <c r="A2520">
        <v>10108</v>
      </c>
      <c r="B2520">
        <v>30</v>
      </c>
      <c r="C2520">
        <v>63.07</v>
      </c>
      <c r="D2520">
        <v>5</v>
      </c>
      <c r="E2520">
        <v>1892.1</v>
      </c>
      <c r="F2520" s="1">
        <v>43162</v>
      </c>
      <c r="G2520" s="2" t="s">
        <v>19</v>
      </c>
      <c r="H2520" s="2" t="s">
        <v>183</v>
      </c>
      <c r="I2520">
        <v>61</v>
      </c>
      <c r="J2520" s="2" t="s">
        <v>683</v>
      </c>
      <c r="K2520" s="2" t="s">
        <v>450</v>
      </c>
      <c r="L2520" s="2" t="s">
        <v>451</v>
      </c>
      <c r="M2520" s="2" t="s">
        <v>452</v>
      </c>
      <c r="N2520" s="2" t="s">
        <v>453</v>
      </c>
      <c r="O2520" s="2" t="s">
        <v>454</v>
      </c>
      <c r="P2520" s="2" t="s">
        <v>455</v>
      </c>
      <c r="Q2520" s="2" t="s">
        <v>456</v>
      </c>
      <c r="R2520" s="2" t="s">
        <v>457</v>
      </c>
      <c r="S2520" s="2" t="s">
        <v>30</v>
      </c>
      <c r="T2520">
        <v>2628</v>
      </c>
      <c r="U2520">
        <f>VLOOKUP(Auto_Sales_data___Copy[[#This Row],[CUSTOMER_NAME]],$AF$2:$AH$90,2,FALSE)</f>
        <v>26</v>
      </c>
      <c r="V2520">
        <f>VLOOKUP(Auto_Sales_data___Copy[[#This Row],[CUSTOMER_NAME]],$AF$2:$AH$90,3,FALSE)</f>
        <v>94015.73</v>
      </c>
      <c r="W2520" s="2">
        <f>6-MATCH(Auto_Sales_data___Copy[[#This Row],[DAYS_SINCE_LAST_ORDER]],Table2[R-Cutoff],1)</f>
        <v>1</v>
      </c>
      <c r="X2520" s="2">
        <f>MATCH(Auto_Sales_data___Copy[[#This Row],[Total_Orders_Per_Customer]],Table2[F-Cutoff],1)</f>
        <v>3</v>
      </c>
      <c r="Y2520" s="2">
        <f>MATCH(Auto_Sales_data___Copy[[#This Row],[Total_Sales_Per_Customer]],Table2[M-Cutoff],1)</f>
        <v>3</v>
      </c>
      <c r="Z2520" s="2" t="str">
        <f>Auto_Sales_data___Copy[[#This Row],[R-Score(1-5)]]&amp;Auto_Sales_data___Copy[[#This Row],[F-Score(1-5)]]&amp;Auto_Sales_data___Copy[[#This Row],[M-Score(1-5)]]</f>
        <v>133</v>
      </c>
      <c r="AA2520" s="2" t="str" cm="1">
        <f t="array" ref="AA25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0" s="2" t="str">
        <f>VLOOKUP(Auto_Sales_data___Copy[[#This Row],[Segment Name]],Table3[],2,FALSE)</f>
        <v>Brand Awareness &amp; Value Proposition</v>
      </c>
    </row>
    <row r="2521" spans="1:28" x14ac:dyDescent="0.25">
      <c r="A2521">
        <v>10108</v>
      </c>
      <c r="B2521">
        <v>40</v>
      </c>
      <c r="C2521">
        <v>136.22</v>
      </c>
      <c r="D2521">
        <v>1</v>
      </c>
      <c r="E2521">
        <v>5448.8</v>
      </c>
      <c r="F2521" s="1">
        <v>43162</v>
      </c>
      <c r="G2521" s="2" t="s">
        <v>19</v>
      </c>
      <c r="H2521" s="2" t="s">
        <v>183</v>
      </c>
      <c r="I2521">
        <v>140</v>
      </c>
      <c r="J2521" s="2" t="s">
        <v>687</v>
      </c>
      <c r="K2521" s="2" t="s">
        <v>450</v>
      </c>
      <c r="L2521" s="2" t="s">
        <v>451</v>
      </c>
      <c r="M2521" s="2" t="s">
        <v>452</v>
      </c>
      <c r="N2521" s="2" t="s">
        <v>453</v>
      </c>
      <c r="O2521" s="2" t="s">
        <v>454</v>
      </c>
      <c r="P2521" s="2" t="s">
        <v>455</v>
      </c>
      <c r="Q2521" s="2" t="s">
        <v>456</v>
      </c>
      <c r="R2521" s="2" t="s">
        <v>457</v>
      </c>
      <c r="S2521" s="2" t="s">
        <v>46</v>
      </c>
      <c r="T2521">
        <v>2727</v>
      </c>
      <c r="U2521">
        <f>VLOOKUP(Auto_Sales_data___Copy[[#This Row],[CUSTOMER_NAME]],$AF$2:$AH$90,2,FALSE)</f>
        <v>26</v>
      </c>
      <c r="V2521">
        <f>VLOOKUP(Auto_Sales_data___Copy[[#This Row],[CUSTOMER_NAME]],$AF$2:$AH$90,3,FALSE)</f>
        <v>94015.73</v>
      </c>
      <c r="W2521" s="2">
        <f>6-MATCH(Auto_Sales_data___Copy[[#This Row],[DAYS_SINCE_LAST_ORDER]],Table2[R-Cutoff],1)</f>
        <v>1</v>
      </c>
      <c r="X2521" s="2">
        <f>MATCH(Auto_Sales_data___Copy[[#This Row],[Total_Orders_Per_Customer]],Table2[F-Cutoff],1)</f>
        <v>3</v>
      </c>
      <c r="Y2521" s="2">
        <f>MATCH(Auto_Sales_data___Copy[[#This Row],[Total_Sales_Per_Customer]],Table2[M-Cutoff],1)</f>
        <v>3</v>
      </c>
      <c r="Z2521" s="2" t="str">
        <f>Auto_Sales_data___Copy[[#This Row],[R-Score(1-5)]]&amp;Auto_Sales_data___Copy[[#This Row],[F-Score(1-5)]]&amp;Auto_Sales_data___Copy[[#This Row],[M-Score(1-5)]]</f>
        <v>133</v>
      </c>
      <c r="AA2521" s="2" t="str" cm="1">
        <f t="array" ref="AA25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1" s="2" t="str">
        <f>VLOOKUP(Auto_Sales_data___Copy[[#This Row],[Segment Name]],Table3[],2,FALSE)</f>
        <v>Brand Awareness &amp; Value Proposition</v>
      </c>
    </row>
    <row r="2522" spans="1:28" x14ac:dyDescent="0.25">
      <c r="A2522">
        <v>10108</v>
      </c>
      <c r="B2522">
        <v>31</v>
      </c>
      <c r="C2522">
        <v>68.709999999999994</v>
      </c>
      <c r="D2522">
        <v>10</v>
      </c>
      <c r="E2522">
        <v>2130.0100000000002</v>
      </c>
      <c r="F2522" s="1">
        <v>43162</v>
      </c>
      <c r="G2522" s="2" t="s">
        <v>19</v>
      </c>
      <c r="H2522" s="2" t="s">
        <v>183</v>
      </c>
      <c r="I2522">
        <v>80</v>
      </c>
      <c r="J2522" s="2" t="s">
        <v>693</v>
      </c>
      <c r="K2522" s="2" t="s">
        <v>450</v>
      </c>
      <c r="L2522" s="2" t="s">
        <v>451</v>
      </c>
      <c r="M2522" s="2" t="s">
        <v>452</v>
      </c>
      <c r="N2522" s="2" t="s">
        <v>453</v>
      </c>
      <c r="O2522" s="2" t="s">
        <v>454</v>
      </c>
      <c r="P2522" s="2" t="s">
        <v>455</v>
      </c>
      <c r="Q2522" s="2" t="s">
        <v>456</v>
      </c>
      <c r="R2522" s="2" t="s">
        <v>457</v>
      </c>
      <c r="S2522" s="2" t="s">
        <v>30</v>
      </c>
      <c r="T2522">
        <v>2875</v>
      </c>
      <c r="U2522">
        <f>VLOOKUP(Auto_Sales_data___Copy[[#This Row],[CUSTOMER_NAME]],$AF$2:$AH$90,2,FALSE)</f>
        <v>26</v>
      </c>
      <c r="V2522">
        <f>VLOOKUP(Auto_Sales_data___Copy[[#This Row],[CUSTOMER_NAME]],$AF$2:$AH$90,3,FALSE)</f>
        <v>94015.73</v>
      </c>
      <c r="W2522" s="2">
        <f>6-MATCH(Auto_Sales_data___Copy[[#This Row],[DAYS_SINCE_LAST_ORDER]],Table2[R-Cutoff],1)</f>
        <v>1</v>
      </c>
      <c r="X2522" s="2">
        <f>MATCH(Auto_Sales_data___Copy[[#This Row],[Total_Orders_Per_Customer]],Table2[F-Cutoff],1)</f>
        <v>3</v>
      </c>
      <c r="Y2522" s="2">
        <f>MATCH(Auto_Sales_data___Copy[[#This Row],[Total_Sales_Per_Customer]],Table2[M-Cutoff],1)</f>
        <v>3</v>
      </c>
      <c r="Z2522" s="2" t="str">
        <f>Auto_Sales_data___Copy[[#This Row],[R-Score(1-5)]]&amp;Auto_Sales_data___Copy[[#This Row],[F-Score(1-5)]]&amp;Auto_Sales_data___Copy[[#This Row],[M-Score(1-5)]]</f>
        <v>133</v>
      </c>
      <c r="AA2522" s="2" t="str" cm="1">
        <f t="array" ref="AA25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2" s="2" t="str">
        <f>VLOOKUP(Auto_Sales_data___Copy[[#This Row],[Segment Name]],Table3[],2,FALSE)</f>
        <v>Brand Awareness &amp; Value Proposition</v>
      </c>
    </row>
    <row r="2523" spans="1:28" x14ac:dyDescent="0.25">
      <c r="A2523">
        <v>10108</v>
      </c>
      <c r="B2523">
        <v>27</v>
      </c>
      <c r="C2523">
        <v>43.45</v>
      </c>
      <c r="D2523">
        <v>13</v>
      </c>
      <c r="E2523">
        <v>1173.1500000000001</v>
      </c>
      <c r="F2523" s="1">
        <v>43162</v>
      </c>
      <c r="G2523" s="2" t="s">
        <v>19</v>
      </c>
      <c r="H2523" s="2" t="s">
        <v>20</v>
      </c>
      <c r="I2523">
        <v>40</v>
      </c>
      <c r="J2523" s="2" t="s">
        <v>696</v>
      </c>
      <c r="K2523" s="2" t="s">
        <v>450</v>
      </c>
      <c r="L2523" s="2" t="s">
        <v>451</v>
      </c>
      <c r="M2523" s="2" t="s">
        <v>452</v>
      </c>
      <c r="N2523" s="2" t="s">
        <v>453</v>
      </c>
      <c r="O2523" s="2" t="s">
        <v>454</v>
      </c>
      <c r="P2523" s="2" t="s">
        <v>455</v>
      </c>
      <c r="Q2523" s="2" t="s">
        <v>456</v>
      </c>
      <c r="R2523" s="2" t="s">
        <v>457</v>
      </c>
      <c r="S2523" s="2" t="s">
        <v>30</v>
      </c>
      <c r="T2523">
        <v>2949</v>
      </c>
      <c r="U2523">
        <f>VLOOKUP(Auto_Sales_data___Copy[[#This Row],[CUSTOMER_NAME]],$AF$2:$AH$90,2,FALSE)</f>
        <v>26</v>
      </c>
      <c r="V2523">
        <f>VLOOKUP(Auto_Sales_data___Copy[[#This Row],[CUSTOMER_NAME]],$AF$2:$AH$90,3,FALSE)</f>
        <v>94015.73</v>
      </c>
      <c r="W2523" s="2">
        <f>6-MATCH(Auto_Sales_data___Copy[[#This Row],[DAYS_SINCE_LAST_ORDER]],Table2[R-Cutoff],1)</f>
        <v>1</v>
      </c>
      <c r="X2523" s="2">
        <f>MATCH(Auto_Sales_data___Copy[[#This Row],[Total_Orders_Per_Customer]],Table2[F-Cutoff],1)</f>
        <v>3</v>
      </c>
      <c r="Y2523" s="2">
        <f>MATCH(Auto_Sales_data___Copy[[#This Row],[Total_Sales_Per_Customer]],Table2[M-Cutoff],1)</f>
        <v>3</v>
      </c>
      <c r="Z2523" s="2" t="str">
        <f>Auto_Sales_data___Copy[[#This Row],[R-Score(1-5)]]&amp;Auto_Sales_data___Copy[[#This Row],[F-Score(1-5)]]&amp;Auto_Sales_data___Copy[[#This Row],[M-Score(1-5)]]</f>
        <v>133</v>
      </c>
      <c r="AA2523" s="2" t="str" cm="1">
        <f t="array" ref="AA25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3" s="2" t="str">
        <f>VLOOKUP(Auto_Sales_data___Copy[[#This Row],[Segment Name]],Table3[],2,FALSE)</f>
        <v>Brand Awareness &amp; Value Proposition</v>
      </c>
    </row>
    <row r="2524" spans="1:28" x14ac:dyDescent="0.25">
      <c r="A2524">
        <v>10108</v>
      </c>
      <c r="B2524">
        <v>31</v>
      </c>
      <c r="C2524">
        <v>118.38</v>
      </c>
      <c r="D2524">
        <v>16</v>
      </c>
      <c r="E2524">
        <v>3669.78</v>
      </c>
      <c r="F2524" s="1">
        <v>43162</v>
      </c>
      <c r="G2524" s="2" t="s">
        <v>19</v>
      </c>
      <c r="H2524" s="2" t="s">
        <v>20</v>
      </c>
      <c r="I2524">
        <v>102</v>
      </c>
      <c r="J2524" s="2" t="s">
        <v>701</v>
      </c>
      <c r="K2524" s="2" t="s">
        <v>450</v>
      </c>
      <c r="L2524" s="2" t="s">
        <v>451</v>
      </c>
      <c r="M2524" s="2" t="s">
        <v>452</v>
      </c>
      <c r="N2524" s="2" t="s">
        <v>453</v>
      </c>
      <c r="O2524" s="2" t="s">
        <v>454</v>
      </c>
      <c r="P2524" s="2" t="s">
        <v>455</v>
      </c>
      <c r="Q2524" s="2" t="s">
        <v>456</v>
      </c>
      <c r="R2524" s="2" t="s">
        <v>457</v>
      </c>
      <c r="S2524" s="2" t="s">
        <v>46</v>
      </c>
      <c r="T2524">
        <v>3077</v>
      </c>
      <c r="U2524">
        <f>VLOOKUP(Auto_Sales_data___Copy[[#This Row],[CUSTOMER_NAME]],$AF$2:$AH$90,2,FALSE)</f>
        <v>26</v>
      </c>
      <c r="V2524">
        <f>VLOOKUP(Auto_Sales_data___Copy[[#This Row],[CUSTOMER_NAME]],$AF$2:$AH$90,3,FALSE)</f>
        <v>94015.73</v>
      </c>
      <c r="W2524" s="2">
        <f>6-MATCH(Auto_Sales_data___Copy[[#This Row],[DAYS_SINCE_LAST_ORDER]],Table2[R-Cutoff],1)</f>
        <v>1</v>
      </c>
      <c r="X2524" s="2">
        <f>MATCH(Auto_Sales_data___Copy[[#This Row],[Total_Orders_Per_Customer]],Table2[F-Cutoff],1)</f>
        <v>3</v>
      </c>
      <c r="Y2524" s="2">
        <f>MATCH(Auto_Sales_data___Copy[[#This Row],[Total_Sales_Per_Customer]],Table2[M-Cutoff],1)</f>
        <v>3</v>
      </c>
      <c r="Z2524" s="2" t="str">
        <f>Auto_Sales_data___Copy[[#This Row],[R-Score(1-5)]]&amp;Auto_Sales_data___Copy[[#This Row],[F-Score(1-5)]]&amp;Auto_Sales_data___Copy[[#This Row],[M-Score(1-5)]]</f>
        <v>133</v>
      </c>
      <c r="AA2524" s="2" t="str" cm="1">
        <f t="array" ref="AA25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4" s="2" t="str">
        <f>VLOOKUP(Auto_Sales_data___Copy[[#This Row],[Segment Name]],Table3[],2,FALSE)</f>
        <v>Brand Awareness &amp; Value Proposition</v>
      </c>
    </row>
    <row r="2525" spans="1:28" x14ac:dyDescent="0.25">
      <c r="A2525">
        <v>10108</v>
      </c>
      <c r="B2525">
        <v>34</v>
      </c>
      <c r="C2525">
        <v>82.99</v>
      </c>
      <c r="D2525">
        <v>14</v>
      </c>
      <c r="E2525">
        <v>2821.66</v>
      </c>
      <c r="F2525" s="1">
        <v>43162</v>
      </c>
      <c r="G2525" s="2" t="s">
        <v>19</v>
      </c>
      <c r="H2525" s="2" t="s">
        <v>20</v>
      </c>
      <c r="I2525">
        <v>81</v>
      </c>
      <c r="J2525" s="2" t="s">
        <v>705</v>
      </c>
      <c r="K2525" s="2" t="s">
        <v>450</v>
      </c>
      <c r="L2525" s="2" t="s">
        <v>451</v>
      </c>
      <c r="M2525" s="2" t="s">
        <v>452</v>
      </c>
      <c r="N2525" s="2" t="s">
        <v>453</v>
      </c>
      <c r="O2525" s="2" t="s">
        <v>454</v>
      </c>
      <c r="P2525" s="2" t="s">
        <v>455</v>
      </c>
      <c r="Q2525" s="2" t="s">
        <v>456</v>
      </c>
      <c r="R2525" s="2" t="s">
        <v>457</v>
      </c>
      <c r="S2525" s="2" t="s">
        <v>30</v>
      </c>
      <c r="T2525">
        <v>3181</v>
      </c>
      <c r="U2525">
        <f>VLOOKUP(Auto_Sales_data___Copy[[#This Row],[CUSTOMER_NAME]],$AF$2:$AH$90,2,FALSE)</f>
        <v>26</v>
      </c>
      <c r="V2525">
        <f>VLOOKUP(Auto_Sales_data___Copy[[#This Row],[CUSTOMER_NAME]],$AF$2:$AH$90,3,FALSE)</f>
        <v>94015.73</v>
      </c>
      <c r="W2525" s="2">
        <f>6-MATCH(Auto_Sales_data___Copy[[#This Row],[DAYS_SINCE_LAST_ORDER]],Table2[R-Cutoff],1)</f>
        <v>1</v>
      </c>
      <c r="X2525" s="2">
        <f>MATCH(Auto_Sales_data___Copy[[#This Row],[Total_Orders_Per_Customer]],Table2[F-Cutoff],1)</f>
        <v>3</v>
      </c>
      <c r="Y2525" s="2">
        <f>MATCH(Auto_Sales_data___Copy[[#This Row],[Total_Sales_Per_Customer]],Table2[M-Cutoff],1)</f>
        <v>3</v>
      </c>
      <c r="Z2525" s="2" t="str">
        <f>Auto_Sales_data___Copy[[#This Row],[R-Score(1-5)]]&amp;Auto_Sales_data___Copy[[#This Row],[F-Score(1-5)]]&amp;Auto_Sales_data___Copy[[#This Row],[M-Score(1-5)]]</f>
        <v>133</v>
      </c>
      <c r="AA2525" s="2" t="str" cm="1">
        <f t="array" ref="AA25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5" s="2" t="str">
        <f>VLOOKUP(Auto_Sales_data___Copy[[#This Row],[Segment Name]],Table3[],2,FALSE)</f>
        <v>Brand Awareness &amp; Value Proposition</v>
      </c>
    </row>
    <row r="2526" spans="1:28" x14ac:dyDescent="0.25">
      <c r="A2526">
        <v>10129</v>
      </c>
      <c r="B2526">
        <v>50</v>
      </c>
      <c r="C2526">
        <v>77.989999999999995</v>
      </c>
      <c r="D2526">
        <v>1</v>
      </c>
      <c r="E2526">
        <v>3899.5</v>
      </c>
      <c r="F2526" s="1">
        <v>43263</v>
      </c>
      <c r="G2526" s="2" t="s">
        <v>19</v>
      </c>
      <c r="H2526" s="2" t="s">
        <v>589</v>
      </c>
      <c r="I2526">
        <v>83</v>
      </c>
      <c r="J2526" s="2" t="s">
        <v>686</v>
      </c>
      <c r="K2526" s="2" t="s">
        <v>347</v>
      </c>
      <c r="L2526" s="2" t="s">
        <v>348</v>
      </c>
      <c r="M2526" s="2" t="s">
        <v>349</v>
      </c>
      <c r="N2526" s="2" t="s">
        <v>350</v>
      </c>
      <c r="O2526" s="2" t="s">
        <v>351</v>
      </c>
      <c r="P2526" s="2" t="s">
        <v>171</v>
      </c>
      <c r="Q2526" s="2" t="s">
        <v>100</v>
      </c>
      <c r="R2526" s="2" t="s">
        <v>352</v>
      </c>
      <c r="S2526" s="2" t="s">
        <v>46</v>
      </c>
      <c r="T2526">
        <v>2603</v>
      </c>
      <c r="U2526">
        <f>VLOOKUP(Auto_Sales_data___Copy[[#This Row],[CUSTOMER_NAME]],$AF$2:$AH$90,2,FALSE)</f>
        <v>26</v>
      </c>
      <c r="V2526">
        <f>VLOOKUP(Auto_Sales_data___Copy[[#This Row],[CUSTOMER_NAME]],$AF$2:$AH$90,3,FALSE)</f>
        <v>88804.5</v>
      </c>
      <c r="W2526" s="2">
        <f>6-MATCH(Auto_Sales_data___Copy[[#This Row],[DAYS_SINCE_LAST_ORDER]],Table2[R-Cutoff],1)</f>
        <v>1</v>
      </c>
      <c r="X2526" s="2">
        <f>MATCH(Auto_Sales_data___Copy[[#This Row],[Total_Orders_Per_Customer]],Table2[F-Cutoff],1)</f>
        <v>3</v>
      </c>
      <c r="Y2526" s="2">
        <f>MATCH(Auto_Sales_data___Copy[[#This Row],[Total_Sales_Per_Customer]],Table2[M-Cutoff],1)</f>
        <v>3</v>
      </c>
      <c r="Z2526" s="2" t="str">
        <f>Auto_Sales_data___Copy[[#This Row],[R-Score(1-5)]]&amp;Auto_Sales_data___Copy[[#This Row],[F-Score(1-5)]]&amp;Auto_Sales_data___Copy[[#This Row],[M-Score(1-5)]]</f>
        <v>133</v>
      </c>
      <c r="AA2526" s="2" t="str" cm="1">
        <f t="array" ref="AA25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6" s="2" t="str">
        <f>VLOOKUP(Auto_Sales_data___Copy[[#This Row],[Segment Name]],Table3[],2,FALSE)</f>
        <v>Brand Awareness &amp; Value Proposition</v>
      </c>
    </row>
    <row r="2527" spans="1:28" x14ac:dyDescent="0.25">
      <c r="A2527">
        <v>10129</v>
      </c>
      <c r="B2527">
        <v>31</v>
      </c>
      <c r="C2527">
        <v>60</v>
      </c>
      <c r="D2527">
        <v>5</v>
      </c>
      <c r="E2527">
        <v>1860</v>
      </c>
      <c r="F2527" s="1">
        <v>43263</v>
      </c>
      <c r="G2527" s="2" t="s">
        <v>19</v>
      </c>
      <c r="H2527" s="2" t="s">
        <v>642</v>
      </c>
      <c r="I2527">
        <v>66</v>
      </c>
      <c r="J2527" s="2" t="s">
        <v>706</v>
      </c>
      <c r="K2527" s="2" t="s">
        <v>347</v>
      </c>
      <c r="L2527" s="2" t="s">
        <v>348</v>
      </c>
      <c r="M2527" s="2" t="s">
        <v>349</v>
      </c>
      <c r="N2527" s="2" t="s">
        <v>350</v>
      </c>
      <c r="O2527" s="2" t="s">
        <v>351</v>
      </c>
      <c r="P2527" s="2" t="s">
        <v>171</v>
      </c>
      <c r="Q2527" s="2" t="s">
        <v>100</v>
      </c>
      <c r="R2527" s="2" t="s">
        <v>352</v>
      </c>
      <c r="S2527" s="2" t="s">
        <v>30</v>
      </c>
      <c r="T2527">
        <v>3106</v>
      </c>
      <c r="U2527">
        <f>VLOOKUP(Auto_Sales_data___Copy[[#This Row],[CUSTOMER_NAME]],$AF$2:$AH$90,2,FALSE)</f>
        <v>26</v>
      </c>
      <c r="V2527">
        <f>VLOOKUP(Auto_Sales_data___Copy[[#This Row],[CUSTOMER_NAME]],$AF$2:$AH$90,3,FALSE)</f>
        <v>88804.5</v>
      </c>
      <c r="W2527" s="2">
        <f>6-MATCH(Auto_Sales_data___Copy[[#This Row],[DAYS_SINCE_LAST_ORDER]],Table2[R-Cutoff],1)</f>
        <v>1</v>
      </c>
      <c r="X2527" s="2">
        <f>MATCH(Auto_Sales_data___Copy[[#This Row],[Total_Orders_Per_Customer]],Table2[F-Cutoff],1)</f>
        <v>3</v>
      </c>
      <c r="Y2527" s="2">
        <f>MATCH(Auto_Sales_data___Copy[[#This Row],[Total_Sales_Per_Customer]],Table2[M-Cutoff],1)</f>
        <v>3</v>
      </c>
      <c r="Z2527" s="2" t="str">
        <f>Auto_Sales_data___Copy[[#This Row],[R-Score(1-5)]]&amp;Auto_Sales_data___Copy[[#This Row],[F-Score(1-5)]]&amp;Auto_Sales_data___Copy[[#This Row],[M-Score(1-5)]]</f>
        <v>133</v>
      </c>
      <c r="AA2527" s="2" t="str" cm="1">
        <f t="array" ref="AA25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7" s="2" t="str">
        <f>VLOOKUP(Auto_Sales_data___Copy[[#This Row],[Segment Name]],Table3[],2,FALSE)</f>
        <v>Brand Awareness &amp; Value Proposition</v>
      </c>
    </row>
    <row r="2528" spans="1:28" x14ac:dyDescent="0.25">
      <c r="A2528">
        <v>10129</v>
      </c>
      <c r="B2528">
        <v>45</v>
      </c>
      <c r="C2528">
        <v>85.29</v>
      </c>
      <c r="D2528">
        <v>3</v>
      </c>
      <c r="E2528">
        <v>3838.05</v>
      </c>
      <c r="F2528" s="1">
        <v>43263</v>
      </c>
      <c r="G2528" s="2" t="s">
        <v>19</v>
      </c>
      <c r="H2528" s="2" t="s">
        <v>642</v>
      </c>
      <c r="I2528">
        <v>72</v>
      </c>
      <c r="J2528" s="2" t="s">
        <v>711</v>
      </c>
      <c r="K2528" s="2" t="s">
        <v>347</v>
      </c>
      <c r="L2528" s="2" t="s">
        <v>348</v>
      </c>
      <c r="M2528" s="2" t="s">
        <v>349</v>
      </c>
      <c r="N2528" s="2" t="s">
        <v>350</v>
      </c>
      <c r="O2528" s="2" t="s">
        <v>351</v>
      </c>
      <c r="P2528" s="2" t="s">
        <v>171</v>
      </c>
      <c r="Q2528" s="2" t="s">
        <v>100</v>
      </c>
      <c r="R2528" s="2" t="s">
        <v>352</v>
      </c>
      <c r="S2528" s="2" t="s">
        <v>46</v>
      </c>
      <c r="T2528">
        <v>3235</v>
      </c>
      <c r="U2528">
        <f>VLOOKUP(Auto_Sales_data___Copy[[#This Row],[CUSTOMER_NAME]],$AF$2:$AH$90,2,FALSE)</f>
        <v>26</v>
      </c>
      <c r="V2528">
        <f>VLOOKUP(Auto_Sales_data___Copy[[#This Row],[CUSTOMER_NAME]],$AF$2:$AH$90,3,FALSE)</f>
        <v>88804.5</v>
      </c>
      <c r="W2528" s="2">
        <f>6-MATCH(Auto_Sales_data___Copy[[#This Row],[DAYS_SINCE_LAST_ORDER]],Table2[R-Cutoff],1)</f>
        <v>1</v>
      </c>
      <c r="X2528" s="2">
        <f>MATCH(Auto_Sales_data___Copy[[#This Row],[Total_Orders_Per_Customer]],Table2[F-Cutoff],1)</f>
        <v>3</v>
      </c>
      <c r="Y2528" s="2">
        <f>MATCH(Auto_Sales_data___Copy[[#This Row],[Total_Sales_Per_Customer]],Table2[M-Cutoff],1)</f>
        <v>3</v>
      </c>
      <c r="Z2528" s="2" t="str">
        <f>Auto_Sales_data___Copy[[#This Row],[R-Score(1-5)]]&amp;Auto_Sales_data___Copy[[#This Row],[F-Score(1-5)]]&amp;Auto_Sales_data___Copy[[#This Row],[M-Score(1-5)]]</f>
        <v>133</v>
      </c>
      <c r="AA2528" s="2" t="str" cm="1">
        <f t="array" ref="AA25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8" s="2" t="str">
        <f>VLOOKUP(Auto_Sales_data___Copy[[#This Row],[Segment Name]],Table3[],2,FALSE)</f>
        <v>Brand Awareness &amp; Value Proposition</v>
      </c>
    </row>
    <row r="2529" spans="1:28" x14ac:dyDescent="0.25">
      <c r="A2529">
        <v>10129</v>
      </c>
      <c r="B2529">
        <v>42</v>
      </c>
      <c r="C2529">
        <v>91.15</v>
      </c>
      <c r="D2529">
        <v>6</v>
      </c>
      <c r="E2529">
        <v>3828.3</v>
      </c>
      <c r="F2529" s="1">
        <v>43263</v>
      </c>
      <c r="G2529" s="2" t="s">
        <v>19</v>
      </c>
      <c r="H2529" s="2" t="s">
        <v>642</v>
      </c>
      <c r="I2529">
        <v>100</v>
      </c>
      <c r="J2529" s="2" t="s">
        <v>715</v>
      </c>
      <c r="K2529" s="2" t="s">
        <v>347</v>
      </c>
      <c r="L2529" s="2" t="s">
        <v>348</v>
      </c>
      <c r="M2529" s="2" t="s">
        <v>349</v>
      </c>
      <c r="N2529" s="2" t="s">
        <v>350</v>
      </c>
      <c r="O2529" s="2" t="s">
        <v>351</v>
      </c>
      <c r="P2529" s="2" t="s">
        <v>171</v>
      </c>
      <c r="Q2529" s="2" t="s">
        <v>100</v>
      </c>
      <c r="R2529" s="2" t="s">
        <v>352</v>
      </c>
      <c r="S2529" s="2" t="s">
        <v>46</v>
      </c>
      <c r="T2529">
        <v>3338</v>
      </c>
      <c r="U2529">
        <f>VLOOKUP(Auto_Sales_data___Copy[[#This Row],[CUSTOMER_NAME]],$AF$2:$AH$90,2,FALSE)</f>
        <v>26</v>
      </c>
      <c r="V2529">
        <f>VLOOKUP(Auto_Sales_data___Copy[[#This Row],[CUSTOMER_NAME]],$AF$2:$AH$90,3,FALSE)</f>
        <v>88804.5</v>
      </c>
      <c r="W2529" s="2">
        <f>6-MATCH(Auto_Sales_data___Copy[[#This Row],[DAYS_SINCE_LAST_ORDER]],Table2[R-Cutoff],1)</f>
        <v>1</v>
      </c>
      <c r="X2529" s="2">
        <f>MATCH(Auto_Sales_data___Copy[[#This Row],[Total_Orders_Per_Customer]],Table2[F-Cutoff],1)</f>
        <v>3</v>
      </c>
      <c r="Y2529" s="2">
        <f>MATCH(Auto_Sales_data___Copy[[#This Row],[Total_Sales_Per_Customer]],Table2[M-Cutoff],1)</f>
        <v>3</v>
      </c>
      <c r="Z2529" s="2" t="str">
        <f>Auto_Sales_data___Copy[[#This Row],[R-Score(1-5)]]&amp;Auto_Sales_data___Copy[[#This Row],[F-Score(1-5)]]&amp;Auto_Sales_data___Copy[[#This Row],[M-Score(1-5)]]</f>
        <v>133</v>
      </c>
      <c r="AA2529" s="2" t="str" cm="1">
        <f t="array" ref="AA25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9" s="2" t="str">
        <f>VLOOKUP(Auto_Sales_data___Copy[[#This Row],[Segment Name]],Table3[],2,FALSE)</f>
        <v>Brand Awareness &amp; Value Proposition</v>
      </c>
    </row>
    <row r="2530" spans="1:28" x14ac:dyDescent="0.25">
      <c r="A2530">
        <v>10129</v>
      </c>
      <c r="B2530">
        <v>30</v>
      </c>
      <c r="C2530">
        <v>85.41</v>
      </c>
      <c r="D2530">
        <v>7</v>
      </c>
      <c r="E2530">
        <v>2562.3000000000002</v>
      </c>
      <c r="F2530" s="1">
        <v>43263</v>
      </c>
      <c r="G2530" s="2" t="s">
        <v>19</v>
      </c>
      <c r="H2530" s="2" t="s">
        <v>642</v>
      </c>
      <c r="I2530">
        <v>99</v>
      </c>
      <c r="J2530" s="2" t="s">
        <v>716</v>
      </c>
      <c r="K2530" s="2" t="s">
        <v>347</v>
      </c>
      <c r="L2530" s="2" t="s">
        <v>348</v>
      </c>
      <c r="M2530" s="2" t="s">
        <v>349</v>
      </c>
      <c r="N2530" s="2" t="s">
        <v>350</v>
      </c>
      <c r="O2530" s="2" t="s">
        <v>351</v>
      </c>
      <c r="P2530" s="2" t="s">
        <v>171</v>
      </c>
      <c r="Q2530" s="2" t="s">
        <v>100</v>
      </c>
      <c r="R2530" s="2" t="s">
        <v>352</v>
      </c>
      <c r="S2530" s="2" t="s">
        <v>30</v>
      </c>
      <c r="T2530">
        <v>3364</v>
      </c>
      <c r="U2530">
        <f>VLOOKUP(Auto_Sales_data___Copy[[#This Row],[CUSTOMER_NAME]],$AF$2:$AH$90,2,FALSE)</f>
        <v>26</v>
      </c>
      <c r="V2530">
        <f>VLOOKUP(Auto_Sales_data___Copy[[#This Row],[CUSTOMER_NAME]],$AF$2:$AH$90,3,FALSE)</f>
        <v>88804.5</v>
      </c>
      <c r="W2530" s="2">
        <f>6-MATCH(Auto_Sales_data___Copy[[#This Row],[DAYS_SINCE_LAST_ORDER]],Table2[R-Cutoff],1)</f>
        <v>1</v>
      </c>
      <c r="X2530" s="2">
        <f>MATCH(Auto_Sales_data___Copy[[#This Row],[Total_Orders_Per_Customer]],Table2[F-Cutoff],1)</f>
        <v>3</v>
      </c>
      <c r="Y2530" s="2">
        <f>MATCH(Auto_Sales_data___Copy[[#This Row],[Total_Sales_Per_Customer]],Table2[M-Cutoff],1)</f>
        <v>3</v>
      </c>
      <c r="Z2530" s="2" t="str">
        <f>Auto_Sales_data___Copy[[#This Row],[R-Score(1-5)]]&amp;Auto_Sales_data___Copy[[#This Row],[F-Score(1-5)]]&amp;Auto_Sales_data___Copy[[#This Row],[M-Score(1-5)]]</f>
        <v>133</v>
      </c>
      <c r="AA2530" s="2" t="str" cm="1">
        <f t="array" ref="AA25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0" s="2" t="str">
        <f>VLOOKUP(Auto_Sales_data___Copy[[#This Row],[Segment Name]],Table3[],2,FALSE)</f>
        <v>Brand Awareness &amp; Value Proposition</v>
      </c>
    </row>
    <row r="2531" spans="1:28" x14ac:dyDescent="0.25">
      <c r="A2531">
        <v>10129</v>
      </c>
      <c r="B2531">
        <v>32</v>
      </c>
      <c r="C2531">
        <v>64.97</v>
      </c>
      <c r="D2531">
        <v>8</v>
      </c>
      <c r="E2531">
        <v>2079.04</v>
      </c>
      <c r="F2531" s="1">
        <v>43263</v>
      </c>
      <c r="G2531" s="2" t="s">
        <v>19</v>
      </c>
      <c r="H2531" s="2" t="s">
        <v>642</v>
      </c>
      <c r="I2531">
        <v>54</v>
      </c>
      <c r="J2531" s="2" t="s">
        <v>719</v>
      </c>
      <c r="K2531" s="2" t="s">
        <v>347</v>
      </c>
      <c r="L2531" s="2" t="s">
        <v>348</v>
      </c>
      <c r="M2531" s="2" t="s">
        <v>349</v>
      </c>
      <c r="N2531" s="2" t="s">
        <v>350</v>
      </c>
      <c r="O2531" s="2" t="s">
        <v>351</v>
      </c>
      <c r="P2531" s="2" t="s">
        <v>171</v>
      </c>
      <c r="Q2531" s="2" t="s">
        <v>100</v>
      </c>
      <c r="R2531" s="2" t="s">
        <v>352</v>
      </c>
      <c r="S2531" s="2" t="s">
        <v>30</v>
      </c>
      <c r="T2531">
        <v>3443</v>
      </c>
      <c r="U2531">
        <f>VLOOKUP(Auto_Sales_data___Copy[[#This Row],[CUSTOMER_NAME]],$AF$2:$AH$90,2,FALSE)</f>
        <v>26</v>
      </c>
      <c r="V2531">
        <f>VLOOKUP(Auto_Sales_data___Copy[[#This Row],[CUSTOMER_NAME]],$AF$2:$AH$90,3,FALSE)</f>
        <v>88804.5</v>
      </c>
      <c r="W2531" s="2">
        <f>6-MATCH(Auto_Sales_data___Copy[[#This Row],[DAYS_SINCE_LAST_ORDER]],Table2[R-Cutoff],1)</f>
        <v>1</v>
      </c>
      <c r="X2531" s="2">
        <f>MATCH(Auto_Sales_data___Copy[[#This Row],[Total_Orders_Per_Customer]],Table2[F-Cutoff],1)</f>
        <v>3</v>
      </c>
      <c r="Y2531" s="2">
        <f>MATCH(Auto_Sales_data___Copy[[#This Row],[Total_Sales_Per_Customer]],Table2[M-Cutoff],1)</f>
        <v>3</v>
      </c>
      <c r="Z2531" s="2" t="str">
        <f>Auto_Sales_data___Copy[[#This Row],[R-Score(1-5)]]&amp;Auto_Sales_data___Copy[[#This Row],[F-Score(1-5)]]&amp;Auto_Sales_data___Copy[[#This Row],[M-Score(1-5)]]</f>
        <v>133</v>
      </c>
      <c r="AA2531" s="2" t="str" cm="1">
        <f t="array" ref="AA25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1" s="2" t="str">
        <f>VLOOKUP(Auto_Sales_data___Copy[[#This Row],[Segment Name]],Table3[],2,FALSE)</f>
        <v>Brand Awareness &amp; Value Proposition</v>
      </c>
    </row>
    <row r="2532" spans="1:28" x14ac:dyDescent="0.25">
      <c r="A2532">
        <v>10147</v>
      </c>
      <c r="B2532">
        <v>31</v>
      </c>
      <c r="C2532">
        <v>64.67</v>
      </c>
      <c r="D2532">
        <v>11</v>
      </c>
      <c r="E2532">
        <v>2004.77</v>
      </c>
      <c r="F2532" s="1">
        <v>43348</v>
      </c>
      <c r="G2532" s="2" t="s">
        <v>19</v>
      </c>
      <c r="H2532" s="2" t="s">
        <v>183</v>
      </c>
      <c r="I2532">
        <v>80</v>
      </c>
      <c r="J2532" s="2" t="s">
        <v>693</v>
      </c>
      <c r="K2532" s="2" t="s">
        <v>295</v>
      </c>
      <c r="L2532" s="2" t="s">
        <v>116</v>
      </c>
      <c r="M2532" s="2" t="s">
        <v>296</v>
      </c>
      <c r="N2532" s="2" t="s">
        <v>297</v>
      </c>
      <c r="O2532" s="2" t="s">
        <v>298</v>
      </c>
      <c r="P2532" s="2" t="s">
        <v>27</v>
      </c>
      <c r="Q2532" s="2" t="s">
        <v>288</v>
      </c>
      <c r="R2532" s="2" t="s">
        <v>299</v>
      </c>
      <c r="S2532" s="2" t="s">
        <v>30</v>
      </c>
      <c r="T2532">
        <v>2692</v>
      </c>
      <c r="U2532">
        <f>VLOOKUP(Auto_Sales_data___Copy[[#This Row],[CUSTOMER_NAME]],$AF$2:$AH$90,2,FALSE)</f>
        <v>24</v>
      </c>
      <c r="V2532">
        <f>VLOOKUP(Auto_Sales_data___Copy[[#This Row],[CUSTOMER_NAME]],$AF$2:$AH$90,3,FALSE)</f>
        <v>81577.98</v>
      </c>
      <c r="W2532" s="2">
        <f>6-MATCH(Auto_Sales_data___Copy[[#This Row],[DAYS_SINCE_LAST_ORDER]],Table2[R-Cutoff],1)</f>
        <v>1</v>
      </c>
      <c r="X2532" s="2">
        <f>MATCH(Auto_Sales_data___Copy[[#This Row],[Total_Orders_Per_Customer]],Table2[F-Cutoff],1)</f>
        <v>3</v>
      </c>
      <c r="Y2532" s="2">
        <f>MATCH(Auto_Sales_data___Copy[[#This Row],[Total_Sales_Per_Customer]],Table2[M-Cutoff],1)</f>
        <v>3</v>
      </c>
      <c r="Z2532" s="2" t="str">
        <f>Auto_Sales_data___Copy[[#This Row],[R-Score(1-5)]]&amp;Auto_Sales_data___Copy[[#This Row],[F-Score(1-5)]]&amp;Auto_Sales_data___Copy[[#This Row],[M-Score(1-5)]]</f>
        <v>133</v>
      </c>
      <c r="AA2532" s="2" t="str" cm="1">
        <f t="array" ref="AA25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2" s="2" t="str">
        <f>VLOOKUP(Auto_Sales_data___Copy[[#This Row],[Segment Name]],Table3[],2,FALSE)</f>
        <v>Brand Awareness &amp; Value Proposition</v>
      </c>
    </row>
    <row r="2533" spans="1:28" x14ac:dyDescent="0.25">
      <c r="A2533">
        <v>10166</v>
      </c>
      <c r="B2533">
        <v>29</v>
      </c>
      <c r="C2533">
        <v>103.93</v>
      </c>
      <c r="D2533">
        <v>3</v>
      </c>
      <c r="E2533">
        <v>3013.97</v>
      </c>
      <c r="F2533" s="1">
        <v>43394</v>
      </c>
      <c r="G2533" s="2" t="s">
        <v>19</v>
      </c>
      <c r="H2533" s="2" t="s">
        <v>642</v>
      </c>
      <c r="I2533">
        <v>86</v>
      </c>
      <c r="J2533" s="2" t="s">
        <v>708</v>
      </c>
      <c r="K2533" s="2" t="s">
        <v>159</v>
      </c>
      <c r="L2533" s="2" t="s">
        <v>160</v>
      </c>
      <c r="M2533" s="2" t="s">
        <v>161</v>
      </c>
      <c r="N2533" s="2" t="s">
        <v>162</v>
      </c>
      <c r="O2533" s="2" t="s">
        <v>163</v>
      </c>
      <c r="P2533" s="2" t="s">
        <v>27</v>
      </c>
      <c r="Q2533" s="2" t="s">
        <v>164</v>
      </c>
      <c r="R2533" s="2" t="s">
        <v>165</v>
      </c>
      <c r="S2533" s="2" t="s">
        <v>46</v>
      </c>
      <c r="T2533">
        <v>3030</v>
      </c>
      <c r="U2533">
        <f>VLOOKUP(Auto_Sales_data___Copy[[#This Row],[CUSTOMER_NAME]],$AF$2:$AH$90,2,FALSE)</f>
        <v>26</v>
      </c>
      <c r="V2533">
        <f>VLOOKUP(Auto_Sales_data___Copy[[#This Row],[CUSTOMER_NAME]],$AF$2:$AH$90,3,FALSE)</f>
        <v>98923.73000000001</v>
      </c>
      <c r="W2533" s="2">
        <f>6-MATCH(Auto_Sales_data___Copy[[#This Row],[DAYS_SINCE_LAST_ORDER]],Table2[R-Cutoff],1)</f>
        <v>1</v>
      </c>
      <c r="X2533" s="2">
        <f>MATCH(Auto_Sales_data___Copy[[#This Row],[Total_Orders_Per_Customer]],Table2[F-Cutoff],1)</f>
        <v>3</v>
      </c>
      <c r="Y2533" s="2">
        <f>MATCH(Auto_Sales_data___Copy[[#This Row],[Total_Sales_Per_Customer]],Table2[M-Cutoff],1)</f>
        <v>3</v>
      </c>
      <c r="Z2533" s="2" t="str">
        <f>Auto_Sales_data___Copy[[#This Row],[R-Score(1-5)]]&amp;Auto_Sales_data___Copy[[#This Row],[F-Score(1-5)]]&amp;Auto_Sales_data___Copy[[#This Row],[M-Score(1-5)]]</f>
        <v>133</v>
      </c>
      <c r="AA2533" s="2" t="str" cm="1">
        <f t="array" ref="AA25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3" s="2" t="str">
        <f>VLOOKUP(Auto_Sales_data___Copy[[#This Row],[Segment Name]],Table3[],2,FALSE)</f>
        <v>Brand Awareness &amp; Value Proposition</v>
      </c>
    </row>
    <row r="2534" spans="1:28" x14ac:dyDescent="0.25">
      <c r="A2534">
        <v>10175</v>
      </c>
      <c r="B2534">
        <v>22</v>
      </c>
      <c r="C2534">
        <v>110.76</v>
      </c>
      <c r="D2534">
        <v>8</v>
      </c>
      <c r="E2534">
        <v>2436.7199999999998</v>
      </c>
      <c r="F2534" s="1">
        <v>43410</v>
      </c>
      <c r="G2534" s="2" t="s">
        <v>19</v>
      </c>
      <c r="H2534" s="2" t="s">
        <v>537</v>
      </c>
      <c r="I2534">
        <v>96</v>
      </c>
      <c r="J2534" s="2" t="s">
        <v>694</v>
      </c>
      <c r="K2534" s="2" t="s">
        <v>347</v>
      </c>
      <c r="L2534" s="2" t="s">
        <v>348</v>
      </c>
      <c r="M2534" s="2" t="s">
        <v>349</v>
      </c>
      <c r="N2534" s="2" t="s">
        <v>350</v>
      </c>
      <c r="O2534" s="2" t="s">
        <v>351</v>
      </c>
      <c r="P2534" s="2" t="s">
        <v>171</v>
      </c>
      <c r="Q2534" s="2" t="s">
        <v>100</v>
      </c>
      <c r="R2534" s="2" t="s">
        <v>352</v>
      </c>
      <c r="S2534" s="2" t="s">
        <v>30</v>
      </c>
      <c r="T2534">
        <v>2656</v>
      </c>
      <c r="U2534">
        <f>VLOOKUP(Auto_Sales_data___Copy[[#This Row],[CUSTOMER_NAME]],$AF$2:$AH$90,2,FALSE)</f>
        <v>26</v>
      </c>
      <c r="V2534">
        <f>VLOOKUP(Auto_Sales_data___Copy[[#This Row],[CUSTOMER_NAME]],$AF$2:$AH$90,3,FALSE)</f>
        <v>88804.5</v>
      </c>
      <c r="W2534" s="2">
        <f>6-MATCH(Auto_Sales_data___Copy[[#This Row],[DAYS_SINCE_LAST_ORDER]],Table2[R-Cutoff],1)</f>
        <v>1</v>
      </c>
      <c r="X2534" s="2">
        <f>MATCH(Auto_Sales_data___Copy[[#This Row],[Total_Orders_Per_Customer]],Table2[F-Cutoff],1)</f>
        <v>3</v>
      </c>
      <c r="Y2534" s="2">
        <f>MATCH(Auto_Sales_data___Copy[[#This Row],[Total_Sales_Per_Customer]],Table2[M-Cutoff],1)</f>
        <v>3</v>
      </c>
      <c r="Z2534" s="2" t="str">
        <f>Auto_Sales_data___Copy[[#This Row],[R-Score(1-5)]]&amp;Auto_Sales_data___Copy[[#This Row],[F-Score(1-5)]]&amp;Auto_Sales_data___Copy[[#This Row],[M-Score(1-5)]]</f>
        <v>133</v>
      </c>
      <c r="AA2534" s="2" t="str" cm="1">
        <f t="array" ref="AA25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4" s="2" t="str">
        <f>VLOOKUP(Auto_Sales_data___Copy[[#This Row],[Segment Name]],Table3[],2,FALSE)</f>
        <v>Brand Awareness &amp; Value Proposition</v>
      </c>
    </row>
    <row r="2535" spans="1:28" x14ac:dyDescent="0.25">
      <c r="A2535">
        <v>10175</v>
      </c>
      <c r="B2535">
        <v>50</v>
      </c>
      <c r="C2535">
        <v>63.31</v>
      </c>
      <c r="D2535">
        <v>3</v>
      </c>
      <c r="E2535">
        <v>3165.5</v>
      </c>
      <c r="F2535" s="1">
        <v>43410</v>
      </c>
      <c r="G2535" s="2" t="s">
        <v>19</v>
      </c>
      <c r="H2535" s="2" t="s">
        <v>537</v>
      </c>
      <c r="I2535">
        <v>54</v>
      </c>
      <c r="J2535" s="2" t="s">
        <v>697</v>
      </c>
      <c r="K2535" s="2" t="s">
        <v>347</v>
      </c>
      <c r="L2535" s="2" t="s">
        <v>348</v>
      </c>
      <c r="M2535" s="2" t="s">
        <v>349</v>
      </c>
      <c r="N2535" s="2" t="s">
        <v>350</v>
      </c>
      <c r="O2535" s="2" t="s">
        <v>351</v>
      </c>
      <c r="P2535" s="2" t="s">
        <v>171</v>
      </c>
      <c r="Q2535" s="2" t="s">
        <v>100</v>
      </c>
      <c r="R2535" s="2" t="s">
        <v>352</v>
      </c>
      <c r="S2535" s="2" t="s">
        <v>46</v>
      </c>
      <c r="T2535">
        <v>2731</v>
      </c>
      <c r="U2535">
        <f>VLOOKUP(Auto_Sales_data___Copy[[#This Row],[CUSTOMER_NAME]],$AF$2:$AH$90,2,FALSE)</f>
        <v>26</v>
      </c>
      <c r="V2535">
        <f>VLOOKUP(Auto_Sales_data___Copy[[#This Row],[CUSTOMER_NAME]],$AF$2:$AH$90,3,FALSE)</f>
        <v>88804.5</v>
      </c>
      <c r="W2535" s="2">
        <f>6-MATCH(Auto_Sales_data___Copy[[#This Row],[DAYS_SINCE_LAST_ORDER]],Table2[R-Cutoff],1)</f>
        <v>1</v>
      </c>
      <c r="X2535" s="2">
        <f>MATCH(Auto_Sales_data___Copy[[#This Row],[Total_Orders_Per_Customer]],Table2[F-Cutoff],1)</f>
        <v>3</v>
      </c>
      <c r="Y2535" s="2">
        <f>MATCH(Auto_Sales_data___Copy[[#This Row],[Total_Sales_Per_Customer]],Table2[M-Cutoff],1)</f>
        <v>3</v>
      </c>
      <c r="Z2535" s="2" t="str">
        <f>Auto_Sales_data___Copy[[#This Row],[R-Score(1-5)]]&amp;Auto_Sales_data___Copy[[#This Row],[F-Score(1-5)]]&amp;Auto_Sales_data___Copy[[#This Row],[M-Score(1-5)]]</f>
        <v>133</v>
      </c>
      <c r="AA2535" s="2" t="str" cm="1">
        <f t="array" ref="AA25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5" s="2" t="str">
        <f>VLOOKUP(Auto_Sales_data___Copy[[#This Row],[Segment Name]],Table3[],2,FALSE)</f>
        <v>Brand Awareness &amp; Value Proposition</v>
      </c>
    </row>
    <row r="2536" spans="1:28" x14ac:dyDescent="0.25">
      <c r="A2536">
        <v>10175</v>
      </c>
      <c r="B2536">
        <v>29</v>
      </c>
      <c r="C2536">
        <v>74.98</v>
      </c>
      <c r="D2536">
        <v>12</v>
      </c>
      <c r="E2536">
        <v>2174.42</v>
      </c>
      <c r="F2536" s="1">
        <v>43410</v>
      </c>
      <c r="G2536" s="2" t="s">
        <v>19</v>
      </c>
      <c r="H2536" s="2" t="s">
        <v>537</v>
      </c>
      <c r="I2536">
        <v>64</v>
      </c>
      <c r="J2536" s="2" t="s">
        <v>699</v>
      </c>
      <c r="K2536" s="2" t="s">
        <v>347</v>
      </c>
      <c r="L2536" s="2" t="s">
        <v>348</v>
      </c>
      <c r="M2536" s="2" t="s">
        <v>349</v>
      </c>
      <c r="N2536" s="2" t="s">
        <v>350</v>
      </c>
      <c r="O2536" s="2" t="s">
        <v>351</v>
      </c>
      <c r="P2536" s="2" t="s">
        <v>171</v>
      </c>
      <c r="Q2536" s="2" t="s">
        <v>100</v>
      </c>
      <c r="R2536" s="2" t="s">
        <v>352</v>
      </c>
      <c r="S2536" s="2" t="s">
        <v>30</v>
      </c>
      <c r="T2536">
        <v>2785</v>
      </c>
      <c r="U2536">
        <f>VLOOKUP(Auto_Sales_data___Copy[[#This Row],[CUSTOMER_NAME]],$AF$2:$AH$90,2,FALSE)</f>
        <v>26</v>
      </c>
      <c r="V2536">
        <f>VLOOKUP(Auto_Sales_data___Copy[[#This Row],[CUSTOMER_NAME]],$AF$2:$AH$90,3,FALSE)</f>
        <v>88804.5</v>
      </c>
      <c r="W2536" s="2">
        <f>6-MATCH(Auto_Sales_data___Copy[[#This Row],[DAYS_SINCE_LAST_ORDER]],Table2[R-Cutoff],1)</f>
        <v>1</v>
      </c>
      <c r="X2536" s="2">
        <f>MATCH(Auto_Sales_data___Copy[[#This Row],[Total_Orders_Per_Customer]],Table2[F-Cutoff],1)</f>
        <v>3</v>
      </c>
      <c r="Y2536" s="2">
        <f>MATCH(Auto_Sales_data___Copy[[#This Row],[Total_Sales_Per_Customer]],Table2[M-Cutoff],1)</f>
        <v>3</v>
      </c>
      <c r="Z2536" s="2" t="str">
        <f>Auto_Sales_data___Copy[[#This Row],[R-Score(1-5)]]&amp;Auto_Sales_data___Copy[[#This Row],[F-Score(1-5)]]&amp;Auto_Sales_data___Copy[[#This Row],[M-Score(1-5)]]</f>
        <v>133</v>
      </c>
      <c r="AA2536" s="2" t="str" cm="1">
        <f t="array" ref="AA25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6" s="2" t="str">
        <f>VLOOKUP(Auto_Sales_data___Copy[[#This Row],[Segment Name]],Table3[],2,FALSE)</f>
        <v>Brand Awareness &amp; Value Proposition</v>
      </c>
    </row>
    <row r="2537" spans="1:28" x14ac:dyDescent="0.25">
      <c r="A2537">
        <v>10175</v>
      </c>
      <c r="B2537">
        <v>42</v>
      </c>
      <c r="C2537">
        <v>85.98</v>
      </c>
      <c r="D2537">
        <v>11</v>
      </c>
      <c r="E2537">
        <v>3611.16</v>
      </c>
      <c r="F2537" s="1">
        <v>43410</v>
      </c>
      <c r="G2537" s="2" t="s">
        <v>19</v>
      </c>
      <c r="H2537" s="2" t="s">
        <v>183</v>
      </c>
      <c r="I2537">
        <v>101</v>
      </c>
      <c r="J2537" s="2" t="s">
        <v>712</v>
      </c>
      <c r="K2537" s="2" t="s">
        <v>347</v>
      </c>
      <c r="L2537" s="2" t="s">
        <v>348</v>
      </c>
      <c r="M2537" s="2" t="s">
        <v>349</v>
      </c>
      <c r="N2537" s="2" t="s">
        <v>350</v>
      </c>
      <c r="O2537" s="2" t="s">
        <v>351</v>
      </c>
      <c r="P2537" s="2" t="s">
        <v>171</v>
      </c>
      <c r="Q2537" s="2" t="s">
        <v>100</v>
      </c>
      <c r="R2537" s="2" t="s">
        <v>352</v>
      </c>
      <c r="S2537" s="2" t="s">
        <v>46</v>
      </c>
      <c r="T2537">
        <v>3118</v>
      </c>
      <c r="U2537">
        <f>VLOOKUP(Auto_Sales_data___Copy[[#This Row],[CUSTOMER_NAME]],$AF$2:$AH$90,2,FALSE)</f>
        <v>26</v>
      </c>
      <c r="V2537">
        <f>VLOOKUP(Auto_Sales_data___Copy[[#This Row],[CUSTOMER_NAME]],$AF$2:$AH$90,3,FALSE)</f>
        <v>88804.5</v>
      </c>
      <c r="W2537" s="2">
        <f>6-MATCH(Auto_Sales_data___Copy[[#This Row],[DAYS_SINCE_LAST_ORDER]],Table2[R-Cutoff],1)</f>
        <v>1</v>
      </c>
      <c r="X2537" s="2">
        <f>MATCH(Auto_Sales_data___Copy[[#This Row],[Total_Orders_Per_Customer]],Table2[F-Cutoff],1)</f>
        <v>3</v>
      </c>
      <c r="Y2537" s="2">
        <f>MATCH(Auto_Sales_data___Copy[[#This Row],[Total_Sales_Per_Customer]],Table2[M-Cutoff],1)</f>
        <v>3</v>
      </c>
      <c r="Z2537" s="2" t="str">
        <f>Auto_Sales_data___Copy[[#This Row],[R-Score(1-5)]]&amp;Auto_Sales_data___Copy[[#This Row],[F-Score(1-5)]]&amp;Auto_Sales_data___Copy[[#This Row],[M-Score(1-5)]]</f>
        <v>133</v>
      </c>
      <c r="AA2537" s="2" t="str" cm="1">
        <f t="array" ref="AA25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7" s="2" t="str">
        <f>VLOOKUP(Auto_Sales_data___Copy[[#This Row],[Segment Name]],Table3[],2,FALSE)</f>
        <v>Brand Awareness &amp; Value Proposition</v>
      </c>
    </row>
    <row r="2538" spans="1:28" x14ac:dyDescent="0.25">
      <c r="A2538">
        <v>10191</v>
      </c>
      <c r="B2538">
        <v>44</v>
      </c>
      <c r="C2538">
        <v>66.290000000000006</v>
      </c>
      <c r="D2538">
        <v>7</v>
      </c>
      <c r="E2538">
        <v>2916.76</v>
      </c>
      <c r="F2538" s="1">
        <v>43424</v>
      </c>
      <c r="G2538" s="2" t="s">
        <v>19</v>
      </c>
      <c r="H2538" s="2" t="s">
        <v>183</v>
      </c>
      <c r="I2538">
        <v>80</v>
      </c>
      <c r="J2538" s="2" t="s">
        <v>693</v>
      </c>
      <c r="K2538" s="2" t="s">
        <v>465</v>
      </c>
      <c r="L2538" s="2" t="s">
        <v>466</v>
      </c>
      <c r="M2538" s="2" t="s">
        <v>467</v>
      </c>
      <c r="N2538" s="2" t="s">
        <v>468</v>
      </c>
      <c r="O2538" s="2" t="s">
        <v>469</v>
      </c>
      <c r="P2538" s="2" t="s">
        <v>470</v>
      </c>
      <c r="Q2538" s="2" t="s">
        <v>471</v>
      </c>
      <c r="R2538" s="2" t="s">
        <v>472</v>
      </c>
      <c r="S2538" s="2" t="s">
        <v>30</v>
      </c>
      <c r="T2538">
        <v>2619</v>
      </c>
      <c r="U2538">
        <f>VLOOKUP(Auto_Sales_data___Copy[[#This Row],[CUSTOMER_NAME]],$AF$2:$AH$90,2,FALSE)</f>
        <v>26</v>
      </c>
      <c r="V2538">
        <f>VLOOKUP(Auto_Sales_data___Copy[[#This Row],[CUSTOMER_NAME]],$AF$2:$AH$90,3,FALSE)</f>
        <v>100306.58000000002</v>
      </c>
      <c r="W2538" s="2">
        <f>6-MATCH(Auto_Sales_data___Copy[[#This Row],[DAYS_SINCE_LAST_ORDER]],Table2[R-Cutoff],1)</f>
        <v>1</v>
      </c>
      <c r="X2538" s="2">
        <f>MATCH(Auto_Sales_data___Copy[[#This Row],[Total_Orders_Per_Customer]],Table2[F-Cutoff],1)</f>
        <v>3</v>
      </c>
      <c r="Y2538" s="2">
        <f>MATCH(Auto_Sales_data___Copy[[#This Row],[Total_Sales_Per_Customer]],Table2[M-Cutoff],1)</f>
        <v>3</v>
      </c>
      <c r="Z2538" s="2" t="str">
        <f>Auto_Sales_data___Copy[[#This Row],[R-Score(1-5)]]&amp;Auto_Sales_data___Copy[[#This Row],[F-Score(1-5)]]&amp;Auto_Sales_data___Copy[[#This Row],[M-Score(1-5)]]</f>
        <v>133</v>
      </c>
      <c r="AA2538" s="2" t="str" cm="1">
        <f t="array" ref="AA25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8" s="2" t="str">
        <f>VLOOKUP(Auto_Sales_data___Copy[[#This Row],[Segment Name]],Table3[],2,FALSE)</f>
        <v>Brand Awareness &amp; Value Proposition</v>
      </c>
    </row>
    <row r="2539" spans="1:28" x14ac:dyDescent="0.25">
      <c r="A2539">
        <v>10195</v>
      </c>
      <c r="B2539">
        <v>32</v>
      </c>
      <c r="C2539">
        <v>43.29</v>
      </c>
      <c r="D2539">
        <v>8</v>
      </c>
      <c r="E2539">
        <v>1385.28</v>
      </c>
      <c r="F2539" s="1">
        <v>43429</v>
      </c>
      <c r="G2539" s="2" t="s">
        <v>19</v>
      </c>
      <c r="H2539" s="2" t="s">
        <v>537</v>
      </c>
      <c r="I2539">
        <v>54</v>
      </c>
      <c r="J2539" s="2" t="s">
        <v>697</v>
      </c>
      <c r="K2539" s="2" t="s">
        <v>332</v>
      </c>
      <c r="L2539" s="2" t="s">
        <v>333</v>
      </c>
      <c r="M2539" s="2" t="s">
        <v>334</v>
      </c>
      <c r="N2539" s="2" t="s">
        <v>335</v>
      </c>
      <c r="O2539" s="2" t="s">
        <v>336</v>
      </c>
      <c r="P2539" s="2" t="s">
        <v>27</v>
      </c>
      <c r="Q2539" s="2" t="s">
        <v>93</v>
      </c>
      <c r="R2539" s="2" t="s">
        <v>244</v>
      </c>
      <c r="S2539" s="2" t="s">
        <v>30</v>
      </c>
      <c r="T2539">
        <v>2714</v>
      </c>
      <c r="U2539">
        <f>VLOOKUP(Auto_Sales_data___Copy[[#This Row],[CUSTOMER_NAME]],$AF$2:$AH$90,2,FALSE)</f>
        <v>26</v>
      </c>
      <c r="V2539">
        <f>VLOOKUP(Auto_Sales_data___Copy[[#This Row],[CUSTOMER_NAME]],$AF$2:$AH$90,3,FALSE)</f>
        <v>85555.989999999976</v>
      </c>
      <c r="W2539" s="2">
        <f>6-MATCH(Auto_Sales_data___Copy[[#This Row],[DAYS_SINCE_LAST_ORDER]],Table2[R-Cutoff],1)</f>
        <v>1</v>
      </c>
      <c r="X2539" s="2">
        <f>MATCH(Auto_Sales_data___Copy[[#This Row],[Total_Orders_Per_Customer]],Table2[F-Cutoff],1)</f>
        <v>3</v>
      </c>
      <c r="Y2539" s="2">
        <f>MATCH(Auto_Sales_data___Copy[[#This Row],[Total_Sales_Per_Customer]],Table2[M-Cutoff],1)</f>
        <v>3</v>
      </c>
      <c r="Z2539" s="2" t="str">
        <f>Auto_Sales_data___Copy[[#This Row],[R-Score(1-5)]]&amp;Auto_Sales_data___Copy[[#This Row],[F-Score(1-5)]]&amp;Auto_Sales_data___Copy[[#This Row],[M-Score(1-5)]]</f>
        <v>133</v>
      </c>
      <c r="AA2539" s="2" t="str" cm="1">
        <f t="array" ref="AA25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9" s="2" t="str">
        <f>VLOOKUP(Auto_Sales_data___Copy[[#This Row],[Segment Name]],Table3[],2,FALSE)</f>
        <v>Brand Awareness &amp; Value Proposition</v>
      </c>
    </row>
    <row r="2540" spans="1:28" x14ac:dyDescent="0.25">
      <c r="A2540">
        <v>10195</v>
      </c>
      <c r="B2540">
        <v>33</v>
      </c>
      <c r="C2540">
        <v>54.68</v>
      </c>
      <c r="D2540">
        <v>1</v>
      </c>
      <c r="E2540">
        <v>1804.44</v>
      </c>
      <c r="F2540" s="1">
        <v>43429</v>
      </c>
      <c r="G2540" s="2" t="s">
        <v>19</v>
      </c>
      <c r="H2540" s="2" t="s">
        <v>650</v>
      </c>
      <c r="I2540">
        <v>62</v>
      </c>
      <c r="J2540" s="2" t="s">
        <v>698</v>
      </c>
      <c r="K2540" s="2" t="s">
        <v>332</v>
      </c>
      <c r="L2540" s="2" t="s">
        <v>333</v>
      </c>
      <c r="M2540" s="2" t="s">
        <v>334</v>
      </c>
      <c r="N2540" s="2" t="s">
        <v>335</v>
      </c>
      <c r="O2540" s="2" t="s">
        <v>336</v>
      </c>
      <c r="P2540" s="2" t="s">
        <v>27</v>
      </c>
      <c r="Q2540" s="2" t="s">
        <v>93</v>
      </c>
      <c r="R2540" s="2" t="s">
        <v>244</v>
      </c>
      <c r="S2540" s="2" t="s">
        <v>30</v>
      </c>
      <c r="T2540">
        <v>2742</v>
      </c>
      <c r="U2540">
        <f>VLOOKUP(Auto_Sales_data___Copy[[#This Row],[CUSTOMER_NAME]],$AF$2:$AH$90,2,FALSE)</f>
        <v>26</v>
      </c>
      <c r="V2540">
        <f>VLOOKUP(Auto_Sales_data___Copy[[#This Row],[CUSTOMER_NAME]],$AF$2:$AH$90,3,FALSE)</f>
        <v>85555.989999999976</v>
      </c>
      <c r="W2540" s="2">
        <f>6-MATCH(Auto_Sales_data___Copy[[#This Row],[DAYS_SINCE_LAST_ORDER]],Table2[R-Cutoff],1)</f>
        <v>1</v>
      </c>
      <c r="X2540" s="2">
        <f>MATCH(Auto_Sales_data___Copy[[#This Row],[Total_Orders_Per_Customer]],Table2[F-Cutoff],1)</f>
        <v>3</v>
      </c>
      <c r="Y2540" s="2">
        <f>MATCH(Auto_Sales_data___Copy[[#This Row],[Total_Sales_Per_Customer]],Table2[M-Cutoff],1)</f>
        <v>3</v>
      </c>
      <c r="Z2540" s="2" t="str">
        <f>Auto_Sales_data___Copy[[#This Row],[R-Score(1-5)]]&amp;Auto_Sales_data___Copy[[#This Row],[F-Score(1-5)]]&amp;Auto_Sales_data___Copy[[#This Row],[M-Score(1-5)]]</f>
        <v>133</v>
      </c>
      <c r="AA2540" s="2" t="str" cm="1">
        <f t="array" ref="AA25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0" s="2" t="str">
        <f>VLOOKUP(Auto_Sales_data___Copy[[#This Row],[Segment Name]],Table3[],2,FALSE)</f>
        <v>Brand Awareness &amp; Value Proposition</v>
      </c>
    </row>
    <row r="2541" spans="1:28" x14ac:dyDescent="0.25">
      <c r="A2541">
        <v>10195</v>
      </c>
      <c r="B2541">
        <v>49</v>
      </c>
      <c r="C2541">
        <v>105.33</v>
      </c>
      <c r="D2541">
        <v>4</v>
      </c>
      <c r="E2541">
        <v>5161.17</v>
      </c>
      <c r="F2541" s="1">
        <v>43429</v>
      </c>
      <c r="G2541" s="2" t="s">
        <v>19</v>
      </c>
      <c r="H2541" s="2" t="s">
        <v>537</v>
      </c>
      <c r="I2541">
        <v>115</v>
      </c>
      <c r="J2541" s="2" t="s">
        <v>703</v>
      </c>
      <c r="K2541" s="2" t="s">
        <v>332</v>
      </c>
      <c r="L2541" s="2" t="s">
        <v>333</v>
      </c>
      <c r="M2541" s="2" t="s">
        <v>334</v>
      </c>
      <c r="N2541" s="2" t="s">
        <v>335</v>
      </c>
      <c r="O2541" s="2" t="s">
        <v>336</v>
      </c>
      <c r="P2541" s="2" t="s">
        <v>27</v>
      </c>
      <c r="Q2541" s="2" t="s">
        <v>93</v>
      </c>
      <c r="R2541" s="2" t="s">
        <v>244</v>
      </c>
      <c r="S2541" s="2" t="s">
        <v>46</v>
      </c>
      <c r="T2541">
        <v>2868</v>
      </c>
      <c r="U2541">
        <f>VLOOKUP(Auto_Sales_data___Copy[[#This Row],[CUSTOMER_NAME]],$AF$2:$AH$90,2,FALSE)</f>
        <v>26</v>
      </c>
      <c r="V2541">
        <f>VLOOKUP(Auto_Sales_data___Copy[[#This Row],[CUSTOMER_NAME]],$AF$2:$AH$90,3,FALSE)</f>
        <v>85555.989999999976</v>
      </c>
      <c r="W2541" s="2">
        <f>6-MATCH(Auto_Sales_data___Copy[[#This Row],[DAYS_SINCE_LAST_ORDER]],Table2[R-Cutoff],1)</f>
        <v>1</v>
      </c>
      <c r="X2541" s="2">
        <f>MATCH(Auto_Sales_data___Copy[[#This Row],[Total_Orders_Per_Customer]],Table2[F-Cutoff],1)</f>
        <v>3</v>
      </c>
      <c r="Y2541" s="2">
        <f>MATCH(Auto_Sales_data___Copy[[#This Row],[Total_Sales_Per_Customer]],Table2[M-Cutoff],1)</f>
        <v>3</v>
      </c>
      <c r="Z2541" s="2" t="str">
        <f>Auto_Sales_data___Copy[[#This Row],[R-Score(1-5)]]&amp;Auto_Sales_data___Copy[[#This Row],[F-Score(1-5)]]&amp;Auto_Sales_data___Copy[[#This Row],[M-Score(1-5)]]</f>
        <v>133</v>
      </c>
      <c r="AA2541" s="2" t="str" cm="1">
        <f t="array" ref="AA25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1" s="2" t="str">
        <f>VLOOKUP(Auto_Sales_data___Copy[[#This Row],[Segment Name]],Table3[],2,FALSE)</f>
        <v>Brand Awareness &amp; Value Proposition</v>
      </c>
    </row>
    <row r="2542" spans="1:28" x14ac:dyDescent="0.25">
      <c r="A2542">
        <v>10198</v>
      </c>
      <c r="B2542">
        <v>42</v>
      </c>
      <c r="C2542">
        <v>113.68</v>
      </c>
      <c r="D2542">
        <v>1</v>
      </c>
      <c r="E2542">
        <v>4774.5600000000004</v>
      </c>
      <c r="F2542" s="1">
        <v>43431</v>
      </c>
      <c r="G2542" s="2" t="s">
        <v>19</v>
      </c>
      <c r="H2542" s="2" t="s">
        <v>607</v>
      </c>
      <c r="I2542">
        <v>99</v>
      </c>
      <c r="J2542" s="2" t="s">
        <v>710</v>
      </c>
      <c r="K2542" s="2" t="s">
        <v>450</v>
      </c>
      <c r="L2542" s="2" t="s">
        <v>451</v>
      </c>
      <c r="M2542" s="2" t="s">
        <v>452</v>
      </c>
      <c r="N2542" s="2" t="s">
        <v>453</v>
      </c>
      <c r="O2542" s="2" t="s">
        <v>454</v>
      </c>
      <c r="P2542" s="2" t="s">
        <v>455</v>
      </c>
      <c r="Q2542" s="2" t="s">
        <v>456</v>
      </c>
      <c r="R2542" s="2" t="s">
        <v>457</v>
      </c>
      <c r="S2542" s="2" t="s">
        <v>46</v>
      </c>
      <c r="T2542">
        <v>3045</v>
      </c>
      <c r="U2542">
        <f>VLOOKUP(Auto_Sales_data___Copy[[#This Row],[CUSTOMER_NAME]],$AF$2:$AH$90,2,FALSE)</f>
        <v>26</v>
      </c>
      <c r="V2542">
        <f>VLOOKUP(Auto_Sales_data___Copy[[#This Row],[CUSTOMER_NAME]],$AF$2:$AH$90,3,FALSE)</f>
        <v>94015.73</v>
      </c>
      <c r="W2542" s="2">
        <f>6-MATCH(Auto_Sales_data___Copy[[#This Row],[DAYS_SINCE_LAST_ORDER]],Table2[R-Cutoff],1)</f>
        <v>1</v>
      </c>
      <c r="X2542" s="2">
        <f>MATCH(Auto_Sales_data___Copy[[#This Row],[Total_Orders_Per_Customer]],Table2[F-Cutoff],1)</f>
        <v>3</v>
      </c>
      <c r="Y2542" s="2">
        <f>MATCH(Auto_Sales_data___Copy[[#This Row],[Total_Sales_Per_Customer]],Table2[M-Cutoff],1)</f>
        <v>3</v>
      </c>
      <c r="Z2542" s="2" t="str">
        <f>Auto_Sales_data___Copy[[#This Row],[R-Score(1-5)]]&amp;Auto_Sales_data___Copy[[#This Row],[F-Score(1-5)]]&amp;Auto_Sales_data___Copy[[#This Row],[M-Score(1-5)]]</f>
        <v>133</v>
      </c>
      <c r="AA2542" s="2" t="str" cm="1">
        <f t="array" ref="AA25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2" s="2" t="str">
        <f>VLOOKUP(Auto_Sales_data___Copy[[#This Row],[Segment Name]],Table3[],2,FALSE)</f>
        <v>Brand Awareness &amp; Value Proposition</v>
      </c>
    </row>
    <row r="2543" spans="1:28" x14ac:dyDescent="0.25">
      <c r="A2543">
        <v>10198</v>
      </c>
      <c r="B2543">
        <v>40</v>
      </c>
      <c r="C2543">
        <v>63.67</v>
      </c>
      <c r="D2543">
        <v>2</v>
      </c>
      <c r="E2543">
        <v>2546.8000000000002</v>
      </c>
      <c r="F2543" s="1">
        <v>43431</v>
      </c>
      <c r="G2543" s="2" t="s">
        <v>19</v>
      </c>
      <c r="H2543" s="2" t="s">
        <v>607</v>
      </c>
      <c r="I2543">
        <v>74</v>
      </c>
      <c r="J2543" s="2" t="s">
        <v>717</v>
      </c>
      <c r="K2543" s="2" t="s">
        <v>450</v>
      </c>
      <c r="L2543" s="2" t="s">
        <v>451</v>
      </c>
      <c r="M2543" s="2" t="s">
        <v>452</v>
      </c>
      <c r="N2543" s="2" t="s">
        <v>453</v>
      </c>
      <c r="O2543" s="2" t="s">
        <v>454</v>
      </c>
      <c r="P2543" s="2" t="s">
        <v>455</v>
      </c>
      <c r="Q2543" s="2" t="s">
        <v>456</v>
      </c>
      <c r="R2543" s="2" t="s">
        <v>457</v>
      </c>
      <c r="S2543" s="2" t="s">
        <v>30</v>
      </c>
      <c r="T2543">
        <v>3227</v>
      </c>
      <c r="U2543">
        <f>VLOOKUP(Auto_Sales_data___Copy[[#This Row],[CUSTOMER_NAME]],$AF$2:$AH$90,2,FALSE)</f>
        <v>26</v>
      </c>
      <c r="V2543">
        <f>VLOOKUP(Auto_Sales_data___Copy[[#This Row],[CUSTOMER_NAME]],$AF$2:$AH$90,3,FALSE)</f>
        <v>94015.73</v>
      </c>
      <c r="W2543" s="2">
        <f>6-MATCH(Auto_Sales_data___Copy[[#This Row],[DAYS_SINCE_LAST_ORDER]],Table2[R-Cutoff],1)</f>
        <v>1</v>
      </c>
      <c r="X2543" s="2">
        <f>MATCH(Auto_Sales_data___Copy[[#This Row],[Total_Orders_Per_Customer]],Table2[F-Cutoff],1)</f>
        <v>3</v>
      </c>
      <c r="Y2543" s="2">
        <f>MATCH(Auto_Sales_data___Copy[[#This Row],[Total_Sales_Per_Customer]],Table2[M-Cutoff],1)</f>
        <v>3</v>
      </c>
      <c r="Z2543" s="2" t="str">
        <f>Auto_Sales_data___Copy[[#This Row],[R-Score(1-5)]]&amp;Auto_Sales_data___Copy[[#This Row],[F-Score(1-5)]]&amp;Auto_Sales_data___Copy[[#This Row],[M-Score(1-5)]]</f>
        <v>133</v>
      </c>
      <c r="AA2543" s="2" t="str" cm="1">
        <f t="array" ref="AA25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3" s="2" t="str">
        <f>VLOOKUP(Auto_Sales_data___Copy[[#This Row],[Segment Name]],Table3[],2,FALSE)</f>
        <v>Brand Awareness &amp; Value Proposition</v>
      </c>
    </row>
    <row r="2544" spans="1:28" x14ac:dyDescent="0.25">
      <c r="A2544">
        <v>10222</v>
      </c>
      <c r="B2544">
        <v>31</v>
      </c>
      <c r="C2544">
        <v>62.67</v>
      </c>
      <c r="D2544">
        <v>15</v>
      </c>
      <c r="E2544">
        <v>1942.77</v>
      </c>
      <c r="F2544" s="1">
        <v>43515</v>
      </c>
      <c r="G2544" s="2" t="s">
        <v>19</v>
      </c>
      <c r="H2544" s="2" t="s">
        <v>642</v>
      </c>
      <c r="I2544">
        <v>66</v>
      </c>
      <c r="J2544" s="2" t="s">
        <v>706</v>
      </c>
      <c r="K2544" s="2" t="s">
        <v>379</v>
      </c>
      <c r="L2544" s="2" t="s">
        <v>380</v>
      </c>
      <c r="M2544" s="2" t="s">
        <v>381</v>
      </c>
      <c r="N2544" s="2" t="s">
        <v>382</v>
      </c>
      <c r="O2544" s="2" t="s">
        <v>383</v>
      </c>
      <c r="P2544" s="2" t="s">
        <v>27</v>
      </c>
      <c r="Q2544" s="2" t="s">
        <v>243</v>
      </c>
      <c r="R2544" s="2" t="s">
        <v>289</v>
      </c>
      <c r="S2544" s="2" t="s">
        <v>30</v>
      </c>
      <c r="T2544">
        <v>2862</v>
      </c>
      <c r="U2544">
        <f>VLOOKUP(Auto_Sales_data___Copy[[#This Row],[CUSTOMER_NAME]],$AF$2:$AH$90,2,FALSE)</f>
        <v>25</v>
      </c>
      <c r="V2544">
        <f>VLOOKUP(Auto_Sales_data___Copy[[#This Row],[CUSTOMER_NAME]],$AF$2:$AH$90,3,FALSE)</f>
        <v>87489.23000000001</v>
      </c>
      <c r="W2544" s="2">
        <f>6-MATCH(Auto_Sales_data___Copy[[#This Row],[DAYS_SINCE_LAST_ORDER]],Table2[R-Cutoff],1)</f>
        <v>1</v>
      </c>
      <c r="X2544" s="2">
        <f>MATCH(Auto_Sales_data___Copy[[#This Row],[Total_Orders_Per_Customer]],Table2[F-Cutoff],1)</f>
        <v>3</v>
      </c>
      <c r="Y2544" s="2">
        <f>MATCH(Auto_Sales_data___Copy[[#This Row],[Total_Sales_Per_Customer]],Table2[M-Cutoff],1)</f>
        <v>3</v>
      </c>
      <c r="Z2544" s="2" t="str">
        <f>Auto_Sales_data___Copy[[#This Row],[R-Score(1-5)]]&amp;Auto_Sales_data___Copy[[#This Row],[F-Score(1-5)]]&amp;Auto_Sales_data___Copy[[#This Row],[M-Score(1-5)]]</f>
        <v>133</v>
      </c>
      <c r="AA2544" s="2" t="str" cm="1">
        <f t="array" ref="AA25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4" s="2" t="str">
        <f>VLOOKUP(Auto_Sales_data___Copy[[#This Row],[Segment Name]],Table3[],2,FALSE)</f>
        <v>Brand Awareness &amp; Value Proposition</v>
      </c>
    </row>
    <row r="2545" spans="1:28" x14ac:dyDescent="0.25">
      <c r="A2545">
        <v>10222</v>
      </c>
      <c r="B2545">
        <v>26</v>
      </c>
      <c r="C2545">
        <v>102.29</v>
      </c>
      <c r="D2545">
        <v>8</v>
      </c>
      <c r="E2545">
        <v>2659.54</v>
      </c>
      <c r="F2545" s="1">
        <v>43515</v>
      </c>
      <c r="G2545" s="2" t="s">
        <v>19</v>
      </c>
      <c r="H2545" s="2" t="s">
        <v>642</v>
      </c>
      <c r="I2545">
        <v>90</v>
      </c>
      <c r="J2545" s="2" t="s">
        <v>709</v>
      </c>
      <c r="K2545" s="2" t="s">
        <v>379</v>
      </c>
      <c r="L2545" s="2" t="s">
        <v>380</v>
      </c>
      <c r="M2545" s="2" t="s">
        <v>381</v>
      </c>
      <c r="N2545" s="2" t="s">
        <v>382</v>
      </c>
      <c r="O2545" s="2" t="s">
        <v>383</v>
      </c>
      <c r="P2545" s="2" t="s">
        <v>27</v>
      </c>
      <c r="Q2545" s="2" t="s">
        <v>243</v>
      </c>
      <c r="R2545" s="2" t="s">
        <v>289</v>
      </c>
      <c r="S2545" s="2" t="s">
        <v>30</v>
      </c>
      <c r="T2545">
        <v>2937</v>
      </c>
      <c r="U2545">
        <f>VLOOKUP(Auto_Sales_data___Copy[[#This Row],[CUSTOMER_NAME]],$AF$2:$AH$90,2,FALSE)</f>
        <v>25</v>
      </c>
      <c r="V2545">
        <f>VLOOKUP(Auto_Sales_data___Copy[[#This Row],[CUSTOMER_NAME]],$AF$2:$AH$90,3,FALSE)</f>
        <v>87489.23000000001</v>
      </c>
      <c r="W2545" s="2">
        <f>6-MATCH(Auto_Sales_data___Copy[[#This Row],[DAYS_SINCE_LAST_ORDER]],Table2[R-Cutoff],1)</f>
        <v>1</v>
      </c>
      <c r="X2545" s="2">
        <f>MATCH(Auto_Sales_data___Copy[[#This Row],[Total_Orders_Per_Customer]],Table2[F-Cutoff],1)</f>
        <v>3</v>
      </c>
      <c r="Y2545" s="2">
        <f>MATCH(Auto_Sales_data___Copy[[#This Row],[Total_Sales_Per_Customer]],Table2[M-Cutoff],1)</f>
        <v>3</v>
      </c>
      <c r="Z2545" s="2" t="str">
        <f>Auto_Sales_data___Copy[[#This Row],[R-Score(1-5)]]&amp;Auto_Sales_data___Copy[[#This Row],[F-Score(1-5)]]&amp;Auto_Sales_data___Copy[[#This Row],[M-Score(1-5)]]</f>
        <v>133</v>
      </c>
      <c r="AA2545" s="2" t="str" cm="1">
        <f t="array" ref="AA25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5" s="2" t="str">
        <f>VLOOKUP(Auto_Sales_data___Copy[[#This Row],[Segment Name]],Table3[],2,FALSE)</f>
        <v>Brand Awareness &amp; Value Proposition</v>
      </c>
    </row>
    <row r="2546" spans="1:28" x14ac:dyDescent="0.25">
      <c r="A2546">
        <v>10222</v>
      </c>
      <c r="B2546">
        <v>37</v>
      </c>
      <c r="C2546">
        <v>87.75</v>
      </c>
      <c r="D2546">
        <v>1</v>
      </c>
      <c r="E2546">
        <v>3246.75</v>
      </c>
      <c r="F2546" s="1">
        <v>43515</v>
      </c>
      <c r="G2546" s="2" t="s">
        <v>19</v>
      </c>
      <c r="H2546" s="2" t="s">
        <v>607</v>
      </c>
      <c r="I2546">
        <v>99</v>
      </c>
      <c r="J2546" s="2" t="s">
        <v>710</v>
      </c>
      <c r="K2546" s="2" t="s">
        <v>379</v>
      </c>
      <c r="L2546" s="2" t="s">
        <v>380</v>
      </c>
      <c r="M2546" s="2" t="s">
        <v>381</v>
      </c>
      <c r="N2546" s="2" t="s">
        <v>382</v>
      </c>
      <c r="O2546" s="2" t="s">
        <v>383</v>
      </c>
      <c r="P2546" s="2" t="s">
        <v>27</v>
      </c>
      <c r="Q2546" s="2" t="s">
        <v>243</v>
      </c>
      <c r="R2546" s="2" t="s">
        <v>289</v>
      </c>
      <c r="S2546" s="2" t="s">
        <v>46</v>
      </c>
      <c r="T2546">
        <v>2963</v>
      </c>
      <c r="U2546">
        <f>VLOOKUP(Auto_Sales_data___Copy[[#This Row],[CUSTOMER_NAME]],$AF$2:$AH$90,2,FALSE)</f>
        <v>25</v>
      </c>
      <c r="V2546">
        <f>VLOOKUP(Auto_Sales_data___Copy[[#This Row],[CUSTOMER_NAME]],$AF$2:$AH$90,3,FALSE)</f>
        <v>87489.23000000001</v>
      </c>
      <c r="W2546" s="2">
        <f>6-MATCH(Auto_Sales_data___Copy[[#This Row],[DAYS_SINCE_LAST_ORDER]],Table2[R-Cutoff],1)</f>
        <v>1</v>
      </c>
      <c r="X2546" s="2">
        <f>MATCH(Auto_Sales_data___Copy[[#This Row],[Total_Orders_Per_Customer]],Table2[F-Cutoff],1)</f>
        <v>3</v>
      </c>
      <c r="Y2546" s="2">
        <f>MATCH(Auto_Sales_data___Copy[[#This Row],[Total_Sales_Per_Customer]],Table2[M-Cutoff],1)</f>
        <v>3</v>
      </c>
      <c r="Z2546" s="2" t="str">
        <f>Auto_Sales_data___Copy[[#This Row],[R-Score(1-5)]]&amp;Auto_Sales_data___Copy[[#This Row],[F-Score(1-5)]]&amp;Auto_Sales_data___Copy[[#This Row],[M-Score(1-5)]]</f>
        <v>133</v>
      </c>
      <c r="AA2546" s="2" t="str" cm="1">
        <f t="array" ref="AA25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6" s="2" t="str">
        <f>VLOOKUP(Auto_Sales_data___Copy[[#This Row],[Segment Name]],Table3[],2,FALSE)</f>
        <v>Brand Awareness &amp; Value Proposition</v>
      </c>
    </row>
    <row r="2547" spans="1:28" x14ac:dyDescent="0.25">
      <c r="A2547">
        <v>10222</v>
      </c>
      <c r="B2547">
        <v>36</v>
      </c>
      <c r="C2547">
        <v>80.95</v>
      </c>
      <c r="D2547">
        <v>13</v>
      </c>
      <c r="E2547">
        <v>2914.2</v>
      </c>
      <c r="F2547" s="1">
        <v>43515</v>
      </c>
      <c r="G2547" s="2" t="s">
        <v>19</v>
      </c>
      <c r="H2547" s="2" t="s">
        <v>642</v>
      </c>
      <c r="I2547">
        <v>72</v>
      </c>
      <c r="J2547" s="2" t="s">
        <v>711</v>
      </c>
      <c r="K2547" s="2" t="s">
        <v>379</v>
      </c>
      <c r="L2547" s="2" t="s">
        <v>380</v>
      </c>
      <c r="M2547" s="2" t="s">
        <v>381</v>
      </c>
      <c r="N2547" s="2" t="s">
        <v>382</v>
      </c>
      <c r="O2547" s="2" t="s">
        <v>383</v>
      </c>
      <c r="P2547" s="2" t="s">
        <v>27</v>
      </c>
      <c r="Q2547" s="2" t="s">
        <v>243</v>
      </c>
      <c r="R2547" s="2" t="s">
        <v>289</v>
      </c>
      <c r="S2547" s="2" t="s">
        <v>30</v>
      </c>
      <c r="T2547">
        <v>2991</v>
      </c>
      <c r="U2547">
        <f>VLOOKUP(Auto_Sales_data___Copy[[#This Row],[CUSTOMER_NAME]],$AF$2:$AH$90,2,FALSE)</f>
        <v>25</v>
      </c>
      <c r="V2547">
        <f>VLOOKUP(Auto_Sales_data___Copy[[#This Row],[CUSTOMER_NAME]],$AF$2:$AH$90,3,FALSE)</f>
        <v>87489.23000000001</v>
      </c>
      <c r="W2547" s="2">
        <f>6-MATCH(Auto_Sales_data___Copy[[#This Row],[DAYS_SINCE_LAST_ORDER]],Table2[R-Cutoff],1)</f>
        <v>1</v>
      </c>
      <c r="X2547" s="2">
        <f>MATCH(Auto_Sales_data___Copy[[#This Row],[Total_Orders_Per_Customer]],Table2[F-Cutoff],1)</f>
        <v>3</v>
      </c>
      <c r="Y2547" s="2">
        <f>MATCH(Auto_Sales_data___Copy[[#This Row],[Total_Sales_Per_Customer]],Table2[M-Cutoff],1)</f>
        <v>3</v>
      </c>
      <c r="Z2547" s="2" t="str">
        <f>Auto_Sales_data___Copy[[#This Row],[R-Score(1-5)]]&amp;Auto_Sales_data___Copy[[#This Row],[F-Score(1-5)]]&amp;Auto_Sales_data___Copy[[#This Row],[M-Score(1-5)]]</f>
        <v>133</v>
      </c>
      <c r="AA2547" s="2" t="str" cm="1">
        <f t="array" ref="AA25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7" s="2" t="str">
        <f>VLOOKUP(Auto_Sales_data___Copy[[#This Row],[Segment Name]],Table3[],2,FALSE)</f>
        <v>Brand Awareness &amp; Value Proposition</v>
      </c>
    </row>
    <row r="2548" spans="1:28" x14ac:dyDescent="0.25">
      <c r="A2548">
        <v>10222</v>
      </c>
      <c r="B2548">
        <v>38</v>
      </c>
      <c r="C2548">
        <v>110.19</v>
      </c>
      <c r="D2548">
        <v>16</v>
      </c>
      <c r="E2548">
        <v>4187.22</v>
      </c>
      <c r="F2548" s="1">
        <v>43515</v>
      </c>
      <c r="G2548" s="2" t="s">
        <v>19</v>
      </c>
      <c r="H2548" s="2" t="s">
        <v>642</v>
      </c>
      <c r="I2548">
        <v>100</v>
      </c>
      <c r="J2548" s="2" t="s">
        <v>715</v>
      </c>
      <c r="K2548" s="2" t="s">
        <v>379</v>
      </c>
      <c r="L2548" s="2" t="s">
        <v>380</v>
      </c>
      <c r="M2548" s="2" t="s">
        <v>381</v>
      </c>
      <c r="N2548" s="2" t="s">
        <v>382</v>
      </c>
      <c r="O2548" s="2" t="s">
        <v>383</v>
      </c>
      <c r="P2548" s="2" t="s">
        <v>27</v>
      </c>
      <c r="Q2548" s="2" t="s">
        <v>243</v>
      </c>
      <c r="R2548" s="2" t="s">
        <v>289</v>
      </c>
      <c r="S2548" s="2" t="s">
        <v>46</v>
      </c>
      <c r="T2548">
        <v>3094</v>
      </c>
      <c r="U2548">
        <f>VLOOKUP(Auto_Sales_data___Copy[[#This Row],[CUSTOMER_NAME]],$AF$2:$AH$90,2,FALSE)</f>
        <v>25</v>
      </c>
      <c r="V2548">
        <f>VLOOKUP(Auto_Sales_data___Copy[[#This Row],[CUSTOMER_NAME]],$AF$2:$AH$90,3,FALSE)</f>
        <v>87489.23000000001</v>
      </c>
      <c r="W2548" s="2">
        <f>6-MATCH(Auto_Sales_data___Copy[[#This Row],[DAYS_SINCE_LAST_ORDER]],Table2[R-Cutoff],1)</f>
        <v>1</v>
      </c>
      <c r="X2548" s="2">
        <f>MATCH(Auto_Sales_data___Copy[[#This Row],[Total_Orders_Per_Customer]],Table2[F-Cutoff],1)</f>
        <v>3</v>
      </c>
      <c r="Y2548" s="2">
        <f>MATCH(Auto_Sales_data___Copy[[#This Row],[Total_Sales_Per_Customer]],Table2[M-Cutoff],1)</f>
        <v>3</v>
      </c>
      <c r="Z2548" s="2" t="str">
        <f>Auto_Sales_data___Copy[[#This Row],[R-Score(1-5)]]&amp;Auto_Sales_data___Copy[[#This Row],[F-Score(1-5)]]&amp;Auto_Sales_data___Copy[[#This Row],[M-Score(1-5)]]</f>
        <v>133</v>
      </c>
      <c r="AA2548" s="2" t="str" cm="1">
        <f t="array" ref="AA25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8" s="2" t="str">
        <f>VLOOKUP(Auto_Sales_data___Copy[[#This Row],[Segment Name]],Table3[],2,FALSE)</f>
        <v>Brand Awareness &amp; Value Proposition</v>
      </c>
    </row>
    <row r="2549" spans="1:28" x14ac:dyDescent="0.25">
      <c r="A2549">
        <v>10222</v>
      </c>
      <c r="B2549">
        <v>31</v>
      </c>
      <c r="C2549">
        <v>95.34</v>
      </c>
      <c r="D2549">
        <v>17</v>
      </c>
      <c r="E2549">
        <v>2955.54</v>
      </c>
      <c r="F2549" s="1">
        <v>43515</v>
      </c>
      <c r="G2549" s="2" t="s">
        <v>19</v>
      </c>
      <c r="H2549" s="2" t="s">
        <v>642</v>
      </c>
      <c r="I2549">
        <v>99</v>
      </c>
      <c r="J2549" s="2" t="s">
        <v>716</v>
      </c>
      <c r="K2549" s="2" t="s">
        <v>379</v>
      </c>
      <c r="L2549" s="2" t="s">
        <v>380</v>
      </c>
      <c r="M2549" s="2" t="s">
        <v>381</v>
      </c>
      <c r="N2549" s="2" t="s">
        <v>382</v>
      </c>
      <c r="O2549" s="2" t="s">
        <v>383</v>
      </c>
      <c r="P2549" s="2" t="s">
        <v>27</v>
      </c>
      <c r="Q2549" s="2" t="s">
        <v>243</v>
      </c>
      <c r="R2549" s="2" t="s">
        <v>289</v>
      </c>
      <c r="S2549" s="2" t="s">
        <v>30</v>
      </c>
      <c r="T2549">
        <v>3120</v>
      </c>
      <c r="U2549">
        <f>VLOOKUP(Auto_Sales_data___Copy[[#This Row],[CUSTOMER_NAME]],$AF$2:$AH$90,2,FALSE)</f>
        <v>25</v>
      </c>
      <c r="V2549">
        <f>VLOOKUP(Auto_Sales_data___Copy[[#This Row],[CUSTOMER_NAME]],$AF$2:$AH$90,3,FALSE)</f>
        <v>87489.23000000001</v>
      </c>
      <c r="W2549" s="2">
        <f>6-MATCH(Auto_Sales_data___Copy[[#This Row],[DAYS_SINCE_LAST_ORDER]],Table2[R-Cutoff],1)</f>
        <v>1</v>
      </c>
      <c r="X2549" s="2">
        <f>MATCH(Auto_Sales_data___Copy[[#This Row],[Total_Orders_Per_Customer]],Table2[F-Cutoff],1)</f>
        <v>3</v>
      </c>
      <c r="Y2549" s="2">
        <f>MATCH(Auto_Sales_data___Copy[[#This Row],[Total_Sales_Per_Customer]],Table2[M-Cutoff],1)</f>
        <v>3</v>
      </c>
      <c r="Z2549" s="2" t="str">
        <f>Auto_Sales_data___Copy[[#This Row],[R-Score(1-5)]]&amp;Auto_Sales_data___Copy[[#This Row],[F-Score(1-5)]]&amp;Auto_Sales_data___Copy[[#This Row],[M-Score(1-5)]]</f>
        <v>133</v>
      </c>
      <c r="AA2549" s="2" t="str" cm="1">
        <f t="array" ref="AA25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9" s="2" t="str">
        <f>VLOOKUP(Auto_Sales_data___Copy[[#This Row],[Segment Name]],Table3[],2,FALSE)</f>
        <v>Brand Awareness &amp; Value Proposition</v>
      </c>
    </row>
    <row r="2550" spans="1:28" x14ac:dyDescent="0.25">
      <c r="A2550">
        <v>10222</v>
      </c>
      <c r="B2550">
        <v>43</v>
      </c>
      <c r="C2550">
        <v>74.03</v>
      </c>
      <c r="D2550">
        <v>2</v>
      </c>
      <c r="E2550">
        <v>3183.29</v>
      </c>
      <c r="F2550" s="1">
        <v>43515</v>
      </c>
      <c r="G2550" s="2" t="s">
        <v>19</v>
      </c>
      <c r="H2550" s="2" t="s">
        <v>607</v>
      </c>
      <c r="I2550">
        <v>74</v>
      </c>
      <c r="J2550" s="2" t="s">
        <v>717</v>
      </c>
      <c r="K2550" s="2" t="s">
        <v>379</v>
      </c>
      <c r="L2550" s="2" t="s">
        <v>380</v>
      </c>
      <c r="M2550" s="2" t="s">
        <v>381</v>
      </c>
      <c r="N2550" s="2" t="s">
        <v>382</v>
      </c>
      <c r="O2550" s="2" t="s">
        <v>383</v>
      </c>
      <c r="P2550" s="2" t="s">
        <v>27</v>
      </c>
      <c r="Q2550" s="2" t="s">
        <v>243</v>
      </c>
      <c r="R2550" s="2" t="s">
        <v>289</v>
      </c>
      <c r="S2550" s="2" t="s">
        <v>46</v>
      </c>
      <c r="T2550">
        <v>3145</v>
      </c>
      <c r="U2550">
        <f>VLOOKUP(Auto_Sales_data___Copy[[#This Row],[CUSTOMER_NAME]],$AF$2:$AH$90,2,FALSE)</f>
        <v>25</v>
      </c>
      <c r="V2550">
        <f>VLOOKUP(Auto_Sales_data___Copy[[#This Row],[CUSTOMER_NAME]],$AF$2:$AH$90,3,FALSE)</f>
        <v>87489.23000000001</v>
      </c>
      <c r="W2550" s="2">
        <f>6-MATCH(Auto_Sales_data___Copy[[#This Row],[DAYS_SINCE_LAST_ORDER]],Table2[R-Cutoff],1)</f>
        <v>1</v>
      </c>
      <c r="X2550" s="2">
        <f>MATCH(Auto_Sales_data___Copy[[#This Row],[Total_Orders_Per_Customer]],Table2[F-Cutoff],1)</f>
        <v>3</v>
      </c>
      <c r="Y2550" s="2">
        <f>MATCH(Auto_Sales_data___Copy[[#This Row],[Total_Sales_Per_Customer]],Table2[M-Cutoff],1)</f>
        <v>3</v>
      </c>
      <c r="Z2550" s="2" t="str">
        <f>Auto_Sales_data___Copy[[#This Row],[R-Score(1-5)]]&amp;Auto_Sales_data___Copy[[#This Row],[F-Score(1-5)]]&amp;Auto_Sales_data___Copy[[#This Row],[M-Score(1-5)]]</f>
        <v>133</v>
      </c>
      <c r="AA2550" s="2" t="str" cm="1">
        <f t="array" ref="AA25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0" s="2" t="str">
        <f>VLOOKUP(Auto_Sales_data___Copy[[#This Row],[Segment Name]],Table3[],2,FALSE)</f>
        <v>Brand Awareness &amp; Value Proposition</v>
      </c>
    </row>
    <row r="2551" spans="1:28" x14ac:dyDescent="0.25">
      <c r="A2551">
        <v>10222</v>
      </c>
      <c r="B2551">
        <v>31</v>
      </c>
      <c r="C2551">
        <v>45.69</v>
      </c>
      <c r="D2551">
        <v>7</v>
      </c>
      <c r="E2551">
        <v>1416.39</v>
      </c>
      <c r="F2551" s="1">
        <v>43515</v>
      </c>
      <c r="G2551" s="2" t="s">
        <v>19</v>
      </c>
      <c r="H2551" s="2" t="s">
        <v>607</v>
      </c>
      <c r="I2551">
        <v>49</v>
      </c>
      <c r="J2551" s="2" t="s">
        <v>718</v>
      </c>
      <c r="K2551" s="2" t="s">
        <v>379</v>
      </c>
      <c r="L2551" s="2" t="s">
        <v>380</v>
      </c>
      <c r="M2551" s="2" t="s">
        <v>381</v>
      </c>
      <c r="N2551" s="2" t="s">
        <v>382</v>
      </c>
      <c r="O2551" s="2" t="s">
        <v>383</v>
      </c>
      <c r="P2551" s="2" t="s">
        <v>27</v>
      </c>
      <c r="Q2551" s="2" t="s">
        <v>243</v>
      </c>
      <c r="R2551" s="2" t="s">
        <v>289</v>
      </c>
      <c r="S2551" s="2" t="s">
        <v>30</v>
      </c>
      <c r="T2551">
        <v>3172</v>
      </c>
      <c r="U2551">
        <f>VLOOKUP(Auto_Sales_data___Copy[[#This Row],[CUSTOMER_NAME]],$AF$2:$AH$90,2,FALSE)</f>
        <v>25</v>
      </c>
      <c r="V2551">
        <f>VLOOKUP(Auto_Sales_data___Copy[[#This Row],[CUSTOMER_NAME]],$AF$2:$AH$90,3,FALSE)</f>
        <v>87489.23000000001</v>
      </c>
      <c r="W2551" s="2">
        <f>6-MATCH(Auto_Sales_data___Copy[[#This Row],[DAYS_SINCE_LAST_ORDER]],Table2[R-Cutoff],1)</f>
        <v>1</v>
      </c>
      <c r="X2551" s="2">
        <f>MATCH(Auto_Sales_data___Copy[[#This Row],[Total_Orders_Per_Customer]],Table2[F-Cutoff],1)</f>
        <v>3</v>
      </c>
      <c r="Y2551" s="2">
        <f>MATCH(Auto_Sales_data___Copy[[#This Row],[Total_Sales_Per_Customer]],Table2[M-Cutoff],1)</f>
        <v>3</v>
      </c>
      <c r="Z2551" s="2" t="str">
        <f>Auto_Sales_data___Copy[[#This Row],[R-Score(1-5)]]&amp;Auto_Sales_data___Copy[[#This Row],[F-Score(1-5)]]&amp;Auto_Sales_data___Copy[[#This Row],[M-Score(1-5)]]</f>
        <v>133</v>
      </c>
      <c r="AA2551" s="2" t="str" cm="1">
        <f t="array" ref="AA25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1" s="2" t="str">
        <f>VLOOKUP(Auto_Sales_data___Copy[[#This Row],[Segment Name]],Table3[],2,FALSE)</f>
        <v>Brand Awareness &amp; Value Proposition</v>
      </c>
    </row>
    <row r="2552" spans="1:28" x14ac:dyDescent="0.25">
      <c r="A2552">
        <v>10222</v>
      </c>
      <c r="B2552">
        <v>36</v>
      </c>
      <c r="C2552">
        <v>63.34</v>
      </c>
      <c r="D2552">
        <v>18</v>
      </c>
      <c r="E2552">
        <v>2280.2399999999998</v>
      </c>
      <c r="F2552" s="1">
        <v>43515</v>
      </c>
      <c r="G2552" s="2" t="s">
        <v>19</v>
      </c>
      <c r="H2552" s="2" t="s">
        <v>642</v>
      </c>
      <c r="I2552">
        <v>54</v>
      </c>
      <c r="J2552" s="2" t="s">
        <v>719</v>
      </c>
      <c r="K2552" s="2" t="s">
        <v>379</v>
      </c>
      <c r="L2552" s="2" t="s">
        <v>380</v>
      </c>
      <c r="M2552" s="2" t="s">
        <v>381</v>
      </c>
      <c r="N2552" s="2" t="s">
        <v>382</v>
      </c>
      <c r="O2552" s="2" t="s">
        <v>383</v>
      </c>
      <c r="P2552" s="2" t="s">
        <v>27</v>
      </c>
      <c r="Q2552" s="2" t="s">
        <v>243</v>
      </c>
      <c r="R2552" s="2" t="s">
        <v>289</v>
      </c>
      <c r="S2552" s="2" t="s">
        <v>30</v>
      </c>
      <c r="T2552">
        <v>3199</v>
      </c>
      <c r="U2552">
        <f>VLOOKUP(Auto_Sales_data___Copy[[#This Row],[CUSTOMER_NAME]],$AF$2:$AH$90,2,FALSE)</f>
        <v>25</v>
      </c>
      <c r="V2552">
        <f>VLOOKUP(Auto_Sales_data___Copy[[#This Row],[CUSTOMER_NAME]],$AF$2:$AH$90,3,FALSE)</f>
        <v>87489.23000000001</v>
      </c>
      <c r="W2552" s="2">
        <f>6-MATCH(Auto_Sales_data___Copy[[#This Row],[DAYS_SINCE_LAST_ORDER]],Table2[R-Cutoff],1)</f>
        <v>1</v>
      </c>
      <c r="X2552" s="2">
        <f>MATCH(Auto_Sales_data___Copy[[#This Row],[Total_Orders_Per_Customer]],Table2[F-Cutoff],1)</f>
        <v>3</v>
      </c>
      <c r="Y2552" s="2">
        <f>MATCH(Auto_Sales_data___Copy[[#This Row],[Total_Sales_Per_Customer]],Table2[M-Cutoff],1)</f>
        <v>3</v>
      </c>
      <c r="Z2552" s="2" t="str">
        <f>Auto_Sales_data___Copy[[#This Row],[R-Score(1-5)]]&amp;Auto_Sales_data___Copy[[#This Row],[F-Score(1-5)]]&amp;Auto_Sales_data___Copy[[#This Row],[M-Score(1-5)]]</f>
        <v>133</v>
      </c>
      <c r="AA2552" s="2" t="str" cm="1">
        <f t="array" ref="AA25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2" s="2" t="str">
        <f>VLOOKUP(Auto_Sales_data___Copy[[#This Row],[Segment Name]],Table3[],2,FALSE)</f>
        <v>Brand Awareness &amp; Value Proposition</v>
      </c>
    </row>
    <row r="2553" spans="1:28" x14ac:dyDescent="0.25">
      <c r="A2553">
        <v>10237</v>
      </c>
      <c r="B2553">
        <v>27</v>
      </c>
      <c r="C2553">
        <v>115.32</v>
      </c>
      <c r="D2553">
        <v>5</v>
      </c>
      <c r="E2553">
        <v>3113.64</v>
      </c>
      <c r="F2553" s="1">
        <v>43560</v>
      </c>
      <c r="G2553" s="2" t="s">
        <v>19</v>
      </c>
      <c r="H2553" s="2" t="s">
        <v>20</v>
      </c>
      <c r="I2553">
        <v>102</v>
      </c>
      <c r="J2553" s="2" t="s">
        <v>701</v>
      </c>
      <c r="K2553" s="2" t="s">
        <v>90</v>
      </c>
      <c r="L2553" s="2" t="s">
        <v>91</v>
      </c>
      <c r="M2553" s="2" t="s">
        <v>92</v>
      </c>
      <c r="N2553" s="2" t="s">
        <v>25</v>
      </c>
      <c r="O2553" s="2" t="s">
        <v>26</v>
      </c>
      <c r="P2553" s="2" t="s">
        <v>27</v>
      </c>
      <c r="Q2553" s="2" t="s">
        <v>93</v>
      </c>
      <c r="R2553" s="2" t="s">
        <v>94</v>
      </c>
      <c r="S2553" s="2" t="s">
        <v>46</v>
      </c>
      <c r="T2553">
        <v>2688</v>
      </c>
      <c r="U2553">
        <f>VLOOKUP(Auto_Sales_data___Copy[[#This Row],[CUSTOMER_NAME]],$AF$2:$AH$90,2,FALSE)</f>
        <v>25</v>
      </c>
      <c r="V2553">
        <f>VLOOKUP(Auto_Sales_data___Copy[[#This Row],[CUSTOMER_NAME]],$AF$2:$AH$90,3,FALSE)</f>
        <v>88041.260000000009</v>
      </c>
      <c r="W2553" s="2">
        <f>6-MATCH(Auto_Sales_data___Copy[[#This Row],[DAYS_SINCE_LAST_ORDER]],Table2[R-Cutoff],1)</f>
        <v>1</v>
      </c>
      <c r="X2553" s="2">
        <f>MATCH(Auto_Sales_data___Copy[[#This Row],[Total_Orders_Per_Customer]],Table2[F-Cutoff],1)</f>
        <v>3</v>
      </c>
      <c r="Y2553" s="2">
        <f>MATCH(Auto_Sales_data___Copy[[#This Row],[Total_Sales_Per_Customer]],Table2[M-Cutoff],1)</f>
        <v>3</v>
      </c>
      <c r="Z2553" s="2" t="str">
        <f>Auto_Sales_data___Copy[[#This Row],[R-Score(1-5)]]&amp;Auto_Sales_data___Copy[[#This Row],[F-Score(1-5)]]&amp;Auto_Sales_data___Copy[[#This Row],[M-Score(1-5)]]</f>
        <v>133</v>
      </c>
      <c r="AA2553" s="2" t="str" cm="1">
        <f t="array" ref="AA25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3" s="2" t="str">
        <f>VLOOKUP(Auto_Sales_data___Copy[[#This Row],[Segment Name]],Table3[],2,FALSE)</f>
        <v>Brand Awareness &amp; Value Proposition</v>
      </c>
    </row>
    <row r="2554" spans="1:28" x14ac:dyDescent="0.25">
      <c r="A2554">
        <v>10237</v>
      </c>
      <c r="B2554">
        <v>20</v>
      </c>
      <c r="C2554">
        <v>68.34</v>
      </c>
      <c r="D2554">
        <v>3</v>
      </c>
      <c r="E2554">
        <v>1366.8</v>
      </c>
      <c r="F2554" s="1">
        <v>43560</v>
      </c>
      <c r="G2554" s="2" t="s">
        <v>19</v>
      </c>
      <c r="H2554" s="2" t="s">
        <v>20</v>
      </c>
      <c r="I2554">
        <v>81</v>
      </c>
      <c r="J2554" s="2" t="s">
        <v>705</v>
      </c>
      <c r="K2554" s="2" t="s">
        <v>90</v>
      </c>
      <c r="L2554" s="2" t="s">
        <v>91</v>
      </c>
      <c r="M2554" s="2" t="s">
        <v>92</v>
      </c>
      <c r="N2554" s="2" t="s">
        <v>25</v>
      </c>
      <c r="O2554" s="2" t="s">
        <v>26</v>
      </c>
      <c r="P2554" s="2" t="s">
        <v>27</v>
      </c>
      <c r="Q2554" s="2" t="s">
        <v>93</v>
      </c>
      <c r="R2554" s="2" t="s">
        <v>94</v>
      </c>
      <c r="S2554" s="2" t="s">
        <v>30</v>
      </c>
      <c r="T2554">
        <v>2792</v>
      </c>
      <c r="U2554">
        <f>VLOOKUP(Auto_Sales_data___Copy[[#This Row],[CUSTOMER_NAME]],$AF$2:$AH$90,2,FALSE)</f>
        <v>25</v>
      </c>
      <c r="V2554">
        <f>VLOOKUP(Auto_Sales_data___Copy[[#This Row],[CUSTOMER_NAME]],$AF$2:$AH$90,3,FALSE)</f>
        <v>88041.260000000009</v>
      </c>
      <c r="W2554" s="2">
        <f>6-MATCH(Auto_Sales_data___Copy[[#This Row],[DAYS_SINCE_LAST_ORDER]],Table2[R-Cutoff],1)</f>
        <v>1</v>
      </c>
      <c r="X2554" s="2">
        <f>MATCH(Auto_Sales_data___Copy[[#This Row],[Total_Orders_Per_Customer]],Table2[F-Cutoff],1)</f>
        <v>3</v>
      </c>
      <c r="Y2554" s="2">
        <f>MATCH(Auto_Sales_data___Copy[[#This Row],[Total_Sales_Per_Customer]],Table2[M-Cutoff],1)</f>
        <v>3</v>
      </c>
      <c r="Z2554" s="2" t="str">
        <f>Auto_Sales_data___Copy[[#This Row],[R-Score(1-5)]]&amp;Auto_Sales_data___Copy[[#This Row],[F-Score(1-5)]]&amp;Auto_Sales_data___Copy[[#This Row],[M-Score(1-5)]]</f>
        <v>133</v>
      </c>
      <c r="AA2554" s="2" t="str" cm="1">
        <f t="array" ref="AA25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4" s="2" t="str">
        <f>VLOOKUP(Auto_Sales_data___Copy[[#This Row],[Segment Name]],Table3[],2,FALSE)</f>
        <v>Brand Awareness &amp; Value Proposition</v>
      </c>
    </row>
    <row r="2555" spans="1:28" x14ac:dyDescent="0.25">
      <c r="A2555">
        <v>10264</v>
      </c>
      <c r="B2555">
        <v>34</v>
      </c>
      <c r="C2555">
        <v>97.97</v>
      </c>
      <c r="D2555">
        <v>7</v>
      </c>
      <c r="E2555">
        <v>3330.98</v>
      </c>
      <c r="F2555" s="1">
        <v>43646</v>
      </c>
      <c r="G2555" s="2" t="s">
        <v>19</v>
      </c>
      <c r="H2555" s="2" t="s">
        <v>20</v>
      </c>
      <c r="I2555">
        <v>102</v>
      </c>
      <c r="J2555" s="2" t="s">
        <v>701</v>
      </c>
      <c r="K2555" s="2" t="s">
        <v>398</v>
      </c>
      <c r="L2555" s="2" t="s">
        <v>399</v>
      </c>
      <c r="M2555" s="2" t="s">
        <v>400</v>
      </c>
      <c r="N2555" s="2" t="s">
        <v>401</v>
      </c>
      <c r="O2555" s="2" t="s">
        <v>402</v>
      </c>
      <c r="P2555" s="2" t="s">
        <v>27</v>
      </c>
      <c r="Q2555" s="2" t="s">
        <v>403</v>
      </c>
      <c r="R2555" s="2" t="s">
        <v>60</v>
      </c>
      <c r="S2555" s="2" t="s">
        <v>46</v>
      </c>
      <c r="T2555">
        <v>2604</v>
      </c>
      <c r="U2555">
        <f>VLOOKUP(Auto_Sales_data___Copy[[#This Row],[CUSTOMER_NAME]],$AF$2:$AH$90,2,FALSE)</f>
        <v>26</v>
      </c>
      <c r="V2555">
        <f>VLOOKUP(Auto_Sales_data___Copy[[#This Row],[CUSTOMER_NAME]],$AF$2:$AH$90,3,FALSE)</f>
        <v>83209.88</v>
      </c>
      <c r="W2555" s="2">
        <f>6-MATCH(Auto_Sales_data___Copy[[#This Row],[DAYS_SINCE_LAST_ORDER]],Table2[R-Cutoff],1)</f>
        <v>1</v>
      </c>
      <c r="X2555" s="2">
        <f>MATCH(Auto_Sales_data___Copy[[#This Row],[Total_Orders_Per_Customer]],Table2[F-Cutoff],1)</f>
        <v>3</v>
      </c>
      <c r="Y2555" s="2">
        <f>MATCH(Auto_Sales_data___Copy[[#This Row],[Total_Sales_Per_Customer]],Table2[M-Cutoff],1)</f>
        <v>3</v>
      </c>
      <c r="Z2555" s="2" t="str">
        <f>Auto_Sales_data___Copy[[#This Row],[R-Score(1-5)]]&amp;Auto_Sales_data___Copy[[#This Row],[F-Score(1-5)]]&amp;Auto_Sales_data___Copy[[#This Row],[M-Score(1-5)]]</f>
        <v>133</v>
      </c>
      <c r="AA2555" s="2" t="str" cm="1">
        <f t="array" ref="AA25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5" s="2" t="str">
        <f>VLOOKUP(Auto_Sales_data___Copy[[#This Row],[Segment Name]],Table3[],2,FALSE)</f>
        <v>Brand Awareness &amp; Value Proposition</v>
      </c>
    </row>
    <row r="2556" spans="1:28" x14ac:dyDescent="0.25">
      <c r="A2556">
        <v>10264</v>
      </c>
      <c r="B2556">
        <v>47</v>
      </c>
      <c r="C2556">
        <v>89.5</v>
      </c>
      <c r="D2556">
        <v>5</v>
      </c>
      <c r="E2556">
        <v>4206.5</v>
      </c>
      <c r="F2556" s="1">
        <v>43646</v>
      </c>
      <c r="G2556" s="2" t="s">
        <v>19</v>
      </c>
      <c r="H2556" s="2" t="s">
        <v>20</v>
      </c>
      <c r="I2556">
        <v>81</v>
      </c>
      <c r="J2556" s="2" t="s">
        <v>705</v>
      </c>
      <c r="K2556" s="2" t="s">
        <v>398</v>
      </c>
      <c r="L2556" s="2" t="s">
        <v>399</v>
      </c>
      <c r="M2556" s="2" t="s">
        <v>400</v>
      </c>
      <c r="N2556" s="2" t="s">
        <v>401</v>
      </c>
      <c r="O2556" s="2" t="s">
        <v>402</v>
      </c>
      <c r="P2556" s="2" t="s">
        <v>27</v>
      </c>
      <c r="Q2556" s="2" t="s">
        <v>403</v>
      </c>
      <c r="R2556" s="2" t="s">
        <v>60</v>
      </c>
      <c r="S2556" s="2" t="s">
        <v>46</v>
      </c>
      <c r="T2556">
        <v>2708</v>
      </c>
      <c r="U2556">
        <f>VLOOKUP(Auto_Sales_data___Copy[[#This Row],[CUSTOMER_NAME]],$AF$2:$AH$90,2,FALSE)</f>
        <v>26</v>
      </c>
      <c r="V2556">
        <f>VLOOKUP(Auto_Sales_data___Copy[[#This Row],[CUSTOMER_NAME]],$AF$2:$AH$90,3,FALSE)</f>
        <v>83209.88</v>
      </c>
      <c r="W2556" s="2">
        <f>6-MATCH(Auto_Sales_data___Copy[[#This Row],[DAYS_SINCE_LAST_ORDER]],Table2[R-Cutoff],1)</f>
        <v>1</v>
      </c>
      <c r="X2556" s="2">
        <f>MATCH(Auto_Sales_data___Copy[[#This Row],[Total_Orders_Per_Customer]],Table2[F-Cutoff],1)</f>
        <v>3</v>
      </c>
      <c r="Y2556" s="2">
        <f>MATCH(Auto_Sales_data___Copy[[#This Row],[Total_Sales_Per_Customer]],Table2[M-Cutoff],1)</f>
        <v>3</v>
      </c>
      <c r="Z2556" s="2" t="str">
        <f>Auto_Sales_data___Copy[[#This Row],[R-Score(1-5)]]&amp;Auto_Sales_data___Copy[[#This Row],[F-Score(1-5)]]&amp;Auto_Sales_data___Copy[[#This Row],[M-Score(1-5)]]</f>
        <v>133</v>
      </c>
      <c r="AA2556" s="2" t="str" cm="1">
        <f t="array" ref="AA25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6" s="2" t="str">
        <f>VLOOKUP(Auto_Sales_data___Copy[[#This Row],[Segment Name]],Table3[],2,FALSE)</f>
        <v>Brand Awareness &amp; Value Proposition</v>
      </c>
    </row>
    <row r="2557" spans="1:28" x14ac:dyDescent="0.25">
      <c r="A2557">
        <v>10274</v>
      </c>
      <c r="B2557">
        <v>24</v>
      </c>
      <c r="C2557">
        <v>90.52</v>
      </c>
      <c r="D2557">
        <v>5</v>
      </c>
      <c r="E2557">
        <v>2172.48</v>
      </c>
      <c r="F2557" s="1">
        <v>43667</v>
      </c>
      <c r="G2557" s="2" t="s">
        <v>19</v>
      </c>
      <c r="H2557" s="2" t="s">
        <v>642</v>
      </c>
      <c r="I2557">
        <v>90</v>
      </c>
      <c r="J2557" s="2" t="s">
        <v>709</v>
      </c>
      <c r="K2557" s="2" t="s">
        <v>295</v>
      </c>
      <c r="L2557" s="2" t="s">
        <v>116</v>
      </c>
      <c r="M2557" s="2" t="s">
        <v>296</v>
      </c>
      <c r="N2557" s="2" t="s">
        <v>297</v>
      </c>
      <c r="O2557" s="2" t="s">
        <v>298</v>
      </c>
      <c r="P2557" s="2" t="s">
        <v>27</v>
      </c>
      <c r="Q2557" s="2" t="s">
        <v>288</v>
      </c>
      <c r="R2557" s="2" t="s">
        <v>299</v>
      </c>
      <c r="S2557" s="2" t="s">
        <v>30</v>
      </c>
      <c r="T2557">
        <v>2788</v>
      </c>
      <c r="U2557">
        <f>VLOOKUP(Auto_Sales_data___Copy[[#This Row],[CUSTOMER_NAME]],$AF$2:$AH$90,2,FALSE)</f>
        <v>24</v>
      </c>
      <c r="V2557">
        <f>VLOOKUP(Auto_Sales_data___Copy[[#This Row],[CUSTOMER_NAME]],$AF$2:$AH$90,3,FALSE)</f>
        <v>81577.98</v>
      </c>
      <c r="W2557" s="2">
        <f>6-MATCH(Auto_Sales_data___Copy[[#This Row],[DAYS_SINCE_LAST_ORDER]],Table2[R-Cutoff],1)</f>
        <v>1</v>
      </c>
      <c r="X2557" s="2">
        <f>MATCH(Auto_Sales_data___Copy[[#This Row],[Total_Orders_Per_Customer]],Table2[F-Cutoff],1)</f>
        <v>3</v>
      </c>
      <c r="Y2557" s="2">
        <f>MATCH(Auto_Sales_data___Copy[[#This Row],[Total_Sales_Per_Customer]],Table2[M-Cutoff],1)</f>
        <v>3</v>
      </c>
      <c r="Z2557" s="2" t="str">
        <f>Auto_Sales_data___Copy[[#This Row],[R-Score(1-5)]]&amp;Auto_Sales_data___Copy[[#This Row],[F-Score(1-5)]]&amp;Auto_Sales_data___Copy[[#This Row],[M-Score(1-5)]]</f>
        <v>133</v>
      </c>
      <c r="AA2557" s="2" t="str" cm="1">
        <f t="array" ref="AA25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7" s="2" t="str">
        <f>VLOOKUP(Auto_Sales_data___Copy[[#This Row],[Segment Name]],Table3[],2,FALSE)</f>
        <v>Brand Awareness &amp; Value Proposition</v>
      </c>
    </row>
    <row r="2558" spans="1:28" x14ac:dyDescent="0.25">
      <c r="A2558">
        <v>10274</v>
      </c>
      <c r="B2558">
        <v>32</v>
      </c>
      <c r="C2558">
        <v>58.6</v>
      </c>
      <c r="D2558">
        <v>4</v>
      </c>
      <c r="E2558">
        <v>1875.2</v>
      </c>
      <c r="F2558" s="1">
        <v>43667</v>
      </c>
      <c r="G2558" s="2" t="s">
        <v>19</v>
      </c>
      <c r="H2558" s="2" t="s">
        <v>607</v>
      </c>
      <c r="I2558">
        <v>49</v>
      </c>
      <c r="J2558" s="2" t="s">
        <v>718</v>
      </c>
      <c r="K2558" s="2" t="s">
        <v>295</v>
      </c>
      <c r="L2558" s="2" t="s">
        <v>116</v>
      </c>
      <c r="M2558" s="2" t="s">
        <v>296</v>
      </c>
      <c r="N2558" s="2" t="s">
        <v>297</v>
      </c>
      <c r="O2558" s="2" t="s">
        <v>298</v>
      </c>
      <c r="P2558" s="2" t="s">
        <v>27</v>
      </c>
      <c r="Q2558" s="2" t="s">
        <v>288</v>
      </c>
      <c r="R2558" s="2" t="s">
        <v>299</v>
      </c>
      <c r="S2558" s="2" t="s">
        <v>30</v>
      </c>
      <c r="T2558">
        <v>3023</v>
      </c>
      <c r="U2558">
        <f>VLOOKUP(Auto_Sales_data___Copy[[#This Row],[CUSTOMER_NAME]],$AF$2:$AH$90,2,FALSE)</f>
        <v>24</v>
      </c>
      <c r="V2558">
        <f>VLOOKUP(Auto_Sales_data___Copy[[#This Row],[CUSTOMER_NAME]],$AF$2:$AH$90,3,FALSE)</f>
        <v>81577.98</v>
      </c>
      <c r="W2558" s="2">
        <f>6-MATCH(Auto_Sales_data___Copy[[#This Row],[DAYS_SINCE_LAST_ORDER]],Table2[R-Cutoff],1)</f>
        <v>1</v>
      </c>
      <c r="X2558" s="2">
        <f>MATCH(Auto_Sales_data___Copy[[#This Row],[Total_Orders_Per_Customer]],Table2[F-Cutoff],1)</f>
        <v>3</v>
      </c>
      <c r="Y2558" s="2">
        <f>MATCH(Auto_Sales_data___Copy[[#This Row],[Total_Sales_Per_Customer]],Table2[M-Cutoff],1)</f>
        <v>3</v>
      </c>
      <c r="Z2558" s="2" t="str">
        <f>Auto_Sales_data___Copy[[#This Row],[R-Score(1-5)]]&amp;Auto_Sales_data___Copy[[#This Row],[F-Score(1-5)]]&amp;Auto_Sales_data___Copy[[#This Row],[M-Score(1-5)]]</f>
        <v>133</v>
      </c>
      <c r="AA2558" s="2" t="str" cm="1">
        <f t="array" ref="AA25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8" s="2" t="str">
        <f>VLOOKUP(Auto_Sales_data___Copy[[#This Row],[Segment Name]],Table3[],2,FALSE)</f>
        <v>Brand Awareness &amp; Value Proposition</v>
      </c>
    </row>
    <row r="2559" spans="1:28" x14ac:dyDescent="0.25">
      <c r="A2559">
        <v>10293</v>
      </c>
      <c r="B2559">
        <v>29</v>
      </c>
      <c r="C2559">
        <v>71.89</v>
      </c>
      <c r="D2559">
        <v>5</v>
      </c>
      <c r="E2559">
        <v>2084.81</v>
      </c>
      <c r="F2559" s="1">
        <v>43717</v>
      </c>
      <c r="G2559" s="2" t="s">
        <v>19</v>
      </c>
      <c r="H2559" s="2" t="s">
        <v>642</v>
      </c>
      <c r="I2559">
        <v>86</v>
      </c>
      <c r="J2559" s="2" t="s">
        <v>708</v>
      </c>
      <c r="K2559" s="2" t="s">
        <v>264</v>
      </c>
      <c r="L2559" s="2" t="s">
        <v>265</v>
      </c>
      <c r="M2559" s="2" t="s">
        <v>266</v>
      </c>
      <c r="N2559" s="2" t="s">
        <v>267</v>
      </c>
      <c r="O2559" s="2" t="s">
        <v>268</v>
      </c>
      <c r="P2559" s="2" t="s">
        <v>269</v>
      </c>
      <c r="Q2559" s="2" t="s">
        <v>270</v>
      </c>
      <c r="R2559" s="2" t="s">
        <v>271</v>
      </c>
      <c r="S2559" s="2" t="s">
        <v>30</v>
      </c>
      <c r="T2559">
        <v>2717</v>
      </c>
      <c r="U2559">
        <f>VLOOKUP(Auto_Sales_data___Copy[[#This Row],[CUSTOMER_NAME]],$AF$2:$AH$90,2,FALSE)</f>
        <v>26</v>
      </c>
      <c r="V2559">
        <f>VLOOKUP(Auto_Sales_data___Copy[[#This Row],[CUSTOMER_NAME]],$AF$2:$AH$90,3,FALSE)</f>
        <v>94117.26</v>
      </c>
      <c r="W2559" s="2">
        <f>6-MATCH(Auto_Sales_data___Copy[[#This Row],[DAYS_SINCE_LAST_ORDER]],Table2[R-Cutoff],1)</f>
        <v>1</v>
      </c>
      <c r="X2559" s="2">
        <f>MATCH(Auto_Sales_data___Copy[[#This Row],[Total_Orders_Per_Customer]],Table2[F-Cutoff],1)</f>
        <v>3</v>
      </c>
      <c r="Y2559" s="2">
        <f>MATCH(Auto_Sales_data___Copy[[#This Row],[Total_Sales_Per_Customer]],Table2[M-Cutoff],1)</f>
        <v>3</v>
      </c>
      <c r="Z2559" s="2" t="str">
        <f>Auto_Sales_data___Copy[[#This Row],[R-Score(1-5)]]&amp;Auto_Sales_data___Copy[[#This Row],[F-Score(1-5)]]&amp;Auto_Sales_data___Copy[[#This Row],[M-Score(1-5)]]</f>
        <v>133</v>
      </c>
      <c r="AA2559" s="2" t="str" cm="1">
        <f t="array" ref="AA25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9" s="2" t="str">
        <f>VLOOKUP(Auto_Sales_data___Copy[[#This Row],[Segment Name]],Table3[],2,FALSE)</f>
        <v>Brand Awareness &amp; Value Proposition</v>
      </c>
    </row>
    <row r="2560" spans="1:28" x14ac:dyDescent="0.25">
      <c r="A2560">
        <v>10293</v>
      </c>
      <c r="B2560">
        <v>32</v>
      </c>
      <c r="C2560">
        <v>60.06</v>
      </c>
      <c r="D2560">
        <v>1</v>
      </c>
      <c r="E2560">
        <v>1921.92</v>
      </c>
      <c r="F2560" s="1">
        <v>43717</v>
      </c>
      <c r="G2560" s="2" t="s">
        <v>19</v>
      </c>
      <c r="H2560" s="2" t="s">
        <v>642</v>
      </c>
      <c r="I2560">
        <v>54</v>
      </c>
      <c r="J2560" s="2" t="s">
        <v>719</v>
      </c>
      <c r="K2560" s="2" t="s">
        <v>264</v>
      </c>
      <c r="L2560" s="2" t="s">
        <v>265</v>
      </c>
      <c r="M2560" s="2" t="s">
        <v>266</v>
      </c>
      <c r="N2560" s="2" t="s">
        <v>267</v>
      </c>
      <c r="O2560" s="2" t="s">
        <v>268</v>
      </c>
      <c r="P2560" s="2" t="s">
        <v>269</v>
      </c>
      <c r="Q2560" s="2" t="s">
        <v>270</v>
      </c>
      <c r="R2560" s="2" t="s">
        <v>271</v>
      </c>
      <c r="S2560" s="2" t="s">
        <v>30</v>
      </c>
      <c r="T2560">
        <v>3003</v>
      </c>
      <c r="U2560">
        <f>VLOOKUP(Auto_Sales_data___Copy[[#This Row],[CUSTOMER_NAME]],$AF$2:$AH$90,2,FALSE)</f>
        <v>26</v>
      </c>
      <c r="V2560">
        <f>VLOOKUP(Auto_Sales_data___Copy[[#This Row],[CUSTOMER_NAME]],$AF$2:$AH$90,3,FALSE)</f>
        <v>94117.26</v>
      </c>
      <c r="W2560" s="2">
        <f>6-MATCH(Auto_Sales_data___Copy[[#This Row],[DAYS_SINCE_LAST_ORDER]],Table2[R-Cutoff],1)</f>
        <v>1</v>
      </c>
      <c r="X2560" s="2">
        <f>MATCH(Auto_Sales_data___Copy[[#This Row],[Total_Orders_Per_Customer]],Table2[F-Cutoff],1)</f>
        <v>3</v>
      </c>
      <c r="Y2560" s="2">
        <f>MATCH(Auto_Sales_data___Copy[[#This Row],[Total_Sales_Per_Customer]],Table2[M-Cutoff],1)</f>
        <v>3</v>
      </c>
      <c r="Z2560" s="2" t="str">
        <f>Auto_Sales_data___Copy[[#This Row],[R-Score(1-5)]]&amp;Auto_Sales_data___Copy[[#This Row],[F-Score(1-5)]]&amp;Auto_Sales_data___Copy[[#This Row],[M-Score(1-5)]]</f>
        <v>133</v>
      </c>
      <c r="AA2560" s="2" t="str" cm="1">
        <f t="array" ref="AA25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0" s="2" t="str">
        <f>VLOOKUP(Auto_Sales_data___Copy[[#This Row],[Segment Name]],Table3[],2,FALSE)</f>
        <v>Brand Awareness &amp; Value Proposition</v>
      </c>
    </row>
    <row r="2561" spans="1:28" x14ac:dyDescent="0.25">
      <c r="A2561">
        <v>10295</v>
      </c>
      <c r="B2561">
        <v>26</v>
      </c>
      <c r="C2561">
        <v>75.34</v>
      </c>
      <c r="D2561">
        <v>4</v>
      </c>
      <c r="E2561">
        <v>1958.84</v>
      </c>
      <c r="F2561" s="1">
        <v>43718</v>
      </c>
      <c r="G2561" s="2" t="s">
        <v>19</v>
      </c>
      <c r="H2561" s="2" t="s">
        <v>642</v>
      </c>
      <c r="I2561">
        <v>66</v>
      </c>
      <c r="J2561" s="2" t="s">
        <v>706</v>
      </c>
      <c r="K2561" s="2" t="s">
        <v>398</v>
      </c>
      <c r="L2561" s="2" t="s">
        <v>399</v>
      </c>
      <c r="M2561" s="2" t="s">
        <v>400</v>
      </c>
      <c r="N2561" s="2" t="s">
        <v>401</v>
      </c>
      <c r="O2561" s="2" t="s">
        <v>402</v>
      </c>
      <c r="P2561" s="2" t="s">
        <v>27</v>
      </c>
      <c r="Q2561" s="2" t="s">
        <v>403</v>
      </c>
      <c r="R2561" s="2" t="s">
        <v>60</v>
      </c>
      <c r="S2561" s="2" t="s">
        <v>30</v>
      </c>
      <c r="T2561">
        <v>2665</v>
      </c>
      <c r="U2561">
        <f>VLOOKUP(Auto_Sales_data___Copy[[#This Row],[CUSTOMER_NAME]],$AF$2:$AH$90,2,FALSE)</f>
        <v>26</v>
      </c>
      <c r="V2561">
        <f>VLOOKUP(Auto_Sales_data___Copy[[#This Row],[CUSTOMER_NAME]],$AF$2:$AH$90,3,FALSE)</f>
        <v>83209.88</v>
      </c>
      <c r="W2561" s="2">
        <f>6-MATCH(Auto_Sales_data___Copy[[#This Row],[DAYS_SINCE_LAST_ORDER]],Table2[R-Cutoff],1)</f>
        <v>1</v>
      </c>
      <c r="X2561" s="2">
        <f>MATCH(Auto_Sales_data___Copy[[#This Row],[Total_Orders_Per_Customer]],Table2[F-Cutoff],1)</f>
        <v>3</v>
      </c>
      <c r="Y2561" s="2">
        <f>MATCH(Auto_Sales_data___Copy[[#This Row],[Total_Sales_Per_Customer]],Table2[M-Cutoff],1)</f>
        <v>3</v>
      </c>
      <c r="Z2561" s="2" t="str">
        <f>Auto_Sales_data___Copy[[#This Row],[R-Score(1-5)]]&amp;Auto_Sales_data___Copy[[#This Row],[F-Score(1-5)]]&amp;Auto_Sales_data___Copy[[#This Row],[M-Score(1-5)]]</f>
        <v>133</v>
      </c>
      <c r="AA2561" s="2" t="str" cm="1">
        <f t="array" ref="AA25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1" s="2" t="str">
        <f>VLOOKUP(Auto_Sales_data___Copy[[#This Row],[Segment Name]],Table3[],2,FALSE)</f>
        <v>Brand Awareness &amp; Value Proposition</v>
      </c>
    </row>
    <row r="2562" spans="1:28" x14ac:dyDescent="0.25">
      <c r="A2562">
        <v>10295</v>
      </c>
      <c r="B2562">
        <v>44</v>
      </c>
      <c r="C2562">
        <v>58.55</v>
      </c>
      <c r="D2562">
        <v>2</v>
      </c>
      <c r="E2562">
        <v>2576.1999999999998</v>
      </c>
      <c r="F2562" s="1">
        <v>43718</v>
      </c>
      <c r="G2562" s="2" t="s">
        <v>19</v>
      </c>
      <c r="H2562" s="2" t="s">
        <v>642</v>
      </c>
      <c r="I2562">
        <v>72</v>
      </c>
      <c r="J2562" s="2" t="s">
        <v>711</v>
      </c>
      <c r="K2562" s="2" t="s">
        <v>398</v>
      </c>
      <c r="L2562" s="2" t="s">
        <v>399</v>
      </c>
      <c r="M2562" s="2" t="s">
        <v>400</v>
      </c>
      <c r="N2562" s="2" t="s">
        <v>401</v>
      </c>
      <c r="O2562" s="2" t="s">
        <v>402</v>
      </c>
      <c r="P2562" s="2" t="s">
        <v>27</v>
      </c>
      <c r="Q2562" s="2" t="s">
        <v>403</v>
      </c>
      <c r="R2562" s="2" t="s">
        <v>60</v>
      </c>
      <c r="S2562" s="2" t="s">
        <v>30</v>
      </c>
      <c r="T2562">
        <v>2794</v>
      </c>
      <c r="U2562">
        <f>VLOOKUP(Auto_Sales_data___Copy[[#This Row],[CUSTOMER_NAME]],$AF$2:$AH$90,2,FALSE)</f>
        <v>26</v>
      </c>
      <c r="V2562">
        <f>VLOOKUP(Auto_Sales_data___Copy[[#This Row],[CUSTOMER_NAME]],$AF$2:$AH$90,3,FALSE)</f>
        <v>83209.88</v>
      </c>
      <c r="W2562" s="2">
        <f>6-MATCH(Auto_Sales_data___Copy[[#This Row],[DAYS_SINCE_LAST_ORDER]],Table2[R-Cutoff],1)</f>
        <v>1</v>
      </c>
      <c r="X2562" s="2">
        <f>MATCH(Auto_Sales_data___Copy[[#This Row],[Total_Orders_Per_Customer]],Table2[F-Cutoff],1)</f>
        <v>3</v>
      </c>
      <c r="Y2562" s="2">
        <f>MATCH(Auto_Sales_data___Copy[[#This Row],[Total_Sales_Per_Customer]],Table2[M-Cutoff],1)</f>
        <v>3</v>
      </c>
      <c r="Z2562" s="2" t="str">
        <f>Auto_Sales_data___Copy[[#This Row],[R-Score(1-5)]]&amp;Auto_Sales_data___Copy[[#This Row],[F-Score(1-5)]]&amp;Auto_Sales_data___Copy[[#This Row],[M-Score(1-5)]]</f>
        <v>133</v>
      </c>
      <c r="AA2562" s="2" t="str" cm="1">
        <f t="array" ref="AA25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2" s="2" t="str">
        <f>VLOOKUP(Auto_Sales_data___Copy[[#This Row],[Segment Name]],Table3[],2,FALSE)</f>
        <v>Brand Awareness &amp; Value Proposition</v>
      </c>
    </row>
    <row r="2563" spans="1:28" x14ac:dyDescent="0.25">
      <c r="A2563">
        <v>10295</v>
      </c>
      <c r="B2563">
        <v>34</v>
      </c>
      <c r="C2563">
        <v>102.17</v>
      </c>
      <c r="D2563">
        <v>5</v>
      </c>
      <c r="E2563">
        <v>3473.78</v>
      </c>
      <c r="F2563" s="1">
        <v>43718</v>
      </c>
      <c r="G2563" s="2" t="s">
        <v>19</v>
      </c>
      <c r="H2563" s="2" t="s">
        <v>642</v>
      </c>
      <c r="I2563">
        <v>100</v>
      </c>
      <c r="J2563" s="2" t="s">
        <v>715</v>
      </c>
      <c r="K2563" s="2" t="s">
        <v>398</v>
      </c>
      <c r="L2563" s="2" t="s">
        <v>399</v>
      </c>
      <c r="M2563" s="2" t="s">
        <v>400</v>
      </c>
      <c r="N2563" s="2" t="s">
        <v>401</v>
      </c>
      <c r="O2563" s="2" t="s">
        <v>402</v>
      </c>
      <c r="P2563" s="2" t="s">
        <v>27</v>
      </c>
      <c r="Q2563" s="2" t="s">
        <v>403</v>
      </c>
      <c r="R2563" s="2" t="s">
        <v>60</v>
      </c>
      <c r="S2563" s="2" t="s">
        <v>46</v>
      </c>
      <c r="T2563">
        <v>2897</v>
      </c>
      <c r="U2563">
        <f>VLOOKUP(Auto_Sales_data___Copy[[#This Row],[CUSTOMER_NAME]],$AF$2:$AH$90,2,FALSE)</f>
        <v>26</v>
      </c>
      <c r="V2563">
        <f>VLOOKUP(Auto_Sales_data___Copy[[#This Row],[CUSTOMER_NAME]],$AF$2:$AH$90,3,FALSE)</f>
        <v>83209.88</v>
      </c>
      <c r="W2563" s="2">
        <f>6-MATCH(Auto_Sales_data___Copy[[#This Row],[DAYS_SINCE_LAST_ORDER]],Table2[R-Cutoff],1)</f>
        <v>1</v>
      </c>
      <c r="X2563" s="2">
        <f>MATCH(Auto_Sales_data___Copy[[#This Row],[Total_Orders_Per_Customer]],Table2[F-Cutoff],1)</f>
        <v>3</v>
      </c>
      <c r="Y2563" s="2">
        <f>MATCH(Auto_Sales_data___Copy[[#This Row],[Total_Sales_Per_Customer]],Table2[M-Cutoff],1)</f>
        <v>3</v>
      </c>
      <c r="Z2563" s="2" t="str">
        <f>Auto_Sales_data___Copy[[#This Row],[R-Score(1-5)]]&amp;Auto_Sales_data___Copy[[#This Row],[F-Score(1-5)]]&amp;Auto_Sales_data___Copy[[#This Row],[M-Score(1-5)]]</f>
        <v>133</v>
      </c>
      <c r="AA2563" s="2" t="str" cm="1">
        <f t="array" ref="AA25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3" s="2" t="str">
        <f>VLOOKUP(Auto_Sales_data___Copy[[#This Row],[Segment Name]],Table3[],2,FALSE)</f>
        <v>Brand Awareness &amp; Value Proposition</v>
      </c>
    </row>
    <row r="2564" spans="1:28" x14ac:dyDescent="0.25">
      <c r="A2564">
        <v>10308</v>
      </c>
      <c r="B2564">
        <v>21</v>
      </c>
      <c r="C2564">
        <v>105.95</v>
      </c>
      <c r="D2564">
        <v>12</v>
      </c>
      <c r="E2564">
        <v>2224.9499999999998</v>
      </c>
      <c r="F2564" s="1">
        <v>43753</v>
      </c>
      <c r="G2564" s="2" t="s">
        <v>19</v>
      </c>
      <c r="H2564" s="2" t="s">
        <v>607</v>
      </c>
      <c r="I2564">
        <v>91</v>
      </c>
      <c r="J2564" s="2" t="s">
        <v>707</v>
      </c>
      <c r="K2564" s="2" t="s">
        <v>332</v>
      </c>
      <c r="L2564" s="2" t="s">
        <v>333</v>
      </c>
      <c r="M2564" s="2" t="s">
        <v>334</v>
      </c>
      <c r="N2564" s="2" t="s">
        <v>335</v>
      </c>
      <c r="O2564" s="2" t="s">
        <v>336</v>
      </c>
      <c r="P2564" s="2" t="s">
        <v>27</v>
      </c>
      <c r="Q2564" s="2" t="s">
        <v>93</v>
      </c>
      <c r="R2564" s="2" t="s">
        <v>244</v>
      </c>
      <c r="S2564" s="2" t="s">
        <v>30</v>
      </c>
      <c r="T2564">
        <v>2655</v>
      </c>
      <c r="U2564">
        <f>VLOOKUP(Auto_Sales_data___Copy[[#This Row],[CUSTOMER_NAME]],$AF$2:$AH$90,2,FALSE)</f>
        <v>26</v>
      </c>
      <c r="V2564">
        <f>VLOOKUP(Auto_Sales_data___Copy[[#This Row],[CUSTOMER_NAME]],$AF$2:$AH$90,3,FALSE)</f>
        <v>85555.989999999976</v>
      </c>
      <c r="W2564" s="2">
        <f>6-MATCH(Auto_Sales_data___Copy[[#This Row],[DAYS_SINCE_LAST_ORDER]],Table2[R-Cutoff],1)</f>
        <v>1</v>
      </c>
      <c r="X2564" s="2">
        <f>MATCH(Auto_Sales_data___Copy[[#This Row],[Total_Orders_Per_Customer]],Table2[F-Cutoff],1)</f>
        <v>3</v>
      </c>
      <c r="Y2564" s="2">
        <f>MATCH(Auto_Sales_data___Copy[[#This Row],[Total_Sales_Per_Customer]],Table2[M-Cutoff],1)</f>
        <v>3</v>
      </c>
      <c r="Z2564" s="2" t="str">
        <f>Auto_Sales_data___Copy[[#This Row],[R-Score(1-5)]]&amp;Auto_Sales_data___Copy[[#This Row],[F-Score(1-5)]]&amp;Auto_Sales_data___Copy[[#This Row],[M-Score(1-5)]]</f>
        <v>133</v>
      </c>
      <c r="AA2564" s="2" t="str" cm="1">
        <f t="array" ref="AA25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4" s="2" t="str">
        <f>VLOOKUP(Auto_Sales_data___Copy[[#This Row],[Segment Name]],Table3[],2,FALSE)</f>
        <v>Brand Awareness &amp; Value Proposition</v>
      </c>
    </row>
    <row r="2565" spans="1:28" x14ac:dyDescent="0.25">
      <c r="A2565">
        <v>10308</v>
      </c>
      <c r="B2565">
        <v>35</v>
      </c>
      <c r="C2565">
        <v>88.75</v>
      </c>
      <c r="D2565">
        <v>14</v>
      </c>
      <c r="E2565">
        <v>3106.25</v>
      </c>
      <c r="F2565" s="1">
        <v>43753</v>
      </c>
      <c r="G2565" s="2" t="s">
        <v>19</v>
      </c>
      <c r="H2565" s="2" t="s">
        <v>607</v>
      </c>
      <c r="I2565">
        <v>99</v>
      </c>
      <c r="J2565" s="2" t="s">
        <v>710</v>
      </c>
      <c r="K2565" s="2" t="s">
        <v>332</v>
      </c>
      <c r="L2565" s="2" t="s">
        <v>333</v>
      </c>
      <c r="M2565" s="2" t="s">
        <v>334</v>
      </c>
      <c r="N2565" s="2" t="s">
        <v>335</v>
      </c>
      <c r="O2565" s="2" t="s">
        <v>336</v>
      </c>
      <c r="P2565" s="2" t="s">
        <v>27</v>
      </c>
      <c r="Q2565" s="2" t="s">
        <v>93</v>
      </c>
      <c r="R2565" s="2" t="s">
        <v>244</v>
      </c>
      <c r="S2565" s="2" t="s">
        <v>46</v>
      </c>
      <c r="T2565">
        <v>2732</v>
      </c>
      <c r="U2565">
        <f>VLOOKUP(Auto_Sales_data___Copy[[#This Row],[CUSTOMER_NAME]],$AF$2:$AH$90,2,FALSE)</f>
        <v>26</v>
      </c>
      <c r="V2565">
        <f>VLOOKUP(Auto_Sales_data___Copy[[#This Row],[CUSTOMER_NAME]],$AF$2:$AH$90,3,FALSE)</f>
        <v>85555.989999999976</v>
      </c>
      <c r="W2565" s="2">
        <f>6-MATCH(Auto_Sales_data___Copy[[#This Row],[DAYS_SINCE_LAST_ORDER]],Table2[R-Cutoff],1)</f>
        <v>1</v>
      </c>
      <c r="X2565" s="2">
        <f>MATCH(Auto_Sales_data___Copy[[#This Row],[Total_Orders_Per_Customer]],Table2[F-Cutoff],1)</f>
        <v>3</v>
      </c>
      <c r="Y2565" s="2">
        <f>MATCH(Auto_Sales_data___Copy[[#This Row],[Total_Sales_Per_Customer]],Table2[M-Cutoff],1)</f>
        <v>3</v>
      </c>
      <c r="Z2565" s="2" t="str">
        <f>Auto_Sales_data___Copy[[#This Row],[R-Score(1-5)]]&amp;Auto_Sales_data___Copy[[#This Row],[F-Score(1-5)]]&amp;Auto_Sales_data___Copy[[#This Row],[M-Score(1-5)]]</f>
        <v>133</v>
      </c>
      <c r="AA2565" s="2" t="str" cm="1">
        <f t="array" ref="AA25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5" s="2" t="str">
        <f>VLOOKUP(Auto_Sales_data___Copy[[#This Row],[Segment Name]],Table3[],2,FALSE)</f>
        <v>Brand Awareness &amp; Value Proposition</v>
      </c>
    </row>
    <row r="2566" spans="1:28" x14ac:dyDescent="0.25">
      <c r="A2566">
        <v>10308</v>
      </c>
      <c r="B2566">
        <v>31</v>
      </c>
      <c r="C2566">
        <v>129.33000000000001</v>
      </c>
      <c r="D2566">
        <v>6</v>
      </c>
      <c r="E2566">
        <v>4009.23</v>
      </c>
      <c r="F2566" s="1">
        <v>43753</v>
      </c>
      <c r="G2566" s="2" t="s">
        <v>19</v>
      </c>
      <c r="H2566" s="2" t="s">
        <v>607</v>
      </c>
      <c r="I2566">
        <v>118</v>
      </c>
      <c r="J2566" s="2" t="s">
        <v>713</v>
      </c>
      <c r="K2566" s="2" t="s">
        <v>332</v>
      </c>
      <c r="L2566" s="2" t="s">
        <v>333</v>
      </c>
      <c r="M2566" s="2" t="s">
        <v>334</v>
      </c>
      <c r="N2566" s="2" t="s">
        <v>335</v>
      </c>
      <c r="O2566" s="2" t="s">
        <v>336</v>
      </c>
      <c r="P2566" s="2" t="s">
        <v>27</v>
      </c>
      <c r="Q2566" s="2" t="s">
        <v>93</v>
      </c>
      <c r="R2566" s="2" t="s">
        <v>244</v>
      </c>
      <c r="S2566" s="2" t="s">
        <v>46</v>
      </c>
      <c r="T2566">
        <v>2810</v>
      </c>
      <c r="U2566">
        <f>VLOOKUP(Auto_Sales_data___Copy[[#This Row],[CUSTOMER_NAME]],$AF$2:$AH$90,2,FALSE)</f>
        <v>26</v>
      </c>
      <c r="V2566">
        <f>VLOOKUP(Auto_Sales_data___Copy[[#This Row],[CUSTOMER_NAME]],$AF$2:$AH$90,3,FALSE)</f>
        <v>85555.989999999976</v>
      </c>
      <c r="W2566" s="2">
        <f>6-MATCH(Auto_Sales_data___Copy[[#This Row],[DAYS_SINCE_LAST_ORDER]],Table2[R-Cutoff],1)</f>
        <v>1</v>
      </c>
      <c r="X2566" s="2">
        <f>MATCH(Auto_Sales_data___Copy[[#This Row],[Total_Orders_Per_Customer]],Table2[F-Cutoff],1)</f>
        <v>3</v>
      </c>
      <c r="Y2566" s="2">
        <f>MATCH(Auto_Sales_data___Copy[[#This Row],[Total_Sales_Per_Customer]],Table2[M-Cutoff],1)</f>
        <v>3</v>
      </c>
      <c r="Z2566" s="2" t="str">
        <f>Auto_Sales_data___Copy[[#This Row],[R-Score(1-5)]]&amp;Auto_Sales_data___Copy[[#This Row],[F-Score(1-5)]]&amp;Auto_Sales_data___Copy[[#This Row],[M-Score(1-5)]]</f>
        <v>133</v>
      </c>
      <c r="AA2566" s="2" t="str" cm="1">
        <f t="array" ref="AA25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6" s="2" t="str">
        <f>VLOOKUP(Auto_Sales_data___Copy[[#This Row],[Segment Name]],Table3[],2,FALSE)</f>
        <v>Brand Awareness &amp; Value Proposition</v>
      </c>
    </row>
    <row r="2567" spans="1:28" x14ac:dyDescent="0.25">
      <c r="A2567">
        <v>10308</v>
      </c>
      <c r="B2567">
        <v>21</v>
      </c>
      <c r="C2567">
        <v>87.2</v>
      </c>
      <c r="D2567">
        <v>13</v>
      </c>
      <c r="E2567">
        <v>1831.2</v>
      </c>
      <c r="F2567" s="1">
        <v>43753</v>
      </c>
      <c r="G2567" s="2" t="s">
        <v>19</v>
      </c>
      <c r="H2567" s="2" t="s">
        <v>607</v>
      </c>
      <c r="I2567">
        <v>80</v>
      </c>
      <c r="J2567" s="2" t="s">
        <v>714</v>
      </c>
      <c r="K2567" s="2" t="s">
        <v>332</v>
      </c>
      <c r="L2567" s="2" t="s">
        <v>333</v>
      </c>
      <c r="M2567" s="2" t="s">
        <v>334</v>
      </c>
      <c r="N2567" s="2" t="s">
        <v>335</v>
      </c>
      <c r="O2567" s="2" t="s">
        <v>336</v>
      </c>
      <c r="P2567" s="2" t="s">
        <v>27</v>
      </c>
      <c r="Q2567" s="2" t="s">
        <v>93</v>
      </c>
      <c r="R2567" s="2" t="s">
        <v>244</v>
      </c>
      <c r="S2567" s="2" t="s">
        <v>30</v>
      </c>
      <c r="T2567">
        <v>2835</v>
      </c>
      <c r="U2567">
        <f>VLOOKUP(Auto_Sales_data___Copy[[#This Row],[CUSTOMER_NAME]],$AF$2:$AH$90,2,FALSE)</f>
        <v>26</v>
      </c>
      <c r="V2567">
        <f>VLOOKUP(Auto_Sales_data___Copy[[#This Row],[CUSTOMER_NAME]],$AF$2:$AH$90,3,FALSE)</f>
        <v>85555.989999999976</v>
      </c>
      <c r="W2567" s="2">
        <f>6-MATCH(Auto_Sales_data___Copy[[#This Row],[DAYS_SINCE_LAST_ORDER]],Table2[R-Cutoff],1)</f>
        <v>1</v>
      </c>
      <c r="X2567" s="2">
        <f>MATCH(Auto_Sales_data___Copy[[#This Row],[Total_Orders_Per_Customer]],Table2[F-Cutoff],1)</f>
        <v>3</v>
      </c>
      <c r="Y2567" s="2">
        <f>MATCH(Auto_Sales_data___Copy[[#This Row],[Total_Sales_Per_Customer]],Table2[M-Cutoff],1)</f>
        <v>3</v>
      </c>
      <c r="Z2567" s="2" t="str">
        <f>Auto_Sales_data___Copy[[#This Row],[R-Score(1-5)]]&amp;Auto_Sales_data___Copy[[#This Row],[F-Score(1-5)]]&amp;Auto_Sales_data___Copy[[#This Row],[M-Score(1-5)]]</f>
        <v>133</v>
      </c>
      <c r="AA2567" s="2" t="str" cm="1">
        <f t="array" ref="AA25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7" s="2" t="str">
        <f>VLOOKUP(Auto_Sales_data___Copy[[#This Row],[Segment Name]],Table3[],2,FALSE)</f>
        <v>Brand Awareness &amp; Value Proposition</v>
      </c>
    </row>
    <row r="2568" spans="1:28" x14ac:dyDescent="0.25">
      <c r="A2568">
        <v>10308</v>
      </c>
      <c r="B2568">
        <v>39</v>
      </c>
      <c r="C2568">
        <v>68.11</v>
      </c>
      <c r="D2568">
        <v>15</v>
      </c>
      <c r="E2568">
        <v>2656.29</v>
      </c>
      <c r="F2568" s="1">
        <v>43753</v>
      </c>
      <c r="G2568" s="2" t="s">
        <v>19</v>
      </c>
      <c r="H2568" s="2" t="s">
        <v>607</v>
      </c>
      <c r="I2568">
        <v>74</v>
      </c>
      <c r="J2568" s="2" t="s">
        <v>717</v>
      </c>
      <c r="K2568" s="2" t="s">
        <v>332</v>
      </c>
      <c r="L2568" s="2" t="s">
        <v>333</v>
      </c>
      <c r="M2568" s="2" t="s">
        <v>334</v>
      </c>
      <c r="N2568" s="2" t="s">
        <v>335</v>
      </c>
      <c r="O2568" s="2" t="s">
        <v>336</v>
      </c>
      <c r="P2568" s="2" t="s">
        <v>27</v>
      </c>
      <c r="Q2568" s="2" t="s">
        <v>93</v>
      </c>
      <c r="R2568" s="2" t="s">
        <v>244</v>
      </c>
      <c r="S2568" s="2" t="s">
        <v>30</v>
      </c>
      <c r="T2568">
        <v>2914</v>
      </c>
      <c r="U2568">
        <f>VLOOKUP(Auto_Sales_data___Copy[[#This Row],[CUSTOMER_NAME]],$AF$2:$AH$90,2,FALSE)</f>
        <v>26</v>
      </c>
      <c r="V2568">
        <f>VLOOKUP(Auto_Sales_data___Copy[[#This Row],[CUSTOMER_NAME]],$AF$2:$AH$90,3,FALSE)</f>
        <v>85555.989999999976</v>
      </c>
      <c r="W2568" s="2">
        <f>6-MATCH(Auto_Sales_data___Copy[[#This Row],[DAYS_SINCE_LAST_ORDER]],Table2[R-Cutoff],1)</f>
        <v>1</v>
      </c>
      <c r="X2568" s="2">
        <f>MATCH(Auto_Sales_data___Copy[[#This Row],[Total_Orders_Per_Customer]],Table2[F-Cutoff],1)</f>
        <v>3</v>
      </c>
      <c r="Y2568" s="2">
        <f>MATCH(Auto_Sales_data___Copy[[#This Row],[Total_Sales_Per_Customer]],Table2[M-Cutoff],1)</f>
        <v>3</v>
      </c>
      <c r="Z2568" s="2" t="str">
        <f>Auto_Sales_data___Copy[[#This Row],[R-Score(1-5)]]&amp;Auto_Sales_data___Copy[[#This Row],[F-Score(1-5)]]&amp;Auto_Sales_data___Copy[[#This Row],[M-Score(1-5)]]</f>
        <v>133</v>
      </c>
      <c r="AA2568" s="2" t="str" cm="1">
        <f t="array" ref="AA25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8" s="2" t="str">
        <f>VLOOKUP(Auto_Sales_data___Copy[[#This Row],[Segment Name]],Table3[],2,FALSE)</f>
        <v>Brand Awareness &amp; Value Proposition</v>
      </c>
    </row>
    <row r="2569" spans="1:28" x14ac:dyDescent="0.25">
      <c r="A2569">
        <v>10324</v>
      </c>
      <c r="B2569">
        <v>34</v>
      </c>
      <c r="C2569">
        <v>124.95</v>
      </c>
      <c r="D2569">
        <v>5</v>
      </c>
      <c r="E2569">
        <v>4248.3</v>
      </c>
      <c r="F2569" s="1">
        <v>43774</v>
      </c>
      <c r="G2569" s="2" t="s">
        <v>19</v>
      </c>
      <c r="H2569" s="2" t="s">
        <v>183</v>
      </c>
      <c r="I2569">
        <v>101</v>
      </c>
      <c r="J2569" s="2" t="s">
        <v>712</v>
      </c>
      <c r="K2569" s="2" t="s">
        <v>90</v>
      </c>
      <c r="L2569" s="2" t="s">
        <v>91</v>
      </c>
      <c r="M2569" s="2" t="s">
        <v>92</v>
      </c>
      <c r="N2569" s="2" t="s">
        <v>25</v>
      </c>
      <c r="O2569" s="2" t="s">
        <v>26</v>
      </c>
      <c r="P2569" s="2" t="s">
        <v>27</v>
      </c>
      <c r="Q2569" s="2" t="s">
        <v>93</v>
      </c>
      <c r="R2569" s="2" t="s">
        <v>94</v>
      </c>
      <c r="S2569" s="2" t="s">
        <v>46</v>
      </c>
      <c r="T2569">
        <v>2767</v>
      </c>
      <c r="U2569">
        <f>VLOOKUP(Auto_Sales_data___Copy[[#This Row],[CUSTOMER_NAME]],$AF$2:$AH$90,2,FALSE)</f>
        <v>25</v>
      </c>
      <c r="V2569">
        <f>VLOOKUP(Auto_Sales_data___Copy[[#This Row],[CUSTOMER_NAME]],$AF$2:$AH$90,3,FALSE)</f>
        <v>88041.260000000009</v>
      </c>
      <c r="W2569" s="2">
        <f>6-MATCH(Auto_Sales_data___Copy[[#This Row],[DAYS_SINCE_LAST_ORDER]],Table2[R-Cutoff],1)</f>
        <v>1</v>
      </c>
      <c r="X2569" s="2">
        <f>MATCH(Auto_Sales_data___Copy[[#This Row],[Total_Orders_Per_Customer]],Table2[F-Cutoff],1)</f>
        <v>3</v>
      </c>
      <c r="Y2569" s="2">
        <f>MATCH(Auto_Sales_data___Copy[[#This Row],[Total_Sales_Per_Customer]],Table2[M-Cutoff],1)</f>
        <v>3</v>
      </c>
      <c r="Z2569" s="2" t="str">
        <f>Auto_Sales_data___Copy[[#This Row],[R-Score(1-5)]]&amp;Auto_Sales_data___Copy[[#This Row],[F-Score(1-5)]]&amp;Auto_Sales_data___Copy[[#This Row],[M-Score(1-5)]]</f>
        <v>133</v>
      </c>
      <c r="AA2569" s="2" t="str" cm="1">
        <f t="array" ref="AA25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9" s="2" t="str">
        <f>VLOOKUP(Auto_Sales_data___Copy[[#This Row],[Segment Name]],Table3[],2,FALSE)</f>
        <v>Brand Awareness &amp; Value Proposition</v>
      </c>
    </row>
    <row r="2570" spans="1:28" x14ac:dyDescent="0.25">
      <c r="A2570">
        <v>10388</v>
      </c>
      <c r="B2570">
        <v>50</v>
      </c>
      <c r="C2570">
        <v>143.09</v>
      </c>
      <c r="D2570">
        <v>3</v>
      </c>
      <c r="E2570">
        <v>7154.5</v>
      </c>
      <c r="F2570" s="1">
        <v>43893</v>
      </c>
      <c r="G2570" s="2" t="s">
        <v>19</v>
      </c>
      <c r="H2570" s="2" t="s">
        <v>607</v>
      </c>
      <c r="I2570">
        <v>118</v>
      </c>
      <c r="J2570" s="2" t="s">
        <v>713</v>
      </c>
      <c r="K2570" s="2" t="s">
        <v>159</v>
      </c>
      <c r="L2570" s="2" t="s">
        <v>160</v>
      </c>
      <c r="M2570" s="2" t="s">
        <v>161</v>
      </c>
      <c r="N2570" s="2" t="s">
        <v>162</v>
      </c>
      <c r="O2570" s="2" t="s">
        <v>163</v>
      </c>
      <c r="P2570" s="2" t="s">
        <v>27</v>
      </c>
      <c r="Q2570" s="2" t="s">
        <v>164</v>
      </c>
      <c r="R2570" s="2" t="s">
        <v>165</v>
      </c>
      <c r="S2570" s="2" t="s">
        <v>151</v>
      </c>
      <c r="T2570">
        <v>2677</v>
      </c>
      <c r="U2570">
        <f>VLOOKUP(Auto_Sales_data___Copy[[#This Row],[CUSTOMER_NAME]],$AF$2:$AH$90,2,FALSE)</f>
        <v>26</v>
      </c>
      <c r="V2570">
        <f>VLOOKUP(Auto_Sales_data___Copy[[#This Row],[CUSTOMER_NAME]],$AF$2:$AH$90,3,FALSE)</f>
        <v>98923.73000000001</v>
      </c>
      <c r="W2570" s="2">
        <f>6-MATCH(Auto_Sales_data___Copy[[#This Row],[DAYS_SINCE_LAST_ORDER]],Table2[R-Cutoff],1)</f>
        <v>1</v>
      </c>
      <c r="X2570" s="2">
        <f>MATCH(Auto_Sales_data___Copy[[#This Row],[Total_Orders_Per_Customer]],Table2[F-Cutoff],1)</f>
        <v>3</v>
      </c>
      <c r="Y2570" s="2">
        <f>MATCH(Auto_Sales_data___Copy[[#This Row],[Total_Sales_Per_Customer]],Table2[M-Cutoff],1)</f>
        <v>3</v>
      </c>
      <c r="Z2570" s="2" t="str">
        <f>Auto_Sales_data___Copy[[#This Row],[R-Score(1-5)]]&amp;Auto_Sales_data___Copy[[#This Row],[F-Score(1-5)]]&amp;Auto_Sales_data___Copy[[#This Row],[M-Score(1-5)]]</f>
        <v>133</v>
      </c>
      <c r="AA2570" s="2" t="str" cm="1">
        <f t="array" ref="AA25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70" s="2" t="str">
        <f>VLOOKUP(Auto_Sales_data___Copy[[#This Row],[Segment Name]],Table3[],2,FALSE)</f>
        <v>Brand Awareness &amp; Value Proposition</v>
      </c>
    </row>
    <row r="2571" spans="1:28" x14ac:dyDescent="0.25">
      <c r="A2571">
        <v>10414</v>
      </c>
      <c r="B2571">
        <v>28</v>
      </c>
      <c r="C2571">
        <v>108.18</v>
      </c>
      <c r="D2571">
        <v>7</v>
      </c>
      <c r="E2571">
        <v>3029.04</v>
      </c>
      <c r="F2571" s="1">
        <v>43957</v>
      </c>
      <c r="G2571" s="2" t="s">
        <v>423</v>
      </c>
      <c r="H2571" s="2" t="s">
        <v>642</v>
      </c>
      <c r="I2571">
        <v>100</v>
      </c>
      <c r="J2571" s="2" t="s">
        <v>715</v>
      </c>
      <c r="K2571" s="2" t="s">
        <v>398</v>
      </c>
      <c r="L2571" s="2" t="s">
        <v>399</v>
      </c>
      <c r="M2571" s="2" t="s">
        <v>400</v>
      </c>
      <c r="N2571" s="2" t="s">
        <v>401</v>
      </c>
      <c r="O2571" s="2" t="s">
        <v>402</v>
      </c>
      <c r="P2571" s="2" t="s">
        <v>27</v>
      </c>
      <c r="Q2571" s="2" t="s">
        <v>403</v>
      </c>
      <c r="R2571" s="2" t="s">
        <v>60</v>
      </c>
      <c r="S2571" s="2" t="s">
        <v>46</v>
      </c>
      <c r="T2571">
        <v>2667</v>
      </c>
      <c r="U2571">
        <f>VLOOKUP(Auto_Sales_data___Copy[[#This Row],[CUSTOMER_NAME]],$AF$2:$AH$90,2,FALSE)</f>
        <v>26</v>
      </c>
      <c r="V2571">
        <f>VLOOKUP(Auto_Sales_data___Copy[[#This Row],[CUSTOMER_NAME]],$AF$2:$AH$90,3,FALSE)</f>
        <v>83209.88</v>
      </c>
      <c r="W2571" s="2">
        <f>6-MATCH(Auto_Sales_data___Copy[[#This Row],[DAYS_SINCE_LAST_ORDER]],Table2[R-Cutoff],1)</f>
        <v>1</v>
      </c>
      <c r="X2571" s="2">
        <f>MATCH(Auto_Sales_data___Copy[[#This Row],[Total_Orders_Per_Customer]],Table2[F-Cutoff],1)</f>
        <v>3</v>
      </c>
      <c r="Y2571" s="2">
        <f>MATCH(Auto_Sales_data___Copy[[#This Row],[Total_Sales_Per_Customer]],Table2[M-Cutoff],1)</f>
        <v>3</v>
      </c>
      <c r="Z2571" s="2" t="str">
        <f>Auto_Sales_data___Copy[[#This Row],[R-Score(1-5)]]&amp;Auto_Sales_data___Copy[[#This Row],[F-Score(1-5)]]&amp;Auto_Sales_data___Copy[[#This Row],[M-Score(1-5)]]</f>
        <v>133</v>
      </c>
      <c r="AA2571" s="2" t="str" cm="1">
        <f t="array" ref="AA25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71" s="2" t="str">
        <f>VLOOKUP(Auto_Sales_data___Copy[[#This Row],[Segment Name]],Table3[],2,FALSE)</f>
        <v>Brand Awareness &amp; Value Proposition</v>
      </c>
    </row>
    <row r="2572" spans="1:28" x14ac:dyDescent="0.25">
      <c r="A2572">
        <v>10414</v>
      </c>
      <c r="B2572">
        <v>27</v>
      </c>
      <c r="C2572">
        <v>90.37</v>
      </c>
      <c r="D2572">
        <v>8</v>
      </c>
      <c r="E2572">
        <v>2439.9899999999998</v>
      </c>
      <c r="F2572" s="1">
        <v>43957</v>
      </c>
      <c r="G2572" s="2" t="s">
        <v>423</v>
      </c>
      <c r="H2572" s="2" t="s">
        <v>642</v>
      </c>
      <c r="I2572">
        <v>99</v>
      </c>
      <c r="J2572" s="2" t="s">
        <v>716</v>
      </c>
      <c r="K2572" s="2" t="s">
        <v>398</v>
      </c>
      <c r="L2572" s="2" t="s">
        <v>399</v>
      </c>
      <c r="M2572" s="2" t="s">
        <v>400</v>
      </c>
      <c r="N2572" s="2" t="s">
        <v>401</v>
      </c>
      <c r="O2572" s="2" t="s">
        <v>402</v>
      </c>
      <c r="P2572" s="2" t="s">
        <v>27</v>
      </c>
      <c r="Q2572" s="2" t="s">
        <v>403</v>
      </c>
      <c r="R2572" s="2" t="s">
        <v>60</v>
      </c>
      <c r="S2572" s="2" t="s">
        <v>30</v>
      </c>
      <c r="T2572">
        <v>2693</v>
      </c>
      <c r="U2572">
        <f>VLOOKUP(Auto_Sales_data___Copy[[#This Row],[CUSTOMER_NAME]],$AF$2:$AH$90,2,FALSE)</f>
        <v>26</v>
      </c>
      <c r="V2572">
        <f>VLOOKUP(Auto_Sales_data___Copy[[#This Row],[CUSTOMER_NAME]],$AF$2:$AH$90,3,FALSE)</f>
        <v>83209.88</v>
      </c>
      <c r="W2572" s="2">
        <f>6-MATCH(Auto_Sales_data___Copy[[#This Row],[DAYS_SINCE_LAST_ORDER]],Table2[R-Cutoff],1)</f>
        <v>1</v>
      </c>
      <c r="X2572" s="2">
        <f>MATCH(Auto_Sales_data___Copy[[#This Row],[Total_Orders_Per_Customer]],Table2[F-Cutoff],1)</f>
        <v>3</v>
      </c>
      <c r="Y2572" s="2">
        <f>MATCH(Auto_Sales_data___Copy[[#This Row],[Total_Sales_Per_Customer]],Table2[M-Cutoff],1)</f>
        <v>3</v>
      </c>
      <c r="Z2572" s="2" t="str">
        <f>Auto_Sales_data___Copy[[#This Row],[R-Score(1-5)]]&amp;Auto_Sales_data___Copy[[#This Row],[F-Score(1-5)]]&amp;Auto_Sales_data___Copy[[#This Row],[M-Score(1-5)]]</f>
        <v>133</v>
      </c>
      <c r="AA2572" s="2" t="str" cm="1">
        <f t="array" ref="AA25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72" s="2" t="str">
        <f>VLOOKUP(Auto_Sales_data___Copy[[#This Row],[Segment Name]],Table3[],2,FALSE)</f>
        <v>Brand Awareness &amp; Value Proposition</v>
      </c>
    </row>
    <row r="2573" spans="1:28" x14ac:dyDescent="0.25">
      <c r="A2573">
        <v>10414</v>
      </c>
      <c r="B2573">
        <v>47</v>
      </c>
      <c r="C2573">
        <v>65.52</v>
      </c>
      <c r="D2573">
        <v>9</v>
      </c>
      <c r="E2573">
        <v>3079.44</v>
      </c>
      <c r="F2573" s="1">
        <v>43957</v>
      </c>
      <c r="G2573" s="2" t="s">
        <v>423</v>
      </c>
      <c r="H2573" s="2" t="s">
        <v>642</v>
      </c>
      <c r="I2573">
        <v>54</v>
      </c>
      <c r="J2573" s="2" t="s">
        <v>719</v>
      </c>
      <c r="K2573" s="2" t="s">
        <v>398</v>
      </c>
      <c r="L2573" s="2" t="s">
        <v>399</v>
      </c>
      <c r="M2573" s="2" t="s">
        <v>400</v>
      </c>
      <c r="N2573" s="2" t="s">
        <v>401</v>
      </c>
      <c r="O2573" s="2" t="s">
        <v>402</v>
      </c>
      <c r="P2573" s="2" t="s">
        <v>27</v>
      </c>
      <c r="Q2573" s="2" t="s">
        <v>403</v>
      </c>
      <c r="R2573" s="2" t="s">
        <v>60</v>
      </c>
      <c r="S2573" s="2" t="s">
        <v>46</v>
      </c>
      <c r="T2573">
        <v>2772</v>
      </c>
      <c r="U2573">
        <f>VLOOKUP(Auto_Sales_data___Copy[[#This Row],[CUSTOMER_NAME]],$AF$2:$AH$90,2,FALSE)</f>
        <v>26</v>
      </c>
      <c r="V2573">
        <f>VLOOKUP(Auto_Sales_data___Copy[[#This Row],[CUSTOMER_NAME]],$AF$2:$AH$90,3,FALSE)</f>
        <v>83209.88</v>
      </c>
      <c r="W2573" s="2">
        <f>6-MATCH(Auto_Sales_data___Copy[[#This Row],[DAYS_SINCE_LAST_ORDER]],Table2[R-Cutoff],1)</f>
        <v>1</v>
      </c>
      <c r="X2573" s="2">
        <f>MATCH(Auto_Sales_data___Copy[[#This Row],[Total_Orders_Per_Customer]],Table2[F-Cutoff],1)</f>
        <v>3</v>
      </c>
      <c r="Y2573" s="2">
        <f>MATCH(Auto_Sales_data___Copy[[#This Row],[Total_Sales_Per_Customer]],Table2[M-Cutoff],1)</f>
        <v>3</v>
      </c>
      <c r="Z2573" s="2" t="str">
        <f>Auto_Sales_data___Copy[[#This Row],[R-Score(1-5)]]&amp;Auto_Sales_data___Copy[[#This Row],[F-Score(1-5)]]&amp;Auto_Sales_data___Copy[[#This Row],[M-Score(1-5)]]</f>
        <v>133</v>
      </c>
      <c r="AA2573" s="2" t="str" cm="1">
        <f t="array" ref="AA25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73" s="2" t="str">
        <f>VLOOKUP(Auto_Sales_data___Copy[[#This Row],[Segment Name]],Table3[],2,FALSE)</f>
        <v>Brand Awareness &amp; Value Proposition</v>
      </c>
    </row>
    <row r="2574" spans="1:28" x14ac:dyDescent="0.25">
      <c r="A2574">
        <v>10122</v>
      </c>
      <c r="B2574">
        <v>43</v>
      </c>
      <c r="C2574">
        <v>127.79</v>
      </c>
      <c r="D2574">
        <v>5</v>
      </c>
      <c r="E2574">
        <v>5494.97</v>
      </c>
      <c r="F2574" s="1">
        <v>43228</v>
      </c>
      <c r="G2574" s="2" t="s">
        <v>19</v>
      </c>
      <c r="H2574" s="2" t="s">
        <v>183</v>
      </c>
      <c r="I2574">
        <v>140</v>
      </c>
      <c r="J2574" s="2" t="s">
        <v>687</v>
      </c>
      <c r="K2574" s="2" t="s">
        <v>458</v>
      </c>
      <c r="L2574" s="2" t="s">
        <v>459</v>
      </c>
      <c r="M2574" s="2" t="s">
        <v>460</v>
      </c>
      <c r="N2574" s="2" t="s">
        <v>461</v>
      </c>
      <c r="O2574" s="2" t="s">
        <v>462</v>
      </c>
      <c r="P2574" s="2" t="s">
        <v>36</v>
      </c>
      <c r="Q2574" s="2" t="s">
        <v>463</v>
      </c>
      <c r="R2574" s="2" t="s">
        <v>464</v>
      </c>
      <c r="S2574" s="2" t="s">
        <v>46</v>
      </c>
      <c r="T2574">
        <v>2662</v>
      </c>
      <c r="U2574">
        <f>VLOOKUP(Auto_Sales_data___Copy[[#This Row],[CUSTOMER_NAME]],$AF$2:$AH$90,2,FALSE)</f>
        <v>25</v>
      </c>
      <c r="V2574">
        <f>VLOOKUP(Auto_Sales_data___Copy[[#This Row],[CUSTOMER_NAME]],$AF$2:$AH$90,3,FALSE)</f>
        <v>74936.14</v>
      </c>
      <c r="W2574" s="2">
        <f>6-MATCH(Auto_Sales_data___Copy[[#This Row],[DAYS_SINCE_LAST_ORDER]],Table2[R-Cutoff],1)</f>
        <v>1</v>
      </c>
      <c r="X2574" s="2">
        <f>MATCH(Auto_Sales_data___Copy[[#This Row],[Total_Orders_Per_Customer]],Table2[F-Cutoff],1)</f>
        <v>3</v>
      </c>
      <c r="Y2574" s="2">
        <f>MATCH(Auto_Sales_data___Copy[[#This Row],[Total_Sales_Per_Customer]],Table2[M-Cutoff],1)</f>
        <v>2</v>
      </c>
      <c r="Z2574" s="2" t="str">
        <f>Auto_Sales_data___Copy[[#This Row],[R-Score(1-5)]]&amp;Auto_Sales_data___Copy[[#This Row],[F-Score(1-5)]]&amp;Auto_Sales_data___Copy[[#This Row],[M-Score(1-5)]]</f>
        <v>132</v>
      </c>
      <c r="AA2574" s="2" t="str" cm="1">
        <f t="array" ref="AA25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4" s="2" t="str">
        <f>VLOOKUP(Auto_Sales_data___Copy[[#This Row],[Segment Name]],Table3[],2,FALSE)</f>
        <v>Re-Activation &amp; Re-Engagement</v>
      </c>
    </row>
    <row r="2575" spans="1:28" x14ac:dyDescent="0.25">
      <c r="A2575">
        <v>10122</v>
      </c>
      <c r="B2575">
        <v>29</v>
      </c>
      <c r="C2575">
        <v>71.14</v>
      </c>
      <c r="D2575">
        <v>14</v>
      </c>
      <c r="E2575">
        <v>2063.06</v>
      </c>
      <c r="F2575" s="1">
        <v>43228</v>
      </c>
      <c r="G2575" s="2" t="s">
        <v>19</v>
      </c>
      <c r="H2575" s="2" t="s">
        <v>183</v>
      </c>
      <c r="I2575">
        <v>80</v>
      </c>
      <c r="J2575" s="2" t="s">
        <v>693</v>
      </c>
      <c r="K2575" s="2" t="s">
        <v>458</v>
      </c>
      <c r="L2575" s="2" t="s">
        <v>459</v>
      </c>
      <c r="M2575" s="2" t="s">
        <v>460</v>
      </c>
      <c r="N2575" s="2" t="s">
        <v>461</v>
      </c>
      <c r="O2575" s="2" t="s">
        <v>462</v>
      </c>
      <c r="P2575" s="2" t="s">
        <v>36</v>
      </c>
      <c r="Q2575" s="2" t="s">
        <v>463</v>
      </c>
      <c r="R2575" s="2" t="s">
        <v>464</v>
      </c>
      <c r="S2575" s="2" t="s">
        <v>30</v>
      </c>
      <c r="T2575">
        <v>2810</v>
      </c>
      <c r="U2575">
        <f>VLOOKUP(Auto_Sales_data___Copy[[#This Row],[CUSTOMER_NAME]],$AF$2:$AH$90,2,FALSE)</f>
        <v>25</v>
      </c>
      <c r="V2575">
        <f>VLOOKUP(Auto_Sales_data___Copy[[#This Row],[CUSTOMER_NAME]],$AF$2:$AH$90,3,FALSE)</f>
        <v>74936.14</v>
      </c>
      <c r="W2575" s="2">
        <f>6-MATCH(Auto_Sales_data___Copy[[#This Row],[DAYS_SINCE_LAST_ORDER]],Table2[R-Cutoff],1)</f>
        <v>1</v>
      </c>
      <c r="X2575" s="2">
        <f>MATCH(Auto_Sales_data___Copy[[#This Row],[Total_Orders_Per_Customer]],Table2[F-Cutoff],1)</f>
        <v>3</v>
      </c>
      <c r="Y2575" s="2">
        <f>MATCH(Auto_Sales_data___Copy[[#This Row],[Total_Sales_Per_Customer]],Table2[M-Cutoff],1)</f>
        <v>2</v>
      </c>
      <c r="Z2575" s="2" t="str">
        <f>Auto_Sales_data___Copy[[#This Row],[R-Score(1-5)]]&amp;Auto_Sales_data___Copy[[#This Row],[F-Score(1-5)]]&amp;Auto_Sales_data___Copy[[#This Row],[M-Score(1-5)]]</f>
        <v>132</v>
      </c>
      <c r="AA2575" s="2" t="str" cm="1">
        <f t="array" ref="AA25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5" s="2" t="str">
        <f>VLOOKUP(Auto_Sales_data___Copy[[#This Row],[Segment Name]],Table3[],2,FALSE)</f>
        <v>Re-Activation &amp; Re-Engagement</v>
      </c>
    </row>
    <row r="2576" spans="1:28" x14ac:dyDescent="0.25">
      <c r="A2576">
        <v>10122</v>
      </c>
      <c r="B2576">
        <v>31</v>
      </c>
      <c r="C2576">
        <v>44.66</v>
      </c>
      <c r="D2576">
        <v>17</v>
      </c>
      <c r="E2576">
        <v>1384.46</v>
      </c>
      <c r="F2576" s="1">
        <v>43228</v>
      </c>
      <c r="G2576" s="2" t="s">
        <v>19</v>
      </c>
      <c r="H2576" s="2" t="s">
        <v>20</v>
      </c>
      <c r="I2576">
        <v>40</v>
      </c>
      <c r="J2576" s="2" t="s">
        <v>696</v>
      </c>
      <c r="K2576" s="2" t="s">
        <v>458</v>
      </c>
      <c r="L2576" s="2" t="s">
        <v>459</v>
      </c>
      <c r="M2576" s="2" t="s">
        <v>460</v>
      </c>
      <c r="N2576" s="2" t="s">
        <v>461</v>
      </c>
      <c r="O2576" s="2" t="s">
        <v>462</v>
      </c>
      <c r="P2576" s="2" t="s">
        <v>36</v>
      </c>
      <c r="Q2576" s="2" t="s">
        <v>463</v>
      </c>
      <c r="R2576" s="2" t="s">
        <v>464</v>
      </c>
      <c r="S2576" s="2" t="s">
        <v>30</v>
      </c>
      <c r="T2576">
        <v>2884</v>
      </c>
      <c r="U2576">
        <f>VLOOKUP(Auto_Sales_data___Copy[[#This Row],[CUSTOMER_NAME]],$AF$2:$AH$90,2,FALSE)</f>
        <v>25</v>
      </c>
      <c r="V2576">
        <f>VLOOKUP(Auto_Sales_data___Copy[[#This Row],[CUSTOMER_NAME]],$AF$2:$AH$90,3,FALSE)</f>
        <v>74936.14</v>
      </c>
      <c r="W2576" s="2">
        <f>6-MATCH(Auto_Sales_data___Copy[[#This Row],[DAYS_SINCE_LAST_ORDER]],Table2[R-Cutoff],1)</f>
        <v>1</v>
      </c>
      <c r="X2576" s="2">
        <f>MATCH(Auto_Sales_data___Copy[[#This Row],[Total_Orders_Per_Customer]],Table2[F-Cutoff],1)</f>
        <v>3</v>
      </c>
      <c r="Y2576" s="2">
        <f>MATCH(Auto_Sales_data___Copy[[#This Row],[Total_Sales_Per_Customer]],Table2[M-Cutoff],1)</f>
        <v>2</v>
      </c>
      <c r="Z2576" s="2" t="str">
        <f>Auto_Sales_data___Copy[[#This Row],[R-Score(1-5)]]&amp;Auto_Sales_data___Copy[[#This Row],[F-Score(1-5)]]&amp;Auto_Sales_data___Copy[[#This Row],[M-Score(1-5)]]</f>
        <v>132</v>
      </c>
      <c r="AA2576" s="2" t="str" cm="1">
        <f t="array" ref="AA25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6" s="2" t="str">
        <f>VLOOKUP(Auto_Sales_data___Copy[[#This Row],[Segment Name]],Table3[],2,FALSE)</f>
        <v>Re-Activation &amp; Re-Engagement</v>
      </c>
    </row>
    <row r="2577" spans="1:28" x14ac:dyDescent="0.25">
      <c r="A2577">
        <v>10221</v>
      </c>
      <c r="B2577">
        <v>23</v>
      </c>
      <c r="C2577">
        <v>97</v>
      </c>
      <c r="D2577">
        <v>4</v>
      </c>
      <c r="E2577">
        <v>2231</v>
      </c>
      <c r="F2577" s="1">
        <v>43514</v>
      </c>
      <c r="G2577" s="2" t="s">
        <v>19</v>
      </c>
      <c r="H2577" s="2" t="s">
        <v>642</v>
      </c>
      <c r="I2577">
        <v>86</v>
      </c>
      <c r="J2577" s="2" t="s">
        <v>708</v>
      </c>
      <c r="K2577" s="2" t="s">
        <v>384</v>
      </c>
      <c r="L2577" s="2" t="s">
        <v>385</v>
      </c>
      <c r="M2577" s="2" t="s">
        <v>386</v>
      </c>
      <c r="N2577" s="2" t="s">
        <v>387</v>
      </c>
      <c r="O2577" s="2" t="s">
        <v>388</v>
      </c>
      <c r="P2577" s="2" t="s">
        <v>389</v>
      </c>
      <c r="Q2577" s="2" t="s">
        <v>390</v>
      </c>
      <c r="R2577" s="2" t="s">
        <v>391</v>
      </c>
      <c r="S2577" s="2" t="s">
        <v>30</v>
      </c>
      <c r="T2577">
        <v>2915</v>
      </c>
      <c r="U2577">
        <f>VLOOKUP(Auto_Sales_data___Copy[[#This Row],[CUSTOMER_NAME]],$AF$2:$AH$90,2,FALSE)</f>
        <v>25</v>
      </c>
      <c r="V2577">
        <f>VLOOKUP(Auto_Sales_data___Copy[[#This Row],[CUSTOMER_NAME]],$AF$2:$AH$90,3,FALSE)</f>
        <v>74972.52</v>
      </c>
      <c r="W2577" s="2">
        <f>6-MATCH(Auto_Sales_data___Copy[[#This Row],[DAYS_SINCE_LAST_ORDER]],Table2[R-Cutoff],1)</f>
        <v>1</v>
      </c>
      <c r="X2577" s="2">
        <f>MATCH(Auto_Sales_data___Copy[[#This Row],[Total_Orders_Per_Customer]],Table2[F-Cutoff],1)</f>
        <v>3</v>
      </c>
      <c r="Y2577" s="2">
        <f>MATCH(Auto_Sales_data___Copy[[#This Row],[Total_Sales_Per_Customer]],Table2[M-Cutoff],1)</f>
        <v>2</v>
      </c>
      <c r="Z2577" s="2" t="str">
        <f>Auto_Sales_data___Copy[[#This Row],[R-Score(1-5)]]&amp;Auto_Sales_data___Copy[[#This Row],[F-Score(1-5)]]&amp;Auto_Sales_data___Copy[[#This Row],[M-Score(1-5)]]</f>
        <v>132</v>
      </c>
      <c r="AA2577" s="2" t="str" cm="1">
        <f t="array" ref="AA25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7" s="2" t="str">
        <f>VLOOKUP(Auto_Sales_data___Copy[[#This Row],[Segment Name]],Table3[],2,FALSE)</f>
        <v>Re-Activation &amp; Re-Engagement</v>
      </c>
    </row>
    <row r="2578" spans="1:28" x14ac:dyDescent="0.25">
      <c r="A2578">
        <v>10232</v>
      </c>
      <c r="B2578">
        <v>26</v>
      </c>
      <c r="C2578">
        <v>88.34</v>
      </c>
      <c r="D2578">
        <v>7</v>
      </c>
      <c r="E2578">
        <v>2296.84</v>
      </c>
      <c r="F2578" s="1">
        <v>43544</v>
      </c>
      <c r="G2578" s="2" t="s">
        <v>19</v>
      </c>
      <c r="H2578" s="2" t="s">
        <v>642</v>
      </c>
      <c r="I2578">
        <v>86</v>
      </c>
      <c r="J2578" s="2" t="s">
        <v>708</v>
      </c>
      <c r="K2578" s="2" t="s">
        <v>404</v>
      </c>
      <c r="L2578" s="2" t="s">
        <v>405</v>
      </c>
      <c r="M2578" s="2" t="s">
        <v>406</v>
      </c>
      <c r="N2578" s="2" t="s">
        <v>407</v>
      </c>
      <c r="O2578" s="2" t="s">
        <v>408</v>
      </c>
      <c r="P2578" s="2" t="s">
        <v>171</v>
      </c>
      <c r="Q2578" s="2" t="s">
        <v>409</v>
      </c>
      <c r="R2578" s="2" t="s">
        <v>410</v>
      </c>
      <c r="S2578" s="2" t="s">
        <v>30</v>
      </c>
      <c r="T2578">
        <v>2886</v>
      </c>
      <c r="U2578">
        <f>VLOOKUP(Auto_Sales_data___Copy[[#This Row],[CUSTOMER_NAME]],$AF$2:$AH$90,2,FALSE)</f>
        <v>26</v>
      </c>
      <c r="V2578">
        <f>VLOOKUP(Auto_Sales_data___Copy[[#This Row],[CUSTOMER_NAME]],$AF$2:$AH$90,3,FALSE)</f>
        <v>78240.84</v>
      </c>
      <c r="W2578" s="2">
        <f>6-MATCH(Auto_Sales_data___Copy[[#This Row],[DAYS_SINCE_LAST_ORDER]],Table2[R-Cutoff],1)</f>
        <v>1</v>
      </c>
      <c r="X2578" s="2">
        <f>MATCH(Auto_Sales_data___Copy[[#This Row],[Total_Orders_Per_Customer]],Table2[F-Cutoff],1)</f>
        <v>3</v>
      </c>
      <c r="Y2578" s="2">
        <f>MATCH(Auto_Sales_data___Copy[[#This Row],[Total_Sales_Per_Customer]],Table2[M-Cutoff],1)</f>
        <v>2</v>
      </c>
      <c r="Z2578" s="2" t="str">
        <f>Auto_Sales_data___Copy[[#This Row],[R-Score(1-5)]]&amp;Auto_Sales_data___Copy[[#This Row],[F-Score(1-5)]]&amp;Auto_Sales_data___Copy[[#This Row],[M-Score(1-5)]]</f>
        <v>132</v>
      </c>
      <c r="AA2578" s="2" t="str" cm="1">
        <f t="array" ref="AA25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8" s="2" t="str">
        <f>VLOOKUP(Auto_Sales_data___Copy[[#This Row],[Segment Name]],Table3[],2,FALSE)</f>
        <v>Re-Activation &amp; Re-Engagement</v>
      </c>
    </row>
    <row r="2579" spans="1:28" x14ac:dyDescent="0.25">
      <c r="A2579">
        <v>10232</v>
      </c>
      <c r="B2579">
        <v>48</v>
      </c>
      <c r="C2579">
        <v>96.16</v>
      </c>
      <c r="D2579">
        <v>1</v>
      </c>
      <c r="E2579">
        <v>4615.68</v>
      </c>
      <c r="F2579" s="1">
        <v>43544</v>
      </c>
      <c r="G2579" s="2" t="s">
        <v>19</v>
      </c>
      <c r="H2579" s="2" t="s">
        <v>642</v>
      </c>
      <c r="I2579">
        <v>100</v>
      </c>
      <c r="J2579" s="2" t="s">
        <v>715</v>
      </c>
      <c r="K2579" s="2" t="s">
        <v>404</v>
      </c>
      <c r="L2579" s="2" t="s">
        <v>405</v>
      </c>
      <c r="M2579" s="2" t="s">
        <v>406</v>
      </c>
      <c r="N2579" s="2" t="s">
        <v>407</v>
      </c>
      <c r="O2579" s="2" t="s">
        <v>408</v>
      </c>
      <c r="P2579" s="2" t="s">
        <v>171</v>
      </c>
      <c r="Q2579" s="2" t="s">
        <v>409</v>
      </c>
      <c r="R2579" s="2" t="s">
        <v>410</v>
      </c>
      <c r="S2579" s="2" t="s">
        <v>46</v>
      </c>
      <c r="T2579">
        <v>3066</v>
      </c>
      <c r="U2579">
        <f>VLOOKUP(Auto_Sales_data___Copy[[#This Row],[CUSTOMER_NAME]],$AF$2:$AH$90,2,FALSE)</f>
        <v>26</v>
      </c>
      <c r="V2579">
        <f>VLOOKUP(Auto_Sales_data___Copy[[#This Row],[CUSTOMER_NAME]],$AF$2:$AH$90,3,FALSE)</f>
        <v>78240.84</v>
      </c>
      <c r="W2579" s="2">
        <f>6-MATCH(Auto_Sales_data___Copy[[#This Row],[DAYS_SINCE_LAST_ORDER]],Table2[R-Cutoff],1)</f>
        <v>1</v>
      </c>
      <c r="X2579" s="2">
        <f>MATCH(Auto_Sales_data___Copy[[#This Row],[Total_Orders_Per_Customer]],Table2[F-Cutoff],1)</f>
        <v>3</v>
      </c>
      <c r="Y2579" s="2">
        <f>MATCH(Auto_Sales_data___Copy[[#This Row],[Total_Sales_Per_Customer]],Table2[M-Cutoff],1)</f>
        <v>2</v>
      </c>
      <c r="Z2579" s="2" t="str">
        <f>Auto_Sales_data___Copy[[#This Row],[R-Score(1-5)]]&amp;Auto_Sales_data___Copy[[#This Row],[F-Score(1-5)]]&amp;Auto_Sales_data___Copy[[#This Row],[M-Score(1-5)]]</f>
        <v>132</v>
      </c>
      <c r="AA2579" s="2" t="str" cm="1">
        <f t="array" ref="AA25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9" s="2" t="str">
        <f>VLOOKUP(Auto_Sales_data___Copy[[#This Row],[Segment Name]],Table3[],2,FALSE)</f>
        <v>Re-Activation &amp; Re-Engagement</v>
      </c>
    </row>
    <row r="2580" spans="1:28" x14ac:dyDescent="0.25">
      <c r="A2580">
        <v>10232</v>
      </c>
      <c r="B2580">
        <v>35</v>
      </c>
      <c r="C2580">
        <v>82.43</v>
      </c>
      <c r="D2580">
        <v>2</v>
      </c>
      <c r="E2580">
        <v>2885.05</v>
      </c>
      <c r="F2580" s="1">
        <v>43544</v>
      </c>
      <c r="G2580" s="2" t="s">
        <v>19</v>
      </c>
      <c r="H2580" s="2" t="s">
        <v>642</v>
      </c>
      <c r="I2580">
        <v>99</v>
      </c>
      <c r="J2580" s="2" t="s">
        <v>716</v>
      </c>
      <c r="K2580" s="2" t="s">
        <v>404</v>
      </c>
      <c r="L2580" s="2" t="s">
        <v>405</v>
      </c>
      <c r="M2580" s="2" t="s">
        <v>406</v>
      </c>
      <c r="N2580" s="2" t="s">
        <v>407</v>
      </c>
      <c r="O2580" s="2" t="s">
        <v>408</v>
      </c>
      <c r="P2580" s="2" t="s">
        <v>171</v>
      </c>
      <c r="Q2580" s="2" t="s">
        <v>409</v>
      </c>
      <c r="R2580" s="2" t="s">
        <v>410</v>
      </c>
      <c r="S2580" s="2" t="s">
        <v>30</v>
      </c>
      <c r="T2580">
        <v>3092</v>
      </c>
      <c r="U2580">
        <f>VLOOKUP(Auto_Sales_data___Copy[[#This Row],[CUSTOMER_NAME]],$AF$2:$AH$90,2,FALSE)</f>
        <v>26</v>
      </c>
      <c r="V2580">
        <f>VLOOKUP(Auto_Sales_data___Copy[[#This Row],[CUSTOMER_NAME]],$AF$2:$AH$90,3,FALSE)</f>
        <v>78240.84</v>
      </c>
      <c r="W2580" s="2">
        <f>6-MATCH(Auto_Sales_data___Copy[[#This Row],[DAYS_SINCE_LAST_ORDER]],Table2[R-Cutoff],1)</f>
        <v>1</v>
      </c>
      <c r="X2580" s="2">
        <f>MATCH(Auto_Sales_data___Copy[[#This Row],[Total_Orders_Per_Customer]],Table2[F-Cutoff],1)</f>
        <v>3</v>
      </c>
      <c r="Y2580" s="2">
        <f>MATCH(Auto_Sales_data___Copy[[#This Row],[Total_Sales_Per_Customer]],Table2[M-Cutoff],1)</f>
        <v>2</v>
      </c>
      <c r="Z2580" s="2" t="str">
        <f>Auto_Sales_data___Copy[[#This Row],[R-Score(1-5)]]&amp;Auto_Sales_data___Copy[[#This Row],[F-Score(1-5)]]&amp;Auto_Sales_data___Copy[[#This Row],[M-Score(1-5)]]</f>
        <v>132</v>
      </c>
      <c r="AA2580" s="2" t="str" cm="1">
        <f t="array" ref="AA25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0" s="2" t="str">
        <f>VLOOKUP(Auto_Sales_data___Copy[[#This Row],[Segment Name]],Table3[],2,FALSE)</f>
        <v>Re-Activation &amp; Re-Engagement</v>
      </c>
    </row>
    <row r="2581" spans="1:28" x14ac:dyDescent="0.25">
      <c r="A2581">
        <v>10232</v>
      </c>
      <c r="B2581">
        <v>24</v>
      </c>
      <c r="C2581">
        <v>49.69</v>
      </c>
      <c r="D2581">
        <v>3</v>
      </c>
      <c r="E2581">
        <v>1192.56</v>
      </c>
      <c r="F2581" s="1">
        <v>43544</v>
      </c>
      <c r="G2581" s="2" t="s">
        <v>19</v>
      </c>
      <c r="H2581" s="2" t="s">
        <v>642</v>
      </c>
      <c r="I2581">
        <v>54</v>
      </c>
      <c r="J2581" s="2" t="s">
        <v>719</v>
      </c>
      <c r="K2581" s="2" t="s">
        <v>404</v>
      </c>
      <c r="L2581" s="2" t="s">
        <v>405</v>
      </c>
      <c r="M2581" s="2" t="s">
        <v>406</v>
      </c>
      <c r="N2581" s="2" t="s">
        <v>407</v>
      </c>
      <c r="O2581" s="2" t="s">
        <v>408</v>
      </c>
      <c r="P2581" s="2" t="s">
        <v>171</v>
      </c>
      <c r="Q2581" s="2" t="s">
        <v>409</v>
      </c>
      <c r="R2581" s="2" t="s">
        <v>410</v>
      </c>
      <c r="S2581" s="2" t="s">
        <v>30</v>
      </c>
      <c r="T2581">
        <v>3171</v>
      </c>
      <c r="U2581">
        <f>VLOOKUP(Auto_Sales_data___Copy[[#This Row],[CUSTOMER_NAME]],$AF$2:$AH$90,2,FALSE)</f>
        <v>26</v>
      </c>
      <c r="V2581">
        <f>VLOOKUP(Auto_Sales_data___Copy[[#This Row],[CUSTOMER_NAME]],$AF$2:$AH$90,3,FALSE)</f>
        <v>78240.84</v>
      </c>
      <c r="W2581" s="2">
        <f>6-MATCH(Auto_Sales_data___Copy[[#This Row],[DAYS_SINCE_LAST_ORDER]],Table2[R-Cutoff],1)</f>
        <v>1</v>
      </c>
      <c r="X2581" s="2">
        <f>MATCH(Auto_Sales_data___Copy[[#This Row],[Total_Orders_Per_Customer]],Table2[F-Cutoff],1)</f>
        <v>3</v>
      </c>
      <c r="Y2581" s="2">
        <f>MATCH(Auto_Sales_data___Copy[[#This Row],[Total_Sales_Per_Customer]],Table2[M-Cutoff],1)</f>
        <v>2</v>
      </c>
      <c r="Z2581" s="2" t="str">
        <f>Auto_Sales_data___Copy[[#This Row],[R-Score(1-5)]]&amp;Auto_Sales_data___Copy[[#This Row],[F-Score(1-5)]]&amp;Auto_Sales_data___Copy[[#This Row],[M-Score(1-5)]]</f>
        <v>132</v>
      </c>
      <c r="AA2581" s="2" t="str" cm="1">
        <f t="array" ref="AA25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1" s="2" t="str">
        <f>VLOOKUP(Auto_Sales_data___Copy[[#This Row],[Segment Name]],Table3[],2,FALSE)</f>
        <v>Re-Activation &amp; Re-Engagement</v>
      </c>
    </row>
    <row r="2582" spans="1:28" x14ac:dyDescent="0.25">
      <c r="A2582">
        <v>10235</v>
      </c>
      <c r="B2582">
        <v>34</v>
      </c>
      <c r="C2582">
        <v>77.73</v>
      </c>
      <c r="D2582">
        <v>6</v>
      </c>
      <c r="E2582">
        <v>2642.82</v>
      </c>
      <c r="F2582" s="1">
        <v>43557</v>
      </c>
      <c r="G2582" s="2" t="s">
        <v>19</v>
      </c>
      <c r="H2582" s="2" t="s">
        <v>589</v>
      </c>
      <c r="I2582">
        <v>68</v>
      </c>
      <c r="J2582" s="2" t="s">
        <v>700</v>
      </c>
      <c r="K2582" s="2" t="s">
        <v>392</v>
      </c>
      <c r="L2582" s="2" t="s">
        <v>393</v>
      </c>
      <c r="M2582" s="2" t="s">
        <v>394</v>
      </c>
      <c r="N2582" s="2" t="s">
        <v>395</v>
      </c>
      <c r="O2582" s="2" t="s">
        <v>396</v>
      </c>
      <c r="P2582" s="2" t="s">
        <v>236</v>
      </c>
      <c r="Q2582" s="2" t="s">
        <v>397</v>
      </c>
      <c r="R2582" s="2" t="s">
        <v>173</v>
      </c>
      <c r="S2582" s="2" t="s">
        <v>30</v>
      </c>
      <c r="T2582">
        <v>2665</v>
      </c>
      <c r="U2582">
        <f>VLOOKUP(Auto_Sales_data___Copy[[#This Row],[CUSTOMER_NAME]],$AF$2:$AH$90,2,FALSE)</f>
        <v>26</v>
      </c>
      <c r="V2582">
        <f>VLOOKUP(Auto_Sales_data___Copy[[#This Row],[CUSTOMER_NAME]],$AF$2:$AH$90,3,FALSE)</f>
        <v>74634.850000000006</v>
      </c>
      <c r="W2582" s="2">
        <f>6-MATCH(Auto_Sales_data___Copy[[#This Row],[DAYS_SINCE_LAST_ORDER]],Table2[R-Cutoff],1)</f>
        <v>1</v>
      </c>
      <c r="X2582" s="2">
        <f>MATCH(Auto_Sales_data___Copy[[#This Row],[Total_Orders_Per_Customer]],Table2[F-Cutoff],1)</f>
        <v>3</v>
      </c>
      <c r="Y2582" s="2">
        <f>MATCH(Auto_Sales_data___Copy[[#This Row],[Total_Sales_Per_Customer]],Table2[M-Cutoff],1)</f>
        <v>2</v>
      </c>
      <c r="Z2582" s="2" t="str">
        <f>Auto_Sales_data___Copy[[#This Row],[R-Score(1-5)]]&amp;Auto_Sales_data___Copy[[#This Row],[F-Score(1-5)]]&amp;Auto_Sales_data___Copy[[#This Row],[M-Score(1-5)]]</f>
        <v>132</v>
      </c>
      <c r="AA2582" s="2" t="str" cm="1">
        <f t="array" ref="AA25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2" s="2" t="str">
        <f>VLOOKUP(Auto_Sales_data___Copy[[#This Row],[Segment Name]],Table3[],2,FALSE)</f>
        <v>Re-Activation &amp; Re-Engagement</v>
      </c>
    </row>
    <row r="2583" spans="1:28" x14ac:dyDescent="0.25">
      <c r="A2583">
        <v>10235</v>
      </c>
      <c r="B2583">
        <v>41</v>
      </c>
      <c r="C2583">
        <v>35.35</v>
      </c>
      <c r="D2583">
        <v>7</v>
      </c>
      <c r="E2583">
        <v>1449.35</v>
      </c>
      <c r="F2583" s="1">
        <v>43557</v>
      </c>
      <c r="G2583" s="2" t="s">
        <v>19</v>
      </c>
      <c r="H2583" s="2" t="s">
        <v>589</v>
      </c>
      <c r="I2583">
        <v>43</v>
      </c>
      <c r="J2583" s="2" t="s">
        <v>702</v>
      </c>
      <c r="K2583" s="2" t="s">
        <v>392</v>
      </c>
      <c r="L2583" s="2" t="s">
        <v>393</v>
      </c>
      <c r="M2583" s="2" t="s">
        <v>394</v>
      </c>
      <c r="N2583" s="2" t="s">
        <v>395</v>
      </c>
      <c r="O2583" s="2" t="s">
        <v>396</v>
      </c>
      <c r="P2583" s="2" t="s">
        <v>236</v>
      </c>
      <c r="Q2583" s="2" t="s">
        <v>397</v>
      </c>
      <c r="R2583" s="2" t="s">
        <v>173</v>
      </c>
      <c r="S2583" s="2" t="s">
        <v>30</v>
      </c>
      <c r="T2583">
        <v>2715</v>
      </c>
      <c r="U2583">
        <f>VLOOKUP(Auto_Sales_data___Copy[[#This Row],[CUSTOMER_NAME]],$AF$2:$AH$90,2,FALSE)</f>
        <v>26</v>
      </c>
      <c r="V2583">
        <f>VLOOKUP(Auto_Sales_data___Copy[[#This Row],[CUSTOMER_NAME]],$AF$2:$AH$90,3,FALSE)</f>
        <v>74634.850000000006</v>
      </c>
      <c r="W2583" s="2">
        <f>6-MATCH(Auto_Sales_data___Copy[[#This Row],[DAYS_SINCE_LAST_ORDER]],Table2[R-Cutoff],1)</f>
        <v>1</v>
      </c>
      <c r="X2583" s="2">
        <f>MATCH(Auto_Sales_data___Copy[[#This Row],[Total_Orders_Per_Customer]],Table2[F-Cutoff],1)</f>
        <v>3</v>
      </c>
      <c r="Y2583" s="2">
        <f>MATCH(Auto_Sales_data___Copy[[#This Row],[Total_Sales_Per_Customer]],Table2[M-Cutoff],1)</f>
        <v>2</v>
      </c>
      <c r="Z2583" s="2" t="str">
        <f>Auto_Sales_data___Copy[[#This Row],[R-Score(1-5)]]&amp;Auto_Sales_data___Copy[[#This Row],[F-Score(1-5)]]&amp;Auto_Sales_data___Copy[[#This Row],[M-Score(1-5)]]</f>
        <v>132</v>
      </c>
      <c r="AA2583" s="2" t="str" cm="1">
        <f t="array" ref="AA25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3" s="2" t="str">
        <f>VLOOKUP(Auto_Sales_data___Copy[[#This Row],[Segment Name]],Table3[],2,FALSE)</f>
        <v>Re-Activation &amp; Re-Engagement</v>
      </c>
    </row>
    <row r="2584" spans="1:28" x14ac:dyDescent="0.25">
      <c r="A2584">
        <v>10235</v>
      </c>
      <c r="B2584">
        <v>25</v>
      </c>
      <c r="C2584">
        <v>103.21</v>
      </c>
      <c r="D2584">
        <v>8</v>
      </c>
      <c r="E2584">
        <v>2580.25</v>
      </c>
      <c r="F2584" s="1">
        <v>43557</v>
      </c>
      <c r="G2584" s="2" t="s">
        <v>19</v>
      </c>
      <c r="H2584" s="2" t="s">
        <v>607</v>
      </c>
      <c r="I2584">
        <v>91</v>
      </c>
      <c r="J2584" s="2" t="s">
        <v>707</v>
      </c>
      <c r="K2584" s="2" t="s">
        <v>392</v>
      </c>
      <c r="L2584" s="2" t="s">
        <v>393</v>
      </c>
      <c r="M2584" s="2" t="s">
        <v>394</v>
      </c>
      <c r="N2584" s="2" t="s">
        <v>395</v>
      </c>
      <c r="O2584" s="2" t="s">
        <v>396</v>
      </c>
      <c r="P2584" s="2" t="s">
        <v>236</v>
      </c>
      <c r="Q2584" s="2" t="s">
        <v>397</v>
      </c>
      <c r="R2584" s="2" t="s">
        <v>173</v>
      </c>
      <c r="S2584" s="2" t="s">
        <v>30</v>
      </c>
      <c r="T2584">
        <v>2845</v>
      </c>
      <c r="U2584">
        <f>VLOOKUP(Auto_Sales_data___Copy[[#This Row],[CUSTOMER_NAME]],$AF$2:$AH$90,2,FALSE)</f>
        <v>26</v>
      </c>
      <c r="V2584">
        <f>VLOOKUP(Auto_Sales_data___Copy[[#This Row],[CUSTOMER_NAME]],$AF$2:$AH$90,3,FALSE)</f>
        <v>74634.850000000006</v>
      </c>
      <c r="W2584" s="2">
        <f>6-MATCH(Auto_Sales_data___Copy[[#This Row],[DAYS_SINCE_LAST_ORDER]],Table2[R-Cutoff],1)</f>
        <v>1</v>
      </c>
      <c r="X2584" s="2">
        <f>MATCH(Auto_Sales_data___Copy[[#This Row],[Total_Orders_Per_Customer]],Table2[F-Cutoff],1)</f>
        <v>3</v>
      </c>
      <c r="Y2584" s="2">
        <f>MATCH(Auto_Sales_data___Copy[[#This Row],[Total_Sales_Per_Customer]],Table2[M-Cutoff],1)</f>
        <v>2</v>
      </c>
      <c r="Z2584" s="2" t="str">
        <f>Auto_Sales_data___Copy[[#This Row],[R-Score(1-5)]]&amp;Auto_Sales_data___Copy[[#This Row],[F-Score(1-5)]]&amp;Auto_Sales_data___Copy[[#This Row],[M-Score(1-5)]]</f>
        <v>132</v>
      </c>
      <c r="AA2584" s="2" t="str" cm="1">
        <f t="array" ref="AA25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4" s="2" t="str">
        <f>VLOOKUP(Auto_Sales_data___Copy[[#This Row],[Segment Name]],Table3[],2,FALSE)</f>
        <v>Re-Activation &amp; Re-Engagement</v>
      </c>
    </row>
    <row r="2585" spans="1:28" x14ac:dyDescent="0.25">
      <c r="A2585">
        <v>10235</v>
      </c>
      <c r="B2585">
        <v>38</v>
      </c>
      <c r="C2585">
        <v>88.75</v>
      </c>
      <c r="D2585">
        <v>10</v>
      </c>
      <c r="E2585">
        <v>3372.5</v>
      </c>
      <c r="F2585" s="1">
        <v>43557</v>
      </c>
      <c r="G2585" s="2" t="s">
        <v>19</v>
      </c>
      <c r="H2585" s="2" t="s">
        <v>607</v>
      </c>
      <c r="I2585">
        <v>99</v>
      </c>
      <c r="J2585" s="2" t="s">
        <v>710</v>
      </c>
      <c r="K2585" s="2" t="s">
        <v>392</v>
      </c>
      <c r="L2585" s="2" t="s">
        <v>393</v>
      </c>
      <c r="M2585" s="2" t="s">
        <v>394</v>
      </c>
      <c r="N2585" s="2" t="s">
        <v>395</v>
      </c>
      <c r="O2585" s="2" t="s">
        <v>396</v>
      </c>
      <c r="P2585" s="2" t="s">
        <v>236</v>
      </c>
      <c r="Q2585" s="2" t="s">
        <v>397</v>
      </c>
      <c r="R2585" s="2" t="s">
        <v>173</v>
      </c>
      <c r="S2585" s="2" t="s">
        <v>46</v>
      </c>
      <c r="T2585">
        <v>2922</v>
      </c>
      <c r="U2585">
        <f>VLOOKUP(Auto_Sales_data___Copy[[#This Row],[CUSTOMER_NAME]],$AF$2:$AH$90,2,FALSE)</f>
        <v>26</v>
      </c>
      <c r="V2585">
        <f>VLOOKUP(Auto_Sales_data___Copy[[#This Row],[CUSTOMER_NAME]],$AF$2:$AH$90,3,FALSE)</f>
        <v>74634.850000000006</v>
      </c>
      <c r="W2585" s="2">
        <f>6-MATCH(Auto_Sales_data___Copy[[#This Row],[DAYS_SINCE_LAST_ORDER]],Table2[R-Cutoff],1)</f>
        <v>1</v>
      </c>
      <c r="X2585" s="2">
        <f>MATCH(Auto_Sales_data___Copy[[#This Row],[Total_Orders_Per_Customer]],Table2[F-Cutoff],1)</f>
        <v>3</v>
      </c>
      <c r="Y2585" s="2">
        <f>MATCH(Auto_Sales_data___Copy[[#This Row],[Total_Sales_Per_Customer]],Table2[M-Cutoff],1)</f>
        <v>2</v>
      </c>
      <c r="Z2585" s="2" t="str">
        <f>Auto_Sales_data___Copy[[#This Row],[R-Score(1-5)]]&amp;Auto_Sales_data___Copy[[#This Row],[F-Score(1-5)]]&amp;Auto_Sales_data___Copy[[#This Row],[M-Score(1-5)]]</f>
        <v>132</v>
      </c>
      <c r="AA2585" s="2" t="str" cm="1">
        <f t="array" ref="AA25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5" s="2" t="str">
        <f>VLOOKUP(Auto_Sales_data___Copy[[#This Row],[Segment Name]],Table3[],2,FALSE)</f>
        <v>Re-Activation &amp; Re-Engagement</v>
      </c>
    </row>
    <row r="2586" spans="1:28" x14ac:dyDescent="0.25">
      <c r="A2586">
        <v>10235</v>
      </c>
      <c r="B2586">
        <v>25</v>
      </c>
      <c r="C2586">
        <v>96.11</v>
      </c>
      <c r="D2586">
        <v>2</v>
      </c>
      <c r="E2586">
        <v>2402.75</v>
      </c>
      <c r="F2586" s="1">
        <v>43557</v>
      </c>
      <c r="G2586" s="2" t="s">
        <v>19</v>
      </c>
      <c r="H2586" s="2" t="s">
        <v>607</v>
      </c>
      <c r="I2586">
        <v>118</v>
      </c>
      <c r="J2586" s="2" t="s">
        <v>713</v>
      </c>
      <c r="K2586" s="2" t="s">
        <v>392</v>
      </c>
      <c r="L2586" s="2" t="s">
        <v>393</v>
      </c>
      <c r="M2586" s="2" t="s">
        <v>394</v>
      </c>
      <c r="N2586" s="2" t="s">
        <v>395</v>
      </c>
      <c r="O2586" s="2" t="s">
        <v>396</v>
      </c>
      <c r="P2586" s="2" t="s">
        <v>236</v>
      </c>
      <c r="Q2586" s="2" t="s">
        <v>397</v>
      </c>
      <c r="R2586" s="2" t="s">
        <v>173</v>
      </c>
      <c r="S2586" s="2" t="s">
        <v>30</v>
      </c>
      <c r="T2586">
        <v>3000</v>
      </c>
      <c r="U2586">
        <f>VLOOKUP(Auto_Sales_data___Copy[[#This Row],[CUSTOMER_NAME]],$AF$2:$AH$90,2,FALSE)</f>
        <v>26</v>
      </c>
      <c r="V2586">
        <f>VLOOKUP(Auto_Sales_data___Copy[[#This Row],[CUSTOMER_NAME]],$AF$2:$AH$90,3,FALSE)</f>
        <v>74634.850000000006</v>
      </c>
      <c r="W2586" s="2">
        <f>6-MATCH(Auto_Sales_data___Copy[[#This Row],[DAYS_SINCE_LAST_ORDER]],Table2[R-Cutoff],1)</f>
        <v>1</v>
      </c>
      <c r="X2586" s="2">
        <f>MATCH(Auto_Sales_data___Copy[[#This Row],[Total_Orders_Per_Customer]],Table2[F-Cutoff],1)</f>
        <v>3</v>
      </c>
      <c r="Y2586" s="2">
        <f>MATCH(Auto_Sales_data___Copy[[#This Row],[Total_Sales_Per_Customer]],Table2[M-Cutoff],1)</f>
        <v>2</v>
      </c>
      <c r="Z2586" s="2" t="str">
        <f>Auto_Sales_data___Copy[[#This Row],[R-Score(1-5)]]&amp;Auto_Sales_data___Copy[[#This Row],[F-Score(1-5)]]&amp;Auto_Sales_data___Copy[[#This Row],[M-Score(1-5)]]</f>
        <v>132</v>
      </c>
      <c r="AA2586" s="2" t="str" cm="1">
        <f t="array" ref="AA25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6" s="2" t="str">
        <f>VLOOKUP(Auto_Sales_data___Copy[[#This Row],[Segment Name]],Table3[],2,FALSE)</f>
        <v>Re-Activation &amp; Re-Engagement</v>
      </c>
    </row>
    <row r="2587" spans="1:28" x14ac:dyDescent="0.25">
      <c r="A2587">
        <v>10235</v>
      </c>
      <c r="B2587">
        <v>32</v>
      </c>
      <c r="C2587">
        <v>92</v>
      </c>
      <c r="D2587">
        <v>9</v>
      </c>
      <c r="E2587">
        <v>2944</v>
      </c>
      <c r="F2587" s="1">
        <v>43557</v>
      </c>
      <c r="G2587" s="2" t="s">
        <v>19</v>
      </c>
      <c r="H2587" s="2" t="s">
        <v>607</v>
      </c>
      <c r="I2587">
        <v>80</v>
      </c>
      <c r="J2587" s="2" t="s">
        <v>714</v>
      </c>
      <c r="K2587" s="2" t="s">
        <v>392</v>
      </c>
      <c r="L2587" s="2" t="s">
        <v>393</v>
      </c>
      <c r="M2587" s="2" t="s">
        <v>394</v>
      </c>
      <c r="N2587" s="2" t="s">
        <v>395</v>
      </c>
      <c r="O2587" s="2" t="s">
        <v>396</v>
      </c>
      <c r="P2587" s="2" t="s">
        <v>236</v>
      </c>
      <c r="Q2587" s="2" t="s">
        <v>397</v>
      </c>
      <c r="R2587" s="2" t="s">
        <v>173</v>
      </c>
      <c r="S2587" s="2" t="s">
        <v>30</v>
      </c>
      <c r="T2587">
        <v>3025</v>
      </c>
      <c r="U2587">
        <f>VLOOKUP(Auto_Sales_data___Copy[[#This Row],[CUSTOMER_NAME]],$AF$2:$AH$90,2,FALSE)</f>
        <v>26</v>
      </c>
      <c r="V2587">
        <f>VLOOKUP(Auto_Sales_data___Copy[[#This Row],[CUSTOMER_NAME]],$AF$2:$AH$90,3,FALSE)</f>
        <v>74634.850000000006</v>
      </c>
      <c r="W2587" s="2">
        <f>6-MATCH(Auto_Sales_data___Copy[[#This Row],[DAYS_SINCE_LAST_ORDER]],Table2[R-Cutoff],1)</f>
        <v>1</v>
      </c>
      <c r="X2587" s="2">
        <f>MATCH(Auto_Sales_data___Copy[[#This Row],[Total_Orders_Per_Customer]],Table2[F-Cutoff],1)</f>
        <v>3</v>
      </c>
      <c r="Y2587" s="2">
        <f>MATCH(Auto_Sales_data___Copy[[#This Row],[Total_Sales_Per_Customer]],Table2[M-Cutoff],1)</f>
        <v>2</v>
      </c>
      <c r="Z2587" s="2" t="str">
        <f>Auto_Sales_data___Copy[[#This Row],[R-Score(1-5)]]&amp;Auto_Sales_data___Copy[[#This Row],[F-Score(1-5)]]&amp;Auto_Sales_data___Copy[[#This Row],[M-Score(1-5)]]</f>
        <v>132</v>
      </c>
      <c r="AA2587" s="2" t="str" cm="1">
        <f t="array" ref="AA25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7" s="2" t="str">
        <f>VLOOKUP(Auto_Sales_data___Copy[[#This Row],[Segment Name]],Table3[],2,FALSE)</f>
        <v>Re-Activation &amp; Re-Engagement</v>
      </c>
    </row>
    <row r="2588" spans="1:28" x14ac:dyDescent="0.25">
      <c r="A2588">
        <v>10235</v>
      </c>
      <c r="B2588">
        <v>34</v>
      </c>
      <c r="C2588">
        <v>72.55</v>
      </c>
      <c r="D2588">
        <v>11</v>
      </c>
      <c r="E2588">
        <v>2466.6999999999998</v>
      </c>
      <c r="F2588" s="1">
        <v>43557</v>
      </c>
      <c r="G2588" s="2" t="s">
        <v>19</v>
      </c>
      <c r="H2588" s="2" t="s">
        <v>607</v>
      </c>
      <c r="I2588">
        <v>74</v>
      </c>
      <c r="J2588" s="2" t="s">
        <v>717</v>
      </c>
      <c r="K2588" s="2" t="s">
        <v>392</v>
      </c>
      <c r="L2588" s="2" t="s">
        <v>393</v>
      </c>
      <c r="M2588" s="2" t="s">
        <v>394</v>
      </c>
      <c r="N2588" s="2" t="s">
        <v>395</v>
      </c>
      <c r="O2588" s="2" t="s">
        <v>396</v>
      </c>
      <c r="P2588" s="2" t="s">
        <v>236</v>
      </c>
      <c r="Q2588" s="2" t="s">
        <v>397</v>
      </c>
      <c r="R2588" s="2" t="s">
        <v>173</v>
      </c>
      <c r="S2588" s="2" t="s">
        <v>30</v>
      </c>
      <c r="T2588">
        <v>3104</v>
      </c>
      <c r="U2588">
        <f>VLOOKUP(Auto_Sales_data___Copy[[#This Row],[CUSTOMER_NAME]],$AF$2:$AH$90,2,FALSE)</f>
        <v>26</v>
      </c>
      <c r="V2588">
        <f>VLOOKUP(Auto_Sales_data___Copy[[#This Row],[CUSTOMER_NAME]],$AF$2:$AH$90,3,FALSE)</f>
        <v>74634.850000000006</v>
      </c>
      <c r="W2588" s="2">
        <f>6-MATCH(Auto_Sales_data___Copy[[#This Row],[DAYS_SINCE_LAST_ORDER]],Table2[R-Cutoff],1)</f>
        <v>1</v>
      </c>
      <c r="X2588" s="2">
        <f>MATCH(Auto_Sales_data___Copy[[#This Row],[Total_Orders_Per_Customer]],Table2[F-Cutoff],1)</f>
        <v>3</v>
      </c>
      <c r="Y2588" s="2">
        <f>MATCH(Auto_Sales_data___Copy[[#This Row],[Total_Sales_Per_Customer]],Table2[M-Cutoff],1)</f>
        <v>2</v>
      </c>
      <c r="Z2588" s="2" t="str">
        <f>Auto_Sales_data___Copy[[#This Row],[R-Score(1-5)]]&amp;Auto_Sales_data___Copy[[#This Row],[F-Score(1-5)]]&amp;Auto_Sales_data___Copy[[#This Row],[M-Score(1-5)]]</f>
        <v>132</v>
      </c>
      <c r="AA2588" s="2" t="str" cm="1">
        <f t="array" ref="AA25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8" s="2" t="str">
        <f>VLOOKUP(Auto_Sales_data___Copy[[#This Row],[Segment Name]],Table3[],2,FALSE)</f>
        <v>Re-Activation &amp; Re-Engagement</v>
      </c>
    </row>
    <row r="2589" spans="1:28" x14ac:dyDescent="0.25">
      <c r="A2589">
        <v>10273</v>
      </c>
      <c r="B2589">
        <v>21</v>
      </c>
      <c r="C2589">
        <v>65.34</v>
      </c>
      <c r="D2589">
        <v>7</v>
      </c>
      <c r="E2589">
        <v>1372.14</v>
      </c>
      <c r="F2589" s="1">
        <v>43667</v>
      </c>
      <c r="G2589" s="2" t="s">
        <v>19</v>
      </c>
      <c r="H2589" s="2" t="s">
        <v>642</v>
      </c>
      <c r="I2589">
        <v>66</v>
      </c>
      <c r="J2589" s="2" t="s">
        <v>706</v>
      </c>
      <c r="K2589" s="2" t="s">
        <v>384</v>
      </c>
      <c r="L2589" s="2" t="s">
        <v>385</v>
      </c>
      <c r="M2589" s="2" t="s">
        <v>386</v>
      </c>
      <c r="N2589" s="2" t="s">
        <v>387</v>
      </c>
      <c r="O2589" s="2" t="s">
        <v>388</v>
      </c>
      <c r="P2589" s="2" t="s">
        <v>389</v>
      </c>
      <c r="Q2589" s="2" t="s">
        <v>390</v>
      </c>
      <c r="R2589" s="2" t="s">
        <v>391</v>
      </c>
      <c r="S2589" s="2" t="s">
        <v>30</v>
      </c>
      <c r="T2589">
        <v>2714</v>
      </c>
      <c r="U2589">
        <f>VLOOKUP(Auto_Sales_data___Copy[[#This Row],[CUSTOMER_NAME]],$AF$2:$AH$90,2,FALSE)</f>
        <v>25</v>
      </c>
      <c r="V2589">
        <f>VLOOKUP(Auto_Sales_data___Copy[[#This Row],[CUSTOMER_NAME]],$AF$2:$AH$90,3,FALSE)</f>
        <v>74972.52</v>
      </c>
      <c r="W2589" s="2">
        <f>6-MATCH(Auto_Sales_data___Copy[[#This Row],[DAYS_SINCE_LAST_ORDER]],Table2[R-Cutoff],1)</f>
        <v>1</v>
      </c>
      <c r="X2589" s="2">
        <f>MATCH(Auto_Sales_data___Copy[[#This Row],[Total_Orders_Per_Customer]],Table2[F-Cutoff],1)</f>
        <v>3</v>
      </c>
      <c r="Y2589" s="2">
        <f>MATCH(Auto_Sales_data___Copy[[#This Row],[Total_Sales_Per_Customer]],Table2[M-Cutoff],1)</f>
        <v>2</v>
      </c>
      <c r="Z2589" s="2" t="str">
        <f>Auto_Sales_data___Copy[[#This Row],[R-Score(1-5)]]&amp;Auto_Sales_data___Copy[[#This Row],[F-Score(1-5)]]&amp;Auto_Sales_data___Copy[[#This Row],[M-Score(1-5)]]</f>
        <v>132</v>
      </c>
      <c r="AA2589" s="2" t="str" cm="1">
        <f t="array" ref="AA25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9" s="2" t="str">
        <f>VLOOKUP(Auto_Sales_data___Copy[[#This Row],[Segment Name]],Table3[],2,FALSE)</f>
        <v>Re-Activation &amp; Re-Engagement</v>
      </c>
    </row>
    <row r="2590" spans="1:28" x14ac:dyDescent="0.25">
      <c r="A2590">
        <v>10273</v>
      </c>
      <c r="B2590">
        <v>21</v>
      </c>
      <c r="C2590">
        <v>102.2</v>
      </c>
      <c r="D2590">
        <v>14</v>
      </c>
      <c r="E2590">
        <v>2146.1999999999998</v>
      </c>
      <c r="F2590" s="1">
        <v>43667</v>
      </c>
      <c r="G2590" s="2" t="s">
        <v>19</v>
      </c>
      <c r="H2590" s="2" t="s">
        <v>642</v>
      </c>
      <c r="I2590">
        <v>86</v>
      </c>
      <c r="J2590" s="2" t="s">
        <v>708</v>
      </c>
      <c r="K2590" s="2" t="s">
        <v>384</v>
      </c>
      <c r="L2590" s="2" t="s">
        <v>385</v>
      </c>
      <c r="M2590" s="2" t="s">
        <v>386</v>
      </c>
      <c r="N2590" s="2" t="s">
        <v>387</v>
      </c>
      <c r="O2590" s="2" t="s">
        <v>388</v>
      </c>
      <c r="P2590" s="2" t="s">
        <v>389</v>
      </c>
      <c r="Q2590" s="2" t="s">
        <v>390</v>
      </c>
      <c r="R2590" s="2" t="s">
        <v>391</v>
      </c>
      <c r="S2590" s="2" t="s">
        <v>30</v>
      </c>
      <c r="T2590">
        <v>2765</v>
      </c>
      <c r="U2590">
        <f>VLOOKUP(Auto_Sales_data___Copy[[#This Row],[CUSTOMER_NAME]],$AF$2:$AH$90,2,FALSE)</f>
        <v>25</v>
      </c>
      <c r="V2590">
        <f>VLOOKUP(Auto_Sales_data___Copy[[#This Row],[CUSTOMER_NAME]],$AF$2:$AH$90,3,FALSE)</f>
        <v>74972.52</v>
      </c>
      <c r="W2590" s="2">
        <f>6-MATCH(Auto_Sales_data___Copy[[#This Row],[DAYS_SINCE_LAST_ORDER]],Table2[R-Cutoff],1)</f>
        <v>1</v>
      </c>
      <c r="X2590" s="2">
        <f>MATCH(Auto_Sales_data___Copy[[#This Row],[Total_Orders_Per_Customer]],Table2[F-Cutoff],1)</f>
        <v>3</v>
      </c>
      <c r="Y2590" s="2">
        <f>MATCH(Auto_Sales_data___Copy[[#This Row],[Total_Sales_Per_Customer]],Table2[M-Cutoff],1)</f>
        <v>2</v>
      </c>
      <c r="Z2590" s="2" t="str">
        <f>Auto_Sales_data___Copy[[#This Row],[R-Score(1-5)]]&amp;Auto_Sales_data___Copy[[#This Row],[F-Score(1-5)]]&amp;Auto_Sales_data___Copy[[#This Row],[M-Score(1-5)]]</f>
        <v>132</v>
      </c>
      <c r="AA2590" s="2" t="str" cm="1">
        <f t="array" ref="AA25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0" s="2" t="str">
        <f>VLOOKUP(Auto_Sales_data___Copy[[#This Row],[Segment Name]],Table3[],2,FALSE)</f>
        <v>Re-Activation &amp; Re-Engagement</v>
      </c>
    </row>
    <row r="2591" spans="1:28" x14ac:dyDescent="0.25">
      <c r="A2591">
        <v>10273</v>
      </c>
      <c r="B2591">
        <v>42</v>
      </c>
      <c r="C2591">
        <v>62.16</v>
      </c>
      <c r="D2591">
        <v>5</v>
      </c>
      <c r="E2591">
        <v>2610.7199999999998</v>
      </c>
      <c r="F2591" s="1">
        <v>43667</v>
      </c>
      <c r="G2591" s="2" t="s">
        <v>19</v>
      </c>
      <c r="H2591" s="2" t="s">
        <v>642</v>
      </c>
      <c r="I2591">
        <v>72</v>
      </c>
      <c r="J2591" s="2" t="s">
        <v>711</v>
      </c>
      <c r="K2591" s="2" t="s">
        <v>384</v>
      </c>
      <c r="L2591" s="2" t="s">
        <v>385</v>
      </c>
      <c r="M2591" s="2" t="s">
        <v>386</v>
      </c>
      <c r="N2591" s="2" t="s">
        <v>387</v>
      </c>
      <c r="O2591" s="2" t="s">
        <v>388</v>
      </c>
      <c r="P2591" s="2" t="s">
        <v>389</v>
      </c>
      <c r="Q2591" s="2" t="s">
        <v>390</v>
      </c>
      <c r="R2591" s="2" t="s">
        <v>391</v>
      </c>
      <c r="S2591" s="2" t="s">
        <v>30</v>
      </c>
      <c r="T2591">
        <v>2843</v>
      </c>
      <c r="U2591">
        <f>VLOOKUP(Auto_Sales_data___Copy[[#This Row],[CUSTOMER_NAME]],$AF$2:$AH$90,2,FALSE)</f>
        <v>25</v>
      </c>
      <c r="V2591">
        <f>VLOOKUP(Auto_Sales_data___Copy[[#This Row],[CUSTOMER_NAME]],$AF$2:$AH$90,3,FALSE)</f>
        <v>74972.52</v>
      </c>
      <c r="W2591" s="2">
        <f>6-MATCH(Auto_Sales_data___Copy[[#This Row],[DAYS_SINCE_LAST_ORDER]],Table2[R-Cutoff],1)</f>
        <v>1</v>
      </c>
      <c r="X2591" s="2">
        <f>MATCH(Auto_Sales_data___Copy[[#This Row],[Total_Orders_Per_Customer]],Table2[F-Cutoff],1)</f>
        <v>3</v>
      </c>
      <c r="Y2591" s="2">
        <f>MATCH(Auto_Sales_data___Copy[[#This Row],[Total_Sales_Per_Customer]],Table2[M-Cutoff],1)</f>
        <v>2</v>
      </c>
      <c r="Z2591" s="2" t="str">
        <f>Auto_Sales_data___Copy[[#This Row],[R-Score(1-5)]]&amp;Auto_Sales_data___Copy[[#This Row],[F-Score(1-5)]]&amp;Auto_Sales_data___Copy[[#This Row],[M-Score(1-5)]]</f>
        <v>132</v>
      </c>
      <c r="AA2591" s="2" t="str" cm="1">
        <f t="array" ref="AA25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1" s="2" t="str">
        <f>VLOOKUP(Auto_Sales_data___Copy[[#This Row],[Segment Name]],Table3[],2,FALSE)</f>
        <v>Re-Activation &amp; Re-Engagement</v>
      </c>
    </row>
    <row r="2592" spans="1:28" x14ac:dyDescent="0.25">
      <c r="A2592">
        <v>10273</v>
      </c>
      <c r="B2592">
        <v>40</v>
      </c>
      <c r="C2592">
        <v>86.15</v>
      </c>
      <c r="D2592">
        <v>8</v>
      </c>
      <c r="E2592">
        <v>3446</v>
      </c>
      <c r="F2592" s="1">
        <v>43667</v>
      </c>
      <c r="G2592" s="2" t="s">
        <v>19</v>
      </c>
      <c r="H2592" s="2" t="s">
        <v>642</v>
      </c>
      <c r="I2592">
        <v>100</v>
      </c>
      <c r="J2592" s="2" t="s">
        <v>715</v>
      </c>
      <c r="K2592" s="2" t="s">
        <v>384</v>
      </c>
      <c r="L2592" s="2" t="s">
        <v>385</v>
      </c>
      <c r="M2592" s="2" t="s">
        <v>386</v>
      </c>
      <c r="N2592" s="2" t="s">
        <v>387</v>
      </c>
      <c r="O2592" s="2" t="s">
        <v>388</v>
      </c>
      <c r="P2592" s="2" t="s">
        <v>389</v>
      </c>
      <c r="Q2592" s="2" t="s">
        <v>390</v>
      </c>
      <c r="R2592" s="2" t="s">
        <v>391</v>
      </c>
      <c r="S2592" s="2" t="s">
        <v>46</v>
      </c>
      <c r="T2592">
        <v>2946</v>
      </c>
      <c r="U2592">
        <f>VLOOKUP(Auto_Sales_data___Copy[[#This Row],[CUSTOMER_NAME]],$AF$2:$AH$90,2,FALSE)</f>
        <v>25</v>
      </c>
      <c r="V2592">
        <f>VLOOKUP(Auto_Sales_data___Copy[[#This Row],[CUSTOMER_NAME]],$AF$2:$AH$90,3,FALSE)</f>
        <v>74972.52</v>
      </c>
      <c r="W2592" s="2">
        <f>6-MATCH(Auto_Sales_data___Copy[[#This Row],[DAYS_SINCE_LAST_ORDER]],Table2[R-Cutoff],1)</f>
        <v>1</v>
      </c>
      <c r="X2592" s="2">
        <f>MATCH(Auto_Sales_data___Copy[[#This Row],[Total_Orders_Per_Customer]],Table2[F-Cutoff],1)</f>
        <v>3</v>
      </c>
      <c r="Y2592" s="2">
        <f>MATCH(Auto_Sales_data___Copy[[#This Row],[Total_Sales_Per_Customer]],Table2[M-Cutoff],1)</f>
        <v>2</v>
      </c>
      <c r="Z2592" s="2" t="str">
        <f>Auto_Sales_data___Copy[[#This Row],[R-Score(1-5)]]&amp;Auto_Sales_data___Copy[[#This Row],[F-Score(1-5)]]&amp;Auto_Sales_data___Copy[[#This Row],[M-Score(1-5)]]</f>
        <v>132</v>
      </c>
      <c r="AA2592" s="2" t="str" cm="1">
        <f t="array" ref="AA25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2" s="2" t="str">
        <f>VLOOKUP(Auto_Sales_data___Copy[[#This Row],[Segment Name]],Table3[],2,FALSE)</f>
        <v>Re-Activation &amp; Re-Engagement</v>
      </c>
    </row>
    <row r="2593" spans="1:28" x14ac:dyDescent="0.25">
      <c r="A2593">
        <v>10273</v>
      </c>
      <c r="B2593">
        <v>26</v>
      </c>
      <c r="C2593">
        <v>114.21</v>
      </c>
      <c r="D2593">
        <v>9</v>
      </c>
      <c r="E2593">
        <v>2969.46</v>
      </c>
      <c r="F2593" s="1">
        <v>43667</v>
      </c>
      <c r="G2593" s="2" t="s">
        <v>19</v>
      </c>
      <c r="H2593" s="2" t="s">
        <v>642</v>
      </c>
      <c r="I2593">
        <v>99</v>
      </c>
      <c r="J2593" s="2" t="s">
        <v>716</v>
      </c>
      <c r="K2593" s="2" t="s">
        <v>384</v>
      </c>
      <c r="L2593" s="2" t="s">
        <v>385</v>
      </c>
      <c r="M2593" s="2" t="s">
        <v>386</v>
      </c>
      <c r="N2593" s="2" t="s">
        <v>387</v>
      </c>
      <c r="O2593" s="2" t="s">
        <v>388</v>
      </c>
      <c r="P2593" s="2" t="s">
        <v>389</v>
      </c>
      <c r="Q2593" s="2" t="s">
        <v>390</v>
      </c>
      <c r="R2593" s="2" t="s">
        <v>391</v>
      </c>
      <c r="S2593" s="2" t="s">
        <v>30</v>
      </c>
      <c r="T2593">
        <v>2972</v>
      </c>
      <c r="U2593">
        <f>VLOOKUP(Auto_Sales_data___Copy[[#This Row],[CUSTOMER_NAME]],$AF$2:$AH$90,2,FALSE)</f>
        <v>25</v>
      </c>
      <c r="V2593">
        <f>VLOOKUP(Auto_Sales_data___Copy[[#This Row],[CUSTOMER_NAME]],$AF$2:$AH$90,3,FALSE)</f>
        <v>74972.52</v>
      </c>
      <c r="W2593" s="2">
        <f>6-MATCH(Auto_Sales_data___Copy[[#This Row],[DAYS_SINCE_LAST_ORDER]],Table2[R-Cutoff],1)</f>
        <v>1</v>
      </c>
      <c r="X2593" s="2">
        <f>MATCH(Auto_Sales_data___Copy[[#This Row],[Total_Orders_Per_Customer]],Table2[F-Cutoff],1)</f>
        <v>3</v>
      </c>
      <c r="Y2593" s="2">
        <f>MATCH(Auto_Sales_data___Copy[[#This Row],[Total_Sales_Per_Customer]],Table2[M-Cutoff],1)</f>
        <v>2</v>
      </c>
      <c r="Z2593" s="2" t="str">
        <f>Auto_Sales_data___Copy[[#This Row],[R-Score(1-5)]]&amp;Auto_Sales_data___Copy[[#This Row],[F-Score(1-5)]]&amp;Auto_Sales_data___Copy[[#This Row],[M-Score(1-5)]]</f>
        <v>132</v>
      </c>
      <c r="AA2593" s="2" t="str" cm="1">
        <f t="array" ref="AA25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3" s="2" t="str">
        <f>VLOOKUP(Auto_Sales_data___Copy[[#This Row],[Segment Name]],Table3[],2,FALSE)</f>
        <v>Re-Activation &amp; Re-Engagement</v>
      </c>
    </row>
    <row r="2594" spans="1:28" x14ac:dyDescent="0.25">
      <c r="A2594">
        <v>10273</v>
      </c>
      <c r="B2594">
        <v>37</v>
      </c>
      <c r="C2594">
        <v>45.86</v>
      </c>
      <c r="D2594">
        <v>10</v>
      </c>
      <c r="E2594">
        <v>1696.82</v>
      </c>
      <c r="F2594" s="1">
        <v>43667</v>
      </c>
      <c r="G2594" s="2" t="s">
        <v>19</v>
      </c>
      <c r="H2594" s="2" t="s">
        <v>642</v>
      </c>
      <c r="I2594">
        <v>54</v>
      </c>
      <c r="J2594" s="2" t="s">
        <v>719</v>
      </c>
      <c r="K2594" s="2" t="s">
        <v>384</v>
      </c>
      <c r="L2594" s="2" t="s">
        <v>385</v>
      </c>
      <c r="M2594" s="2" t="s">
        <v>386</v>
      </c>
      <c r="N2594" s="2" t="s">
        <v>387</v>
      </c>
      <c r="O2594" s="2" t="s">
        <v>388</v>
      </c>
      <c r="P2594" s="2" t="s">
        <v>389</v>
      </c>
      <c r="Q2594" s="2" t="s">
        <v>390</v>
      </c>
      <c r="R2594" s="2" t="s">
        <v>391</v>
      </c>
      <c r="S2594" s="2" t="s">
        <v>30</v>
      </c>
      <c r="T2594">
        <v>3051</v>
      </c>
      <c r="U2594">
        <f>VLOOKUP(Auto_Sales_data___Copy[[#This Row],[CUSTOMER_NAME]],$AF$2:$AH$90,2,FALSE)</f>
        <v>25</v>
      </c>
      <c r="V2594">
        <f>VLOOKUP(Auto_Sales_data___Copy[[#This Row],[CUSTOMER_NAME]],$AF$2:$AH$90,3,FALSE)</f>
        <v>74972.52</v>
      </c>
      <c r="W2594" s="2">
        <f>6-MATCH(Auto_Sales_data___Copy[[#This Row],[DAYS_SINCE_LAST_ORDER]],Table2[R-Cutoff],1)</f>
        <v>1</v>
      </c>
      <c r="X2594" s="2">
        <f>MATCH(Auto_Sales_data___Copy[[#This Row],[Total_Orders_Per_Customer]],Table2[F-Cutoff],1)</f>
        <v>3</v>
      </c>
      <c r="Y2594" s="2">
        <f>MATCH(Auto_Sales_data___Copy[[#This Row],[Total_Sales_Per_Customer]],Table2[M-Cutoff],1)</f>
        <v>2</v>
      </c>
      <c r="Z2594" s="2" t="str">
        <f>Auto_Sales_data___Copy[[#This Row],[R-Score(1-5)]]&amp;Auto_Sales_data___Copy[[#This Row],[F-Score(1-5)]]&amp;Auto_Sales_data___Copy[[#This Row],[M-Score(1-5)]]</f>
        <v>132</v>
      </c>
      <c r="AA2594" s="2" t="str" cm="1">
        <f t="array" ref="AA25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4" s="2" t="str">
        <f>VLOOKUP(Auto_Sales_data___Copy[[#This Row],[Segment Name]],Table3[],2,FALSE)</f>
        <v>Re-Activation &amp; Re-Engagement</v>
      </c>
    </row>
    <row r="2595" spans="1:28" x14ac:dyDescent="0.25">
      <c r="A2595">
        <v>10283</v>
      </c>
      <c r="B2595">
        <v>45</v>
      </c>
      <c r="C2595">
        <v>78.67</v>
      </c>
      <c r="D2595">
        <v>9</v>
      </c>
      <c r="E2595">
        <v>3540.15</v>
      </c>
      <c r="F2595" s="1">
        <v>43697</v>
      </c>
      <c r="G2595" s="2" t="s">
        <v>19</v>
      </c>
      <c r="H2595" s="2" t="s">
        <v>642</v>
      </c>
      <c r="I2595">
        <v>66</v>
      </c>
      <c r="J2595" s="2" t="s">
        <v>706</v>
      </c>
      <c r="K2595" s="2" t="s">
        <v>392</v>
      </c>
      <c r="L2595" s="2" t="s">
        <v>393</v>
      </c>
      <c r="M2595" s="2" t="s">
        <v>394</v>
      </c>
      <c r="N2595" s="2" t="s">
        <v>395</v>
      </c>
      <c r="O2595" s="2" t="s">
        <v>396</v>
      </c>
      <c r="P2595" s="2" t="s">
        <v>236</v>
      </c>
      <c r="Q2595" s="2" t="s">
        <v>397</v>
      </c>
      <c r="R2595" s="2" t="s">
        <v>173</v>
      </c>
      <c r="S2595" s="2" t="s">
        <v>46</v>
      </c>
      <c r="T2595">
        <v>2685</v>
      </c>
      <c r="U2595">
        <f>VLOOKUP(Auto_Sales_data___Copy[[#This Row],[CUSTOMER_NAME]],$AF$2:$AH$90,2,FALSE)</f>
        <v>26</v>
      </c>
      <c r="V2595">
        <f>VLOOKUP(Auto_Sales_data___Copy[[#This Row],[CUSTOMER_NAME]],$AF$2:$AH$90,3,FALSE)</f>
        <v>74634.850000000006</v>
      </c>
      <c r="W2595" s="2">
        <f>6-MATCH(Auto_Sales_data___Copy[[#This Row],[DAYS_SINCE_LAST_ORDER]],Table2[R-Cutoff],1)</f>
        <v>1</v>
      </c>
      <c r="X2595" s="2">
        <f>MATCH(Auto_Sales_data___Copy[[#This Row],[Total_Orders_Per_Customer]],Table2[F-Cutoff],1)</f>
        <v>3</v>
      </c>
      <c r="Y2595" s="2">
        <f>MATCH(Auto_Sales_data___Copy[[#This Row],[Total_Sales_Per_Customer]],Table2[M-Cutoff],1)</f>
        <v>2</v>
      </c>
      <c r="Z2595" s="2" t="str">
        <f>Auto_Sales_data___Copy[[#This Row],[R-Score(1-5)]]&amp;Auto_Sales_data___Copy[[#This Row],[F-Score(1-5)]]&amp;Auto_Sales_data___Copy[[#This Row],[M-Score(1-5)]]</f>
        <v>132</v>
      </c>
      <c r="AA2595" s="2" t="str" cm="1">
        <f t="array" ref="AA25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5" s="2" t="str">
        <f>VLOOKUP(Auto_Sales_data___Copy[[#This Row],[Segment Name]],Table3[],2,FALSE)</f>
        <v>Re-Activation &amp; Re-Engagement</v>
      </c>
    </row>
    <row r="2596" spans="1:28" x14ac:dyDescent="0.25">
      <c r="A2596">
        <v>10283</v>
      </c>
      <c r="B2596">
        <v>20</v>
      </c>
      <c r="C2596">
        <v>94.14</v>
      </c>
      <c r="D2596">
        <v>2</v>
      </c>
      <c r="E2596">
        <v>1882.8</v>
      </c>
      <c r="F2596" s="1">
        <v>43697</v>
      </c>
      <c r="G2596" s="2" t="s">
        <v>19</v>
      </c>
      <c r="H2596" s="2" t="s">
        <v>642</v>
      </c>
      <c r="I2596">
        <v>90</v>
      </c>
      <c r="J2596" s="2" t="s">
        <v>709</v>
      </c>
      <c r="K2596" s="2" t="s">
        <v>392</v>
      </c>
      <c r="L2596" s="2" t="s">
        <v>393</v>
      </c>
      <c r="M2596" s="2" t="s">
        <v>394</v>
      </c>
      <c r="N2596" s="2" t="s">
        <v>395</v>
      </c>
      <c r="O2596" s="2" t="s">
        <v>396</v>
      </c>
      <c r="P2596" s="2" t="s">
        <v>236</v>
      </c>
      <c r="Q2596" s="2" t="s">
        <v>397</v>
      </c>
      <c r="R2596" s="2" t="s">
        <v>173</v>
      </c>
      <c r="S2596" s="2" t="s">
        <v>30</v>
      </c>
      <c r="T2596">
        <v>2759</v>
      </c>
      <c r="U2596">
        <f>VLOOKUP(Auto_Sales_data___Copy[[#This Row],[CUSTOMER_NAME]],$AF$2:$AH$90,2,FALSE)</f>
        <v>26</v>
      </c>
      <c r="V2596">
        <f>VLOOKUP(Auto_Sales_data___Copy[[#This Row],[CUSTOMER_NAME]],$AF$2:$AH$90,3,FALSE)</f>
        <v>74634.850000000006</v>
      </c>
      <c r="W2596" s="2">
        <f>6-MATCH(Auto_Sales_data___Copy[[#This Row],[DAYS_SINCE_LAST_ORDER]],Table2[R-Cutoff],1)</f>
        <v>1</v>
      </c>
      <c r="X2596" s="2">
        <f>MATCH(Auto_Sales_data___Copy[[#This Row],[Total_Orders_Per_Customer]],Table2[F-Cutoff],1)</f>
        <v>3</v>
      </c>
      <c r="Y2596" s="2">
        <f>MATCH(Auto_Sales_data___Copy[[#This Row],[Total_Sales_Per_Customer]],Table2[M-Cutoff],1)</f>
        <v>2</v>
      </c>
      <c r="Z2596" s="2" t="str">
        <f>Auto_Sales_data___Copy[[#This Row],[R-Score(1-5)]]&amp;Auto_Sales_data___Copy[[#This Row],[F-Score(1-5)]]&amp;Auto_Sales_data___Copy[[#This Row],[M-Score(1-5)]]</f>
        <v>132</v>
      </c>
      <c r="AA2596" s="2" t="str" cm="1">
        <f t="array" ref="AA25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6" s="2" t="str">
        <f>VLOOKUP(Auto_Sales_data___Copy[[#This Row],[Segment Name]],Table3[],2,FALSE)</f>
        <v>Re-Activation &amp; Re-Engagement</v>
      </c>
    </row>
    <row r="2597" spans="1:28" x14ac:dyDescent="0.25">
      <c r="A2597">
        <v>10283</v>
      </c>
      <c r="B2597">
        <v>47</v>
      </c>
      <c r="C2597">
        <v>65.77</v>
      </c>
      <c r="D2597">
        <v>7</v>
      </c>
      <c r="E2597">
        <v>3091.19</v>
      </c>
      <c r="F2597" s="1">
        <v>43697</v>
      </c>
      <c r="G2597" s="2" t="s">
        <v>19</v>
      </c>
      <c r="H2597" s="2" t="s">
        <v>642</v>
      </c>
      <c r="I2597">
        <v>72</v>
      </c>
      <c r="J2597" s="2" t="s">
        <v>711</v>
      </c>
      <c r="K2597" s="2" t="s">
        <v>392</v>
      </c>
      <c r="L2597" s="2" t="s">
        <v>393</v>
      </c>
      <c r="M2597" s="2" t="s">
        <v>394</v>
      </c>
      <c r="N2597" s="2" t="s">
        <v>395</v>
      </c>
      <c r="O2597" s="2" t="s">
        <v>396</v>
      </c>
      <c r="P2597" s="2" t="s">
        <v>236</v>
      </c>
      <c r="Q2597" s="2" t="s">
        <v>397</v>
      </c>
      <c r="R2597" s="2" t="s">
        <v>173</v>
      </c>
      <c r="S2597" s="2" t="s">
        <v>46</v>
      </c>
      <c r="T2597">
        <v>2814</v>
      </c>
      <c r="U2597">
        <f>VLOOKUP(Auto_Sales_data___Copy[[#This Row],[CUSTOMER_NAME]],$AF$2:$AH$90,2,FALSE)</f>
        <v>26</v>
      </c>
      <c r="V2597">
        <f>VLOOKUP(Auto_Sales_data___Copy[[#This Row],[CUSTOMER_NAME]],$AF$2:$AH$90,3,FALSE)</f>
        <v>74634.850000000006</v>
      </c>
      <c r="W2597" s="2">
        <f>6-MATCH(Auto_Sales_data___Copy[[#This Row],[DAYS_SINCE_LAST_ORDER]],Table2[R-Cutoff],1)</f>
        <v>1</v>
      </c>
      <c r="X2597" s="2">
        <f>MATCH(Auto_Sales_data___Copy[[#This Row],[Total_Orders_Per_Customer]],Table2[F-Cutoff],1)</f>
        <v>3</v>
      </c>
      <c r="Y2597" s="2">
        <f>MATCH(Auto_Sales_data___Copy[[#This Row],[Total_Sales_Per_Customer]],Table2[M-Cutoff],1)</f>
        <v>2</v>
      </c>
      <c r="Z2597" s="2" t="str">
        <f>Auto_Sales_data___Copy[[#This Row],[R-Score(1-5)]]&amp;Auto_Sales_data___Copy[[#This Row],[F-Score(1-5)]]&amp;Auto_Sales_data___Copy[[#This Row],[M-Score(1-5)]]</f>
        <v>132</v>
      </c>
      <c r="AA2597" s="2" t="str" cm="1">
        <f t="array" ref="AA25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7" s="2" t="str">
        <f>VLOOKUP(Auto_Sales_data___Copy[[#This Row],[Segment Name]],Table3[],2,FALSE)</f>
        <v>Re-Activation &amp; Re-Engagement</v>
      </c>
    </row>
    <row r="2598" spans="1:28" x14ac:dyDescent="0.25">
      <c r="A2598">
        <v>10283</v>
      </c>
      <c r="B2598">
        <v>22</v>
      </c>
      <c r="C2598">
        <v>88.15</v>
      </c>
      <c r="D2598">
        <v>10</v>
      </c>
      <c r="E2598">
        <v>1939.3</v>
      </c>
      <c r="F2598" s="1">
        <v>43697</v>
      </c>
      <c r="G2598" s="2" t="s">
        <v>19</v>
      </c>
      <c r="H2598" s="2" t="s">
        <v>642</v>
      </c>
      <c r="I2598">
        <v>100</v>
      </c>
      <c r="J2598" s="2" t="s">
        <v>715</v>
      </c>
      <c r="K2598" s="2" t="s">
        <v>392</v>
      </c>
      <c r="L2598" s="2" t="s">
        <v>393</v>
      </c>
      <c r="M2598" s="2" t="s">
        <v>394</v>
      </c>
      <c r="N2598" s="2" t="s">
        <v>395</v>
      </c>
      <c r="O2598" s="2" t="s">
        <v>396</v>
      </c>
      <c r="P2598" s="2" t="s">
        <v>236</v>
      </c>
      <c r="Q2598" s="2" t="s">
        <v>397</v>
      </c>
      <c r="R2598" s="2" t="s">
        <v>173</v>
      </c>
      <c r="S2598" s="2" t="s">
        <v>30</v>
      </c>
      <c r="T2598">
        <v>2917</v>
      </c>
      <c r="U2598">
        <f>VLOOKUP(Auto_Sales_data___Copy[[#This Row],[CUSTOMER_NAME]],$AF$2:$AH$90,2,FALSE)</f>
        <v>26</v>
      </c>
      <c r="V2598">
        <f>VLOOKUP(Auto_Sales_data___Copy[[#This Row],[CUSTOMER_NAME]],$AF$2:$AH$90,3,FALSE)</f>
        <v>74634.850000000006</v>
      </c>
      <c r="W2598" s="2">
        <f>6-MATCH(Auto_Sales_data___Copy[[#This Row],[DAYS_SINCE_LAST_ORDER]],Table2[R-Cutoff],1)</f>
        <v>1</v>
      </c>
      <c r="X2598" s="2">
        <f>MATCH(Auto_Sales_data___Copy[[#This Row],[Total_Orders_Per_Customer]],Table2[F-Cutoff],1)</f>
        <v>3</v>
      </c>
      <c r="Y2598" s="2">
        <f>MATCH(Auto_Sales_data___Copy[[#This Row],[Total_Sales_Per_Customer]],Table2[M-Cutoff],1)</f>
        <v>2</v>
      </c>
      <c r="Z2598" s="2" t="str">
        <f>Auto_Sales_data___Copy[[#This Row],[R-Score(1-5)]]&amp;Auto_Sales_data___Copy[[#This Row],[F-Score(1-5)]]&amp;Auto_Sales_data___Copy[[#This Row],[M-Score(1-5)]]</f>
        <v>132</v>
      </c>
      <c r="AA2598" s="2" t="str" cm="1">
        <f t="array" ref="AA25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8" s="2" t="str">
        <f>VLOOKUP(Auto_Sales_data___Copy[[#This Row],[Segment Name]],Table3[],2,FALSE)</f>
        <v>Re-Activation &amp; Re-Engagement</v>
      </c>
    </row>
    <row r="2599" spans="1:28" x14ac:dyDescent="0.25">
      <c r="A2599">
        <v>10283</v>
      </c>
      <c r="B2599">
        <v>38</v>
      </c>
      <c r="C2599">
        <v>89.38</v>
      </c>
      <c r="D2599">
        <v>11</v>
      </c>
      <c r="E2599">
        <v>3396.44</v>
      </c>
      <c r="F2599" s="1">
        <v>43697</v>
      </c>
      <c r="G2599" s="2" t="s">
        <v>19</v>
      </c>
      <c r="H2599" s="2" t="s">
        <v>642</v>
      </c>
      <c r="I2599">
        <v>99</v>
      </c>
      <c r="J2599" s="2" t="s">
        <v>716</v>
      </c>
      <c r="K2599" s="2" t="s">
        <v>392</v>
      </c>
      <c r="L2599" s="2" t="s">
        <v>393</v>
      </c>
      <c r="M2599" s="2" t="s">
        <v>394</v>
      </c>
      <c r="N2599" s="2" t="s">
        <v>395</v>
      </c>
      <c r="O2599" s="2" t="s">
        <v>396</v>
      </c>
      <c r="P2599" s="2" t="s">
        <v>236</v>
      </c>
      <c r="Q2599" s="2" t="s">
        <v>397</v>
      </c>
      <c r="R2599" s="2" t="s">
        <v>173</v>
      </c>
      <c r="S2599" s="2" t="s">
        <v>46</v>
      </c>
      <c r="T2599">
        <v>2943</v>
      </c>
      <c r="U2599">
        <f>VLOOKUP(Auto_Sales_data___Copy[[#This Row],[CUSTOMER_NAME]],$AF$2:$AH$90,2,FALSE)</f>
        <v>26</v>
      </c>
      <c r="V2599">
        <f>VLOOKUP(Auto_Sales_data___Copy[[#This Row],[CUSTOMER_NAME]],$AF$2:$AH$90,3,FALSE)</f>
        <v>74634.850000000006</v>
      </c>
      <c r="W2599" s="2">
        <f>6-MATCH(Auto_Sales_data___Copy[[#This Row],[DAYS_SINCE_LAST_ORDER]],Table2[R-Cutoff],1)</f>
        <v>1</v>
      </c>
      <c r="X2599" s="2">
        <f>MATCH(Auto_Sales_data___Copy[[#This Row],[Total_Orders_Per_Customer]],Table2[F-Cutoff],1)</f>
        <v>3</v>
      </c>
      <c r="Y2599" s="2">
        <f>MATCH(Auto_Sales_data___Copy[[#This Row],[Total_Sales_Per_Customer]],Table2[M-Cutoff],1)</f>
        <v>2</v>
      </c>
      <c r="Z2599" s="2" t="str">
        <f>Auto_Sales_data___Copy[[#This Row],[R-Score(1-5)]]&amp;Auto_Sales_data___Copy[[#This Row],[F-Score(1-5)]]&amp;Auto_Sales_data___Copy[[#This Row],[M-Score(1-5)]]</f>
        <v>132</v>
      </c>
      <c r="AA2599" s="2" t="str" cm="1">
        <f t="array" ref="AA25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9" s="2" t="str">
        <f>VLOOKUP(Auto_Sales_data___Copy[[#This Row],[Segment Name]],Table3[],2,FALSE)</f>
        <v>Re-Activation &amp; Re-Engagement</v>
      </c>
    </row>
    <row r="2600" spans="1:28" x14ac:dyDescent="0.25">
      <c r="A2600">
        <v>10283</v>
      </c>
      <c r="B2600">
        <v>43</v>
      </c>
      <c r="C2600">
        <v>57.61</v>
      </c>
      <c r="D2600">
        <v>1</v>
      </c>
      <c r="E2600">
        <v>2477.23</v>
      </c>
      <c r="F2600" s="1">
        <v>43697</v>
      </c>
      <c r="G2600" s="2" t="s">
        <v>19</v>
      </c>
      <c r="H2600" s="2" t="s">
        <v>607</v>
      </c>
      <c r="I2600">
        <v>49</v>
      </c>
      <c r="J2600" s="2" t="s">
        <v>718</v>
      </c>
      <c r="K2600" s="2" t="s">
        <v>392</v>
      </c>
      <c r="L2600" s="2" t="s">
        <v>393</v>
      </c>
      <c r="M2600" s="2" t="s">
        <v>394</v>
      </c>
      <c r="N2600" s="2" t="s">
        <v>395</v>
      </c>
      <c r="O2600" s="2" t="s">
        <v>396</v>
      </c>
      <c r="P2600" s="2" t="s">
        <v>236</v>
      </c>
      <c r="Q2600" s="2" t="s">
        <v>397</v>
      </c>
      <c r="R2600" s="2" t="s">
        <v>173</v>
      </c>
      <c r="S2600" s="2" t="s">
        <v>30</v>
      </c>
      <c r="T2600">
        <v>2994</v>
      </c>
      <c r="U2600">
        <f>VLOOKUP(Auto_Sales_data___Copy[[#This Row],[CUSTOMER_NAME]],$AF$2:$AH$90,2,FALSE)</f>
        <v>26</v>
      </c>
      <c r="V2600">
        <f>VLOOKUP(Auto_Sales_data___Copy[[#This Row],[CUSTOMER_NAME]],$AF$2:$AH$90,3,FALSE)</f>
        <v>74634.850000000006</v>
      </c>
      <c r="W2600" s="2">
        <f>6-MATCH(Auto_Sales_data___Copy[[#This Row],[DAYS_SINCE_LAST_ORDER]],Table2[R-Cutoff],1)</f>
        <v>1</v>
      </c>
      <c r="X2600" s="2">
        <f>MATCH(Auto_Sales_data___Copy[[#This Row],[Total_Orders_Per_Customer]],Table2[F-Cutoff],1)</f>
        <v>3</v>
      </c>
      <c r="Y2600" s="2">
        <f>MATCH(Auto_Sales_data___Copy[[#This Row],[Total_Sales_Per_Customer]],Table2[M-Cutoff],1)</f>
        <v>2</v>
      </c>
      <c r="Z2600" s="2" t="str">
        <f>Auto_Sales_data___Copy[[#This Row],[R-Score(1-5)]]&amp;Auto_Sales_data___Copy[[#This Row],[F-Score(1-5)]]&amp;Auto_Sales_data___Copy[[#This Row],[M-Score(1-5)]]</f>
        <v>132</v>
      </c>
      <c r="AA2600" s="2" t="str" cm="1">
        <f t="array" ref="AA26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0" s="2" t="str">
        <f>VLOOKUP(Auto_Sales_data___Copy[[#This Row],[Segment Name]],Table3[],2,FALSE)</f>
        <v>Re-Activation &amp; Re-Engagement</v>
      </c>
    </row>
    <row r="2601" spans="1:28" x14ac:dyDescent="0.25">
      <c r="A2601">
        <v>10283</v>
      </c>
      <c r="B2601">
        <v>33</v>
      </c>
      <c r="C2601">
        <v>51.32</v>
      </c>
      <c r="D2601">
        <v>12</v>
      </c>
      <c r="E2601">
        <v>1693.56</v>
      </c>
      <c r="F2601" s="1">
        <v>43697</v>
      </c>
      <c r="G2601" s="2" t="s">
        <v>19</v>
      </c>
      <c r="H2601" s="2" t="s">
        <v>642</v>
      </c>
      <c r="I2601">
        <v>54</v>
      </c>
      <c r="J2601" s="2" t="s">
        <v>719</v>
      </c>
      <c r="K2601" s="2" t="s">
        <v>392</v>
      </c>
      <c r="L2601" s="2" t="s">
        <v>393</v>
      </c>
      <c r="M2601" s="2" t="s">
        <v>394</v>
      </c>
      <c r="N2601" s="2" t="s">
        <v>395</v>
      </c>
      <c r="O2601" s="2" t="s">
        <v>396</v>
      </c>
      <c r="P2601" s="2" t="s">
        <v>236</v>
      </c>
      <c r="Q2601" s="2" t="s">
        <v>397</v>
      </c>
      <c r="R2601" s="2" t="s">
        <v>173</v>
      </c>
      <c r="S2601" s="2" t="s">
        <v>30</v>
      </c>
      <c r="T2601">
        <v>3022</v>
      </c>
      <c r="U2601">
        <f>VLOOKUP(Auto_Sales_data___Copy[[#This Row],[CUSTOMER_NAME]],$AF$2:$AH$90,2,FALSE)</f>
        <v>26</v>
      </c>
      <c r="V2601">
        <f>VLOOKUP(Auto_Sales_data___Copy[[#This Row],[CUSTOMER_NAME]],$AF$2:$AH$90,3,FALSE)</f>
        <v>74634.850000000006</v>
      </c>
      <c r="W2601" s="2">
        <f>6-MATCH(Auto_Sales_data___Copy[[#This Row],[DAYS_SINCE_LAST_ORDER]],Table2[R-Cutoff],1)</f>
        <v>1</v>
      </c>
      <c r="X2601" s="2">
        <f>MATCH(Auto_Sales_data___Copy[[#This Row],[Total_Orders_Per_Customer]],Table2[F-Cutoff],1)</f>
        <v>3</v>
      </c>
      <c r="Y2601" s="2">
        <f>MATCH(Auto_Sales_data___Copy[[#This Row],[Total_Sales_Per_Customer]],Table2[M-Cutoff],1)</f>
        <v>2</v>
      </c>
      <c r="Z2601" s="2" t="str">
        <f>Auto_Sales_data___Copy[[#This Row],[R-Score(1-5)]]&amp;Auto_Sales_data___Copy[[#This Row],[F-Score(1-5)]]&amp;Auto_Sales_data___Copy[[#This Row],[M-Score(1-5)]]</f>
        <v>132</v>
      </c>
      <c r="AA2601" s="2" t="str" cm="1">
        <f t="array" ref="AA26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1" s="2" t="str">
        <f>VLOOKUP(Auto_Sales_data___Copy[[#This Row],[Segment Name]],Table3[],2,FALSE)</f>
        <v>Re-Activation &amp; Re-Engagement</v>
      </c>
    </row>
    <row r="2602" spans="1:28" x14ac:dyDescent="0.25">
      <c r="A2602">
        <v>10284</v>
      </c>
      <c r="B2602">
        <v>33</v>
      </c>
      <c r="C2602">
        <v>51.93</v>
      </c>
      <c r="D2602">
        <v>5</v>
      </c>
      <c r="E2602">
        <v>1713.69</v>
      </c>
      <c r="F2602" s="1">
        <v>43698</v>
      </c>
      <c r="G2602" s="2" t="s">
        <v>19</v>
      </c>
      <c r="H2602" s="2" t="s">
        <v>589</v>
      </c>
      <c r="I2602">
        <v>43</v>
      </c>
      <c r="J2602" s="2" t="s">
        <v>702</v>
      </c>
      <c r="K2602" s="2" t="s">
        <v>582</v>
      </c>
      <c r="L2602" s="2" t="s">
        <v>583</v>
      </c>
      <c r="M2602" s="2" t="s">
        <v>584</v>
      </c>
      <c r="N2602" s="2" t="s">
        <v>585</v>
      </c>
      <c r="O2602" s="2" t="s">
        <v>586</v>
      </c>
      <c r="P2602" s="2" t="s">
        <v>73</v>
      </c>
      <c r="Q2602" s="2" t="s">
        <v>587</v>
      </c>
      <c r="R2602" s="2" t="s">
        <v>588</v>
      </c>
      <c r="S2602" s="2" t="s">
        <v>30</v>
      </c>
      <c r="T2602">
        <v>2578</v>
      </c>
      <c r="U2602">
        <f>VLOOKUP(Auto_Sales_data___Copy[[#This Row],[CUSTOMER_NAME]],$AF$2:$AH$90,2,FALSE)</f>
        <v>24</v>
      </c>
      <c r="V2602">
        <f>VLOOKUP(Auto_Sales_data___Copy[[#This Row],[CUSTOMER_NAME]],$AF$2:$AH$90,3,FALSE)</f>
        <v>79224.23</v>
      </c>
      <c r="W2602" s="2">
        <f>6-MATCH(Auto_Sales_data___Copy[[#This Row],[DAYS_SINCE_LAST_ORDER]],Table2[R-Cutoff],1)</f>
        <v>1</v>
      </c>
      <c r="X2602" s="2">
        <f>MATCH(Auto_Sales_data___Copy[[#This Row],[Total_Orders_Per_Customer]],Table2[F-Cutoff],1)</f>
        <v>3</v>
      </c>
      <c r="Y2602" s="2">
        <f>MATCH(Auto_Sales_data___Copy[[#This Row],[Total_Sales_Per_Customer]],Table2[M-Cutoff],1)</f>
        <v>2</v>
      </c>
      <c r="Z2602" s="2" t="str">
        <f>Auto_Sales_data___Copy[[#This Row],[R-Score(1-5)]]&amp;Auto_Sales_data___Copy[[#This Row],[F-Score(1-5)]]&amp;Auto_Sales_data___Copy[[#This Row],[M-Score(1-5)]]</f>
        <v>132</v>
      </c>
      <c r="AA2602" s="2" t="str" cm="1">
        <f t="array" ref="AA26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2" s="2" t="str">
        <f>VLOOKUP(Auto_Sales_data___Copy[[#This Row],[Segment Name]],Table3[],2,FALSE)</f>
        <v>Re-Activation &amp; Re-Engagement</v>
      </c>
    </row>
    <row r="2603" spans="1:28" x14ac:dyDescent="0.25">
      <c r="A2603">
        <v>10284</v>
      </c>
      <c r="B2603">
        <v>24</v>
      </c>
      <c r="C2603">
        <v>83.12</v>
      </c>
      <c r="D2603">
        <v>6</v>
      </c>
      <c r="E2603">
        <v>1994.88</v>
      </c>
      <c r="F2603" s="1">
        <v>43698</v>
      </c>
      <c r="G2603" s="2" t="s">
        <v>19</v>
      </c>
      <c r="H2603" s="2" t="s">
        <v>607</v>
      </c>
      <c r="I2603">
        <v>91</v>
      </c>
      <c r="J2603" s="2" t="s">
        <v>707</v>
      </c>
      <c r="K2603" s="2" t="s">
        <v>582</v>
      </c>
      <c r="L2603" s="2" t="s">
        <v>583</v>
      </c>
      <c r="M2603" s="2" t="s">
        <v>584</v>
      </c>
      <c r="N2603" s="2" t="s">
        <v>585</v>
      </c>
      <c r="O2603" s="2" t="s">
        <v>586</v>
      </c>
      <c r="P2603" s="2" t="s">
        <v>73</v>
      </c>
      <c r="Q2603" s="2" t="s">
        <v>587</v>
      </c>
      <c r="R2603" s="2" t="s">
        <v>588</v>
      </c>
      <c r="S2603" s="2" t="s">
        <v>30</v>
      </c>
      <c r="T2603">
        <v>2708</v>
      </c>
      <c r="U2603">
        <f>VLOOKUP(Auto_Sales_data___Copy[[#This Row],[CUSTOMER_NAME]],$AF$2:$AH$90,2,FALSE)</f>
        <v>24</v>
      </c>
      <c r="V2603">
        <f>VLOOKUP(Auto_Sales_data___Copy[[#This Row],[CUSTOMER_NAME]],$AF$2:$AH$90,3,FALSE)</f>
        <v>79224.23</v>
      </c>
      <c r="W2603" s="2">
        <f>6-MATCH(Auto_Sales_data___Copy[[#This Row],[DAYS_SINCE_LAST_ORDER]],Table2[R-Cutoff],1)</f>
        <v>1</v>
      </c>
      <c r="X2603" s="2">
        <f>MATCH(Auto_Sales_data___Copy[[#This Row],[Total_Orders_Per_Customer]],Table2[F-Cutoff],1)</f>
        <v>3</v>
      </c>
      <c r="Y2603" s="2">
        <f>MATCH(Auto_Sales_data___Copy[[#This Row],[Total_Sales_Per_Customer]],Table2[M-Cutoff],1)</f>
        <v>2</v>
      </c>
      <c r="Z2603" s="2" t="str">
        <f>Auto_Sales_data___Copy[[#This Row],[R-Score(1-5)]]&amp;Auto_Sales_data___Copy[[#This Row],[F-Score(1-5)]]&amp;Auto_Sales_data___Copy[[#This Row],[M-Score(1-5)]]</f>
        <v>132</v>
      </c>
      <c r="AA2603" s="2" t="str" cm="1">
        <f t="array" ref="AA26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3" s="2" t="str">
        <f>VLOOKUP(Auto_Sales_data___Copy[[#This Row],[Segment Name]],Table3[],2,FALSE)</f>
        <v>Re-Activation &amp; Re-Engagement</v>
      </c>
    </row>
    <row r="2604" spans="1:28" x14ac:dyDescent="0.25">
      <c r="A2604">
        <v>10284</v>
      </c>
      <c r="B2604">
        <v>45</v>
      </c>
      <c r="C2604">
        <v>101.71</v>
      </c>
      <c r="D2604">
        <v>8</v>
      </c>
      <c r="E2604">
        <v>4576.95</v>
      </c>
      <c r="F2604" s="1">
        <v>43698</v>
      </c>
      <c r="G2604" s="2" t="s">
        <v>19</v>
      </c>
      <c r="H2604" s="2" t="s">
        <v>607</v>
      </c>
      <c r="I2604">
        <v>99</v>
      </c>
      <c r="J2604" s="2" t="s">
        <v>710</v>
      </c>
      <c r="K2604" s="2" t="s">
        <v>582</v>
      </c>
      <c r="L2604" s="2" t="s">
        <v>583</v>
      </c>
      <c r="M2604" s="2" t="s">
        <v>584</v>
      </c>
      <c r="N2604" s="2" t="s">
        <v>585</v>
      </c>
      <c r="O2604" s="2" t="s">
        <v>586</v>
      </c>
      <c r="P2604" s="2" t="s">
        <v>73</v>
      </c>
      <c r="Q2604" s="2" t="s">
        <v>587</v>
      </c>
      <c r="R2604" s="2" t="s">
        <v>588</v>
      </c>
      <c r="S2604" s="2" t="s">
        <v>46</v>
      </c>
      <c r="T2604">
        <v>2785</v>
      </c>
      <c r="U2604">
        <f>VLOOKUP(Auto_Sales_data___Copy[[#This Row],[CUSTOMER_NAME]],$AF$2:$AH$90,2,FALSE)</f>
        <v>24</v>
      </c>
      <c r="V2604">
        <f>VLOOKUP(Auto_Sales_data___Copy[[#This Row],[CUSTOMER_NAME]],$AF$2:$AH$90,3,FALSE)</f>
        <v>79224.23</v>
      </c>
      <c r="W2604" s="2">
        <f>6-MATCH(Auto_Sales_data___Copy[[#This Row],[DAYS_SINCE_LAST_ORDER]],Table2[R-Cutoff],1)</f>
        <v>1</v>
      </c>
      <c r="X2604" s="2">
        <f>MATCH(Auto_Sales_data___Copy[[#This Row],[Total_Orders_Per_Customer]],Table2[F-Cutoff],1)</f>
        <v>3</v>
      </c>
      <c r="Y2604" s="2">
        <f>MATCH(Auto_Sales_data___Copy[[#This Row],[Total_Sales_Per_Customer]],Table2[M-Cutoff],1)</f>
        <v>2</v>
      </c>
      <c r="Z2604" s="2" t="str">
        <f>Auto_Sales_data___Copy[[#This Row],[R-Score(1-5)]]&amp;Auto_Sales_data___Copy[[#This Row],[F-Score(1-5)]]&amp;Auto_Sales_data___Copy[[#This Row],[M-Score(1-5)]]</f>
        <v>132</v>
      </c>
      <c r="AA2604" s="2" t="str" cm="1">
        <f t="array" ref="AA26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4" s="2" t="str">
        <f>VLOOKUP(Auto_Sales_data___Copy[[#This Row],[Segment Name]],Table3[],2,FALSE)</f>
        <v>Re-Activation &amp; Re-Engagement</v>
      </c>
    </row>
    <row r="2605" spans="1:28" x14ac:dyDescent="0.25">
      <c r="A2605">
        <v>10284</v>
      </c>
      <c r="B2605">
        <v>25</v>
      </c>
      <c r="C2605">
        <v>69.599999999999994</v>
      </c>
      <c r="D2605">
        <v>7</v>
      </c>
      <c r="E2605">
        <v>1740</v>
      </c>
      <c r="F2605" s="1">
        <v>43698</v>
      </c>
      <c r="G2605" s="2" t="s">
        <v>19</v>
      </c>
      <c r="H2605" s="2" t="s">
        <v>607</v>
      </c>
      <c r="I2605">
        <v>80</v>
      </c>
      <c r="J2605" s="2" t="s">
        <v>714</v>
      </c>
      <c r="K2605" s="2" t="s">
        <v>582</v>
      </c>
      <c r="L2605" s="2" t="s">
        <v>583</v>
      </c>
      <c r="M2605" s="2" t="s">
        <v>584</v>
      </c>
      <c r="N2605" s="2" t="s">
        <v>585</v>
      </c>
      <c r="O2605" s="2" t="s">
        <v>586</v>
      </c>
      <c r="P2605" s="2" t="s">
        <v>73</v>
      </c>
      <c r="Q2605" s="2" t="s">
        <v>587</v>
      </c>
      <c r="R2605" s="2" t="s">
        <v>588</v>
      </c>
      <c r="S2605" s="2" t="s">
        <v>30</v>
      </c>
      <c r="T2605">
        <v>2888</v>
      </c>
      <c r="U2605">
        <f>VLOOKUP(Auto_Sales_data___Copy[[#This Row],[CUSTOMER_NAME]],$AF$2:$AH$90,2,FALSE)</f>
        <v>24</v>
      </c>
      <c r="V2605">
        <f>VLOOKUP(Auto_Sales_data___Copy[[#This Row],[CUSTOMER_NAME]],$AF$2:$AH$90,3,FALSE)</f>
        <v>79224.23</v>
      </c>
      <c r="W2605" s="2">
        <f>6-MATCH(Auto_Sales_data___Copy[[#This Row],[DAYS_SINCE_LAST_ORDER]],Table2[R-Cutoff],1)</f>
        <v>1</v>
      </c>
      <c r="X2605" s="2">
        <f>MATCH(Auto_Sales_data___Copy[[#This Row],[Total_Orders_Per_Customer]],Table2[F-Cutoff],1)</f>
        <v>3</v>
      </c>
      <c r="Y2605" s="2">
        <f>MATCH(Auto_Sales_data___Copy[[#This Row],[Total_Sales_Per_Customer]],Table2[M-Cutoff],1)</f>
        <v>2</v>
      </c>
      <c r="Z2605" s="2" t="str">
        <f>Auto_Sales_data___Copy[[#This Row],[R-Score(1-5)]]&amp;Auto_Sales_data___Copy[[#This Row],[F-Score(1-5)]]&amp;Auto_Sales_data___Copy[[#This Row],[M-Score(1-5)]]</f>
        <v>132</v>
      </c>
      <c r="AA2605" s="2" t="str" cm="1">
        <f t="array" ref="AA26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5" s="2" t="str">
        <f>VLOOKUP(Auto_Sales_data___Copy[[#This Row],[Segment Name]],Table3[],2,FALSE)</f>
        <v>Re-Activation &amp; Re-Engagement</v>
      </c>
    </row>
    <row r="2606" spans="1:28" x14ac:dyDescent="0.25">
      <c r="A2606">
        <v>10284</v>
      </c>
      <c r="B2606">
        <v>32</v>
      </c>
      <c r="C2606">
        <v>64.41</v>
      </c>
      <c r="D2606">
        <v>9</v>
      </c>
      <c r="E2606">
        <v>2061.12</v>
      </c>
      <c r="F2606" s="1">
        <v>43698</v>
      </c>
      <c r="G2606" s="2" t="s">
        <v>19</v>
      </c>
      <c r="H2606" s="2" t="s">
        <v>607</v>
      </c>
      <c r="I2606">
        <v>74</v>
      </c>
      <c r="J2606" s="2" t="s">
        <v>717</v>
      </c>
      <c r="K2606" s="2" t="s">
        <v>582</v>
      </c>
      <c r="L2606" s="2" t="s">
        <v>583</v>
      </c>
      <c r="M2606" s="2" t="s">
        <v>584</v>
      </c>
      <c r="N2606" s="2" t="s">
        <v>585</v>
      </c>
      <c r="O2606" s="2" t="s">
        <v>586</v>
      </c>
      <c r="P2606" s="2" t="s">
        <v>73</v>
      </c>
      <c r="Q2606" s="2" t="s">
        <v>587</v>
      </c>
      <c r="R2606" s="2" t="s">
        <v>588</v>
      </c>
      <c r="S2606" s="2" t="s">
        <v>30</v>
      </c>
      <c r="T2606">
        <v>2967</v>
      </c>
      <c r="U2606">
        <f>VLOOKUP(Auto_Sales_data___Copy[[#This Row],[CUSTOMER_NAME]],$AF$2:$AH$90,2,FALSE)</f>
        <v>24</v>
      </c>
      <c r="V2606">
        <f>VLOOKUP(Auto_Sales_data___Copy[[#This Row],[CUSTOMER_NAME]],$AF$2:$AH$90,3,FALSE)</f>
        <v>79224.23</v>
      </c>
      <c r="W2606" s="2">
        <f>6-MATCH(Auto_Sales_data___Copy[[#This Row],[DAYS_SINCE_LAST_ORDER]],Table2[R-Cutoff],1)</f>
        <v>1</v>
      </c>
      <c r="X2606" s="2">
        <f>MATCH(Auto_Sales_data___Copy[[#This Row],[Total_Orders_Per_Customer]],Table2[F-Cutoff],1)</f>
        <v>3</v>
      </c>
      <c r="Y2606" s="2">
        <f>MATCH(Auto_Sales_data___Copy[[#This Row],[Total_Sales_Per_Customer]],Table2[M-Cutoff],1)</f>
        <v>2</v>
      </c>
      <c r="Z2606" s="2" t="str">
        <f>Auto_Sales_data___Copy[[#This Row],[R-Score(1-5)]]&amp;Auto_Sales_data___Copy[[#This Row],[F-Score(1-5)]]&amp;Auto_Sales_data___Copy[[#This Row],[M-Score(1-5)]]</f>
        <v>132</v>
      </c>
      <c r="AA2606" s="2" t="str" cm="1">
        <f t="array" ref="AA26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6" s="2" t="str">
        <f>VLOOKUP(Auto_Sales_data___Copy[[#This Row],[Segment Name]],Table3[],2,FALSE)</f>
        <v>Re-Activation &amp; Re-Engagement</v>
      </c>
    </row>
    <row r="2607" spans="1:28" x14ac:dyDescent="0.25">
      <c r="A2607">
        <v>10316</v>
      </c>
      <c r="B2607">
        <v>34</v>
      </c>
      <c r="C2607">
        <v>82.21</v>
      </c>
      <c r="D2607">
        <v>4</v>
      </c>
      <c r="E2607">
        <v>2795.14</v>
      </c>
      <c r="F2607" s="1">
        <v>43770</v>
      </c>
      <c r="G2607" s="2" t="s">
        <v>19</v>
      </c>
      <c r="H2607" s="2" t="s">
        <v>607</v>
      </c>
      <c r="I2607">
        <v>91</v>
      </c>
      <c r="J2607" s="2" t="s">
        <v>707</v>
      </c>
      <c r="K2607" s="2" t="s">
        <v>404</v>
      </c>
      <c r="L2607" s="2" t="s">
        <v>405</v>
      </c>
      <c r="M2607" s="2" t="s">
        <v>406</v>
      </c>
      <c r="N2607" s="2" t="s">
        <v>407</v>
      </c>
      <c r="O2607" s="2" t="s">
        <v>408</v>
      </c>
      <c r="P2607" s="2" t="s">
        <v>171</v>
      </c>
      <c r="Q2607" s="2" t="s">
        <v>409</v>
      </c>
      <c r="R2607" s="2" t="s">
        <v>410</v>
      </c>
      <c r="S2607" s="2" t="s">
        <v>30</v>
      </c>
      <c r="T2607">
        <v>2639</v>
      </c>
      <c r="U2607">
        <f>VLOOKUP(Auto_Sales_data___Copy[[#This Row],[CUSTOMER_NAME]],$AF$2:$AH$90,2,FALSE)</f>
        <v>26</v>
      </c>
      <c r="V2607">
        <f>VLOOKUP(Auto_Sales_data___Copy[[#This Row],[CUSTOMER_NAME]],$AF$2:$AH$90,3,FALSE)</f>
        <v>78240.84</v>
      </c>
      <c r="W2607" s="2">
        <f>6-MATCH(Auto_Sales_data___Copy[[#This Row],[DAYS_SINCE_LAST_ORDER]],Table2[R-Cutoff],1)</f>
        <v>1</v>
      </c>
      <c r="X2607" s="2">
        <f>MATCH(Auto_Sales_data___Copy[[#This Row],[Total_Orders_Per_Customer]],Table2[F-Cutoff],1)</f>
        <v>3</v>
      </c>
      <c r="Y2607" s="2">
        <f>MATCH(Auto_Sales_data___Copy[[#This Row],[Total_Sales_Per_Customer]],Table2[M-Cutoff],1)</f>
        <v>2</v>
      </c>
      <c r="Z2607" s="2" t="str">
        <f>Auto_Sales_data___Copy[[#This Row],[R-Score(1-5)]]&amp;Auto_Sales_data___Copy[[#This Row],[F-Score(1-5)]]&amp;Auto_Sales_data___Copy[[#This Row],[M-Score(1-5)]]</f>
        <v>132</v>
      </c>
      <c r="AA2607" s="2" t="str" cm="1">
        <f t="array" ref="AA26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7" s="2" t="str">
        <f>VLOOKUP(Auto_Sales_data___Copy[[#This Row],[Segment Name]],Table3[],2,FALSE)</f>
        <v>Re-Activation &amp; Re-Engagement</v>
      </c>
    </row>
    <row r="2608" spans="1:28" x14ac:dyDescent="0.25">
      <c r="A2608">
        <v>10316</v>
      </c>
      <c r="B2608">
        <v>45</v>
      </c>
      <c r="C2608">
        <v>93.24</v>
      </c>
      <c r="D2608">
        <v>13</v>
      </c>
      <c r="E2608">
        <v>4195.8</v>
      </c>
      <c r="F2608" s="1">
        <v>43770</v>
      </c>
      <c r="G2608" s="2" t="s">
        <v>19</v>
      </c>
      <c r="H2608" s="2" t="s">
        <v>642</v>
      </c>
      <c r="I2608">
        <v>90</v>
      </c>
      <c r="J2608" s="2" t="s">
        <v>709</v>
      </c>
      <c r="K2608" s="2" t="s">
        <v>404</v>
      </c>
      <c r="L2608" s="2" t="s">
        <v>405</v>
      </c>
      <c r="M2608" s="2" t="s">
        <v>406</v>
      </c>
      <c r="N2608" s="2" t="s">
        <v>407</v>
      </c>
      <c r="O2608" s="2" t="s">
        <v>408</v>
      </c>
      <c r="P2608" s="2" t="s">
        <v>171</v>
      </c>
      <c r="Q2608" s="2" t="s">
        <v>409</v>
      </c>
      <c r="R2608" s="2" t="s">
        <v>410</v>
      </c>
      <c r="S2608" s="2" t="s">
        <v>46</v>
      </c>
      <c r="T2608">
        <v>2689</v>
      </c>
      <c r="U2608">
        <f>VLOOKUP(Auto_Sales_data___Copy[[#This Row],[CUSTOMER_NAME]],$AF$2:$AH$90,2,FALSE)</f>
        <v>26</v>
      </c>
      <c r="V2608">
        <f>VLOOKUP(Auto_Sales_data___Copy[[#This Row],[CUSTOMER_NAME]],$AF$2:$AH$90,3,FALSE)</f>
        <v>78240.84</v>
      </c>
      <c r="W2608" s="2">
        <f>6-MATCH(Auto_Sales_data___Copy[[#This Row],[DAYS_SINCE_LAST_ORDER]],Table2[R-Cutoff],1)</f>
        <v>1</v>
      </c>
      <c r="X2608" s="2">
        <f>MATCH(Auto_Sales_data___Copy[[#This Row],[Total_Orders_Per_Customer]],Table2[F-Cutoff],1)</f>
        <v>3</v>
      </c>
      <c r="Y2608" s="2">
        <f>MATCH(Auto_Sales_data___Copy[[#This Row],[Total_Sales_Per_Customer]],Table2[M-Cutoff],1)</f>
        <v>2</v>
      </c>
      <c r="Z2608" s="2" t="str">
        <f>Auto_Sales_data___Copy[[#This Row],[R-Score(1-5)]]&amp;Auto_Sales_data___Copy[[#This Row],[F-Score(1-5)]]&amp;Auto_Sales_data___Copy[[#This Row],[M-Score(1-5)]]</f>
        <v>132</v>
      </c>
      <c r="AA2608" s="2" t="str" cm="1">
        <f t="array" ref="AA26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8" s="2" t="str">
        <f>VLOOKUP(Auto_Sales_data___Copy[[#This Row],[Segment Name]],Table3[],2,FALSE)</f>
        <v>Re-Activation &amp; Re-Engagement</v>
      </c>
    </row>
    <row r="2609" spans="1:28" x14ac:dyDescent="0.25">
      <c r="A2609">
        <v>10316</v>
      </c>
      <c r="B2609">
        <v>23</v>
      </c>
      <c r="C2609">
        <v>117.67</v>
      </c>
      <c r="D2609">
        <v>6</v>
      </c>
      <c r="E2609">
        <v>2706.41</v>
      </c>
      <c r="F2609" s="1">
        <v>43770</v>
      </c>
      <c r="G2609" s="2" t="s">
        <v>19</v>
      </c>
      <c r="H2609" s="2" t="s">
        <v>607</v>
      </c>
      <c r="I2609">
        <v>99</v>
      </c>
      <c r="J2609" s="2" t="s">
        <v>710</v>
      </c>
      <c r="K2609" s="2" t="s">
        <v>404</v>
      </c>
      <c r="L2609" s="2" t="s">
        <v>405</v>
      </c>
      <c r="M2609" s="2" t="s">
        <v>406</v>
      </c>
      <c r="N2609" s="2" t="s">
        <v>407</v>
      </c>
      <c r="O2609" s="2" t="s">
        <v>408</v>
      </c>
      <c r="P2609" s="2" t="s">
        <v>171</v>
      </c>
      <c r="Q2609" s="2" t="s">
        <v>409</v>
      </c>
      <c r="R2609" s="2" t="s">
        <v>410</v>
      </c>
      <c r="S2609" s="2" t="s">
        <v>30</v>
      </c>
      <c r="T2609">
        <v>2716</v>
      </c>
      <c r="U2609">
        <f>VLOOKUP(Auto_Sales_data___Copy[[#This Row],[CUSTOMER_NAME]],$AF$2:$AH$90,2,FALSE)</f>
        <v>26</v>
      </c>
      <c r="V2609">
        <f>VLOOKUP(Auto_Sales_data___Copy[[#This Row],[CUSTOMER_NAME]],$AF$2:$AH$90,3,FALSE)</f>
        <v>78240.84</v>
      </c>
      <c r="W2609" s="2">
        <f>6-MATCH(Auto_Sales_data___Copy[[#This Row],[DAYS_SINCE_LAST_ORDER]],Table2[R-Cutoff],1)</f>
        <v>1</v>
      </c>
      <c r="X2609" s="2">
        <f>MATCH(Auto_Sales_data___Copy[[#This Row],[Total_Orders_Per_Customer]],Table2[F-Cutoff],1)</f>
        <v>3</v>
      </c>
      <c r="Y2609" s="2">
        <f>MATCH(Auto_Sales_data___Copy[[#This Row],[Total_Sales_Per_Customer]],Table2[M-Cutoff],1)</f>
        <v>2</v>
      </c>
      <c r="Z2609" s="2" t="str">
        <f>Auto_Sales_data___Copy[[#This Row],[R-Score(1-5)]]&amp;Auto_Sales_data___Copy[[#This Row],[F-Score(1-5)]]&amp;Auto_Sales_data___Copy[[#This Row],[M-Score(1-5)]]</f>
        <v>132</v>
      </c>
      <c r="AA2609" s="2" t="str" cm="1">
        <f t="array" ref="AA26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9" s="2" t="str">
        <f>VLOOKUP(Auto_Sales_data___Copy[[#This Row],[Segment Name]],Table3[],2,FALSE)</f>
        <v>Re-Activation &amp; Re-Engagement</v>
      </c>
    </row>
    <row r="2610" spans="1:28" x14ac:dyDescent="0.25">
      <c r="A2610">
        <v>10316</v>
      </c>
      <c r="B2610">
        <v>48</v>
      </c>
      <c r="C2610">
        <v>74.45</v>
      </c>
      <c r="D2610">
        <v>18</v>
      </c>
      <c r="E2610">
        <v>3573.6</v>
      </c>
      <c r="F2610" s="1">
        <v>43770</v>
      </c>
      <c r="G2610" s="2" t="s">
        <v>19</v>
      </c>
      <c r="H2610" s="2" t="s">
        <v>642</v>
      </c>
      <c r="I2610">
        <v>72</v>
      </c>
      <c r="J2610" s="2" t="s">
        <v>711</v>
      </c>
      <c r="K2610" s="2" t="s">
        <v>404</v>
      </c>
      <c r="L2610" s="2" t="s">
        <v>405</v>
      </c>
      <c r="M2610" s="2" t="s">
        <v>406</v>
      </c>
      <c r="N2610" s="2" t="s">
        <v>407</v>
      </c>
      <c r="O2610" s="2" t="s">
        <v>408</v>
      </c>
      <c r="P2610" s="2" t="s">
        <v>171</v>
      </c>
      <c r="Q2610" s="2" t="s">
        <v>409</v>
      </c>
      <c r="R2610" s="2" t="s">
        <v>410</v>
      </c>
      <c r="S2610" s="2" t="s">
        <v>46</v>
      </c>
      <c r="T2610">
        <v>2744</v>
      </c>
      <c r="U2610">
        <f>VLOOKUP(Auto_Sales_data___Copy[[#This Row],[CUSTOMER_NAME]],$AF$2:$AH$90,2,FALSE)</f>
        <v>26</v>
      </c>
      <c r="V2610">
        <f>VLOOKUP(Auto_Sales_data___Copy[[#This Row],[CUSTOMER_NAME]],$AF$2:$AH$90,3,FALSE)</f>
        <v>78240.84</v>
      </c>
      <c r="W2610" s="2">
        <f>6-MATCH(Auto_Sales_data___Copy[[#This Row],[DAYS_SINCE_LAST_ORDER]],Table2[R-Cutoff],1)</f>
        <v>1</v>
      </c>
      <c r="X2610" s="2">
        <f>MATCH(Auto_Sales_data___Copy[[#This Row],[Total_Orders_Per_Customer]],Table2[F-Cutoff],1)</f>
        <v>3</v>
      </c>
      <c r="Y2610" s="2">
        <f>MATCH(Auto_Sales_data___Copy[[#This Row],[Total_Sales_Per_Customer]],Table2[M-Cutoff],1)</f>
        <v>2</v>
      </c>
      <c r="Z2610" s="2" t="str">
        <f>Auto_Sales_data___Copy[[#This Row],[R-Score(1-5)]]&amp;Auto_Sales_data___Copy[[#This Row],[F-Score(1-5)]]&amp;Auto_Sales_data___Copy[[#This Row],[M-Score(1-5)]]</f>
        <v>132</v>
      </c>
      <c r="AA2610" s="2" t="str" cm="1">
        <f t="array" ref="AA26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10" s="2" t="str">
        <f>VLOOKUP(Auto_Sales_data___Copy[[#This Row],[Segment Name]],Table3[],2,FALSE)</f>
        <v>Re-Activation &amp; Re-Engagement</v>
      </c>
    </row>
    <row r="2611" spans="1:28" x14ac:dyDescent="0.25">
      <c r="A2611">
        <v>10316</v>
      </c>
      <c r="B2611">
        <v>48</v>
      </c>
      <c r="C2611">
        <v>75.2</v>
      </c>
      <c r="D2611">
        <v>5</v>
      </c>
      <c r="E2611">
        <v>3609.6</v>
      </c>
      <c r="F2611" s="1">
        <v>43770</v>
      </c>
      <c r="G2611" s="2" t="s">
        <v>19</v>
      </c>
      <c r="H2611" s="2" t="s">
        <v>607</v>
      </c>
      <c r="I2611">
        <v>80</v>
      </c>
      <c r="J2611" s="2" t="s">
        <v>714</v>
      </c>
      <c r="K2611" s="2" t="s">
        <v>404</v>
      </c>
      <c r="L2611" s="2" t="s">
        <v>405</v>
      </c>
      <c r="M2611" s="2" t="s">
        <v>406</v>
      </c>
      <c r="N2611" s="2" t="s">
        <v>407</v>
      </c>
      <c r="O2611" s="2" t="s">
        <v>408</v>
      </c>
      <c r="P2611" s="2" t="s">
        <v>171</v>
      </c>
      <c r="Q2611" s="2" t="s">
        <v>409</v>
      </c>
      <c r="R2611" s="2" t="s">
        <v>410</v>
      </c>
      <c r="S2611" s="2" t="s">
        <v>46</v>
      </c>
      <c r="T2611">
        <v>2819</v>
      </c>
      <c r="U2611">
        <f>VLOOKUP(Auto_Sales_data___Copy[[#This Row],[CUSTOMER_NAME]],$AF$2:$AH$90,2,FALSE)</f>
        <v>26</v>
      </c>
      <c r="V2611">
        <f>VLOOKUP(Auto_Sales_data___Copy[[#This Row],[CUSTOMER_NAME]],$AF$2:$AH$90,3,FALSE)</f>
        <v>78240.84</v>
      </c>
      <c r="W2611" s="2">
        <f>6-MATCH(Auto_Sales_data___Copy[[#This Row],[DAYS_SINCE_LAST_ORDER]],Table2[R-Cutoff],1)</f>
        <v>1</v>
      </c>
      <c r="X2611" s="2">
        <f>MATCH(Auto_Sales_data___Copy[[#This Row],[Total_Orders_Per_Customer]],Table2[F-Cutoff],1)</f>
        <v>3</v>
      </c>
      <c r="Y2611" s="2">
        <f>MATCH(Auto_Sales_data___Copy[[#This Row],[Total_Sales_Per_Customer]],Table2[M-Cutoff],1)</f>
        <v>2</v>
      </c>
      <c r="Z2611" s="2" t="str">
        <f>Auto_Sales_data___Copy[[#This Row],[R-Score(1-5)]]&amp;Auto_Sales_data___Copy[[#This Row],[F-Score(1-5)]]&amp;Auto_Sales_data___Copy[[#This Row],[M-Score(1-5)]]</f>
        <v>132</v>
      </c>
      <c r="AA2611" s="2" t="str" cm="1">
        <f t="array" ref="AA26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11" s="2" t="str">
        <f>VLOOKUP(Auto_Sales_data___Copy[[#This Row],[Segment Name]],Table3[],2,FALSE)</f>
        <v>Re-Activation &amp; Re-Engagement</v>
      </c>
    </row>
    <row r="2612" spans="1:28" x14ac:dyDescent="0.25">
      <c r="A2612">
        <v>10316</v>
      </c>
      <c r="B2612">
        <v>44</v>
      </c>
      <c r="C2612">
        <v>62.19</v>
      </c>
      <c r="D2612">
        <v>7</v>
      </c>
      <c r="E2612">
        <v>2736.36</v>
      </c>
      <c r="F2612" s="1">
        <v>43770</v>
      </c>
      <c r="G2612" s="2" t="s">
        <v>19</v>
      </c>
      <c r="H2612" s="2" t="s">
        <v>607</v>
      </c>
      <c r="I2612">
        <v>74</v>
      </c>
      <c r="J2612" s="2" t="s">
        <v>717</v>
      </c>
      <c r="K2612" s="2" t="s">
        <v>404</v>
      </c>
      <c r="L2612" s="2" t="s">
        <v>405</v>
      </c>
      <c r="M2612" s="2" t="s">
        <v>406</v>
      </c>
      <c r="N2612" s="2" t="s">
        <v>407</v>
      </c>
      <c r="O2612" s="2" t="s">
        <v>408</v>
      </c>
      <c r="P2612" s="2" t="s">
        <v>171</v>
      </c>
      <c r="Q2612" s="2" t="s">
        <v>409</v>
      </c>
      <c r="R2612" s="2" t="s">
        <v>410</v>
      </c>
      <c r="S2612" s="2" t="s">
        <v>30</v>
      </c>
      <c r="T2612">
        <v>2898</v>
      </c>
      <c r="U2612">
        <f>VLOOKUP(Auto_Sales_data___Copy[[#This Row],[CUSTOMER_NAME]],$AF$2:$AH$90,2,FALSE)</f>
        <v>26</v>
      </c>
      <c r="V2612">
        <f>VLOOKUP(Auto_Sales_data___Copy[[#This Row],[CUSTOMER_NAME]],$AF$2:$AH$90,3,FALSE)</f>
        <v>78240.84</v>
      </c>
      <c r="W2612" s="2">
        <f>6-MATCH(Auto_Sales_data___Copy[[#This Row],[DAYS_SINCE_LAST_ORDER]],Table2[R-Cutoff],1)</f>
        <v>1</v>
      </c>
      <c r="X2612" s="2">
        <f>MATCH(Auto_Sales_data___Copy[[#This Row],[Total_Orders_Per_Customer]],Table2[F-Cutoff],1)</f>
        <v>3</v>
      </c>
      <c r="Y2612" s="2">
        <f>MATCH(Auto_Sales_data___Copy[[#This Row],[Total_Sales_Per_Customer]],Table2[M-Cutoff],1)</f>
        <v>2</v>
      </c>
      <c r="Z2612" s="2" t="str">
        <f>Auto_Sales_data___Copy[[#This Row],[R-Score(1-5)]]&amp;Auto_Sales_data___Copy[[#This Row],[F-Score(1-5)]]&amp;Auto_Sales_data___Copy[[#This Row],[M-Score(1-5)]]</f>
        <v>132</v>
      </c>
      <c r="AA2612" s="2" t="str" cm="1">
        <f t="array" ref="AA26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12" s="2" t="str">
        <f>VLOOKUP(Auto_Sales_data___Copy[[#This Row],[Segment Name]],Table3[],2,FALSE)</f>
        <v>Re-Activation &amp; Re-Engagement</v>
      </c>
    </row>
    <row r="2613" spans="1:28" x14ac:dyDescent="0.25">
      <c r="A2613">
        <v>10316</v>
      </c>
      <c r="B2613">
        <v>34</v>
      </c>
      <c r="C2613">
        <v>43.7</v>
      </c>
      <c r="D2613">
        <v>12</v>
      </c>
      <c r="E2613">
        <v>1485.8</v>
      </c>
      <c r="F2613" s="1">
        <v>43770</v>
      </c>
      <c r="G2613" s="2" t="s">
        <v>19</v>
      </c>
      <c r="H2613" s="2" t="s">
        <v>607</v>
      </c>
      <c r="I2613">
        <v>49</v>
      </c>
      <c r="J2613" s="2" t="s">
        <v>718</v>
      </c>
      <c r="K2613" s="2" t="s">
        <v>404</v>
      </c>
      <c r="L2613" s="2" t="s">
        <v>405</v>
      </c>
      <c r="M2613" s="2" t="s">
        <v>406</v>
      </c>
      <c r="N2613" s="2" t="s">
        <v>407</v>
      </c>
      <c r="O2613" s="2" t="s">
        <v>408</v>
      </c>
      <c r="P2613" s="2" t="s">
        <v>171</v>
      </c>
      <c r="Q2613" s="2" t="s">
        <v>409</v>
      </c>
      <c r="R2613" s="2" t="s">
        <v>410</v>
      </c>
      <c r="S2613" s="2" t="s">
        <v>30</v>
      </c>
      <c r="T2613">
        <v>2924</v>
      </c>
      <c r="U2613">
        <f>VLOOKUP(Auto_Sales_data___Copy[[#This Row],[CUSTOMER_NAME]],$AF$2:$AH$90,2,FALSE)</f>
        <v>26</v>
      </c>
      <c r="V2613">
        <f>VLOOKUP(Auto_Sales_data___Copy[[#This Row],[CUSTOMER_NAME]],$AF$2:$AH$90,3,FALSE)</f>
        <v>78240.84</v>
      </c>
      <c r="W2613" s="2">
        <f>6-MATCH(Auto_Sales_data___Copy[[#This Row],[DAYS_SINCE_LAST_ORDER]],Table2[R-Cutoff],1)</f>
        <v>1</v>
      </c>
      <c r="X2613" s="2">
        <f>MATCH(Auto_Sales_data___Copy[[#This Row],[Total_Orders_Per_Customer]],Table2[F-Cutoff],1)</f>
        <v>3</v>
      </c>
      <c r="Y2613" s="2">
        <f>MATCH(Auto_Sales_data___Copy[[#This Row],[Total_Sales_Per_Customer]],Table2[M-Cutoff],1)</f>
        <v>2</v>
      </c>
      <c r="Z2613" s="2" t="str">
        <f>Auto_Sales_data___Copy[[#This Row],[R-Score(1-5)]]&amp;Auto_Sales_data___Copy[[#This Row],[F-Score(1-5)]]&amp;Auto_Sales_data___Copy[[#This Row],[M-Score(1-5)]]</f>
        <v>132</v>
      </c>
      <c r="AA2613" s="2" t="str" cm="1">
        <f t="array" ref="AA26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13" s="2" t="str">
        <f>VLOOKUP(Auto_Sales_data___Copy[[#This Row],[Segment Name]],Table3[],2,FALSE)</f>
        <v>Re-Activation &amp; Re-Engagement</v>
      </c>
    </row>
    <row r="2614" spans="1:28" x14ac:dyDescent="0.25">
      <c r="A2614">
        <v>10114</v>
      </c>
      <c r="B2614">
        <v>32</v>
      </c>
      <c r="C2614">
        <v>114.61</v>
      </c>
      <c r="D2614">
        <v>7</v>
      </c>
      <c r="E2614">
        <v>3667.52</v>
      </c>
      <c r="F2614" s="1">
        <v>43191</v>
      </c>
      <c r="G2614" s="2" t="s">
        <v>19</v>
      </c>
      <c r="H2614" s="2" t="s">
        <v>537</v>
      </c>
      <c r="I2614">
        <v>96</v>
      </c>
      <c r="J2614" s="2" t="s">
        <v>694</v>
      </c>
      <c r="K2614" s="2" t="s">
        <v>425</v>
      </c>
      <c r="L2614" s="2" t="s">
        <v>426</v>
      </c>
      <c r="M2614" s="2" t="s">
        <v>427</v>
      </c>
      <c r="N2614" s="2" t="s">
        <v>42</v>
      </c>
      <c r="O2614" s="2" t="s">
        <v>428</v>
      </c>
      <c r="P2614" s="2" t="s">
        <v>36</v>
      </c>
      <c r="Q2614" s="2" t="s">
        <v>429</v>
      </c>
      <c r="R2614" s="2" t="s">
        <v>430</v>
      </c>
      <c r="S2614" s="2" t="s">
        <v>46</v>
      </c>
      <c r="T2614">
        <v>2870</v>
      </c>
      <c r="U2614">
        <f>VLOOKUP(Auto_Sales_data___Copy[[#This Row],[CUSTOMER_NAME]],$AF$2:$AH$90,2,FALSE)</f>
        <v>23</v>
      </c>
      <c r="V2614">
        <f>VLOOKUP(Auto_Sales_data___Copy[[#This Row],[CUSTOMER_NAME]],$AF$2:$AH$90,3,FALSE)</f>
        <v>97203.680000000008</v>
      </c>
      <c r="W2614" s="2">
        <f>6-MATCH(Auto_Sales_data___Copy[[#This Row],[DAYS_SINCE_LAST_ORDER]],Table2[R-Cutoff],1)</f>
        <v>1</v>
      </c>
      <c r="X2614" s="2">
        <f>MATCH(Auto_Sales_data___Copy[[#This Row],[Total_Orders_Per_Customer]],Table2[F-Cutoff],1)</f>
        <v>2</v>
      </c>
      <c r="Y2614" s="2">
        <f>MATCH(Auto_Sales_data___Copy[[#This Row],[Total_Sales_Per_Customer]],Table2[M-Cutoff],1)</f>
        <v>3</v>
      </c>
      <c r="Z2614" s="2" t="str">
        <f>Auto_Sales_data___Copy[[#This Row],[R-Score(1-5)]]&amp;Auto_Sales_data___Copy[[#This Row],[F-Score(1-5)]]&amp;Auto_Sales_data___Copy[[#This Row],[M-Score(1-5)]]</f>
        <v>123</v>
      </c>
      <c r="AA2614" s="2" t="str" cm="1">
        <f t="array" ref="AA26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4" s="2" t="str">
        <f>VLOOKUP(Auto_Sales_data___Copy[[#This Row],[Segment Name]],Table3[],2,FALSE)</f>
        <v>Brand Awareness &amp; Value Proposition</v>
      </c>
    </row>
    <row r="2615" spans="1:28" x14ac:dyDescent="0.25">
      <c r="A2615">
        <v>10114</v>
      </c>
      <c r="B2615">
        <v>28</v>
      </c>
      <c r="C2615">
        <v>55.73</v>
      </c>
      <c r="D2615">
        <v>2</v>
      </c>
      <c r="E2615">
        <v>1560.44</v>
      </c>
      <c r="F2615" s="1">
        <v>43191</v>
      </c>
      <c r="G2615" s="2" t="s">
        <v>19</v>
      </c>
      <c r="H2615" s="2" t="s">
        <v>537</v>
      </c>
      <c r="I2615">
        <v>54</v>
      </c>
      <c r="J2615" s="2" t="s">
        <v>697</v>
      </c>
      <c r="K2615" s="2" t="s">
        <v>425</v>
      </c>
      <c r="L2615" s="2" t="s">
        <v>426</v>
      </c>
      <c r="M2615" s="2" t="s">
        <v>427</v>
      </c>
      <c r="N2615" s="2" t="s">
        <v>42</v>
      </c>
      <c r="O2615" s="2" t="s">
        <v>428</v>
      </c>
      <c r="P2615" s="2" t="s">
        <v>36</v>
      </c>
      <c r="Q2615" s="2" t="s">
        <v>429</v>
      </c>
      <c r="R2615" s="2" t="s">
        <v>430</v>
      </c>
      <c r="S2615" s="2" t="s">
        <v>30</v>
      </c>
      <c r="T2615">
        <v>2945</v>
      </c>
      <c r="U2615">
        <f>VLOOKUP(Auto_Sales_data___Copy[[#This Row],[CUSTOMER_NAME]],$AF$2:$AH$90,2,FALSE)</f>
        <v>23</v>
      </c>
      <c r="V2615">
        <f>VLOOKUP(Auto_Sales_data___Copy[[#This Row],[CUSTOMER_NAME]],$AF$2:$AH$90,3,FALSE)</f>
        <v>97203.680000000008</v>
      </c>
      <c r="W2615" s="2">
        <f>6-MATCH(Auto_Sales_data___Copy[[#This Row],[DAYS_SINCE_LAST_ORDER]],Table2[R-Cutoff],1)</f>
        <v>1</v>
      </c>
      <c r="X2615" s="2">
        <f>MATCH(Auto_Sales_data___Copy[[#This Row],[Total_Orders_Per_Customer]],Table2[F-Cutoff],1)</f>
        <v>2</v>
      </c>
      <c r="Y2615" s="2">
        <f>MATCH(Auto_Sales_data___Copy[[#This Row],[Total_Sales_Per_Customer]],Table2[M-Cutoff],1)</f>
        <v>3</v>
      </c>
      <c r="Z2615" s="2" t="str">
        <f>Auto_Sales_data___Copy[[#This Row],[R-Score(1-5)]]&amp;Auto_Sales_data___Copy[[#This Row],[F-Score(1-5)]]&amp;Auto_Sales_data___Copy[[#This Row],[M-Score(1-5)]]</f>
        <v>123</v>
      </c>
      <c r="AA2615" s="2" t="str" cm="1">
        <f t="array" ref="AA26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5" s="2" t="str">
        <f>VLOOKUP(Auto_Sales_data___Copy[[#This Row],[Segment Name]],Table3[],2,FALSE)</f>
        <v>Brand Awareness &amp; Value Proposition</v>
      </c>
    </row>
    <row r="2616" spans="1:28" x14ac:dyDescent="0.25">
      <c r="A2616">
        <v>10114</v>
      </c>
      <c r="B2616">
        <v>42</v>
      </c>
      <c r="C2616">
        <v>113.29</v>
      </c>
      <c r="D2616">
        <v>10</v>
      </c>
      <c r="E2616">
        <v>4758.18</v>
      </c>
      <c r="F2616" s="1">
        <v>43191</v>
      </c>
      <c r="G2616" s="2" t="s">
        <v>19</v>
      </c>
      <c r="H2616" s="2" t="s">
        <v>183</v>
      </c>
      <c r="I2616">
        <v>101</v>
      </c>
      <c r="J2616" s="2" t="s">
        <v>712</v>
      </c>
      <c r="K2616" s="2" t="s">
        <v>425</v>
      </c>
      <c r="L2616" s="2" t="s">
        <v>426</v>
      </c>
      <c r="M2616" s="2" t="s">
        <v>427</v>
      </c>
      <c r="N2616" s="2" t="s">
        <v>42</v>
      </c>
      <c r="O2616" s="2" t="s">
        <v>428</v>
      </c>
      <c r="P2616" s="2" t="s">
        <v>36</v>
      </c>
      <c r="Q2616" s="2" t="s">
        <v>429</v>
      </c>
      <c r="R2616" s="2" t="s">
        <v>430</v>
      </c>
      <c r="S2616" s="2" t="s">
        <v>46</v>
      </c>
      <c r="T2616">
        <v>3332</v>
      </c>
      <c r="U2616">
        <f>VLOOKUP(Auto_Sales_data___Copy[[#This Row],[CUSTOMER_NAME]],$AF$2:$AH$90,2,FALSE)</f>
        <v>23</v>
      </c>
      <c r="V2616">
        <f>VLOOKUP(Auto_Sales_data___Copy[[#This Row],[CUSTOMER_NAME]],$AF$2:$AH$90,3,FALSE)</f>
        <v>97203.680000000008</v>
      </c>
      <c r="W2616" s="2">
        <f>6-MATCH(Auto_Sales_data___Copy[[#This Row],[DAYS_SINCE_LAST_ORDER]],Table2[R-Cutoff],1)</f>
        <v>1</v>
      </c>
      <c r="X2616" s="2">
        <f>MATCH(Auto_Sales_data___Copy[[#This Row],[Total_Orders_Per_Customer]],Table2[F-Cutoff],1)</f>
        <v>2</v>
      </c>
      <c r="Y2616" s="2">
        <f>MATCH(Auto_Sales_data___Copy[[#This Row],[Total_Sales_Per_Customer]],Table2[M-Cutoff],1)</f>
        <v>3</v>
      </c>
      <c r="Z2616" s="2" t="str">
        <f>Auto_Sales_data___Copy[[#This Row],[R-Score(1-5)]]&amp;Auto_Sales_data___Copy[[#This Row],[F-Score(1-5)]]&amp;Auto_Sales_data___Copy[[#This Row],[M-Score(1-5)]]</f>
        <v>123</v>
      </c>
      <c r="AA2616" s="2" t="str" cm="1">
        <f t="array" ref="AA26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6" s="2" t="str">
        <f>VLOOKUP(Auto_Sales_data___Copy[[#This Row],[Segment Name]],Table3[],2,FALSE)</f>
        <v>Brand Awareness &amp; Value Proposition</v>
      </c>
    </row>
    <row r="2617" spans="1:28" x14ac:dyDescent="0.25">
      <c r="A2617">
        <v>10230</v>
      </c>
      <c r="B2617">
        <v>46</v>
      </c>
      <c r="C2617">
        <v>60.9</v>
      </c>
      <c r="D2617">
        <v>4</v>
      </c>
      <c r="E2617">
        <v>2801.4</v>
      </c>
      <c r="F2617" s="1">
        <v>43539</v>
      </c>
      <c r="G2617" s="2" t="s">
        <v>19</v>
      </c>
      <c r="H2617" s="2" t="s">
        <v>650</v>
      </c>
      <c r="I2617">
        <v>62</v>
      </c>
      <c r="J2617" s="2" t="s">
        <v>698</v>
      </c>
      <c r="K2617" s="2" t="s">
        <v>492</v>
      </c>
      <c r="L2617" s="2" t="s">
        <v>493</v>
      </c>
      <c r="M2617" s="2" t="s">
        <v>494</v>
      </c>
      <c r="N2617" s="2" t="s">
        <v>495</v>
      </c>
      <c r="O2617" s="2" t="s">
        <v>496</v>
      </c>
      <c r="P2617" s="2" t="s">
        <v>470</v>
      </c>
      <c r="Q2617" s="2" t="s">
        <v>497</v>
      </c>
      <c r="R2617" s="2" t="s">
        <v>438</v>
      </c>
      <c r="S2617" s="2" t="s">
        <v>30</v>
      </c>
      <c r="T2617">
        <v>2635</v>
      </c>
      <c r="U2617">
        <f>VLOOKUP(Auto_Sales_data___Copy[[#This Row],[CUSTOMER_NAME]],$AF$2:$AH$90,2,FALSE)</f>
        <v>22</v>
      </c>
      <c r="V2617">
        <f>VLOOKUP(Auto_Sales_data___Copy[[#This Row],[CUSTOMER_NAME]],$AF$2:$AH$90,3,FALSE)</f>
        <v>85171.59</v>
      </c>
      <c r="W2617" s="2">
        <f>6-MATCH(Auto_Sales_data___Copy[[#This Row],[DAYS_SINCE_LAST_ORDER]],Table2[R-Cutoff],1)</f>
        <v>1</v>
      </c>
      <c r="X2617" s="2">
        <f>MATCH(Auto_Sales_data___Copy[[#This Row],[Total_Orders_Per_Customer]],Table2[F-Cutoff],1)</f>
        <v>2</v>
      </c>
      <c r="Y2617" s="2">
        <f>MATCH(Auto_Sales_data___Copy[[#This Row],[Total_Sales_Per_Customer]],Table2[M-Cutoff],1)</f>
        <v>3</v>
      </c>
      <c r="Z2617" s="2" t="str">
        <f>Auto_Sales_data___Copy[[#This Row],[R-Score(1-5)]]&amp;Auto_Sales_data___Copy[[#This Row],[F-Score(1-5)]]&amp;Auto_Sales_data___Copy[[#This Row],[M-Score(1-5)]]</f>
        <v>123</v>
      </c>
      <c r="AA2617" s="2" t="str" cm="1">
        <f t="array" ref="AA26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7" s="2" t="str">
        <f>VLOOKUP(Auto_Sales_data___Copy[[#This Row],[Segment Name]],Table3[],2,FALSE)</f>
        <v>Brand Awareness &amp; Value Proposition</v>
      </c>
    </row>
    <row r="2618" spans="1:28" x14ac:dyDescent="0.25">
      <c r="A2618">
        <v>10230</v>
      </c>
      <c r="B2618">
        <v>34</v>
      </c>
      <c r="C2618">
        <v>116.91</v>
      </c>
      <c r="D2618">
        <v>7</v>
      </c>
      <c r="E2618">
        <v>3974.94</v>
      </c>
      <c r="F2618" s="1">
        <v>43539</v>
      </c>
      <c r="G2618" s="2" t="s">
        <v>19</v>
      </c>
      <c r="H2618" s="2" t="s">
        <v>537</v>
      </c>
      <c r="I2618">
        <v>115</v>
      </c>
      <c r="J2618" s="2" t="s">
        <v>703</v>
      </c>
      <c r="K2618" s="2" t="s">
        <v>492</v>
      </c>
      <c r="L2618" s="2" t="s">
        <v>493</v>
      </c>
      <c r="M2618" s="2" t="s">
        <v>494</v>
      </c>
      <c r="N2618" s="2" t="s">
        <v>495</v>
      </c>
      <c r="O2618" s="2" t="s">
        <v>496</v>
      </c>
      <c r="P2618" s="2" t="s">
        <v>470</v>
      </c>
      <c r="Q2618" s="2" t="s">
        <v>497</v>
      </c>
      <c r="R2618" s="2" t="s">
        <v>438</v>
      </c>
      <c r="S2618" s="2" t="s">
        <v>46</v>
      </c>
      <c r="T2618">
        <v>2761</v>
      </c>
      <c r="U2618">
        <f>VLOOKUP(Auto_Sales_data___Copy[[#This Row],[CUSTOMER_NAME]],$AF$2:$AH$90,2,FALSE)</f>
        <v>22</v>
      </c>
      <c r="V2618">
        <f>VLOOKUP(Auto_Sales_data___Copy[[#This Row],[CUSTOMER_NAME]],$AF$2:$AH$90,3,FALSE)</f>
        <v>85171.59</v>
      </c>
      <c r="W2618" s="2">
        <f>6-MATCH(Auto_Sales_data___Copy[[#This Row],[DAYS_SINCE_LAST_ORDER]],Table2[R-Cutoff],1)</f>
        <v>1</v>
      </c>
      <c r="X2618" s="2">
        <f>MATCH(Auto_Sales_data___Copy[[#This Row],[Total_Orders_Per_Customer]],Table2[F-Cutoff],1)</f>
        <v>2</v>
      </c>
      <c r="Y2618" s="2">
        <f>MATCH(Auto_Sales_data___Copy[[#This Row],[Total_Sales_Per_Customer]],Table2[M-Cutoff],1)</f>
        <v>3</v>
      </c>
      <c r="Z2618" s="2" t="str">
        <f>Auto_Sales_data___Copy[[#This Row],[R-Score(1-5)]]&amp;Auto_Sales_data___Copy[[#This Row],[F-Score(1-5)]]&amp;Auto_Sales_data___Copy[[#This Row],[M-Score(1-5)]]</f>
        <v>123</v>
      </c>
      <c r="AA2618" s="2" t="str" cm="1">
        <f t="array" ref="AA26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8" s="2" t="str">
        <f>VLOOKUP(Auto_Sales_data___Copy[[#This Row],[Segment Name]],Table3[],2,FALSE)</f>
        <v>Brand Awareness &amp; Value Proposition</v>
      </c>
    </row>
    <row r="2619" spans="1:28" x14ac:dyDescent="0.25">
      <c r="A2619">
        <v>10230</v>
      </c>
      <c r="B2619">
        <v>43</v>
      </c>
      <c r="C2619">
        <v>52.14</v>
      </c>
      <c r="D2619">
        <v>2</v>
      </c>
      <c r="E2619">
        <v>2242.02</v>
      </c>
      <c r="F2619" s="1">
        <v>43539</v>
      </c>
      <c r="G2619" s="2" t="s">
        <v>19</v>
      </c>
      <c r="H2619" s="2" t="s">
        <v>650</v>
      </c>
      <c r="I2619">
        <v>58</v>
      </c>
      <c r="J2619" s="2" t="s">
        <v>704</v>
      </c>
      <c r="K2619" s="2" t="s">
        <v>492</v>
      </c>
      <c r="L2619" s="2" t="s">
        <v>493</v>
      </c>
      <c r="M2619" s="2" t="s">
        <v>494</v>
      </c>
      <c r="N2619" s="2" t="s">
        <v>495</v>
      </c>
      <c r="O2619" s="2" t="s">
        <v>496</v>
      </c>
      <c r="P2619" s="2" t="s">
        <v>470</v>
      </c>
      <c r="Q2619" s="2" t="s">
        <v>497</v>
      </c>
      <c r="R2619" s="2" t="s">
        <v>438</v>
      </c>
      <c r="S2619" s="2" t="s">
        <v>30</v>
      </c>
      <c r="T2619">
        <v>2789</v>
      </c>
      <c r="U2619">
        <f>VLOOKUP(Auto_Sales_data___Copy[[#This Row],[CUSTOMER_NAME]],$AF$2:$AH$90,2,FALSE)</f>
        <v>22</v>
      </c>
      <c r="V2619">
        <f>VLOOKUP(Auto_Sales_data___Copy[[#This Row],[CUSTOMER_NAME]],$AF$2:$AH$90,3,FALSE)</f>
        <v>85171.59</v>
      </c>
      <c r="W2619" s="2">
        <f>6-MATCH(Auto_Sales_data___Copy[[#This Row],[DAYS_SINCE_LAST_ORDER]],Table2[R-Cutoff],1)</f>
        <v>1</v>
      </c>
      <c r="X2619" s="2">
        <f>MATCH(Auto_Sales_data___Copy[[#This Row],[Total_Orders_Per_Customer]],Table2[F-Cutoff],1)</f>
        <v>2</v>
      </c>
      <c r="Y2619" s="2">
        <f>MATCH(Auto_Sales_data___Copy[[#This Row],[Total_Sales_Per_Customer]],Table2[M-Cutoff],1)</f>
        <v>3</v>
      </c>
      <c r="Z2619" s="2" t="str">
        <f>Auto_Sales_data___Copy[[#This Row],[R-Score(1-5)]]&amp;Auto_Sales_data___Copy[[#This Row],[F-Score(1-5)]]&amp;Auto_Sales_data___Copy[[#This Row],[M-Score(1-5)]]</f>
        <v>123</v>
      </c>
      <c r="AA2619" s="2" t="str" cm="1">
        <f t="array" ref="AA26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9" s="2" t="str">
        <f>VLOOKUP(Auto_Sales_data___Copy[[#This Row],[Segment Name]],Table3[],2,FALSE)</f>
        <v>Brand Awareness &amp; Value Proposition</v>
      </c>
    </row>
    <row r="2620" spans="1:28" x14ac:dyDescent="0.25">
      <c r="A2620">
        <v>10233</v>
      </c>
      <c r="B2620">
        <v>36</v>
      </c>
      <c r="C2620">
        <v>70.67</v>
      </c>
      <c r="D2620">
        <v>3</v>
      </c>
      <c r="E2620">
        <v>2544.12</v>
      </c>
      <c r="F2620" s="1">
        <v>43553</v>
      </c>
      <c r="G2620" s="2" t="s">
        <v>19</v>
      </c>
      <c r="H2620" s="2" t="s">
        <v>642</v>
      </c>
      <c r="I2620">
        <v>66</v>
      </c>
      <c r="J2620" s="2" t="s">
        <v>706</v>
      </c>
      <c r="K2620" s="2" t="s">
        <v>95</v>
      </c>
      <c r="L2620" s="2" t="s">
        <v>96</v>
      </c>
      <c r="M2620" s="2" t="s">
        <v>97</v>
      </c>
      <c r="N2620" s="2" t="s">
        <v>98</v>
      </c>
      <c r="O2620" s="2" t="s">
        <v>99</v>
      </c>
      <c r="P2620" s="2" t="s">
        <v>27</v>
      </c>
      <c r="Q2620" s="2" t="s">
        <v>100</v>
      </c>
      <c r="R2620" s="2" t="s">
        <v>101</v>
      </c>
      <c r="S2620" s="2" t="s">
        <v>30</v>
      </c>
      <c r="T2620">
        <v>2825</v>
      </c>
      <c r="U2620">
        <f>VLOOKUP(Auto_Sales_data___Copy[[#This Row],[CUSTOMER_NAME]],$AF$2:$AH$90,2,FALSE)</f>
        <v>21</v>
      </c>
      <c r="V2620">
        <f>VLOOKUP(Auto_Sales_data___Copy[[#This Row],[CUSTOMER_NAME]],$AF$2:$AH$90,3,FALSE)</f>
        <v>83228.189999999973</v>
      </c>
      <c r="W2620" s="2">
        <f>6-MATCH(Auto_Sales_data___Copy[[#This Row],[DAYS_SINCE_LAST_ORDER]],Table2[R-Cutoff],1)</f>
        <v>1</v>
      </c>
      <c r="X2620" s="2">
        <f>MATCH(Auto_Sales_data___Copy[[#This Row],[Total_Orders_Per_Customer]],Table2[F-Cutoff],1)</f>
        <v>2</v>
      </c>
      <c r="Y2620" s="2">
        <f>MATCH(Auto_Sales_data___Copy[[#This Row],[Total_Sales_Per_Customer]],Table2[M-Cutoff],1)</f>
        <v>3</v>
      </c>
      <c r="Z2620" s="2" t="str">
        <f>Auto_Sales_data___Copy[[#This Row],[R-Score(1-5)]]&amp;Auto_Sales_data___Copy[[#This Row],[F-Score(1-5)]]&amp;Auto_Sales_data___Copy[[#This Row],[M-Score(1-5)]]</f>
        <v>123</v>
      </c>
      <c r="AA2620" s="2" t="str" cm="1">
        <f t="array" ref="AA26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0" s="2" t="str">
        <f>VLOOKUP(Auto_Sales_data___Copy[[#This Row],[Segment Name]],Table3[],2,FALSE)</f>
        <v>Brand Awareness &amp; Value Proposition</v>
      </c>
    </row>
    <row r="2621" spans="1:28" x14ac:dyDescent="0.25">
      <c r="A2621">
        <v>10233</v>
      </c>
      <c r="B2621">
        <v>29</v>
      </c>
      <c r="C2621">
        <v>82.4</v>
      </c>
      <c r="D2621">
        <v>1</v>
      </c>
      <c r="E2621">
        <v>2389.6</v>
      </c>
      <c r="F2621" s="1">
        <v>43553</v>
      </c>
      <c r="G2621" s="2" t="s">
        <v>19</v>
      </c>
      <c r="H2621" s="2" t="s">
        <v>642</v>
      </c>
      <c r="I2621">
        <v>72</v>
      </c>
      <c r="J2621" s="2" t="s">
        <v>711</v>
      </c>
      <c r="K2621" s="2" t="s">
        <v>95</v>
      </c>
      <c r="L2621" s="2" t="s">
        <v>96</v>
      </c>
      <c r="M2621" s="2" t="s">
        <v>97</v>
      </c>
      <c r="N2621" s="2" t="s">
        <v>98</v>
      </c>
      <c r="O2621" s="2" t="s">
        <v>99</v>
      </c>
      <c r="P2621" s="2" t="s">
        <v>27</v>
      </c>
      <c r="Q2621" s="2" t="s">
        <v>100</v>
      </c>
      <c r="R2621" s="2" t="s">
        <v>101</v>
      </c>
      <c r="S2621" s="2" t="s">
        <v>30</v>
      </c>
      <c r="T2621">
        <v>2954</v>
      </c>
      <c r="U2621">
        <f>VLOOKUP(Auto_Sales_data___Copy[[#This Row],[CUSTOMER_NAME]],$AF$2:$AH$90,2,FALSE)</f>
        <v>21</v>
      </c>
      <c r="V2621">
        <f>VLOOKUP(Auto_Sales_data___Copy[[#This Row],[CUSTOMER_NAME]],$AF$2:$AH$90,3,FALSE)</f>
        <v>83228.189999999973</v>
      </c>
      <c r="W2621" s="2">
        <f>6-MATCH(Auto_Sales_data___Copy[[#This Row],[DAYS_SINCE_LAST_ORDER]],Table2[R-Cutoff],1)</f>
        <v>1</v>
      </c>
      <c r="X2621" s="2">
        <f>MATCH(Auto_Sales_data___Copy[[#This Row],[Total_Orders_Per_Customer]],Table2[F-Cutoff],1)</f>
        <v>2</v>
      </c>
      <c r="Y2621" s="2">
        <f>MATCH(Auto_Sales_data___Copy[[#This Row],[Total_Sales_Per_Customer]],Table2[M-Cutoff],1)</f>
        <v>3</v>
      </c>
      <c r="Z2621" s="2" t="str">
        <f>Auto_Sales_data___Copy[[#This Row],[R-Score(1-5)]]&amp;Auto_Sales_data___Copy[[#This Row],[F-Score(1-5)]]&amp;Auto_Sales_data___Copy[[#This Row],[M-Score(1-5)]]</f>
        <v>123</v>
      </c>
      <c r="AA2621" s="2" t="str" cm="1">
        <f t="array" ref="AA26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1" s="2" t="str">
        <f>VLOOKUP(Auto_Sales_data___Copy[[#This Row],[Segment Name]],Table3[],2,FALSE)</f>
        <v>Brand Awareness &amp; Value Proposition</v>
      </c>
    </row>
    <row r="2622" spans="1:28" x14ac:dyDescent="0.25">
      <c r="A2622">
        <v>10331</v>
      </c>
      <c r="B2622">
        <v>20</v>
      </c>
      <c r="C2622">
        <v>182.89</v>
      </c>
      <c r="D2622">
        <v>5</v>
      </c>
      <c r="E2622">
        <v>3657.8</v>
      </c>
      <c r="F2622" s="1">
        <v>43786</v>
      </c>
      <c r="G2622" s="2" t="s">
        <v>19</v>
      </c>
      <c r="H2622" s="2" t="s">
        <v>20</v>
      </c>
      <c r="I2622">
        <v>81</v>
      </c>
      <c r="J2622" s="2" t="s">
        <v>705</v>
      </c>
      <c r="K2622" s="2" t="s">
        <v>323</v>
      </c>
      <c r="L2622" s="2" t="s">
        <v>324</v>
      </c>
      <c r="M2622" s="2" t="s">
        <v>325</v>
      </c>
      <c r="N2622" s="2" t="s">
        <v>220</v>
      </c>
      <c r="O2622" s="2" t="s">
        <v>221</v>
      </c>
      <c r="P2622" s="2" t="s">
        <v>27</v>
      </c>
      <c r="Q2622" s="2" t="s">
        <v>120</v>
      </c>
      <c r="R2622" s="2" t="s">
        <v>326</v>
      </c>
      <c r="S2622" s="2" t="s">
        <v>46</v>
      </c>
      <c r="T2622">
        <v>2574</v>
      </c>
      <c r="U2622">
        <f>VLOOKUP(Auto_Sales_data___Copy[[#This Row],[CUSTOMER_NAME]],$AF$2:$AH$90,2,FALSE)</f>
        <v>23</v>
      </c>
      <c r="V2622">
        <f>VLOOKUP(Auto_Sales_data___Copy[[#This Row],[CUSTOMER_NAME]],$AF$2:$AH$90,3,FALSE)</f>
        <v>83682.16</v>
      </c>
      <c r="W2622" s="2">
        <f>6-MATCH(Auto_Sales_data___Copy[[#This Row],[DAYS_SINCE_LAST_ORDER]],Table2[R-Cutoff],1)</f>
        <v>1</v>
      </c>
      <c r="X2622" s="2">
        <f>MATCH(Auto_Sales_data___Copy[[#This Row],[Total_Orders_Per_Customer]],Table2[F-Cutoff],1)</f>
        <v>2</v>
      </c>
      <c r="Y2622" s="2">
        <f>MATCH(Auto_Sales_data___Copy[[#This Row],[Total_Sales_Per_Customer]],Table2[M-Cutoff],1)</f>
        <v>3</v>
      </c>
      <c r="Z2622" s="2" t="str">
        <f>Auto_Sales_data___Copy[[#This Row],[R-Score(1-5)]]&amp;Auto_Sales_data___Copy[[#This Row],[F-Score(1-5)]]&amp;Auto_Sales_data___Copy[[#This Row],[M-Score(1-5)]]</f>
        <v>123</v>
      </c>
      <c r="AA2622" s="2" t="str" cm="1">
        <f t="array" ref="AA26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2" s="2" t="str">
        <f>VLOOKUP(Auto_Sales_data___Copy[[#This Row],[Segment Name]],Table3[],2,FALSE)</f>
        <v>Brand Awareness &amp; Value Proposition</v>
      </c>
    </row>
    <row r="2623" spans="1:28" x14ac:dyDescent="0.25">
      <c r="A2623">
        <v>10336</v>
      </c>
      <c r="B2623">
        <v>46</v>
      </c>
      <c r="C2623">
        <v>207.8</v>
      </c>
      <c r="D2623">
        <v>2</v>
      </c>
      <c r="E2623">
        <v>9558.7999999999993</v>
      </c>
      <c r="F2623" s="1">
        <v>43789</v>
      </c>
      <c r="G2623" s="2" t="s">
        <v>19</v>
      </c>
      <c r="H2623" s="2" t="s">
        <v>183</v>
      </c>
      <c r="I2623">
        <v>101</v>
      </c>
      <c r="J2623" s="2" t="s">
        <v>712</v>
      </c>
      <c r="K2623" s="2" t="s">
        <v>425</v>
      </c>
      <c r="L2623" s="2" t="s">
        <v>426</v>
      </c>
      <c r="M2623" s="2" t="s">
        <v>427</v>
      </c>
      <c r="N2623" s="2" t="s">
        <v>42</v>
      </c>
      <c r="O2623" s="2" t="s">
        <v>428</v>
      </c>
      <c r="P2623" s="2" t="s">
        <v>36</v>
      </c>
      <c r="Q2623" s="2" t="s">
        <v>429</v>
      </c>
      <c r="R2623" s="2" t="s">
        <v>430</v>
      </c>
      <c r="S2623" s="2" t="s">
        <v>151</v>
      </c>
      <c r="T2623">
        <v>2753</v>
      </c>
      <c r="U2623">
        <f>VLOOKUP(Auto_Sales_data___Copy[[#This Row],[CUSTOMER_NAME]],$AF$2:$AH$90,2,FALSE)</f>
        <v>23</v>
      </c>
      <c r="V2623">
        <f>VLOOKUP(Auto_Sales_data___Copy[[#This Row],[CUSTOMER_NAME]],$AF$2:$AH$90,3,FALSE)</f>
        <v>97203.680000000008</v>
      </c>
      <c r="W2623" s="2">
        <f>6-MATCH(Auto_Sales_data___Copy[[#This Row],[DAYS_SINCE_LAST_ORDER]],Table2[R-Cutoff],1)</f>
        <v>1</v>
      </c>
      <c r="X2623" s="2">
        <f>MATCH(Auto_Sales_data___Copy[[#This Row],[Total_Orders_Per_Customer]],Table2[F-Cutoff],1)</f>
        <v>2</v>
      </c>
      <c r="Y2623" s="2">
        <f>MATCH(Auto_Sales_data___Copy[[#This Row],[Total_Sales_Per_Customer]],Table2[M-Cutoff],1)</f>
        <v>3</v>
      </c>
      <c r="Z2623" s="2" t="str">
        <f>Auto_Sales_data___Copy[[#This Row],[R-Score(1-5)]]&amp;Auto_Sales_data___Copy[[#This Row],[F-Score(1-5)]]&amp;Auto_Sales_data___Copy[[#This Row],[M-Score(1-5)]]</f>
        <v>123</v>
      </c>
      <c r="AA2623" s="2" t="str" cm="1">
        <f t="array" ref="AA26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3" s="2" t="str">
        <f>VLOOKUP(Auto_Sales_data___Copy[[#This Row],[Segment Name]],Table3[],2,FALSE)</f>
        <v>Brand Awareness &amp; Value Proposition</v>
      </c>
    </row>
    <row r="2624" spans="1:28" x14ac:dyDescent="0.25">
      <c r="A2624">
        <v>10401</v>
      </c>
      <c r="B2624">
        <v>85</v>
      </c>
      <c r="C2624">
        <v>88.75</v>
      </c>
      <c r="D2624">
        <v>10</v>
      </c>
      <c r="E2624">
        <v>7543.75</v>
      </c>
      <c r="F2624" s="1">
        <v>43924</v>
      </c>
      <c r="G2624" s="2" t="s">
        <v>423</v>
      </c>
      <c r="H2624" s="2" t="s">
        <v>607</v>
      </c>
      <c r="I2624">
        <v>99</v>
      </c>
      <c r="J2624" s="2" t="s">
        <v>710</v>
      </c>
      <c r="K2624" s="2" t="s">
        <v>95</v>
      </c>
      <c r="L2624" s="2" t="s">
        <v>96</v>
      </c>
      <c r="M2624" s="2" t="s">
        <v>97</v>
      </c>
      <c r="N2624" s="2" t="s">
        <v>98</v>
      </c>
      <c r="O2624" s="2" t="s">
        <v>99</v>
      </c>
      <c r="P2624" s="2" t="s">
        <v>27</v>
      </c>
      <c r="Q2624" s="2" t="s">
        <v>100</v>
      </c>
      <c r="R2624" s="2" t="s">
        <v>101</v>
      </c>
      <c r="S2624" s="2" t="s">
        <v>151</v>
      </c>
      <c r="T2624">
        <v>2570</v>
      </c>
      <c r="U2624">
        <f>VLOOKUP(Auto_Sales_data___Copy[[#This Row],[CUSTOMER_NAME]],$AF$2:$AH$90,2,FALSE)</f>
        <v>21</v>
      </c>
      <c r="V2624">
        <f>VLOOKUP(Auto_Sales_data___Copy[[#This Row],[CUSTOMER_NAME]],$AF$2:$AH$90,3,FALSE)</f>
        <v>83228.189999999973</v>
      </c>
      <c r="W2624" s="2">
        <f>6-MATCH(Auto_Sales_data___Copy[[#This Row],[DAYS_SINCE_LAST_ORDER]],Table2[R-Cutoff],1)</f>
        <v>1</v>
      </c>
      <c r="X2624" s="2">
        <f>MATCH(Auto_Sales_data___Copy[[#This Row],[Total_Orders_Per_Customer]],Table2[F-Cutoff],1)</f>
        <v>2</v>
      </c>
      <c r="Y2624" s="2">
        <f>MATCH(Auto_Sales_data___Copy[[#This Row],[Total_Sales_Per_Customer]],Table2[M-Cutoff],1)</f>
        <v>3</v>
      </c>
      <c r="Z2624" s="2" t="str">
        <f>Auto_Sales_data___Copy[[#This Row],[R-Score(1-5)]]&amp;Auto_Sales_data___Copy[[#This Row],[F-Score(1-5)]]&amp;Auto_Sales_data___Copy[[#This Row],[M-Score(1-5)]]</f>
        <v>123</v>
      </c>
      <c r="AA2624" s="2" t="str" cm="1">
        <f t="array" ref="AA26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4" s="2" t="str">
        <f>VLOOKUP(Auto_Sales_data___Copy[[#This Row],[Segment Name]],Table3[],2,FALSE)</f>
        <v>Brand Awareness &amp; Value Proposition</v>
      </c>
    </row>
    <row r="2625" spans="1:28" x14ac:dyDescent="0.25">
      <c r="A2625">
        <v>10401</v>
      </c>
      <c r="B2625">
        <v>21</v>
      </c>
      <c r="C2625">
        <v>96.11</v>
      </c>
      <c r="D2625">
        <v>2</v>
      </c>
      <c r="E2625">
        <v>2018.31</v>
      </c>
      <c r="F2625" s="1">
        <v>43924</v>
      </c>
      <c r="G2625" s="2" t="s">
        <v>423</v>
      </c>
      <c r="H2625" s="2" t="s">
        <v>607</v>
      </c>
      <c r="I2625">
        <v>118</v>
      </c>
      <c r="J2625" s="2" t="s">
        <v>713</v>
      </c>
      <c r="K2625" s="2" t="s">
        <v>95</v>
      </c>
      <c r="L2625" s="2" t="s">
        <v>96</v>
      </c>
      <c r="M2625" s="2" t="s">
        <v>97</v>
      </c>
      <c r="N2625" s="2" t="s">
        <v>98</v>
      </c>
      <c r="O2625" s="2" t="s">
        <v>99</v>
      </c>
      <c r="P2625" s="2" t="s">
        <v>27</v>
      </c>
      <c r="Q2625" s="2" t="s">
        <v>100</v>
      </c>
      <c r="R2625" s="2" t="s">
        <v>101</v>
      </c>
      <c r="S2625" s="2" t="s">
        <v>30</v>
      </c>
      <c r="T2625">
        <v>2648</v>
      </c>
      <c r="U2625">
        <f>VLOOKUP(Auto_Sales_data___Copy[[#This Row],[CUSTOMER_NAME]],$AF$2:$AH$90,2,FALSE)</f>
        <v>21</v>
      </c>
      <c r="V2625">
        <f>VLOOKUP(Auto_Sales_data___Copy[[#This Row],[CUSTOMER_NAME]],$AF$2:$AH$90,3,FALSE)</f>
        <v>83228.189999999973</v>
      </c>
      <c r="W2625" s="2">
        <f>6-MATCH(Auto_Sales_data___Copy[[#This Row],[DAYS_SINCE_LAST_ORDER]],Table2[R-Cutoff],1)</f>
        <v>1</v>
      </c>
      <c r="X2625" s="2">
        <f>MATCH(Auto_Sales_data___Copy[[#This Row],[Total_Orders_Per_Customer]],Table2[F-Cutoff],1)</f>
        <v>2</v>
      </c>
      <c r="Y2625" s="2">
        <f>MATCH(Auto_Sales_data___Copy[[#This Row],[Total_Sales_Per_Customer]],Table2[M-Cutoff],1)</f>
        <v>3</v>
      </c>
      <c r="Z2625" s="2" t="str">
        <f>Auto_Sales_data___Copy[[#This Row],[R-Score(1-5)]]&amp;Auto_Sales_data___Copy[[#This Row],[F-Score(1-5)]]&amp;Auto_Sales_data___Copy[[#This Row],[M-Score(1-5)]]</f>
        <v>123</v>
      </c>
      <c r="AA2625" s="2" t="str" cm="1">
        <f t="array" ref="AA26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5" s="2" t="str">
        <f>VLOOKUP(Auto_Sales_data___Copy[[#This Row],[Segment Name]],Table3[],2,FALSE)</f>
        <v>Brand Awareness &amp; Value Proposition</v>
      </c>
    </row>
    <row r="2626" spans="1:28" x14ac:dyDescent="0.25">
      <c r="A2626">
        <v>10401</v>
      </c>
      <c r="B2626">
        <v>77</v>
      </c>
      <c r="C2626">
        <v>92</v>
      </c>
      <c r="D2626">
        <v>9</v>
      </c>
      <c r="E2626">
        <v>7084</v>
      </c>
      <c r="F2626" s="1">
        <v>43924</v>
      </c>
      <c r="G2626" s="2" t="s">
        <v>423</v>
      </c>
      <c r="H2626" s="2" t="s">
        <v>607</v>
      </c>
      <c r="I2626">
        <v>80</v>
      </c>
      <c r="J2626" s="2" t="s">
        <v>714</v>
      </c>
      <c r="K2626" s="2" t="s">
        <v>95</v>
      </c>
      <c r="L2626" s="2" t="s">
        <v>96</v>
      </c>
      <c r="M2626" s="2" t="s">
        <v>97</v>
      </c>
      <c r="N2626" s="2" t="s">
        <v>98</v>
      </c>
      <c r="O2626" s="2" t="s">
        <v>99</v>
      </c>
      <c r="P2626" s="2" t="s">
        <v>27</v>
      </c>
      <c r="Q2626" s="2" t="s">
        <v>100</v>
      </c>
      <c r="R2626" s="2" t="s">
        <v>101</v>
      </c>
      <c r="S2626" s="2" t="s">
        <v>151</v>
      </c>
      <c r="T2626">
        <v>2673</v>
      </c>
      <c r="U2626">
        <f>VLOOKUP(Auto_Sales_data___Copy[[#This Row],[CUSTOMER_NAME]],$AF$2:$AH$90,2,FALSE)</f>
        <v>21</v>
      </c>
      <c r="V2626">
        <f>VLOOKUP(Auto_Sales_data___Copy[[#This Row],[CUSTOMER_NAME]],$AF$2:$AH$90,3,FALSE)</f>
        <v>83228.189999999973</v>
      </c>
      <c r="W2626" s="2">
        <f>6-MATCH(Auto_Sales_data___Copy[[#This Row],[DAYS_SINCE_LAST_ORDER]],Table2[R-Cutoff],1)</f>
        <v>1</v>
      </c>
      <c r="X2626" s="2">
        <f>MATCH(Auto_Sales_data___Copy[[#This Row],[Total_Orders_Per_Customer]],Table2[F-Cutoff],1)</f>
        <v>2</v>
      </c>
      <c r="Y2626" s="2">
        <f>MATCH(Auto_Sales_data___Copy[[#This Row],[Total_Sales_Per_Customer]],Table2[M-Cutoff],1)</f>
        <v>3</v>
      </c>
      <c r="Z2626" s="2" t="str">
        <f>Auto_Sales_data___Copy[[#This Row],[R-Score(1-5)]]&amp;Auto_Sales_data___Copy[[#This Row],[F-Score(1-5)]]&amp;Auto_Sales_data___Copy[[#This Row],[M-Score(1-5)]]</f>
        <v>123</v>
      </c>
      <c r="AA2626" s="2" t="str" cm="1">
        <f t="array" ref="AA26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6" s="2" t="str">
        <f>VLOOKUP(Auto_Sales_data___Copy[[#This Row],[Segment Name]],Table3[],2,FALSE)</f>
        <v>Brand Awareness &amp; Value Proposition</v>
      </c>
    </row>
    <row r="2627" spans="1:28" x14ac:dyDescent="0.25">
      <c r="A2627">
        <v>10401</v>
      </c>
      <c r="B2627">
        <v>28</v>
      </c>
      <c r="C2627">
        <v>72.55</v>
      </c>
      <c r="D2627">
        <v>11</v>
      </c>
      <c r="E2627">
        <v>2031.4</v>
      </c>
      <c r="F2627" s="1">
        <v>43924</v>
      </c>
      <c r="G2627" s="2" t="s">
        <v>423</v>
      </c>
      <c r="H2627" s="2" t="s">
        <v>607</v>
      </c>
      <c r="I2627">
        <v>74</v>
      </c>
      <c r="J2627" s="2" t="s">
        <v>717</v>
      </c>
      <c r="K2627" s="2" t="s">
        <v>95</v>
      </c>
      <c r="L2627" s="2" t="s">
        <v>96</v>
      </c>
      <c r="M2627" s="2" t="s">
        <v>97</v>
      </c>
      <c r="N2627" s="2" t="s">
        <v>98</v>
      </c>
      <c r="O2627" s="2" t="s">
        <v>99</v>
      </c>
      <c r="P2627" s="2" t="s">
        <v>27</v>
      </c>
      <c r="Q2627" s="2" t="s">
        <v>100</v>
      </c>
      <c r="R2627" s="2" t="s">
        <v>101</v>
      </c>
      <c r="S2627" s="2" t="s">
        <v>30</v>
      </c>
      <c r="T2627">
        <v>2752</v>
      </c>
      <c r="U2627">
        <f>VLOOKUP(Auto_Sales_data___Copy[[#This Row],[CUSTOMER_NAME]],$AF$2:$AH$90,2,FALSE)</f>
        <v>21</v>
      </c>
      <c r="V2627">
        <f>VLOOKUP(Auto_Sales_data___Copy[[#This Row],[CUSTOMER_NAME]],$AF$2:$AH$90,3,FALSE)</f>
        <v>83228.189999999973</v>
      </c>
      <c r="W2627" s="2">
        <f>6-MATCH(Auto_Sales_data___Copy[[#This Row],[DAYS_SINCE_LAST_ORDER]],Table2[R-Cutoff],1)</f>
        <v>1</v>
      </c>
      <c r="X2627" s="2">
        <f>MATCH(Auto_Sales_data___Copy[[#This Row],[Total_Orders_Per_Customer]],Table2[F-Cutoff],1)</f>
        <v>2</v>
      </c>
      <c r="Y2627" s="2">
        <f>MATCH(Auto_Sales_data___Copy[[#This Row],[Total_Sales_Per_Customer]],Table2[M-Cutoff],1)</f>
        <v>3</v>
      </c>
      <c r="Z2627" s="2" t="str">
        <f>Auto_Sales_data___Copy[[#This Row],[R-Score(1-5)]]&amp;Auto_Sales_data___Copy[[#This Row],[F-Score(1-5)]]&amp;Auto_Sales_data___Copy[[#This Row],[M-Score(1-5)]]</f>
        <v>123</v>
      </c>
      <c r="AA2627" s="2" t="str" cm="1">
        <f t="array" ref="AA26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7" s="2" t="str">
        <f>VLOOKUP(Auto_Sales_data___Copy[[#This Row],[Segment Name]],Table3[],2,FALSE)</f>
        <v>Brand Awareness &amp; Value Proposition</v>
      </c>
    </row>
    <row r="2628" spans="1:28" x14ac:dyDescent="0.25">
      <c r="A2628">
        <v>10115</v>
      </c>
      <c r="B2628">
        <v>44</v>
      </c>
      <c r="C2628">
        <v>126.56</v>
      </c>
      <c r="D2628">
        <v>1</v>
      </c>
      <c r="E2628">
        <v>5568.64</v>
      </c>
      <c r="F2628" s="1">
        <v>43194</v>
      </c>
      <c r="G2628" s="2" t="s">
        <v>19</v>
      </c>
      <c r="H2628" s="2" t="s">
        <v>183</v>
      </c>
      <c r="I2628">
        <v>118</v>
      </c>
      <c r="J2628" s="2" t="s">
        <v>690</v>
      </c>
      <c r="K2628" s="2" t="s">
        <v>206</v>
      </c>
      <c r="L2628" s="2" t="s">
        <v>207</v>
      </c>
      <c r="M2628" s="2" t="s">
        <v>208</v>
      </c>
      <c r="N2628" s="2" t="s">
        <v>25</v>
      </c>
      <c r="O2628" s="2" t="s">
        <v>26</v>
      </c>
      <c r="P2628" s="2" t="s">
        <v>27</v>
      </c>
      <c r="Q2628" s="2" t="s">
        <v>120</v>
      </c>
      <c r="R2628" s="2" t="s">
        <v>209</v>
      </c>
      <c r="S2628" s="2" t="s">
        <v>46</v>
      </c>
      <c r="T2628">
        <v>2770</v>
      </c>
      <c r="U2628">
        <f>VLOOKUP(Auto_Sales_data___Copy[[#This Row],[CUSTOMER_NAME]],$AF$2:$AH$90,2,FALSE)</f>
        <v>20</v>
      </c>
      <c r="V2628">
        <f>VLOOKUP(Auto_Sales_data___Copy[[#This Row],[CUSTOMER_NAME]],$AF$2:$AH$90,3,FALSE)</f>
        <v>77795.200000000012</v>
      </c>
      <c r="W2628" s="2">
        <f>6-MATCH(Auto_Sales_data___Copy[[#This Row],[DAYS_SINCE_LAST_ORDER]],Table2[R-Cutoff],1)</f>
        <v>1</v>
      </c>
      <c r="X2628" s="2">
        <f>MATCH(Auto_Sales_data___Copy[[#This Row],[Total_Orders_Per_Customer]],Table2[F-Cutoff],1)</f>
        <v>2</v>
      </c>
      <c r="Y2628" s="2">
        <f>MATCH(Auto_Sales_data___Copy[[#This Row],[Total_Sales_Per_Customer]],Table2[M-Cutoff],1)</f>
        <v>2</v>
      </c>
      <c r="Z2628" s="2" t="str">
        <f>Auto_Sales_data___Copy[[#This Row],[R-Score(1-5)]]&amp;Auto_Sales_data___Copy[[#This Row],[F-Score(1-5)]]&amp;Auto_Sales_data___Copy[[#This Row],[M-Score(1-5)]]</f>
        <v>122</v>
      </c>
      <c r="AA2628" s="2" t="str" cm="1">
        <f t="array" ref="AA26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28" s="2" t="str">
        <f>VLOOKUP(Auto_Sales_data___Copy[[#This Row],[Segment Name]],Table3[],2,FALSE)</f>
        <v>High-Touch  Win-Back</v>
      </c>
    </row>
    <row r="2629" spans="1:28" x14ac:dyDescent="0.25">
      <c r="A2629">
        <v>10115</v>
      </c>
      <c r="B2629">
        <v>27</v>
      </c>
      <c r="C2629">
        <v>105.33</v>
      </c>
      <c r="D2629">
        <v>3</v>
      </c>
      <c r="E2629">
        <v>2843.91</v>
      </c>
      <c r="F2629" s="1">
        <v>43194</v>
      </c>
      <c r="G2629" s="2" t="s">
        <v>19</v>
      </c>
      <c r="H2629" s="2" t="s">
        <v>537</v>
      </c>
      <c r="I2629">
        <v>115</v>
      </c>
      <c r="J2629" s="2" t="s">
        <v>703</v>
      </c>
      <c r="K2629" s="2" t="s">
        <v>206</v>
      </c>
      <c r="L2629" s="2" t="s">
        <v>207</v>
      </c>
      <c r="M2629" s="2" t="s">
        <v>208</v>
      </c>
      <c r="N2629" s="2" t="s">
        <v>25</v>
      </c>
      <c r="O2629" s="2" t="s">
        <v>26</v>
      </c>
      <c r="P2629" s="2" t="s">
        <v>27</v>
      </c>
      <c r="Q2629" s="2" t="s">
        <v>120</v>
      </c>
      <c r="R2629" s="2" t="s">
        <v>209</v>
      </c>
      <c r="S2629" s="2" t="s">
        <v>30</v>
      </c>
      <c r="T2629">
        <v>3096</v>
      </c>
      <c r="U2629">
        <f>VLOOKUP(Auto_Sales_data___Copy[[#This Row],[CUSTOMER_NAME]],$AF$2:$AH$90,2,FALSE)</f>
        <v>20</v>
      </c>
      <c r="V2629">
        <f>VLOOKUP(Auto_Sales_data___Copy[[#This Row],[CUSTOMER_NAME]],$AF$2:$AH$90,3,FALSE)</f>
        <v>77795.200000000012</v>
      </c>
      <c r="W2629" s="2">
        <f>6-MATCH(Auto_Sales_data___Copy[[#This Row],[DAYS_SINCE_LAST_ORDER]],Table2[R-Cutoff],1)</f>
        <v>1</v>
      </c>
      <c r="X2629" s="2">
        <f>MATCH(Auto_Sales_data___Copy[[#This Row],[Total_Orders_Per_Customer]],Table2[F-Cutoff],1)</f>
        <v>2</v>
      </c>
      <c r="Y2629" s="2">
        <f>MATCH(Auto_Sales_data___Copy[[#This Row],[Total_Sales_Per_Customer]],Table2[M-Cutoff],1)</f>
        <v>2</v>
      </c>
      <c r="Z2629" s="2" t="str">
        <f>Auto_Sales_data___Copy[[#This Row],[R-Score(1-5)]]&amp;Auto_Sales_data___Copy[[#This Row],[F-Score(1-5)]]&amp;Auto_Sales_data___Copy[[#This Row],[M-Score(1-5)]]</f>
        <v>122</v>
      </c>
      <c r="AA2629" s="2" t="str" cm="1">
        <f t="array" ref="AA26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29" s="2" t="str">
        <f>VLOOKUP(Auto_Sales_data___Copy[[#This Row],[Segment Name]],Table3[],2,FALSE)</f>
        <v>High-Touch  Win-Back</v>
      </c>
    </row>
    <row r="2630" spans="1:28" x14ac:dyDescent="0.25">
      <c r="A2630">
        <v>10118</v>
      </c>
      <c r="B2630">
        <v>36</v>
      </c>
      <c r="C2630">
        <v>117.2</v>
      </c>
      <c r="D2630">
        <v>1</v>
      </c>
      <c r="E2630">
        <v>4219.2</v>
      </c>
      <c r="F2630" s="1">
        <v>43211</v>
      </c>
      <c r="G2630" s="2" t="s">
        <v>19</v>
      </c>
      <c r="H2630" s="2" t="s">
        <v>642</v>
      </c>
      <c r="I2630">
        <v>100</v>
      </c>
      <c r="J2630" s="2" t="s">
        <v>715</v>
      </c>
      <c r="K2630" s="2" t="s">
        <v>372</v>
      </c>
      <c r="L2630" s="2" t="s">
        <v>373</v>
      </c>
      <c r="M2630" s="2" t="s">
        <v>374</v>
      </c>
      <c r="N2630" s="2" t="s">
        <v>375</v>
      </c>
      <c r="O2630" s="2" t="s">
        <v>376</v>
      </c>
      <c r="P2630" s="2" t="s">
        <v>180</v>
      </c>
      <c r="Q2630" s="2" t="s">
        <v>377</v>
      </c>
      <c r="R2630" s="2" t="s">
        <v>378</v>
      </c>
      <c r="S2630" s="2" t="s">
        <v>46</v>
      </c>
      <c r="T2630">
        <v>3389</v>
      </c>
      <c r="U2630">
        <f>VLOOKUP(Auto_Sales_data___Copy[[#This Row],[CUSTOMER_NAME]],$AF$2:$AH$90,2,FALSE)</f>
        <v>23</v>
      </c>
      <c r="V2630">
        <f>VLOOKUP(Auto_Sales_data___Copy[[#This Row],[CUSTOMER_NAME]],$AF$2:$AH$90,3,FALSE)</f>
        <v>78411.86</v>
      </c>
      <c r="W2630" s="2">
        <f>6-MATCH(Auto_Sales_data___Copy[[#This Row],[DAYS_SINCE_LAST_ORDER]],Table2[R-Cutoff],1)</f>
        <v>1</v>
      </c>
      <c r="X2630" s="2">
        <f>MATCH(Auto_Sales_data___Copy[[#This Row],[Total_Orders_Per_Customer]],Table2[F-Cutoff],1)</f>
        <v>2</v>
      </c>
      <c r="Y2630" s="2">
        <f>MATCH(Auto_Sales_data___Copy[[#This Row],[Total_Sales_Per_Customer]],Table2[M-Cutoff],1)</f>
        <v>2</v>
      </c>
      <c r="Z2630" s="2" t="str">
        <f>Auto_Sales_data___Copy[[#This Row],[R-Score(1-5)]]&amp;Auto_Sales_data___Copy[[#This Row],[F-Score(1-5)]]&amp;Auto_Sales_data___Copy[[#This Row],[M-Score(1-5)]]</f>
        <v>122</v>
      </c>
      <c r="AA2630" s="2" t="str" cm="1">
        <f t="array" ref="AA26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0" s="2" t="str">
        <f>VLOOKUP(Auto_Sales_data___Copy[[#This Row],[Segment Name]],Table3[],2,FALSE)</f>
        <v>High-Touch  Win-Back</v>
      </c>
    </row>
    <row r="2631" spans="1:28" x14ac:dyDescent="0.25">
      <c r="A2631">
        <v>10163</v>
      </c>
      <c r="B2631">
        <v>42</v>
      </c>
      <c r="C2631">
        <v>91.55</v>
      </c>
      <c r="D2631">
        <v>5</v>
      </c>
      <c r="E2631">
        <v>3845.1</v>
      </c>
      <c r="F2631" s="1">
        <v>43393</v>
      </c>
      <c r="G2631" s="2" t="s">
        <v>19</v>
      </c>
      <c r="H2631" s="2" t="s">
        <v>589</v>
      </c>
      <c r="I2631">
        <v>97</v>
      </c>
      <c r="J2631" s="2" t="s">
        <v>691</v>
      </c>
      <c r="K2631" s="2" t="s">
        <v>206</v>
      </c>
      <c r="L2631" s="2" t="s">
        <v>207</v>
      </c>
      <c r="M2631" s="2" t="s">
        <v>208</v>
      </c>
      <c r="N2631" s="2" t="s">
        <v>25</v>
      </c>
      <c r="O2631" s="2" t="s">
        <v>26</v>
      </c>
      <c r="P2631" s="2" t="s">
        <v>27</v>
      </c>
      <c r="Q2631" s="2" t="s">
        <v>120</v>
      </c>
      <c r="R2631" s="2" t="s">
        <v>209</v>
      </c>
      <c r="S2631" s="2" t="s">
        <v>46</v>
      </c>
      <c r="T2631">
        <v>2600</v>
      </c>
      <c r="U2631">
        <f>VLOOKUP(Auto_Sales_data___Copy[[#This Row],[CUSTOMER_NAME]],$AF$2:$AH$90,2,FALSE)</f>
        <v>20</v>
      </c>
      <c r="V2631">
        <f>VLOOKUP(Auto_Sales_data___Copy[[#This Row],[CUSTOMER_NAME]],$AF$2:$AH$90,3,FALSE)</f>
        <v>77795.200000000012</v>
      </c>
      <c r="W2631" s="2">
        <f>6-MATCH(Auto_Sales_data___Copy[[#This Row],[DAYS_SINCE_LAST_ORDER]],Table2[R-Cutoff],1)</f>
        <v>1</v>
      </c>
      <c r="X2631" s="2">
        <f>MATCH(Auto_Sales_data___Copy[[#This Row],[Total_Orders_Per_Customer]],Table2[F-Cutoff],1)</f>
        <v>2</v>
      </c>
      <c r="Y2631" s="2">
        <f>MATCH(Auto_Sales_data___Copy[[#This Row],[Total_Sales_Per_Customer]],Table2[M-Cutoff],1)</f>
        <v>2</v>
      </c>
      <c r="Z2631" s="2" t="str">
        <f>Auto_Sales_data___Copy[[#This Row],[R-Score(1-5)]]&amp;Auto_Sales_data___Copy[[#This Row],[F-Score(1-5)]]&amp;Auto_Sales_data___Copy[[#This Row],[M-Score(1-5)]]</f>
        <v>122</v>
      </c>
      <c r="AA2631" s="2" t="str" cm="1">
        <f t="array" ref="AA26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1" s="2" t="str">
        <f>VLOOKUP(Auto_Sales_data___Copy[[#This Row],[Segment Name]],Table3[],2,FALSE)</f>
        <v>High-Touch  Win-Back</v>
      </c>
    </row>
    <row r="2632" spans="1:28" x14ac:dyDescent="0.25">
      <c r="A2632">
        <v>10178</v>
      </c>
      <c r="B2632">
        <v>34</v>
      </c>
      <c r="C2632">
        <v>96.86</v>
      </c>
      <c r="D2632">
        <v>8</v>
      </c>
      <c r="E2632">
        <v>3293.24</v>
      </c>
      <c r="F2632" s="1">
        <v>43412</v>
      </c>
      <c r="G2632" s="2" t="s">
        <v>19</v>
      </c>
      <c r="H2632" s="2" t="s">
        <v>642</v>
      </c>
      <c r="I2632">
        <v>90</v>
      </c>
      <c r="J2632" s="2" t="s">
        <v>709</v>
      </c>
      <c r="K2632" s="2" t="s">
        <v>359</v>
      </c>
      <c r="L2632" s="2" t="s">
        <v>360</v>
      </c>
      <c r="M2632" s="2" t="s">
        <v>361</v>
      </c>
      <c r="N2632" s="2" t="s">
        <v>362</v>
      </c>
      <c r="O2632" s="2" t="s">
        <v>363</v>
      </c>
      <c r="P2632" s="2" t="s">
        <v>36</v>
      </c>
      <c r="Q2632" s="2" t="s">
        <v>364</v>
      </c>
      <c r="R2632" s="2" t="s">
        <v>365</v>
      </c>
      <c r="S2632" s="2" t="s">
        <v>46</v>
      </c>
      <c r="T2632">
        <v>3037</v>
      </c>
      <c r="U2632">
        <f>VLOOKUP(Auto_Sales_data___Copy[[#This Row],[CUSTOMER_NAME]],$AF$2:$AH$90,2,FALSE)</f>
        <v>20</v>
      </c>
      <c r="V2632">
        <f>VLOOKUP(Auto_Sales_data___Copy[[#This Row],[CUSTOMER_NAME]],$AF$2:$AH$90,3,FALSE)</f>
        <v>70488.439999999988</v>
      </c>
      <c r="W2632" s="2">
        <f>6-MATCH(Auto_Sales_data___Copy[[#This Row],[DAYS_SINCE_LAST_ORDER]],Table2[R-Cutoff],1)</f>
        <v>1</v>
      </c>
      <c r="X2632" s="2">
        <f>MATCH(Auto_Sales_data___Copy[[#This Row],[Total_Orders_Per_Customer]],Table2[F-Cutoff],1)</f>
        <v>2</v>
      </c>
      <c r="Y2632" s="2">
        <f>MATCH(Auto_Sales_data___Copy[[#This Row],[Total_Sales_Per_Customer]],Table2[M-Cutoff],1)</f>
        <v>2</v>
      </c>
      <c r="Z2632" s="2" t="str">
        <f>Auto_Sales_data___Copy[[#This Row],[R-Score(1-5)]]&amp;Auto_Sales_data___Copy[[#This Row],[F-Score(1-5)]]&amp;Auto_Sales_data___Copy[[#This Row],[M-Score(1-5)]]</f>
        <v>122</v>
      </c>
      <c r="AA2632" s="2" t="str" cm="1">
        <f t="array" ref="AA26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2" s="2" t="str">
        <f>VLOOKUP(Auto_Sales_data___Copy[[#This Row],[Segment Name]],Table3[],2,FALSE)</f>
        <v>High-Touch  Win-Back</v>
      </c>
    </row>
    <row r="2633" spans="1:28" x14ac:dyDescent="0.25">
      <c r="A2633">
        <v>10178</v>
      </c>
      <c r="B2633">
        <v>22</v>
      </c>
      <c r="C2633">
        <v>87.75</v>
      </c>
      <c r="D2633">
        <v>1</v>
      </c>
      <c r="E2633">
        <v>1930.5</v>
      </c>
      <c r="F2633" s="1">
        <v>43412</v>
      </c>
      <c r="G2633" s="2" t="s">
        <v>19</v>
      </c>
      <c r="H2633" s="2" t="s">
        <v>607</v>
      </c>
      <c r="I2633">
        <v>99</v>
      </c>
      <c r="J2633" s="2" t="s">
        <v>710</v>
      </c>
      <c r="K2633" s="2" t="s">
        <v>359</v>
      </c>
      <c r="L2633" s="2" t="s">
        <v>360</v>
      </c>
      <c r="M2633" s="2" t="s">
        <v>361</v>
      </c>
      <c r="N2633" s="2" t="s">
        <v>362</v>
      </c>
      <c r="O2633" s="2" t="s">
        <v>363</v>
      </c>
      <c r="P2633" s="2" t="s">
        <v>36</v>
      </c>
      <c r="Q2633" s="2" t="s">
        <v>364</v>
      </c>
      <c r="R2633" s="2" t="s">
        <v>365</v>
      </c>
      <c r="S2633" s="2" t="s">
        <v>30</v>
      </c>
      <c r="T2633">
        <v>3063</v>
      </c>
      <c r="U2633">
        <f>VLOOKUP(Auto_Sales_data___Copy[[#This Row],[CUSTOMER_NAME]],$AF$2:$AH$90,2,FALSE)</f>
        <v>20</v>
      </c>
      <c r="V2633">
        <f>VLOOKUP(Auto_Sales_data___Copy[[#This Row],[CUSTOMER_NAME]],$AF$2:$AH$90,3,FALSE)</f>
        <v>70488.439999999988</v>
      </c>
      <c r="W2633" s="2">
        <f>6-MATCH(Auto_Sales_data___Copy[[#This Row],[DAYS_SINCE_LAST_ORDER]],Table2[R-Cutoff],1)</f>
        <v>1</v>
      </c>
      <c r="X2633" s="2">
        <f>MATCH(Auto_Sales_data___Copy[[#This Row],[Total_Orders_Per_Customer]],Table2[F-Cutoff],1)</f>
        <v>2</v>
      </c>
      <c r="Y2633" s="2">
        <f>MATCH(Auto_Sales_data___Copy[[#This Row],[Total_Sales_Per_Customer]],Table2[M-Cutoff],1)</f>
        <v>2</v>
      </c>
      <c r="Z2633" s="2" t="str">
        <f>Auto_Sales_data___Copy[[#This Row],[R-Score(1-5)]]&amp;Auto_Sales_data___Copy[[#This Row],[F-Score(1-5)]]&amp;Auto_Sales_data___Copy[[#This Row],[M-Score(1-5)]]</f>
        <v>122</v>
      </c>
      <c r="AA2633" s="2" t="str" cm="1">
        <f t="array" ref="AA26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3" s="2" t="str">
        <f>VLOOKUP(Auto_Sales_data___Copy[[#This Row],[Segment Name]],Table3[],2,FALSE)</f>
        <v>High-Touch  Win-Back</v>
      </c>
    </row>
    <row r="2634" spans="1:28" x14ac:dyDescent="0.25">
      <c r="A2634">
        <v>10178</v>
      </c>
      <c r="B2634">
        <v>45</v>
      </c>
      <c r="C2634">
        <v>76.25</v>
      </c>
      <c r="D2634">
        <v>2</v>
      </c>
      <c r="E2634">
        <v>3431.25</v>
      </c>
      <c r="F2634" s="1">
        <v>43412</v>
      </c>
      <c r="G2634" s="2" t="s">
        <v>19</v>
      </c>
      <c r="H2634" s="2" t="s">
        <v>607</v>
      </c>
      <c r="I2634">
        <v>74</v>
      </c>
      <c r="J2634" s="2" t="s">
        <v>717</v>
      </c>
      <c r="K2634" s="2" t="s">
        <v>359</v>
      </c>
      <c r="L2634" s="2" t="s">
        <v>360</v>
      </c>
      <c r="M2634" s="2" t="s">
        <v>361</v>
      </c>
      <c r="N2634" s="2" t="s">
        <v>362</v>
      </c>
      <c r="O2634" s="2" t="s">
        <v>363</v>
      </c>
      <c r="P2634" s="2" t="s">
        <v>36</v>
      </c>
      <c r="Q2634" s="2" t="s">
        <v>364</v>
      </c>
      <c r="R2634" s="2" t="s">
        <v>365</v>
      </c>
      <c r="S2634" s="2" t="s">
        <v>46</v>
      </c>
      <c r="T2634">
        <v>3245</v>
      </c>
      <c r="U2634">
        <f>VLOOKUP(Auto_Sales_data___Copy[[#This Row],[CUSTOMER_NAME]],$AF$2:$AH$90,2,FALSE)</f>
        <v>20</v>
      </c>
      <c r="V2634">
        <f>VLOOKUP(Auto_Sales_data___Copy[[#This Row],[CUSTOMER_NAME]],$AF$2:$AH$90,3,FALSE)</f>
        <v>70488.439999999988</v>
      </c>
      <c r="W2634" s="2">
        <f>6-MATCH(Auto_Sales_data___Copy[[#This Row],[DAYS_SINCE_LAST_ORDER]],Table2[R-Cutoff],1)</f>
        <v>1</v>
      </c>
      <c r="X2634" s="2">
        <f>MATCH(Auto_Sales_data___Copy[[#This Row],[Total_Orders_Per_Customer]],Table2[F-Cutoff],1)</f>
        <v>2</v>
      </c>
      <c r="Y2634" s="2">
        <f>MATCH(Auto_Sales_data___Copy[[#This Row],[Total_Sales_Per_Customer]],Table2[M-Cutoff],1)</f>
        <v>2</v>
      </c>
      <c r="Z2634" s="2" t="str">
        <f>Auto_Sales_data___Copy[[#This Row],[R-Score(1-5)]]&amp;Auto_Sales_data___Copy[[#This Row],[F-Score(1-5)]]&amp;Auto_Sales_data___Copy[[#This Row],[M-Score(1-5)]]</f>
        <v>122</v>
      </c>
      <c r="AA2634" s="2" t="str" cm="1">
        <f t="array" ref="AA26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4" s="2" t="str">
        <f>VLOOKUP(Auto_Sales_data___Copy[[#This Row],[Segment Name]],Table3[],2,FALSE)</f>
        <v>High-Touch  Win-Back</v>
      </c>
    </row>
    <row r="2635" spans="1:28" x14ac:dyDescent="0.25">
      <c r="A2635">
        <v>10178</v>
      </c>
      <c r="B2635">
        <v>45</v>
      </c>
      <c r="C2635">
        <v>51.15</v>
      </c>
      <c r="D2635">
        <v>7</v>
      </c>
      <c r="E2635">
        <v>2301.75</v>
      </c>
      <c r="F2635" s="1">
        <v>43412</v>
      </c>
      <c r="G2635" s="2" t="s">
        <v>19</v>
      </c>
      <c r="H2635" s="2" t="s">
        <v>607</v>
      </c>
      <c r="I2635">
        <v>49</v>
      </c>
      <c r="J2635" s="2" t="s">
        <v>718</v>
      </c>
      <c r="K2635" s="2" t="s">
        <v>359</v>
      </c>
      <c r="L2635" s="2" t="s">
        <v>360</v>
      </c>
      <c r="M2635" s="2" t="s">
        <v>361</v>
      </c>
      <c r="N2635" s="2" t="s">
        <v>362</v>
      </c>
      <c r="O2635" s="2" t="s">
        <v>363</v>
      </c>
      <c r="P2635" s="2" t="s">
        <v>36</v>
      </c>
      <c r="Q2635" s="2" t="s">
        <v>364</v>
      </c>
      <c r="R2635" s="2" t="s">
        <v>365</v>
      </c>
      <c r="S2635" s="2" t="s">
        <v>30</v>
      </c>
      <c r="T2635">
        <v>3272</v>
      </c>
      <c r="U2635">
        <f>VLOOKUP(Auto_Sales_data___Copy[[#This Row],[CUSTOMER_NAME]],$AF$2:$AH$90,2,FALSE)</f>
        <v>20</v>
      </c>
      <c r="V2635">
        <f>VLOOKUP(Auto_Sales_data___Copy[[#This Row],[CUSTOMER_NAME]],$AF$2:$AH$90,3,FALSE)</f>
        <v>70488.439999999988</v>
      </c>
      <c r="W2635" s="2">
        <f>6-MATCH(Auto_Sales_data___Copy[[#This Row],[DAYS_SINCE_LAST_ORDER]],Table2[R-Cutoff],1)</f>
        <v>1</v>
      </c>
      <c r="X2635" s="2">
        <f>MATCH(Auto_Sales_data___Copy[[#This Row],[Total_Orders_Per_Customer]],Table2[F-Cutoff],1)</f>
        <v>2</v>
      </c>
      <c r="Y2635" s="2">
        <f>MATCH(Auto_Sales_data___Copy[[#This Row],[Total_Sales_Per_Customer]],Table2[M-Cutoff],1)</f>
        <v>2</v>
      </c>
      <c r="Z2635" s="2" t="str">
        <f>Auto_Sales_data___Copy[[#This Row],[R-Score(1-5)]]&amp;Auto_Sales_data___Copy[[#This Row],[F-Score(1-5)]]&amp;Auto_Sales_data___Copy[[#This Row],[M-Score(1-5)]]</f>
        <v>122</v>
      </c>
      <c r="AA2635" s="2" t="str" cm="1">
        <f t="array" ref="AA26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5" s="2" t="str">
        <f>VLOOKUP(Auto_Sales_data___Copy[[#This Row],[Segment Name]],Table3[],2,FALSE)</f>
        <v>High-Touch  Win-Back</v>
      </c>
    </row>
    <row r="2636" spans="1:28" x14ac:dyDescent="0.25">
      <c r="A2636">
        <v>10180</v>
      </c>
      <c r="B2636">
        <v>28</v>
      </c>
      <c r="C2636">
        <v>71.14</v>
      </c>
      <c r="D2636">
        <v>1</v>
      </c>
      <c r="E2636">
        <v>1991.92</v>
      </c>
      <c r="F2636" s="1">
        <v>43415</v>
      </c>
      <c r="G2636" s="2" t="s">
        <v>19</v>
      </c>
      <c r="H2636" s="2" t="s">
        <v>183</v>
      </c>
      <c r="I2636">
        <v>80</v>
      </c>
      <c r="J2636" s="2" t="s">
        <v>693</v>
      </c>
      <c r="K2636" s="2" t="s">
        <v>61</v>
      </c>
      <c r="L2636" s="2" t="s">
        <v>62</v>
      </c>
      <c r="M2636" s="2" t="s">
        <v>63</v>
      </c>
      <c r="N2636" s="2" t="s">
        <v>64</v>
      </c>
      <c r="O2636" s="2" t="s">
        <v>65</v>
      </c>
      <c r="P2636" s="2" t="s">
        <v>36</v>
      </c>
      <c r="Q2636" s="2" t="s">
        <v>66</v>
      </c>
      <c r="R2636" s="2" t="s">
        <v>67</v>
      </c>
      <c r="S2636" s="2" t="s">
        <v>30</v>
      </c>
      <c r="T2636">
        <v>2627</v>
      </c>
      <c r="U2636">
        <f>VLOOKUP(Auto_Sales_data___Copy[[#This Row],[CUSTOMER_NAME]],$AF$2:$AH$90,2,FALSE)</f>
        <v>20</v>
      </c>
      <c r="V2636">
        <f>VLOOKUP(Auto_Sales_data___Copy[[#This Row],[CUSTOMER_NAME]],$AF$2:$AH$90,3,FALSE)</f>
        <v>69052.41</v>
      </c>
      <c r="W2636" s="2">
        <f>6-MATCH(Auto_Sales_data___Copy[[#This Row],[DAYS_SINCE_LAST_ORDER]],Table2[R-Cutoff],1)</f>
        <v>1</v>
      </c>
      <c r="X2636" s="2">
        <f>MATCH(Auto_Sales_data___Copy[[#This Row],[Total_Orders_Per_Customer]],Table2[F-Cutoff],1)</f>
        <v>2</v>
      </c>
      <c r="Y2636" s="2">
        <f>MATCH(Auto_Sales_data___Copy[[#This Row],[Total_Sales_Per_Customer]],Table2[M-Cutoff],1)</f>
        <v>2</v>
      </c>
      <c r="Z2636" s="2" t="str">
        <f>Auto_Sales_data___Copy[[#This Row],[R-Score(1-5)]]&amp;Auto_Sales_data___Copy[[#This Row],[F-Score(1-5)]]&amp;Auto_Sales_data___Copy[[#This Row],[M-Score(1-5)]]</f>
        <v>122</v>
      </c>
      <c r="AA2636" s="2" t="str" cm="1">
        <f t="array" ref="AA26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6" s="2" t="str">
        <f>VLOOKUP(Auto_Sales_data___Copy[[#This Row],[Segment Name]],Table3[],2,FALSE)</f>
        <v>High-Touch  Win-Back</v>
      </c>
    </row>
    <row r="2637" spans="1:28" x14ac:dyDescent="0.25">
      <c r="A2637">
        <v>10180</v>
      </c>
      <c r="B2637">
        <v>34</v>
      </c>
      <c r="C2637">
        <v>45.46</v>
      </c>
      <c r="D2637">
        <v>4</v>
      </c>
      <c r="E2637">
        <v>1545.64</v>
      </c>
      <c r="F2637" s="1">
        <v>43415</v>
      </c>
      <c r="G2637" s="2" t="s">
        <v>19</v>
      </c>
      <c r="H2637" s="2" t="s">
        <v>20</v>
      </c>
      <c r="I2637">
        <v>40</v>
      </c>
      <c r="J2637" s="2" t="s">
        <v>696</v>
      </c>
      <c r="K2637" s="2" t="s">
        <v>61</v>
      </c>
      <c r="L2637" s="2" t="s">
        <v>62</v>
      </c>
      <c r="M2637" s="2" t="s">
        <v>63</v>
      </c>
      <c r="N2637" s="2" t="s">
        <v>64</v>
      </c>
      <c r="O2637" s="2" t="s">
        <v>65</v>
      </c>
      <c r="P2637" s="2" t="s">
        <v>36</v>
      </c>
      <c r="Q2637" s="2" t="s">
        <v>66</v>
      </c>
      <c r="R2637" s="2" t="s">
        <v>67</v>
      </c>
      <c r="S2637" s="2" t="s">
        <v>30</v>
      </c>
      <c r="T2637">
        <v>2701</v>
      </c>
      <c r="U2637">
        <f>VLOOKUP(Auto_Sales_data___Copy[[#This Row],[CUSTOMER_NAME]],$AF$2:$AH$90,2,FALSE)</f>
        <v>20</v>
      </c>
      <c r="V2637">
        <f>VLOOKUP(Auto_Sales_data___Copy[[#This Row],[CUSTOMER_NAME]],$AF$2:$AH$90,3,FALSE)</f>
        <v>69052.41</v>
      </c>
      <c r="W2637" s="2">
        <f>6-MATCH(Auto_Sales_data___Copy[[#This Row],[DAYS_SINCE_LAST_ORDER]],Table2[R-Cutoff],1)</f>
        <v>1</v>
      </c>
      <c r="X2637" s="2">
        <f>MATCH(Auto_Sales_data___Copy[[#This Row],[Total_Orders_Per_Customer]],Table2[F-Cutoff],1)</f>
        <v>2</v>
      </c>
      <c r="Y2637" s="2">
        <f>MATCH(Auto_Sales_data___Copy[[#This Row],[Total_Sales_Per_Customer]],Table2[M-Cutoff],1)</f>
        <v>2</v>
      </c>
      <c r="Z2637" s="2" t="str">
        <f>Auto_Sales_data___Copy[[#This Row],[R-Score(1-5)]]&amp;Auto_Sales_data___Copy[[#This Row],[F-Score(1-5)]]&amp;Auto_Sales_data___Copy[[#This Row],[M-Score(1-5)]]</f>
        <v>122</v>
      </c>
      <c r="AA2637" s="2" t="str" cm="1">
        <f t="array" ref="AA26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7" s="2" t="str">
        <f>VLOOKUP(Auto_Sales_data___Copy[[#This Row],[Segment Name]],Table3[],2,FALSE)</f>
        <v>High-Touch  Win-Back</v>
      </c>
    </row>
    <row r="2638" spans="1:28" x14ac:dyDescent="0.25">
      <c r="A2638">
        <v>10180</v>
      </c>
      <c r="B2638">
        <v>22</v>
      </c>
      <c r="C2638">
        <v>114.3</v>
      </c>
      <c r="D2638">
        <v>7</v>
      </c>
      <c r="E2638">
        <v>2514.6</v>
      </c>
      <c r="F2638" s="1">
        <v>43415</v>
      </c>
      <c r="G2638" s="2" t="s">
        <v>19</v>
      </c>
      <c r="H2638" s="2" t="s">
        <v>20</v>
      </c>
      <c r="I2638">
        <v>102</v>
      </c>
      <c r="J2638" s="2" t="s">
        <v>701</v>
      </c>
      <c r="K2638" s="2" t="s">
        <v>61</v>
      </c>
      <c r="L2638" s="2" t="s">
        <v>62</v>
      </c>
      <c r="M2638" s="2" t="s">
        <v>63</v>
      </c>
      <c r="N2638" s="2" t="s">
        <v>64</v>
      </c>
      <c r="O2638" s="2" t="s">
        <v>65</v>
      </c>
      <c r="P2638" s="2" t="s">
        <v>36</v>
      </c>
      <c r="Q2638" s="2" t="s">
        <v>66</v>
      </c>
      <c r="R2638" s="2" t="s">
        <v>67</v>
      </c>
      <c r="S2638" s="2" t="s">
        <v>30</v>
      </c>
      <c r="T2638">
        <v>2829</v>
      </c>
      <c r="U2638">
        <f>VLOOKUP(Auto_Sales_data___Copy[[#This Row],[CUSTOMER_NAME]],$AF$2:$AH$90,2,FALSE)</f>
        <v>20</v>
      </c>
      <c r="V2638">
        <f>VLOOKUP(Auto_Sales_data___Copy[[#This Row],[CUSTOMER_NAME]],$AF$2:$AH$90,3,FALSE)</f>
        <v>69052.41</v>
      </c>
      <c r="W2638" s="2">
        <f>6-MATCH(Auto_Sales_data___Copy[[#This Row],[DAYS_SINCE_LAST_ORDER]],Table2[R-Cutoff],1)</f>
        <v>1</v>
      </c>
      <c r="X2638" s="2">
        <f>MATCH(Auto_Sales_data___Copy[[#This Row],[Total_Orders_Per_Customer]],Table2[F-Cutoff],1)</f>
        <v>2</v>
      </c>
      <c r="Y2638" s="2">
        <f>MATCH(Auto_Sales_data___Copy[[#This Row],[Total_Sales_Per_Customer]],Table2[M-Cutoff],1)</f>
        <v>2</v>
      </c>
      <c r="Z2638" s="2" t="str">
        <f>Auto_Sales_data___Copy[[#This Row],[R-Score(1-5)]]&amp;Auto_Sales_data___Copy[[#This Row],[F-Score(1-5)]]&amp;Auto_Sales_data___Copy[[#This Row],[M-Score(1-5)]]</f>
        <v>122</v>
      </c>
      <c r="AA2638" s="2" t="str" cm="1">
        <f t="array" ref="AA26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8" s="2" t="str">
        <f>VLOOKUP(Auto_Sales_data___Copy[[#This Row],[Segment Name]],Table3[],2,FALSE)</f>
        <v>High-Touch  Win-Back</v>
      </c>
    </row>
    <row r="2639" spans="1:28" x14ac:dyDescent="0.25">
      <c r="A2639">
        <v>10180</v>
      </c>
      <c r="B2639">
        <v>21</v>
      </c>
      <c r="C2639">
        <v>93.56</v>
      </c>
      <c r="D2639">
        <v>5</v>
      </c>
      <c r="E2639">
        <v>1964.76</v>
      </c>
      <c r="F2639" s="1">
        <v>43415</v>
      </c>
      <c r="G2639" s="2" t="s">
        <v>19</v>
      </c>
      <c r="H2639" s="2" t="s">
        <v>20</v>
      </c>
      <c r="I2639">
        <v>81</v>
      </c>
      <c r="J2639" s="2" t="s">
        <v>705</v>
      </c>
      <c r="K2639" s="2" t="s">
        <v>61</v>
      </c>
      <c r="L2639" s="2" t="s">
        <v>62</v>
      </c>
      <c r="M2639" s="2" t="s">
        <v>63</v>
      </c>
      <c r="N2639" s="2" t="s">
        <v>64</v>
      </c>
      <c r="O2639" s="2" t="s">
        <v>65</v>
      </c>
      <c r="P2639" s="2" t="s">
        <v>36</v>
      </c>
      <c r="Q2639" s="2" t="s">
        <v>66</v>
      </c>
      <c r="R2639" s="2" t="s">
        <v>67</v>
      </c>
      <c r="S2639" s="2" t="s">
        <v>30</v>
      </c>
      <c r="T2639">
        <v>2933</v>
      </c>
      <c r="U2639">
        <f>VLOOKUP(Auto_Sales_data___Copy[[#This Row],[CUSTOMER_NAME]],$AF$2:$AH$90,2,FALSE)</f>
        <v>20</v>
      </c>
      <c r="V2639">
        <f>VLOOKUP(Auto_Sales_data___Copy[[#This Row],[CUSTOMER_NAME]],$AF$2:$AH$90,3,FALSE)</f>
        <v>69052.41</v>
      </c>
      <c r="W2639" s="2">
        <f>6-MATCH(Auto_Sales_data___Copy[[#This Row],[DAYS_SINCE_LAST_ORDER]],Table2[R-Cutoff],1)</f>
        <v>1</v>
      </c>
      <c r="X2639" s="2">
        <f>MATCH(Auto_Sales_data___Copy[[#This Row],[Total_Orders_Per_Customer]],Table2[F-Cutoff],1)</f>
        <v>2</v>
      </c>
      <c r="Y2639" s="2">
        <f>MATCH(Auto_Sales_data___Copy[[#This Row],[Total_Sales_Per_Customer]],Table2[M-Cutoff],1)</f>
        <v>2</v>
      </c>
      <c r="Z2639" s="2" t="str">
        <f>Auto_Sales_data___Copy[[#This Row],[R-Score(1-5)]]&amp;Auto_Sales_data___Copy[[#This Row],[F-Score(1-5)]]&amp;Auto_Sales_data___Copy[[#This Row],[M-Score(1-5)]]</f>
        <v>122</v>
      </c>
      <c r="AA2639" s="2" t="str" cm="1">
        <f t="array" ref="AA26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9" s="2" t="str">
        <f>VLOOKUP(Auto_Sales_data___Copy[[#This Row],[Segment Name]],Table3[],2,FALSE)</f>
        <v>High-Touch  Win-Back</v>
      </c>
    </row>
    <row r="2640" spans="1:28" x14ac:dyDescent="0.25">
      <c r="A2640">
        <v>10183</v>
      </c>
      <c r="B2640">
        <v>47</v>
      </c>
      <c r="C2640">
        <v>107.13</v>
      </c>
      <c r="D2640">
        <v>12</v>
      </c>
      <c r="E2640">
        <v>5035.1099999999997</v>
      </c>
      <c r="F2640" s="1">
        <v>43417</v>
      </c>
      <c r="G2640" s="2" t="s">
        <v>19</v>
      </c>
      <c r="H2640" s="2" t="s">
        <v>589</v>
      </c>
      <c r="I2640">
        <v>97</v>
      </c>
      <c r="J2640" s="2" t="s">
        <v>691</v>
      </c>
      <c r="K2640" s="2" t="s">
        <v>217</v>
      </c>
      <c r="L2640" s="2" t="s">
        <v>218</v>
      </c>
      <c r="M2640" s="2" t="s">
        <v>219</v>
      </c>
      <c r="N2640" s="2" t="s">
        <v>220</v>
      </c>
      <c r="O2640" s="2" t="s">
        <v>221</v>
      </c>
      <c r="P2640" s="2" t="s">
        <v>27</v>
      </c>
      <c r="Q2640" s="2" t="s">
        <v>222</v>
      </c>
      <c r="R2640" s="2" t="s">
        <v>223</v>
      </c>
      <c r="S2640" s="2" t="s">
        <v>46</v>
      </c>
      <c r="T2640">
        <v>2578</v>
      </c>
      <c r="U2640">
        <f>VLOOKUP(Auto_Sales_data___Copy[[#This Row],[CUSTOMER_NAME]],$AF$2:$AH$90,2,FALSE)</f>
        <v>21</v>
      </c>
      <c r="V2640">
        <f>VLOOKUP(Auto_Sales_data___Copy[[#This Row],[CUSTOMER_NAME]],$AF$2:$AH$90,3,FALSE)</f>
        <v>67506.969999999987</v>
      </c>
      <c r="W2640" s="2">
        <f>6-MATCH(Auto_Sales_data___Copy[[#This Row],[DAYS_SINCE_LAST_ORDER]],Table2[R-Cutoff],1)</f>
        <v>1</v>
      </c>
      <c r="X2640" s="2">
        <f>MATCH(Auto_Sales_data___Copy[[#This Row],[Total_Orders_Per_Customer]],Table2[F-Cutoff],1)</f>
        <v>2</v>
      </c>
      <c r="Y2640" s="2">
        <f>MATCH(Auto_Sales_data___Copy[[#This Row],[Total_Sales_Per_Customer]],Table2[M-Cutoff],1)</f>
        <v>2</v>
      </c>
      <c r="Z2640" s="2" t="str">
        <f>Auto_Sales_data___Copy[[#This Row],[R-Score(1-5)]]&amp;Auto_Sales_data___Copy[[#This Row],[F-Score(1-5)]]&amp;Auto_Sales_data___Copy[[#This Row],[M-Score(1-5)]]</f>
        <v>122</v>
      </c>
      <c r="AA2640" s="2" t="str" cm="1">
        <f t="array" ref="AA26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0" s="2" t="str">
        <f>VLOOKUP(Auto_Sales_data___Copy[[#This Row],[Segment Name]],Table3[],2,FALSE)</f>
        <v>High-Touch  Win-Back</v>
      </c>
    </row>
    <row r="2641" spans="1:28" x14ac:dyDescent="0.25">
      <c r="A2641">
        <v>10183</v>
      </c>
      <c r="B2641">
        <v>49</v>
      </c>
      <c r="C2641">
        <v>64.64</v>
      </c>
      <c r="D2641">
        <v>4</v>
      </c>
      <c r="E2641">
        <v>3167.36</v>
      </c>
      <c r="F2641" s="1">
        <v>43417</v>
      </c>
      <c r="G2641" s="2" t="s">
        <v>19</v>
      </c>
      <c r="H2641" s="2" t="s">
        <v>537</v>
      </c>
      <c r="I2641">
        <v>64</v>
      </c>
      <c r="J2641" s="2" t="s">
        <v>699</v>
      </c>
      <c r="K2641" s="2" t="s">
        <v>217</v>
      </c>
      <c r="L2641" s="2" t="s">
        <v>218</v>
      </c>
      <c r="M2641" s="2" t="s">
        <v>219</v>
      </c>
      <c r="N2641" s="2" t="s">
        <v>220</v>
      </c>
      <c r="O2641" s="2" t="s">
        <v>221</v>
      </c>
      <c r="P2641" s="2" t="s">
        <v>27</v>
      </c>
      <c r="Q2641" s="2" t="s">
        <v>222</v>
      </c>
      <c r="R2641" s="2" t="s">
        <v>223</v>
      </c>
      <c r="S2641" s="2" t="s">
        <v>46</v>
      </c>
      <c r="T2641">
        <v>2779</v>
      </c>
      <c r="U2641">
        <f>VLOOKUP(Auto_Sales_data___Copy[[#This Row],[CUSTOMER_NAME]],$AF$2:$AH$90,2,FALSE)</f>
        <v>21</v>
      </c>
      <c r="V2641">
        <f>VLOOKUP(Auto_Sales_data___Copy[[#This Row],[CUSTOMER_NAME]],$AF$2:$AH$90,3,FALSE)</f>
        <v>67506.969999999987</v>
      </c>
      <c r="W2641" s="2">
        <f>6-MATCH(Auto_Sales_data___Copy[[#This Row],[DAYS_SINCE_LAST_ORDER]],Table2[R-Cutoff],1)</f>
        <v>1</v>
      </c>
      <c r="X2641" s="2">
        <f>MATCH(Auto_Sales_data___Copy[[#This Row],[Total_Orders_Per_Customer]],Table2[F-Cutoff],1)</f>
        <v>2</v>
      </c>
      <c r="Y2641" s="2">
        <f>MATCH(Auto_Sales_data___Copy[[#This Row],[Total_Sales_Per_Customer]],Table2[M-Cutoff],1)</f>
        <v>2</v>
      </c>
      <c r="Z2641" s="2" t="str">
        <f>Auto_Sales_data___Copy[[#This Row],[R-Score(1-5)]]&amp;Auto_Sales_data___Copy[[#This Row],[F-Score(1-5)]]&amp;Auto_Sales_data___Copy[[#This Row],[M-Score(1-5)]]</f>
        <v>122</v>
      </c>
      <c r="AA2641" s="2" t="str" cm="1">
        <f t="array" ref="AA26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1" s="2" t="str">
        <f>VLOOKUP(Auto_Sales_data___Copy[[#This Row],[Segment Name]],Table3[],2,FALSE)</f>
        <v>High-Touch  Win-Back</v>
      </c>
    </row>
    <row r="2642" spans="1:28" x14ac:dyDescent="0.25">
      <c r="A2642">
        <v>10183</v>
      </c>
      <c r="B2642">
        <v>23</v>
      </c>
      <c r="C2642">
        <v>86.99</v>
      </c>
      <c r="D2642">
        <v>3</v>
      </c>
      <c r="E2642">
        <v>2000.77</v>
      </c>
      <c r="F2642" s="1">
        <v>43417</v>
      </c>
      <c r="G2642" s="2" t="s">
        <v>19</v>
      </c>
      <c r="H2642" s="2" t="s">
        <v>183</v>
      </c>
      <c r="I2642">
        <v>101</v>
      </c>
      <c r="J2642" s="2" t="s">
        <v>712</v>
      </c>
      <c r="K2642" s="2" t="s">
        <v>217</v>
      </c>
      <c r="L2642" s="2" t="s">
        <v>218</v>
      </c>
      <c r="M2642" s="2" t="s">
        <v>219</v>
      </c>
      <c r="N2642" s="2" t="s">
        <v>220</v>
      </c>
      <c r="O2642" s="2" t="s">
        <v>221</v>
      </c>
      <c r="P2642" s="2" t="s">
        <v>27</v>
      </c>
      <c r="Q2642" s="2" t="s">
        <v>222</v>
      </c>
      <c r="R2642" s="2" t="s">
        <v>223</v>
      </c>
      <c r="S2642" s="2" t="s">
        <v>30</v>
      </c>
      <c r="T2642">
        <v>3112</v>
      </c>
      <c r="U2642">
        <f>VLOOKUP(Auto_Sales_data___Copy[[#This Row],[CUSTOMER_NAME]],$AF$2:$AH$90,2,FALSE)</f>
        <v>21</v>
      </c>
      <c r="V2642">
        <f>VLOOKUP(Auto_Sales_data___Copy[[#This Row],[CUSTOMER_NAME]],$AF$2:$AH$90,3,FALSE)</f>
        <v>67506.969999999987</v>
      </c>
      <c r="W2642" s="2">
        <f>6-MATCH(Auto_Sales_data___Copy[[#This Row],[DAYS_SINCE_LAST_ORDER]],Table2[R-Cutoff],1)</f>
        <v>1</v>
      </c>
      <c r="X2642" s="2">
        <f>MATCH(Auto_Sales_data___Copy[[#This Row],[Total_Orders_Per_Customer]],Table2[F-Cutoff],1)</f>
        <v>2</v>
      </c>
      <c r="Y2642" s="2">
        <f>MATCH(Auto_Sales_data___Copy[[#This Row],[Total_Sales_Per_Customer]],Table2[M-Cutoff],1)</f>
        <v>2</v>
      </c>
      <c r="Z2642" s="2" t="str">
        <f>Auto_Sales_data___Copy[[#This Row],[R-Score(1-5)]]&amp;Auto_Sales_data___Copy[[#This Row],[F-Score(1-5)]]&amp;Auto_Sales_data___Copy[[#This Row],[M-Score(1-5)]]</f>
        <v>122</v>
      </c>
      <c r="AA2642" s="2" t="str" cm="1">
        <f t="array" ref="AA26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2" s="2" t="str">
        <f>VLOOKUP(Auto_Sales_data___Copy[[#This Row],[Segment Name]],Table3[],2,FALSE)</f>
        <v>High-Touch  Win-Back</v>
      </c>
    </row>
    <row r="2643" spans="1:28" x14ac:dyDescent="0.25">
      <c r="A2643">
        <v>10197</v>
      </c>
      <c r="B2643">
        <v>23</v>
      </c>
      <c r="C2643">
        <v>64.67</v>
      </c>
      <c r="D2643">
        <v>9</v>
      </c>
      <c r="E2643">
        <v>1487.41</v>
      </c>
      <c r="F2643" s="1">
        <v>43430</v>
      </c>
      <c r="G2643" s="2" t="s">
        <v>19</v>
      </c>
      <c r="H2643" s="2" t="s">
        <v>642</v>
      </c>
      <c r="I2643">
        <v>66</v>
      </c>
      <c r="J2643" s="2" t="s">
        <v>706</v>
      </c>
      <c r="K2643" s="2" t="s">
        <v>372</v>
      </c>
      <c r="L2643" s="2" t="s">
        <v>373</v>
      </c>
      <c r="M2643" s="2" t="s">
        <v>374</v>
      </c>
      <c r="N2643" s="2" t="s">
        <v>375</v>
      </c>
      <c r="O2643" s="2" t="s">
        <v>376</v>
      </c>
      <c r="P2643" s="2" t="s">
        <v>180</v>
      </c>
      <c r="Q2643" s="2" t="s">
        <v>377</v>
      </c>
      <c r="R2643" s="2" t="s">
        <v>378</v>
      </c>
      <c r="S2643" s="2" t="s">
        <v>30</v>
      </c>
      <c r="T2643">
        <v>2945</v>
      </c>
      <c r="U2643">
        <f>VLOOKUP(Auto_Sales_data___Copy[[#This Row],[CUSTOMER_NAME]],$AF$2:$AH$90,2,FALSE)</f>
        <v>23</v>
      </c>
      <c r="V2643">
        <f>VLOOKUP(Auto_Sales_data___Copy[[#This Row],[CUSTOMER_NAME]],$AF$2:$AH$90,3,FALSE)</f>
        <v>78411.86</v>
      </c>
      <c r="W2643" s="2">
        <f>6-MATCH(Auto_Sales_data___Copy[[#This Row],[DAYS_SINCE_LAST_ORDER]],Table2[R-Cutoff],1)</f>
        <v>1</v>
      </c>
      <c r="X2643" s="2">
        <f>MATCH(Auto_Sales_data___Copy[[#This Row],[Total_Orders_Per_Customer]],Table2[F-Cutoff],1)</f>
        <v>2</v>
      </c>
      <c r="Y2643" s="2">
        <f>MATCH(Auto_Sales_data___Copy[[#This Row],[Total_Sales_Per_Customer]],Table2[M-Cutoff],1)</f>
        <v>2</v>
      </c>
      <c r="Z2643" s="2" t="str">
        <f>Auto_Sales_data___Copy[[#This Row],[R-Score(1-5)]]&amp;Auto_Sales_data___Copy[[#This Row],[F-Score(1-5)]]&amp;Auto_Sales_data___Copy[[#This Row],[M-Score(1-5)]]</f>
        <v>122</v>
      </c>
      <c r="AA2643" s="2" t="str" cm="1">
        <f t="array" ref="AA26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3" s="2" t="str">
        <f>VLOOKUP(Auto_Sales_data___Copy[[#This Row],[Segment Name]],Table3[],2,FALSE)</f>
        <v>High-Touch  Win-Back</v>
      </c>
    </row>
    <row r="2644" spans="1:28" x14ac:dyDescent="0.25">
      <c r="A2644">
        <v>10197</v>
      </c>
      <c r="B2644">
        <v>24</v>
      </c>
      <c r="C2644">
        <v>90.52</v>
      </c>
      <c r="D2644">
        <v>2</v>
      </c>
      <c r="E2644">
        <v>2172.48</v>
      </c>
      <c r="F2644" s="1">
        <v>43430</v>
      </c>
      <c r="G2644" s="2" t="s">
        <v>19</v>
      </c>
      <c r="H2644" s="2" t="s">
        <v>642</v>
      </c>
      <c r="I2644">
        <v>90</v>
      </c>
      <c r="J2644" s="2" t="s">
        <v>709</v>
      </c>
      <c r="K2644" s="2" t="s">
        <v>372</v>
      </c>
      <c r="L2644" s="2" t="s">
        <v>373</v>
      </c>
      <c r="M2644" s="2" t="s">
        <v>374</v>
      </c>
      <c r="N2644" s="2" t="s">
        <v>375</v>
      </c>
      <c r="O2644" s="2" t="s">
        <v>376</v>
      </c>
      <c r="P2644" s="2" t="s">
        <v>180</v>
      </c>
      <c r="Q2644" s="2" t="s">
        <v>377</v>
      </c>
      <c r="R2644" s="2" t="s">
        <v>378</v>
      </c>
      <c r="S2644" s="2" t="s">
        <v>30</v>
      </c>
      <c r="T2644">
        <v>3021</v>
      </c>
      <c r="U2644">
        <f>VLOOKUP(Auto_Sales_data___Copy[[#This Row],[CUSTOMER_NAME]],$AF$2:$AH$90,2,FALSE)</f>
        <v>23</v>
      </c>
      <c r="V2644">
        <f>VLOOKUP(Auto_Sales_data___Copy[[#This Row],[CUSTOMER_NAME]],$AF$2:$AH$90,3,FALSE)</f>
        <v>78411.86</v>
      </c>
      <c r="W2644" s="2">
        <f>6-MATCH(Auto_Sales_data___Copy[[#This Row],[DAYS_SINCE_LAST_ORDER]],Table2[R-Cutoff],1)</f>
        <v>1</v>
      </c>
      <c r="X2644" s="2">
        <f>MATCH(Auto_Sales_data___Copy[[#This Row],[Total_Orders_Per_Customer]],Table2[F-Cutoff],1)</f>
        <v>2</v>
      </c>
      <c r="Y2644" s="2">
        <f>MATCH(Auto_Sales_data___Copy[[#This Row],[Total_Sales_Per_Customer]],Table2[M-Cutoff],1)</f>
        <v>2</v>
      </c>
      <c r="Z2644" s="2" t="str">
        <f>Auto_Sales_data___Copy[[#This Row],[R-Score(1-5)]]&amp;Auto_Sales_data___Copy[[#This Row],[F-Score(1-5)]]&amp;Auto_Sales_data___Copy[[#This Row],[M-Score(1-5)]]</f>
        <v>122</v>
      </c>
      <c r="AA2644" s="2" t="str" cm="1">
        <f t="array" ref="AA26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4" s="2" t="str">
        <f>VLOOKUP(Auto_Sales_data___Copy[[#This Row],[Segment Name]],Table3[],2,FALSE)</f>
        <v>High-Touch  Win-Back</v>
      </c>
    </row>
    <row r="2645" spans="1:28" x14ac:dyDescent="0.25">
      <c r="A2645">
        <v>10197</v>
      </c>
      <c r="B2645">
        <v>50</v>
      </c>
      <c r="C2645">
        <v>78.790000000000006</v>
      </c>
      <c r="D2645">
        <v>7</v>
      </c>
      <c r="E2645">
        <v>3939.5</v>
      </c>
      <c r="F2645" s="1">
        <v>43430</v>
      </c>
      <c r="G2645" s="2" t="s">
        <v>19</v>
      </c>
      <c r="H2645" s="2" t="s">
        <v>642</v>
      </c>
      <c r="I2645">
        <v>72</v>
      </c>
      <c r="J2645" s="2" t="s">
        <v>711</v>
      </c>
      <c r="K2645" s="2" t="s">
        <v>372</v>
      </c>
      <c r="L2645" s="2" t="s">
        <v>373</v>
      </c>
      <c r="M2645" s="2" t="s">
        <v>374</v>
      </c>
      <c r="N2645" s="2" t="s">
        <v>375</v>
      </c>
      <c r="O2645" s="2" t="s">
        <v>376</v>
      </c>
      <c r="P2645" s="2" t="s">
        <v>180</v>
      </c>
      <c r="Q2645" s="2" t="s">
        <v>377</v>
      </c>
      <c r="R2645" s="2" t="s">
        <v>378</v>
      </c>
      <c r="S2645" s="2" t="s">
        <v>46</v>
      </c>
      <c r="T2645">
        <v>3074</v>
      </c>
      <c r="U2645">
        <f>VLOOKUP(Auto_Sales_data___Copy[[#This Row],[CUSTOMER_NAME]],$AF$2:$AH$90,2,FALSE)</f>
        <v>23</v>
      </c>
      <c r="V2645">
        <f>VLOOKUP(Auto_Sales_data___Copy[[#This Row],[CUSTOMER_NAME]],$AF$2:$AH$90,3,FALSE)</f>
        <v>78411.86</v>
      </c>
      <c r="W2645" s="2">
        <f>6-MATCH(Auto_Sales_data___Copy[[#This Row],[DAYS_SINCE_LAST_ORDER]],Table2[R-Cutoff],1)</f>
        <v>1</v>
      </c>
      <c r="X2645" s="2">
        <f>MATCH(Auto_Sales_data___Copy[[#This Row],[Total_Orders_Per_Customer]],Table2[F-Cutoff],1)</f>
        <v>2</v>
      </c>
      <c r="Y2645" s="2">
        <f>MATCH(Auto_Sales_data___Copy[[#This Row],[Total_Sales_Per_Customer]],Table2[M-Cutoff],1)</f>
        <v>2</v>
      </c>
      <c r="Z2645" s="2" t="str">
        <f>Auto_Sales_data___Copy[[#This Row],[R-Score(1-5)]]&amp;Auto_Sales_data___Copy[[#This Row],[F-Score(1-5)]]&amp;Auto_Sales_data___Copy[[#This Row],[M-Score(1-5)]]</f>
        <v>122</v>
      </c>
      <c r="AA2645" s="2" t="str" cm="1">
        <f t="array" ref="AA26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5" s="2" t="str">
        <f>VLOOKUP(Auto_Sales_data___Copy[[#This Row],[Segment Name]],Table3[],2,FALSE)</f>
        <v>High-Touch  Win-Back</v>
      </c>
    </row>
    <row r="2646" spans="1:28" x14ac:dyDescent="0.25">
      <c r="A2646">
        <v>10197</v>
      </c>
      <c r="B2646">
        <v>27</v>
      </c>
      <c r="C2646">
        <v>92.16</v>
      </c>
      <c r="D2646">
        <v>10</v>
      </c>
      <c r="E2646">
        <v>2488.3200000000002</v>
      </c>
      <c r="F2646" s="1">
        <v>43430</v>
      </c>
      <c r="G2646" s="2" t="s">
        <v>19</v>
      </c>
      <c r="H2646" s="2" t="s">
        <v>642</v>
      </c>
      <c r="I2646">
        <v>100</v>
      </c>
      <c r="J2646" s="2" t="s">
        <v>715</v>
      </c>
      <c r="K2646" s="2" t="s">
        <v>372</v>
      </c>
      <c r="L2646" s="2" t="s">
        <v>373</v>
      </c>
      <c r="M2646" s="2" t="s">
        <v>374</v>
      </c>
      <c r="N2646" s="2" t="s">
        <v>375</v>
      </c>
      <c r="O2646" s="2" t="s">
        <v>376</v>
      </c>
      <c r="P2646" s="2" t="s">
        <v>180</v>
      </c>
      <c r="Q2646" s="2" t="s">
        <v>377</v>
      </c>
      <c r="R2646" s="2" t="s">
        <v>378</v>
      </c>
      <c r="S2646" s="2" t="s">
        <v>30</v>
      </c>
      <c r="T2646">
        <v>3177</v>
      </c>
      <c r="U2646">
        <f>VLOOKUP(Auto_Sales_data___Copy[[#This Row],[CUSTOMER_NAME]],$AF$2:$AH$90,2,FALSE)</f>
        <v>23</v>
      </c>
      <c r="V2646">
        <f>VLOOKUP(Auto_Sales_data___Copy[[#This Row],[CUSTOMER_NAME]],$AF$2:$AH$90,3,FALSE)</f>
        <v>78411.86</v>
      </c>
      <c r="W2646" s="2">
        <f>6-MATCH(Auto_Sales_data___Copy[[#This Row],[DAYS_SINCE_LAST_ORDER]],Table2[R-Cutoff],1)</f>
        <v>1</v>
      </c>
      <c r="X2646" s="2">
        <f>MATCH(Auto_Sales_data___Copy[[#This Row],[Total_Orders_Per_Customer]],Table2[F-Cutoff],1)</f>
        <v>2</v>
      </c>
      <c r="Y2646" s="2">
        <f>MATCH(Auto_Sales_data___Copy[[#This Row],[Total_Sales_Per_Customer]],Table2[M-Cutoff],1)</f>
        <v>2</v>
      </c>
      <c r="Z2646" s="2" t="str">
        <f>Auto_Sales_data___Copy[[#This Row],[R-Score(1-5)]]&amp;Auto_Sales_data___Copy[[#This Row],[F-Score(1-5)]]&amp;Auto_Sales_data___Copy[[#This Row],[M-Score(1-5)]]</f>
        <v>122</v>
      </c>
      <c r="AA2646" s="2" t="str" cm="1">
        <f t="array" ref="AA26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6" s="2" t="str">
        <f>VLOOKUP(Auto_Sales_data___Copy[[#This Row],[Segment Name]],Table3[],2,FALSE)</f>
        <v>High-Touch  Win-Back</v>
      </c>
    </row>
    <row r="2647" spans="1:28" x14ac:dyDescent="0.25">
      <c r="A2647">
        <v>10197</v>
      </c>
      <c r="B2647">
        <v>35</v>
      </c>
      <c r="C2647">
        <v>93.35</v>
      </c>
      <c r="D2647">
        <v>11</v>
      </c>
      <c r="E2647">
        <v>3267.25</v>
      </c>
      <c r="F2647" s="1">
        <v>43430</v>
      </c>
      <c r="G2647" s="2" t="s">
        <v>19</v>
      </c>
      <c r="H2647" s="2" t="s">
        <v>642</v>
      </c>
      <c r="I2647">
        <v>99</v>
      </c>
      <c r="J2647" s="2" t="s">
        <v>716</v>
      </c>
      <c r="K2647" s="2" t="s">
        <v>372</v>
      </c>
      <c r="L2647" s="2" t="s">
        <v>373</v>
      </c>
      <c r="M2647" s="2" t="s">
        <v>374</v>
      </c>
      <c r="N2647" s="2" t="s">
        <v>375</v>
      </c>
      <c r="O2647" s="2" t="s">
        <v>376</v>
      </c>
      <c r="P2647" s="2" t="s">
        <v>180</v>
      </c>
      <c r="Q2647" s="2" t="s">
        <v>377</v>
      </c>
      <c r="R2647" s="2" t="s">
        <v>378</v>
      </c>
      <c r="S2647" s="2" t="s">
        <v>46</v>
      </c>
      <c r="T2647">
        <v>3203</v>
      </c>
      <c r="U2647">
        <f>VLOOKUP(Auto_Sales_data___Copy[[#This Row],[CUSTOMER_NAME]],$AF$2:$AH$90,2,FALSE)</f>
        <v>23</v>
      </c>
      <c r="V2647">
        <f>VLOOKUP(Auto_Sales_data___Copy[[#This Row],[CUSTOMER_NAME]],$AF$2:$AH$90,3,FALSE)</f>
        <v>78411.86</v>
      </c>
      <c r="W2647" s="2">
        <f>6-MATCH(Auto_Sales_data___Copy[[#This Row],[DAYS_SINCE_LAST_ORDER]],Table2[R-Cutoff],1)</f>
        <v>1</v>
      </c>
      <c r="X2647" s="2">
        <f>MATCH(Auto_Sales_data___Copy[[#This Row],[Total_Orders_Per_Customer]],Table2[F-Cutoff],1)</f>
        <v>2</v>
      </c>
      <c r="Y2647" s="2">
        <f>MATCH(Auto_Sales_data___Copy[[#This Row],[Total_Sales_Per_Customer]],Table2[M-Cutoff],1)</f>
        <v>2</v>
      </c>
      <c r="Z2647" s="2" t="str">
        <f>Auto_Sales_data___Copy[[#This Row],[R-Score(1-5)]]&amp;Auto_Sales_data___Copy[[#This Row],[F-Score(1-5)]]&amp;Auto_Sales_data___Copy[[#This Row],[M-Score(1-5)]]</f>
        <v>122</v>
      </c>
      <c r="AA2647" s="2" t="str" cm="1">
        <f t="array" ref="AA26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7" s="2" t="str">
        <f>VLOOKUP(Auto_Sales_data___Copy[[#This Row],[Segment Name]],Table3[],2,FALSE)</f>
        <v>High-Touch  Win-Back</v>
      </c>
    </row>
    <row r="2648" spans="1:28" x14ac:dyDescent="0.25">
      <c r="A2648">
        <v>10197</v>
      </c>
      <c r="B2648">
        <v>29</v>
      </c>
      <c r="C2648">
        <v>41.71</v>
      </c>
      <c r="D2648">
        <v>1</v>
      </c>
      <c r="E2648">
        <v>1209.5899999999999</v>
      </c>
      <c r="F2648" s="1">
        <v>43430</v>
      </c>
      <c r="G2648" s="2" t="s">
        <v>19</v>
      </c>
      <c r="H2648" s="2" t="s">
        <v>607</v>
      </c>
      <c r="I2648">
        <v>49</v>
      </c>
      <c r="J2648" s="2" t="s">
        <v>718</v>
      </c>
      <c r="K2648" s="2" t="s">
        <v>372</v>
      </c>
      <c r="L2648" s="2" t="s">
        <v>373</v>
      </c>
      <c r="M2648" s="2" t="s">
        <v>374</v>
      </c>
      <c r="N2648" s="2" t="s">
        <v>375</v>
      </c>
      <c r="O2648" s="2" t="s">
        <v>376</v>
      </c>
      <c r="P2648" s="2" t="s">
        <v>180</v>
      </c>
      <c r="Q2648" s="2" t="s">
        <v>377</v>
      </c>
      <c r="R2648" s="2" t="s">
        <v>378</v>
      </c>
      <c r="S2648" s="2" t="s">
        <v>30</v>
      </c>
      <c r="T2648">
        <v>3256</v>
      </c>
      <c r="U2648">
        <f>VLOOKUP(Auto_Sales_data___Copy[[#This Row],[CUSTOMER_NAME]],$AF$2:$AH$90,2,FALSE)</f>
        <v>23</v>
      </c>
      <c r="V2648">
        <f>VLOOKUP(Auto_Sales_data___Copy[[#This Row],[CUSTOMER_NAME]],$AF$2:$AH$90,3,FALSE)</f>
        <v>78411.86</v>
      </c>
      <c r="W2648" s="2">
        <f>6-MATCH(Auto_Sales_data___Copy[[#This Row],[DAYS_SINCE_LAST_ORDER]],Table2[R-Cutoff],1)</f>
        <v>1</v>
      </c>
      <c r="X2648" s="2">
        <f>MATCH(Auto_Sales_data___Copy[[#This Row],[Total_Orders_Per_Customer]],Table2[F-Cutoff],1)</f>
        <v>2</v>
      </c>
      <c r="Y2648" s="2">
        <f>MATCH(Auto_Sales_data___Copy[[#This Row],[Total_Sales_Per_Customer]],Table2[M-Cutoff],1)</f>
        <v>2</v>
      </c>
      <c r="Z2648" s="2" t="str">
        <f>Auto_Sales_data___Copy[[#This Row],[R-Score(1-5)]]&amp;Auto_Sales_data___Copy[[#This Row],[F-Score(1-5)]]&amp;Auto_Sales_data___Copy[[#This Row],[M-Score(1-5)]]</f>
        <v>122</v>
      </c>
      <c r="AA2648" s="2" t="str" cm="1">
        <f t="array" ref="AA26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8" s="2" t="str">
        <f>VLOOKUP(Auto_Sales_data___Copy[[#This Row],[Segment Name]],Table3[],2,FALSE)</f>
        <v>High-Touch  Win-Back</v>
      </c>
    </row>
    <row r="2649" spans="1:28" x14ac:dyDescent="0.25">
      <c r="A2649">
        <v>10197</v>
      </c>
      <c r="B2649">
        <v>42</v>
      </c>
      <c r="C2649">
        <v>50.23</v>
      </c>
      <c r="D2649">
        <v>12</v>
      </c>
      <c r="E2649">
        <v>2109.66</v>
      </c>
      <c r="F2649" s="1">
        <v>43430</v>
      </c>
      <c r="G2649" s="2" t="s">
        <v>19</v>
      </c>
      <c r="H2649" s="2" t="s">
        <v>642</v>
      </c>
      <c r="I2649">
        <v>54</v>
      </c>
      <c r="J2649" s="2" t="s">
        <v>719</v>
      </c>
      <c r="K2649" s="2" t="s">
        <v>372</v>
      </c>
      <c r="L2649" s="2" t="s">
        <v>373</v>
      </c>
      <c r="M2649" s="2" t="s">
        <v>374</v>
      </c>
      <c r="N2649" s="2" t="s">
        <v>375</v>
      </c>
      <c r="O2649" s="2" t="s">
        <v>376</v>
      </c>
      <c r="P2649" s="2" t="s">
        <v>180</v>
      </c>
      <c r="Q2649" s="2" t="s">
        <v>377</v>
      </c>
      <c r="R2649" s="2" t="s">
        <v>378</v>
      </c>
      <c r="S2649" s="2" t="s">
        <v>30</v>
      </c>
      <c r="T2649">
        <v>3282</v>
      </c>
      <c r="U2649">
        <f>VLOOKUP(Auto_Sales_data___Copy[[#This Row],[CUSTOMER_NAME]],$AF$2:$AH$90,2,FALSE)</f>
        <v>23</v>
      </c>
      <c r="V2649">
        <f>VLOOKUP(Auto_Sales_data___Copy[[#This Row],[CUSTOMER_NAME]],$AF$2:$AH$90,3,FALSE)</f>
        <v>78411.86</v>
      </c>
      <c r="W2649" s="2">
        <f>6-MATCH(Auto_Sales_data___Copy[[#This Row],[DAYS_SINCE_LAST_ORDER]],Table2[R-Cutoff],1)</f>
        <v>1</v>
      </c>
      <c r="X2649" s="2">
        <f>MATCH(Auto_Sales_data___Copy[[#This Row],[Total_Orders_Per_Customer]],Table2[F-Cutoff],1)</f>
        <v>2</v>
      </c>
      <c r="Y2649" s="2">
        <f>MATCH(Auto_Sales_data___Copy[[#This Row],[Total_Sales_Per_Customer]],Table2[M-Cutoff],1)</f>
        <v>2</v>
      </c>
      <c r="Z2649" s="2" t="str">
        <f>Auto_Sales_data___Copy[[#This Row],[R-Score(1-5)]]&amp;Auto_Sales_data___Copy[[#This Row],[F-Score(1-5)]]&amp;Auto_Sales_data___Copy[[#This Row],[M-Score(1-5)]]</f>
        <v>122</v>
      </c>
      <c r="AA2649" s="2" t="str" cm="1">
        <f t="array" ref="AA26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9" s="2" t="str">
        <f>VLOOKUP(Auto_Sales_data___Copy[[#This Row],[Segment Name]],Table3[],2,FALSE)</f>
        <v>High-Touch  Win-Back</v>
      </c>
    </row>
    <row r="2650" spans="1:28" x14ac:dyDescent="0.25">
      <c r="A2650">
        <v>10206</v>
      </c>
      <c r="B2650">
        <v>36</v>
      </c>
      <c r="C2650">
        <v>58.82</v>
      </c>
      <c r="D2650">
        <v>2</v>
      </c>
      <c r="E2650">
        <v>2117.52</v>
      </c>
      <c r="F2650" s="1">
        <v>43439</v>
      </c>
      <c r="G2650" s="2" t="s">
        <v>19</v>
      </c>
      <c r="H2650" s="2" t="s">
        <v>537</v>
      </c>
      <c r="I2650">
        <v>64</v>
      </c>
      <c r="J2650" s="2" t="s">
        <v>699</v>
      </c>
      <c r="K2650" s="2" t="s">
        <v>231</v>
      </c>
      <c r="L2650" s="2" t="s">
        <v>232</v>
      </c>
      <c r="M2650" s="2" t="s">
        <v>233</v>
      </c>
      <c r="N2650" s="2" t="s">
        <v>234</v>
      </c>
      <c r="O2650" s="2" t="s">
        <v>235</v>
      </c>
      <c r="P2650" s="2" t="s">
        <v>236</v>
      </c>
      <c r="Q2650" s="2" t="s">
        <v>237</v>
      </c>
      <c r="R2650" s="2" t="s">
        <v>238</v>
      </c>
      <c r="S2650" s="2" t="s">
        <v>30</v>
      </c>
      <c r="T2650">
        <v>2759</v>
      </c>
      <c r="U2650">
        <f>VLOOKUP(Auto_Sales_data___Copy[[#This Row],[CUSTOMER_NAME]],$AF$2:$AH$90,2,FALSE)</f>
        <v>22</v>
      </c>
      <c r="V2650">
        <f>VLOOKUP(Auto_Sales_data___Copy[[#This Row],[CUSTOMER_NAME]],$AF$2:$AH$90,3,FALSE)</f>
        <v>75238.92</v>
      </c>
      <c r="W2650" s="2">
        <f>6-MATCH(Auto_Sales_data___Copy[[#This Row],[DAYS_SINCE_LAST_ORDER]],Table2[R-Cutoff],1)</f>
        <v>1</v>
      </c>
      <c r="X2650" s="2">
        <f>MATCH(Auto_Sales_data___Copy[[#This Row],[Total_Orders_Per_Customer]],Table2[F-Cutoff],1)</f>
        <v>2</v>
      </c>
      <c r="Y2650" s="2">
        <f>MATCH(Auto_Sales_data___Copy[[#This Row],[Total_Sales_Per_Customer]],Table2[M-Cutoff],1)</f>
        <v>2</v>
      </c>
      <c r="Z2650" s="2" t="str">
        <f>Auto_Sales_data___Copy[[#This Row],[R-Score(1-5)]]&amp;Auto_Sales_data___Copy[[#This Row],[F-Score(1-5)]]&amp;Auto_Sales_data___Copy[[#This Row],[M-Score(1-5)]]</f>
        <v>122</v>
      </c>
      <c r="AA2650" s="2" t="str" cm="1">
        <f t="array" ref="AA26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0" s="2" t="str">
        <f>VLOOKUP(Auto_Sales_data___Copy[[#This Row],[Segment Name]],Table3[],2,FALSE)</f>
        <v>High-Touch  Win-Back</v>
      </c>
    </row>
    <row r="2651" spans="1:28" x14ac:dyDescent="0.25">
      <c r="A2651">
        <v>10206</v>
      </c>
      <c r="B2651">
        <v>33</v>
      </c>
      <c r="C2651">
        <v>117.33</v>
      </c>
      <c r="D2651">
        <v>1</v>
      </c>
      <c r="E2651">
        <v>3871.89</v>
      </c>
      <c r="F2651" s="1">
        <v>43439</v>
      </c>
      <c r="G2651" s="2" t="s">
        <v>19</v>
      </c>
      <c r="H2651" s="2" t="s">
        <v>183</v>
      </c>
      <c r="I2651">
        <v>101</v>
      </c>
      <c r="J2651" s="2" t="s">
        <v>712</v>
      </c>
      <c r="K2651" s="2" t="s">
        <v>231</v>
      </c>
      <c r="L2651" s="2" t="s">
        <v>232</v>
      </c>
      <c r="M2651" s="2" t="s">
        <v>233</v>
      </c>
      <c r="N2651" s="2" t="s">
        <v>234</v>
      </c>
      <c r="O2651" s="2" t="s">
        <v>235</v>
      </c>
      <c r="P2651" s="2" t="s">
        <v>236</v>
      </c>
      <c r="Q2651" s="2" t="s">
        <v>237</v>
      </c>
      <c r="R2651" s="2" t="s">
        <v>238</v>
      </c>
      <c r="S2651" s="2" t="s">
        <v>46</v>
      </c>
      <c r="T2651">
        <v>3092</v>
      </c>
      <c r="U2651">
        <f>VLOOKUP(Auto_Sales_data___Copy[[#This Row],[CUSTOMER_NAME]],$AF$2:$AH$90,2,FALSE)</f>
        <v>22</v>
      </c>
      <c r="V2651">
        <f>VLOOKUP(Auto_Sales_data___Copy[[#This Row],[CUSTOMER_NAME]],$AF$2:$AH$90,3,FALSE)</f>
        <v>75238.92</v>
      </c>
      <c r="W2651" s="2">
        <f>6-MATCH(Auto_Sales_data___Copy[[#This Row],[DAYS_SINCE_LAST_ORDER]],Table2[R-Cutoff],1)</f>
        <v>1</v>
      </c>
      <c r="X2651" s="2">
        <f>MATCH(Auto_Sales_data___Copy[[#This Row],[Total_Orders_Per_Customer]],Table2[F-Cutoff],1)</f>
        <v>2</v>
      </c>
      <c r="Y2651" s="2">
        <f>MATCH(Auto_Sales_data___Copy[[#This Row],[Total_Sales_Per_Customer]],Table2[M-Cutoff],1)</f>
        <v>2</v>
      </c>
      <c r="Z2651" s="2" t="str">
        <f>Auto_Sales_data___Copy[[#This Row],[R-Score(1-5)]]&amp;Auto_Sales_data___Copy[[#This Row],[F-Score(1-5)]]&amp;Auto_Sales_data___Copy[[#This Row],[M-Score(1-5)]]</f>
        <v>122</v>
      </c>
      <c r="AA2651" s="2" t="str" cm="1">
        <f t="array" ref="AA26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1" s="2" t="str">
        <f>VLOOKUP(Auto_Sales_data___Copy[[#This Row],[Segment Name]],Table3[],2,FALSE)</f>
        <v>High-Touch  Win-Back</v>
      </c>
    </row>
    <row r="2652" spans="1:28" x14ac:dyDescent="0.25">
      <c r="A2652">
        <v>10207</v>
      </c>
      <c r="B2652">
        <v>49</v>
      </c>
      <c r="C2652">
        <v>80.900000000000006</v>
      </c>
      <c r="D2652">
        <v>14</v>
      </c>
      <c r="E2652">
        <v>3964.1</v>
      </c>
      <c r="F2652" s="1">
        <v>43443</v>
      </c>
      <c r="G2652" s="2" t="s">
        <v>19</v>
      </c>
      <c r="H2652" s="2" t="s">
        <v>537</v>
      </c>
      <c r="I2652">
        <v>96</v>
      </c>
      <c r="J2652" s="2" t="s">
        <v>694</v>
      </c>
      <c r="K2652" s="2" t="s">
        <v>439</v>
      </c>
      <c r="L2652" s="2" t="s">
        <v>440</v>
      </c>
      <c r="M2652" s="2" t="s">
        <v>441</v>
      </c>
      <c r="N2652" s="2" t="s">
        <v>401</v>
      </c>
      <c r="O2652" s="2" t="s">
        <v>402</v>
      </c>
      <c r="P2652" s="2" t="s">
        <v>27</v>
      </c>
      <c r="Q2652" s="2" t="s">
        <v>442</v>
      </c>
      <c r="R2652" s="2" t="s">
        <v>289</v>
      </c>
      <c r="S2652" s="2" t="s">
        <v>46</v>
      </c>
      <c r="T2652">
        <v>2626</v>
      </c>
      <c r="U2652">
        <f>VLOOKUP(Auto_Sales_data___Copy[[#This Row],[CUSTOMER_NAME]],$AF$2:$AH$90,2,FALSE)</f>
        <v>18</v>
      </c>
      <c r="V2652">
        <f>VLOOKUP(Auto_Sales_data___Copy[[#This Row],[CUSTOMER_NAME]],$AF$2:$AH$90,3,FALSE)</f>
        <v>70859.780000000013</v>
      </c>
      <c r="W2652" s="2">
        <f>6-MATCH(Auto_Sales_data___Copy[[#This Row],[DAYS_SINCE_LAST_ORDER]],Table2[R-Cutoff],1)</f>
        <v>1</v>
      </c>
      <c r="X2652" s="2">
        <f>MATCH(Auto_Sales_data___Copy[[#This Row],[Total_Orders_Per_Customer]],Table2[F-Cutoff],1)</f>
        <v>2</v>
      </c>
      <c r="Y2652" s="2">
        <f>MATCH(Auto_Sales_data___Copy[[#This Row],[Total_Sales_Per_Customer]],Table2[M-Cutoff],1)</f>
        <v>2</v>
      </c>
      <c r="Z2652" s="2" t="str">
        <f>Auto_Sales_data___Copy[[#This Row],[R-Score(1-5)]]&amp;Auto_Sales_data___Copy[[#This Row],[F-Score(1-5)]]&amp;Auto_Sales_data___Copy[[#This Row],[M-Score(1-5)]]</f>
        <v>122</v>
      </c>
      <c r="AA2652" s="2" t="str" cm="1">
        <f t="array" ref="AA26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2" s="2" t="str">
        <f>VLOOKUP(Auto_Sales_data___Copy[[#This Row],[Segment Name]],Table3[],2,FALSE)</f>
        <v>High-Touch  Win-Back</v>
      </c>
    </row>
    <row r="2653" spans="1:28" x14ac:dyDescent="0.25">
      <c r="A2653">
        <v>10207</v>
      </c>
      <c r="B2653">
        <v>27</v>
      </c>
      <c r="C2653">
        <v>60.06</v>
      </c>
      <c r="D2653">
        <v>9</v>
      </c>
      <c r="E2653">
        <v>1621.62</v>
      </c>
      <c r="F2653" s="1">
        <v>43443</v>
      </c>
      <c r="G2653" s="2" t="s">
        <v>19</v>
      </c>
      <c r="H2653" s="2" t="s">
        <v>537</v>
      </c>
      <c r="I2653">
        <v>54</v>
      </c>
      <c r="J2653" s="2" t="s">
        <v>697</v>
      </c>
      <c r="K2653" s="2" t="s">
        <v>439</v>
      </c>
      <c r="L2653" s="2" t="s">
        <v>440</v>
      </c>
      <c r="M2653" s="2" t="s">
        <v>441</v>
      </c>
      <c r="N2653" s="2" t="s">
        <v>401</v>
      </c>
      <c r="O2653" s="2" t="s">
        <v>402</v>
      </c>
      <c r="P2653" s="2" t="s">
        <v>27</v>
      </c>
      <c r="Q2653" s="2" t="s">
        <v>442</v>
      </c>
      <c r="R2653" s="2" t="s">
        <v>289</v>
      </c>
      <c r="S2653" s="2" t="s">
        <v>30</v>
      </c>
      <c r="T2653">
        <v>2701</v>
      </c>
      <c r="U2653">
        <f>VLOOKUP(Auto_Sales_data___Copy[[#This Row],[CUSTOMER_NAME]],$AF$2:$AH$90,2,FALSE)</f>
        <v>18</v>
      </c>
      <c r="V2653">
        <f>VLOOKUP(Auto_Sales_data___Copy[[#This Row],[CUSTOMER_NAME]],$AF$2:$AH$90,3,FALSE)</f>
        <v>70859.780000000013</v>
      </c>
      <c r="W2653" s="2">
        <f>6-MATCH(Auto_Sales_data___Copy[[#This Row],[DAYS_SINCE_LAST_ORDER]],Table2[R-Cutoff],1)</f>
        <v>1</v>
      </c>
      <c r="X2653" s="2">
        <f>MATCH(Auto_Sales_data___Copy[[#This Row],[Total_Orders_Per_Customer]],Table2[F-Cutoff],1)</f>
        <v>2</v>
      </c>
      <c r="Y2653" s="2">
        <f>MATCH(Auto_Sales_data___Copy[[#This Row],[Total_Sales_Per_Customer]],Table2[M-Cutoff],1)</f>
        <v>2</v>
      </c>
      <c r="Z2653" s="2" t="str">
        <f>Auto_Sales_data___Copy[[#This Row],[R-Score(1-5)]]&amp;Auto_Sales_data___Copy[[#This Row],[F-Score(1-5)]]&amp;Auto_Sales_data___Copy[[#This Row],[M-Score(1-5)]]</f>
        <v>122</v>
      </c>
      <c r="AA2653" s="2" t="str" cm="1">
        <f t="array" ref="AA26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3" s="2" t="str">
        <f>VLOOKUP(Auto_Sales_data___Copy[[#This Row],[Segment Name]],Table3[],2,FALSE)</f>
        <v>High-Touch  Win-Back</v>
      </c>
    </row>
    <row r="2654" spans="1:28" x14ac:dyDescent="0.25">
      <c r="A2654">
        <v>10207</v>
      </c>
      <c r="B2654">
        <v>45</v>
      </c>
      <c r="C2654">
        <v>56.55</v>
      </c>
      <c r="D2654">
        <v>2</v>
      </c>
      <c r="E2654">
        <v>2544.75</v>
      </c>
      <c r="F2654" s="1">
        <v>43443</v>
      </c>
      <c r="G2654" s="2" t="s">
        <v>19</v>
      </c>
      <c r="H2654" s="2" t="s">
        <v>650</v>
      </c>
      <c r="I2654">
        <v>62</v>
      </c>
      <c r="J2654" s="2" t="s">
        <v>698</v>
      </c>
      <c r="K2654" s="2" t="s">
        <v>439</v>
      </c>
      <c r="L2654" s="2" t="s">
        <v>440</v>
      </c>
      <c r="M2654" s="2" t="s">
        <v>441</v>
      </c>
      <c r="N2654" s="2" t="s">
        <v>401</v>
      </c>
      <c r="O2654" s="2" t="s">
        <v>402</v>
      </c>
      <c r="P2654" s="2" t="s">
        <v>27</v>
      </c>
      <c r="Q2654" s="2" t="s">
        <v>442</v>
      </c>
      <c r="R2654" s="2" t="s">
        <v>289</v>
      </c>
      <c r="S2654" s="2" t="s">
        <v>30</v>
      </c>
      <c r="T2654">
        <v>2729</v>
      </c>
      <c r="U2654">
        <f>VLOOKUP(Auto_Sales_data___Copy[[#This Row],[CUSTOMER_NAME]],$AF$2:$AH$90,2,FALSE)</f>
        <v>18</v>
      </c>
      <c r="V2654">
        <f>VLOOKUP(Auto_Sales_data___Copy[[#This Row],[CUSTOMER_NAME]],$AF$2:$AH$90,3,FALSE)</f>
        <v>70859.780000000013</v>
      </c>
      <c r="W2654" s="2">
        <f>6-MATCH(Auto_Sales_data___Copy[[#This Row],[DAYS_SINCE_LAST_ORDER]],Table2[R-Cutoff],1)</f>
        <v>1</v>
      </c>
      <c r="X2654" s="2">
        <f>MATCH(Auto_Sales_data___Copy[[#This Row],[Total_Orders_Per_Customer]],Table2[F-Cutoff],1)</f>
        <v>2</v>
      </c>
      <c r="Y2654" s="2">
        <f>MATCH(Auto_Sales_data___Copy[[#This Row],[Total_Sales_Per_Customer]],Table2[M-Cutoff],1)</f>
        <v>2</v>
      </c>
      <c r="Z2654" s="2" t="str">
        <f>Auto_Sales_data___Copy[[#This Row],[R-Score(1-5)]]&amp;Auto_Sales_data___Copy[[#This Row],[F-Score(1-5)]]&amp;Auto_Sales_data___Copy[[#This Row],[M-Score(1-5)]]</f>
        <v>122</v>
      </c>
      <c r="AA2654" s="2" t="str" cm="1">
        <f t="array" ref="AA26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4" s="2" t="str">
        <f>VLOOKUP(Auto_Sales_data___Copy[[#This Row],[Segment Name]],Table3[],2,FALSE)</f>
        <v>High-Touch  Win-Back</v>
      </c>
    </row>
    <row r="2655" spans="1:28" x14ac:dyDescent="0.25">
      <c r="A2655">
        <v>10207</v>
      </c>
      <c r="B2655">
        <v>28</v>
      </c>
      <c r="C2655">
        <v>94.92</v>
      </c>
      <c r="D2655">
        <v>5</v>
      </c>
      <c r="E2655">
        <v>2657.76</v>
      </c>
      <c r="F2655" s="1">
        <v>43443</v>
      </c>
      <c r="G2655" s="2" t="s">
        <v>19</v>
      </c>
      <c r="H2655" s="2" t="s">
        <v>537</v>
      </c>
      <c r="I2655">
        <v>115</v>
      </c>
      <c r="J2655" s="2" t="s">
        <v>703</v>
      </c>
      <c r="K2655" s="2" t="s">
        <v>439</v>
      </c>
      <c r="L2655" s="2" t="s">
        <v>440</v>
      </c>
      <c r="M2655" s="2" t="s">
        <v>441</v>
      </c>
      <c r="N2655" s="2" t="s">
        <v>401</v>
      </c>
      <c r="O2655" s="2" t="s">
        <v>402</v>
      </c>
      <c r="P2655" s="2" t="s">
        <v>27</v>
      </c>
      <c r="Q2655" s="2" t="s">
        <v>442</v>
      </c>
      <c r="R2655" s="2" t="s">
        <v>289</v>
      </c>
      <c r="S2655" s="2" t="s">
        <v>30</v>
      </c>
      <c r="T2655">
        <v>2855</v>
      </c>
      <c r="U2655">
        <f>VLOOKUP(Auto_Sales_data___Copy[[#This Row],[CUSTOMER_NAME]],$AF$2:$AH$90,2,FALSE)</f>
        <v>18</v>
      </c>
      <c r="V2655">
        <f>VLOOKUP(Auto_Sales_data___Copy[[#This Row],[CUSTOMER_NAME]],$AF$2:$AH$90,3,FALSE)</f>
        <v>70859.780000000013</v>
      </c>
      <c r="W2655" s="2">
        <f>6-MATCH(Auto_Sales_data___Copy[[#This Row],[DAYS_SINCE_LAST_ORDER]],Table2[R-Cutoff],1)</f>
        <v>1</v>
      </c>
      <c r="X2655" s="2">
        <f>MATCH(Auto_Sales_data___Copy[[#This Row],[Total_Orders_Per_Customer]],Table2[F-Cutoff],1)</f>
        <v>2</v>
      </c>
      <c r="Y2655" s="2">
        <f>MATCH(Auto_Sales_data___Copy[[#This Row],[Total_Sales_Per_Customer]],Table2[M-Cutoff],1)</f>
        <v>2</v>
      </c>
      <c r="Z2655" s="2" t="str">
        <f>Auto_Sales_data___Copy[[#This Row],[R-Score(1-5)]]&amp;Auto_Sales_data___Copy[[#This Row],[F-Score(1-5)]]&amp;Auto_Sales_data___Copy[[#This Row],[M-Score(1-5)]]</f>
        <v>122</v>
      </c>
      <c r="AA2655" s="2" t="str" cm="1">
        <f t="array" ref="AA26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5" s="2" t="str">
        <f>VLOOKUP(Auto_Sales_data___Copy[[#This Row],[Segment Name]],Table3[],2,FALSE)</f>
        <v>High-Touch  Win-Back</v>
      </c>
    </row>
    <row r="2656" spans="1:28" x14ac:dyDescent="0.25">
      <c r="A2656">
        <v>10210</v>
      </c>
      <c r="B2656">
        <v>46</v>
      </c>
      <c r="C2656">
        <v>79.91</v>
      </c>
      <c r="D2656">
        <v>5</v>
      </c>
      <c r="E2656">
        <v>3675.86</v>
      </c>
      <c r="F2656" s="1">
        <v>43477</v>
      </c>
      <c r="G2656" s="2" t="s">
        <v>19</v>
      </c>
      <c r="H2656" s="2" t="s">
        <v>20</v>
      </c>
      <c r="I2656">
        <v>99</v>
      </c>
      <c r="J2656" s="2" t="s">
        <v>695</v>
      </c>
      <c r="K2656" s="2" t="s">
        <v>316</v>
      </c>
      <c r="L2656" s="2" t="s">
        <v>317</v>
      </c>
      <c r="M2656" s="2" t="s">
        <v>318</v>
      </c>
      <c r="N2656" s="2" t="s">
        <v>319</v>
      </c>
      <c r="O2656" s="2" t="s">
        <v>320</v>
      </c>
      <c r="P2656" s="2" t="s">
        <v>261</v>
      </c>
      <c r="Q2656" s="2" t="s">
        <v>321</v>
      </c>
      <c r="R2656" s="2" t="s">
        <v>322</v>
      </c>
      <c r="S2656" s="2" t="s">
        <v>46</v>
      </c>
      <c r="T2656">
        <v>2616</v>
      </c>
      <c r="U2656">
        <f>VLOOKUP(Auto_Sales_data___Copy[[#This Row],[CUSTOMER_NAME]],$AF$2:$AH$90,2,FALSE)</f>
        <v>20</v>
      </c>
      <c r="V2656">
        <f>VLOOKUP(Auto_Sales_data___Copy[[#This Row],[CUSTOMER_NAME]],$AF$2:$AH$90,3,FALSE)</f>
        <v>67605.069999999992</v>
      </c>
      <c r="W2656" s="2">
        <f>6-MATCH(Auto_Sales_data___Copy[[#This Row],[DAYS_SINCE_LAST_ORDER]],Table2[R-Cutoff],1)</f>
        <v>1</v>
      </c>
      <c r="X2656" s="2">
        <f>MATCH(Auto_Sales_data___Copy[[#This Row],[Total_Orders_Per_Customer]],Table2[F-Cutoff],1)</f>
        <v>2</v>
      </c>
      <c r="Y2656" s="2">
        <f>MATCH(Auto_Sales_data___Copy[[#This Row],[Total_Sales_Per_Customer]],Table2[M-Cutoff],1)</f>
        <v>2</v>
      </c>
      <c r="Z2656" s="2" t="str">
        <f>Auto_Sales_data___Copy[[#This Row],[R-Score(1-5)]]&amp;Auto_Sales_data___Copy[[#This Row],[F-Score(1-5)]]&amp;Auto_Sales_data___Copy[[#This Row],[M-Score(1-5)]]</f>
        <v>122</v>
      </c>
      <c r="AA2656" s="2" t="str" cm="1">
        <f t="array" ref="AA26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6" s="2" t="str">
        <f>VLOOKUP(Auto_Sales_data___Copy[[#This Row],[Segment Name]],Table3[],2,FALSE)</f>
        <v>High-Touch  Win-Back</v>
      </c>
    </row>
    <row r="2657" spans="1:28" x14ac:dyDescent="0.25">
      <c r="A2657">
        <v>10210</v>
      </c>
      <c r="B2657">
        <v>39</v>
      </c>
      <c r="C2657">
        <v>59.16</v>
      </c>
      <c r="D2657">
        <v>10</v>
      </c>
      <c r="E2657">
        <v>2307.2399999999998</v>
      </c>
      <c r="F2657" s="1">
        <v>43477</v>
      </c>
      <c r="G2657" s="2" t="s">
        <v>19</v>
      </c>
      <c r="H2657" s="2" t="s">
        <v>589</v>
      </c>
      <c r="I2657">
        <v>68</v>
      </c>
      <c r="J2657" s="2" t="s">
        <v>700</v>
      </c>
      <c r="K2657" s="2" t="s">
        <v>316</v>
      </c>
      <c r="L2657" s="2" t="s">
        <v>317</v>
      </c>
      <c r="M2657" s="2" t="s">
        <v>318</v>
      </c>
      <c r="N2657" s="2" t="s">
        <v>319</v>
      </c>
      <c r="O2657" s="2" t="s">
        <v>320</v>
      </c>
      <c r="P2657" s="2" t="s">
        <v>261</v>
      </c>
      <c r="Q2657" s="2" t="s">
        <v>321</v>
      </c>
      <c r="R2657" s="2" t="s">
        <v>322</v>
      </c>
      <c r="S2657" s="2" t="s">
        <v>30</v>
      </c>
      <c r="T2657">
        <v>2743</v>
      </c>
      <c r="U2657">
        <f>VLOOKUP(Auto_Sales_data___Copy[[#This Row],[CUSTOMER_NAME]],$AF$2:$AH$90,2,FALSE)</f>
        <v>20</v>
      </c>
      <c r="V2657">
        <f>VLOOKUP(Auto_Sales_data___Copy[[#This Row],[CUSTOMER_NAME]],$AF$2:$AH$90,3,FALSE)</f>
        <v>67605.069999999992</v>
      </c>
      <c r="W2657" s="2">
        <f>6-MATCH(Auto_Sales_data___Copy[[#This Row],[DAYS_SINCE_LAST_ORDER]],Table2[R-Cutoff],1)</f>
        <v>1</v>
      </c>
      <c r="X2657" s="2">
        <f>MATCH(Auto_Sales_data___Copy[[#This Row],[Total_Orders_Per_Customer]],Table2[F-Cutoff],1)</f>
        <v>2</v>
      </c>
      <c r="Y2657" s="2">
        <f>MATCH(Auto_Sales_data___Copy[[#This Row],[Total_Sales_Per_Customer]],Table2[M-Cutoff],1)</f>
        <v>2</v>
      </c>
      <c r="Z2657" s="2" t="str">
        <f>Auto_Sales_data___Copy[[#This Row],[R-Score(1-5)]]&amp;Auto_Sales_data___Copy[[#This Row],[F-Score(1-5)]]&amp;Auto_Sales_data___Copy[[#This Row],[M-Score(1-5)]]</f>
        <v>122</v>
      </c>
      <c r="AA2657" s="2" t="str" cm="1">
        <f t="array" ref="AA26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7" s="2" t="str">
        <f>VLOOKUP(Auto_Sales_data___Copy[[#This Row],[Segment Name]],Table3[],2,FALSE)</f>
        <v>High-Touch  Win-Back</v>
      </c>
    </row>
    <row r="2658" spans="1:28" x14ac:dyDescent="0.25">
      <c r="A2658">
        <v>10210</v>
      </c>
      <c r="B2658">
        <v>43</v>
      </c>
      <c r="C2658">
        <v>41.02</v>
      </c>
      <c r="D2658">
        <v>11</v>
      </c>
      <c r="E2658">
        <v>1763.86</v>
      </c>
      <c r="F2658" s="1">
        <v>43477</v>
      </c>
      <c r="G2658" s="2" t="s">
        <v>19</v>
      </c>
      <c r="H2658" s="2" t="s">
        <v>589</v>
      </c>
      <c r="I2658">
        <v>43</v>
      </c>
      <c r="J2658" s="2" t="s">
        <v>702</v>
      </c>
      <c r="K2658" s="2" t="s">
        <v>316</v>
      </c>
      <c r="L2658" s="2" t="s">
        <v>317</v>
      </c>
      <c r="M2658" s="2" t="s">
        <v>318</v>
      </c>
      <c r="N2658" s="2" t="s">
        <v>319</v>
      </c>
      <c r="O2658" s="2" t="s">
        <v>320</v>
      </c>
      <c r="P2658" s="2" t="s">
        <v>261</v>
      </c>
      <c r="Q2658" s="2" t="s">
        <v>321</v>
      </c>
      <c r="R2658" s="2" t="s">
        <v>322</v>
      </c>
      <c r="S2658" s="2" t="s">
        <v>30</v>
      </c>
      <c r="T2658">
        <v>2793</v>
      </c>
      <c r="U2658">
        <f>VLOOKUP(Auto_Sales_data___Copy[[#This Row],[CUSTOMER_NAME]],$AF$2:$AH$90,2,FALSE)</f>
        <v>20</v>
      </c>
      <c r="V2658">
        <f>VLOOKUP(Auto_Sales_data___Copy[[#This Row],[CUSTOMER_NAME]],$AF$2:$AH$90,3,FALSE)</f>
        <v>67605.069999999992</v>
      </c>
      <c r="W2658" s="2">
        <f>6-MATCH(Auto_Sales_data___Copy[[#This Row],[DAYS_SINCE_LAST_ORDER]],Table2[R-Cutoff],1)</f>
        <v>1</v>
      </c>
      <c r="X2658" s="2">
        <f>MATCH(Auto_Sales_data___Copy[[#This Row],[Total_Orders_Per_Customer]],Table2[F-Cutoff],1)</f>
        <v>2</v>
      </c>
      <c r="Y2658" s="2">
        <f>MATCH(Auto_Sales_data___Copy[[#This Row],[Total_Sales_Per_Customer]],Table2[M-Cutoff],1)</f>
        <v>2</v>
      </c>
      <c r="Z2658" s="2" t="str">
        <f>Auto_Sales_data___Copy[[#This Row],[R-Score(1-5)]]&amp;Auto_Sales_data___Copy[[#This Row],[F-Score(1-5)]]&amp;Auto_Sales_data___Copy[[#This Row],[M-Score(1-5)]]</f>
        <v>122</v>
      </c>
      <c r="AA2658" s="2" t="str" cm="1">
        <f t="array" ref="AA26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8" s="2" t="str">
        <f>VLOOKUP(Auto_Sales_data___Copy[[#This Row],[Segment Name]],Table3[],2,FALSE)</f>
        <v>High-Touch  Win-Back</v>
      </c>
    </row>
    <row r="2659" spans="1:28" x14ac:dyDescent="0.25">
      <c r="A2659">
        <v>10210</v>
      </c>
      <c r="B2659">
        <v>21</v>
      </c>
      <c r="C2659">
        <v>78.55</v>
      </c>
      <c r="D2659">
        <v>12</v>
      </c>
      <c r="E2659">
        <v>1649.55</v>
      </c>
      <c r="F2659" s="1">
        <v>43477</v>
      </c>
      <c r="G2659" s="2" t="s">
        <v>19</v>
      </c>
      <c r="H2659" s="2" t="s">
        <v>607</v>
      </c>
      <c r="I2659">
        <v>91</v>
      </c>
      <c r="J2659" s="2" t="s">
        <v>707</v>
      </c>
      <c r="K2659" s="2" t="s">
        <v>316</v>
      </c>
      <c r="L2659" s="2" t="s">
        <v>317</v>
      </c>
      <c r="M2659" s="2" t="s">
        <v>318</v>
      </c>
      <c r="N2659" s="2" t="s">
        <v>319</v>
      </c>
      <c r="O2659" s="2" t="s">
        <v>320</v>
      </c>
      <c r="P2659" s="2" t="s">
        <v>261</v>
      </c>
      <c r="Q2659" s="2" t="s">
        <v>321</v>
      </c>
      <c r="R2659" s="2" t="s">
        <v>322</v>
      </c>
      <c r="S2659" s="2" t="s">
        <v>30</v>
      </c>
      <c r="T2659">
        <v>2923</v>
      </c>
      <c r="U2659">
        <f>VLOOKUP(Auto_Sales_data___Copy[[#This Row],[CUSTOMER_NAME]],$AF$2:$AH$90,2,FALSE)</f>
        <v>20</v>
      </c>
      <c r="V2659">
        <f>VLOOKUP(Auto_Sales_data___Copy[[#This Row],[CUSTOMER_NAME]],$AF$2:$AH$90,3,FALSE)</f>
        <v>67605.069999999992</v>
      </c>
      <c r="W2659" s="2">
        <f>6-MATCH(Auto_Sales_data___Copy[[#This Row],[DAYS_SINCE_LAST_ORDER]],Table2[R-Cutoff],1)</f>
        <v>1</v>
      </c>
      <c r="X2659" s="2">
        <f>MATCH(Auto_Sales_data___Copy[[#This Row],[Total_Orders_Per_Customer]],Table2[F-Cutoff],1)</f>
        <v>2</v>
      </c>
      <c r="Y2659" s="2">
        <f>MATCH(Auto_Sales_data___Copy[[#This Row],[Total_Sales_Per_Customer]],Table2[M-Cutoff],1)</f>
        <v>2</v>
      </c>
      <c r="Z2659" s="2" t="str">
        <f>Auto_Sales_data___Copy[[#This Row],[R-Score(1-5)]]&amp;Auto_Sales_data___Copy[[#This Row],[F-Score(1-5)]]&amp;Auto_Sales_data___Copy[[#This Row],[M-Score(1-5)]]</f>
        <v>122</v>
      </c>
      <c r="AA2659" s="2" t="str" cm="1">
        <f t="array" ref="AA26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9" s="2" t="str">
        <f>VLOOKUP(Auto_Sales_data___Copy[[#This Row],[Segment Name]],Table3[],2,FALSE)</f>
        <v>High-Touch  Win-Back</v>
      </c>
    </row>
    <row r="2660" spans="1:28" x14ac:dyDescent="0.25">
      <c r="A2660">
        <v>10210</v>
      </c>
      <c r="B2660">
        <v>26</v>
      </c>
      <c r="C2660">
        <v>99.72</v>
      </c>
      <c r="D2660">
        <v>14</v>
      </c>
      <c r="E2660">
        <v>2592.7199999999998</v>
      </c>
      <c r="F2660" s="1">
        <v>43477</v>
      </c>
      <c r="G2660" s="2" t="s">
        <v>19</v>
      </c>
      <c r="H2660" s="2" t="s">
        <v>607</v>
      </c>
      <c r="I2660">
        <v>99</v>
      </c>
      <c r="J2660" s="2" t="s">
        <v>710</v>
      </c>
      <c r="K2660" s="2" t="s">
        <v>316</v>
      </c>
      <c r="L2660" s="2" t="s">
        <v>317</v>
      </c>
      <c r="M2660" s="2" t="s">
        <v>318</v>
      </c>
      <c r="N2660" s="2" t="s">
        <v>319</v>
      </c>
      <c r="O2660" s="2" t="s">
        <v>320</v>
      </c>
      <c r="P2660" s="2" t="s">
        <v>261</v>
      </c>
      <c r="Q2660" s="2" t="s">
        <v>321</v>
      </c>
      <c r="R2660" s="2" t="s">
        <v>322</v>
      </c>
      <c r="S2660" s="2" t="s">
        <v>30</v>
      </c>
      <c r="T2660">
        <v>3000</v>
      </c>
      <c r="U2660">
        <f>VLOOKUP(Auto_Sales_data___Copy[[#This Row],[CUSTOMER_NAME]],$AF$2:$AH$90,2,FALSE)</f>
        <v>20</v>
      </c>
      <c r="V2660">
        <f>VLOOKUP(Auto_Sales_data___Copy[[#This Row],[CUSTOMER_NAME]],$AF$2:$AH$90,3,FALSE)</f>
        <v>67605.069999999992</v>
      </c>
      <c r="W2660" s="2">
        <f>6-MATCH(Auto_Sales_data___Copy[[#This Row],[DAYS_SINCE_LAST_ORDER]],Table2[R-Cutoff],1)</f>
        <v>1</v>
      </c>
      <c r="X2660" s="2">
        <f>MATCH(Auto_Sales_data___Copy[[#This Row],[Total_Orders_Per_Customer]],Table2[F-Cutoff],1)</f>
        <v>2</v>
      </c>
      <c r="Y2660" s="2">
        <f>MATCH(Auto_Sales_data___Copy[[#This Row],[Total_Sales_Per_Customer]],Table2[M-Cutoff],1)</f>
        <v>2</v>
      </c>
      <c r="Z2660" s="2" t="str">
        <f>Auto_Sales_data___Copy[[#This Row],[R-Score(1-5)]]&amp;Auto_Sales_data___Copy[[#This Row],[F-Score(1-5)]]&amp;Auto_Sales_data___Copy[[#This Row],[M-Score(1-5)]]</f>
        <v>122</v>
      </c>
      <c r="AA2660" s="2" t="str" cm="1">
        <f t="array" ref="AA26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0" s="2" t="str">
        <f>VLOOKUP(Auto_Sales_data___Copy[[#This Row],[Segment Name]],Table3[],2,FALSE)</f>
        <v>High-Touch  Win-Back</v>
      </c>
    </row>
    <row r="2661" spans="1:28" x14ac:dyDescent="0.25">
      <c r="A2661">
        <v>10210</v>
      </c>
      <c r="B2661">
        <v>25</v>
      </c>
      <c r="C2661">
        <v>112.72</v>
      </c>
      <c r="D2661">
        <v>6</v>
      </c>
      <c r="E2661">
        <v>2818</v>
      </c>
      <c r="F2661" s="1">
        <v>43477</v>
      </c>
      <c r="G2661" s="2" t="s">
        <v>19</v>
      </c>
      <c r="H2661" s="2" t="s">
        <v>607</v>
      </c>
      <c r="I2661">
        <v>118</v>
      </c>
      <c r="J2661" s="2" t="s">
        <v>713</v>
      </c>
      <c r="K2661" s="2" t="s">
        <v>316</v>
      </c>
      <c r="L2661" s="2" t="s">
        <v>317</v>
      </c>
      <c r="M2661" s="2" t="s">
        <v>318</v>
      </c>
      <c r="N2661" s="2" t="s">
        <v>319</v>
      </c>
      <c r="O2661" s="2" t="s">
        <v>320</v>
      </c>
      <c r="P2661" s="2" t="s">
        <v>261</v>
      </c>
      <c r="Q2661" s="2" t="s">
        <v>321</v>
      </c>
      <c r="R2661" s="2" t="s">
        <v>322</v>
      </c>
      <c r="S2661" s="2" t="s">
        <v>30</v>
      </c>
      <c r="T2661">
        <v>3078</v>
      </c>
      <c r="U2661">
        <f>VLOOKUP(Auto_Sales_data___Copy[[#This Row],[CUSTOMER_NAME]],$AF$2:$AH$90,2,FALSE)</f>
        <v>20</v>
      </c>
      <c r="V2661">
        <f>VLOOKUP(Auto_Sales_data___Copy[[#This Row],[CUSTOMER_NAME]],$AF$2:$AH$90,3,FALSE)</f>
        <v>67605.069999999992</v>
      </c>
      <c r="W2661" s="2">
        <f>6-MATCH(Auto_Sales_data___Copy[[#This Row],[DAYS_SINCE_LAST_ORDER]],Table2[R-Cutoff],1)</f>
        <v>1</v>
      </c>
      <c r="X2661" s="2">
        <f>MATCH(Auto_Sales_data___Copy[[#This Row],[Total_Orders_Per_Customer]],Table2[F-Cutoff],1)</f>
        <v>2</v>
      </c>
      <c r="Y2661" s="2">
        <f>MATCH(Auto_Sales_data___Copy[[#This Row],[Total_Sales_Per_Customer]],Table2[M-Cutoff],1)</f>
        <v>2</v>
      </c>
      <c r="Z2661" s="2" t="str">
        <f>Auto_Sales_data___Copy[[#This Row],[R-Score(1-5)]]&amp;Auto_Sales_data___Copy[[#This Row],[F-Score(1-5)]]&amp;Auto_Sales_data___Copy[[#This Row],[M-Score(1-5)]]</f>
        <v>122</v>
      </c>
      <c r="AA2661" s="2" t="str" cm="1">
        <f t="array" ref="AA26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1" s="2" t="str">
        <f>VLOOKUP(Auto_Sales_data___Copy[[#This Row],[Segment Name]],Table3[],2,FALSE)</f>
        <v>High-Touch  Win-Back</v>
      </c>
    </row>
    <row r="2662" spans="1:28" x14ac:dyDescent="0.25">
      <c r="A2662">
        <v>10210</v>
      </c>
      <c r="B2662">
        <v>31</v>
      </c>
      <c r="C2662">
        <v>86.4</v>
      </c>
      <c r="D2662">
        <v>13</v>
      </c>
      <c r="E2662">
        <v>2678.4</v>
      </c>
      <c r="F2662" s="1">
        <v>43477</v>
      </c>
      <c r="G2662" s="2" t="s">
        <v>19</v>
      </c>
      <c r="H2662" s="2" t="s">
        <v>607</v>
      </c>
      <c r="I2662">
        <v>80</v>
      </c>
      <c r="J2662" s="2" t="s">
        <v>714</v>
      </c>
      <c r="K2662" s="2" t="s">
        <v>316</v>
      </c>
      <c r="L2662" s="2" t="s">
        <v>317</v>
      </c>
      <c r="M2662" s="2" t="s">
        <v>318</v>
      </c>
      <c r="N2662" s="2" t="s">
        <v>319</v>
      </c>
      <c r="O2662" s="2" t="s">
        <v>320</v>
      </c>
      <c r="P2662" s="2" t="s">
        <v>261</v>
      </c>
      <c r="Q2662" s="2" t="s">
        <v>321</v>
      </c>
      <c r="R2662" s="2" t="s">
        <v>322</v>
      </c>
      <c r="S2662" s="2" t="s">
        <v>30</v>
      </c>
      <c r="T2662">
        <v>3103</v>
      </c>
      <c r="U2662">
        <f>VLOOKUP(Auto_Sales_data___Copy[[#This Row],[CUSTOMER_NAME]],$AF$2:$AH$90,2,FALSE)</f>
        <v>20</v>
      </c>
      <c r="V2662">
        <f>VLOOKUP(Auto_Sales_data___Copy[[#This Row],[CUSTOMER_NAME]],$AF$2:$AH$90,3,FALSE)</f>
        <v>67605.069999999992</v>
      </c>
      <c r="W2662" s="2">
        <f>6-MATCH(Auto_Sales_data___Copy[[#This Row],[DAYS_SINCE_LAST_ORDER]],Table2[R-Cutoff],1)</f>
        <v>1</v>
      </c>
      <c r="X2662" s="2">
        <f>MATCH(Auto_Sales_data___Copy[[#This Row],[Total_Orders_Per_Customer]],Table2[F-Cutoff],1)</f>
        <v>2</v>
      </c>
      <c r="Y2662" s="2">
        <f>MATCH(Auto_Sales_data___Copy[[#This Row],[Total_Sales_Per_Customer]],Table2[M-Cutoff],1)</f>
        <v>2</v>
      </c>
      <c r="Z2662" s="2" t="str">
        <f>Auto_Sales_data___Copy[[#This Row],[R-Score(1-5)]]&amp;Auto_Sales_data___Copy[[#This Row],[F-Score(1-5)]]&amp;Auto_Sales_data___Copy[[#This Row],[M-Score(1-5)]]</f>
        <v>122</v>
      </c>
      <c r="AA2662" s="2" t="str" cm="1">
        <f t="array" ref="AA26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2" s="2" t="str">
        <f>VLOOKUP(Auto_Sales_data___Copy[[#This Row],[Segment Name]],Table3[],2,FALSE)</f>
        <v>High-Touch  Win-Back</v>
      </c>
    </row>
    <row r="2663" spans="1:28" x14ac:dyDescent="0.25">
      <c r="A2663">
        <v>10210</v>
      </c>
      <c r="B2663">
        <v>42</v>
      </c>
      <c r="C2663">
        <v>70.33</v>
      </c>
      <c r="D2663">
        <v>15</v>
      </c>
      <c r="E2663">
        <v>2953.86</v>
      </c>
      <c r="F2663" s="1">
        <v>43477</v>
      </c>
      <c r="G2663" s="2" t="s">
        <v>19</v>
      </c>
      <c r="H2663" s="2" t="s">
        <v>607</v>
      </c>
      <c r="I2663">
        <v>74</v>
      </c>
      <c r="J2663" s="2" t="s">
        <v>717</v>
      </c>
      <c r="K2663" s="2" t="s">
        <v>316</v>
      </c>
      <c r="L2663" s="2" t="s">
        <v>317</v>
      </c>
      <c r="M2663" s="2" t="s">
        <v>318</v>
      </c>
      <c r="N2663" s="2" t="s">
        <v>319</v>
      </c>
      <c r="O2663" s="2" t="s">
        <v>320</v>
      </c>
      <c r="P2663" s="2" t="s">
        <v>261</v>
      </c>
      <c r="Q2663" s="2" t="s">
        <v>321</v>
      </c>
      <c r="R2663" s="2" t="s">
        <v>322</v>
      </c>
      <c r="S2663" s="2" t="s">
        <v>30</v>
      </c>
      <c r="T2663">
        <v>3182</v>
      </c>
      <c r="U2663">
        <f>VLOOKUP(Auto_Sales_data___Copy[[#This Row],[CUSTOMER_NAME]],$AF$2:$AH$90,2,FALSE)</f>
        <v>20</v>
      </c>
      <c r="V2663">
        <f>VLOOKUP(Auto_Sales_data___Copy[[#This Row],[CUSTOMER_NAME]],$AF$2:$AH$90,3,FALSE)</f>
        <v>67605.069999999992</v>
      </c>
      <c r="W2663" s="2">
        <f>6-MATCH(Auto_Sales_data___Copy[[#This Row],[DAYS_SINCE_LAST_ORDER]],Table2[R-Cutoff],1)</f>
        <v>1</v>
      </c>
      <c r="X2663" s="2">
        <f>MATCH(Auto_Sales_data___Copy[[#This Row],[Total_Orders_Per_Customer]],Table2[F-Cutoff],1)</f>
        <v>2</v>
      </c>
      <c r="Y2663" s="2">
        <f>MATCH(Auto_Sales_data___Copy[[#This Row],[Total_Sales_Per_Customer]],Table2[M-Cutoff],1)</f>
        <v>2</v>
      </c>
      <c r="Z2663" s="2" t="str">
        <f>Auto_Sales_data___Copy[[#This Row],[R-Score(1-5)]]&amp;Auto_Sales_data___Copy[[#This Row],[F-Score(1-5)]]&amp;Auto_Sales_data___Copy[[#This Row],[M-Score(1-5)]]</f>
        <v>122</v>
      </c>
      <c r="AA2663" s="2" t="str" cm="1">
        <f t="array" ref="AA26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3" s="2" t="str">
        <f>VLOOKUP(Auto_Sales_data___Copy[[#This Row],[Segment Name]],Table3[],2,FALSE)</f>
        <v>High-Touch  Win-Back</v>
      </c>
    </row>
    <row r="2664" spans="1:28" x14ac:dyDescent="0.25">
      <c r="A2664">
        <v>10224</v>
      </c>
      <c r="B2664">
        <v>43</v>
      </c>
      <c r="C2664">
        <v>39.43</v>
      </c>
      <c r="D2664">
        <v>2</v>
      </c>
      <c r="E2664">
        <v>1695.49</v>
      </c>
      <c r="F2664" s="1">
        <v>43517</v>
      </c>
      <c r="G2664" s="2" t="s">
        <v>19</v>
      </c>
      <c r="H2664" s="2" t="s">
        <v>20</v>
      </c>
      <c r="I2664">
        <v>40</v>
      </c>
      <c r="J2664" s="2" t="s">
        <v>696</v>
      </c>
      <c r="K2664" s="2" t="s">
        <v>61</v>
      </c>
      <c r="L2664" s="2" t="s">
        <v>62</v>
      </c>
      <c r="M2664" s="2" t="s">
        <v>63</v>
      </c>
      <c r="N2664" s="2" t="s">
        <v>64</v>
      </c>
      <c r="O2664" s="2" t="s">
        <v>65</v>
      </c>
      <c r="P2664" s="2" t="s">
        <v>36</v>
      </c>
      <c r="Q2664" s="2" t="s">
        <v>66</v>
      </c>
      <c r="R2664" s="2" t="s">
        <v>67</v>
      </c>
      <c r="S2664" s="2" t="s">
        <v>30</v>
      </c>
      <c r="T2664">
        <v>2602</v>
      </c>
      <c r="U2664">
        <f>VLOOKUP(Auto_Sales_data___Copy[[#This Row],[CUSTOMER_NAME]],$AF$2:$AH$90,2,FALSE)</f>
        <v>20</v>
      </c>
      <c r="V2664">
        <f>VLOOKUP(Auto_Sales_data___Copy[[#This Row],[CUSTOMER_NAME]],$AF$2:$AH$90,3,FALSE)</f>
        <v>69052.41</v>
      </c>
      <c r="W2664" s="2">
        <f>6-MATCH(Auto_Sales_data___Copy[[#This Row],[DAYS_SINCE_LAST_ORDER]],Table2[R-Cutoff],1)</f>
        <v>1</v>
      </c>
      <c r="X2664" s="2">
        <f>MATCH(Auto_Sales_data___Copy[[#This Row],[Total_Orders_Per_Customer]],Table2[F-Cutoff],1)</f>
        <v>2</v>
      </c>
      <c r="Y2664" s="2">
        <f>MATCH(Auto_Sales_data___Copy[[#This Row],[Total_Sales_Per_Customer]],Table2[M-Cutoff],1)</f>
        <v>2</v>
      </c>
      <c r="Z2664" s="2" t="str">
        <f>Auto_Sales_data___Copy[[#This Row],[R-Score(1-5)]]&amp;Auto_Sales_data___Copy[[#This Row],[F-Score(1-5)]]&amp;Auto_Sales_data___Copy[[#This Row],[M-Score(1-5)]]</f>
        <v>122</v>
      </c>
      <c r="AA2664" s="2" t="str" cm="1">
        <f t="array" ref="AA26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4" s="2" t="str">
        <f>VLOOKUP(Auto_Sales_data___Copy[[#This Row],[Segment Name]],Table3[],2,FALSE)</f>
        <v>High-Touch  Win-Back</v>
      </c>
    </row>
    <row r="2665" spans="1:28" x14ac:dyDescent="0.25">
      <c r="A2665">
        <v>10224</v>
      </c>
      <c r="B2665">
        <v>30</v>
      </c>
      <c r="C2665">
        <v>111.23</v>
      </c>
      <c r="D2665">
        <v>5</v>
      </c>
      <c r="E2665">
        <v>3336.9</v>
      </c>
      <c r="F2665" s="1">
        <v>43517</v>
      </c>
      <c r="G2665" s="2" t="s">
        <v>19</v>
      </c>
      <c r="H2665" s="2" t="s">
        <v>20</v>
      </c>
      <c r="I2665">
        <v>102</v>
      </c>
      <c r="J2665" s="2" t="s">
        <v>701</v>
      </c>
      <c r="K2665" s="2" t="s">
        <v>61</v>
      </c>
      <c r="L2665" s="2" t="s">
        <v>62</v>
      </c>
      <c r="M2665" s="2" t="s">
        <v>63</v>
      </c>
      <c r="N2665" s="2" t="s">
        <v>64</v>
      </c>
      <c r="O2665" s="2" t="s">
        <v>65</v>
      </c>
      <c r="P2665" s="2" t="s">
        <v>36</v>
      </c>
      <c r="Q2665" s="2" t="s">
        <v>66</v>
      </c>
      <c r="R2665" s="2" t="s">
        <v>67</v>
      </c>
      <c r="S2665" s="2" t="s">
        <v>46</v>
      </c>
      <c r="T2665">
        <v>2730</v>
      </c>
      <c r="U2665">
        <f>VLOOKUP(Auto_Sales_data___Copy[[#This Row],[CUSTOMER_NAME]],$AF$2:$AH$90,2,FALSE)</f>
        <v>20</v>
      </c>
      <c r="V2665">
        <f>VLOOKUP(Auto_Sales_data___Copy[[#This Row],[CUSTOMER_NAME]],$AF$2:$AH$90,3,FALSE)</f>
        <v>69052.41</v>
      </c>
      <c r="W2665" s="2">
        <f>6-MATCH(Auto_Sales_data___Copy[[#This Row],[DAYS_SINCE_LAST_ORDER]],Table2[R-Cutoff],1)</f>
        <v>1</v>
      </c>
      <c r="X2665" s="2">
        <f>MATCH(Auto_Sales_data___Copy[[#This Row],[Total_Orders_Per_Customer]],Table2[F-Cutoff],1)</f>
        <v>2</v>
      </c>
      <c r="Y2665" s="2">
        <f>MATCH(Auto_Sales_data___Copy[[#This Row],[Total_Sales_Per_Customer]],Table2[M-Cutoff],1)</f>
        <v>2</v>
      </c>
      <c r="Z2665" s="2" t="str">
        <f>Auto_Sales_data___Copy[[#This Row],[R-Score(1-5)]]&amp;Auto_Sales_data___Copy[[#This Row],[F-Score(1-5)]]&amp;Auto_Sales_data___Copy[[#This Row],[M-Score(1-5)]]</f>
        <v>122</v>
      </c>
      <c r="AA2665" s="2" t="str" cm="1">
        <f t="array" ref="AA26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5" s="2" t="str">
        <f>VLOOKUP(Auto_Sales_data___Copy[[#This Row],[Segment Name]],Table3[],2,FALSE)</f>
        <v>High-Touch  Win-Back</v>
      </c>
    </row>
    <row r="2666" spans="1:28" x14ac:dyDescent="0.25">
      <c r="A2666">
        <v>10224</v>
      </c>
      <c r="B2666">
        <v>50</v>
      </c>
      <c r="C2666">
        <v>77.290000000000006</v>
      </c>
      <c r="D2666">
        <v>3</v>
      </c>
      <c r="E2666">
        <v>3864.5</v>
      </c>
      <c r="F2666" s="1">
        <v>43517</v>
      </c>
      <c r="G2666" s="2" t="s">
        <v>19</v>
      </c>
      <c r="H2666" s="2" t="s">
        <v>20</v>
      </c>
      <c r="I2666">
        <v>81</v>
      </c>
      <c r="J2666" s="2" t="s">
        <v>705</v>
      </c>
      <c r="K2666" s="2" t="s">
        <v>61</v>
      </c>
      <c r="L2666" s="2" t="s">
        <v>62</v>
      </c>
      <c r="M2666" s="2" t="s">
        <v>63</v>
      </c>
      <c r="N2666" s="2" t="s">
        <v>64</v>
      </c>
      <c r="O2666" s="2" t="s">
        <v>65</v>
      </c>
      <c r="P2666" s="2" t="s">
        <v>36</v>
      </c>
      <c r="Q2666" s="2" t="s">
        <v>66</v>
      </c>
      <c r="R2666" s="2" t="s">
        <v>67</v>
      </c>
      <c r="S2666" s="2" t="s">
        <v>46</v>
      </c>
      <c r="T2666">
        <v>2834</v>
      </c>
      <c r="U2666">
        <f>VLOOKUP(Auto_Sales_data___Copy[[#This Row],[CUSTOMER_NAME]],$AF$2:$AH$90,2,FALSE)</f>
        <v>20</v>
      </c>
      <c r="V2666">
        <f>VLOOKUP(Auto_Sales_data___Copy[[#This Row],[CUSTOMER_NAME]],$AF$2:$AH$90,3,FALSE)</f>
        <v>69052.41</v>
      </c>
      <c r="W2666" s="2">
        <f>6-MATCH(Auto_Sales_data___Copy[[#This Row],[DAYS_SINCE_LAST_ORDER]],Table2[R-Cutoff],1)</f>
        <v>1</v>
      </c>
      <c r="X2666" s="2">
        <f>MATCH(Auto_Sales_data___Copy[[#This Row],[Total_Orders_Per_Customer]],Table2[F-Cutoff],1)</f>
        <v>2</v>
      </c>
      <c r="Y2666" s="2">
        <f>MATCH(Auto_Sales_data___Copy[[#This Row],[Total_Sales_Per_Customer]],Table2[M-Cutoff],1)</f>
        <v>2</v>
      </c>
      <c r="Z2666" s="2" t="str">
        <f>Auto_Sales_data___Copy[[#This Row],[R-Score(1-5)]]&amp;Auto_Sales_data___Copy[[#This Row],[F-Score(1-5)]]&amp;Auto_Sales_data___Copy[[#This Row],[M-Score(1-5)]]</f>
        <v>122</v>
      </c>
      <c r="AA2666" s="2" t="str" cm="1">
        <f t="array" ref="AA26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6" s="2" t="str">
        <f>VLOOKUP(Auto_Sales_data___Copy[[#This Row],[Segment Name]],Table3[],2,FALSE)</f>
        <v>High-Touch  Win-Back</v>
      </c>
    </row>
    <row r="2667" spans="1:28" x14ac:dyDescent="0.25">
      <c r="A2667">
        <v>10261</v>
      </c>
      <c r="B2667">
        <v>34</v>
      </c>
      <c r="C2667">
        <v>62</v>
      </c>
      <c r="D2667">
        <v>4</v>
      </c>
      <c r="E2667">
        <v>2108</v>
      </c>
      <c r="F2667" s="1">
        <v>43633</v>
      </c>
      <c r="G2667" s="2" t="s">
        <v>19</v>
      </c>
      <c r="H2667" s="2" t="s">
        <v>642</v>
      </c>
      <c r="I2667">
        <v>66</v>
      </c>
      <c r="J2667" s="2" t="s">
        <v>706</v>
      </c>
      <c r="K2667" s="2" t="s">
        <v>307</v>
      </c>
      <c r="L2667" s="2" t="s">
        <v>308</v>
      </c>
      <c r="M2667" s="2" t="s">
        <v>309</v>
      </c>
      <c r="N2667" s="2" t="s">
        <v>310</v>
      </c>
      <c r="O2667" s="2" t="s">
        <v>311</v>
      </c>
      <c r="P2667" s="2" t="s">
        <v>236</v>
      </c>
      <c r="Q2667" s="2" t="s">
        <v>312</v>
      </c>
      <c r="R2667" s="2" t="s">
        <v>313</v>
      </c>
      <c r="S2667" s="2" t="s">
        <v>30</v>
      </c>
      <c r="T2667">
        <v>2747</v>
      </c>
      <c r="U2667">
        <f>VLOOKUP(Auto_Sales_data___Copy[[#This Row],[CUSTOMER_NAME]],$AF$2:$AH$90,2,FALSE)</f>
        <v>22</v>
      </c>
      <c r="V2667">
        <f>VLOOKUP(Auto_Sales_data___Copy[[#This Row],[CUSTOMER_NAME]],$AF$2:$AH$90,3,FALSE)</f>
        <v>74204.790000000008</v>
      </c>
      <c r="W2667" s="2">
        <f>6-MATCH(Auto_Sales_data___Copy[[#This Row],[DAYS_SINCE_LAST_ORDER]],Table2[R-Cutoff],1)</f>
        <v>1</v>
      </c>
      <c r="X2667" s="2">
        <f>MATCH(Auto_Sales_data___Copy[[#This Row],[Total_Orders_Per_Customer]],Table2[F-Cutoff],1)</f>
        <v>2</v>
      </c>
      <c r="Y2667" s="2">
        <f>MATCH(Auto_Sales_data___Copy[[#This Row],[Total_Sales_Per_Customer]],Table2[M-Cutoff],1)</f>
        <v>2</v>
      </c>
      <c r="Z2667" s="2" t="str">
        <f>Auto_Sales_data___Copy[[#This Row],[R-Score(1-5)]]&amp;Auto_Sales_data___Copy[[#This Row],[F-Score(1-5)]]&amp;Auto_Sales_data___Copy[[#This Row],[M-Score(1-5)]]</f>
        <v>122</v>
      </c>
      <c r="AA2667" s="2" t="str" cm="1">
        <f t="array" ref="AA26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7" s="2" t="str">
        <f>VLOOKUP(Auto_Sales_data___Copy[[#This Row],[Segment Name]],Table3[],2,FALSE)</f>
        <v>High-Touch  Win-Back</v>
      </c>
    </row>
    <row r="2668" spans="1:28" x14ac:dyDescent="0.25">
      <c r="A2668">
        <v>10261</v>
      </c>
      <c r="B2668">
        <v>44</v>
      </c>
      <c r="C2668">
        <v>68.67</v>
      </c>
      <c r="D2668">
        <v>2</v>
      </c>
      <c r="E2668">
        <v>3021.48</v>
      </c>
      <c r="F2668" s="1">
        <v>43633</v>
      </c>
      <c r="G2668" s="2" t="s">
        <v>19</v>
      </c>
      <c r="H2668" s="2" t="s">
        <v>642</v>
      </c>
      <c r="I2668">
        <v>72</v>
      </c>
      <c r="J2668" s="2" t="s">
        <v>711</v>
      </c>
      <c r="K2668" s="2" t="s">
        <v>307</v>
      </c>
      <c r="L2668" s="2" t="s">
        <v>308</v>
      </c>
      <c r="M2668" s="2" t="s">
        <v>309</v>
      </c>
      <c r="N2668" s="2" t="s">
        <v>310</v>
      </c>
      <c r="O2668" s="2" t="s">
        <v>311</v>
      </c>
      <c r="P2668" s="2" t="s">
        <v>236</v>
      </c>
      <c r="Q2668" s="2" t="s">
        <v>312</v>
      </c>
      <c r="R2668" s="2" t="s">
        <v>313</v>
      </c>
      <c r="S2668" s="2" t="s">
        <v>46</v>
      </c>
      <c r="T2668">
        <v>2876</v>
      </c>
      <c r="U2668">
        <f>VLOOKUP(Auto_Sales_data___Copy[[#This Row],[CUSTOMER_NAME]],$AF$2:$AH$90,2,FALSE)</f>
        <v>22</v>
      </c>
      <c r="V2668">
        <f>VLOOKUP(Auto_Sales_data___Copy[[#This Row],[CUSTOMER_NAME]],$AF$2:$AH$90,3,FALSE)</f>
        <v>74204.790000000008</v>
      </c>
      <c r="W2668" s="2">
        <f>6-MATCH(Auto_Sales_data___Copy[[#This Row],[DAYS_SINCE_LAST_ORDER]],Table2[R-Cutoff],1)</f>
        <v>1</v>
      </c>
      <c r="X2668" s="2">
        <f>MATCH(Auto_Sales_data___Copy[[#This Row],[Total_Orders_Per_Customer]],Table2[F-Cutoff],1)</f>
        <v>2</v>
      </c>
      <c r="Y2668" s="2">
        <f>MATCH(Auto_Sales_data___Copy[[#This Row],[Total_Sales_Per_Customer]],Table2[M-Cutoff],1)</f>
        <v>2</v>
      </c>
      <c r="Z2668" s="2" t="str">
        <f>Auto_Sales_data___Copy[[#This Row],[R-Score(1-5)]]&amp;Auto_Sales_data___Copy[[#This Row],[F-Score(1-5)]]&amp;Auto_Sales_data___Copy[[#This Row],[M-Score(1-5)]]</f>
        <v>122</v>
      </c>
      <c r="AA2668" s="2" t="str" cm="1">
        <f t="array" ref="AA26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8" s="2" t="str">
        <f>VLOOKUP(Auto_Sales_data___Copy[[#This Row],[Segment Name]],Table3[],2,FALSE)</f>
        <v>High-Touch  Win-Back</v>
      </c>
    </row>
    <row r="2669" spans="1:28" x14ac:dyDescent="0.25">
      <c r="A2669">
        <v>10261</v>
      </c>
      <c r="B2669">
        <v>25</v>
      </c>
      <c r="C2669">
        <v>88.15</v>
      </c>
      <c r="D2669">
        <v>5</v>
      </c>
      <c r="E2669">
        <v>2203.75</v>
      </c>
      <c r="F2669" s="1">
        <v>43633</v>
      </c>
      <c r="G2669" s="2" t="s">
        <v>19</v>
      </c>
      <c r="H2669" s="2" t="s">
        <v>642</v>
      </c>
      <c r="I2669">
        <v>100</v>
      </c>
      <c r="J2669" s="2" t="s">
        <v>715</v>
      </c>
      <c r="K2669" s="2" t="s">
        <v>307</v>
      </c>
      <c r="L2669" s="2" t="s">
        <v>308</v>
      </c>
      <c r="M2669" s="2" t="s">
        <v>309</v>
      </c>
      <c r="N2669" s="2" t="s">
        <v>310</v>
      </c>
      <c r="O2669" s="2" t="s">
        <v>311</v>
      </c>
      <c r="P2669" s="2" t="s">
        <v>236</v>
      </c>
      <c r="Q2669" s="2" t="s">
        <v>312</v>
      </c>
      <c r="R2669" s="2" t="s">
        <v>313</v>
      </c>
      <c r="S2669" s="2" t="s">
        <v>30</v>
      </c>
      <c r="T2669">
        <v>2979</v>
      </c>
      <c r="U2669">
        <f>VLOOKUP(Auto_Sales_data___Copy[[#This Row],[CUSTOMER_NAME]],$AF$2:$AH$90,2,FALSE)</f>
        <v>22</v>
      </c>
      <c r="V2669">
        <f>VLOOKUP(Auto_Sales_data___Copy[[#This Row],[CUSTOMER_NAME]],$AF$2:$AH$90,3,FALSE)</f>
        <v>74204.790000000008</v>
      </c>
      <c r="W2669" s="2">
        <f>6-MATCH(Auto_Sales_data___Copy[[#This Row],[DAYS_SINCE_LAST_ORDER]],Table2[R-Cutoff],1)</f>
        <v>1</v>
      </c>
      <c r="X2669" s="2">
        <f>MATCH(Auto_Sales_data___Copy[[#This Row],[Total_Orders_Per_Customer]],Table2[F-Cutoff],1)</f>
        <v>2</v>
      </c>
      <c r="Y2669" s="2">
        <f>MATCH(Auto_Sales_data___Copy[[#This Row],[Total_Sales_Per_Customer]],Table2[M-Cutoff],1)</f>
        <v>2</v>
      </c>
      <c r="Z2669" s="2" t="str">
        <f>Auto_Sales_data___Copy[[#This Row],[R-Score(1-5)]]&amp;Auto_Sales_data___Copy[[#This Row],[F-Score(1-5)]]&amp;Auto_Sales_data___Copy[[#This Row],[M-Score(1-5)]]</f>
        <v>122</v>
      </c>
      <c r="AA2669" s="2" t="str" cm="1">
        <f t="array" ref="AA26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9" s="2" t="str">
        <f>VLOOKUP(Auto_Sales_data___Copy[[#This Row],[Segment Name]],Table3[],2,FALSE)</f>
        <v>High-Touch  Win-Back</v>
      </c>
    </row>
    <row r="2670" spans="1:28" x14ac:dyDescent="0.25">
      <c r="A2670">
        <v>10261</v>
      </c>
      <c r="B2670">
        <v>50</v>
      </c>
      <c r="C2670">
        <v>81.430000000000007</v>
      </c>
      <c r="D2670">
        <v>6</v>
      </c>
      <c r="E2670">
        <v>4071.5</v>
      </c>
      <c r="F2670" s="1">
        <v>43633</v>
      </c>
      <c r="G2670" s="2" t="s">
        <v>19</v>
      </c>
      <c r="H2670" s="2" t="s">
        <v>642</v>
      </c>
      <c r="I2670">
        <v>99</v>
      </c>
      <c r="J2670" s="2" t="s">
        <v>716</v>
      </c>
      <c r="K2670" s="2" t="s">
        <v>307</v>
      </c>
      <c r="L2670" s="2" t="s">
        <v>308</v>
      </c>
      <c r="M2670" s="2" t="s">
        <v>309</v>
      </c>
      <c r="N2670" s="2" t="s">
        <v>310</v>
      </c>
      <c r="O2670" s="2" t="s">
        <v>311</v>
      </c>
      <c r="P2670" s="2" t="s">
        <v>236</v>
      </c>
      <c r="Q2670" s="2" t="s">
        <v>312</v>
      </c>
      <c r="R2670" s="2" t="s">
        <v>313</v>
      </c>
      <c r="S2670" s="2" t="s">
        <v>46</v>
      </c>
      <c r="T2670">
        <v>3005</v>
      </c>
      <c r="U2670">
        <f>VLOOKUP(Auto_Sales_data___Copy[[#This Row],[CUSTOMER_NAME]],$AF$2:$AH$90,2,FALSE)</f>
        <v>22</v>
      </c>
      <c r="V2670">
        <f>VLOOKUP(Auto_Sales_data___Copy[[#This Row],[CUSTOMER_NAME]],$AF$2:$AH$90,3,FALSE)</f>
        <v>74204.790000000008</v>
      </c>
      <c r="W2670" s="2">
        <f>6-MATCH(Auto_Sales_data___Copy[[#This Row],[DAYS_SINCE_LAST_ORDER]],Table2[R-Cutoff],1)</f>
        <v>1</v>
      </c>
      <c r="X2670" s="2">
        <f>MATCH(Auto_Sales_data___Copy[[#This Row],[Total_Orders_Per_Customer]],Table2[F-Cutoff],1)</f>
        <v>2</v>
      </c>
      <c r="Y2670" s="2">
        <f>MATCH(Auto_Sales_data___Copy[[#This Row],[Total_Sales_Per_Customer]],Table2[M-Cutoff],1)</f>
        <v>2</v>
      </c>
      <c r="Z2670" s="2" t="str">
        <f>Auto_Sales_data___Copy[[#This Row],[R-Score(1-5)]]&amp;Auto_Sales_data___Copy[[#This Row],[F-Score(1-5)]]&amp;Auto_Sales_data___Copy[[#This Row],[M-Score(1-5)]]</f>
        <v>122</v>
      </c>
      <c r="AA2670" s="2" t="str" cm="1">
        <f t="array" ref="AA26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0" s="2" t="str">
        <f>VLOOKUP(Auto_Sales_data___Copy[[#This Row],[Segment Name]],Table3[],2,FALSE)</f>
        <v>High-Touch  Win-Back</v>
      </c>
    </row>
    <row r="2671" spans="1:28" x14ac:dyDescent="0.25">
      <c r="A2671">
        <v>10261</v>
      </c>
      <c r="B2671">
        <v>29</v>
      </c>
      <c r="C2671">
        <v>50.78</v>
      </c>
      <c r="D2671">
        <v>7</v>
      </c>
      <c r="E2671">
        <v>1472.62</v>
      </c>
      <c r="F2671" s="1">
        <v>43633</v>
      </c>
      <c r="G2671" s="2" t="s">
        <v>19</v>
      </c>
      <c r="H2671" s="2" t="s">
        <v>642</v>
      </c>
      <c r="I2671">
        <v>54</v>
      </c>
      <c r="J2671" s="2" t="s">
        <v>719</v>
      </c>
      <c r="K2671" s="2" t="s">
        <v>307</v>
      </c>
      <c r="L2671" s="2" t="s">
        <v>308</v>
      </c>
      <c r="M2671" s="2" t="s">
        <v>309</v>
      </c>
      <c r="N2671" s="2" t="s">
        <v>310</v>
      </c>
      <c r="O2671" s="2" t="s">
        <v>311</v>
      </c>
      <c r="P2671" s="2" t="s">
        <v>236</v>
      </c>
      <c r="Q2671" s="2" t="s">
        <v>312</v>
      </c>
      <c r="R2671" s="2" t="s">
        <v>313</v>
      </c>
      <c r="S2671" s="2" t="s">
        <v>30</v>
      </c>
      <c r="T2671">
        <v>3084</v>
      </c>
      <c r="U2671">
        <f>VLOOKUP(Auto_Sales_data___Copy[[#This Row],[CUSTOMER_NAME]],$AF$2:$AH$90,2,FALSE)</f>
        <v>22</v>
      </c>
      <c r="V2671">
        <f>VLOOKUP(Auto_Sales_data___Copy[[#This Row],[CUSTOMER_NAME]],$AF$2:$AH$90,3,FALSE)</f>
        <v>74204.790000000008</v>
      </c>
      <c r="W2671" s="2">
        <f>6-MATCH(Auto_Sales_data___Copy[[#This Row],[DAYS_SINCE_LAST_ORDER]],Table2[R-Cutoff],1)</f>
        <v>1</v>
      </c>
      <c r="X2671" s="2">
        <f>MATCH(Auto_Sales_data___Copy[[#This Row],[Total_Orders_Per_Customer]],Table2[F-Cutoff],1)</f>
        <v>2</v>
      </c>
      <c r="Y2671" s="2">
        <f>MATCH(Auto_Sales_data___Copy[[#This Row],[Total_Sales_Per_Customer]],Table2[M-Cutoff],1)</f>
        <v>2</v>
      </c>
      <c r="Z2671" s="2" t="str">
        <f>Auto_Sales_data___Copy[[#This Row],[R-Score(1-5)]]&amp;Auto_Sales_data___Copy[[#This Row],[F-Score(1-5)]]&amp;Auto_Sales_data___Copy[[#This Row],[M-Score(1-5)]]</f>
        <v>122</v>
      </c>
      <c r="AA2671" s="2" t="str" cm="1">
        <f t="array" ref="AA26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1" s="2" t="str">
        <f>VLOOKUP(Auto_Sales_data___Copy[[#This Row],[Segment Name]],Table3[],2,FALSE)</f>
        <v>High-Touch  Win-Back</v>
      </c>
    </row>
    <row r="2672" spans="1:28" x14ac:dyDescent="0.25">
      <c r="A2672">
        <v>10304</v>
      </c>
      <c r="B2672">
        <v>40</v>
      </c>
      <c r="C2672">
        <v>105.2</v>
      </c>
      <c r="D2672">
        <v>1</v>
      </c>
      <c r="E2672">
        <v>4208</v>
      </c>
      <c r="F2672" s="1">
        <v>43749</v>
      </c>
      <c r="G2672" s="2" t="s">
        <v>19</v>
      </c>
      <c r="H2672" s="2" t="s">
        <v>183</v>
      </c>
      <c r="I2672">
        <v>101</v>
      </c>
      <c r="J2672" s="2" t="s">
        <v>712</v>
      </c>
      <c r="K2672" s="2" t="s">
        <v>278</v>
      </c>
      <c r="L2672" s="2" t="s">
        <v>279</v>
      </c>
      <c r="M2672" s="2" t="s">
        <v>280</v>
      </c>
      <c r="N2672" s="2" t="s">
        <v>281</v>
      </c>
      <c r="O2672" s="2" t="s">
        <v>282</v>
      </c>
      <c r="P2672" s="2" t="s">
        <v>36</v>
      </c>
      <c r="Q2672" s="2" t="s">
        <v>283</v>
      </c>
      <c r="R2672" s="2" t="s">
        <v>45</v>
      </c>
      <c r="S2672" s="2" t="s">
        <v>46</v>
      </c>
      <c r="T2672">
        <v>2790</v>
      </c>
      <c r="U2672">
        <f>VLOOKUP(Auto_Sales_data___Copy[[#This Row],[CUSTOMER_NAME]],$AF$2:$AH$90,2,FALSE)</f>
        <v>18</v>
      </c>
      <c r="V2672">
        <f>VLOOKUP(Auto_Sales_data___Copy[[#This Row],[CUSTOMER_NAME]],$AF$2:$AH$90,3,FALSE)</f>
        <v>64834.320000000007</v>
      </c>
      <c r="W2672" s="2">
        <f>6-MATCH(Auto_Sales_data___Copy[[#This Row],[DAYS_SINCE_LAST_ORDER]],Table2[R-Cutoff],1)</f>
        <v>1</v>
      </c>
      <c r="X2672" s="2">
        <f>MATCH(Auto_Sales_data___Copy[[#This Row],[Total_Orders_Per_Customer]],Table2[F-Cutoff],1)</f>
        <v>2</v>
      </c>
      <c r="Y2672" s="2">
        <f>MATCH(Auto_Sales_data___Copy[[#This Row],[Total_Sales_Per_Customer]],Table2[M-Cutoff],1)</f>
        <v>2</v>
      </c>
      <c r="Z2672" s="2" t="str">
        <f>Auto_Sales_data___Copy[[#This Row],[R-Score(1-5)]]&amp;Auto_Sales_data___Copy[[#This Row],[F-Score(1-5)]]&amp;Auto_Sales_data___Copy[[#This Row],[M-Score(1-5)]]</f>
        <v>122</v>
      </c>
      <c r="AA2672" s="2" t="str" cm="1">
        <f t="array" ref="AA26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2" s="2" t="str">
        <f>VLOOKUP(Auto_Sales_data___Copy[[#This Row],[Segment Name]],Table3[],2,FALSE)</f>
        <v>High-Touch  Win-Back</v>
      </c>
    </row>
    <row r="2673" spans="1:28" x14ac:dyDescent="0.25">
      <c r="A2673">
        <v>10307</v>
      </c>
      <c r="B2673">
        <v>34</v>
      </c>
      <c r="C2673">
        <v>97.76</v>
      </c>
      <c r="D2673">
        <v>5</v>
      </c>
      <c r="E2673">
        <v>3323.84</v>
      </c>
      <c r="F2673" s="1">
        <v>43752</v>
      </c>
      <c r="G2673" s="2" t="s">
        <v>19</v>
      </c>
      <c r="H2673" s="2" t="s">
        <v>642</v>
      </c>
      <c r="I2673">
        <v>90</v>
      </c>
      <c r="J2673" s="2" t="s">
        <v>709</v>
      </c>
      <c r="K2673" s="2" t="s">
        <v>217</v>
      </c>
      <c r="L2673" s="2" t="s">
        <v>218</v>
      </c>
      <c r="M2673" s="2" t="s">
        <v>219</v>
      </c>
      <c r="N2673" s="2" t="s">
        <v>220</v>
      </c>
      <c r="O2673" s="2" t="s">
        <v>221</v>
      </c>
      <c r="P2673" s="2" t="s">
        <v>27</v>
      </c>
      <c r="Q2673" s="2" t="s">
        <v>222</v>
      </c>
      <c r="R2673" s="2" t="s">
        <v>223</v>
      </c>
      <c r="S2673" s="2" t="s">
        <v>46</v>
      </c>
      <c r="T2673">
        <v>2706</v>
      </c>
      <c r="U2673">
        <f>VLOOKUP(Auto_Sales_data___Copy[[#This Row],[CUSTOMER_NAME]],$AF$2:$AH$90,2,FALSE)</f>
        <v>21</v>
      </c>
      <c r="V2673">
        <f>VLOOKUP(Auto_Sales_data___Copy[[#This Row],[CUSTOMER_NAME]],$AF$2:$AH$90,3,FALSE)</f>
        <v>67506.969999999987</v>
      </c>
      <c r="W2673" s="2">
        <f>6-MATCH(Auto_Sales_data___Copy[[#This Row],[DAYS_SINCE_LAST_ORDER]],Table2[R-Cutoff],1)</f>
        <v>1</v>
      </c>
      <c r="X2673" s="2">
        <f>MATCH(Auto_Sales_data___Copy[[#This Row],[Total_Orders_Per_Customer]],Table2[F-Cutoff],1)</f>
        <v>2</v>
      </c>
      <c r="Y2673" s="2">
        <f>MATCH(Auto_Sales_data___Copy[[#This Row],[Total_Sales_Per_Customer]],Table2[M-Cutoff],1)</f>
        <v>2</v>
      </c>
      <c r="Z2673" s="2" t="str">
        <f>Auto_Sales_data___Copy[[#This Row],[R-Score(1-5)]]&amp;Auto_Sales_data___Copy[[#This Row],[F-Score(1-5)]]&amp;Auto_Sales_data___Copy[[#This Row],[M-Score(1-5)]]</f>
        <v>122</v>
      </c>
      <c r="AA2673" s="2" t="str" cm="1">
        <f t="array" ref="AA26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3" s="2" t="str">
        <f>VLOOKUP(Auto_Sales_data___Copy[[#This Row],[Segment Name]],Table3[],2,FALSE)</f>
        <v>High-Touch  Win-Back</v>
      </c>
    </row>
    <row r="2674" spans="1:28" x14ac:dyDescent="0.25">
      <c r="A2674">
        <v>10307</v>
      </c>
      <c r="B2674">
        <v>34</v>
      </c>
      <c r="C2674">
        <v>53.63</v>
      </c>
      <c r="D2674">
        <v>4</v>
      </c>
      <c r="E2674">
        <v>1823.42</v>
      </c>
      <c r="F2674" s="1">
        <v>43752</v>
      </c>
      <c r="G2674" s="2" t="s">
        <v>19</v>
      </c>
      <c r="H2674" s="2" t="s">
        <v>607</v>
      </c>
      <c r="I2674">
        <v>49</v>
      </c>
      <c r="J2674" s="2" t="s">
        <v>718</v>
      </c>
      <c r="K2674" s="2" t="s">
        <v>217</v>
      </c>
      <c r="L2674" s="2" t="s">
        <v>218</v>
      </c>
      <c r="M2674" s="2" t="s">
        <v>219</v>
      </c>
      <c r="N2674" s="2" t="s">
        <v>220</v>
      </c>
      <c r="O2674" s="2" t="s">
        <v>221</v>
      </c>
      <c r="P2674" s="2" t="s">
        <v>27</v>
      </c>
      <c r="Q2674" s="2" t="s">
        <v>222</v>
      </c>
      <c r="R2674" s="2" t="s">
        <v>223</v>
      </c>
      <c r="S2674" s="2" t="s">
        <v>30</v>
      </c>
      <c r="T2674">
        <v>2941</v>
      </c>
      <c r="U2674">
        <f>VLOOKUP(Auto_Sales_data___Copy[[#This Row],[CUSTOMER_NAME]],$AF$2:$AH$90,2,FALSE)</f>
        <v>21</v>
      </c>
      <c r="V2674">
        <f>VLOOKUP(Auto_Sales_data___Copy[[#This Row],[CUSTOMER_NAME]],$AF$2:$AH$90,3,FALSE)</f>
        <v>67506.969999999987</v>
      </c>
      <c r="W2674" s="2">
        <f>6-MATCH(Auto_Sales_data___Copy[[#This Row],[DAYS_SINCE_LAST_ORDER]],Table2[R-Cutoff],1)</f>
        <v>1</v>
      </c>
      <c r="X2674" s="2">
        <f>MATCH(Auto_Sales_data___Copy[[#This Row],[Total_Orders_Per_Customer]],Table2[F-Cutoff],1)</f>
        <v>2</v>
      </c>
      <c r="Y2674" s="2">
        <f>MATCH(Auto_Sales_data___Copy[[#This Row],[Total_Sales_Per_Customer]],Table2[M-Cutoff],1)</f>
        <v>2</v>
      </c>
      <c r="Z2674" s="2" t="str">
        <f>Auto_Sales_data___Copy[[#This Row],[R-Score(1-5)]]&amp;Auto_Sales_data___Copy[[#This Row],[F-Score(1-5)]]&amp;Auto_Sales_data___Copy[[#This Row],[M-Score(1-5)]]</f>
        <v>122</v>
      </c>
      <c r="AA2674" s="2" t="str" cm="1">
        <f t="array" ref="AA26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4" s="2" t="str">
        <f>VLOOKUP(Auto_Sales_data___Copy[[#This Row],[Segment Name]],Table3[],2,FALSE)</f>
        <v>High-Touch  Win-Back</v>
      </c>
    </row>
    <row r="2675" spans="1:28" x14ac:dyDescent="0.25">
      <c r="A2675">
        <v>10313</v>
      </c>
      <c r="B2675">
        <v>30</v>
      </c>
      <c r="C2675">
        <v>99.13</v>
      </c>
      <c r="D2675">
        <v>9</v>
      </c>
      <c r="E2675">
        <v>2973.9</v>
      </c>
      <c r="F2675" s="1">
        <v>43760</v>
      </c>
      <c r="G2675" s="2" t="s">
        <v>19</v>
      </c>
      <c r="H2675" s="2" t="s">
        <v>183</v>
      </c>
      <c r="I2675">
        <v>101</v>
      </c>
      <c r="J2675" s="2" t="s">
        <v>712</v>
      </c>
      <c r="K2675" s="2" t="s">
        <v>231</v>
      </c>
      <c r="L2675" s="2" t="s">
        <v>232</v>
      </c>
      <c r="M2675" s="2" t="s">
        <v>233</v>
      </c>
      <c r="N2675" s="2" t="s">
        <v>234</v>
      </c>
      <c r="O2675" s="2" t="s">
        <v>235</v>
      </c>
      <c r="P2675" s="2" t="s">
        <v>236</v>
      </c>
      <c r="Q2675" s="2" t="s">
        <v>237</v>
      </c>
      <c r="R2675" s="2" t="s">
        <v>238</v>
      </c>
      <c r="S2675" s="2" t="s">
        <v>30</v>
      </c>
      <c r="T2675">
        <v>2780</v>
      </c>
      <c r="U2675">
        <f>VLOOKUP(Auto_Sales_data___Copy[[#This Row],[CUSTOMER_NAME]],$AF$2:$AH$90,2,FALSE)</f>
        <v>22</v>
      </c>
      <c r="V2675">
        <f>VLOOKUP(Auto_Sales_data___Copy[[#This Row],[CUSTOMER_NAME]],$AF$2:$AH$90,3,FALSE)</f>
        <v>75238.92</v>
      </c>
      <c r="W2675" s="2">
        <f>6-MATCH(Auto_Sales_data___Copy[[#This Row],[DAYS_SINCE_LAST_ORDER]],Table2[R-Cutoff],1)</f>
        <v>1</v>
      </c>
      <c r="X2675" s="2">
        <f>MATCH(Auto_Sales_data___Copy[[#This Row],[Total_Orders_Per_Customer]],Table2[F-Cutoff],1)</f>
        <v>2</v>
      </c>
      <c r="Y2675" s="2">
        <f>MATCH(Auto_Sales_data___Copy[[#This Row],[Total_Sales_Per_Customer]],Table2[M-Cutoff],1)</f>
        <v>2</v>
      </c>
      <c r="Z2675" s="2" t="str">
        <f>Auto_Sales_data___Copy[[#This Row],[R-Score(1-5)]]&amp;Auto_Sales_data___Copy[[#This Row],[F-Score(1-5)]]&amp;Auto_Sales_data___Copy[[#This Row],[M-Score(1-5)]]</f>
        <v>122</v>
      </c>
      <c r="AA2675" s="2" t="str" cm="1">
        <f t="array" ref="AA26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5" s="2" t="str">
        <f>VLOOKUP(Auto_Sales_data___Copy[[#This Row],[Segment Name]],Table3[],2,FALSE)</f>
        <v>High-Touch  Win-Back</v>
      </c>
    </row>
    <row r="2676" spans="1:28" x14ac:dyDescent="0.25">
      <c r="A2676">
        <v>10326</v>
      </c>
      <c r="B2676">
        <v>39</v>
      </c>
      <c r="C2676">
        <v>60</v>
      </c>
      <c r="D2676">
        <v>1</v>
      </c>
      <c r="E2676">
        <v>2340</v>
      </c>
      <c r="F2676" s="1">
        <v>43778</v>
      </c>
      <c r="G2676" s="2" t="s">
        <v>19</v>
      </c>
      <c r="H2676" s="2" t="s">
        <v>642</v>
      </c>
      <c r="I2676">
        <v>66</v>
      </c>
      <c r="J2676" s="2" t="s">
        <v>706</v>
      </c>
      <c r="K2676" s="2" t="s">
        <v>185</v>
      </c>
      <c r="L2676" s="2" t="s">
        <v>186</v>
      </c>
      <c r="M2676" s="2" t="s">
        <v>187</v>
      </c>
      <c r="N2676" s="2" t="s">
        <v>188</v>
      </c>
      <c r="O2676" s="2" t="s">
        <v>189</v>
      </c>
      <c r="P2676" s="2" t="s">
        <v>190</v>
      </c>
      <c r="Q2676" s="2" t="s">
        <v>191</v>
      </c>
      <c r="R2676" s="2" t="s">
        <v>192</v>
      </c>
      <c r="S2676" s="2" t="s">
        <v>30</v>
      </c>
      <c r="T2676">
        <v>2608</v>
      </c>
      <c r="U2676">
        <f>VLOOKUP(Auto_Sales_data___Copy[[#This Row],[CUSTOMER_NAME]],$AF$2:$AH$90,2,FALSE)</f>
        <v>19</v>
      </c>
      <c r="V2676">
        <f>VLOOKUP(Auto_Sales_data___Copy[[#This Row],[CUSTOMER_NAME]],$AF$2:$AH$90,3,FALSE)</f>
        <v>75754.87999999999</v>
      </c>
      <c r="W2676" s="2">
        <f>6-MATCH(Auto_Sales_data___Copy[[#This Row],[DAYS_SINCE_LAST_ORDER]],Table2[R-Cutoff],1)</f>
        <v>1</v>
      </c>
      <c r="X2676" s="2">
        <f>MATCH(Auto_Sales_data___Copy[[#This Row],[Total_Orders_Per_Customer]],Table2[F-Cutoff],1)</f>
        <v>2</v>
      </c>
      <c r="Y2676" s="2">
        <f>MATCH(Auto_Sales_data___Copy[[#This Row],[Total_Sales_Per_Customer]],Table2[M-Cutoff],1)</f>
        <v>2</v>
      </c>
      <c r="Z2676" s="2" t="str">
        <f>Auto_Sales_data___Copy[[#This Row],[R-Score(1-5)]]&amp;Auto_Sales_data___Copy[[#This Row],[F-Score(1-5)]]&amp;Auto_Sales_data___Copy[[#This Row],[M-Score(1-5)]]</f>
        <v>122</v>
      </c>
      <c r="AA2676" s="2" t="str" cm="1">
        <f t="array" ref="AA26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6" s="2" t="str">
        <f>VLOOKUP(Auto_Sales_data___Copy[[#This Row],[Segment Name]],Table3[],2,FALSE)</f>
        <v>High-Touch  Win-Back</v>
      </c>
    </row>
    <row r="2677" spans="1:28" x14ac:dyDescent="0.25">
      <c r="A2677">
        <v>10337</v>
      </c>
      <c r="B2677">
        <v>36</v>
      </c>
      <c r="C2677">
        <v>70.3</v>
      </c>
      <c r="D2677">
        <v>9</v>
      </c>
      <c r="E2677">
        <v>2530.8000000000002</v>
      </c>
      <c r="F2677" s="1">
        <v>43790</v>
      </c>
      <c r="G2677" s="2" t="s">
        <v>19</v>
      </c>
      <c r="H2677" s="2" t="s">
        <v>642</v>
      </c>
      <c r="I2677">
        <v>86</v>
      </c>
      <c r="J2677" s="2" t="s">
        <v>708</v>
      </c>
      <c r="K2677" s="2" t="s">
        <v>206</v>
      </c>
      <c r="L2677" s="2" t="s">
        <v>207</v>
      </c>
      <c r="M2677" s="2" t="s">
        <v>208</v>
      </c>
      <c r="N2677" s="2" t="s">
        <v>25</v>
      </c>
      <c r="O2677" s="2" t="s">
        <v>26</v>
      </c>
      <c r="P2677" s="2" t="s">
        <v>27</v>
      </c>
      <c r="Q2677" s="2" t="s">
        <v>120</v>
      </c>
      <c r="R2677" s="2" t="s">
        <v>209</v>
      </c>
      <c r="S2677" s="2" t="s">
        <v>30</v>
      </c>
      <c r="T2677">
        <v>2648</v>
      </c>
      <c r="U2677">
        <f>VLOOKUP(Auto_Sales_data___Copy[[#This Row],[CUSTOMER_NAME]],$AF$2:$AH$90,2,FALSE)</f>
        <v>20</v>
      </c>
      <c r="V2677">
        <f>VLOOKUP(Auto_Sales_data___Copy[[#This Row],[CUSTOMER_NAME]],$AF$2:$AH$90,3,FALSE)</f>
        <v>77795.200000000012</v>
      </c>
      <c r="W2677" s="2">
        <f>6-MATCH(Auto_Sales_data___Copy[[#This Row],[DAYS_SINCE_LAST_ORDER]],Table2[R-Cutoff],1)</f>
        <v>1</v>
      </c>
      <c r="X2677" s="2">
        <f>MATCH(Auto_Sales_data___Copy[[#This Row],[Total_Orders_Per_Customer]],Table2[F-Cutoff],1)</f>
        <v>2</v>
      </c>
      <c r="Y2677" s="2">
        <f>MATCH(Auto_Sales_data___Copy[[#This Row],[Total_Sales_Per_Customer]],Table2[M-Cutoff],1)</f>
        <v>2</v>
      </c>
      <c r="Z2677" s="2" t="str">
        <f>Auto_Sales_data___Copy[[#This Row],[R-Score(1-5)]]&amp;Auto_Sales_data___Copy[[#This Row],[F-Score(1-5)]]&amp;Auto_Sales_data___Copy[[#This Row],[M-Score(1-5)]]</f>
        <v>122</v>
      </c>
      <c r="AA2677" s="2" t="str" cm="1">
        <f t="array" ref="AA26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7" s="2" t="str">
        <f>VLOOKUP(Auto_Sales_data___Copy[[#This Row],[Segment Name]],Table3[],2,FALSE)</f>
        <v>High-Touch  Win-Back</v>
      </c>
    </row>
    <row r="2678" spans="1:28" x14ac:dyDescent="0.25">
      <c r="A2678">
        <v>10337</v>
      </c>
      <c r="B2678">
        <v>31</v>
      </c>
      <c r="C2678">
        <v>89.38</v>
      </c>
      <c r="D2678">
        <v>1</v>
      </c>
      <c r="E2678">
        <v>2770.78</v>
      </c>
      <c r="F2678" s="1">
        <v>43790</v>
      </c>
      <c r="G2678" s="2" t="s">
        <v>19</v>
      </c>
      <c r="H2678" s="2" t="s">
        <v>642</v>
      </c>
      <c r="I2678">
        <v>100</v>
      </c>
      <c r="J2678" s="2" t="s">
        <v>715</v>
      </c>
      <c r="K2678" s="2" t="s">
        <v>206</v>
      </c>
      <c r="L2678" s="2" t="s">
        <v>207</v>
      </c>
      <c r="M2678" s="2" t="s">
        <v>208</v>
      </c>
      <c r="N2678" s="2" t="s">
        <v>25</v>
      </c>
      <c r="O2678" s="2" t="s">
        <v>26</v>
      </c>
      <c r="P2678" s="2" t="s">
        <v>27</v>
      </c>
      <c r="Q2678" s="2" t="s">
        <v>120</v>
      </c>
      <c r="R2678" s="2" t="s">
        <v>209</v>
      </c>
      <c r="S2678" s="2" t="s">
        <v>30</v>
      </c>
      <c r="T2678">
        <v>2829</v>
      </c>
      <c r="U2678">
        <f>VLOOKUP(Auto_Sales_data___Copy[[#This Row],[CUSTOMER_NAME]],$AF$2:$AH$90,2,FALSE)</f>
        <v>20</v>
      </c>
      <c r="V2678">
        <f>VLOOKUP(Auto_Sales_data___Copy[[#This Row],[CUSTOMER_NAME]],$AF$2:$AH$90,3,FALSE)</f>
        <v>77795.200000000012</v>
      </c>
      <c r="W2678" s="2">
        <f>6-MATCH(Auto_Sales_data___Copy[[#This Row],[DAYS_SINCE_LAST_ORDER]],Table2[R-Cutoff],1)</f>
        <v>1</v>
      </c>
      <c r="X2678" s="2">
        <f>MATCH(Auto_Sales_data___Copy[[#This Row],[Total_Orders_Per_Customer]],Table2[F-Cutoff],1)</f>
        <v>2</v>
      </c>
      <c r="Y2678" s="2">
        <f>MATCH(Auto_Sales_data___Copy[[#This Row],[Total_Sales_Per_Customer]],Table2[M-Cutoff],1)</f>
        <v>2</v>
      </c>
      <c r="Z2678" s="2" t="str">
        <f>Auto_Sales_data___Copy[[#This Row],[R-Score(1-5)]]&amp;Auto_Sales_data___Copy[[#This Row],[F-Score(1-5)]]&amp;Auto_Sales_data___Copy[[#This Row],[M-Score(1-5)]]</f>
        <v>122</v>
      </c>
      <c r="AA2678" s="2" t="str" cm="1">
        <f t="array" ref="AA26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8" s="2" t="str">
        <f>VLOOKUP(Auto_Sales_data___Copy[[#This Row],[Segment Name]],Table3[],2,FALSE)</f>
        <v>High-Touch  Win-Back</v>
      </c>
    </row>
    <row r="2679" spans="1:28" x14ac:dyDescent="0.25">
      <c r="A2679">
        <v>10337</v>
      </c>
      <c r="B2679">
        <v>36</v>
      </c>
      <c r="C2679">
        <v>71.89</v>
      </c>
      <c r="D2679">
        <v>7</v>
      </c>
      <c r="E2679">
        <v>2588.04</v>
      </c>
      <c r="F2679" s="1">
        <v>43790</v>
      </c>
      <c r="G2679" s="2" t="s">
        <v>19</v>
      </c>
      <c r="H2679" s="2" t="s">
        <v>642</v>
      </c>
      <c r="I2679">
        <v>99</v>
      </c>
      <c r="J2679" s="2" t="s">
        <v>716</v>
      </c>
      <c r="K2679" s="2" t="s">
        <v>206</v>
      </c>
      <c r="L2679" s="2" t="s">
        <v>207</v>
      </c>
      <c r="M2679" s="2" t="s">
        <v>208</v>
      </c>
      <c r="N2679" s="2" t="s">
        <v>25</v>
      </c>
      <c r="O2679" s="2" t="s">
        <v>26</v>
      </c>
      <c r="P2679" s="2" t="s">
        <v>27</v>
      </c>
      <c r="Q2679" s="2" t="s">
        <v>120</v>
      </c>
      <c r="R2679" s="2" t="s">
        <v>209</v>
      </c>
      <c r="S2679" s="2" t="s">
        <v>30</v>
      </c>
      <c r="T2679">
        <v>2855</v>
      </c>
      <c r="U2679">
        <f>VLOOKUP(Auto_Sales_data___Copy[[#This Row],[CUSTOMER_NAME]],$AF$2:$AH$90,2,FALSE)</f>
        <v>20</v>
      </c>
      <c r="V2679">
        <f>VLOOKUP(Auto_Sales_data___Copy[[#This Row],[CUSTOMER_NAME]],$AF$2:$AH$90,3,FALSE)</f>
        <v>77795.200000000012</v>
      </c>
      <c r="W2679" s="2">
        <f>6-MATCH(Auto_Sales_data___Copy[[#This Row],[DAYS_SINCE_LAST_ORDER]],Table2[R-Cutoff],1)</f>
        <v>1</v>
      </c>
      <c r="X2679" s="2">
        <f>MATCH(Auto_Sales_data___Copy[[#This Row],[Total_Orders_Per_Customer]],Table2[F-Cutoff],1)</f>
        <v>2</v>
      </c>
      <c r="Y2679" s="2">
        <f>MATCH(Auto_Sales_data___Copy[[#This Row],[Total_Sales_Per_Customer]],Table2[M-Cutoff],1)</f>
        <v>2</v>
      </c>
      <c r="Z2679" s="2" t="str">
        <f>Auto_Sales_data___Copy[[#This Row],[R-Score(1-5)]]&amp;Auto_Sales_data___Copy[[#This Row],[F-Score(1-5)]]&amp;Auto_Sales_data___Copy[[#This Row],[M-Score(1-5)]]</f>
        <v>122</v>
      </c>
      <c r="AA2679" s="2" t="str" cm="1">
        <f t="array" ref="AA26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9" s="2" t="str">
        <f>VLOOKUP(Auto_Sales_data___Copy[[#This Row],[Segment Name]],Table3[],2,FALSE)</f>
        <v>High-Touch  Win-Back</v>
      </c>
    </row>
    <row r="2680" spans="1:28" x14ac:dyDescent="0.25">
      <c r="A2680">
        <v>10337</v>
      </c>
      <c r="B2680">
        <v>42</v>
      </c>
      <c r="C2680">
        <v>97.16</v>
      </c>
      <c r="D2680">
        <v>5</v>
      </c>
      <c r="E2680">
        <v>4080.72</v>
      </c>
      <c r="F2680" s="1">
        <v>43790</v>
      </c>
      <c r="G2680" s="2" t="s">
        <v>19</v>
      </c>
      <c r="H2680" s="2" t="s">
        <v>642</v>
      </c>
      <c r="I2680">
        <v>54</v>
      </c>
      <c r="J2680" s="2" t="s">
        <v>719</v>
      </c>
      <c r="K2680" s="2" t="s">
        <v>206</v>
      </c>
      <c r="L2680" s="2" t="s">
        <v>207</v>
      </c>
      <c r="M2680" s="2" t="s">
        <v>208</v>
      </c>
      <c r="N2680" s="2" t="s">
        <v>25</v>
      </c>
      <c r="O2680" s="2" t="s">
        <v>26</v>
      </c>
      <c r="P2680" s="2" t="s">
        <v>27</v>
      </c>
      <c r="Q2680" s="2" t="s">
        <v>120</v>
      </c>
      <c r="R2680" s="2" t="s">
        <v>209</v>
      </c>
      <c r="S2680" s="2" t="s">
        <v>46</v>
      </c>
      <c r="T2680">
        <v>2934</v>
      </c>
      <c r="U2680">
        <f>VLOOKUP(Auto_Sales_data___Copy[[#This Row],[CUSTOMER_NAME]],$AF$2:$AH$90,2,FALSE)</f>
        <v>20</v>
      </c>
      <c r="V2680">
        <f>VLOOKUP(Auto_Sales_data___Copy[[#This Row],[CUSTOMER_NAME]],$AF$2:$AH$90,3,FALSE)</f>
        <v>77795.200000000012</v>
      </c>
      <c r="W2680" s="2">
        <f>6-MATCH(Auto_Sales_data___Copy[[#This Row],[DAYS_SINCE_LAST_ORDER]],Table2[R-Cutoff],1)</f>
        <v>1</v>
      </c>
      <c r="X2680" s="2">
        <f>MATCH(Auto_Sales_data___Copy[[#This Row],[Total_Orders_Per_Customer]],Table2[F-Cutoff],1)</f>
        <v>2</v>
      </c>
      <c r="Y2680" s="2">
        <f>MATCH(Auto_Sales_data___Copy[[#This Row],[Total_Sales_Per_Customer]],Table2[M-Cutoff],1)</f>
        <v>2</v>
      </c>
      <c r="Z2680" s="2" t="str">
        <f>Auto_Sales_data___Copy[[#This Row],[R-Score(1-5)]]&amp;Auto_Sales_data___Copy[[#This Row],[F-Score(1-5)]]&amp;Auto_Sales_data___Copy[[#This Row],[M-Score(1-5)]]</f>
        <v>122</v>
      </c>
      <c r="AA2680" s="2" t="str" cm="1">
        <f t="array" ref="AA26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0" s="2" t="str">
        <f>VLOOKUP(Auto_Sales_data___Copy[[#This Row],[Segment Name]],Table3[],2,FALSE)</f>
        <v>High-Touch  Win-Back</v>
      </c>
    </row>
    <row r="2681" spans="1:28" x14ac:dyDescent="0.25">
      <c r="A2681">
        <v>10340</v>
      </c>
      <c r="B2681">
        <v>30</v>
      </c>
      <c r="C2681">
        <v>88.6</v>
      </c>
      <c r="D2681">
        <v>5</v>
      </c>
      <c r="E2681">
        <v>2658</v>
      </c>
      <c r="F2681" s="1">
        <v>43793</v>
      </c>
      <c r="G2681" s="2" t="s">
        <v>19</v>
      </c>
      <c r="H2681" s="2" t="s">
        <v>607</v>
      </c>
      <c r="I2681">
        <v>91</v>
      </c>
      <c r="J2681" s="2" t="s">
        <v>707</v>
      </c>
      <c r="K2681" s="2" t="s">
        <v>372</v>
      </c>
      <c r="L2681" s="2" t="s">
        <v>373</v>
      </c>
      <c r="M2681" s="2" t="s">
        <v>374</v>
      </c>
      <c r="N2681" s="2" t="s">
        <v>375</v>
      </c>
      <c r="O2681" s="2" t="s">
        <v>376</v>
      </c>
      <c r="P2681" s="2" t="s">
        <v>180</v>
      </c>
      <c r="Q2681" s="2" t="s">
        <v>377</v>
      </c>
      <c r="R2681" s="2" t="s">
        <v>378</v>
      </c>
      <c r="S2681" s="2" t="s">
        <v>30</v>
      </c>
      <c r="T2681">
        <v>2618</v>
      </c>
      <c r="U2681">
        <f>VLOOKUP(Auto_Sales_data___Copy[[#This Row],[CUSTOMER_NAME]],$AF$2:$AH$90,2,FALSE)</f>
        <v>23</v>
      </c>
      <c r="V2681">
        <f>VLOOKUP(Auto_Sales_data___Copy[[#This Row],[CUSTOMER_NAME]],$AF$2:$AH$90,3,FALSE)</f>
        <v>78411.86</v>
      </c>
      <c r="W2681" s="2">
        <f>6-MATCH(Auto_Sales_data___Copy[[#This Row],[DAYS_SINCE_LAST_ORDER]],Table2[R-Cutoff],1)</f>
        <v>1</v>
      </c>
      <c r="X2681" s="2">
        <f>MATCH(Auto_Sales_data___Copy[[#This Row],[Total_Orders_Per_Customer]],Table2[F-Cutoff],1)</f>
        <v>2</v>
      </c>
      <c r="Y2681" s="2">
        <f>MATCH(Auto_Sales_data___Copy[[#This Row],[Total_Sales_Per_Customer]],Table2[M-Cutoff],1)</f>
        <v>2</v>
      </c>
      <c r="Z2681" s="2" t="str">
        <f>Auto_Sales_data___Copy[[#This Row],[R-Score(1-5)]]&amp;Auto_Sales_data___Copy[[#This Row],[F-Score(1-5)]]&amp;Auto_Sales_data___Copy[[#This Row],[M-Score(1-5)]]</f>
        <v>122</v>
      </c>
      <c r="AA2681" s="2" t="str" cm="1">
        <f t="array" ref="AA26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1" s="2" t="str">
        <f>VLOOKUP(Auto_Sales_data___Copy[[#This Row],[Segment Name]],Table3[],2,FALSE)</f>
        <v>High-Touch  Win-Back</v>
      </c>
    </row>
    <row r="2682" spans="1:28" x14ac:dyDescent="0.25">
      <c r="A2682">
        <v>10340</v>
      </c>
      <c r="B2682">
        <v>55</v>
      </c>
      <c r="C2682">
        <v>87.75</v>
      </c>
      <c r="D2682">
        <v>7</v>
      </c>
      <c r="E2682">
        <v>4826.25</v>
      </c>
      <c r="F2682" s="1">
        <v>43793</v>
      </c>
      <c r="G2682" s="2" t="s">
        <v>19</v>
      </c>
      <c r="H2682" s="2" t="s">
        <v>607</v>
      </c>
      <c r="I2682">
        <v>99</v>
      </c>
      <c r="J2682" s="2" t="s">
        <v>710</v>
      </c>
      <c r="K2682" s="2" t="s">
        <v>372</v>
      </c>
      <c r="L2682" s="2" t="s">
        <v>373</v>
      </c>
      <c r="M2682" s="2" t="s">
        <v>374</v>
      </c>
      <c r="N2682" s="2" t="s">
        <v>375</v>
      </c>
      <c r="O2682" s="2" t="s">
        <v>376</v>
      </c>
      <c r="P2682" s="2" t="s">
        <v>180</v>
      </c>
      <c r="Q2682" s="2" t="s">
        <v>377</v>
      </c>
      <c r="R2682" s="2" t="s">
        <v>378</v>
      </c>
      <c r="S2682" s="2" t="s">
        <v>46</v>
      </c>
      <c r="T2682">
        <v>2695</v>
      </c>
      <c r="U2682">
        <f>VLOOKUP(Auto_Sales_data___Copy[[#This Row],[CUSTOMER_NAME]],$AF$2:$AH$90,2,FALSE)</f>
        <v>23</v>
      </c>
      <c r="V2682">
        <f>VLOOKUP(Auto_Sales_data___Copy[[#This Row],[CUSTOMER_NAME]],$AF$2:$AH$90,3,FALSE)</f>
        <v>78411.86</v>
      </c>
      <c r="W2682" s="2">
        <f>6-MATCH(Auto_Sales_data___Copy[[#This Row],[DAYS_SINCE_LAST_ORDER]],Table2[R-Cutoff],1)</f>
        <v>1</v>
      </c>
      <c r="X2682" s="2">
        <f>MATCH(Auto_Sales_data___Copy[[#This Row],[Total_Orders_Per_Customer]],Table2[F-Cutoff],1)</f>
        <v>2</v>
      </c>
      <c r="Y2682" s="2">
        <f>MATCH(Auto_Sales_data___Copy[[#This Row],[Total_Sales_Per_Customer]],Table2[M-Cutoff],1)</f>
        <v>2</v>
      </c>
      <c r="Z2682" s="2" t="str">
        <f>Auto_Sales_data___Copy[[#This Row],[R-Score(1-5)]]&amp;Auto_Sales_data___Copy[[#This Row],[F-Score(1-5)]]&amp;Auto_Sales_data___Copy[[#This Row],[M-Score(1-5)]]</f>
        <v>122</v>
      </c>
      <c r="AA2682" s="2" t="str" cm="1">
        <f t="array" ref="AA26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2" s="2" t="str">
        <f>VLOOKUP(Auto_Sales_data___Copy[[#This Row],[Segment Name]],Table3[],2,FALSE)</f>
        <v>High-Touch  Win-Back</v>
      </c>
    </row>
    <row r="2683" spans="1:28" x14ac:dyDescent="0.25">
      <c r="A2683">
        <v>10340</v>
      </c>
      <c r="B2683">
        <v>29</v>
      </c>
      <c r="C2683">
        <v>141.19</v>
      </c>
      <c r="D2683">
        <v>6</v>
      </c>
      <c r="E2683">
        <v>4094.51</v>
      </c>
      <c r="F2683" s="1">
        <v>43793</v>
      </c>
      <c r="G2683" s="2" t="s">
        <v>19</v>
      </c>
      <c r="H2683" s="2" t="s">
        <v>607</v>
      </c>
      <c r="I2683">
        <v>118</v>
      </c>
      <c r="J2683" s="2" t="s">
        <v>713</v>
      </c>
      <c r="K2683" s="2" t="s">
        <v>372</v>
      </c>
      <c r="L2683" s="2" t="s">
        <v>373</v>
      </c>
      <c r="M2683" s="2" t="s">
        <v>374</v>
      </c>
      <c r="N2683" s="2" t="s">
        <v>375</v>
      </c>
      <c r="O2683" s="2" t="s">
        <v>376</v>
      </c>
      <c r="P2683" s="2" t="s">
        <v>180</v>
      </c>
      <c r="Q2683" s="2" t="s">
        <v>377</v>
      </c>
      <c r="R2683" s="2" t="s">
        <v>378</v>
      </c>
      <c r="S2683" s="2" t="s">
        <v>46</v>
      </c>
      <c r="T2683">
        <v>2773</v>
      </c>
      <c r="U2683">
        <f>VLOOKUP(Auto_Sales_data___Copy[[#This Row],[CUSTOMER_NAME]],$AF$2:$AH$90,2,FALSE)</f>
        <v>23</v>
      </c>
      <c r="V2683">
        <f>VLOOKUP(Auto_Sales_data___Copy[[#This Row],[CUSTOMER_NAME]],$AF$2:$AH$90,3,FALSE)</f>
        <v>78411.86</v>
      </c>
      <c r="W2683" s="2">
        <f>6-MATCH(Auto_Sales_data___Copy[[#This Row],[DAYS_SINCE_LAST_ORDER]],Table2[R-Cutoff],1)</f>
        <v>1</v>
      </c>
      <c r="X2683" s="2">
        <f>MATCH(Auto_Sales_data___Copy[[#This Row],[Total_Orders_Per_Customer]],Table2[F-Cutoff],1)</f>
        <v>2</v>
      </c>
      <c r="Y2683" s="2">
        <f>MATCH(Auto_Sales_data___Copy[[#This Row],[Total_Sales_Per_Customer]],Table2[M-Cutoff],1)</f>
        <v>2</v>
      </c>
      <c r="Z2683" s="2" t="str">
        <f>Auto_Sales_data___Copy[[#This Row],[R-Score(1-5)]]&amp;Auto_Sales_data___Copy[[#This Row],[F-Score(1-5)]]&amp;Auto_Sales_data___Copy[[#This Row],[M-Score(1-5)]]</f>
        <v>122</v>
      </c>
      <c r="AA2683" s="2" t="str" cm="1">
        <f t="array" ref="AA26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3" s="2" t="str">
        <f>VLOOKUP(Auto_Sales_data___Copy[[#This Row],[Segment Name]],Table3[],2,FALSE)</f>
        <v>High-Touch  Win-Back</v>
      </c>
    </row>
    <row r="2684" spans="1:28" x14ac:dyDescent="0.25">
      <c r="A2684">
        <v>10397</v>
      </c>
      <c r="B2684">
        <v>22</v>
      </c>
      <c r="C2684">
        <v>66.5</v>
      </c>
      <c r="D2684">
        <v>4</v>
      </c>
      <c r="E2684">
        <v>1463</v>
      </c>
      <c r="F2684" s="1">
        <v>43918</v>
      </c>
      <c r="G2684" s="2" t="s">
        <v>19</v>
      </c>
      <c r="H2684" s="2" t="s">
        <v>642</v>
      </c>
      <c r="I2684">
        <v>72</v>
      </c>
      <c r="J2684" s="2" t="s">
        <v>711</v>
      </c>
      <c r="K2684" s="2" t="s">
        <v>359</v>
      </c>
      <c r="L2684" s="2" t="s">
        <v>360</v>
      </c>
      <c r="M2684" s="2" t="s">
        <v>361</v>
      </c>
      <c r="N2684" s="2" t="s">
        <v>362</v>
      </c>
      <c r="O2684" s="2" t="s">
        <v>363</v>
      </c>
      <c r="P2684" s="2" t="s">
        <v>36</v>
      </c>
      <c r="Q2684" s="2" t="s">
        <v>364</v>
      </c>
      <c r="R2684" s="2" t="s">
        <v>365</v>
      </c>
      <c r="S2684" s="2" t="s">
        <v>30</v>
      </c>
      <c r="T2684">
        <v>2602</v>
      </c>
      <c r="U2684">
        <f>VLOOKUP(Auto_Sales_data___Copy[[#This Row],[CUSTOMER_NAME]],$AF$2:$AH$90,2,FALSE)</f>
        <v>20</v>
      </c>
      <c r="V2684">
        <f>VLOOKUP(Auto_Sales_data___Copy[[#This Row],[CUSTOMER_NAME]],$AF$2:$AH$90,3,FALSE)</f>
        <v>70488.439999999988</v>
      </c>
      <c r="W2684" s="2">
        <f>6-MATCH(Auto_Sales_data___Copy[[#This Row],[DAYS_SINCE_LAST_ORDER]],Table2[R-Cutoff],1)</f>
        <v>1</v>
      </c>
      <c r="X2684" s="2">
        <f>MATCH(Auto_Sales_data___Copy[[#This Row],[Total_Orders_Per_Customer]],Table2[F-Cutoff],1)</f>
        <v>2</v>
      </c>
      <c r="Y2684" s="2">
        <f>MATCH(Auto_Sales_data___Copy[[#This Row],[Total_Sales_Per_Customer]],Table2[M-Cutoff],1)</f>
        <v>2</v>
      </c>
      <c r="Z2684" s="2" t="str">
        <f>Auto_Sales_data___Copy[[#This Row],[R-Score(1-5)]]&amp;Auto_Sales_data___Copy[[#This Row],[F-Score(1-5)]]&amp;Auto_Sales_data___Copy[[#This Row],[M-Score(1-5)]]</f>
        <v>122</v>
      </c>
      <c r="AA2684" s="2" t="str" cm="1">
        <f t="array" ref="AA26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4" s="2" t="str">
        <f>VLOOKUP(Auto_Sales_data___Copy[[#This Row],[Segment Name]],Table3[],2,FALSE)</f>
        <v>High-Touch  Win-Back</v>
      </c>
    </row>
    <row r="2685" spans="1:28" x14ac:dyDescent="0.25">
      <c r="A2685">
        <v>10397</v>
      </c>
      <c r="B2685">
        <v>48</v>
      </c>
      <c r="C2685">
        <v>108.18</v>
      </c>
      <c r="D2685">
        <v>3</v>
      </c>
      <c r="E2685">
        <v>5192.6400000000003</v>
      </c>
      <c r="F2685" s="1">
        <v>43918</v>
      </c>
      <c r="G2685" s="2" t="s">
        <v>19</v>
      </c>
      <c r="H2685" s="2" t="s">
        <v>642</v>
      </c>
      <c r="I2685">
        <v>100</v>
      </c>
      <c r="J2685" s="2" t="s">
        <v>715</v>
      </c>
      <c r="K2685" s="2" t="s">
        <v>359</v>
      </c>
      <c r="L2685" s="2" t="s">
        <v>360</v>
      </c>
      <c r="M2685" s="2" t="s">
        <v>361</v>
      </c>
      <c r="N2685" s="2" t="s">
        <v>362</v>
      </c>
      <c r="O2685" s="2" t="s">
        <v>363</v>
      </c>
      <c r="P2685" s="2" t="s">
        <v>36</v>
      </c>
      <c r="Q2685" s="2" t="s">
        <v>364</v>
      </c>
      <c r="R2685" s="2" t="s">
        <v>365</v>
      </c>
      <c r="S2685" s="2" t="s">
        <v>46</v>
      </c>
      <c r="T2685">
        <v>2705</v>
      </c>
      <c r="U2685">
        <f>VLOOKUP(Auto_Sales_data___Copy[[#This Row],[CUSTOMER_NAME]],$AF$2:$AH$90,2,FALSE)</f>
        <v>20</v>
      </c>
      <c r="V2685">
        <f>VLOOKUP(Auto_Sales_data___Copy[[#This Row],[CUSTOMER_NAME]],$AF$2:$AH$90,3,FALSE)</f>
        <v>70488.439999999988</v>
      </c>
      <c r="W2685" s="2">
        <f>6-MATCH(Auto_Sales_data___Copy[[#This Row],[DAYS_SINCE_LAST_ORDER]],Table2[R-Cutoff],1)</f>
        <v>1</v>
      </c>
      <c r="X2685" s="2">
        <f>MATCH(Auto_Sales_data___Copy[[#This Row],[Total_Orders_Per_Customer]],Table2[F-Cutoff],1)</f>
        <v>2</v>
      </c>
      <c r="Y2685" s="2">
        <f>MATCH(Auto_Sales_data___Copy[[#This Row],[Total_Sales_Per_Customer]],Table2[M-Cutoff],1)</f>
        <v>2</v>
      </c>
      <c r="Z2685" s="2" t="str">
        <f>Auto_Sales_data___Copy[[#This Row],[R-Score(1-5)]]&amp;Auto_Sales_data___Copy[[#This Row],[F-Score(1-5)]]&amp;Auto_Sales_data___Copy[[#This Row],[M-Score(1-5)]]</f>
        <v>122</v>
      </c>
      <c r="AA2685" s="2" t="str" cm="1">
        <f t="array" ref="AA26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5" s="2" t="str">
        <f>VLOOKUP(Auto_Sales_data___Copy[[#This Row],[Segment Name]],Table3[],2,FALSE)</f>
        <v>High-Touch  Win-Back</v>
      </c>
    </row>
    <row r="2686" spans="1:28" x14ac:dyDescent="0.25">
      <c r="A2686">
        <v>10397</v>
      </c>
      <c r="B2686">
        <v>36</v>
      </c>
      <c r="C2686">
        <v>105.27</v>
      </c>
      <c r="D2686">
        <v>2</v>
      </c>
      <c r="E2686">
        <v>3789.72</v>
      </c>
      <c r="F2686" s="1">
        <v>43918</v>
      </c>
      <c r="G2686" s="2" t="s">
        <v>19</v>
      </c>
      <c r="H2686" s="2" t="s">
        <v>642</v>
      </c>
      <c r="I2686">
        <v>99</v>
      </c>
      <c r="J2686" s="2" t="s">
        <v>716</v>
      </c>
      <c r="K2686" s="2" t="s">
        <v>359</v>
      </c>
      <c r="L2686" s="2" t="s">
        <v>360</v>
      </c>
      <c r="M2686" s="2" t="s">
        <v>361</v>
      </c>
      <c r="N2686" s="2" t="s">
        <v>362</v>
      </c>
      <c r="O2686" s="2" t="s">
        <v>363</v>
      </c>
      <c r="P2686" s="2" t="s">
        <v>36</v>
      </c>
      <c r="Q2686" s="2" t="s">
        <v>364</v>
      </c>
      <c r="R2686" s="2" t="s">
        <v>365</v>
      </c>
      <c r="S2686" s="2" t="s">
        <v>46</v>
      </c>
      <c r="T2686">
        <v>2731</v>
      </c>
      <c r="U2686">
        <f>VLOOKUP(Auto_Sales_data___Copy[[#This Row],[CUSTOMER_NAME]],$AF$2:$AH$90,2,FALSE)</f>
        <v>20</v>
      </c>
      <c r="V2686">
        <f>VLOOKUP(Auto_Sales_data___Copy[[#This Row],[CUSTOMER_NAME]],$AF$2:$AH$90,3,FALSE)</f>
        <v>70488.439999999988</v>
      </c>
      <c r="W2686" s="2">
        <f>6-MATCH(Auto_Sales_data___Copy[[#This Row],[DAYS_SINCE_LAST_ORDER]],Table2[R-Cutoff],1)</f>
        <v>1</v>
      </c>
      <c r="X2686" s="2">
        <f>MATCH(Auto_Sales_data___Copy[[#This Row],[Total_Orders_Per_Customer]],Table2[F-Cutoff],1)</f>
        <v>2</v>
      </c>
      <c r="Y2686" s="2">
        <f>MATCH(Auto_Sales_data___Copy[[#This Row],[Total_Sales_Per_Customer]],Table2[M-Cutoff],1)</f>
        <v>2</v>
      </c>
      <c r="Z2686" s="2" t="str">
        <f>Auto_Sales_data___Copy[[#This Row],[R-Score(1-5)]]&amp;Auto_Sales_data___Copy[[#This Row],[F-Score(1-5)]]&amp;Auto_Sales_data___Copy[[#This Row],[M-Score(1-5)]]</f>
        <v>122</v>
      </c>
      <c r="AA2686" s="2" t="str" cm="1">
        <f t="array" ref="AA26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6" s="2" t="str">
        <f>VLOOKUP(Auto_Sales_data___Copy[[#This Row],[Segment Name]],Table3[],2,FALSE)</f>
        <v>High-Touch  Win-Back</v>
      </c>
    </row>
    <row r="2687" spans="1:28" x14ac:dyDescent="0.25">
      <c r="A2687">
        <v>10397</v>
      </c>
      <c r="B2687">
        <v>34</v>
      </c>
      <c r="C2687">
        <v>62.24</v>
      </c>
      <c r="D2687">
        <v>1</v>
      </c>
      <c r="E2687">
        <v>2116.16</v>
      </c>
      <c r="F2687" s="1">
        <v>43918</v>
      </c>
      <c r="G2687" s="2" t="s">
        <v>19</v>
      </c>
      <c r="H2687" s="2" t="s">
        <v>642</v>
      </c>
      <c r="I2687">
        <v>54</v>
      </c>
      <c r="J2687" s="2" t="s">
        <v>719</v>
      </c>
      <c r="K2687" s="2" t="s">
        <v>359</v>
      </c>
      <c r="L2687" s="2" t="s">
        <v>360</v>
      </c>
      <c r="M2687" s="2" t="s">
        <v>361</v>
      </c>
      <c r="N2687" s="2" t="s">
        <v>362</v>
      </c>
      <c r="O2687" s="2" t="s">
        <v>363</v>
      </c>
      <c r="P2687" s="2" t="s">
        <v>36</v>
      </c>
      <c r="Q2687" s="2" t="s">
        <v>364</v>
      </c>
      <c r="R2687" s="2" t="s">
        <v>365</v>
      </c>
      <c r="S2687" s="2" t="s">
        <v>30</v>
      </c>
      <c r="T2687">
        <v>2810</v>
      </c>
      <c r="U2687">
        <f>VLOOKUP(Auto_Sales_data___Copy[[#This Row],[CUSTOMER_NAME]],$AF$2:$AH$90,2,FALSE)</f>
        <v>20</v>
      </c>
      <c r="V2687">
        <f>VLOOKUP(Auto_Sales_data___Copy[[#This Row],[CUSTOMER_NAME]],$AF$2:$AH$90,3,FALSE)</f>
        <v>70488.439999999988</v>
      </c>
      <c r="W2687" s="2">
        <f>6-MATCH(Auto_Sales_data___Copy[[#This Row],[DAYS_SINCE_LAST_ORDER]],Table2[R-Cutoff],1)</f>
        <v>1</v>
      </c>
      <c r="X2687" s="2">
        <f>MATCH(Auto_Sales_data___Copy[[#This Row],[Total_Orders_Per_Customer]],Table2[F-Cutoff],1)</f>
        <v>2</v>
      </c>
      <c r="Y2687" s="2">
        <f>MATCH(Auto_Sales_data___Copy[[#This Row],[Total_Sales_Per_Customer]],Table2[M-Cutoff],1)</f>
        <v>2</v>
      </c>
      <c r="Z2687" s="2" t="str">
        <f>Auto_Sales_data___Copy[[#This Row],[R-Score(1-5)]]&amp;Auto_Sales_data___Copy[[#This Row],[F-Score(1-5)]]&amp;Auto_Sales_data___Copy[[#This Row],[M-Score(1-5)]]</f>
        <v>122</v>
      </c>
      <c r="AA2687" s="2" t="str" cm="1">
        <f t="array" ref="AA26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7" s="2" t="str">
        <f>VLOOKUP(Auto_Sales_data___Copy[[#This Row],[Segment Name]],Table3[],2,FALSE)</f>
        <v>High-Touch  Win-Back</v>
      </c>
    </row>
    <row r="2688" spans="1:28" x14ac:dyDescent="0.25">
      <c r="A2688">
        <v>10411</v>
      </c>
      <c r="B2688">
        <v>34</v>
      </c>
      <c r="C2688">
        <v>105.2</v>
      </c>
      <c r="D2688">
        <v>4</v>
      </c>
      <c r="E2688">
        <v>3576.8</v>
      </c>
      <c r="F2688" s="1">
        <v>43952</v>
      </c>
      <c r="G2688" s="2" t="s">
        <v>19</v>
      </c>
      <c r="H2688" s="2" t="s">
        <v>183</v>
      </c>
      <c r="I2688">
        <v>101</v>
      </c>
      <c r="J2688" s="2" t="s">
        <v>712</v>
      </c>
      <c r="K2688" s="2" t="s">
        <v>307</v>
      </c>
      <c r="L2688" s="2" t="s">
        <v>308</v>
      </c>
      <c r="M2688" s="2" t="s">
        <v>309</v>
      </c>
      <c r="N2688" s="2" t="s">
        <v>310</v>
      </c>
      <c r="O2688" s="2" t="s">
        <v>311</v>
      </c>
      <c r="P2688" s="2" t="s">
        <v>236</v>
      </c>
      <c r="Q2688" s="2" t="s">
        <v>312</v>
      </c>
      <c r="R2688" s="2" t="s">
        <v>313</v>
      </c>
      <c r="S2688" s="2" t="s">
        <v>46</v>
      </c>
      <c r="T2688">
        <v>2595</v>
      </c>
      <c r="U2688">
        <f>VLOOKUP(Auto_Sales_data___Copy[[#This Row],[CUSTOMER_NAME]],$AF$2:$AH$90,2,FALSE)</f>
        <v>22</v>
      </c>
      <c r="V2688">
        <f>VLOOKUP(Auto_Sales_data___Copy[[#This Row],[CUSTOMER_NAME]],$AF$2:$AH$90,3,FALSE)</f>
        <v>74204.790000000008</v>
      </c>
      <c r="W2688" s="2">
        <f>6-MATCH(Auto_Sales_data___Copy[[#This Row],[DAYS_SINCE_LAST_ORDER]],Table2[R-Cutoff],1)</f>
        <v>1</v>
      </c>
      <c r="X2688" s="2">
        <f>MATCH(Auto_Sales_data___Copy[[#This Row],[Total_Orders_Per_Customer]],Table2[F-Cutoff],1)</f>
        <v>2</v>
      </c>
      <c r="Y2688" s="2">
        <f>MATCH(Auto_Sales_data___Copy[[#This Row],[Total_Sales_Per_Customer]],Table2[M-Cutoff],1)</f>
        <v>2</v>
      </c>
      <c r="Z2688" s="2" t="str">
        <f>Auto_Sales_data___Copy[[#This Row],[R-Score(1-5)]]&amp;Auto_Sales_data___Copy[[#This Row],[F-Score(1-5)]]&amp;Auto_Sales_data___Copy[[#This Row],[M-Score(1-5)]]</f>
        <v>122</v>
      </c>
      <c r="AA2688" s="2" t="str" cm="1">
        <f t="array" ref="AA26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8" s="2" t="str">
        <f>VLOOKUP(Auto_Sales_data___Copy[[#This Row],[Segment Name]],Table3[],2,FALSE)</f>
        <v>High-Touch  Win-Back</v>
      </c>
    </row>
    <row r="2689" spans="1:28" x14ac:dyDescent="0.25">
      <c r="A2689">
        <v>10131</v>
      </c>
      <c r="B2689">
        <v>50</v>
      </c>
      <c r="C2689">
        <v>81.89</v>
      </c>
      <c r="D2689">
        <v>3</v>
      </c>
      <c r="E2689">
        <v>4094.5</v>
      </c>
      <c r="F2689" s="1">
        <v>43267</v>
      </c>
      <c r="G2689" s="2" t="s">
        <v>19</v>
      </c>
      <c r="H2689" s="2" t="s">
        <v>607</v>
      </c>
      <c r="I2689">
        <v>68</v>
      </c>
      <c r="J2689" s="2" t="s">
        <v>688</v>
      </c>
      <c r="K2689" s="2" t="s">
        <v>609</v>
      </c>
      <c r="L2689" s="2" t="s">
        <v>610</v>
      </c>
      <c r="M2689" s="2" t="s">
        <v>611</v>
      </c>
      <c r="N2689" s="2" t="s">
        <v>550</v>
      </c>
      <c r="O2689" s="2" t="s">
        <v>612</v>
      </c>
      <c r="P2689" s="2" t="s">
        <v>27</v>
      </c>
      <c r="Q2689" s="2" t="s">
        <v>613</v>
      </c>
      <c r="R2689" s="2" t="s">
        <v>614</v>
      </c>
      <c r="S2689" s="2" t="s">
        <v>46</v>
      </c>
      <c r="T2689">
        <v>2650</v>
      </c>
      <c r="U2689">
        <f>VLOOKUP(Auto_Sales_data___Copy[[#This Row],[CUSTOMER_NAME]],$AF$2:$AH$90,2,FALSE)</f>
        <v>19</v>
      </c>
      <c r="V2689">
        <f>VLOOKUP(Auto_Sales_data___Copy[[#This Row],[CUSTOMER_NAME]],$AF$2:$AH$90,3,FALSE)</f>
        <v>57294.420000000006</v>
      </c>
      <c r="W2689" s="2">
        <f>6-MATCH(Auto_Sales_data___Copy[[#This Row],[DAYS_SINCE_LAST_ORDER]],Table2[R-Cutoff],1)</f>
        <v>1</v>
      </c>
      <c r="X2689" s="2">
        <f>MATCH(Auto_Sales_data___Copy[[#This Row],[Total_Orders_Per_Customer]],Table2[F-Cutoff],1)</f>
        <v>2</v>
      </c>
      <c r="Y2689" s="2">
        <f>MATCH(Auto_Sales_data___Copy[[#This Row],[Total_Sales_Per_Customer]],Table2[M-Cutoff],1)</f>
        <v>1</v>
      </c>
      <c r="Z2689" s="2" t="str">
        <f>Auto_Sales_data___Copy[[#This Row],[R-Score(1-5)]]&amp;Auto_Sales_data___Copy[[#This Row],[F-Score(1-5)]]&amp;Auto_Sales_data___Copy[[#This Row],[M-Score(1-5)]]</f>
        <v>121</v>
      </c>
      <c r="AA2689" s="2" t="str" cm="1">
        <f t="array" ref="AA26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9" s="2" t="str">
        <f>VLOOKUP(Auto_Sales_data___Copy[[#This Row],[Segment Name]],Table3[],2,FALSE)</f>
        <v>High-Touch  Win-Back</v>
      </c>
    </row>
    <row r="2690" spans="1:28" x14ac:dyDescent="0.25">
      <c r="A2690">
        <v>10131</v>
      </c>
      <c r="B2690">
        <v>22</v>
      </c>
      <c r="C2690">
        <v>85.99</v>
      </c>
      <c r="D2690">
        <v>8</v>
      </c>
      <c r="E2690">
        <v>1891.78</v>
      </c>
      <c r="F2690" s="1">
        <v>43267</v>
      </c>
      <c r="G2690" s="2" t="s">
        <v>19</v>
      </c>
      <c r="H2690" s="2" t="s">
        <v>642</v>
      </c>
      <c r="I2690">
        <v>90</v>
      </c>
      <c r="J2690" s="2" t="s">
        <v>709</v>
      </c>
      <c r="K2690" s="2" t="s">
        <v>609</v>
      </c>
      <c r="L2690" s="2" t="s">
        <v>610</v>
      </c>
      <c r="M2690" s="2" t="s">
        <v>611</v>
      </c>
      <c r="N2690" s="2" t="s">
        <v>550</v>
      </c>
      <c r="O2690" s="2" t="s">
        <v>612</v>
      </c>
      <c r="P2690" s="2" t="s">
        <v>27</v>
      </c>
      <c r="Q2690" s="2" t="s">
        <v>613</v>
      </c>
      <c r="R2690" s="2" t="s">
        <v>614</v>
      </c>
      <c r="S2690" s="2" t="s">
        <v>30</v>
      </c>
      <c r="T2690">
        <v>3178</v>
      </c>
      <c r="U2690">
        <f>VLOOKUP(Auto_Sales_data___Copy[[#This Row],[CUSTOMER_NAME]],$AF$2:$AH$90,2,FALSE)</f>
        <v>19</v>
      </c>
      <c r="V2690">
        <f>VLOOKUP(Auto_Sales_data___Copy[[#This Row],[CUSTOMER_NAME]],$AF$2:$AH$90,3,FALSE)</f>
        <v>57294.420000000006</v>
      </c>
      <c r="W2690" s="2">
        <f>6-MATCH(Auto_Sales_data___Copy[[#This Row],[DAYS_SINCE_LAST_ORDER]],Table2[R-Cutoff],1)</f>
        <v>1</v>
      </c>
      <c r="X2690" s="2">
        <f>MATCH(Auto_Sales_data___Copy[[#This Row],[Total_Orders_Per_Customer]],Table2[F-Cutoff],1)</f>
        <v>2</v>
      </c>
      <c r="Y2690" s="2">
        <f>MATCH(Auto_Sales_data___Copy[[#This Row],[Total_Sales_Per_Customer]],Table2[M-Cutoff],1)</f>
        <v>1</v>
      </c>
      <c r="Z2690" s="2" t="str">
        <f>Auto_Sales_data___Copy[[#This Row],[R-Score(1-5)]]&amp;Auto_Sales_data___Copy[[#This Row],[F-Score(1-5)]]&amp;Auto_Sales_data___Copy[[#This Row],[M-Score(1-5)]]</f>
        <v>121</v>
      </c>
      <c r="AA2690" s="2" t="str" cm="1">
        <f t="array" ref="AA26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0" s="2" t="str">
        <f>VLOOKUP(Auto_Sales_data___Copy[[#This Row],[Segment Name]],Table3[],2,FALSE)</f>
        <v>High-Touch  Win-Back</v>
      </c>
    </row>
    <row r="2691" spans="1:28" x14ac:dyDescent="0.25">
      <c r="A2691">
        <v>10131</v>
      </c>
      <c r="B2691">
        <v>40</v>
      </c>
      <c r="C2691">
        <v>110.69</v>
      </c>
      <c r="D2691">
        <v>1</v>
      </c>
      <c r="E2691">
        <v>4427.6000000000004</v>
      </c>
      <c r="F2691" s="1">
        <v>43267</v>
      </c>
      <c r="G2691" s="2" t="s">
        <v>19</v>
      </c>
      <c r="H2691" s="2" t="s">
        <v>607</v>
      </c>
      <c r="I2691">
        <v>99</v>
      </c>
      <c r="J2691" s="2" t="s">
        <v>710</v>
      </c>
      <c r="K2691" s="2" t="s">
        <v>609</v>
      </c>
      <c r="L2691" s="2" t="s">
        <v>610</v>
      </c>
      <c r="M2691" s="2" t="s">
        <v>611</v>
      </c>
      <c r="N2691" s="2" t="s">
        <v>550</v>
      </c>
      <c r="O2691" s="2" t="s">
        <v>612</v>
      </c>
      <c r="P2691" s="2" t="s">
        <v>27</v>
      </c>
      <c r="Q2691" s="2" t="s">
        <v>613</v>
      </c>
      <c r="R2691" s="2" t="s">
        <v>614</v>
      </c>
      <c r="S2691" s="2" t="s">
        <v>46</v>
      </c>
      <c r="T2691">
        <v>3204</v>
      </c>
      <c r="U2691">
        <f>VLOOKUP(Auto_Sales_data___Copy[[#This Row],[CUSTOMER_NAME]],$AF$2:$AH$90,2,FALSE)</f>
        <v>19</v>
      </c>
      <c r="V2691">
        <f>VLOOKUP(Auto_Sales_data___Copy[[#This Row],[CUSTOMER_NAME]],$AF$2:$AH$90,3,FALSE)</f>
        <v>57294.420000000006</v>
      </c>
      <c r="W2691" s="2">
        <f>6-MATCH(Auto_Sales_data___Copy[[#This Row],[DAYS_SINCE_LAST_ORDER]],Table2[R-Cutoff],1)</f>
        <v>1</v>
      </c>
      <c r="X2691" s="2">
        <f>MATCH(Auto_Sales_data___Copy[[#This Row],[Total_Orders_Per_Customer]],Table2[F-Cutoff],1)</f>
        <v>2</v>
      </c>
      <c r="Y2691" s="2">
        <f>MATCH(Auto_Sales_data___Copy[[#This Row],[Total_Sales_Per_Customer]],Table2[M-Cutoff],1)</f>
        <v>1</v>
      </c>
      <c r="Z2691" s="2" t="str">
        <f>Auto_Sales_data___Copy[[#This Row],[R-Score(1-5)]]&amp;Auto_Sales_data___Copy[[#This Row],[F-Score(1-5)]]&amp;Auto_Sales_data___Copy[[#This Row],[M-Score(1-5)]]</f>
        <v>121</v>
      </c>
      <c r="AA2691" s="2" t="str" cm="1">
        <f t="array" ref="AA26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1" s="2" t="str">
        <f>VLOOKUP(Auto_Sales_data___Copy[[#This Row],[Segment Name]],Table3[],2,FALSE)</f>
        <v>High-Touch  Win-Back</v>
      </c>
    </row>
    <row r="2692" spans="1:28" x14ac:dyDescent="0.25">
      <c r="A2692">
        <v>10131</v>
      </c>
      <c r="B2692">
        <v>26</v>
      </c>
      <c r="C2692">
        <v>85.13</v>
      </c>
      <c r="D2692">
        <v>2</v>
      </c>
      <c r="E2692">
        <v>2213.38</v>
      </c>
      <c r="F2692" s="1">
        <v>43267</v>
      </c>
      <c r="G2692" s="2" t="s">
        <v>19</v>
      </c>
      <c r="H2692" s="2" t="s">
        <v>607</v>
      </c>
      <c r="I2692">
        <v>74</v>
      </c>
      <c r="J2692" s="2" t="s">
        <v>717</v>
      </c>
      <c r="K2692" s="2" t="s">
        <v>609</v>
      </c>
      <c r="L2692" s="2" t="s">
        <v>610</v>
      </c>
      <c r="M2692" s="2" t="s">
        <v>611</v>
      </c>
      <c r="N2692" s="2" t="s">
        <v>550</v>
      </c>
      <c r="O2692" s="2" t="s">
        <v>612</v>
      </c>
      <c r="P2692" s="2" t="s">
        <v>27</v>
      </c>
      <c r="Q2692" s="2" t="s">
        <v>613</v>
      </c>
      <c r="R2692" s="2" t="s">
        <v>614</v>
      </c>
      <c r="S2692" s="2" t="s">
        <v>30</v>
      </c>
      <c r="T2692">
        <v>3386</v>
      </c>
      <c r="U2692">
        <f>VLOOKUP(Auto_Sales_data___Copy[[#This Row],[CUSTOMER_NAME]],$AF$2:$AH$90,2,FALSE)</f>
        <v>19</v>
      </c>
      <c r="V2692">
        <f>VLOOKUP(Auto_Sales_data___Copy[[#This Row],[CUSTOMER_NAME]],$AF$2:$AH$90,3,FALSE)</f>
        <v>57294.420000000006</v>
      </c>
      <c r="W2692" s="2">
        <f>6-MATCH(Auto_Sales_data___Copy[[#This Row],[DAYS_SINCE_LAST_ORDER]],Table2[R-Cutoff],1)</f>
        <v>1</v>
      </c>
      <c r="X2692" s="2">
        <f>MATCH(Auto_Sales_data___Copy[[#This Row],[Total_Orders_Per_Customer]],Table2[F-Cutoff],1)</f>
        <v>2</v>
      </c>
      <c r="Y2692" s="2">
        <f>MATCH(Auto_Sales_data___Copy[[#This Row],[Total_Sales_Per_Customer]],Table2[M-Cutoff],1)</f>
        <v>1</v>
      </c>
      <c r="Z2692" s="2" t="str">
        <f>Auto_Sales_data___Copy[[#This Row],[R-Score(1-5)]]&amp;Auto_Sales_data___Copy[[#This Row],[F-Score(1-5)]]&amp;Auto_Sales_data___Copy[[#This Row],[M-Score(1-5)]]</f>
        <v>121</v>
      </c>
      <c r="AA2692" s="2" t="str" cm="1">
        <f t="array" ref="AA26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2" s="2" t="str">
        <f>VLOOKUP(Auto_Sales_data___Copy[[#This Row],[Segment Name]],Table3[],2,FALSE)</f>
        <v>High-Touch  Win-Back</v>
      </c>
    </row>
    <row r="2693" spans="1:28" x14ac:dyDescent="0.25">
      <c r="A2693">
        <v>10131</v>
      </c>
      <c r="B2693">
        <v>21</v>
      </c>
      <c r="C2693">
        <v>41.71</v>
      </c>
      <c r="D2693">
        <v>7</v>
      </c>
      <c r="E2693">
        <v>875.91</v>
      </c>
      <c r="F2693" s="1">
        <v>43267</v>
      </c>
      <c r="G2693" s="2" t="s">
        <v>19</v>
      </c>
      <c r="H2693" s="2" t="s">
        <v>607</v>
      </c>
      <c r="I2693">
        <v>49</v>
      </c>
      <c r="J2693" s="2" t="s">
        <v>718</v>
      </c>
      <c r="K2693" s="2" t="s">
        <v>609</v>
      </c>
      <c r="L2693" s="2" t="s">
        <v>610</v>
      </c>
      <c r="M2693" s="2" t="s">
        <v>611</v>
      </c>
      <c r="N2693" s="2" t="s">
        <v>550</v>
      </c>
      <c r="O2693" s="2" t="s">
        <v>612</v>
      </c>
      <c r="P2693" s="2" t="s">
        <v>27</v>
      </c>
      <c r="Q2693" s="2" t="s">
        <v>613</v>
      </c>
      <c r="R2693" s="2" t="s">
        <v>614</v>
      </c>
      <c r="S2693" s="2" t="s">
        <v>30</v>
      </c>
      <c r="T2693">
        <v>3413</v>
      </c>
      <c r="U2693">
        <f>VLOOKUP(Auto_Sales_data___Copy[[#This Row],[CUSTOMER_NAME]],$AF$2:$AH$90,2,FALSE)</f>
        <v>19</v>
      </c>
      <c r="V2693">
        <f>VLOOKUP(Auto_Sales_data___Copy[[#This Row],[CUSTOMER_NAME]],$AF$2:$AH$90,3,FALSE)</f>
        <v>57294.420000000006</v>
      </c>
      <c r="W2693" s="2">
        <f>6-MATCH(Auto_Sales_data___Copy[[#This Row],[DAYS_SINCE_LAST_ORDER]],Table2[R-Cutoff],1)</f>
        <v>1</v>
      </c>
      <c r="X2693" s="2">
        <f>MATCH(Auto_Sales_data___Copy[[#This Row],[Total_Orders_Per_Customer]],Table2[F-Cutoff],1)</f>
        <v>2</v>
      </c>
      <c r="Y2693" s="2">
        <f>MATCH(Auto_Sales_data___Copy[[#This Row],[Total_Sales_Per_Customer]],Table2[M-Cutoff],1)</f>
        <v>1</v>
      </c>
      <c r="Z2693" s="2" t="str">
        <f>Auto_Sales_data___Copy[[#This Row],[R-Score(1-5)]]&amp;Auto_Sales_data___Copy[[#This Row],[F-Score(1-5)]]&amp;Auto_Sales_data___Copy[[#This Row],[M-Score(1-5)]]</f>
        <v>121</v>
      </c>
      <c r="AA2693" s="2" t="str" cm="1">
        <f t="array" ref="AA26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3" s="2" t="str">
        <f>VLOOKUP(Auto_Sales_data___Copy[[#This Row],[Segment Name]],Table3[],2,FALSE)</f>
        <v>High-Touch  Win-Back</v>
      </c>
    </row>
    <row r="2694" spans="1:28" x14ac:dyDescent="0.25">
      <c r="A2694">
        <v>10193</v>
      </c>
      <c r="B2694">
        <v>20</v>
      </c>
      <c r="C2694">
        <v>113.95</v>
      </c>
      <c r="D2694">
        <v>4</v>
      </c>
      <c r="E2694">
        <v>2279</v>
      </c>
      <c r="F2694" s="1">
        <v>43425</v>
      </c>
      <c r="G2694" s="2" t="s">
        <v>19</v>
      </c>
      <c r="H2694" s="2" t="s">
        <v>589</v>
      </c>
      <c r="I2694">
        <v>97</v>
      </c>
      <c r="J2694" s="2" t="s">
        <v>691</v>
      </c>
      <c r="K2694" s="2" t="s">
        <v>598</v>
      </c>
      <c r="L2694" s="2" t="s">
        <v>599</v>
      </c>
      <c r="M2694" s="2" t="s">
        <v>600</v>
      </c>
      <c r="N2694" s="2" t="s">
        <v>601</v>
      </c>
      <c r="O2694" s="2" t="s">
        <v>602</v>
      </c>
      <c r="P2694" s="2" t="s">
        <v>87</v>
      </c>
      <c r="Q2694" s="2" t="s">
        <v>603</v>
      </c>
      <c r="R2694" s="2" t="s">
        <v>604</v>
      </c>
      <c r="S2694" s="2" t="s">
        <v>30</v>
      </c>
      <c r="T2694">
        <v>2571</v>
      </c>
      <c r="U2694">
        <f>VLOOKUP(Auto_Sales_data___Copy[[#This Row],[CUSTOMER_NAME]],$AF$2:$AH$90,2,FALSE)</f>
        <v>23</v>
      </c>
      <c r="V2694">
        <f>VLOOKUP(Auto_Sales_data___Copy[[#This Row],[CUSTOMER_NAME]],$AF$2:$AH$90,3,FALSE)</f>
        <v>64591.460000000014</v>
      </c>
      <c r="W2694" s="2">
        <f>6-MATCH(Auto_Sales_data___Copy[[#This Row],[DAYS_SINCE_LAST_ORDER]],Table2[R-Cutoff],1)</f>
        <v>1</v>
      </c>
      <c r="X2694" s="2">
        <f>MATCH(Auto_Sales_data___Copy[[#This Row],[Total_Orders_Per_Customer]],Table2[F-Cutoff],1)</f>
        <v>2</v>
      </c>
      <c r="Y2694" s="2">
        <f>MATCH(Auto_Sales_data___Copy[[#This Row],[Total_Sales_Per_Customer]],Table2[M-Cutoff],1)</f>
        <v>1</v>
      </c>
      <c r="Z2694" s="2" t="str">
        <f>Auto_Sales_data___Copy[[#This Row],[R-Score(1-5)]]&amp;Auto_Sales_data___Copy[[#This Row],[F-Score(1-5)]]&amp;Auto_Sales_data___Copy[[#This Row],[M-Score(1-5)]]</f>
        <v>121</v>
      </c>
      <c r="AA2694" s="2" t="str" cm="1">
        <f t="array" ref="AA26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4" s="2" t="str">
        <f>VLOOKUP(Auto_Sales_data___Copy[[#This Row],[Segment Name]],Table3[],2,FALSE)</f>
        <v>High-Touch  Win-Back</v>
      </c>
    </row>
    <row r="2695" spans="1:28" x14ac:dyDescent="0.25">
      <c r="A2695">
        <v>10353</v>
      </c>
      <c r="B2695">
        <v>39</v>
      </c>
      <c r="C2695">
        <v>129.33000000000001</v>
      </c>
      <c r="D2695">
        <v>9</v>
      </c>
      <c r="E2695">
        <v>5043.87</v>
      </c>
      <c r="F2695" s="1">
        <v>43803</v>
      </c>
      <c r="G2695" s="2" t="s">
        <v>19</v>
      </c>
      <c r="H2695" s="2" t="s">
        <v>607</v>
      </c>
      <c r="I2695">
        <v>91</v>
      </c>
      <c r="J2695" s="2" t="s">
        <v>707</v>
      </c>
      <c r="K2695" s="2" t="s">
        <v>609</v>
      </c>
      <c r="L2695" s="2" t="s">
        <v>610</v>
      </c>
      <c r="M2695" s="2" t="s">
        <v>611</v>
      </c>
      <c r="N2695" s="2" t="s">
        <v>550</v>
      </c>
      <c r="O2695" s="2" t="s">
        <v>612</v>
      </c>
      <c r="P2695" s="2" t="s">
        <v>27</v>
      </c>
      <c r="Q2695" s="2" t="s">
        <v>613</v>
      </c>
      <c r="R2695" s="2" t="s">
        <v>614</v>
      </c>
      <c r="S2695" s="2" t="s">
        <v>46</v>
      </c>
      <c r="T2695">
        <v>2609</v>
      </c>
      <c r="U2695">
        <f>VLOOKUP(Auto_Sales_data___Copy[[#This Row],[CUSTOMER_NAME]],$AF$2:$AH$90,2,FALSE)</f>
        <v>19</v>
      </c>
      <c r="V2695">
        <f>VLOOKUP(Auto_Sales_data___Copy[[#This Row],[CUSTOMER_NAME]],$AF$2:$AH$90,3,FALSE)</f>
        <v>57294.420000000006</v>
      </c>
      <c r="W2695" s="2">
        <f>6-MATCH(Auto_Sales_data___Copy[[#This Row],[DAYS_SINCE_LAST_ORDER]],Table2[R-Cutoff],1)</f>
        <v>1</v>
      </c>
      <c r="X2695" s="2">
        <f>MATCH(Auto_Sales_data___Copy[[#This Row],[Total_Orders_Per_Customer]],Table2[F-Cutoff],1)</f>
        <v>2</v>
      </c>
      <c r="Y2695" s="2">
        <f>MATCH(Auto_Sales_data___Copy[[#This Row],[Total_Sales_Per_Customer]],Table2[M-Cutoff],1)</f>
        <v>1</v>
      </c>
      <c r="Z2695" s="2" t="str">
        <f>Auto_Sales_data___Copy[[#This Row],[R-Score(1-5)]]&amp;Auto_Sales_data___Copy[[#This Row],[F-Score(1-5)]]&amp;Auto_Sales_data___Copy[[#This Row],[M-Score(1-5)]]</f>
        <v>121</v>
      </c>
      <c r="AA2695" s="2" t="str" cm="1">
        <f t="array" ref="AA26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5" s="2" t="str">
        <f>VLOOKUP(Auto_Sales_data___Copy[[#This Row],[Segment Name]],Table3[],2,FALSE)</f>
        <v>High-Touch  Win-Back</v>
      </c>
    </row>
    <row r="2696" spans="1:28" x14ac:dyDescent="0.25">
      <c r="A2696">
        <v>10353</v>
      </c>
      <c r="B2696">
        <v>48</v>
      </c>
      <c r="C2696">
        <v>68.8</v>
      </c>
      <c r="D2696">
        <v>4</v>
      </c>
      <c r="E2696">
        <v>3302.4</v>
      </c>
      <c r="F2696" s="1">
        <v>43803</v>
      </c>
      <c r="G2696" s="2" t="s">
        <v>19</v>
      </c>
      <c r="H2696" s="2" t="s">
        <v>607</v>
      </c>
      <c r="I2696">
        <v>118</v>
      </c>
      <c r="J2696" s="2" t="s">
        <v>713</v>
      </c>
      <c r="K2696" s="2" t="s">
        <v>609</v>
      </c>
      <c r="L2696" s="2" t="s">
        <v>610</v>
      </c>
      <c r="M2696" s="2" t="s">
        <v>611</v>
      </c>
      <c r="N2696" s="2" t="s">
        <v>550</v>
      </c>
      <c r="O2696" s="2" t="s">
        <v>612</v>
      </c>
      <c r="P2696" s="2" t="s">
        <v>27</v>
      </c>
      <c r="Q2696" s="2" t="s">
        <v>613</v>
      </c>
      <c r="R2696" s="2" t="s">
        <v>614</v>
      </c>
      <c r="S2696" s="2" t="s">
        <v>46</v>
      </c>
      <c r="T2696">
        <v>2764</v>
      </c>
      <c r="U2696">
        <f>VLOOKUP(Auto_Sales_data___Copy[[#This Row],[CUSTOMER_NAME]],$AF$2:$AH$90,2,FALSE)</f>
        <v>19</v>
      </c>
      <c r="V2696">
        <f>VLOOKUP(Auto_Sales_data___Copy[[#This Row],[CUSTOMER_NAME]],$AF$2:$AH$90,3,FALSE)</f>
        <v>57294.420000000006</v>
      </c>
      <c r="W2696" s="2">
        <f>6-MATCH(Auto_Sales_data___Copy[[#This Row],[DAYS_SINCE_LAST_ORDER]],Table2[R-Cutoff],1)</f>
        <v>1</v>
      </c>
      <c r="X2696" s="2">
        <f>MATCH(Auto_Sales_data___Copy[[#This Row],[Total_Orders_Per_Customer]],Table2[F-Cutoff],1)</f>
        <v>2</v>
      </c>
      <c r="Y2696" s="2">
        <f>MATCH(Auto_Sales_data___Copy[[#This Row],[Total_Sales_Per_Customer]],Table2[M-Cutoff],1)</f>
        <v>1</v>
      </c>
      <c r="Z2696" s="2" t="str">
        <f>Auto_Sales_data___Copy[[#This Row],[R-Score(1-5)]]&amp;Auto_Sales_data___Copy[[#This Row],[F-Score(1-5)]]&amp;Auto_Sales_data___Copy[[#This Row],[M-Score(1-5)]]</f>
        <v>121</v>
      </c>
      <c r="AA2696" s="2" t="str" cm="1">
        <f t="array" ref="AA26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6" s="2" t="str">
        <f>VLOOKUP(Auto_Sales_data___Copy[[#This Row],[Segment Name]],Table3[],2,FALSE)</f>
        <v>High-Touch  Win-Back</v>
      </c>
    </row>
    <row r="2697" spans="1:28" x14ac:dyDescent="0.25">
      <c r="A2697">
        <v>10353</v>
      </c>
      <c r="B2697">
        <v>43</v>
      </c>
      <c r="C2697">
        <v>81.95</v>
      </c>
      <c r="D2697">
        <v>6</v>
      </c>
      <c r="E2697">
        <v>3523.85</v>
      </c>
      <c r="F2697" s="1">
        <v>43803</v>
      </c>
      <c r="G2697" s="2" t="s">
        <v>19</v>
      </c>
      <c r="H2697" s="2" t="s">
        <v>607</v>
      </c>
      <c r="I2697">
        <v>80</v>
      </c>
      <c r="J2697" s="2" t="s">
        <v>714</v>
      </c>
      <c r="K2697" s="2" t="s">
        <v>609</v>
      </c>
      <c r="L2697" s="2" t="s">
        <v>610</v>
      </c>
      <c r="M2697" s="2" t="s">
        <v>611</v>
      </c>
      <c r="N2697" s="2" t="s">
        <v>550</v>
      </c>
      <c r="O2697" s="2" t="s">
        <v>612</v>
      </c>
      <c r="P2697" s="2" t="s">
        <v>27</v>
      </c>
      <c r="Q2697" s="2" t="s">
        <v>613</v>
      </c>
      <c r="R2697" s="2" t="s">
        <v>614</v>
      </c>
      <c r="S2697" s="2" t="s">
        <v>46</v>
      </c>
      <c r="T2697">
        <v>2789</v>
      </c>
      <c r="U2697">
        <f>VLOOKUP(Auto_Sales_data___Copy[[#This Row],[CUSTOMER_NAME]],$AF$2:$AH$90,2,FALSE)</f>
        <v>19</v>
      </c>
      <c r="V2697">
        <f>VLOOKUP(Auto_Sales_data___Copy[[#This Row],[CUSTOMER_NAME]],$AF$2:$AH$90,3,FALSE)</f>
        <v>57294.420000000006</v>
      </c>
      <c r="W2697" s="2">
        <f>6-MATCH(Auto_Sales_data___Copy[[#This Row],[DAYS_SINCE_LAST_ORDER]],Table2[R-Cutoff],1)</f>
        <v>1</v>
      </c>
      <c r="X2697" s="2">
        <f>MATCH(Auto_Sales_data___Copy[[#This Row],[Total_Orders_Per_Customer]],Table2[F-Cutoff],1)</f>
        <v>2</v>
      </c>
      <c r="Y2697" s="2">
        <f>MATCH(Auto_Sales_data___Copy[[#This Row],[Total_Sales_Per_Customer]],Table2[M-Cutoff],1)</f>
        <v>1</v>
      </c>
      <c r="Z2697" s="2" t="str">
        <f>Auto_Sales_data___Copy[[#This Row],[R-Score(1-5)]]&amp;Auto_Sales_data___Copy[[#This Row],[F-Score(1-5)]]&amp;Auto_Sales_data___Copy[[#This Row],[M-Score(1-5)]]</f>
        <v>121</v>
      </c>
      <c r="AA2697" s="2" t="str" cm="1">
        <f t="array" ref="AA26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7" s="2" t="str">
        <f>VLOOKUP(Auto_Sales_data___Copy[[#This Row],[Segment Name]],Table3[],2,FALSE)</f>
        <v>High-Touch  Win-Back</v>
      </c>
    </row>
    <row r="2698" spans="1:28" x14ac:dyDescent="0.25">
      <c r="A2698">
        <v>10415</v>
      </c>
      <c r="B2698">
        <v>42</v>
      </c>
      <c r="C2698">
        <v>57.61</v>
      </c>
      <c r="D2698">
        <v>3</v>
      </c>
      <c r="E2698">
        <v>2419.62</v>
      </c>
      <c r="F2698" s="1">
        <v>43960</v>
      </c>
      <c r="G2698" s="2" t="s">
        <v>174</v>
      </c>
      <c r="H2698" s="2" t="s">
        <v>607</v>
      </c>
      <c r="I2698">
        <v>49</v>
      </c>
      <c r="J2698" s="2" t="s">
        <v>718</v>
      </c>
      <c r="K2698" s="2" t="s">
        <v>598</v>
      </c>
      <c r="L2698" s="2" t="s">
        <v>599</v>
      </c>
      <c r="M2698" s="2" t="s">
        <v>600</v>
      </c>
      <c r="N2698" s="2" t="s">
        <v>601</v>
      </c>
      <c r="O2698" s="2" t="s">
        <v>602</v>
      </c>
      <c r="P2698" s="2" t="s">
        <v>87</v>
      </c>
      <c r="Q2698" s="2" t="s">
        <v>603</v>
      </c>
      <c r="R2698" s="2" t="s">
        <v>604</v>
      </c>
      <c r="S2698" s="2" t="s">
        <v>30</v>
      </c>
      <c r="T2698">
        <v>2743</v>
      </c>
      <c r="U2698">
        <f>VLOOKUP(Auto_Sales_data___Copy[[#This Row],[CUSTOMER_NAME]],$AF$2:$AH$90,2,FALSE)</f>
        <v>23</v>
      </c>
      <c r="V2698">
        <f>VLOOKUP(Auto_Sales_data___Copy[[#This Row],[CUSTOMER_NAME]],$AF$2:$AH$90,3,FALSE)</f>
        <v>64591.460000000014</v>
      </c>
      <c r="W2698" s="2">
        <f>6-MATCH(Auto_Sales_data___Copy[[#This Row],[DAYS_SINCE_LAST_ORDER]],Table2[R-Cutoff],1)</f>
        <v>1</v>
      </c>
      <c r="X2698" s="2">
        <f>MATCH(Auto_Sales_data___Copy[[#This Row],[Total_Orders_Per_Customer]],Table2[F-Cutoff],1)</f>
        <v>2</v>
      </c>
      <c r="Y2698" s="2">
        <f>MATCH(Auto_Sales_data___Copy[[#This Row],[Total_Sales_Per_Customer]],Table2[M-Cutoff],1)</f>
        <v>1</v>
      </c>
      <c r="Z2698" s="2" t="str">
        <f>Auto_Sales_data___Copy[[#This Row],[R-Score(1-5)]]&amp;Auto_Sales_data___Copy[[#This Row],[F-Score(1-5)]]&amp;Auto_Sales_data___Copy[[#This Row],[M-Score(1-5)]]</f>
        <v>121</v>
      </c>
      <c r="AA2698" s="2" t="str" cm="1">
        <f t="array" ref="AA26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8" s="2" t="str">
        <f>VLOOKUP(Auto_Sales_data___Copy[[#This Row],[Segment Name]],Table3[],2,FALSE)</f>
        <v>High-Touch  Win-Back</v>
      </c>
    </row>
    <row r="2699" spans="1:28" x14ac:dyDescent="0.25">
      <c r="A2699">
        <v>10196</v>
      </c>
      <c r="B2699">
        <v>46</v>
      </c>
      <c r="C2699">
        <v>62.09</v>
      </c>
      <c r="D2699">
        <v>7</v>
      </c>
      <c r="E2699">
        <v>2856.14</v>
      </c>
      <c r="F2699" s="1">
        <v>43430</v>
      </c>
      <c r="G2699" s="2" t="s">
        <v>19</v>
      </c>
      <c r="H2699" s="2" t="s">
        <v>650</v>
      </c>
      <c r="I2699">
        <v>58</v>
      </c>
      <c r="J2699" s="2" t="s">
        <v>704</v>
      </c>
      <c r="K2699" s="2" t="s">
        <v>249</v>
      </c>
      <c r="L2699" s="2" t="s">
        <v>250</v>
      </c>
      <c r="M2699" s="2" t="s">
        <v>251</v>
      </c>
      <c r="N2699" s="2" t="s">
        <v>252</v>
      </c>
      <c r="O2699" s="2" t="s">
        <v>253</v>
      </c>
      <c r="P2699" s="2" t="s">
        <v>27</v>
      </c>
      <c r="Q2699" s="2" t="s">
        <v>254</v>
      </c>
      <c r="R2699" s="2" t="s">
        <v>255</v>
      </c>
      <c r="S2699" s="2" t="s">
        <v>30</v>
      </c>
      <c r="T2699">
        <v>2895</v>
      </c>
      <c r="U2699">
        <f>VLOOKUP(Auto_Sales_data___Copy[[#This Row],[CUSTOMER_NAME]],$AF$2:$AH$90,2,FALSE)</f>
        <v>17</v>
      </c>
      <c r="V2699">
        <f>VLOOKUP(Auto_Sales_data___Copy[[#This Row],[CUSTOMER_NAME]],$AF$2:$AH$90,3,FALSE)</f>
        <v>79472.070000000007</v>
      </c>
      <c r="W2699" s="2">
        <f>6-MATCH(Auto_Sales_data___Copy[[#This Row],[DAYS_SINCE_LAST_ORDER]],Table2[R-Cutoff],1)</f>
        <v>1</v>
      </c>
      <c r="X2699" s="2">
        <f>MATCH(Auto_Sales_data___Copy[[#This Row],[Total_Orders_Per_Customer]],Table2[F-Cutoff],1)</f>
        <v>1</v>
      </c>
      <c r="Y2699" s="2">
        <f>MATCH(Auto_Sales_data___Copy[[#This Row],[Total_Sales_Per_Customer]],Table2[M-Cutoff],1)</f>
        <v>2</v>
      </c>
      <c r="Z2699" s="2" t="str">
        <f>Auto_Sales_data___Copy[[#This Row],[R-Score(1-5)]]&amp;Auto_Sales_data___Copy[[#This Row],[F-Score(1-5)]]&amp;Auto_Sales_data___Copy[[#This Row],[M-Score(1-5)]]</f>
        <v>112</v>
      </c>
      <c r="AA2699" s="2" t="str" cm="1">
        <f t="array" ref="AA26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9" s="2" t="str">
        <f>VLOOKUP(Auto_Sales_data___Copy[[#This Row],[Segment Name]],Table3[],2,FALSE)</f>
        <v>High-Touch  Win-Back</v>
      </c>
    </row>
    <row r="2700" spans="1:28" x14ac:dyDescent="0.25">
      <c r="A2700">
        <v>10196</v>
      </c>
      <c r="B2700">
        <v>50</v>
      </c>
      <c r="C2700">
        <v>94.4</v>
      </c>
      <c r="D2700">
        <v>2</v>
      </c>
      <c r="E2700">
        <v>4720</v>
      </c>
      <c r="F2700" s="1">
        <v>43430</v>
      </c>
      <c r="G2700" s="2" t="s">
        <v>19</v>
      </c>
      <c r="H2700" s="2" t="s">
        <v>642</v>
      </c>
      <c r="I2700">
        <v>86</v>
      </c>
      <c r="J2700" s="2" t="s">
        <v>708</v>
      </c>
      <c r="K2700" s="2" t="s">
        <v>249</v>
      </c>
      <c r="L2700" s="2" t="s">
        <v>250</v>
      </c>
      <c r="M2700" s="2" t="s">
        <v>251</v>
      </c>
      <c r="N2700" s="2" t="s">
        <v>252</v>
      </c>
      <c r="O2700" s="2" t="s">
        <v>253</v>
      </c>
      <c r="P2700" s="2" t="s">
        <v>27</v>
      </c>
      <c r="Q2700" s="2" t="s">
        <v>254</v>
      </c>
      <c r="R2700" s="2" t="s">
        <v>255</v>
      </c>
      <c r="S2700" s="2" t="s">
        <v>46</v>
      </c>
      <c r="T2700">
        <v>2997</v>
      </c>
      <c r="U2700">
        <f>VLOOKUP(Auto_Sales_data___Copy[[#This Row],[CUSTOMER_NAME]],$AF$2:$AH$90,2,FALSE)</f>
        <v>17</v>
      </c>
      <c r="V2700">
        <f>VLOOKUP(Auto_Sales_data___Copy[[#This Row],[CUSTOMER_NAME]],$AF$2:$AH$90,3,FALSE)</f>
        <v>79472.070000000007</v>
      </c>
      <c r="W2700" s="2">
        <f>6-MATCH(Auto_Sales_data___Copy[[#This Row],[DAYS_SINCE_LAST_ORDER]],Table2[R-Cutoff],1)</f>
        <v>1</v>
      </c>
      <c r="X2700" s="2">
        <f>MATCH(Auto_Sales_data___Copy[[#This Row],[Total_Orders_Per_Customer]],Table2[F-Cutoff],1)</f>
        <v>1</v>
      </c>
      <c r="Y2700" s="2">
        <f>MATCH(Auto_Sales_data___Copy[[#This Row],[Total_Sales_Per_Customer]],Table2[M-Cutoff],1)</f>
        <v>2</v>
      </c>
      <c r="Z2700" s="2" t="str">
        <f>Auto_Sales_data___Copy[[#This Row],[R-Score(1-5)]]&amp;Auto_Sales_data___Copy[[#This Row],[F-Score(1-5)]]&amp;Auto_Sales_data___Copy[[#This Row],[M-Score(1-5)]]</f>
        <v>112</v>
      </c>
      <c r="AA2700" s="2" t="str" cm="1">
        <f t="array" ref="AA27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0" s="2" t="str">
        <f>VLOOKUP(Auto_Sales_data___Copy[[#This Row],[Segment Name]],Table3[],2,FALSE)</f>
        <v>High-Touch  Win-Back</v>
      </c>
    </row>
    <row r="2701" spans="1:28" x14ac:dyDescent="0.25">
      <c r="A2701">
        <v>10245</v>
      </c>
      <c r="B2701">
        <v>44</v>
      </c>
      <c r="C2701">
        <v>69.16</v>
      </c>
      <c r="D2701">
        <v>5</v>
      </c>
      <c r="E2701">
        <v>3043.04</v>
      </c>
      <c r="F2701" s="1">
        <v>43589</v>
      </c>
      <c r="G2701" s="2" t="s">
        <v>19</v>
      </c>
      <c r="H2701" s="2" t="s">
        <v>537</v>
      </c>
      <c r="I2701">
        <v>64</v>
      </c>
      <c r="J2701" s="2" t="s">
        <v>699</v>
      </c>
      <c r="K2701" s="2" t="s">
        <v>249</v>
      </c>
      <c r="L2701" s="2" t="s">
        <v>250</v>
      </c>
      <c r="M2701" s="2" t="s">
        <v>251</v>
      </c>
      <c r="N2701" s="2" t="s">
        <v>252</v>
      </c>
      <c r="O2701" s="2" t="s">
        <v>253</v>
      </c>
      <c r="P2701" s="2" t="s">
        <v>27</v>
      </c>
      <c r="Q2701" s="2" t="s">
        <v>254</v>
      </c>
      <c r="R2701" s="2" t="s">
        <v>255</v>
      </c>
      <c r="S2701" s="2" t="s">
        <v>46</v>
      </c>
      <c r="T2701">
        <v>2612</v>
      </c>
      <c r="U2701">
        <f>VLOOKUP(Auto_Sales_data___Copy[[#This Row],[CUSTOMER_NAME]],$AF$2:$AH$90,2,FALSE)</f>
        <v>17</v>
      </c>
      <c r="V2701">
        <f>VLOOKUP(Auto_Sales_data___Copy[[#This Row],[CUSTOMER_NAME]],$AF$2:$AH$90,3,FALSE)</f>
        <v>79472.070000000007</v>
      </c>
      <c r="W2701" s="2">
        <f>6-MATCH(Auto_Sales_data___Copy[[#This Row],[DAYS_SINCE_LAST_ORDER]],Table2[R-Cutoff],1)</f>
        <v>1</v>
      </c>
      <c r="X2701" s="2">
        <f>MATCH(Auto_Sales_data___Copy[[#This Row],[Total_Orders_Per_Customer]],Table2[F-Cutoff],1)</f>
        <v>1</v>
      </c>
      <c r="Y2701" s="2">
        <f>MATCH(Auto_Sales_data___Copy[[#This Row],[Total_Sales_Per_Customer]],Table2[M-Cutoff],1)</f>
        <v>2</v>
      </c>
      <c r="Z2701" s="2" t="str">
        <f>Auto_Sales_data___Copy[[#This Row],[R-Score(1-5)]]&amp;Auto_Sales_data___Copy[[#This Row],[F-Score(1-5)]]&amp;Auto_Sales_data___Copy[[#This Row],[M-Score(1-5)]]</f>
        <v>112</v>
      </c>
      <c r="AA2701" s="2" t="str" cm="1">
        <f t="array" ref="AA27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1" s="2" t="str">
        <f>VLOOKUP(Auto_Sales_data___Copy[[#This Row],[Segment Name]],Table3[],2,FALSE)</f>
        <v>High-Touch  Win-Back</v>
      </c>
    </row>
    <row r="2702" spans="1:28" x14ac:dyDescent="0.25">
      <c r="A2702">
        <v>10245</v>
      </c>
      <c r="B2702">
        <v>44</v>
      </c>
      <c r="C2702">
        <v>105.2</v>
      </c>
      <c r="D2702">
        <v>4</v>
      </c>
      <c r="E2702">
        <v>4628.8</v>
      </c>
      <c r="F2702" s="1">
        <v>43589</v>
      </c>
      <c r="G2702" s="2" t="s">
        <v>19</v>
      </c>
      <c r="H2702" s="2" t="s">
        <v>183</v>
      </c>
      <c r="I2702">
        <v>101</v>
      </c>
      <c r="J2702" s="2" t="s">
        <v>712</v>
      </c>
      <c r="K2702" s="2" t="s">
        <v>249</v>
      </c>
      <c r="L2702" s="2" t="s">
        <v>250</v>
      </c>
      <c r="M2702" s="2" t="s">
        <v>251</v>
      </c>
      <c r="N2702" s="2" t="s">
        <v>252</v>
      </c>
      <c r="O2702" s="2" t="s">
        <v>253</v>
      </c>
      <c r="P2702" s="2" t="s">
        <v>27</v>
      </c>
      <c r="Q2702" s="2" t="s">
        <v>254</v>
      </c>
      <c r="R2702" s="2" t="s">
        <v>255</v>
      </c>
      <c r="S2702" s="2" t="s">
        <v>46</v>
      </c>
      <c r="T2702">
        <v>2945</v>
      </c>
      <c r="U2702">
        <f>VLOOKUP(Auto_Sales_data___Copy[[#This Row],[CUSTOMER_NAME]],$AF$2:$AH$90,2,FALSE)</f>
        <v>17</v>
      </c>
      <c r="V2702">
        <f>VLOOKUP(Auto_Sales_data___Copy[[#This Row],[CUSTOMER_NAME]],$AF$2:$AH$90,3,FALSE)</f>
        <v>79472.070000000007</v>
      </c>
      <c r="W2702" s="2">
        <f>6-MATCH(Auto_Sales_data___Copy[[#This Row],[DAYS_SINCE_LAST_ORDER]],Table2[R-Cutoff],1)</f>
        <v>1</v>
      </c>
      <c r="X2702" s="2">
        <f>MATCH(Auto_Sales_data___Copy[[#This Row],[Total_Orders_Per_Customer]],Table2[F-Cutoff],1)</f>
        <v>1</v>
      </c>
      <c r="Y2702" s="2">
        <f>MATCH(Auto_Sales_data___Copy[[#This Row],[Total_Sales_Per_Customer]],Table2[M-Cutoff],1)</f>
        <v>2</v>
      </c>
      <c r="Z2702" s="2" t="str">
        <f>Auto_Sales_data___Copy[[#This Row],[R-Score(1-5)]]&amp;Auto_Sales_data___Copy[[#This Row],[F-Score(1-5)]]&amp;Auto_Sales_data___Copy[[#This Row],[M-Score(1-5)]]</f>
        <v>112</v>
      </c>
      <c r="AA2702" s="2" t="str" cm="1">
        <f t="array" ref="AA27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2" s="2" t="str">
        <f>VLOOKUP(Auto_Sales_data___Copy[[#This Row],[Segment Name]],Table3[],2,FALSE)</f>
        <v>High-Touch  Win-Back</v>
      </c>
    </row>
    <row r="2703" spans="1:28" x14ac:dyDescent="0.25">
      <c r="A2703">
        <v>10116</v>
      </c>
      <c r="B2703">
        <v>27</v>
      </c>
      <c r="C2703">
        <v>63.38</v>
      </c>
      <c r="D2703">
        <v>1</v>
      </c>
      <c r="E2703">
        <v>1711.26</v>
      </c>
      <c r="F2703" s="1">
        <v>43201</v>
      </c>
      <c r="G2703" s="2" t="s">
        <v>19</v>
      </c>
      <c r="H2703" s="2" t="s">
        <v>650</v>
      </c>
      <c r="I2703">
        <v>62</v>
      </c>
      <c r="J2703" s="2" t="s">
        <v>698</v>
      </c>
      <c r="K2703" s="2" t="s">
        <v>621</v>
      </c>
      <c r="L2703" s="2" t="s">
        <v>622</v>
      </c>
      <c r="M2703" s="2" t="s">
        <v>623</v>
      </c>
      <c r="N2703" s="2" t="s">
        <v>624</v>
      </c>
      <c r="O2703" s="2" t="s">
        <v>625</v>
      </c>
      <c r="P2703" s="2" t="s">
        <v>389</v>
      </c>
      <c r="Q2703" s="2" t="s">
        <v>626</v>
      </c>
      <c r="R2703" s="2" t="s">
        <v>627</v>
      </c>
      <c r="S2703" s="2" t="s">
        <v>30</v>
      </c>
      <c r="T2703">
        <v>2963</v>
      </c>
      <c r="U2703">
        <f>VLOOKUP(Auto_Sales_data___Copy[[#This Row],[CUSTOMER_NAME]],$AF$2:$AH$90,2,FALSE)</f>
        <v>8</v>
      </c>
      <c r="V2703">
        <f>VLOOKUP(Auto_Sales_data___Copy[[#This Row],[CUSTOMER_NAME]],$AF$2:$AH$90,3,FALSE)</f>
        <v>33440.1</v>
      </c>
      <c r="W2703" s="2">
        <f>6-MATCH(Auto_Sales_data___Copy[[#This Row],[DAYS_SINCE_LAST_ORDER]],Table2[R-Cutoff],1)</f>
        <v>1</v>
      </c>
      <c r="X2703" s="2">
        <f>MATCH(Auto_Sales_data___Copy[[#This Row],[Total_Orders_Per_Customer]],Table2[F-Cutoff],1)</f>
        <v>1</v>
      </c>
      <c r="Y2703" s="2">
        <f>MATCH(Auto_Sales_data___Copy[[#This Row],[Total_Sales_Per_Customer]],Table2[M-Cutoff],1)</f>
        <v>1</v>
      </c>
      <c r="Z2703" s="2" t="str">
        <f>Auto_Sales_data___Copy[[#This Row],[R-Score(1-5)]]&amp;Auto_Sales_data___Copy[[#This Row],[F-Score(1-5)]]&amp;Auto_Sales_data___Copy[[#This Row],[M-Score(1-5)]]</f>
        <v>111</v>
      </c>
      <c r="AA2703" s="2" t="str" cm="1">
        <f t="array" ref="AA27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3" s="2" t="str">
        <f>VLOOKUP(Auto_Sales_data___Copy[[#This Row],[Segment Name]],Table3[],2,FALSE)</f>
        <v>High-Touch  Win-Back</v>
      </c>
    </row>
    <row r="2704" spans="1:28" x14ac:dyDescent="0.25">
      <c r="A2704">
        <v>10144</v>
      </c>
      <c r="B2704">
        <v>20</v>
      </c>
      <c r="C2704">
        <v>81.86</v>
      </c>
      <c r="D2704">
        <v>1</v>
      </c>
      <c r="E2704">
        <v>1637.2</v>
      </c>
      <c r="F2704" s="1">
        <v>43325</v>
      </c>
      <c r="G2704" s="2" t="s">
        <v>19</v>
      </c>
      <c r="H2704" s="2" t="s">
        <v>589</v>
      </c>
      <c r="I2704">
        <v>68</v>
      </c>
      <c r="J2704" s="2" t="s">
        <v>700</v>
      </c>
      <c r="K2704" s="2" t="s">
        <v>621</v>
      </c>
      <c r="L2704" s="2" t="s">
        <v>622</v>
      </c>
      <c r="M2704" s="2" t="s">
        <v>623</v>
      </c>
      <c r="N2704" s="2" t="s">
        <v>624</v>
      </c>
      <c r="O2704" s="2" t="s">
        <v>625</v>
      </c>
      <c r="P2704" s="2" t="s">
        <v>389</v>
      </c>
      <c r="Q2704" s="2" t="s">
        <v>626</v>
      </c>
      <c r="R2704" s="2" t="s">
        <v>627</v>
      </c>
      <c r="S2704" s="2" t="s">
        <v>30</v>
      </c>
      <c r="T2704">
        <v>2893</v>
      </c>
      <c r="U2704">
        <f>VLOOKUP(Auto_Sales_data___Copy[[#This Row],[CUSTOMER_NAME]],$AF$2:$AH$90,2,FALSE)</f>
        <v>8</v>
      </c>
      <c r="V2704">
        <f>VLOOKUP(Auto_Sales_data___Copy[[#This Row],[CUSTOMER_NAME]],$AF$2:$AH$90,3,FALSE)</f>
        <v>33440.1</v>
      </c>
      <c r="W2704" s="2">
        <f>6-MATCH(Auto_Sales_data___Copy[[#This Row],[DAYS_SINCE_LAST_ORDER]],Table2[R-Cutoff],1)</f>
        <v>1</v>
      </c>
      <c r="X2704" s="2">
        <f>MATCH(Auto_Sales_data___Copy[[#This Row],[Total_Orders_Per_Customer]],Table2[F-Cutoff],1)</f>
        <v>1</v>
      </c>
      <c r="Y2704" s="2">
        <f>MATCH(Auto_Sales_data___Copy[[#This Row],[Total_Sales_Per_Customer]],Table2[M-Cutoff],1)</f>
        <v>1</v>
      </c>
      <c r="Z2704" s="2" t="str">
        <f>Auto_Sales_data___Copy[[#This Row],[R-Score(1-5)]]&amp;Auto_Sales_data___Copy[[#This Row],[F-Score(1-5)]]&amp;Auto_Sales_data___Copy[[#This Row],[M-Score(1-5)]]</f>
        <v>111</v>
      </c>
      <c r="AA2704" s="2" t="str" cm="1">
        <f t="array" ref="AA27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4" s="2" t="str">
        <f>VLOOKUP(Auto_Sales_data___Copy[[#This Row],[Segment Name]],Table3[],2,FALSE)</f>
        <v>High-Touch  Win-Back</v>
      </c>
    </row>
    <row r="2705" spans="1:28" x14ac:dyDescent="0.25">
      <c r="A2705">
        <v>10149</v>
      </c>
      <c r="B2705">
        <v>26</v>
      </c>
      <c r="C2705">
        <v>38.979999999999997</v>
      </c>
      <c r="D2705">
        <v>9</v>
      </c>
      <c r="E2705">
        <v>1013.48</v>
      </c>
      <c r="F2705" s="1">
        <v>43355</v>
      </c>
      <c r="G2705" s="2" t="s">
        <v>19</v>
      </c>
      <c r="H2705" s="2" t="s">
        <v>589</v>
      </c>
      <c r="I2705">
        <v>41</v>
      </c>
      <c r="J2705" s="2" t="s">
        <v>689</v>
      </c>
      <c r="K2705" s="2" t="s">
        <v>562</v>
      </c>
      <c r="L2705" s="2" t="s">
        <v>563</v>
      </c>
      <c r="M2705" s="2" t="s">
        <v>564</v>
      </c>
      <c r="N2705" s="2" t="s">
        <v>565</v>
      </c>
      <c r="O2705" s="2" t="s">
        <v>58</v>
      </c>
      <c r="P2705" s="2" t="s">
        <v>27</v>
      </c>
      <c r="Q2705" s="2" t="s">
        <v>566</v>
      </c>
      <c r="R2705" s="2" t="s">
        <v>422</v>
      </c>
      <c r="S2705" s="2" t="s">
        <v>30</v>
      </c>
      <c r="T2705">
        <v>2590</v>
      </c>
      <c r="U2705">
        <f>VLOOKUP(Auto_Sales_data___Copy[[#This Row],[CUSTOMER_NAME]],$AF$2:$AH$90,2,FALSE)</f>
        <v>15</v>
      </c>
      <c r="V2705">
        <f>VLOOKUP(Auto_Sales_data___Copy[[#This Row],[CUSTOMER_NAME]],$AF$2:$AH$90,3,FALSE)</f>
        <v>50218.51</v>
      </c>
      <c r="W2705" s="2">
        <f>6-MATCH(Auto_Sales_data___Copy[[#This Row],[DAYS_SINCE_LAST_ORDER]],Table2[R-Cutoff],1)</f>
        <v>1</v>
      </c>
      <c r="X2705" s="2">
        <f>MATCH(Auto_Sales_data___Copy[[#This Row],[Total_Orders_Per_Customer]],Table2[F-Cutoff],1)</f>
        <v>1</v>
      </c>
      <c r="Y2705" s="2">
        <f>MATCH(Auto_Sales_data___Copy[[#This Row],[Total_Sales_Per_Customer]],Table2[M-Cutoff],1)</f>
        <v>1</v>
      </c>
      <c r="Z2705" s="2" t="str">
        <f>Auto_Sales_data___Copy[[#This Row],[R-Score(1-5)]]&amp;Auto_Sales_data___Copy[[#This Row],[F-Score(1-5)]]&amp;Auto_Sales_data___Copy[[#This Row],[M-Score(1-5)]]</f>
        <v>111</v>
      </c>
      <c r="AA2705" s="2" t="str" cm="1">
        <f t="array" ref="AA27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5" s="2" t="str">
        <f>VLOOKUP(Auto_Sales_data___Copy[[#This Row],[Segment Name]],Table3[],2,FALSE)</f>
        <v>High-Touch  Win-Back</v>
      </c>
    </row>
    <row r="2706" spans="1:28" x14ac:dyDescent="0.25">
      <c r="A2706">
        <v>10149</v>
      </c>
      <c r="B2706">
        <v>20</v>
      </c>
      <c r="C2706">
        <v>90.57</v>
      </c>
      <c r="D2706">
        <v>1</v>
      </c>
      <c r="E2706">
        <v>1811.4</v>
      </c>
      <c r="F2706" s="1">
        <v>43355</v>
      </c>
      <c r="G2706" s="2" t="s">
        <v>19</v>
      </c>
      <c r="H2706" s="2" t="s">
        <v>589</v>
      </c>
      <c r="I2706">
        <v>97</v>
      </c>
      <c r="J2706" s="2" t="s">
        <v>691</v>
      </c>
      <c r="K2706" s="2" t="s">
        <v>562</v>
      </c>
      <c r="L2706" s="2" t="s">
        <v>563</v>
      </c>
      <c r="M2706" s="2" t="s">
        <v>564</v>
      </c>
      <c r="N2706" s="2" t="s">
        <v>565</v>
      </c>
      <c r="O2706" s="2" t="s">
        <v>58</v>
      </c>
      <c r="P2706" s="2" t="s">
        <v>27</v>
      </c>
      <c r="Q2706" s="2" t="s">
        <v>566</v>
      </c>
      <c r="R2706" s="2" t="s">
        <v>422</v>
      </c>
      <c r="S2706" s="2" t="s">
        <v>30</v>
      </c>
      <c r="T2706">
        <v>2637</v>
      </c>
      <c r="U2706">
        <f>VLOOKUP(Auto_Sales_data___Copy[[#This Row],[CUSTOMER_NAME]],$AF$2:$AH$90,2,FALSE)</f>
        <v>15</v>
      </c>
      <c r="V2706">
        <f>VLOOKUP(Auto_Sales_data___Copy[[#This Row],[CUSTOMER_NAME]],$AF$2:$AH$90,3,FALSE)</f>
        <v>50218.51</v>
      </c>
      <c r="W2706" s="2">
        <f>6-MATCH(Auto_Sales_data___Copy[[#This Row],[DAYS_SINCE_LAST_ORDER]],Table2[R-Cutoff],1)</f>
        <v>1</v>
      </c>
      <c r="X2706" s="2">
        <f>MATCH(Auto_Sales_data___Copy[[#This Row],[Total_Orders_Per_Customer]],Table2[F-Cutoff],1)</f>
        <v>1</v>
      </c>
      <c r="Y2706" s="2">
        <f>MATCH(Auto_Sales_data___Copy[[#This Row],[Total_Sales_Per_Customer]],Table2[M-Cutoff],1)</f>
        <v>1</v>
      </c>
      <c r="Z2706" s="2" t="str">
        <f>Auto_Sales_data___Copy[[#This Row],[R-Score(1-5)]]&amp;Auto_Sales_data___Copy[[#This Row],[F-Score(1-5)]]&amp;Auto_Sales_data___Copy[[#This Row],[M-Score(1-5)]]</f>
        <v>111</v>
      </c>
      <c r="AA2706" s="2" t="str" cm="1">
        <f t="array" ref="AA27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6" s="2" t="str">
        <f>VLOOKUP(Auto_Sales_data___Copy[[#This Row],[Segment Name]],Table3[],2,FALSE)</f>
        <v>High-Touch  Win-Back</v>
      </c>
    </row>
    <row r="2707" spans="1:28" x14ac:dyDescent="0.25">
      <c r="A2707">
        <v>10152</v>
      </c>
      <c r="B2707">
        <v>23</v>
      </c>
      <c r="C2707">
        <v>121.83</v>
      </c>
      <c r="D2707">
        <v>3</v>
      </c>
      <c r="E2707">
        <v>2802.09</v>
      </c>
      <c r="F2707" s="1">
        <v>43368</v>
      </c>
      <c r="G2707" s="2" t="s">
        <v>19</v>
      </c>
      <c r="H2707" s="2" t="s">
        <v>183</v>
      </c>
      <c r="I2707">
        <v>118</v>
      </c>
      <c r="J2707" s="2" t="s">
        <v>690</v>
      </c>
      <c r="K2707" s="2" t="s">
        <v>210</v>
      </c>
      <c r="L2707" s="2" t="s">
        <v>211</v>
      </c>
      <c r="M2707" s="2" t="s">
        <v>212</v>
      </c>
      <c r="N2707" s="2" t="s">
        <v>213</v>
      </c>
      <c r="O2707" s="2" t="s">
        <v>214</v>
      </c>
      <c r="P2707" s="2" t="s">
        <v>87</v>
      </c>
      <c r="Q2707" s="2" t="s">
        <v>215</v>
      </c>
      <c r="R2707" s="2" t="s">
        <v>216</v>
      </c>
      <c r="S2707" s="2" t="s">
        <v>30</v>
      </c>
      <c r="T2707">
        <v>2599</v>
      </c>
      <c r="U2707">
        <f>VLOOKUP(Auto_Sales_data___Copy[[#This Row],[CUSTOMER_NAME]],$AF$2:$AH$90,2,FALSE)</f>
        <v>15</v>
      </c>
      <c r="V2707">
        <f>VLOOKUP(Auto_Sales_data___Copy[[#This Row],[CUSTOMER_NAME]],$AF$2:$AH$90,3,FALSE)</f>
        <v>59469.120000000003</v>
      </c>
      <c r="W2707" s="2">
        <f>6-MATCH(Auto_Sales_data___Copy[[#This Row],[DAYS_SINCE_LAST_ORDER]],Table2[R-Cutoff],1)</f>
        <v>1</v>
      </c>
      <c r="X2707" s="2">
        <f>MATCH(Auto_Sales_data___Copy[[#This Row],[Total_Orders_Per_Customer]],Table2[F-Cutoff],1)</f>
        <v>1</v>
      </c>
      <c r="Y2707" s="2">
        <f>MATCH(Auto_Sales_data___Copy[[#This Row],[Total_Sales_Per_Customer]],Table2[M-Cutoff],1)</f>
        <v>1</v>
      </c>
      <c r="Z2707" s="2" t="str">
        <f>Auto_Sales_data___Copy[[#This Row],[R-Score(1-5)]]&amp;Auto_Sales_data___Copy[[#This Row],[F-Score(1-5)]]&amp;Auto_Sales_data___Copy[[#This Row],[M-Score(1-5)]]</f>
        <v>111</v>
      </c>
      <c r="AA2707" s="2" t="str" cm="1">
        <f t="array" ref="AA27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7" s="2" t="str">
        <f>VLOOKUP(Auto_Sales_data___Copy[[#This Row],[Segment Name]],Table3[],2,FALSE)</f>
        <v>High-Touch  Win-Back</v>
      </c>
    </row>
    <row r="2708" spans="1:28" x14ac:dyDescent="0.25">
      <c r="A2708">
        <v>10152</v>
      </c>
      <c r="B2708">
        <v>33</v>
      </c>
      <c r="C2708">
        <v>50.95</v>
      </c>
      <c r="D2708">
        <v>2</v>
      </c>
      <c r="E2708">
        <v>1681.35</v>
      </c>
      <c r="F2708" s="1">
        <v>43368</v>
      </c>
      <c r="G2708" s="2" t="s">
        <v>19</v>
      </c>
      <c r="H2708" s="2" t="s">
        <v>650</v>
      </c>
      <c r="I2708">
        <v>62</v>
      </c>
      <c r="J2708" s="2" t="s">
        <v>698</v>
      </c>
      <c r="K2708" s="2" t="s">
        <v>210</v>
      </c>
      <c r="L2708" s="2" t="s">
        <v>211</v>
      </c>
      <c r="M2708" s="2" t="s">
        <v>212</v>
      </c>
      <c r="N2708" s="2" t="s">
        <v>213</v>
      </c>
      <c r="O2708" s="2" t="s">
        <v>214</v>
      </c>
      <c r="P2708" s="2" t="s">
        <v>87</v>
      </c>
      <c r="Q2708" s="2" t="s">
        <v>215</v>
      </c>
      <c r="R2708" s="2" t="s">
        <v>216</v>
      </c>
      <c r="S2708" s="2" t="s">
        <v>30</v>
      </c>
      <c r="T2708">
        <v>2799</v>
      </c>
      <c r="U2708">
        <f>VLOOKUP(Auto_Sales_data___Copy[[#This Row],[CUSTOMER_NAME]],$AF$2:$AH$90,2,FALSE)</f>
        <v>15</v>
      </c>
      <c r="V2708">
        <f>VLOOKUP(Auto_Sales_data___Copy[[#This Row],[CUSTOMER_NAME]],$AF$2:$AH$90,3,FALSE)</f>
        <v>59469.120000000003</v>
      </c>
      <c r="W2708" s="2">
        <f>6-MATCH(Auto_Sales_data___Copy[[#This Row],[DAYS_SINCE_LAST_ORDER]],Table2[R-Cutoff],1)</f>
        <v>1</v>
      </c>
      <c r="X2708" s="2">
        <f>MATCH(Auto_Sales_data___Copy[[#This Row],[Total_Orders_Per_Customer]],Table2[F-Cutoff],1)</f>
        <v>1</v>
      </c>
      <c r="Y2708" s="2">
        <f>MATCH(Auto_Sales_data___Copy[[#This Row],[Total_Sales_Per_Customer]],Table2[M-Cutoff],1)</f>
        <v>1</v>
      </c>
      <c r="Z2708" s="2" t="str">
        <f>Auto_Sales_data___Copy[[#This Row],[R-Score(1-5)]]&amp;Auto_Sales_data___Copy[[#This Row],[F-Score(1-5)]]&amp;Auto_Sales_data___Copy[[#This Row],[M-Score(1-5)]]</f>
        <v>111</v>
      </c>
      <c r="AA2708" s="2" t="str" cm="1">
        <f t="array" ref="AA27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8" s="2" t="str">
        <f>VLOOKUP(Auto_Sales_data___Copy[[#This Row],[Segment Name]],Table3[],2,FALSE)</f>
        <v>High-Touch  Win-Back</v>
      </c>
    </row>
    <row r="2709" spans="1:28" x14ac:dyDescent="0.25">
      <c r="A2709">
        <v>10154</v>
      </c>
      <c r="B2709">
        <v>36</v>
      </c>
      <c r="C2709">
        <v>64.33</v>
      </c>
      <c r="D2709">
        <v>1</v>
      </c>
      <c r="E2709">
        <v>2315.88</v>
      </c>
      <c r="F2709" s="1">
        <v>43375</v>
      </c>
      <c r="G2709" s="2" t="s">
        <v>19</v>
      </c>
      <c r="H2709" s="2" t="s">
        <v>642</v>
      </c>
      <c r="I2709">
        <v>72</v>
      </c>
      <c r="J2709" s="2" t="s">
        <v>711</v>
      </c>
      <c r="K2709" s="2" t="s">
        <v>547</v>
      </c>
      <c r="L2709" s="2" t="s">
        <v>548</v>
      </c>
      <c r="M2709" s="2" t="s">
        <v>549</v>
      </c>
      <c r="N2709" s="2" t="s">
        <v>550</v>
      </c>
      <c r="O2709" s="2" t="s">
        <v>551</v>
      </c>
      <c r="P2709" s="2" t="s">
        <v>27</v>
      </c>
      <c r="Q2709" s="2" t="s">
        <v>52</v>
      </c>
      <c r="R2709" s="2" t="s">
        <v>255</v>
      </c>
      <c r="S2709" s="2" t="s">
        <v>30</v>
      </c>
      <c r="T2709">
        <v>3125</v>
      </c>
      <c r="U2709">
        <f>VLOOKUP(Auto_Sales_data___Copy[[#This Row],[CUSTOMER_NAME]],$AF$2:$AH$90,2,FALSE)</f>
        <v>3</v>
      </c>
      <c r="V2709">
        <f>VLOOKUP(Auto_Sales_data___Copy[[#This Row],[CUSTOMER_NAME]],$AF$2:$AH$90,3,FALSE)</f>
        <v>9129.3499999999985</v>
      </c>
      <c r="W2709" s="2">
        <f>6-MATCH(Auto_Sales_data___Copy[[#This Row],[DAYS_SINCE_LAST_ORDER]],Table2[R-Cutoff],1)</f>
        <v>1</v>
      </c>
      <c r="X2709" s="2">
        <f>MATCH(Auto_Sales_data___Copy[[#This Row],[Total_Orders_Per_Customer]],Table2[F-Cutoff],1)</f>
        <v>1</v>
      </c>
      <c r="Y2709" s="2">
        <f>MATCH(Auto_Sales_data___Copy[[#This Row],[Total_Sales_Per_Customer]],Table2[M-Cutoff],1)</f>
        <v>1</v>
      </c>
      <c r="Z2709" s="2" t="str">
        <f>Auto_Sales_data___Copy[[#This Row],[R-Score(1-5)]]&amp;Auto_Sales_data___Copy[[#This Row],[F-Score(1-5)]]&amp;Auto_Sales_data___Copy[[#This Row],[M-Score(1-5)]]</f>
        <v>111</v>
      </c>
      <c r="AA2709" s="2" t="str" cm="1">
        <f t="array" ref="AA27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9" s="2" t="str">
        <f>VLOOKUP(Auto_Sales_data___Copy[[#This Row],[Segment Name]],Table3[],2,FALSE)</f>
        <v>High-Touch  Win-Back</v>
      </c>
    </row>
    <row r="2710" spans="1:28" x14ac:dyDescent="0.25">
      <c r="A2710">
        <v>10164</v>
      </c>
      <c r="B2710">
        <v>24</v>
      </c>
      <c r="C2710">
        <v>109.79</v>
      </c>
      <c r="D2710">
        <v>1</v>
      </c>
      <c r="E2710">
        <v>2634.96</v>
      </c>
      <c r="F2710" s="1">
        <v>43394</v>
      </c>
      <c r="G2710" s="2" t="s">
        <v>431</v>
      </c>
      <c r="H2710" s="2" t="s">
        <v>537</v>
      </c>
      <c r="I2710">
        <v>96</v>
      </c>
      <c r="J2710" s="2" t="s">
        <v>694</v>
      </c>
      <c r="K2710" s="2" t="s">
        <v>432</v>
      </c>
      <c r="L2710" s="2" t="s">
        <v>433</v>
      </c>
      <c r="M2710" s="2" t="s">
        <v>434</v>
      </c>
      <c r="N2710" s="2" t="s">
        <v>435</v>
      </c>
      <c r="O2710" s="2" t="s">
        <v>436</v>
      </c>
      <c r="P2710" s="2" t="s">
        <v>148</v>
      </c>
      <c r="Q2710" s="2" t="s">
        <v>437</v>
      </c>
      <c r="R2710" s="2" t="s">
        <v>438</v>
      </c>
      <c r="S2710" s="2" t="s">
        <v>30</v>
      </c>
      <c r="T2710">
        <v>2671</v>
      </c>
      <c r="U2710">
        <f>VLOOKUP(Auto_Sales_data___Copy[[#This Row],[CUSTOMER_NAME]],$AF$2:$AH$90,2,FALSE)</f>
        <v>15</v>
      </c>
      <c r="V2710">
        <f>VLOOKUP(Auto_Sales_data___Copy[[#This Row],[CUSTOMER_NAME]],$AF$2:$AH$90,3,FALSE)</f>
        <v>52263.899999999994</v>
      </c>
      <c r="W2710" s="2">
        <f>6-MATCH(Auto_Sales_data___Copy[[#This Row],[DAYS_SINCE_LAST_ORDER]],Table2[R-Cutoff],1)</f>
        <v>1</v>
      </c>
      <c r="X2710" s="2">
        <f>MATCH(Auto_Sales_data___Copy[[#This Row],[Total_Orders_Per_Customer]],Table2[F-Cutoff],1)</f>
        <v>1</v>
      </c>
      <c r="Y2710" s="2">
        <f>MATCH(Auto_Sales_data___Copy[[#This Row],[Total_Sales_Per_Customer]],Table2[M-Cutoff],1)</f>
        <v>1</v>
      </c>
      <c r="Z2710" s="2" t="str">
        <f>Auto_Sales_data___Copy[[#This Row],[R-Score(1-5)]]&amp;Auto_Sales_data___Copy[[#This Row],[F-Score(1-5)]]&amp;Auto_Sales_data___Copy[[#This Row],[M-Score(1-5)]]</f>
        <v>111</v>
      </c>
      <c r="AA2710" s="2" t="str" cm="1">
        <f t="array" ref="AA27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0" s="2" t="str">
        <f>VLOOKUP(Auto_Sales_data___Copy[[#This Row],[Segment Name]],Table3[],2,FALSE)</f>
        <v>High-Touch  Win-Back</v>
      </c>
    </row>
    <row r="2711" spans="1:28" x14ac:dyDescent="0.25">
      <c r="A2711">
        <v>10164</v>
      </c>
      <c r="B2711">
        <v>49</v>
      </c>
      <c r="C2711">
        <v>54.94</v>
      </c>
      <c r="D2711">
        <v>5</v>
      </c>
      <c r="E2711">
        <v>2692.06</v>
      </c>
      <c r="F2711" s="1">
        <v>43394</v>
      </c>
      <c r="G2711" s="2" t="s">
        <v>431</v>
      </c>
      <c r="H2711" s="2" t="s">
        <v>537</v>
      </c>
      <c r="I2711">
        <v>64</v>
      </c>
      <c r="J2711" s="2" t="s">
        <v>699</v>
      </c>
      <c r="K2711" s="2" t="s">
        <v>432</v>
      </c>
      <c r="L2711" s="2" t="s">
        <v>433</v>
      </c>
      <c r="M2711" s="2" t="s">
        <v>434</v>
      </c>
      <c r="N2711" s="2" t="s">
        <v>435</v>
      </c>
      <c r="O2711" s="2" t="s">
        <v>436</v>
      </c>
      <c r="P2711" s="2" t="s">
        <v>148</v>
      </c>
      <c r="Q2711" s="2" t="s">
        <v>437</v>
      </c>
      <c r="R2711" s="2" t="s">
        <v>438</v>
      </c>
      <c r="S2711" s="2" t="s">
        <v>30</v>
      </c>
      <c r="T2711">
        <v>2800</v>
      </c>
      <c r="U2711">
        <f>VLOOKUP(Auto_Sales_data___Copy[[#This Row],[CUSTOMER_NAME]],$AF$2:$AH$90,2,FALSE)</f>
        <v>15</v>
      </c>
      <c r="V2711">
        <f>VLOOKUP(Auto_Sales_data___Copy[[#This Row],[CUSTOMER_NAME]],$AF$2:$AH$90,3,FALSE)</f>
        <v>52263.899999999994</v>
      </c>
      <c r="W2711" s="2">
        <f>6-MATCH(Auto_Sales_data___Copy[[#This Row],[DAYS_SINCE_LAST_ORDER]],Table2[R-Cutoff],1)</f>
        <v>1</v>
      </c>
      <c r="X2711" s="2">
        <f>MATCH(Auto_Sales_data___Copy[[#This Row],[Total_Orders_Per_Customer]],Table2[F-Cutoff],1)</f>
        <v>1</v>
      </c>
      <c r="Y2711" s="2">
        <f>MATCH(Auto_Sales_data___Copy[[#This Row],[Total_Sales_Per_Customer]],Table2[M-Cutoff],1)</f>
        <v>1</v>
      </c>
      <c r="Z2711" s="2" t="str">
        <f>Auto_Sales_data___Copy[[#This Row],[R-Score(1-5)]]&amp;Auto_Sales_data___Copy[[#This Row],[F-Score(1-5)]]&amp;Auto_Sales_data___Copy[[#This Row],[M-Score(1-5)]]</f>
        <v>111</v>
      </c>
      <c r="AA2711" s="2" t="str" cm="1">
        <f t="array" ref="AA27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1" s="2" t="str">
        <f>VLOOKUP(Auto_Sales_data___Copy[[#This Row],[Segment Name]],Table3[],2,FALSE)</f>
        <v>High-Touch  Win-Back</v>
      </c>
    </row>
    <row r="2712" spans="1:28" x14ac:dyDescent="0.25">
      <c r="A2712">
        <v>10164</v>
      </c>
      <c r="B2712">
        <v>39</v>
      </c>
      <c r="C2712">
        <v>81.93</v>
      </c>
      <c r="D2712">
        <v>4</v>
      </c>
      <c r="E2712">
        <v>3195.27</v>
      </c>
      <c r="F2712" s="1">
        <v>43394</v>
      </c>
      <c r="G2712" s="2" t="s">
        <v>431</v>
      </c>
      <c r="H2712" s="2" t="s">
        <v>183</v>
      </c>
      <c r="I2712">
        <v>101</v>
      </c>
      <c r="J2712" s="2" t="s">
        <v>712</v>
      </c>
      <c r="K2712" s="2" t="s">
        <v>432</v>
      </c>
      <c r="L2712" s="2" t="s">
        <v>433</v>
      </c>
      <c r="M2712" s="2" t="s">
        <v>434</v>
      </c>
      <c r="N2712" s="2" t="s">
        <v>435</v>
      </c>
      <c r="O2712" s="2" t="s">
        <v>436</v>
      </c>
      <c r="P2712" s="2" t="s">
        <v>148</v>
      </c>
      <c r="Q2712" s="2" t="s">
        <v>437</v>
      </c>
      <c r="R2712" s="2" t="s">
        <v>438</v>
      </c>
      <c r="S2712" s="2" t="s">
        <v>46</v>
      </c>
      <c r="T2712">
        <v>3133</v>
      </c>
      <c r="U2712">
        <f>VLOOKUP(Auto_Sales_data___Copy[[#This Row],[CUSTOMER_NAME]],$AF$2:$AH$90,2,FALSE)</f>
        <v>15</v>
      </c>
      <c r="V2712">
        <f>VLOOKUP(Auto_Sales_data___Copy[[#This Row],[CUSTOMER_NAME]],$AF$2:$AH$90,3,FALSE)</f>
        <v>52263.899999999994</v>
      </c>
      <c r="W2712" s="2">
        <f>6-MATCH(Auto_Sales_data___Copy[[#This Row],[DAYS_SINCE_LAST_ORDER]],Table2[R-Cutoff],1)</f>
        <v>1</v>
      </c>
      <c r="X2712" s="2">
        <f>MATCH(Auto_Sales_data___Copy[[#This Row],[Total_Orders_Per_Customer]],Table2[F-Cutoff],1)</f>
        <v>1</v>
      </c>
      <c r="Y2712" s="2">
        <f>MATCH(Auto_Sales_data___Copy[[#This Row],[Total_Sales_Per_Customer]],Table2[M-Cutoff],1)</f>
        <v>1</v>
      </c>
      <c r="Z2712" s="2" t="str">
        <f>Auto_Sales_data___Copy[[#This Row],[R-Score(1-5)]]&amp;Auto_Sales_data___Copy[[#This Row],[F-Score(1-5)]]&amp;Auto_Sales_data___Copy[[#This Row],[M-Score(1-5)]]</f>
        <v>111</v>
      </c>
      <c r="AA2712" s="2" t="str" cm="1">
        <f t="array" ref="AA27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2" s="2" t="str">
        <f>VLOOKUP(Auto_Sales_data___Copy[[#This Row],[Segment Name]],Table3[],2,FALSE)</f>
        <v>High-Touch  Win-Back</v>
      </c>
    </row>
    <row r="2713" spans="1:28" x14ac:dyDescent="0.25">
      <c r="A2713">
        <v>10177</v>
      </c>
      <c r="B2713">
        <v>24</v>
      </c>
      <c r="C2713">
        <v>76</v>
      </c>
      <c r="D2713">
        <v>3</v>
      </c>
      <c r="E2713">
        <v>1824</v>
      </c>
      <c r="F2713" s="1">
        <v>43411</v>
      </c>
      <c r="G2713" s="2" t="s">
        <v>19</v>
      </c>
      <c r="H2713" s="2" t="s">
        <v>642</v>
      </c>
      <c r="I2713">
        <v>66</v>
      </c>
      <c r="J2713" s="2" t="s">
        <v>706</v>
      </c>
      <c r="K2713" s="2" t="s">
        <v>518</v>
      </c>
      <c r="L2713" s="2" t="s">
        <v>519</v>
      </c>
      <c r="M2713" s="2" t="s">
        <v>520</v>
      </c>
      <c r="N2713" s="2" t="s">
        <v>178</v>
      </c>
      <c r="O2713" s="2" t="s">
        <v>196</v>
      </c>
      <c r="P2713" s="2" t="s">
        <v>180</v>
      </c>
      <c r="Q2713" s="2" t="s">
        <v>521</v>
      </c>
      <c r="R2713" s="2" t="s">
        <v>522</v>
      </c>
      <c r="S2713" s="2" t="s">
        <v>30</v>
      </c>
      <c r="T2713">
        <v>2962</v>
      </c>
      <c r="U2713">
        <f>VLOOKUP(Auto_Sales_data___Copy[[#This Row],[CUSTOMER_NAME]],$AF$2:$AH$90,2,FALSE)</f>
        <v>13</v>
      </c>
      <c r="V2713">
        <f>VLOOKUP(Auto_Sales_data___Copy[[#This Row],[CUSTOMER_NAME]],$AF$2:$AH$90,3,FALSE)</f>
        <v>49642.05</v>
      </c>
      <c r="W2713" s="2">
        <f>6-MATCH(Auto_Sales_data___Copy[[#This Row],[DAYS_SINCE_LAST_ORDER]],Table2[R-Cutoff],1)</f>
        <v>1</v>
      </c>
      <c r="X2713" s="2">
        <f>MATCH(Auto_Sales_data___Copy[[#This Row],[Total_Orders_Per_Customer]],Table2[F-Cutoff],1)</f>
        <v>1</v>
      </c>
      <c r="Y2713" s="2">
        <f>MATCH(Auto_Sales_data___Copy[[#This Row],[Total_Sales_Per_Customer]],Table2[M-Cutoff],1)</f>
        <v>1</v>
      </c>
      <c r="Z2713" s="2" t="str">
        <f>Auto_Sales_data___Copy[[#This Row],[R-Score(1-5)]]&amp;Auto_Sales_data___Copy[[#This Row],[F-Score(1-5)]]&amp;Auto_Sales_data___Copy[[#This Row],[M-Score(1-5)]]</f>
        <v>111</v>
      </c>
      <c r="AA2713" s="2" t="str" cm="1">
        <f t="array" ref="AA27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3" s="2" t="str">
        <f>VLOOKUP(Auto_Sales_data___Copy[[#This Row],[Segment Name]],Table3[],2,FALSE)</f>
        <v>High-Touch  Win-Back</v>
      </c>
    </row>
    <row r="2714" spans="1:28" x14ac:dyDescent="0.25">
      <c r="A2714">
        <v>10177</v>
      </c>
      <c r="B2714">
        <v>31</v>
      </c>
      <c r="C2714">
        <v>88.34</v>
      </c>
      <c r="D2714">
        <v>10</v>
      </c>
      <c r="E2714">
        <v>2738.54</v>
      </c>
      <c r="F2714" s="1">
        <v>43411</v>
      </c>
      <c r="G2714" s="2" t="s">
        <v>19</v>
      </c>
      <c r="H2714" s="2" t="s">
        <v>642</v>
      </c>
      <c r="I2714">
        <v>86</v>
      </c>
      <c r="J2714" s="2" t="s">
        <v>708</v>
      </c>
      <c r="K2714" s="2" t="s">
        <v>518</v>
      </c>
      <c r="L2714" s="2" t="s">
        <v>519</v>
      </c>
      <c r="M2714" s="2" t="s">
        <v>520</v>
      </c>
      <c r="N2714" s="2" t="s">
        <v>178</v>
      </c>
      <c r="O2714" s="2" t="s">
        <v>196</v>
      </c>
      <c r="P2714" s="2" t="s">
        <v>180</v>
      </c>
      <c r="Q2714" s="2" t="s">
        <v>521</v>
      </c>
      <c r="R2714" s="2" t="s">
        <v>522</v>
      </c>
      <c r="S2714" s="2" t="s">
        <v>30</v>
      </c>
      <c r="T2714">
        <v>3014</v>
      </c>
      <c r="U2714">
        <f>VLOOKUP(Auto_Sales_data___Copy[[#This Row],[CUSTOMER_NAME]],$AF$2:$AH$90,2,FALSE)</f>
        <v>13</v>
      </c>
      <c r="V2714">
        <f>VLOOKUP(Auto_Sales_data___Copy[[#This Row],[CUSTOMER_NAME]],$AF$2:$AH$90,3,FALSE)</f>
        <v>49642.05</v>
      </c>
      <c r="W2714" s="2">
        <f>6-MATCH(Auto_Sales_data___Copy[[#This Row],[DAYS_SINCE_LAST_ORDER]],Table2[R-Cutoff],1)</f>
        <v>1</v>
      </c>
      <c r="X2714" s="2">
        <f>MATCH(Auto_Sales_data___Copy[[#This Row],[Total_Orders_Per_Customer]],Table2[F-Cutoff],1)</f>
        <v>1</v>
      </c>
      <c r="Y2714" s="2">
        <f>MATCH(Auto_Sales_data___Copy[[#This Row],[Total_Sales_Per_Customer]],Table2[M-Cutoff],1)</f>
        <v>1</v>
      </c>
      <c r="Z2714" s="2" t="str">
        <f>Auto_Sales_data___Copy[[#This Row],[R-Score(1-5)]]&amp;Auto_Sales_data___Copy[[#This Row],[F-Score(1-5)]]&amp;Auto_Sales_data___Copy[[#This Row],[M-Score(1-5)]]</f>
        <v>111</v>
      </c>
      <c r="AA2714" s="2" t="str" cm="1">
        <f t="array" ref="AA27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4" s="2" t="str">
        <f>VLOOKUP(Auto_Sales_data___Copy[[#This Row],[Segment Name]],Table3[],2,FALSE)</f>
        <v>High-Touch  Win-Back</v>
      </c>
    </row>
    <row r="2715" spans="1:28" x14ac:dyDescent="0.25">
      <c r="A2715">
        <v>10177</v>
      </c>
      <c r="B2715">
        <v>32</v>
      </c>
      <c r="C2715">
        <v>76.62</v>
      </c>
      <c r="D2715">
        <v>1</v>
      </c>
      <c r="E2715">
        <v>2451.84</v>
      </c>
      <c r="F2715" s="1">
        <v>43411</v>
      </c>
      <c r="G2715" s="2" t="s">
        <v>19</v>
      </c>
      <c r="H2715" s="2" t="s">
        <v>642</v>
      </c>
      <c r="I2715">
        <v>72</v>
      </c>
      <c r="J2715" s="2" t="s">
        <v>711</v>
      </c>
      <c r="K2715" s="2" t="s">
        <v>518</v>
      </c>
      <c r="L2715" s="2" t="s">
        <v>519</v>
      </c>
      <c r="M2715" s="2" t="s">
        <v>520</v>
      </c>
      <c r="N2715" s="2" t="s">
        <v>178</v>
      </c>
      <c r="O2715" s="2" t="s">
        <v>196</v>
      </c>
      <c r="P2715" s="2" t="s">
        <v>180</v>
      </c>
      <c r="Q2715" s="2" t="s">
        <v>521</v>
      </c>
      <c r="R2715" s="2" t="s">
        <v>522</v>
      </c>
      <c r="S2715" s="2" t="s">
        <v>30</v>
      </c>
      <c r="T2715">
        <v>3091</v>
      </c>
      <c r="U2715">
        <f>VLOOKUP(Auto_Sales_data___Copy[[#This Row],[CUSTOMER_NAME]],$AF$2:$AH$90,2,FALSE)</f>
        <v>13</v>
      </c>
      <c r="V2715">
        <f>VLOOKUP(Auto_Sales_data___Copy[[#This Row],[CUSTOMER_NAME]],$AF$2:$AH$90,3,FALSE)</f>
        <v>49642.05</v>
      </c>
      <c r="W2715" s="2">
        <f>6-MATCH(Auto_Sales_data___Copy[[#This Row],[DAYS_SINCE_LAST_ORDER]],Table2[R-Cutoff],1)</f>
        <v>1</v>
      </c>
      <c r="X2715" s="2">
        <f>MATCH(Auto_Sales_data___Copy[[#This Row],[Total_Orders_Per_Customer]],Table2[F-Cutoff],1)</f>
        <v>1</v>
      </c>
      <c r="Y2715" s="2">
        <f>MATCH(Auto_Sales_data___Copy[[#This Row],[Total_Sales_Per_Customer]],Table2[M-Cutoff],1)</f>
        <v>1</v>
      </c>
      <c r="Z2715" s="2" t="str">
        <f>Auto_Sales_data___Copy[[#This Row],[R-Score(1-5)]]&amp;Auto_Sales_data___Copy[[#This Row],[F-Score(1-5)]]&amp;Auto_Sales_data___Copy[[#This Row],[M-Score(1-5)]]</f>
        <v>111</v>
      </c>
      <c r="AA2715" s="2" t="str" cm="1">
        <f t="array" ref="AA27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5" s="2" t="str">
        <f>VLOOKUP(Auto_Sales_data___Copy[[#This Row],[Segment Name]],Table3[],2,FALSE)</f>
        <v>High-Touch  Win-Back</v>
      </c>
    </row>
    <row r="2716" spans="1:28" x14ac:dyDescent="0.25">
      <c r="A2716">
        <v>10177</v>
      </c>
      <c r="B2716">
        <v>44</v>
      </c>
      <c r="C2716">
        <v>92.16</v>
      </c>
      <c r="D2716">
        <v>4</v>
      </c>
      <c r="E2716">
        <v>4055.04</v>
      </c>
      <c r="F2716" s="1">
        <v>43411</v>
      </c>
      <c r="G2716" s="2" t="s">
        <v>19</v>
      </c>
      <c r="H2716" s="2" t="s">
        <v>642</v>
      </c>
      <c r="I2716">
        <v>100</v>
      </c>
      <c r="J2716" s="2" t="s">
        <v>715</v>
      </c>
      <c r="K2716" s="2" t="s">
        <v>518</v>
      </c>
      <c r="L2716" s="2" t="s">
        <v>519</v>
      </c>
      <c r="M2716" s="2" t="s">
        <v>520</v>
      </c>
      <c r="N2716" s="2" t="s">
        <v>178</v>
      </c>
      <c r="O2716" s="2" t="s">
        <v>196</v>
      </c>
      <c r="P2716" s="2" t="s">
        <v>180</v>
      </c>
      <c r="Q2716" s="2" t="s">
        <v>521</v>
      </c>
      <c r="R2716" s="2" t="s">
        <v>522</v>
      </c>
      <c r="S2716" s="2" t="s">
        <v>46</v>
      </c>
      <c r="T2716">
        <v>3194</v>
      </c>
      <c r="U2716">
        <f>VLOOKUP(Auto_Sales_data___Copy[[#This Row],[CUSTOMER_NAME]],$AF$2:$AH$90,2,FALSE)</f>
        <v>13</v>
      </c>
      <c r="V2716">
        <f>VLOOKUP(Auto_Sales_data___Copy[[#This Row],[CUSTOMER_NAME]],$AF$2:$AH$90,3,FALSE)</f>
        <v>49642.05</v>
      </c>
      <c r="W2716" s="2">
        <f>6-MATCH(Auto_Sales_data___Copy[[#This Row],[DAYS_SINCE_LAST_ORDER]],Table2[R-Cutoff],1)</f>
        <v>1</v>
      </c>
      <c r="X2716" s="2">
        <f>MATCH(Auto_Sales_data___Copy[[#This Row],[Total_Orders_Per_Customer]],Table2[F-Cutoff],1)</f>
        <v>1</v>
      </c>
      <c r="Y2716" s="2">
        <f>MATCH(Auto_Sales_data___Copy[[#This Row],[Total_Sales_Per_Customer]],Table2[M-Cutoff],1)</f>
        <v>1</v>
      </c>
      <c r="Z2716" s="2" t="str">
        <f>Auto_Sales_data___Copy[[#This Row],[R-Score(1-5)]]&amp;Auto_Sales_data___Copy[[#This Row],[F-Score(1-5)]]&amp;Auto_Sales_data___Copy[[#This Row],[M-Score(1-5)]]</f>
        <v>111</v>
      </c>
      <c r="AA2716" s="2" t="str" cm="1">
        <f t="array" ref="AA27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6" s="2" t="str">
        <f>VLOOKUP(Auto_Sales_data___Copy[[#This Row],[Segment Name]],Table3[],2,FALSE)</f>
        <v>High-Touch  Win-Back</v>
      </c>
    </row>
    <row r="2717" spans="1:28" x14ac:dyDescent="0.25">
      <c r="A2717">
        <v>10177</v>
      </c>
      <c r="B2717">
        <v>24</v>
      </c>
      <c r="C2717">
        <v>105.27</v>
      </c>
      <c r="D2717">
        <v>5</v>
      </c>
      <c r="E2717">
        <v>2526.48</v>
      </c>
      <c r="F2717" s="1">
        <v>43411</v>
      </c>
      <c r="G2717" s="2" t="s">
        <v>19</v>
      </c>
      <c r="H2717" s="2" t="s">
        <v>642</v>
      </c>
      <c r="I2717">
        <v>99</v>
      </c>
      <c r="J2717" s="2" t="s">
        <v>716</v>
      </c>
      <c r="K2717" s="2" t="s">
        <v>518</v>
      </c>
      <c r="L2717" s="2" t="s">
        <v>519</v>
      </c>
      <c r="M2717" s="2" t="s">
        <v>520</v>
      </c>
      <c r="N2717" s="2" t="s">
        <v>178</v>
      </c>
      <c r="O2717" s="2" t="s">
        <v>196</v>
      </c>
      <c r="P2717" s="2" t="s">
        <v>180</v>
      </c>
      <c r="Q2717" s="2" t="s">
        <v>521</v>
      </c>
      <c r="R2717" s="2" t="s">
        <v>522</v>
      </c>
      <c r="S2717" s="2" t="s">
        <v>30</v>
      </c>
      <c r="T2717">
        <v>3220</v>
      </c>
      <c r="U2717">
        <f>VLOOKUP(Auto_Sales_data___Copy[[#This Row],[CUSTOMER_NAME]],$AF$2:$AH$90,2,FALSE)</f>
        <v>13</v>
      </c>
      <c r="V2717">
        <f>VLOOKUP(Auto_Sales_data___Copy[[#This Row],[CUSTOMER_NAME]],$AF$2:$AH$90,3,FALSE)</f>
        <v>49642.05</v>
      </c>
      <c r="W2717" s="2">
        <f>6-MATCH(Auto_Sales_data___Copy[[#This Row],[DAYS_SINCE_LAST_ORDER]],Table2[R-Cutoff],1)</f>
        <v>1</v>
      </c>
      <c r="X2717" s="2">
        <f>MATCH(Auto_Sales_data___Copy[[#This Row],[Total_Orders_Per_Customer]],Table2[F-Cutoff],1)</f>
        <v>1</v>
      </c>
      <c r="Y2717" s="2">
        <f>MATCH(Auto_Sales_data___Copy[[#This Row],[Total_Sales_Per_Customer]],Table2[M-Cutoff],1)</f>
        <v>1</v>
      </c>
      <c r="Z2717" s="2" t="str">
        <f>Auto_Sales_data___Copy[[#This Row],[R-Score(1-5)]]&amp;Auto_Sales_data___Copy[[#This Row],[F-Score(1-5)]]&amp;Auto_Sales_data___Copy[[#This Row],[M-Score(1-5)]]</f>
        <v>111</v>
      </c>
      <c r="AA2717" s="2" t="str" cm="1">
        <f t="array" ref="AA27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7" s="2" t="str">
        <f>VLOOKUP(Auto_Sales_data___Copy[[#This Row],[Segment Name]],Table3[],2,FALSE)</f>
        <v>High-Touch  Win-Back</v>
      </c>
    </row>
    <row r="2718" spans="1:28" x14ac:dyDescent="0.25">
      <c r="A2718">
        <v>10177</v>
      </c>
      <c r="B2718">
        <v>40</v>
      </c>
      <c r="C2718">
        <v>50.23</v>
      </c>
      <c r="D2718">
        <v>6</v>
      </c>
      <c r="E2718">
        <v>2009.2</v>
      </c>
      <c r="F2718" s="1">
        <v>43411</v>
      </c>
      <c r="G2718" s="2" t="s">
        <v>19</v>
      </c>
      <c r="H2718" s="2" t="s">
        <v>642</v>
      </c>
      <c r="I2718">
        <v>54</v>
      </c>
      <c r="J2718" s="2" t="s">
        <v>719</v>
      </c>
      <c r="K2718" s="2" t="s">
        <v>518</v>
      </c>
      <c r="L2718" s="2" t="s">
        <v>519</v>
      </c>
      <c r="M2718" s="2" t="s">
        <v>520</v>
      </c>
      <c r="N2718" s="2" t="s">
        <v>178</v>
      </c>
      <c r="O2718" s="2" t="s">
        <v>196</v>
      </c>
      <c r="P2718" s="2" t="s">
        <v>180</v>
      </c>
      <c r="Q2718" s="2" t="s">
        <v>521</v>
      </c>
      <c r="R2718" s="2" t="s">
        <v>522</v>
      </c>
      <c r="S2718" s="2" t="s">
        <v>30</v>
      </c>
      <c r="T2718">
        <v>3299</v>
      </c>
      <c r="U2718">
        <f>VLOOKUP(Auto_Sales_data___Copy[[#This Row],[CUSTOMER_NAME]],$AF$2:$AH$90,2,FALSE)</f>
        <v>13</v>
      </c>
      <c r="V2718">
        <f>VLOOKUP(Auto_Sales_data___Copy[[#This Row],[CUSTOMER_NAME]],$AF$2:$AH$90,3,FALSE)</f>
        <v>49642.05</v>
      </c>
      <c r="W2718" s="2">
        <f>6-MATCH(Auto_Sales_data___Copy[[#This Row],[DAYS_SINCE_LAST_ORDER]],Table2[R-Cutoff],1)</f>
        <v>1</v>
      </c>
      <c r="X2718" s="2">
        <f>MATCH(Auto_Sales_data___Copy[[#This Row],[Total_Orders_Per_Customer]],Table2[F-Cutoff],1)</f>
        <v>1</v>
      </c>
      <c r="Y2718" s="2">
        <f>MATCH(Auto_Sales_data___Copy[[#This Row],[Total_Sales_Per_Customer]],Table2[M-Cutoff],1)</f>
        <v>1</v>
      </c>
      <c r="Z2718" s="2" t="str">
        <f>Auto_Sales_data___Copy[[#This Row],[R-Score(1-5)]]&amp;Auto_Sales_data___Copy[[#This Row],[F-Score(1-5)]]&amp;Auto_Sales_data___Copy[[#This Row],[M-Score(1-5)]]</f>
        <v>111</v>
      </c>
      <c r="AA2718" s="2" t="str" cm="1">
        <f t="array" ref="AA27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8" s="2" t="str">
        <f>VLOOKUP(Auto_Sales_data___Copy[[#This Row],[Segment Name]],Table3[],2,FALSE)</f>
        <v>High-Touch  Win-Back</v>
      </c>
    </row>
    <row r="2719" spans="1:28" x14ac:dyDescent="0.25">
      <c r="A2719">
        <v>10184</v>
      </c>
      <c r="B2719">
        <v>46</v>
      </c>
      <c r="C2719">
        <v>100.16</v>
      </c>
      <c r="D2719">
        <v>13</v>
      </c>
      <c r="E2719">
        <v>4607.3599999999997</v>
      </c>
      <c r="F2719" s="1">
        <v>43418</v>
      </c>
      <c r="G2719" s="2" t="s">
        <v>19</v>
      </c>
      <c r="H2719" s="2" t="s">
        <v>537</v>
      </c>
      <c r="I2719">
        <v>96</v>
      </c>
      <c r="J2719" s="2" t="s">
        <v>694</v>
      </c>
      <c r="K2719" s="2" t="s">
        <v>555</v>
      </c>
      <c r="L2719" s="2" t="s">
        <v>556</v>
      </c>
      <c r="M2719" s="2" t="s">
        <v>557</v>
      </c>
      <c r="N2719" s="2" t="s">
        <v>558</v>
      </c>
      <c r="O2719" s="2" t="s">
        <v>559</v>
      </c>
      <c r="P2719" s="2" t="s">
        <v>180</v>
      </c>
      <c r="Q2719" s="2" t="s">
        <v>560</v>
      </c>
      <c r="R2719" s="2" t="s">
        <v>561</v>
      </c>
      <c r="S2719" s="2" t="s">
        <v>46</v>
      </c>
      <c r="T2719">
        <v>2649</v>
      </c>
      <c r="U2719">
        <f>VLOOKUP(Auto_Sales_data___Copy[[#This Row],[CUSTOMER_NAME]],$AF$2:$AH$90,2,FALSE)</f>
        <v>15</v>
      </c>
      <c r="V2719">
        <f>VLOOKUP(Auto_Sales_data___Copy[[#This Row],[CUSTOMER_NAME]],$AF$2:$AH$90,3,FALSE)</f>
        <v>54723.62</v>
      </c>
      <c r="W2719" s="2">
        <f>6-MATCH(Auto_Sales_data___Copy[[#This Row],[DAYS_SINCE_LAST_ORDER]],Table2[R-Cutoff],1)</f>
        <v>1</v>
      </c>
      <c r="X2719" s="2">
        <f>MATCH(Auto_Sales_data___Copy[[#This Row],[Total_Orders_Per_Customer]],Table2[F-Cutoff],1)</f>
        <v>1</v>
      </c>
      <c r="Y2719" s="2">
        <f>MATCH(Auto_Sales_data___Copy[[#This Row],[Total_Sales_Per_Customer]],Table2[M-Cutoff],1)</f>
        <v>1</v>
      </c>
      <c r="Z2719" s="2" t="str">
        <f>Auto_Sales_data___Copy[[#This Row],[R-Score(1-5)]]&amp;Auto_Sales_data___Copy[[#This Row],[F-Score(1-5)]]&amp;Auto_Sales_data___Copy[[#This Row],[M-Score(1-5)]]</f>
        <v>111</v>
      </c>
      <c r="AA2719" s="2" t="str" cm="1">
        <f t="array" ref="AA27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9" s="2" t="str">
        <f>VLOOKUP(Auto_Sales_data___Copy[[#This Row],[Segment Name]],Table3[],2,FALSE)</f>
        <v>High-Touch  Win-Back</v>
      </c>
    </row>
    <row r="2720" spans="1:28" x14ac:dyDescent="0.25">
      <c r="A2720">
        <v>10184</v>
      </c>
      <c r="B2720">
        <v>33</v>
      </c>
      <c r="C2720">
        <v>62.77</v>
      </c>
      <c r="D2720">
        <v>8</v>
      </c>
      <c r="E2720">
        <v>2071.41</v>
      </c>
      <c r="F2720" s="1">
        <v>43418</v>
      </c>
      <c r="G2720" s="2" t="s">
        <v>19</v>
      </c>
      <c r="H2720" s="2" t="s">
        <v>537</v>
      </c>
      <c r="I2720">
        <v>54</v>
      </c>
      <c r="J2720" s="2" t="s">
        <v>697</v>
      </c>
      <c r="K2720" s="2" t="s">
        <v>555</v>
      </c>
      <c r="L2720" s="2" t="s">
        <v>556</v>
      </c>
      <c r="M2720" s="2" t="s">
        <v>557</v>
      </c>
      <c r="N2720" s="2" t="s">
        <v>558</v>
      </c>
      <c r="O2720" s="2" t="s">
        <v>559</v>
      </c>
      <c r="P2720" s="2" t="s">
        <v>180</v>
      </c>
      <c r="Q2720" s="2" t="s">
        <v>560</v>
      </c>
      <c r="R2720" s="2" t="s">
        <v>561</v>
      </c>
      <c r="S2720" s="2" t="s">
        <v>30</v>
      </c>
      <c r="T2720">
        <v>2724</v>
      </c>
      <c r="U2720">
        <f>VLOOKUP(Auto_Sales_data___Copy[[#This Row],[CUSTOMER_NAME]],$AF$2:$AH$90,2,FALSE)</f>
        <v>15</v>
      </c>
      <c r="V2720">
        <f>VLOOKUP(Auto_Sales_data___Copy[[#This Row],[CUSTOMER_NAME]],$AF$2:$AH$90,3,FALSE)</f>
        <v>54723.62</v>
      </c>
      <c r="W2720" s="2">
        <f>6-MATCH(Auto_Sales_data___Copy[[#This Row],[DAYS_SINCE_LAST_ORDER]],Table2[R-Cutoff],1)</f>
        <v>1</v>
      </c>
      <c r="X2720" s="2">
        <f>MATCH(Auto_Sales_data___Copy[[#This Row],[Total_Orders_Per_Customer]],Table2[F-Cutoff],1)</f>
        <v>1</v>
      </c>
      <c r="Y2720" s="2">
        <f>MATCH(Auto_Sales_data___Copy[[#This Row],[Total_Sales_Per_Customer]],Table2[M-Cutoff],1)</f>
        <v>1</v>
      </c>
      <c r="Z2720" s="2" t="str">
        <f>Auto_Sales_data___Copy[[#This Row],[R-Score(1-5)]]&amp;Auto_Sales_data___Copy[[#This Row],[F-Score(1-5)]]&amp;Auto_Sales_data___Copy[[#This Row],[M-Score(1-5)]]</f>
        <v>111</v>
      </c>
      <c r="AA2720" s="2" t="str" cm="1">
        <f t="array" ref="AA27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0" s="2" t="str">
        <f>VLOOKUP(Auto_Sales_data___Copy[[#This Row],[Segment Name]],Table3[],2,FALSE)</f>
        <v>High-Touch  Win-Back</v>
      </c>
    </row>
    <row r="2721" spans="1:28" x14ac:dyDescent="0.25">
      <c r="A2721">
        <v>10184</v>
      </c>
      <c r="B2721">
        <v>48</v>
      </c>
      <c r="C2721">
        <v>50.95</v>
      </c>
      <c r="D2721">
        <v>1</v>
      </c>
      <c r="E2721">
        <v>2445.6</v>
      </c>
      <c r="F2721" s="1">
        <v>43418</v>
      </c>
      <c r="G2721" s="2" t="s">
        <v>19</v>
      </c>
      <c r="H2721" s="2" t="s">
        <v>650</v>
      </c>
      <c r="I2721">
        <v>62</v>
      </c>
      <c r="J2721" s="2" t="s">
        <v>698</v>
      </c>
      <c r="K2721" s="2" t="s">
        <v>555</v>
      </c>
      <c r="L2721" s="2" t="s">
        <v>556</v>
      </c>
      <c r="M2721" s="2" t="s">
        <v>557</v>
      </c>
      <c r="N2721" s="2" t="s">
        <v>558</v>
      </c>
      <c r="O2721" s="2" t="s">
        <v>559</v>
      </c>
      <c r="P2721" s="2" t="s">
        <v>180</v>
      </c>
      <c r="Q2721" s="2" t="s">
        <v>560</v>
      </c>
      <c r="R2721" s="2" t="s">
        <v>561</v>
      </c>
      <c r="S2721" s="2" t="s">
        <v>30</v>
      </c>
      <c r="T2721">
        <v>2752</v>
      </c>
      <c r="U2721">
        <f>VLOOKUP(Auto_Sales_data___Copy[[#This Row],[CUSTOMER_NAME]],$AF$2:$AH$90,2,FALSE)</f>
        <v>15</v>
      </c>
      <c r="V2721">
        <f>VLOOKUP(Auto_Sales_data___Copy[[#This Row],[CUSTOMER_NAME]],$AF$2:$AH$90,3,FALSE)</f>
        <v>54723.62</v>
      </c>
      <c r="W2721" s="2">
        <f>6-MATCH(Auto_Sales_data___Copy[[#This Row],[DAYS_SINCE_LAST_ORDER]],Table2[R-Cutoff],1)</f>
        <v>1</v>
      </c>
      <c r="X2721" s="2">
        <f>MATCH(Auto_Sales_data___Copy[[#This Row],[Total_Orders_Per_Customer]],Table2[F-Cutoff],1)</f>
        <v>1</v>
      </c>
      <c r="Y2721" s="2">
        <f>MATCH(Auto_Sales_data___Copy[[#This Row],[Total_Sales_Per_Customer]],Table2[M-Cutoff],1)</f>
        <v>1</v>
      </c>
      <c r="Z2721" s="2" t="str">
        <f>Auto_Sales_data___Copy[[#This Row],[R-Score(1-5)]]&amp;Auto_Sales_data___Copy[[#This Row],[F-Score(1-5)]]&amp;Auto_Sales_data___Copy[[#This Row],[M-Score(1-5)]]</f>
        <v>111</v>
      </c>
      <c r="AA2721" s="2" t="str" cm="1">
        <f t="array" ref="AA27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1" s="2" t="str">
        <f>VLOOKUP(Auto_Sales_data___Copy[[#This Row],[Segment Name]],Table3[],2,FALSE)</f>
        <v>High-Touch  Win-Back</v>
      </c>
    </row>
    <row r="2722" spans="1:28" x14ac:dyDescent="0.25">
      <c r="A2722">
        <v>10184</v>
      </c>
      <c r="B2722">
        <v>45</v>
      </c>
      <c r="C2722">
        <v>109.96</v>
      </c>
      <c r="D2722">
        <v>4</v>
      </c>
      <c r="E2722">
        <v>4948.2</v>
      </c>
      <c r="F2722" s="1">
        <v>43418</v>
      </c>
      <c r="G2722" s="2" t="s">
        <v>19</v>
      </c>
      <c r="H2722" s="2" t="s">
        <v>537</v>
      </c>
      <c r="I2722">
        <v>115</v>
      </c>
      <c r="J2722" s="2" t="s">
        <v>703</v>
      </c>
      <c r="K2722" s="2" t="s">
        <v>555</v>
      </c>
      <c r="L2722" s="2" t="s">
        <v>556</v>
      </c>
      <c r="M2722" s="2" t="s">
        <v>557</v>
      </c>
      <c r="N2722" s="2" t="s">
        <v>558</v>
      </c>
      <c r="O2722" s="2" t="s">
        <v>559</v>
      </c>
      <c r="P2722" s="2" t="s">
        <v>180</v>
      </c>
      <c r="Q2722" s="2" t="s">
        <v>560</v>
      </c>
      <c r="R2722" s="2" t="s">
        <v>561</v>
      </c>
      <c r="S2722" s="2" t="s">
        <v>46</v>
      </c>
      <c r="T2722">
        <v>2878</v>
      </c>
      <c r="U2722">
        <f>VLOOKUP(Auto_Sales_data___Copy[[#This Row],[CUSTOMER_NAME]],$AF$2:$AH$90,2,FALSE)</f>
        <v>15</v>
      </c>
      <c r="V2722">
        <f>VLOOKUP(Auto_Sales_data___Copy[[#This Row],[CUSTOMER_NAME]],$AF$2:$AH$90,3,FALSE)</f>
        <v>54723.62</v>
      </c>
      <c r="W2722" s="2">
        <f>6-MATCH(Auto_Sales_data___Copy[[#This Row],[DAYS_SINCE_LAST_ORDER]],Table2[R-Cutoff],1)</f>
        <v>1</v>
      </c>
      <c r="X2722" s="2">
        <f>MATCH(Auto_Sales_data___Copy[[#This Row],[Total_Orders_Per_Customer]],Table2[F-Cutoff],1)</f>
        <v>1</v>
      </c>
      <c r="Y2722" s="2">
        <f>MATCH(Auto_Sales_data___Copy[[#This Row],[Total_Sales_Per_Customer]],Table2[M-Cutoff],1)</f>
        <v>1</v>
      </c>
      <c r="Z2722" s="2" t="str">
        <f>Auto_Sales_data___Copy[[#This Row],[R-Score(1-5)]]&amp;Auto_Sales_data___Copy[[#This Row],[F-Score(1-5)]]&amp;Auto_Sales_data___Copy[[#This Row],[M-Score(1-5)]]</f>
        <v>111</v>
      </c>
      <c r="AA2722" s="2" t="str" cm="1">
        <f t="array" ref="AA27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2" s="2" t="str">
        <f>VLOOKUP(Auto_Sales_data___Copy[[#This Row],[Segment Name]],Table3[],2,FALSE)</f>
        <v>High-Touch  Win-Back</v>
      </c>
    </row>
    <row r="2723" spans="1:28" x14ac:dyDescent="0.25">
      <c r="A2723">
        <v>10186</v>
      </c>
      <c r="B2723">
        <v>24</v>
      </c>
      <c r="C2723">
        <v>99.57</v>
      </c>
      <c r="D2723">
        <v>5</v>
      </c>
      <c r="E2723">
        <v>2389.6799999999998</v>
      </c>
      <c r="F2723" s="1">
        <v>43418</v>
      </c>
      <c r="G2723" s="2" t="s">
        <v>19</v>
      </c>
      <c r="H2723" s="2" t="s">
        <v>642</v>
      </c>
      <c r="I2723">
        <v>90</v>
      </c>
      <c r="J2723" s="2" t="s">
        <v>709</v>
      </c>
      <c r="K2723" s="2" t="s">
        <v>366</v>
      </c>
      <c r="L2723" s="2" t="s">
        <v>367</v>
      </c>
      <c r="M2723" s="2" t="s">
        <v>368</v>
      </c>
      <c r="N2723" s="2" t="s">
        <v>350</v>
      </c>
      <c r="O2723" s="2" t="s">
        <v>369</v>
      </c>
      <c r="P2723" s="2" t="s">
        <v>171</v>
      </c>
      <c r="Q2723" s="2" t="s">
        <v>370</v>
      </c>
      <c r="R2723" s="2" t="s">
        <v>371</v>
      </c>
      <c r="S2723" s="2" t="s">
        <v>30</v>
      </c>
      <c r="T2723">
        <v>3032</v>
      </c>
      <c r="U2723">
        <f>VLOOKUP(Auto_Sales_data___Copy[[#This Row],[CUSTOMER_NAME]],$AF$2:$AH$90,2,FALSE)</f>
        <v>12</v>
      </c>
      <c r="V2723">
        <f>VLOOKUP(Auto_Sales_data___Copy[[#This Row],[CUSTOMER_NAME]],$AF$2:$AH$90,3,FALSE)</f>
        <v>36019.039999999994</v>
      </c>
      <c r="W2723" s="2">
        <f>6-MATCH(Auto_Sales_data___Copy[[#This Row],[DAYS_SINCE_LAST_ORDER]],Table2[R-Cutoff],1)</f>
        <v>1</v>
      </c>
      <c r="X2723" s="2">
        <f>MATCH(Auto_Sales_data___Copy[[#This Row],[Total_Orders_Per_Customer]],Table2[F-Cutoff],1)</f>
        <v>1</v>
      </c>
      <c r="Y2723" s="2">
        <f>MATCH(Auto_Sales_data___Copy[[#This Row],[Total_Sales_Per_Customer]],Table2[M-Cutoff],1)</f>
        <v>1</v>
      </c>
      <c r="Z2723" s="2" t="str">
        <f>Auto_Sales_data___Copy[[#This Row],[R-Score(1-5)]]&amp;Auto_Sales_data___Copy[[#This Row],[F-Score(1-5)]]&amp;Auto_Sales_data___Copy[[#This Row],[M-Score(1-5)]]</f>
        <v>111</v>
      </c>
      <c r="AA2723" s="2" t="str" cm="1">
        <f t="array" ref="AA27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3" s="2" t="str">
        <f>VLOOKUP(Auto_Sales_data___Copy[[#This Row],[Segment Name]],Table3[],2,FALSE)</f>
        <v>High-Touch  Win-Back</v>
      </c>
    </row>
    <row r="2724" spans="1:28" x14ac:dyDescent="0.25">
      <c r="A2724">
        <v>10186</v>
      </c>
      <c r="B2724">
        <v>28</v>
      </c>
      <c r="C2724">
        <v>52.14</v>
      </c>
      <c r="D2724">
        <v>4</v>
      </c>
      <c r="E2724">
        <v>1459.92</v>
      </c>
      <c r="F2724" s="1">
        <v>43418</v>
      </c>
      <c r="G2724" s="2" t="s">
        <v>19</v>
      </c>
      <c r="H2724" s="2" t="s">
        <v>607</v>
      </c>
      <c r="I2724">
        <v>49</v>
      </c>
      <c r="J2724" s="2" t="s">
        <v>718</v>
      </c>
      <c r="K2724" s="2" t="s">
        <v>366</v>
      </c>
      <c r="L2724" s="2" t="s">
        <v>367</v>
      </c>
      <c r="M2724" s="2" t="s">
        <v>368</v>
      </c>
      <c r="N2724" s="2" t="s">
        <v>350</v>
      </c>
      <c r="O2724" s="2" t="s">
        <v>369</v>
      </c>
      <c r="P2724" s="2" t="s">
        <v>171</v>
      </c>
      <c r="Q2724" s="2" t="s">
        <v>370</v>
      </c>
      <c r="R2724" s="2" t="s">
        <v>371</v>
      </c>
      <c r="S2724" s="2" t="s">
        <v>30</v>
      </c>
      <c r="T2724">
        <v>3267</v>
      </c>
      <c r="U2724">
        <f>VLOOKUP(Auto_Sales_data___Copy[[#This Row],[CUSTOMER_NAME]],$AF$2:$AH$90,2,FALSE)</f>
        <v>12</v>
      </c>
      <c r="V2724">
        <f>VLOOKUP(Auto_Sales_data___Copy[[#This Row],[CUSTOMER_NAME]],$AF$2:$AH$90,3,FALSE)</f>
        <v>36019.039999999994</v>
      </c>
      <c r="W2724" s="2">
        <f>6-MATCH(Auto_Sales_data___Copy[[#This Row],[DAYS_SINCE_LAST_ORDER]],Table2[R-Cutoff],1)</f>
        <v>1</v>
      </c>
      <c r="X2724" s="2">
        <f>MATCH(Auto_Sales_data___Copy[[#This Row],[Total_Orders_Per_Customer]],Table2[F-Cutoff],1)</f>
        <v>1</v>
      </c>
      <c r="Y2724" s="2">
        <f>MATCH(Auto_Sales_data___Copy[[#This Row],[Total_Sales_Per_Customer]],Table2[M-Cutoff],1)</f>
        <v>1</v>
      </c>
      <c r="Z2724" s="2" t="str">
        <f>Auto_Sales_data___Copy[[#This Row],[R-Score(1-5)]]&amp;Auto_Sales_data___Copy[[#This Row],[F-Score(1-5)]]&amp;Auto_Sales_data___Copy[[#This Row],[M-Score(1-5)]]</f>
        <v>111</v>
      </c>
      <c r="AA2724" s="2" t="str" cm="1">
        <f t="array" ref="AA27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4" s="2" t="str">
        <f>VLOOKUP(Auto_Sales_data___Copy[[#This Row],[Segment Name]],Table3[],2,FALSE)</f>
        <v>High-Touch  Win-Back</v>
      </c>
    </row>
    <row r="2725" spans="1:28" x14ac:dyDescent="0.25">
      <c r="A2725">
        <v>10199</v>
      </c>
      <c r="B2725">
        <v>29</v>
      </c>
      <c r="C2725">
        <v>38.4</v>
      </c>
      <c r="D2725">
        <v>1</v>
      </c>
      <c r="E2725">
        <v>1113.5999999999999</v>
      </c>
      <c r="F2725" s="1">
        <v>43435</v>
      </c>
      <c r="G2725" s="2" t="s">
        <v>19</v>
      </c>
      <c r="H2725" s="2" t="s">
        <v>589</v>
      </c>
      <c r="I2725">
        <v>43</v>
      </c>
      <c r="J2725" s="2" t="s">
        <v>702</v>
      </c>
      <c r="K2725" s="2" t="s">
        <v>239</v>
      </c>
      <c r="L2725" s="2" t="s">
        <v>240</v>
      </c>
      <c r="M2725" s="2" t="s">
        <v>241</v>
      </c>
      <c r="N2725" s="2" t="s">
        <v>242</v>
      </c>
      <c r="O2725" s="2" t="s">
        <v>99</v>
      </c>
      <c r="P2725" s="2" t="s">
        <v>27</v>
      </c>
      <c r="Q2725" s="2" t="s">
        <v>243</v>
      </c>
      <c r="R2725" s="2" t="s">
        <v>244</v>
      </c>
      <c r="S2725" s="2" t="s">
        <v>30</v>
      </c>
      <c r="T2725">
        <v>2834</v>
      </c>
      <c r="U2725">
        <f>VLOOKUP(Auto_Sales_data___Copy[[#This Row],[CUSTOMER_NAME]],$AF$2:$AH$90,2,FALSE)</f>
        <v>13</v>
      </c>
      <c r="V2725">
        <f>VLOOKUP(Auto_Sales_data___Copy[[#This Row],[CUSTOMER_NAME]],$AF$2:$AH$90,3,FALSE)</f>
        <v>46084.639999999999</v>
      </c>
      <c r="W2725" s="2">
        <f>6-MATCH(Auto_Sales_data___Copy[[#This Row],[DAYS_SINCE_LAST_ORDER]],Table2[R-Cutoff],1)</f>
        <v>1</v>
      </c>
      <c r="X2725" s="2">
        <f>MATCH(Auto_Sales_data___Copy[[#This Row],[Total_Orders_Per_Customer]],Table2[F-Cutoff],1)</f>
        <v>1</v>
      </c>
      <c r="Y2725" s="2">
        <f>MATCH(Auto_Sales_data___Copy[[#This Row],[Total_Sales_Per_Customer]],Table2[M-Cutoff],1)</f>
        <v>1</v>
      </c>
      <c r="Z2725" s="2" t="str">
        <f>Auto_Sales_data___Copy[[#This Row],[R-Score(1-5)]]&amp;Auto_Sales_data___Copy[[#This Row],[F-Score(1-5)]]&amp;Auto_Sales_data___Copy[[#This Row],[M-Score(1-5)]]</f>
        <v>111</v>
      </c>
      <c r="AA2725" s="2" t="str" cm="1">
        <f t="array" ref="AA27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5" s="2" t="str">
        <f>VLOOKUP(Auto_Sales_data___Copy[[#This Row],[Segment Name]],Table3[],2,FALSE)</f>
        <v>High-Touch  Win-Back</v>
      </c>
    </row>
    <row r="2726" spans="1:28" x14ac:dyDescent="0.25">
      <c r="A2726">
        <v>10199</v>
      </c>
      <c r="B2726">
        <v>48</v>
      </c>
      <c r="C2726">
        <v>83.12</v>
      </c>
      <c r="D2726">
        <v>2</v>
      </c>
      <c r="E2726">
        <v>3989.76</v>
      </c>
      <c r="F2726" s="1">
        <v>43435</v>
      </c>
      <c r="G2726" s="2" t="s">
        <v>19</v>
      </c>
      <c r="H2726" s="2" t="s">
        <v>607</v>
      </c>
      <c r="I2726">
        <v>91</v>
      </c>
      <c r="J2726" s="2" t="s">
        <v>707</v>
      </c>
      <c r="K2726" s="2" t="s">
        <v>239</v>
      </c>
      <c r="L2726" s="2" t="s">
        <v>240</v>
      </c>
      <c r="M2726" s="2" t="s">
        <v>241</v>
      </c>
      <c r="N2726" s="2" t="s">
        <v>242</v>
      </c>
      <c r="O2726" s="2" t="s">
        <v>99</v>
      </c>
      <c r="P2726" s="2" t="s">
        <v>27</v>
      </c>
      <c r="Q2726" s="2" t="s">
        <v>243</v>
      </c>
      <c r="R2726" s="2" t="s">
        <v>244</v>
      </c>
      <c r="S2726" s="2" t="s">
        <v>46</v>
      </c>
      <c r="T2726">
        <v>2964</v>
      </c>
      <c r="U2726">
        <f>VLOOKUP(Auto_Sales_data___Copy[[#This Row],[CUSTOMER_NAME]],$AF$2:$AH$90,2,FALSE)</f>
        <v>13</v>
      </c>
      <c r="V2726">
        <f>VLOOKUP(Auto_Sales_data___Copy[[#This Row],[CUSTOMER_NAME]],$AF$2:$AH$90,3,FALSE)</f>
        <v>46084.639999999999</v>
      </c>
      <c r="W2726" s="2">
        <f>6-MATCH(Auto_Sales_data___Copy[[#This Row],[DAYS_SINCE_LAST_ORDER]],Table2[R-Cutoff],1)</f>
        <v>1</v>
      </c>
      <c r="X2726" s="2">
        <f>MATCH(Auto_Sales_data___Copy[[#This Row],[Total_Orders_Per_Customer]],Table2[F-Cutoff],1)</f>
        <v>1</v>
      </c>
      <c r="Y2726" s="2">
        <f>MATCH(Auto_Sales_data___Copy[[#This Row],[Total_Sales_Per_Customer]],Table2[M-Cutoff],1)</f>
        <v>1</v>
      </c>
      <c r="Z2726" s="2" t="str">
        <f>Auto_Sales_data___Copy[[#This Row],[R-Score(1-5)]]&amp;Auto_Sales_data___Copy[[#This Row],[F-Score(1-5)]]&amp;Auto_Sales_data___Copy[[#This Row],[M-Score(1-5)]]</f>
        <v>111</v>
      </c>
      <c r="AA2726" s="2" t="str" cm="1">
        <f t="array" ref="AA27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6" s="2" t="str">
        <f>VLOOKUP(Auto_Sales_data___Copy[[#This Row],[Segment Name]],Table3[],2,FALSE)</f>
        <v>High-Touch  Win-Back</v>
      </c>
    </row>
    <row r="2727" spans="1:28" x14ac:dyDescent="0.25">
      <c r="A2727">
        <v>10199</v>
      </c>
      <c r="B2727">
        <v>38</v>
      </c>
      <c r="C2727">
        <v>82.4</v>
      </c>
      <c r="D2727">
        <v>3</v>
      </c>
      <c r="E2727">
        <v>3131.2</v>
      </c>
      <c r="F2727" s="1">
        <v>43435</v>
      </c>
      <c r="G2727" s="2" t="s">
        <v>19</v>
      </c>
      <c r="H2727" s="2" t="s">
        <v>607</v>
      </c>
      <c r="I2727">
        <v>80</v>
      </c>
      <c r="J2727" s="2" t="s">
        <v>714</v>
      </c>
      <c r="K2727" s="2" t="s">
        <v>239</v>
      </c>
      <c r="L2727" s="2" t="s">
        <v>240</v>
      </c>
      <c r="M2727" s="2" t="s">
        <v>241</v>
      </c>
      <c r="N2727" s="2" t="s">
        <v>242</v>
      </c>
      <c r="O2727" s="2" t="s">
        <v>99</v>
      </c>
      <c r="P2727" s="2" t="s">
        <v>27</v>
      </c>
      <c r="Q2727" s="2" t="s">
        <v>243</v>
      </c>
      <c r="R2727" s="2" t="s">
        <v>244</v>
      </c>
      <c r="S2727" s="2" t="s">
        <v>46</v>
      </c>
      <c r="T2727">
        <v>3144</v>
      </c>
      <c r="U2727">
        <f>VLOOKUP(Auto_Sales_data___Copy[[#This Row],[CUSTOMER_NAME]],$AF$2:$AH$90,2,FALSE)</f>
        <v>13</v>
      </c>
      <c r="V2727">
        <f>VLOOKUP(Auto_Sales_data___Copy[[#This Row],[CUSTOMER_NAME]],$AF$2:$AH$90,3,FALSE)</f>
        <v>46084.639999999999</v>
      </c>
      <c r="W2727" s="2">
        <f>6-MATCH(Auto_Sales_data___Copy[[#This Row],[DAYS_SINCE_LAST_ORDER]],Table2[R-Cutoff],1)</f>
        <v>1</v>
      </c>
      <c r="X2727" s="2">
        <f>MATCH(Auto_Sales_data___Copy[[#This Row],[Total_Orders_Per_Customer]],Table2[F-Cutoff],1)</f>
        <v>1</v>
      </c>
      <c r="Y2727" s="2">
        <f>MATCH(Auto_Sales_data___Copy[[#This Row],[Total_Sales_Per_Customer]],Table2[M-Cutoff],1)</f>
        <v>1</v>
      </c>
      <c r="Z2727" s="2" t="str">
        <f>Auto_Sales_data___Copy[[#This Row],[R-Score(1-5)]]&amp;Auto_Sales_data___Copy[[#This Row],[F-Score(1-5)]]&amp;Auto_Sales_data___Copy[[#This Row],[M-Score(1-5)]]</f>
        <v>111</v>
      </c>
      <c r="AA2727" s="2" t="str" cm="1">
        <f t="array" ref="AA27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7" s="2" t="str">
        <f>VLOOKUP(Auto_Sales_data___Copy[[#This Row],[Segment Name]],Table3[],2,FALSE)</f>
        <v>High-Touch  Win-Back</v>
      </c>
    </row>
    <row r="2728" spans="1:28" x14ac:dyDescent="0.25">
      <c r="A2728">
        <v>10219</v>
      </c>
      <c r="B2728">
        <v>35</v>
      </c>
      <c r="C2728">
        <v>55.19</v>
      </c>
      <c r="D2728">
        <v>4</v>
      </c>
      <c r="E2728">
        <v>1931.65</v>
      </c>
      <c r="F2728" s="1">
        <v>43506</v>
      </c>
      <c r="G2728" s="2" t="s">
        <v>19</v>
      </c>
      <c r="H2728" s="2" t="s">
        <v>537</v>
      </c>
      <c r="I2728">
        <v>54</v>
      </c>
      <c r="J2728" s="2" t="s">
        <v>697</v>
      </c>
      <c r="K2728" s="2" t="s">
        <v>562</v>
      </c>
      <c r="L2728" s="2" t="s">
        <v>563</v>
      </c>
      <c r="M2728" s="2" t="s">
        <v>564</v>
      </c>
      <c r="N2728" s="2" t="s">
        <v>565</v>
      </c>
      <c r="O2728" s="2" t="s">
        <v>58</v>
      </c>
      <c r="P2728" s="2" t="s">
        <v>27</v>
      </c>
      <c r="Q2728" s="2" t="s">
        <v>566</v>
      </c>
      <c r="R2728" s="2" t="s">
        <v>422</v>
      </c>
      <c r="S2728" s="2" t="s">
        <v>30</v>
      </c>
      <c r="T2728">
        <v>2639</v>
      </c>
      <c r="U2728">
        <f>VLOOKUP(Auto_Sales_data___Copy[[#This Row],[CUSTOMER_NAME]],$AF$2:$AH$90,2,FALSE)</f>
        <v>15</v>
      </c>
      <c r="V2728">
        <f>VLOOKUP(Auto_Sales_data___Copy[[#This Row],[CUSTOMER_NAME]],$AF$2:$AH$90,3,FALSE)</f>
        <v>50218.51</v>
      </c>
      <c r="W2728" s="2">
        <f>6-MATCH(Auto_Sales_data___Copy[[#This Row],[DAYS_SINCE_LAST_ORDER]],Table2[R-Cutoff],1)</f>
        <v>1</v>
      </c>
      <c r="X2728" s="2">
        <f>MATCH(Auto_Sales_data___Copy[[#This Row],[Total_Orders_Per_Customer]],Table2[F-Cutoff],1)</f>
        <v>1</v>
      </c>
      <c r="Y2728" s="2">
        <f>MATCH(Auto_Sales_data___Copy[[#This Row],[Total_Sales_Per_Customer]],Table2[M-Cutoff],1)</f>
        <v>1</v>
      </c>
      <c r="Z2728" s="2" t="str">
        <f>Auto_Sales_data___Copy[[#This Row],[R-Score(1-5)]]&amp;Auto_Sales_data___Copy[[#This Row],[F-Score(1-5)]]&amp;Auto_Sales_data___Copy[[#This Row],[M-Score(1-5)]]</f>
        <v>111</v>
      </c>
      <c r="AA2728" s="2" t="str" cm="1">
        <f t="array" ref="AA27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8" s="2" t="str">
        <f>VLOOKUP(Auto_Sales_data___Copy[[#This Row],[Segment Name]],Table3[],2,FALSE)</f>
        <v>High-Touch  Win-Back</v>
      </c>
    </row>
    <row r="2729" spans="1:28" x14ac:dyDescent="0.25">
      <c r="A2729">
        <v>10220</v>
      </c>
      <c r="B2729">
        <v>20</v>
      </c>
      <c r="C2729">
        <v>52.82</v>
      </c>
      <c r="D2729">
        <v>6</v>
      </c>
      <c r="E2729">
        <v>1056.4000000000001</v>
      </c>
      <c r="F2729" s="1">
        <v>43508</v>
      </c>
      <c r="G2729" s="2" t="s">
        <v>19</v>
      </c>
      <c r="H2729" s="2" t="s">
        <v>650</v>
      </c>
      <c r="I2729">
        <v>62</v>
      </c>
      <c r="J2729" s="2" t="s">
        <v>698</v>
      </c>
      <c r="K2729" s="2" t="s">
        <v>510</v>
      </c>
      <c r="L2729" s="2" t="s">
        <v>511</v>
      </c>
      <c r="M2729" s="2" t="s">
        <v>512</v>
      </c>
      <c r="N2729" s="2" t="s">
        <v>513</v>
      </c>
      <c r="O2729" s="2" t="s">
        <v>514</v>
      </c>
      <c r="P2729" s="2" t="s">
        <v>515</v>
      </c>
      <c r="Q2729" s="2" t="s">
        <v>516</v>
      </c>
      <c r="R2729" s="2" t="s">
        <v>517</v>
      </c>
      <c r="S2729" s="2" t="s">
        <v>30</v>
      </c>
      <c r="T2729">
        <v>2665</v>
      </c>
      <c r="U2729">
        <f>VLOOKUP(Auto_Sales_data___Copy[[#This Row],[CUSTOMER_NAME]],$AF$2:$AH$90,2,FALSE)</f>
        <v>16</v>
      </c>
      <c r="V2729">
        <f>VLOOKUP(Auto_Sales_data___Copy[[#This Row],[CUSTOMER_NAME]],$AF$2:$AH$90,3,FALSE)</f>
        <v>57756.43</v>
      </c>
      <c r="W2729" s="2">
        <f>6-MATCH(Auto_Sales_data___Copy[[#This Row],[DAYS_SINCE_LAST_ORDER]],Table2[R-Cutoff],1)</f>
        <v>1</v>
      </c>
      <c r="X2729" s="2">
        <f>MATCH(Auto_Sales_data___Copy[[#This Row],[Total_Orders_Per_Customer]],Table2[F-Cutoff],1)</f>
        <v>1</v>
      </c>
      <c r="Y2729" s="2">
        <f>MATCH(Auto_Sales_data___Copy[[#This Row],[Total_Sales_Per_Customer]],Table2[M-Cutoff],1)</f>
        <v>1</v>
      </c>
      <c r="Z2729" s="2" t="str">
        <f>Auto_Sales_data___Copy[[#This Row],[R-Score(1-5)]]&amp;Auto_Sales_data___Copy[[#This Row],[F-Score(1-5)]]&amp;Auto_Sales_data___Copy[[#This Row],[M-Score(1-5)]]</f>
        <v>111</v>
      </c>
      <c r="AA2729" s="2" t="str" cm="1">
        <f t="array" ref="AA27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9" s="2" t="str">
        <f>VLOOKUP(Auto_Sales_data___Copy[[#This Row],[Segment Name]],Table3[],2,FALSE)</f>
        <v>High-Touch  Win-Back</v>
      </c>
    </row>
    <row r="2730" spans="1:28" x14ac:dyDescent="0.25">
      <c r="A2730">
        <v>10220</v>
      </c>
      <c r="B2730">
        <v>37</v>
      </c>
      <c r="C2730">
        <v>107.65</v>
      </c>
      <c r="D2730">
        <v>9</v>
      </c>
      <c r="E2730">
        <v>3983.05</v>
      </c>
      <c r="F2730" s="1">
        <v>43508</v>
      </c>
      <c r="G2730" s="2" t="s">
        <v>19</v>
      </c>
      <c r="H2730" s="2" t="s">
        <v>537</v>
      </c>
      <c r="I2730">
        <v>115</v>
      </c>
      <c r="J2730" s="2" t="s">
        <v>703</v>
      </c>
      <c r="K2730" s="2" t="s">
        <v>510</v>
      </c>
      <c r="L2730" s="2" t="s">
        <v>511</v>
      </c>
      <c r="M2730" s="2" t="s">
        <v>512</v>
      </c>
      <c r="N2730" s="2" t="s">
        <v>513</v>
      </c>
      <c r="O2730" s="2" t="s">
        <v>514</v>
      </c>
      <c r="P2730" s="2" t="s">
        <v>515</v>
      </c>
      <c r="Q2730" s="2" t="s">
        <v>516</v>
      </c>
      <c r="R2730" s="2" t="s">
        <v>517</v>
      </c>
      <c r="S2730" s="2" t="s">
        <v>46</v>
      </c>
      <c r="T2730">
        <v>2791</v>
      </c>
      <c r="U2730">
        <f>VLOOKUP(Auto_Sales_data___Copy[[#This Row],[CUSTOMER_NAME]],$AF$2:$AH$90,2,FALSE)</f>
        <v>16</v>
      </c>
      <c r="V2730">
        <f>VLOOKUP(Auto_Sales_data___Copy[[#This Row],[CUSTOMER_NAME]],$AF$2:$AH$90,3,FALSE)</f>
        <v>57756.43</v>
      </c>
      <c r="W2730" s="2">
        <f>6-MATCH(Auto_Sales_data___Copy[[#This Row],[DAYS_SINCE_LAST_ORDER]],Table2[R-Cutoff],1)</f>
        <v>1</v>
      </c>
      <c r="X2730" s="2">
        <f>MATCH(Auto_Sales_data___Copy[[#This Row],[Total_Orders_Per_Customer]],Table2[F-Cutoff],1)</f>
        <v>1</v>
      </c>
      <c r="Y2730" s="2">
        <f>MATCH(Auto_Sales_data___Copy[[#This Row],[Total_Sales_Per_Customer]],Table2[M-Cutoff],1)</f>
        <v>1</v>
      </c>
      <c r="Z2730" s="2" t="str">
        <f>Auto_Sales_data___Copy[[#This Row],[R-Score(1-5)]]&amp;Auto_Sales_data___Copy[[#This Row],[F-Score(1-5)]]&amp;Auto_Sales_data___Copy[[#This Row],[M-Score(1-5)]]</f>
        <v>111</v>
      </c>
      <c r="AA2730" s="2" t="str" cm="1">
        <f t="array" ref="AA27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0" s="2" t="str">
        <f>VLOOKUP(Auto_Sales_data___Copy[[#This Row],[Segment Name]],Table3[],2,FALSE)</f>
        <v>High-Touch  Win-Back</v>
      </c>
    </row>
    <row r="2731" spans="1:28" x14ac:dyDescent="0.25">
      <c r="A2731">
        <v>10220</v>
      </c>
      <c r="B2731">
        <v>30</v>
      </c>
      <c r="C2731">
        <v>68.540000000000006</v>
      </c>
      <c r="D2731">
        <v>4</v>
      </c>
      <c r="E2731">
        <v>2056.1999999999998</v>
      </c>
      <c r="F2731" s="1">
        <v>43508</v>
      </c>
      <c r="G2731" s="2" t="s">
        <v>19</v>
      </c>
      <c r="H2731" s="2" t="s">
        <v>650</v>
      </c>
      <c r="I2731">
        <v>58</v>
      </c>
      <c r="J2731" s="2" t="s">
        <v>704</v>
      </c>
      <c r="K2731" s="2" t="s">
        <v>510</v>
      </c>
      <c r="L2731" s="2" t="s">
        <v>511</v>
      </c>
      <c r="M2731" s="2" t="s">
        <v>512</v>
      </c>
      <c r="N2731" s="2" t="s">
        <v>513</v>
      </c>
      <c r="O2731" s="2" t="s">
        <v>514</v>
      </c>
      <c r="P2731" s="2" t="s">
        <v>515</v>
      </c>
      <c r="Q2731" s="2" t="s">
        <v>516</v>
      </c>
      <c r="R2731" s="2" t="s">
        <v>517</v>
      </c>
      <c r="S2731" s="2" t="s">
        <v>30</v>
      </c>
      <c r="T2731">
        <v>2819</v>
      </c>
      <c r="U2731">
        <f>VLOOKUP(Auto_Sales_data___Copy[[#This Row],[CUSTOMER_NAME]],$AF$2:$AH$90,2,FALSE)</f>
        <v>16</v>
      </c>
      <c r="V2731">
        <f>VLOOKUP(Auto_Sales_data___Copy[[#This Row],[CUSTOMER_NAME]],$AF$2:$AH$90,3,FALSE)</f>
        <v>57756.43</v>
      </c>
      <c r="W2731" s="2">
        <f>6-MATCH(Auto_Sales_data___Copy[[#This Row],[DAYS_SINCE_LAST_ORDER]],Table2[R-Cutoff],1)</f>
        <v>1</v>
      </c>
      <c r="X2731" s="2">
        <f>MATCH(Auto_Sales_data___Copy[[#This Row],[Total_Orders_Per_Customer]],Table2[F-Cutoff],1)</f>
        <v>1</v>
      </c>
      <c r="Y2731" s="2">
        <f>MATCH(Auto_Sales_data___Copy[[#This Row],[Total_Sales_Per_Customer]],Table2[M-Cutoff],1)</f>
        <v>1</v>
      </c>
      <c r="Z2731" s="2" t="str">
        <f>Auto_Sales_data___Copy[[#This Row],[R-Score(1-5)]]&amp;Auto_Sales_data___Copy[[#This Row],[F-Score(1-5)]]&amp;Auto_Sales_data___Copy[[#This Row],[M-Score(1-5)]]</f>
        <v>111</v>
      </c>
      <c r="AA2731" s="2" t="str" cm="1">
        <f t="array" ref="AA27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1" s="2" t="str">
        <f>VLOOKUP(Auto_Sales_data___Copy[[#This Row],[Segment Name]],Table3[],2,FALSE)</f>
        <v>High-Touch  Win-Back</v>
      </c>
    </row>
    <row r="2732" spans="1:28" x14ac:dyDescent="0.25">
      <c r="A2732">
        <v>10249</v>
      </c>
      <c r="B2732">
        <v>40</v>
      </c>
      <c r="C2732">
        <v>95.95</v>
      </c>
      <c r="D2732">
        <v>4</v>
      </c>
      <c r="E2732">
        <v>3838</v>
      </c>
      <c r="F2732" s="1">
        <v>43593</v>
      </c>
      <c r="G2732" s="2" t="s">
        <v>19</v>
      </c>
      <c r="H2732" s="2" t="s">
        <v>642</v>
      </c>
      <c r="I2732">
        <v>90</v>
      </c>
      <c r="J2732" s="2" t="s">
        <v>709</v>
      </c>
      <c r="K2732" s="2" t="s">
        <v>245</v>
      </c>
      <c r="L2732" s="2" t="s">
        <v>246</v>
      </c>
      <c r="M2732" s="2" t="s">
        <v>247</v>
      </c>
      <c r="N2732" s="2" t="s">
        <v>118</v>
      </c>
      <c r="O2732" s="2" t="s">
        <v>119</v>
      </c>
      <c r="P2732" s="2" t="s">
        <v>27</v>
      </c>
      <c r="Q2732" s="2" t="s">
        <v>248</v>
      </c>
      <c r="R2732" s="2" t="s">
        <v>142</v>
      </c>
      <c r="S2732" s="2" t="s">
        <v>46</v>
      </c>
      <c r="T2732">
        <v>2860</v>
      </c>
      <c r="U2732">
        <f>VLOOKUP(Auto_Sales_data___Copy[[#This Row],[CUSTOMER_NAME]],$AF$2:$AH$90,2,FALSE)</f>
        <v>11</v>
      </c>
      <c r="V2732">
        <f>VLOOKUP(Auto_Sales_data___Copy[[#This Row],[CUSTOMER_NAME]],$AF$2:$AH$90,3,FALSE)</f>
        <v>36163.619999999995</v>
      </c>
      <c r="W2732" s="2">
        <f>6-MATCH(Auto_Sales_data___Copy[[#This Row],[DAYS_SINCE_LAST_ORDER]],Table2[R-Cutoff],1)</f>
        <v>1</v>
      </c>
      <c r="X2732" s="2">
        <f>MATCH(Auto_Sales_data___Copy[[#This Row],[Total_Orders_Per_Customer]],Table2[F-Cutoff],1)</f>
        <v>1</v>
      </c>
      <c r="Y2732" s="2">
        <f>MATCH(Auto_Sales_data___Copy[[#This Row],[Total_Sales_Per_Customer]],Table2[M-Cutoff],1)</f>
        <v>1</v>
      </c>
      <c r="Z2732" s="2" t="str">
        <f>Auto_Sales_data___Copy[[#This Row],[R-Score(1-5)]]&amp;Auto_Sales_data___Copy[[#This Row],[F-Score(1-5)]]&amp;Auto_Sales_data___Copy[[#This Row],[M-Score(1-5)]]</f>
        <v>111</v>
      </c>
      <c r="AA2732" s="2" t="str" cm="1">
        <f t="array" ref="AA27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2" s="2" t="str">
        <f>VLOOKUP(Auto_Sales_data___Copy[[#This Row],[Segment Name]],Table3[],2,FALSE)</f>
        <v>High-Touch  Win-Back</v>
      </c>
    </row>
    <row r="2733" spans="1:28" x14ac:dyDescent="0.25">
      <c r="A2733">
        <v>10249</v>
      </c>
      <c r="B2733">
        <v>32</v>
      </c>
      <c r="C2733">
        <v>57.61</v>
      </c>
      <c r="D2733">
        <v>3</v>
      </c>
      <c r="E2733">
        <v>1843.52</v>
      </c>
      <c r="F2733" s="1">
        <v>43593</v>
      </c>
      <c r="G2733" s="2" t="s">
        <v>19</v>
      </c>
      <c r="H2733" s="2" t="s">
        <v>607</v>
      </c>
      <c r="I2733">
        <v>49</v>
      </c>
      <c r="J2733" s="2" t="s">
        <v>718</v>
      </c>
      <c r="K2733" s="2" t="s">
        <v>245</v>
      </c>
      <c r="L2733" s="2" t="s">
        <v>246</v>
      </c>
      <c r="M2733" s="2" t="s">
        <v>247</v>
      </c>
      <c r="N2733" s="2" t="s">
        <v>118</v>
      </c>
      <c r="O2733" s="2" t="s">
        <v>119</v>
      </c>
      <c r="P2733" s="2" t="s">
        <v>27</v>
      </c>
      <c r="Q2733" s="2" t="s">
        <v>248</v>
      </c>
      <c r="R2733" s="2" t="s">
        <v>142</v>
      </c>
      <c r="S2733" s="2" t="s">
        <v>30</v>
      </c>
      <c r="T2733">
        <v>3095</v>
      </c>
      <c r="U2733">
        <f>VLOOKUP(Auto_Sales_data___Copy[[#This Row],[CUSTOMER_NAME]],$AF$2:$AH$90,2,FALSE)</f>
        <v>11</v>
      </c>
      <c r="V2733">
        <f>VLOOKUP(Auto_Sales_data___Copy[[#This Row],[CUSTOMER_NAME]],$AF$2:$AH$90,3,FALSE)</f>
        <v>36163.619999999995</v>
      </c>
      <c r="W2733" s="2">
        <f>6-MATCH(Auto_Sales_data___Copy[[#This Row],[DAYS_SINCE_LAST_ORDER]],Table2[R-Cutoff],1)</f>
        <v>1</v>
      </c>
      <c r="X2733" s="2">
        <f>MATCH(Auto_Sales_data___Copy[[#This Row],[Total_Orders_Per_Customer]],Table2[F-Cutoff],1)</f>
        <v>1</v>
      </c>
      <c r="Y2733" s="2">
        <f>MATCH(Auto_Sales_data___Copy[[#This Row],[Total_Sales_Per_Customer]],Table2[M-Cutoff],1)</f>
        <v>1</v>
      </c>
      <c r="Z2733" s="2" t="str">
        <f>Auto_Sales_data___Copy[[#This Row],[R-Score(1-5)]]&amp;Auto_Sales_data___Copy[[#This Row],[F-Score(1-5)]]&amp;Auto_Sales_data___Copy[[#This Row],[M-Score(1-5)]]</f>
        <v>111</v>
      </c>
      <c r="AA2733" s="2" t="str" cm="1">
        <f t="array" ref="AA27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3" s="2" t="str">
        <f>VLOOKUP(Auto_Sales_data___Copy[[#This Row],[Segment Name]],Table3[],2,FALSE)</f>
        <v>High-Touch  Win-Back</v>
      </c>
    </row>
    <row r="2734" spans="1:28" x14ac:dyDescent="0.25">
      <c r="A2734">
        <v>10276</v>
      </c>
      <c r="B2734">
        <v>38</v>
      </c>
      <c r="C2734">
        <v>113.28</v>
      </c>
      <c r="D2734">
        <v>13</v>
      </c>
      <c r="E2734">
        <v>4304.6400000000003</v>
      </c>
      <c r="F2734" s="1">
        <v>43679</v>
      </c>
      <c r="G2734" s="2" t="s">
        <v>19</v>
      </c>
      <c r="H2734" s="2" t="s">
        <v>20</v>
      </c>
      <c r="I2734">
        <v>102</v>
      </c>
      <c r="J2734" s="2" t="s">
        <v>701</v>
      </c>
      <c r="K2734" s="2" t="s">
        <v>487</v>
      </c>
      <c r="L2734" s="2" t="s">
        <v>488</v>
      </c>
      <c r="M2734" s="2" t="s">
        <v>489</v>
      </c>
      <c r="N2734" s="2" t="s">
        <v>297</v>
      </c>
      <c r="O2734" s="2" t="s">
        <v>298</v>
      </c>
      <c r="P2734" s="2" t="s">
        <v>27</v>
      </c>
      <c r="Q2734" s="2" t="s">
        <v>490</v>
      </c>
      <c r="R2734" s="2" t="s">
        <v>491</v>
      </c>
      <c r="S2734" s="2" t="s">
        <v>46</v>
      </c>
      <c r="T2734">
        <v>2572</v>
      </c>
      <c r="U2734">
        <f>VLOOKUP(Auto_Sales_data___Copy[[#This Row],[CUSTOMER_NAME]],$AF$2:$AH$90,2,FALSE)</f>
        <v>15</v>
      </c>
      <c r="V2734">
        <f>VLOOKUP(Auto_Sales_data___Copy[[#This Row],[CUSTOMER_NAME]],$AF$2:$AH$90,3,FALSE)</f>
        <v>57197.959999999992</v>
      </c>
      <c r="W2734" s="2">
        <f>6-MATCH(Auto_Sales_data___Copy[[#This Row],[DAYS_SINCE_LAST_ORDER]],Table2[R-Cutoff],1)</f>
        <v>1</v>
      </c>
      <c r="X2734" s="2">
        <f>MATCH(Auto_Sales_data___Copy[[#This Row],[Total_Orders_Per_Customer]],Table2[F-Cutoff],1)</f>
        <v>1</v>
      </c>
      <c r="Y2734" s="2">
        <f>MATCH(Auto_Sales_data___Copy[[#This Row],[Total_Sales_Per_Customer]],Table2[M-Cutoff],1)</f>
        <v>1</v>
      </c>
      <c r="Z2734" s="2" t="str">
        <f>Auto_Sales_data___Copy[[#This Row],[R-Score(1-5)]]&amp;Auto_Sales_data___Copy[[#This Row],[F-Score(1-5)]]&amp;Auto_Sales_data___Copy[[#This Row],[M-Score(1-5)]]</f>
        <v>111</v>
      </c>
      <c r="AA2734" s="2" t="str" cm="1">
        <f t="array" ref="AA27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4" s="2" t="str">
        <f>VLOOKUP(Auto_Sales_data___Copy[[#This Row],[Segment Name]],Table3[],2,FALSE)</f>
        <v>High-Touch  Win-Back</v>
      </c>
    </row>
    <row r="2735" spans="1:28" x14ac:dyDescent="0.25">
      <c r="A2735">
        <v>10276</v>
      </c>
      <c r="B2735">
        <v>21</v>
      </c>
      <c r="C2735">
        <v>70.78</v>
      </c>
      <c r="D2735">
        <v>11</v>
      </c>
      <c r="E2735">
        <v>1486.38</v>
      </c>
      <c r="F2735" s="1">
        <v>43679</v>
      </c>
      <c r="G2735" s="2" t="s">
        <v>19</v>
      </c>
      <c r="H2735" s="2" t="s">
        <v>20</v>
      </c>
      <c r="I2735">
        <v>81</v>
      </c>
      <c r="J2735" s="2" t="s">
        <v>705</v>
      </c>
      <c r="K2735" s="2" t="s">
        <v>487</v>
      </c>
      <c r="L2735" s="2" t="s">
        <v>488</v>
      </c>
      <c r="M2735" s="2" t="s">
        <v>489</v>
      </c>
      <c r="N2735" s="2" t="s">
        <v>297</v>
      </c>
      <c r="O2735" s="2" t="s">
        <v>298</v>
      </c>
      <c r="P2735" s="2" t="s">
        <v>27</v>
      </c>
      <c r="Q2735" s="2" t="s">
        <v>490</v>
      </c>
      <c r="R2735" s="2" t="s">
        <v>491</v>
      </c>
      <c r="S2735" s="2" t="s">
        <v>30</v>
      </c>
      <c r="T2735">
        <v>2676</v>
      </c>
      <c r="U2735">
        <f>VLOOKUP(Auto_Sales_data___Copy[[#This Row],[CUSTOMER_NAME]],$AF$2:$AH$90,2,FALSE)</f>
        <v>15</v>
      </c>
      <c r="V2735">
        <f>VLOOKUP(Auto_Sales_data___Copy[[#This Row],[CUSTOMER_NAME]],$AF$2:$AH$90,3,FALSE)</f>
        <v>57197.959999999992</v>
      </c>
      <c r="W2735" s="2">
        <f>6-MATCH(Auto_Sales_data___Copy[[#This Row],[DAYS_SINCE_LAST_ORDER]],Table2[R-Cutoff],1)</f>
        <v>1</v>
      </c>
      <c r="X2735" s="2">
        <f>MATCH(Auto_Sales_data___Copy[[#This Row],[Total_Orders_Per_Customer]],Table2[F-Cutoff],1)</f>
        <v>1</v>
      </c>
      <c r="Y2735" s="2">
        <f>MATCH(Auto_Sales_data___Copy[[#This Row],[Total_Sales_Per_Customer]],Table2[M-Cutoff],1)</f>
        <v>1</v>
      </c>
      <c r="Z2735" s="2" t="str">
        <f>Auto_Sales_data___Copy[[#This Row],[R-Score(1-5)]]&amp;Auto_Sales_data___Copy[[#This Row],[F-Score(1-5)]]&amp;Auto_Sales_data___Copy[[#This Row],[M-Score(1-5)]]</f>
        <v>111</v>
      </c>
      <c r="AA2735" s="2" t="str" cm="1">
        <f t="array" ref="AA27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5" s="2" t="str">
        <f>VLOOKUP(Auto_Sales_data___Copy[[#This Row],[Segment Name]],Table3[],2,FALSE)</f>
        <v>High-Touch  Win-Back</v>
      </c>
    </row>
    <row r="2736" spans="1:28" x14ac:dyDescent="0.25">
      <c r="A2736">
        <v>10294</v>
      </c>
      <c r="B2736">
        <v>45</v>
      </c>
      <c r="C2736">
        <v>104.28</v>
      </c>
      <c r="D2736">
        <v>1</v>
      </c>
      <c r="E2736">
        <v>4692.6000000000004</v>
      </c>
      <c r="F2736" s="1">
        <v>43718</v>
      </c>
      <c r="G2736" s="2" t="s">
        <v>19</v>
      </c>
      <c r="H2736" s="2" t="s">
        <v>642</v>
      </c>
      <c r="I2736">
        <v>99</v>
      </c>
      <c r="J2736" s="2" t="s">
        <v>716</v>
      </c>
      <c r="K2736" s="2" t="s">
        <v>487</v>
      </c>
      <c r="L2736" s="2" t="s">
        <v>488</v>
      </c>
      <c r="M2736" s="2" t="s">
        <v>489</v>
      </c>
      <c r="N2736" s="2" t="s">
        <v>297</v>
      </c>
      <c r="O2736" s="2" t="s">
        <v>298</v>
      </c>
      <c r="P2736" s="2" t="s">
        <v>27</v>
      </c>
      <c r="Q2736" s="2" t="s">
        <v>490</v>
      </c>
      <c r="R2736" s="2" t="s">
        <v>491</v>
      </c>
      <c r="S2736" s="2" t="s">
        <v>46</v>
      </c>
      <c r="T2736">
        <v>2923</v>
      </c>
      <c r="U2736">
        <f>VLOOKUP(Auto_Sales_data___Copy[[#This Row],[CUSTOMER_NAME]],$AF$2:$AH$90,2,FALSE)</f>
        <v>15</v>
      </c>
      <c r="V2736">
        <f>VLOOKUP(Auto_Sales_data___Copy[[#This Row],[CUSTOMER_NAME]],$AF$2:$AH$90,3,FALSE)</f>
        <v>57197.959999999992</v>
      </c>
      <c r="W2736" s="2">
        <f>6-MATCH(Auto_Sales_data___Copy[[#This Row],[DAYS_SINCE_LAST_ORDER]],Table2[R-Cutoff],1)</f>
        <v>1</v>
      </c>
      <c r="X2736" s="2">
        <f>MATCH(Auto_Sales_data___Copy[[#This Row],[Total_Orders_Per_Customer]],Table2[F-Cutoff],1)</f>
        <v>1</v>
      </c>
      <c r="Y2736" s="2">
        <f>MATCH(Auto_Sales_data___Copy[[#This Row],[Total_Sales_Per_Customer]],Table2[M-Cutoff],1)</f>
        <v>1</v>
      </c>
      <c r="Z2736" s="2" t="str">
        <f>Auto_Sales_data___Copy[[#This Row],[R-Score(1-5)]]&amp;Auto_Sales_data___Copy[[#This Row],[F-Score(1-5)]]&amp;Auto_Sales_data___Copy[[#This Row],[M-Score(1-5)]]</f>
        <v>111</v>
      </c>
      <c r="AA2736" s="2" t="str" cm="1">
        <f t="array" ref="AA27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6" s="2" t="str">
        <f>VLOOKUP(Auto_Sales_data___Copy[[#This Row],[Segment Name]],Table3[],2,FALSE)</f>
        <v>High-Touch  Win-Back</v>
      </c>
    </row>
    <row r="2737" spans="1:28" x14ac:dyDescent="0.25">
      <c r="A2737">
        <v>10296</v>
      </c>
      <c r="B2737">
        <v>42</v>
      </c>
      <c r="C2737">
        <v>102.3</v>
      </c>
      <c r="D2737">
        <v>2</v>
      </c>
      <c r="E2737">
        <v>4296.6000000000004</v>
      </c>
      <c r="F2737" s="1">
        <v>43723</v>
      </c>
      <c r="G2737" s="2" t="s">
        <v>19</v>
      </c>
      <c r="H2737" s="2" t="s">
        <v>607</v>
      </c>
      <c r="I2737">
        <v>91</v>
      </c>
      <c r="J2737" s="2" t="s">
        <v>707</v>
      </c>
      <c r="K2737" s="2" t="s">
        <v>615</v>
      </c>
      <c r="L2737" s="2" t="s">
        <v>616</v>
      </c>
      <c r="M2737" s="2" t="s">
        <v>617</v>
      </c>
      <c r="N2737" s="2" t="s">
        <v>618</v>
      </c>
      <c r="O2737" s="2" t="s">
        <v>619</v>
      </c>
      <c r="P2737" s="2" t="s">
        <v>470</v>
      </c>
      <c r="Q2737" s="2" t="s">
        <v>620</v>
      </c>
      <c r="R2737" s="2" t="s">
        <v>94</v>
      </c>
      <c r="S2737" s="2" t="s">
        <v>46</v>
      </c>
      <c r="T2737">
        <v>2684</v>
      </c>
      <c r="U2737">
        <f>VLOOKUP(Auto_Sales_data___Copy[[#This Row],[CUSTOMER_NAME]],$AF$2:$AH$90,2,FALSE)</f>
        <v>14</v>
      </c>
      <c r="V2737">
        <f>VLOOKUP(Auto_Sales_data___Copy[[#This Row],[CUSTOMER_NAME]],$AF$2:$AH$90,3,FALSE)</f>
        <v>34993.919999999998</v>
      </c>
      <c r="W2737" s="2">
        <f>6-MATCH(Auto_Sales_data___Copy[[#This Row],[DAYS_SINCE_LAST_ORDER]],Table2[R-Cutoff],1)</f>
        <v>1</v>
      </c>
      <c r="X2737" s="2">
        <f>MATCH(Auto_Sales_data___Copy[[#This Row],[Total_Orders_Per_Customer]],Table2[F-Cutoff],1)</f>
        <v>1</v>
      </c>
      <c r="Y2737" s="2">
        <f>MATCH(Auto_Sales_data___Copy[[#This Row],[Total_Sales_Per_Customer]],Table2[M-Cutoff],1)</f>
        <v>1</v>
      </c>
      <c r="Z2737" s="2" t="str">
        <f>Auto_Sales_data___Copy[[#This Row],[R-Score(1-5)]]&amp;Auto_Sales_data___Copy[[#This Row],[F-Score(1-5)]]&amp;Auto_Sales_data___Copy[[#This Row],[M-Score(1-5)]]</f>
        <v>111</v>
      </c>
      <c r="AA2737" s="2" t="str" cm="1">
        <f t="array" ref="AA27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7" s="2" t="str">
        <f>VLOOKUP(Auto_Sales_data___Copy[[#This Row],[Segment Name]],Table3[],2,FALSE)</f>
        <v>High-Touch  Win-Back</v>
      </c>
    </row>
    <row r="2738" spans="1:28" x14ac:dyDescent="0.25">
      <c r="A2738">
        <v>10296</v>
      </c>
      <c r="B2738">
        <v>34</v>
      </c>
      <c r="C2738">
        <v>102.29</v>
      </c>
      <c r="D2738">
        <v>11</v>
      </c>
      <c r="E2738">
        <v>3477.86</v>
      </c>
      <c r="F2738" s="1">
        <v>43723</v>
      </c>
      <c r="G2738" s="2" t="s">
        <v>19</v>
      </c>
      <c r="H2738" s="2" t="s">
        <v>642</v>
      </c>
      <c r="I2738">
        <v>90</v>
      </c>
      <c r="J2738" s="2" t="s">
        <v>709</v>
      </c>
      <c r="K2738" s="2" t="s">
        <v>615</v>
      </c>
      <c r="L2738" s="2" t="s">
        <v>616</v>
      </c>
      <c r="M2738" s="2" t="s">
        <v>617</v>
      </c>
      <c r="N2738" s="2" t="s">
        <v>618</v>
      </c>
      <c r="O2738" s="2" t="s">
        <v>619</v>
      </c>
      <c r="P2738" s="2" t="s">
        <v>470</v>
      </c>
      <c r="Q2738" s="2" t="s">
        <v>620</v>
      </c>
      <c r="R2738" s="2" t="s">
        <v>94</v>
      </c>
      <c r="S2738" s="2" t="s">
        <v>46</v>
      </c>
      <c r="T2738">
        <v>2734</v>
      </c>
      <c r="U2738">
        <f>VLOOKUP(Auto_Sales_data___Copy[[#This Row],[CUSTOMER_NAME]],$AF$2:$AH$90,2,FALSE)</f>
        <v>14</v>
      </c>
      <c r="V2738">
        <f>VLOOKUP(Auto_Sales_data___Copy[[#This Row],[CUSTOMER_NAME]],$AF$2:$AH$90,3,FALSE)</f>
        <v>34993.919999999998</v>
      </c>
      <c r="W2738" s="2">
        <f>6-MATCH(Auto_Sales_data___Copy[[#This Row],[DAYS_SINCE_LAST_ORDER]],Table2[R-Cutoff],1)</f>
        <v>1</v>
      </c>
      <c r="X2738" s="2">
        <f>MATCH(Auto_Sales_data___Copy[[#This Row],[Total_Orders_Per_Customer]],Table2[F-Cutoff],1)</f>
        <v>1</v>
      </c>
      <c r="Y2738" s="2">
        <f>MATCH(Auto_Sales_data___Copy[[#This Row],[Total_Sales_Per_Customer]],Table2[M-Cutoff],1)</f>
        <v>1</v>
      </c>
      <c r="Z2738" s="2" t="str">
        <f>Auto_Sales_data___Copy[[#This Row],[R-Score(1-5)]]&amp;Auto_Sales_data___Copy[[#This Row],[F-Score(1-5)]]&amp;Auto_Sales_data___Copy[[#This Row],[M-Score(1-5)]]</f>
        <v>111</v>
      </c>
      <c r="AA2738" s="2" t="str" cm="1">
        <f t="array" ref="AA27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8" s="2" t="str">
        <f>VLOOKUP(Auto_Sales_data___Copy[[#This Row],[Segment Name]],Table3[],2,FALSE)</f>
        <v>High-Touch  Win-Back</v>
      </c>
    </row>
    <row r="2739" spans="1:28" x14ac:dyDescent="0.25">
      <c r="A2739">
        <v>10296</v>
      </c>
      <c r="B2739">
        <v>24</v>
      </c>
      <c r="C2739">
        <v>101.71</v>
      </c>
      <c r="D2739">
        <v>4</v>
      </c>
      <c r="E2739">
        <v>2441.04</v>
      </c>
      <c r="F2739" s="1">
        <v>43723</v>
      </c>
      <c r="G2739" s="2" t="s">
        <v>19</v>
      </c>
      <c r="H2739" s="2" t="s">
        <v>607</v>
      </c>
      <c r="I2739">
        <v>99</v>
      </c>
      <c r="J2739" s="2" t="s">
        <v>710</v>
      </c>
      <c r="K2739" s="2" t="s">
        <v>615</v>
      </c>
      <c r="L2739" s="2" t="s">
        <v>616</v>
      </c>
      <c r="M2739" s="2" t="s">
        <v>617</v>
      </c>
      <c r="N2739" s="2" t="s">
        <v>618</v>
      </c>
      <c r="O2739" s="2" t="s">
        <v>619</v>
      </c>
      <c r="P2739" s="2" t="s">
        <v>470</v>
      </c>
      <c r="Q2739" s="2" t="s">
        <v>620</v>
      </c>
      <c r="R2739" s="2" t="s">
        <v>94</v>
      </c>
      <c r="S2739" s="2" t="s">
        <v>30</v>
      </c>
      <c r="T2739">
        <v>2761</v>
      </c>
      <c r="U2739">
        <f>VLOOKUP(Auto_Sales_data___Copy[[#This Row],[CUSTOMER_NAME]],$AF$2:$AH$90,2,FALSE)</f>
        <v>14</v>
      </c>
      <c r="V2739">
        <f>VLOOKUP(Auto_Sales_data___Copy[[#This Row],[CUSTOMER_NAME]],$AF$2:$AH$90,3,FALSE)</f>
        <v>34993.919999999998</v>
      </c>
      <c r="W2739" s="2">
        <f>6-MATCH(Auto_Sales_data___Copy[[#This Row],[DAYS_SINCE_LAST_ORDER]],Table2[R-Cutoff],1)</f>
        <v>1</v>
      </c>
      <c r="X2739" s="2">
        <f>MATCH(Auto_Sales_data___Copy[[#This Row],[Total_Orders_Per_Customer]],Table2[F-Cutoff],1)</f>
        <v>1</v>
      </c>
      <c r="Y2739" s="2">
        <f>MATCH(Auto_Sales_data___Copy[[#This Row],[Total_Sales_Per_Customer]],Table2[M-Cutoff],1)</f>
        <v>1</v>
      </c>
      <c r="Z2739" s="2" t="str">
        <f>Auto_Sales_data___Copy[[#This Row],[R-Score(1-5)]]&amp;Auto_Sales_data___Copy[[#This Row],[F-Score(1-5)]]&amp;Auto_Sales_data___Copy[[#This Row],[M-Score(1-5)]]</f>
        <v>111</v>
      </c>
      <c r="AA2739" s="2" t="str" cm="1">
        <f t="array" ref="AA27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9" s="2" t="str">
        <f>VLOOKUP(Auto_Sales_data___Copy[[#This Row],[Segment Name]],Table3[],2,FALSE)</f>
        <v>High-Touch  Win-Back</v>
      </c>
    </row>
    <row r="2740" spans="1:28" x14ac:dyDescent="0.25">
      <c r="A2740">
        <v>10296</v>
      </c>
      <c r="B2740">
        <v>22</v>
      </c>
      <c r="C2740">
        <v>80.8</v>
      </c>
      <c r="D2740">
        <v>3</v>
      </c>
      <c r="E2740">
        <v>1777.6</v>
      </c>
      <c r="F2740" s="1">
        <v>43723</v>
      </c>
      <c r="G2740" s="2" t="s">
        <v>19</v>
      </c>
      <c r="H2740" s="2" t="s">
        <v>607</v>
      </c>
      <c r="I2740">
        <v>80</v>
      </c>
      <c r="J2740" s="2" t="s">
        <v>714</v>
      </c>
      <c r="K2740" s="2" t="s">
        <v>615</v>
      </c>
      <c r="L2740" s="2" t="s">
        <v>616</v>
      </c>
      <c r="M2740" s="2" t="s">
        <v>617</v>
      </c>
      <c r="N2740" s="2" t="s">
        <v>618</v>
      </c>
      <c r="O2740" s="2" t="s">
        <v>619</v>
      </c>
      <c r="P2740" s="2" t="s">
        <v>470</v>
      </c>
      <c r="Q2740" s="2" t="s">
        <v>620</v>
      </c>
      <c r="R2740" s="2" t="s">
        <v>94</v>
      </c>
      <c r="S2740" s="2" t="s">
        <v>30</v>
      </c>
      <c r="T2740">
        <v>2864</v>
      </c>
      <c r="U2740">
        <f>VLOOKUP(Auto_Sales_data___Copy[[#This Row],[CUSTOMER_NAME]],$AF$2:$AH$90,2,FALSE)</f>
        <v>14</v>
      </c>
      <c r="V2740">
        <f>VLOOKUP(Auto_Sales_data___Copy[[#This Row],[CUSTOMER_NAME]],$AF$2:$AH$90,3,FALSE)</f>
        <v>34993.919999999998</v>
      </c>
      <c r="W2740" s="2">
        <f>6-MATCH(Auto_Sales_data___Copy[[#This Row],[DAYS_SINCE_LAST_ORDER]],Table2[R-Cutoff],1)</f>
        <v>1</v>
      </c>
      <c r="X2740" s="2">
        <f>MATCH(Auto_Sales_data___Copy[[#This Row],[Total_Orders_Per_Customer]],Table2[F-Cutoff],1)</f>
        <v>1</v>
      </c>
      <c r="Y2740" s="2">
        <f>MATCH(Auto_Sales_data___Copy[[#This Row],[Total_Sales_Per_Customer]],Table2[M-Cutoff],1)</f>
        <v>1</v>
      </c>
      <c r="Z2740" s="2" t="str">
        <f>Auto_Sales_data___Copy[[#This Row],[R-Score(1-5)]]&amp;Auto_Sales_data___Copy[[#This Row],[F-Score(1-5)]]&amp;Auto_Sales_data___Copy[[#This Row],[M-Score(1-5)]]</f>
        <v>111</v>
      </c>
      <c r="AA2740" s="2" t="str" cm="1">
        <f t="array" ref="AA27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0" s="2" t="str">
        <f>VLOOKUP(Auto_Sales_data___Copy[[#This Row],[Segment Name]],Table3[],2,FALSE)</f>
        <v>High-Touch  Win-Back</v>
      </c>
    </row>
    <row r="2741" spans="1:28" x14ac:dyDescent="0.25">
      <c r="A2741">
        <v>10296</v>
      </c>
      <c r="B2741">
        <v>47</v>
      </c>
      <c r="C2741">
        <v>86.62</v>
      </c>
      <c r="D2741">
        <v>5</v>
      </c>
      <c r="E2741">
        <v>4071.14</v>
      </c>
      <c r="F2741" s="1">
        <v>43723</v>
      </c>
      <c r="G2741" s="2" t="s">
        <v>19</v>
      </c>
      <c r="H2741" s="2" t="s">
        <v>607</v>
      </c>
      <c r="I2741">
        <v>74</v>
      </c>
      <c r="J2741" s="2" t="s">
        <v>717</v>
      </c>
      <c r="K2741" s="2" t="s">
        <v>615</v>
      </c>
      <c r="L2741" s="2" t="s">
        <v>616</v>
      </c>
      <c r="M2741" s="2" t="s">
        <v>617</v>
      </c>
      <c r="N2741" s="2" t="s">
        <v>618</v>
      </c>
      <c r="O2741" s="2" t="s">
        <v>619</v>
      </c>
      <c r="P2741" s="2" t="s">
        <v>470</v>
      </c>
      <c r="Q2741" s="2" t="s">
        <v>620</v>
      </c>
      <c r="R2741" s="2" t="s">
        <v>94</v>
      </c>
      <c r="S2741" s="2" t="s">
        <v>46</v>
      </c>
      <c r="T2741">
        <v>2943</v>
      </c>
      <c r="U2741">
        <f>VLOOKUP(Auto_Sales_data___Copy[[#This Row],[CUSTOMER_NAME]],$AF$2:$AH$90,2,FALSE)</f>
        <v>14</v>
      </c>
      <c r="V2741">
        <f>VLOOKUP(Auto_Sales_data___Copy[[#This Row],[CUSTOMER_NAME]],$AF$2:$AH$90,3,FALSE)</f>
        <v>34993.919999999998</v>
      </c>
      <c r="W2741" s="2">
        <f>6-MATCH(Auto_Sales_data___Copy[[#This Row],[DAYS_SINCE_LAST_ORDER]],Table2[R-Cutoff],1)</f>
        <v>1</v>
      </c>
      <c r="X2741" s="2">
        <f>MATCH(Auto_Sales_data___Copy[[#This Row],[Total_Orders_Per_Customer]],Table2[F-Cutoff],1)</f>
        <v>1</v>
      </c>
      <c r="Y2741" s="2">
        <f>MATCH(Auto_Sales_data___Copy[[#This Row],[Total_Sales_Per_Customer]],Table2[M-Cutoff],1)</f>
        <v>1</v>
      </c>
      <c r="Z2741" s="2" t="str">
        <f>Auto_Sales_data___Copy[[#This Row],[R-Score(1-5)]]&amp;Auto_Sales_data___Copy[[#This Row],[F-Score(1-5)]]&amp;Auto_Sales_data___Copy[[#This Row],[M-Score(1-5)]]</f>
        <v>111</v>
      </c>
      <c r="AA2741" s="2" t="str" cm="1">
        <f t="array" ref="AA27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1" s="2" t="str">
        <f>VLOOKUP(Auto_Sales_data___Copy[[#This Row],[Segment Name]],Table3[],2,FALSE)</f>
        <v>High-Touch  Win-Back</v>
      </c>
    </row>
    <row r="2742" spans="1:28" x14ac:dyDescent="0.25">
      <c r="A2742">
        <v>10296</v>
      </c>
      <c r="B2742">
        <v>21</v>
      </c>
      <c r="C2742">
        <v>45.19</v>
      </c>
      <c r="D2742">
        <v>10</v>
      </c>
      <c r="E2742">
        <v>948.99</v>
      </c>
      <c r="F2742" s="1">
        <v>43723</v>
      </c>
      <c r="G2742" s="2" t="s">
        <v>19</v>
      </c>
      <c r="H2742" s="2" t="s">
        <v>607</v>
      </c>
      <c r="I2742">
        <v>49</v>
      </c>
      <c r="J2742" s="2" t="s">
        <v>718</v>
      </c>
      <c r="K2742" s="2" t="s">
        <v>615</v>
      </c>
      <c r="L2742" s="2" t="s">
        <v>616</v>
      </c>
      <c r="M2742" s="2" t="s">
        <v>617</v>
      </c>
      <c r="N2742" s="2" t="s">
        <v>618</v>
      </c>
      <c r="O2742" s="2" t="s">
        <v>619</v>
      </c>
      <c r="P2742" s="2" t="s">
        <v>470</v>
      </c>
      <c r="Q2742" s="2" t="s">
        <v>620</v>
      </c>
      <c r="R2742" s="2" t="s">
        <v>94</v>
      </c>
      <c r="S2742" s="2" t="s">
        <v>30</v>
      </c>
      <c r="T2742">
        <v>2969</v>
      </c>
      <c r="U2742">
        <f>VLOOKUP(Auto_Sales_data___Copy[[#This Row],[CUSTOMER_NAME]],$AF$2:$AH$90,2,FALSE)</f>
        <v>14</v>
      </c>
      <c r="V2742">
        <f>VLOOKUP(Auto_Sales_data___Copy[[#This Row],[CUSTOMER_NAME]],$AF$2:$AH$90,3,FALSE)</f>
        <v>34993.919999999998</v>
      </c>
      <c r="W2742" s="2">
        <f>6-MATCH(Auto_Sales_data___Copy[[#This Row],[DAYS_SINCE_LAST_ORDER]],Table2[R-Cutoff],1)</f>
        <v>1</v>
      </c>
      <c r="X2742" s="2">
        <f>MATCH(Auto_Sales_data___Copy[[#This Row],[Total_Orders_Per_Customer]],Table2[F-Cutoff],1)</f>
        <v>1</v>
      </c>
      <c r="Y2742" s="2">
        <f>MATCH(Auto_Sales_data___Copy[[#This Row],[Total_Sales_Per_Customer]],Table2[M-Cutoff],1)</f>
        <v>1</v>
      </c>
      <c r="Z2742" s="2" t="str">
        <f>Auto_Sales_data___Copy[[#This Row],[R-Score(1-5)]]&amp;Auto_Sales_data___Copy[[#This Row],[F-Score(1-5)]]&amp;Auto_Sales_data___Copy[[#This Row],[M-Score(1-5)]]</f>
        <v>111</v>
      </c>
      <c r="AA2742" s="2" t="str" cm="1">
        <f t="array" ref="AA27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2" s="2" t="str">
        <f>VLOOKUP(Auto_Sales_data___Copy[[#This Row],[Segment Name]],Table3[],2,FALSE)</f>
        <v>High-Touch  Win-Back</v>
      </c>
    </row>
    <row r="2743" spans="1:28" x14ac:dyDescent="0.25">
      <c r="A2743">
        <v>10297</v>
      </c>
      <c r="B2743">
        <v>35</v>
      </c>
      <c r="C2743">
        <v>113.9</v>
      </c>
      <c r="D2743">
        <v>3</v>
      </c>
      <c r="E2743">
        <v>3986.5</v>
      </c>
      <c r="F2743" s="1">
        <v>43724</v>
      </c>
      <c r="G2743" s="2" t="s">
        <v>19</v>
      </c>
      <c r="H2743" s="2" t="s">
        <v>607</v>
      </c>
      <c r="I2743">
        <v>118</v>
      </c>
      <c r="J2743" s="2" t="s">
        <v>713</v>
      </c>
      <c r="K2743" s="2" t="s">
        <v>510</v>
      </c>
      <c r="L2743" s="2" t="s">
        <v>511</v>
      </c>
      <c r="M2743" s="2" t="s">
        <v>512</v>
      </c>
      <c r="N2743" s="2" t="s">
        <v>513</v>
      </c>
      <c r="O2743" s="2" t="s">
        <v>514</v>
      </c>
      <c r="P2743" s="2" t="s">
        <v>515</v>
      </c>
      <c r="Q2743" s="2" t="s">
        <v>516</v>
      </c>
      <c r="R2743" s="2" t="s">
        <v>517</v>
      </c>
      <c r="S2743" s="2" t="s">
        <v>46</v>
      </c>
      <c r="T2743">
        <v>2838</v>
      </c>
      <c r="U2743">
        <f>VLOOKUP(Auto_Sales_data___Copy[[#This Row],[CUSTOMER_NAME]],$AF$2:$AH$90,2,FALSE)</f>
        <v>16</v>
      </c>
      <c r="V2743">
        <f>VLOOKUP(Auto_Sales_data___Copy[[#This Row],[CUSTOMER_NAME]],$AF$2:$AH$90,3,FALSE)</f>
        <v>57756.43</v>
      </c>
      <c r="W2743" s="2">
        <f>6-MATCH(Auto_Sales_data___Copy[[#This Row],[DAYS_SINCE_LAST_ORDER]],Table2[R-Cutoff],1)</f>
        <v>1</v>
      </c>
      <c r="X2743" s="2">
        <f>MATCH(Auto_Sales_data___Copy[[#This Row],[Total_Orders_Per_Customer]],Table2[F-Cutoff],1)</f>
        <v>1</v>
      </c>
      <c r="Y2743" s="2">
        <f>MATCH(Auto_Sales_data___Copy[[#This Row],[Total_Sales_Per_Customer]],Table2[M-Cutoff],1)</f>
        <v>1</v>
      </c>
      <c r="Z2743" s="2" t="str">
        <f>Auto_Sales_data___Copy[[#This Row],[R-Score(1-5)]]&amp;Auto_Sales_data___Copy[[#This Row],[F-Score(1-5)]]&amp;Auto_Sales_data___Copy[[#This Row],[M-Score(1-5)]]</f>
        <v>111</v>
      </c>
      <c r="AA2743" s="2" t="str" cm="1">
        <f t="array" ref="AA27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3" s="2" t="str">
        <f>VLOOKUP(Auto_Sales_data___Copy[[#This Row],[Segment Name]],Table3[],2,FALSE)</f>
        <v>High-Touch  Win-Back</v>
      </c>
    </row>
    <row r="2744" spans="1:28" x14ac:dyDescent="0.25">
      <c r="A2744">
        <v>10319</v>
      </c>
      <c r="B2744">
        <v>45</v>
      </c>
      <c r="C2744">
        <v>77.290000000000006</v>
      </c>
      <c r="D2744">
        <v>6</v>
      </c>
      <c r="E2744">
        <v>3478.05</v>
      </c>
      <c r="F2744" s="1">
        <v>43772</v>
      </c>
      <c r="G2744" s="2" t="s">
        <v>19</v>
      </c>
      <c r="H2744" s="2" t="s">
        <v>20</v>
      </c>
      <c r="I2744">
        <v>81</v>
      </c>
      <c r="J2744" s="2" t="s">
        <v>705</v>
      </c>
      <c r="K2744" s="2" t="s">
        <v>540</v>
      </c>
      <c r="L2744" s="2" t="s">
        <v>541</v>
      </c>
      <c r="M2744" s="2" t="s">
        <v>542</v>
      </c>
      <c r="N2744" s="2" t="s">
        <v>25</v>
      </c>
      <c r="O2744" s="2" t="s">
        <v>26</v>
      </c>
      <c r="P2744" s="2" t="s">
        <v>27</v>
      </c>
      <c r="Q2744" s="2" t="s">
        <v>543</v>
      </c>
      <c r="R2744" s="2" t="s">
        <v>544</v>
      </c>
      <c r="S2744" s="2" t="s">
        <v>46</v>
      </c>
      <c r="T2744">
        <v>2587</v>
      </c>
      <c r="U2744">
        <f>VLOOKUP(Auto_Sales_data___Copy[[#This Row],[CUSTOMER_NAME]],$AF$2:$AH$90,2,FALSE)</f>
        <v>10</v>
      </c>
      <c r="V2744">
        <f>VLOOKUP(Auto_Sales_data___Copy[[#This Row],[CUSTOMER_NAME]],$AF$2:$AH$90,3,FALSE)</f>
        <v>33144.930000000008</v>
      </c>
      <c r="W2744" s="2">
        <f>6-MATCH(Auto_Sales_data___Copy[[#This Row],[DAYS_SINCE_LAST_ORDER]],Table2[R-Cutoff],1)</f>
        <v>1</v>
      </c>
      <c r="X2744" s="2">
        <f>MATCH(Auto_Sales_data___Copy[[#This Row],[Total_Orders_Per_Customer]],Table2[F-Cutoff],1)</f>
        <v>1</v>
      </c>
      <c r="Y2744" s="2">
        <f>MATCH(Auto_Sales_data___Copy[[#This Row],[Total_Sales_Per_Customer]],Table2[M-Cutoff],1)</f>
        <v>1</v>
      </c>
      <c r="Z2744" s="2" t="str">
        <f>Auto_Sales_data___Copy[[#This Row],[R-Score(1-5)]]&amp;Auto_Sales_data___Copy[[#This Row],[F-Score(1-5)]]&amp;Auto_Sales_data___Copy[[#This Row],[M-Score(1-5)]]</f>
        <v>111</v>
      </c>
      <c r="AA2744" s="2" t="str" cm="1">
        <f t="array" ref="AA27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4" s="2" t="str">
        <f>VLOOKUP(Auto_Sales_data___Copy[[#This Row],[Segment Name]],Table3[],2,FALSE)</f>
        <v>High-Touch  Win-Back</v>
      </c>
    </row>
    <row r="2745" spans="1:28" x14ac:dyDescent="0.25">
      <c r="A2745">
        <v>10352</v>
      </c>
      <c r="B2745">
        <v>23</v>
      </c>
      <c r="C2745">
        <v>102.29</v>
      </c>
      <c r="D2745">
        <v>3</v>
      </c>
      <c r="E2745">
        <v>2352.67</v>
      </c>
      <c r="F2745" s="1">
        <v>43802</v>
      </c>
      <c r="G2745" s="2" t="s">
        <v>19</v>
      </c>
      <c r="H2745" s="2" t="s">
        <v>642</v>
      </c>
      <c r="I2745">
        <v>90</v>
      </c>
      <c r="J2745" s="2" t="s">
        <v>709</v>
      </c>
      <c r="K2745" s="2" t="s">
        <v>644</v>
      </c>
      <c r="L2745" s="2" t="s">
        <v>645</v>
      </c>
      <c r="M2745" s="2" t="s">
        <v>646</v>
      </c>
      <c r="N2745" s="2" t="s">
        <v>297</v>
      </c>
      <c r="O2745" s="2" t="s">
        <v>298</v>
      </c>
      <c r="P2745" s="2" t="s">
        <v>27</v>
      </c>
      <c r="Q2745" s="2" t="s">
        <v>566</v>
      </c>
      <c r="R2745" s="2" t="s">
        <v>255</v>
      </c>
      <c r="S2745" s="2" t="s">
        <v>30</v>
      </c>
      <c r="T2745">
        <v>2660</v>
      </c>
      <c r="U2745">
        <f>VLOOKUP(Auto_Sales_data___Copy[[#This Row],[CUSTOMER_NAME]],$AF$2:$AH$90,2,FALSE)</f>
        <v>8</v>
      </c>
      <c r="V2745">
        <f>VLOOKUP(Auto_Sales_data___Copy[[#This Row],[CUSTOMER_NAME]],$AF$2:$AH$90,3,FALSE)</f>
        <v>26479.260000000002</v>
      </c>
      <c r="W2745" s="2">
        <f>6-MATCH(Auto_Sales_data___Copy[[#This Row],[DAYS_SINCE_LAST_ORDER]],Table2[R-Cutoff],1)</f>
        <v>1</v>
      </c>
      <c r="X2745" s="2">
        <f>MATCH(Auto_Sales_data___Copy[[#This Row],[Total_Orders_Per_Customer]],Table2[F-Cutoff],1)</f>
        <v>1</v>
      </c>
      <c r="Y2745" s="2">
        <f>MATCH(Auto_Sales_data___Copy[[#This Row],[Total_Sales_Per_Customer]],Table2[M-Cutoff],1)</f>
        <v>1</v>
      </c>
      <c r="Z2745" s="2" t="str">
        <f>Auto_Sales_data___Copy[[#This Row],[R-Score(1-5)]]&amp;Auto_Sales_data___Copy[[#This Row],[F-Score(1-5)]]&amp;Auto_Sales_data___Copy[[#This Row],[M-Score(1-5)]]</f>
        <v>111</v>
      </c>
      <c r="AA2745" s="2" t="str" cm="1">
        <f t="array" ref="AA27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5" s="2" t="str">
        <f>VLOOKUP(Auto_Sales_data___Copy[[#This Row],[Segment Name]],Table3[],2,FALSE)</f>
        <v>High-Touch  Win-Back</v>
      </c>
    </row>
    <row r="2746" spans="1:28" x14ac:dyDescent="0.25">
      <c r="A2746">
        <v>10352</v>
      </c>
      <c r="B2746">
        <v>49</v>
      </c>
      <c r="C2746">
        <v>100.72</v>
      </c>
      <c r="D2746">
        <v>2</v>
      </c>
      <c r="E2746">
        <v>4935.28</v>
      </c>
      <c r="F2746" s="1">
        <v>43802</v>
      </c>
      <c r="G2746" s="2" t="s">
        <v>19</v>
      </c>
      <c r="H2746" s="2" t="s">
        <v>607</v>
      </c>
      <c r="I2746">
        <v>99</v>
      </c>
      <c r="J2746" s="2" t="s">
        <v>710</v>
      </c>
      <c r="K2746" s="2" t="s">
        <v>644</v>
      </c>
      <c r="L2746" s="2" t="s">
        <v>645</v>
      </c>
      <c r="M2746" s="2" t="s">
        <v>646</v>
      </c>
      <c r="N2746" s="2" t="s">
        <v>297</v>
      </c>
      <c r="O2746" s="2" t="s">
        <v>298</v>
      </c>
      <c r="P2746" s="2" t="s">
        <v>27</v>
      </c>
      <c r="Q2746" s="2" t="s">
        <v>566</v>
      </c>
      <c r="R2746" s="2" t="s">
        <v>255</v>
      </c>
      <c r="S2746" s="2" t="s">
        <v>46</v>
      </c>
      <c r="T2746">
        <v>2687</v>
      </c>
      <c r="U2746">
        <f>VLOOKUP(Auto_Sales_data___Copy[[#This Row],[CUSTOMER_NAME]],$AF$2:$AH$90,2,FALSE)</f>
        <v>8</v>
      </c>
      <c r="V2746">
        <f>VLOOKUP(Auto_Sales_data___Copy[[#This Row],[CUSTOMER_NAME]],$AF$2:$AH$90,3,FALSE)</f>
        <v>26479.260000000002</v>
      </c>
      <c r="W2746" s="2">
        <f>6-MATCH(Auto_Sales_data___Copy[[#This Row],[DAYS_SINCE_LAST_ORDER]],Table2[R-Cutoff],1)</f>
        <v>1</v>
      </c>
      <c r="X2746" s="2">
        <f>MATCH(Auto_Sales_data___Copy[[#This Row],[Total_Orders_Per_Customer]],Table2[F-Cutoff],1)</f>
        <v>1</v>
      </c>
      <c r="Y2746" s="2">
        <f>MATCH(Auto_Sales_data___Copy[[#This Row],[Total_Sales_Per_Customer]],Table2[M-Cutoff],1)</f>
        <v>1</v>
      </c>
      <c r="Z2746" s="2" t="str">
        <f>Auto_Sales_data___Copy[[#This Row],[R-Score(1-5)]]&amp;Auto_Sales_data___Copy[[#This Row],[F-Score(1-5)]]&amp;Auto_Sales_data___Copy[[#This Row],[M-Score(1-5)]]</f>
        <v>111</v>
      </c>
      <c r="AA2746" s="2" t="str" cm="1">
        <f t="array" ref="AA27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6" s="2" t="str">
        <f>VLOOKUP(Auto_Sales_data___Copy[[#This Row],[Segment Name]],Table3[],2,FALSE)</f>
        <v>High-Touch  Win-Back</v>
      </c>
    </row>
    <row r="2747" spans="1:28" x14ac:dyDescent="0.25">
      <c r="A2747">
        <v>10352</v>
      </c>
      <c r="B2747">
        <v>22</v>
      </c>
      <c r="C2747">
        <v>75.510000000000005</v>
      </c>
      <c r="D2747">
        <v>1</v>
      </c>
      <c r="E2747">
        <v>1661.22</v>
      </c>
      <c r="F2747" s="1">
        <v>43802</v>
      </c>
      <c r="G2747" s="2" t="s">
        <v>19</v>
      </c>
      <c r="H2747" s="2" t="s">
        <v>607</v>
      </c>
      <c r="I2747">
        <v>74</v>
      </c>
      <c r="J2747" s="2" t="s">
        <v>717</v>
      </c>
      <c r="K2747" s="2" t="s">
        <v>644</v>
      </c>
      <c r="L2747" s="2" t="s">
        <v>645</v>
      </c>
      <c r="M2747" s="2" t="s">
        <v>646</v>
      </c>
      <c r="N2747" s="2" t="s">
        <v>297</v>
      </c>
      <c r="O2747" s="2" t="s">
        <v>298</v>
      </c>
      <c r="P2747" s="2" t="s">
        <v>27</v>
      </c>
      <c r="Q2747" s="2" t="s">
        <v>566</v>
      </c>
      <c r="R2747" s="2" t="s">
        <v>255</v>
      </c>
      <c r="S2747" s="2" t="s">
        <v>30</v>
      </c>
      <c r="T2747">
        <v>2869</v>
      </c>
      <c r="U2747">
        <f>VLOOKUP(Auto_Sales_data___Copy[[#This Row],[CUSTOMER_NAME]],$AF$2:$AH$90,2,FALSE)</f>
        <v>8</v>
      </c>
      <c r="V2747">
        <f>VLOOKUP(Auto_Sales_data___Copy[[#This Row],[CUSTOMER_NAME]],$AF$2:$AH$90,3,FALSE)</f>
        <v>26479.260000000002</v>
      </c>
      <c r="W2747" s="2">
        <f>6-MATCH(Auto_Sales_data___Copy[[#This Row],[DAYS_SINCE_LAST_ORDER]],Table2[R-Cutoff],1)</f>
        <v>1</v>
      </c>
      <c r="X2747" s="2">
        <f>MATCH(Auto_Sales_data___Copy[[#This Row],[Total_Orders_Per_Customer]],Table2[F-Cutoff],1)</f>
        <v>1</v>
      </c>
      <c r="Y2747" s="2">
        <f>MATCH(Auto_Sales_data___Copy[[#This Row],[Total_Sales_Per_Customer]],Table2[M-Cutoff],1)</f>
        <v>1</v>
      </c>
      <c r="Z2747" s="2" t="str">
        <f>Auto_Sales_data___Copy[[#This Row],[R-Score(1-5)]]&amp;Auto_Sales_data___Copy[[#This Row],[F-Score(1-5)]]&amp;Auto_Sales_data___Copy[[#This Row],[M-Score(1-5)]]</f>
        <v>111</v>
      </c>
      <c r="AA2747" s="2" t="str" cm="1">
        <f t="array" ref="AA27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7" s="2" t="str">
        <f>VLOOKUP(Auto_Sales_data___Copy[[#This Row],[Segment Name]],Table3[],2,FALSE)</f>
        <v>High-Touch  Win-Back</v>
      </c>
    </row>
    <row r="2748" spans="1:28" x14ac:dyDescent="0.25">
      <c r="A2748">
        <v>10352</v>
      </c>
      <c r="B2748">
        <v>49</v>
      </c>
      <c r="C2748">
        <v>52.64</v>
      </c>
      <c r="D2748">
        <v>4</v>
      </c>
      <c r="E2748">
        <v>2579.36</v>
      </c>
      <c r="F2748" s="1">
        <v>43802</v>
      </c>
      <c r="G2748" s="2" t="s">
        <v>19</v>
      </c>
      <c r="H2748" s="2" t="s">
        <v>607</v>
      </c>
      <c r="I2748">
        <v>49</v>
      </c>
      <c r="J2748" s="2" t="s">
        <v>718</v>
      </c>
      <c r="K2748" s="2" t="s">
        <v>644</v>
      </c>
      <c r="L2748" s="2" t="s">
        <v>645</v>
      </c>
      <c r="M2748" s="2" t="s">
        <v>646</v>
      </c>
      <c r="N2748" s="2" t="s">
        <v>297</v>
      </c>
      <c r="O2748" s="2" t="s">
        <v>298</v>
      </c>
      <c r="P2748" s="2" t="s">
        <v>27</v>
      </c>
      <c r="Q2748" s="2" t="s">
        <v>566</v>
      </c>
      <c r="R2748" s="2" t="s">
        <v>255</v>
      </c>
      <c r="S2748" s="2" t="s">
        <v>30</v>
      </c>
      <c r="T2748">
        <v>2895</v>
      </c>
      <c r="U2748">
        <f>VLOOKUP(Auto_Sales_data___Copy[[#This Row],[CUSTOMER_NAME]],$AF$2:$AH$90,2,FALSE)</f>
        <v>8</v>
      </c>
      <c r="V2748">
        <f>VLOOKUP(Auto_Sales_data___Copy[[#This Row],[CUSTOMER_NAME]],$AF$2:$AH$90,3,FALSE)</f>
        <v>26479.260000000002</v>
      </c>
      <c r="W2748" s="2">
        <f>6-MATCH(Auto_Sales_data___Copy[[#This Row],[DAYS_SINCE_LAST_ORDER]],Table2[R-Cutoff],1)</f>
        <v>1</v>
      </c>
      <c r="X2748" s="2">
        <f>MATCH(Auto_Sales_data___Copy[[#This Row],[Total_Orders_Per_Customer]],Table2[F-Cutoff],1)</f>
        <v>1</v>
      </c>
      <c r="Y2748" s="2">
        <f>MATCH(Auto_Sales_data___Copy[[#This Row],[Total_Sales_Per_Customer]],Table2[M-Cutoff],1)</f>
        <v>1</v>
      </c>
      <c r="Z2748" s="2" t="str">
        <f>Auto_Sales_data___Copy[[#This Row],[R-Score(1-5)]]&amp;Auto_Sales_data___Copy[[#This Row],[F-Score(1-5)]]&amp;Auto_Sales_data___Copy[[#This Row],[M-Score(1-5)]]</f>
        <v>111</v>
      </c>
      <c r="AA2748" s="2" t="str" cm="1">
        <f t="array" ref="AA27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8" s="2" t="str">
        <f>VLOOKUP(Auto_Sales_data___Copy[[#This Row],[Segment Name]],Table3[],2,FALSE)</f>
        <v>High-Touch  Win-Back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454F-C719-4A49-8FAB-E200D4A755E1}">
  <dimension ref="A1:B8"/>
  <sheetViews>
    <sheetView workbookViewId="0">
      <selection activeCell="A7" sqref="A7"/>
    </sheetView>
  </sheetViews>
  <sheetFormatPr defaultRowHeight="15" x14ac:dyDescent="0.25"/>
  <cols>
    <col min="1" max="1" width="18.140625" bestFit="1" customWidth="1"/>
    <col min="2" max="2" width="34.28515625" bestFit="1" customWidth="1"/>
  </cols>
  <sheetData>
    <row r="1" spans="1:2" x14ac:dyDescent="0.25">
      <c r="A1" t="s">
        <v>737</v>
      </c>
      <c r="B1" t="s">
        <v>734</v>
      </c>
    </row>
    <row r="2" spans="1:2" x14ac:dyDescent="0.25">
      <c r="A2" t="s">
        <v>738</v>
      </c>
      <c r="B2" t="s">
        <v>747</v>
      </c>
    </row>
    <row r="3" spans="1:2" x14ac:dyDescent="0.25">
      <c r="A3" t="s">
        <v>739</v>
      </c>
      <c r="B3" t="s">
        <v>746</v>
      </c>
    </row>
    <row r="4" spans="1:2" x14ac:dyDescent="0.25">
      <c r="A4" t="s">
        <v>740</v>
      </c>
      <c r="B4" t="s">
        <v>745</v>
      </c>
    </row>
    <row r="5" spans="1:2" x14ac:dyDescent="0.25">
      <c r="A5" t="s">
        <v>741</v>
      </c>
      <c r="B5" t="s">
        <v>748</v>
      </c>
    </row>
    <row r="6" spans="1:2" x14ac:dyDescent="0.25">
      <c r="A6" t="s">
        <v>743</v>
      </c>
      <c r="B6" t="s">
        <v>750</v>
      </c>
    </row>
    <row r="7" spans="1:2" x14ac:dyDescent="0.25">
      <c r="A7" t="s">
        <v>744</v>
      </c>
      <c r="B7" t="s">
        <v>749</v>
      </c>
    </row>
    <row r="8" spans="1:2" x14ac:dyDescent="0.25">
      <c r="A8" t="s">
        <v>742</v>
      </c>
      <c r="B8" t="s">
        <v>750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E537-BD73-406F-A21A-7B88A9C535A3}">
  <dimension ref="A1:E6"/>
  <sheetViews>
    <sheetView workbookViewId="0">
      <selection activeCell="E6" sqref="E6"/>
    </sheetView>
  </sheetViews>
  <sheetFormatPr defaultRowHeight="15" x14ac:dyDescent="0.25"/>
  <cols>
    <col min="1" max="1" width="8.140625" bestFit="1" customWidth="1"/>
    <col min="2" max="2" width="12.28515625" customWidth="1"/>
    <col min="3" max="3" width="14.85546875" customWidth="1"/>
    <col min="4" max="4" width="13.85546875" customWidth="1"/>
    <col min="5" max="5" width="15.140625" customWidth="1"/>
  </cols>
  <sheetData>
    <row r="1" spans="1:5" x14ac:dyDescent="0.25">
      <c r="A1" t="s">
        <v>723</v>
      </c>
      <c r="B1" t="s">
        <v>724</v>
      </c>
      <c r="C1" t="s">
        <v>728</v>
      </c>
      <c r="D1" t="s">
        <v>727</v>
      </c>
      <c r="E1" t="s">
        <v>729</v>
      </c>
    </row>
    <row r="2" spans="1:5" x14ac:dyDescent="0.25">
      <c r="A2">
        <v>1</v>
      </c>
      <c r="B2">
        <v>0</v>
      </c>
      <c r="C2">
        <f>_xlfn.PERCENTILE.INC(Auto_Sales_data___Copy[DAYS_SINCE_LAST_ORDER],Table2[[#This Row],[Percentile]])</f>
        <v>42</v>
      </c>
      <c r="D2" s="5">
        <f>_xlfn.PERCENTILE.INC('Auto Sales data - Copy'!$AG$2:$AG$90,Table2[[#This Row],[Percentile]])</f>
        <v>3</v>
      </c>
      <c r="E2">
        <f>_xlfn.PERCENTILE.INC('Auto Sales data - Copy'!$AH$2:$AH$90,Table2[[#This Row],[Percentile]])</f>
        <v>9129.3499999999985</v>
      </c>
    </row>
    <row r="3" spans="1:5" x14ac:dyDescent="0.25">
      <c r="A3">
        <v>2</v>
      </c>
      <c r="B3">
        <v>0.2</v>
      </c>
      <c r="C3">
        <f>_xlfn.PERCENTILE.INC(Auto_Sales_data___Copy[DAYS_SINCE_LAST_ORDER],Table2[[#This Row],[Percentile]])</f>
        <v>939.2</v>
      </c>
      <c r="D3" s="5">
        <f>_xlfn.PERCENTILE.INC('Auto Sales data - Copy'!$AG$2:$AG$90,Table2[[#This Row],[Percentile]])</f>
        <v>18</v>
      </c>
      <c r="E3">
        <f>_xlfn.PERCENTILE.INC('Auto Sales data - Copy'!$AH$2:$AH$90,Table2[[#This Row],[Percentile]])</f>
        <v>64737.176000000007</v>
      </c>
    </row>
    <row r="4" spans="1:5" x14ac:dyDescent="0.25">
      <c r="A4">
        <v>3</v>
      </c>
      <c r="B4">
        <v>0.4</v>
      </c>
      <c r="C4">
        <f>_xlfn.PERCENTILE.INC(Auto_Sales_data___Copy[DAYS_SINCE_LAST_ORDER],Table2[[#This Row],[Percentile]])</f>
        <v>1492</v>
      </c>
      <c r="D4" s="5">
        <f>_xlfn.PERCENTILE.INC('Auto Sales data - Copy'!$AG$2:$AG$90,Table2[[#This Row],[Percentile]])</f>
        <v>23.200000000000003</v>
      </c>
      <c r="E4">
        <f>_xlfn.PERCENTILE.INC('Auto Sales data - Copy'!$AH$2:$AH$90,Table2[[#This Row],[Percentile]])</f>
        <v>79665.352000000014</v>
      </c>
    </row>
    <row r="5" spans="1:5" x14ac:dyDescent="0.25">
      <c r="A5">
        <v>4</v>
      </c>
      <c r="B5">
        <v>0.6</v>
      </c>
      <c r="C5">
        <f>_xlfn.PERCENTILE.INC(Auto_Sales_data___Copy[DAYS_SINCE_LAST_ORDER],Table2[[#This Row],[Percentile]])</f>
        <v>2026</v>
      </c>
      <c r="D5" s="5">
        <f>_xlfn.PERCENTILE.INC('Auto Sales data - Copy'!$AG$2:$AG$90,Table2[[#This Row],[Percentile]])</f>
        <v>27</v>
      </c>
      <c r="E5">
        <f>_xlfn.PERCENTILE.INC('Auto Sales data - Copy'!$AH$2:$AH$90,Table2[[#This Row],[Percentile]])</f>
        <v>100537.75599999999</v>
      </c>
    </row>
    <row r="6" spans="1:5" x14ac:dyDescent="0.25">
      <c r="A6">
        <v>5</v>
      </c>
      <c r="B6">
        <v>0.8</v>
      </c>
      <c r="C6">
        <f>_xlfn.PERCENTILE.INC(Auto_Sales_data___Copy[DAYS_SINCE_LAST_ORDER],Table2[[#This Row],[Percentile]])</f>
        <v>2569.6000000000004</v>
      </c>
      <c r="D6" s="5">
        <v>259</v>
      </c>
      <c r="E6">
        <v>912204.22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2EAE57-2602-430D-89F8-F61AAB108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 Sales data - Copy</vt:lpstr>
      <vt:lpstr>Segments &amp; Strategies</vt:lpstr>
      <vt:lpstr>RMF Cutoffs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akoth</dc:creator>
  <cp:lastModifiedBy>ann akoth</cp:lastModifiedBy>
  <dcterms:created xsi:type="dcterms:W3CDTF">2026-04-08T10:58:52Z</dcterms:created>
  <dcterms:modified xsi:type="dcterms:W3CDTF">2026-04-08T19:57:43Z</dcterms:modified>
</cp:coreProperties>
</file>